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Z:\Private\santry\Personal\"/>
    </mc:Choice>
  </mc:AlternateContent>
  <xr:revisionPtr revIDLastSave="0" documentId="13_ncr:1_{DF02563F-B26A-4B09-AC36-F9083260D1E7}" xr6:coauthVersionLast="47" xr6:coauthVersionMax="47" xr10:uidLastSave="{00000000-0000-0000-0000-000000000000}"/>
  <bookViews>
    <workbookView xWindow="-28920" yWindow="-120" windowWidth="29040" windowHeight="15840" firstSheet="3" activeTab="3" xr2:uid="{38C6ABF7-D561-4A97-9357-AD89C5E192F2}"/>
  </bookViews>
  <sheets>
    <sheet name="M&amp;A Market Review" sheetId="6" state="hidden" r:id="rId1"/>
    <sheet name="Deal Timing Analysis" sheetId="3" state="hidden" r:id="rId2"/>
    <sheet name="Deal Rankings" sheetId="5" state="hidden" r:id="rId3"/>
    <sheet name="Deal Sheet" sheetId="1" r:id="rId4"/>
    <sheet name="M&amp;A Deals (4.25 Onwards)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6" l="1"/>
  <c r="C57" i="6"/>
  <c r="C56" i="6"/>
  <c r="C55" i="6"/>
  <c r="C54" i="6"/>
  <c r="F5" i="6"/>
  <c r="D5" i="6"/>
  <c r="E33" i="6"/>
  <c r="E34" i="6"/>
  <c r="E32" i="6"/>
  <c r="D55" i="6"/>
  <c r="D56" i="6"/>
  <c r="D57" i="6"/>
  <c r="D58" i="6"/>
  <c r="D54" i="6"/>
  <c r="D40" i="6"/>
  <c r="D41" i="6"/>
  <c r="D42" i="6"/>
  <c r="D43" i="6"/>
  <c r="D44" i="6"/>
  <c r="D45" i="6"/>
  <c r="D46" i="6"/>
  <c r="D47" i="6"/>
  <c r="D48" i="6"/>
  <c r="D49" i="6"/>
  <c r="D39" i="6"/>
  <c r="G23" i="1"/>
  <c r="A2" i="6"/>
  <c r="E87" i="6"/>
  <c r="E88" i="6" s="1"/>
  <c r="C90" i="6"/>
  <c r="C89" i="6"/>
  <c r="C88" i="6"/>
  <c r="C87" i="6"/>
  <c r="D68" i="6" a="1"/>
  <c r="D68" i="6" s="1"/>
  <c r="C68" i="6" a="1"/>
  <c r="C68" i="6" s="1"/>
  <c r="D67" i="6"/>
  <c r="C67" i="6"/>
  <c r="D66" i="6"/>
  <c r="C66" i="6"/>
  <c r="D65" i="6"/>
  <c r="C65" i="6"/>
  <c r="D64" i="6"/>
  <c r="C64" i="6"/>
  <c r="D63" i="6"/>
  <c r="C63" i="6"/>
  <c r="F50" i="6"/>
  <c r="E50" i="6"/>
  <c r="F49" i="6" a="1"/>
  <c r="F49" i="6" s="1"/>
  <c r="E49" i="6" a="1"/>
  <c r="E49" i="6" s="1"/>
  <c r="C49" i="6"/>
  <c r="F48" i="6" a="1"/>
  <c r="F48" i="6" s="1"/>
  <c r="E48" i="6" a="1"/>
  <c r="E48" i="6" s="1"/>
  <c r="C48" i="6"/>
  <c r="F47" i="6" a="1"/>
  <c r="F47" i="6" s="1"/>
  <c r="E47" i="6" a="1"/>
  <c r="E47" i="6" s="1"/>
  <c r="C47" i="6"/>
  <c r="F46" i="6" a="1"/>
  <c r="F46" i="6" s="1"/>
  <c r="E46" i="6" a="1"/>
  <c r="E46" i="6" s="1"/>
  <c r="C46" i="6"/>
  <c r="F45" i="6" a="1"/>
  <c r="F45" i="6" s="1"/>
  <c r="E45" i="6" a="1"/>
  <c r="E45" i="6" s="1"/>
  <c r="C45" i="6"/>
  <c r="F44" i="6" a="1"/>
  <c r="F44" i="6" s="1"/>
  <c r="E44" i="6" a="1"/>
  <c r="E44" i="6" s="1"/>
  <c r="C44" i="6"/>
  <c r="F43" i="6" a="1"/>
  <c r="F43" i="6" s="1"/>
  <c r="E43" i="6" a="1"/>
  <c r="E43" i="6" s="1"/>
  <c r="C43" i="6"/>
  <c r="F42" i="6" a="1"/>
  <c r="F42" i="6" s="1"/>
  <c r="E42" i="6" a="1"/>
  <c r="E42" i="6" s="1"/>
  <c r="C42" i="6"/>
  <c r="F41" i="6" a="1"/>
  <c r="F41" i="6" s="1"/>
  <c r="E41" i="6" a="1"/>
  <c r="E41" i="6" s="1"/>
  <c r="C41" i="6"/>
  <c r="F40" i="6" a="1"/>
  <c r="F40" i="6" s="1"/>
  <c r="E40" i="6" a="1"/>
  <c r="E40" i="6" s="1"/>
  <c r="C40" i="6"/>
  <c r="F39" i="6" a="1"/>
  <c r="F39" i="6" s="1"/>
  <c r="E39" i="6" a="1"/>
  <c r="E39" i="6" s="1"/>
  <c r="C39" i="6"/>
  <c r="F34" i="6"/>
  <c r="C34" i="6"/>
  <c r="F33" i="6"/>
  <c r="C33" i="6"/>
  <c r="F32" i="6"/>
  <c r="C32" i="6"/>
  <c r="F35" i="6"/>
  <c r="B10" i="6"/>
  <c r="D10" i="6" s="1"/>
  <c r="L5" i="6"/>
  <c r="J5" i="6"/>
  <c r="H5" i="6"/>
  <c r="B5" i="6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F81" i="6" l="1"/>
  <c r="F74" i="6"/>
  <c r="C73" i="6"/>
  <c r="F73" i="6"/>
  <c r="C74" i="6"/>
  <c r="E10" i="6"/>
  <c r="B11" i="6"/>
  <c r="D11" i="6" s="1"/>
  <c r="F72" i="6"/>
  <c r="F77" i="6" s="1"/>
  <c r="C10" i="6"/>
  <c r="F75" i="6" a="1"/>
  <c r="F75" i="6" s="1"/>
  <c r="F78" i="6" a="1"/>
  <c r="F78" i="6" s="1"/>
  <c r="F80" i="6"/>
  <c r="C59" i="6"/>
  <c r="E55" i="6" s="1"/>
  <c r="C50" i="6"/>
  <c r="D50" i="6"/>
  <c r="E89" i="6"/>
  <c r="C78" i="6" a="1"/>
  <c r="C78" i="6" s="1"/>
  <c r="C75" i="6" a="1"/>
  <c r="C75" i="6" s="1"/>
  <c r="C72" i="6"/>
  <c r="C76" i="6" s="1"/>
  <c r="C81" i="6"/>
  <c r="C80" i="6"/>
  <c r="D59" i="6"/>
  <c r="F54" i="6" s="1"/>
  <c r="D78" i="6" a="1"/>
  <c r="D78" i="6" s="1"/>
  <c r="E78" i="6" s="1"/>
  <c r="C35" i="6"/>
  <c r="D34" i="6" s="1"/>
  <c r="E35" i="6"/>
  <c r="D80" i="6" l="1"/>
  <c r="E80" i="6" s="1"/>
  <c r="D74" i="6"/>
  <c r="E74" i="6" s="1"/>
  <c r="D73" i="6"/>
  <c r="E73" i="6" s="1"/>
  <c r="D75" i="6" a="1"/>
  <c r="D75" i="6" s="1"/>
  <c r="E75" i="6" s="1"/>
  <c r="D81" i="6"/>
  <c r="E81" i="6" s="1"/>
  <c r="D72" i="6"/>
  <c r="D76" i="6" s="1"/>
  <c r="E76" i="6" s="1"/>
  <c r="F76" i="6"/>
  <c r="E58" i="6"/>
  <c r="E56" i="6"/>
  <c r="F55" i="6"/>
  <c r="F57" i="6"/>
  <c r="F56" i="6"/>
  <c r="E54" i="6"/>
  <c r="E57" i="6"/>
  <c r="C11" i="6"/>
  <c r="B12" i="6"/>
  <c r="D12" i="6" s="1"/>
  <c r="C77" i="6"/>
  <c r="F58" i="6"/>
  <c r="D32" i="6"/>
  <c r="D33" i="6"/>
  <c r="O8" i="4"/>
  <c r="F8" i="4"/>
  <c r="G8" i="4"/>
  <c r="H8" i="4"/>
  <c r="I8" i="4" s="1"/>
  <c r="J8" i="4"/>
  <c r="K8" i="4" a="1"/>
  <c r="K8" i="4" s="1"/>
  <c r="L8" i="4" a="1"/>
  <c r="L8" i="4" s="1"/>
  <c r="F3" i="4"/>
  <c r="G3" i="4"/>
  <c r="H3" i="4"/>
  <c r="I3" i="4" s="1"/>
  <c r="J3" i="4"/>
  <c r="K3" i="4" a="1"/>
  <c r="K3" i="4" s="1"/>
  <c r="L3" i="4" a="1"/>
  <c r="L3" i="4" s="1"/>
  <c r="O3" i="4"/>
  <c r="F4" i="4"/>
  <c r="G4" i="4"/>
  <c r="H4" i="4"/>
  <c r="I4" i="4" s="1"/>
  <c r="J4" i="4"/>
  <c r="K4" i="4" a="1"/>
  <c r="K4" i="4" s="1"/>
  <c r="L4" i="4" a="1"/>
  <c r="L4" i="4" s="1"/>
  <c r="O4" i="4"/>
  <c r="F5" i="4"/>
  <c r="G5" i="4"/>
  <c r="H5" i="4"/>
  <c r="I5" i="4" s="1"/>
  <c r="J5" i="4"/>
  <c r="K5" i="4" a="1"/>
  <c r="K5" i="4" s="1"/>
  <c r="L5" i="4" a="1"/>
  <c r="L5" i="4" s="1"/>
  <c r="O5" i="4"/>
  <c r="F6" i="4"/>
  <c r="G6" i="4"/>
  <c r="H6" i="4"/>
  <c r="I6" i="4" s="1"/>
  <c r="J6" i="4"/>
  <c r="K6" i="4" a="1"/>
  <c r="K6" i="4" s="1"/>
  <c r="L6" i="4" a="1"/>
  <c r="L6" i="4" s="1"/>
  <c r="O6" i="4"/>
  <c r="F7" i="4"/>
  <c r="G7" i="4"/>
  <c r="H7" i="4"/>
  <c r="I7" i="4" s="1"/>
  <c r="J7" i="4"/>
  <c r="K7" i="4" a="1"/>
  <c r="K7" i="4" s="1"/>
  <c r="L7" i="4" a="1"/>
  <c r="L7" i="4" s="1"/>
  <c r="O7" i="4"/>
  <c r="L198" i="4" a="1"/>
  <c r="L198" i="4" s="1"/>
  <c r="L197" i="4" a="1"/>
  <c r="L197" i="4" s="1"/>
  <c r="L196" i="4" a="1"/>
  <c r="L196" i="4" s="1"/>
  <c r="L195" i="4" a="1"/>
  <c r="L195" i="4" s="1"/>
  <c r="L194" i="4" a="1"/>
  <c r="L194" i="4" s="1"/>
  <c r="L193" i="4" a="1"/>
  <c r="L193" i="4" s="1"/>
  <c r="L192" i="4" a="1"/>
  <c r="L192" i="4" s="1"/>
  <c r="L191" i="4" a="1"/>
  <c r="L191" i="4" s="1"/>
  <c r="L190" i="4" a="1"/>
  <c r="L190" i="4" s="1"/>
  <c r="L189" i="4" a="1"/>
  <c r="L189" i="4" s="1"/>
  <c r="L188" i="4" a="1"/>
  <c r="L188" i="4" s="1"/>
  <c r="L187" i="4" a="1"/>
  <c r="L187" i="4" s="1"/>
  <c r="L186" i="4" a="1"/>
  <c r="L186" i="4" s="1"/>
  <c r="L185" i="4" a="1"/>
  <c r="L185" i="4" s="1"/>
  <c r="L184" i="4" a="1"/>
  <c r="L184" i="4" s="1"/>
  <c r="L183" i="4" a="1"/>
  <c r="L183" i="4" s="1"/>
  <c r="L182" i="4" a="1"/>
  <c r="L182" i="4" s="1"/>
  <c r="L181" i="4" a="1"/>
  <c r="L181" i="4" s="1"/>
  <c r="L180" i="4" a="1"/>
  <c r="L180" i="4" s="1"/>
  <c r="L179" i="4" a="1"/>
  <c r="L179" i="4" s="1"/>
  <c r="L178" i="4" a="1"/>
  <c r="L178" i="4" s="1"/>
  <c r="L177" i="4" a="1"/>
  <c r="L177" i="4" s="1"/>
  <c r="L176" i="4" a="1"/>
  <c r="L176" i="4" s="1"/>
  <c r="L175" i="4" a="1"/>
  <c r="L175" i="4" s="1"/>
  <c r="L174" i="4" a="1"/>
  <c r="L174" i="4" s="1"/>
  <c r="L173" i="4" a="1"/>
  <c r="L173" i="4" s="1"/>
  <c r="L172" i="4" a="1"/>
  <c r="L172" i="4" s="1"/>
  <c r="L171" i="4" a="1"/>
  <c r="L171" i="4" s="1"/>
  <c r="L170" i="4" a="1"/>
  <c r="L170" i="4" s="1"/>
  <c r="L169" i="4" a="1"/>
  <c r="L169" i="4" s="1"/>
  <c r="L168" i="4" a="1"/>
  <c r="L168" i="4" s="1"/>
  <c r="L167" i="4" a="1"/>
  <c r="L167" i="4" s="1"/>
  <c r="L166" i="4" a="1"/>
  <c r="L166" i="4" s="1"/>
  <c r="L165" i="4" a="1"/>
  <c r="L165" i="4" s="1"/>
  <c r="L164" i="4" a="1"/>
  <c r="L164" i="4" s="1"/>
  <c r="L163" i="4" a="1"/>
  <c r="L163" i="4" s="1"/>
  <c r="L162" i="4" a="1"/>
  <c r="L162" i="4" s="1"/>
  <c r="L161" i="4" a="1"/>
  <c r="L161" i="4" s="1"/>
  <c r="L160" i="4" a="1"/>
  <c r="L160" i="4" s="1"/>
  <c r="L159" i="4" a="1"/>
  <c r="L159" i="4" s="1"/>
  <c r="L158" i="4" a="1"/>
  <c r="L158" i="4" s="1"/>
  <c r="L157" i="4" a="1"/>
  <c r="L157" i="4" s="1"/>
  <c r="L156" i="4" a="1"/>
  <c r="L156" i="4" s="1"/>
  <c r="L155" i="4" a="1"/>
  <c r="L155" i="4" s="1"/>
  <c r="L154" i="4" a="1"/>
  <c r="L154" i="4" s="1"/>
  <c r="L153" i="4" a="1"/>
  <c r="L153" i="4" s="1"/>
  <c r="L152" i="4" a="1"/>
  <c r="L152" i="4" s="1"/>
  <c r="L151" i="4" a="1"/>
  <c r="L151" i="4" s="1"/>
  <c r="L150" i="4" a="1"/>
  <c r="L150" i="4" s="1"/>
  <c r="L149" i="4" a="1"/>
  <c r="L149" i="4" s="1"/>
  <c r="L148" i="4" a="1"/>
  <c r="L148" i="4" s="1"/>
  <c r="L147" i="4" a="1"/>
  <c r="L147" i="4" s="1"/>
  <c r="L146" i="4" a="1"/>
  <c r="L146" i="4" s="1"/>
  <c r="L145" i="4" a="1"/>
  <c r="L145" i="4" s="1"/>
  <c r="L144" i="4" a="1"/>
  <c r="L144" i="4" s="1"/>
  <c r="L143" i="4" a="1"/>
  <c r="L143" i="4" s="1"/>
  <c r="L142" i="4" a="1"/>
  <c r="L142" i="4" s="1"/>
  <c r="L141" i="4" a="1"/>
  <c r="L141" i="4" s="1"/>
  <c r="L140" i="4" a="1"/>
  <c r="L140" i="4" s="1"/>
  <c r="L139" i="4" a="1"/>
  <c r="L139" i="4" s="1"/>
  <c r="L138" i="4" a="1"/>
  <c r="L138" i="4" s="1"/>
  <c r="L137" i="4" a="1"/>
  <c r="L137" i="4" s="1"/>
  <c r="L136" i="4" a="1"/>
  <c r="L136" i="4" s="1"/>
  <c r="L135" i="4" a="1"/>
  <c r="L135" i="4" s="1"/>
  <c r="L134" i="4" a="1"/>
  <c r="L134" i="4" s="1"/>
  <c r="L133" i="4" a="1"/>
  <c r="L133" i="4" s="1"/>
  <c r="L132" i="4" a="1"/>
  <c r="L132" i="4" s="1"/>
  <c r="L131" i="4" a="1"/>
  <c r="L131" i="4" s="1"/>
  <c r="L130" i="4" a="1"/>
  <c r="L130" i="4" s="1"/>
  <c r="L129" i="4" a="1"/>
  <c r="L129" i="4" s="1"/>
  <c r="L128" i="4" a="1"/>
  <c r="L128" i="4" s="1"/>
  <c r="L127" i="4" a="1"/>
  <c r="L127" i="4" s="1"/>
  <c r="L126" i="4" a="1"/>
  <c r="L126" i="4" s="1"/>
  <c r="L125" i="4" a="1"/>
  <c r="L125" i="4" s="1"/>
  <c r="L124" i="4" a="1"/>
  <c r="L124" i="4" s="1"/>
  <c r="L123" i="4" a="1"/>
  <c r="L123" i="4" s="1"/>
  <c r="L122" i="4" a="1"/>
  <c r="L122" i="4" s="1"/>
  <c r="L121" i="4" a="1"/>
  <c r="L121" i="4" s="1"/>
  <c r="L120" i="4" a="1"/>
  <c r="L120" i="4" s="1"/>
  <c r="L119" i="4" a="1"/>
  <c r="L119" i="4" s="1"/>
  <c r="L118" i="4" a="1"/>
  <c r="L118" i="4" s="1"/>
  <c r="L117" i="4" a="1"/>
  <c r="L117" i="4" s="1"/>
  <c r="L116" i="4" a="1"/>
  <c r="L116" i="4" s="1"/>
  <c r="L115" i="4" a="1"/>
  <c r="L115" i="4" s="1"/>
  <c r="L114" i="4" a="1"/>
  <c r="L114" i="4" s="1"/>
  <c r="L113" i="4" a="1"/>
  <c r="L113" i="4" s="1"/>
  <c r="L112" i="4" a="1"/>
  <c r="L112" i="4" s="1"/>
  <c r="L111" i="4" a="1"/>
  <c r="L111" i="4" s="1"/>
  <c r="L110" i="4" a="1"/>
  <c r="L110" i="4" s="1"/>
  <c r="L109" i="4" a="1"/>
  <c r="L109" i="4" s="1"/>
  <c r="L108" i="4" a="1"/>
  <c r="L108" i="4" s="1"/>
  <c r="L107" i="4" a="1"/>
  <c r="L107" i="4" s="1"/>
  <c r="L106" i="4" a="1"/>
  <c r="L106" i="4" s="1"/>
  <c r="L105" i="4" a="1"/>
  <c r="L105" i="4" s="1"/>
  <c r="L104" i="4" a="1"/>
  <c r="L104" i="4" s="1"/>
  <c r="L103" i="4" a="1"/>
  <c r="L103" i="4" s="1"/>
  <c r="L102" i="4" a="1"/>
  <c r="L102" i="4" s="1"/>
  <c r="L101" i="4" a="1"/>
  <c r="L101" i="4" s="1"/>
  <c r="L100" i="4" a="1"/>
  <c r="L100" i="4" s="1"/>
  <c r="L99" i="4" a="1"/>
  <c r="L99" i="4" s="1"/>
  <c r="L98" i="4" a="1"/>
  <c r="L98" i="4" s="1"/>
  <c r="L97" i="4" a="1"/>
  <c r="L97" i="4" s="1"/>
  <c r="L96" i="4" a="1"/>
  <c r="L96" i="4" s="1"/>
  <c r="L95" i="4" a="1"/>
  <c r="L95" i="4" s="1"/>
  <c r="L94" i="4" a="1"/>
  <c r="L94" i="4" s="1"/>
  <c r="L93" i="4" a="1"/>
  <c r="L93" i="4" s="1"/>
  <c r="L92" i="4" a="1"/>
  <c r="L92" i="4" s="1"/>
  <c r="L91" i="4" a="1"/>
  <c r="L91" i="4" s="1"/>
  <c r="L90" i="4" a="1"/>
  <c r="L90" i="4" s="1"/>
  <c r="L89" i="4" a="1"/>
  <c r="L89" i="4" s="1"/>
  <c r="L88" i="4" a="1"/>
  <c r="L88" i="4" s="1"/>
  <c r="L87" i="4" a="1"/>
  <c r="L87" i="4" s="1"/>
  <c r="L86" i="4" a="1"/>
  <c r="L86" i="4" s="1"/>
  <c r="L85" i="4" a="1"/>
  <c r="L85" i="4" s="1"/>
  <c r="L84" i="4" a="1"/>
  <c r="L84" i="4" s="1"/>
  <c r="L83" i="4" a="1"/>
  <c r="L83" i="4" s="1"/>
  <c r="L82" i="4" a="1"/>
  <c r="L82" i="4" s="1"/>
  <c r="L81" i="4" a="1"/>
  <c r="L81" i="4" s="1"/>
  <c r="L80" i="4" a="1"/>
  <c r="L80" i="4" s="1"/>
  <c r="L79" i="4" a="1"/>
  <c r="L79" i="4" s="1"/>
  <c r="L78" i="4" a="1"/>
  <c r="L78" i="4" s="1"/>
  <c r="L77" i="4" a="1"/>
  <c r="L77" i="4" s="1"/>
  <c r="L76" i="4" a="1"/>
  <c r="L76" i="4" s="1"/>
  <c r="L75" i="4" a="1"/>
  <c r="L75" i="4" s="1"/>
  <c r="L74" i="4" a="1"/>
  <c r="L74" i="4" s="1"/>
  <c r="L73" i="4" a="1"/>
  <c r="L73" i="4" s="1"/>
  <c r="L72" i="4" a="1"/>
  <c r="L72" i="4" s="1"/>
  <c r="L71" i="4" a="1"/>
  <c r="L71" i="4" s="1"/>
  <c r="L70" i="4" a="1"/>
  <c r="L70" i="4" s="1"/>
  <c r="L69" i="4" a="1"/>
  <c r="L69" i="4" s="1"/>
  <c r="L68" i="4" a="1"/>
  <c r="L68" i="4" s="1"/>
  <c r="L67" i="4" a="1"/>
  <c r="L67" i="4" s="1"/>
  <c r="L66" i="4" a="1"/>
  <c r="L66" i="4" s="1"/>
  <c r="L65" i="4" a="1"/>
  <c r="L65" i="4" s="1"/>
  <c r="L64" i="4" a="1"/>
  <c r="L64" i="4" s="1"/>
  <c r="L63" i="4" a="1"/>
  <c r="L63" i="4" s="1"/>
  <c r="L62" i="4" a="1"/>
  <c r="L62" i="4" s="1"/>
  <c r="L61" i="4" a="1"/>
  <c r="L61" i="4" s="1"/>
  <c r="L60" i="4" a="1"/>
  <c r="L60" i="4" s="1"/>
  <c r="L59" i="4" a="1"/>
  <c r="L59" i="4" s="1"/>
  <c r="L58" i="4" a="1"/>
  <c r="L58" i="4" s="1"/>
  <c r="L57" i="4" a="1"/>
  <c r="L57" i="4" s="1"/>
  <c r="L56" i="4" a="1"/>
  <c r="L56" i="4" s="1"/>
  <c r="L55" i="4" a="1"/>
  <c r="L55" i="4" s="1"/>
  <c r="L54" i="4" a="1"/>
  <c r="L54" i="4" s="1"/>
  <c r="L53" i="4" a="1"/>
  <c r="L53" i="4" s="1"/>
  <c r="L52" i="4" a="1"/>
  <c r="L52" i="4" s="1"/>
  <c r="L51" i="4" a="1"/>
  <c r="L51" i="4" s="1"/>
  <c r="L50" i="4" a="1"/>
  <c r="L50" i="4" s="1"/>
  <c r="L49" i="4" a="1"/>
  <c r="L49" i="4" s="1"/>
  <c r="L48" i="4" a="1"/>
  <c r="L48" i="4" s="1"/>
  <c r="L47" i="4" a="1"/>
  <c r="L47" i="4" s="1"/>
  <c r="L46" i="4" a="1"/>
  <c r="L46" i="4" s="1"/>
  <c r="L45" i="4" a="1"/>
  <c r="L45" i="4" s="1"/>
  <c r="L44" i="4" a="1"/>
  <c r="L44" i="4" s="1"/>
  <c r="L43" i="4" a="1"/>
  <c r="L43" i="4" s="1"/>
  <c r="L42" i="4" a="1"/>
  <c r="L42" i="4" s="1"/>
  <c r="L41" i="4" a="1"/>
  <c r="L41" i="4" s="1"/>
  <c r="L40" i="4" a="1"/>
  <c r="L40" i="4" s="1"/>
  <c r="L39" i="4" a="1"/>
  <c r="L39" i="4" s="1"/>
  <c r="L38" i="4" a="1"/>
  <c r="L38" i="4" s="1"/>
  <c r="L37" i="4" a="1"/>
  <c r="L37" i="4" s="1"/>
  <c r="L36" i="4" a="1"/>
  <c r="L36" i="4" s="1"/>
  <c r="L35" i="4" a="1"/>
  <c r="L35" i="4" s="1"/>
  <c r="L34" i="4" a="1"/>
  <c r="L34" i="4" s="1"/>
  <c r="L33" i="4" a="1"/>
  <c r="L33" i="4" s="1"/>
  <c r="L32" i="4" a="1"/>
  <c r="L32" i="4" s="1"/>
  <c r="L31" i="4" a="1"/>
  <c r="L31" i="4" s="1"/>
  <c r="L30" i="4" a="1"/>
  <c r="L30" i="4" s="1"/>
  <c r="L29" i="4" a="1"/>
  <c r="L29" i="4" s="1"/>
  <c r="L28" i="4" a="1"/>
  <c r="L28" i="4" s="1"/>
  <c r="L27" i="4" a="1"/>
  <c r="L27" i="4" s="1"/>
  <c r="L26" i="4" a="1"/>
  <c r="L26" i="4" s="1"/>
  <c r="L25" i="4" a="1"/>
  <c r="L25" i="4" s="1"/>
  <c r="L24" i="4" a="1"/>
  <c r="L24" i="4" s="1"/>
  <c r="L23" i="4" a="1"/>
  <c r="L23" i="4" s="1"/>
  <c r="L22" i="4" a="1"/>
  <c r="L22" i="4" s="1"/>
  <c r="L21" i="4" a="1"/>
  <c r="L21" i="4" s="1"/>
  <c r="L20" i="4" a="1"/>
  <c r="L20" i="4" s="1"/>
  <c r="L19" i="4" a="1"/>
  <c r="L19" i="4" s="1"/>
  <c r="L18" i="4" a="1"/>
  <c r="L18" i="4" s="1"/>
  <c r="L17" i="4" a="1"/>
  <c r="L17" i="4" s="1"/>
  <c r="L16" i="4" a="1"/>
  <c r="L16" i="4" s="1"/>
  <c r="L15" i="4" a="1"/>
  <c r="L15" i="4" s="1"/>
  <c r="L14" i="4" a="1"/>
  <c r="L14" i="4" s="1"/>
  <c r="L13" i="4" a="1"/>
  <c r="L13" i="4" s="1"/>
  <c r="L12" i="4" a="1"/>
  <c r="L12" i="4" s="1"/>
  <c r="L11" i="4" a="1"/>
  <c r="L11" i="4" s="1"/>
  <c r="L10" i="4" a="1"/>
  <c r="L10" i="4" s="1"/>
  <c r="L9" i="4" a="1"/>
  <c r="L9" i="4" s="1"/>
  <c r="K198" i="4" a="1"/>
  <c r="K198" i="4" s="1"/>
  <c r="K197" i="4" a="1"/>
  <c r="K197" i="4" s="1"/>
  <c r="K196" i="4" a="1"/>
  <c r="K196" i="4" s="1"/>
  <c r="K195" i="4" a="1"/>
  <c r="K195" i="4" s="1"/>
  <c r="K194" i="4" a="1"/>
  <c r="K194" i="4" s="1"/>
  <c r="K193" i="4" a="1"/>
  <c r="K193" i="4" s="1"/>
  <c r="K192" i="4" a="1"/>
  <c r="K192" i="4" s="1"/>
  <c r="K191" i="4" a="1"/>
  <c r="K191" i="4" s="1"/>
  <c r="K190" i="4" a="1"/>
  <c r="K190" i="4" s="1"/>
  <c r="K189" i="4" a="1"/>
  <c r="K189" i="4" s="1"/>
  <c r="K188" i="4" a="1"/>
  <c r="K188" i="4" s="1"/>
  <c r="K187" i="4" a="1"/>
  <c r="K187" i="4" s="1"/>
  <c r="K186" i="4" a="1"/>
  <c r="K186" i="4" s="1"/>
  <c r="K185" i="4" a="1"/>
  <c r="K185" i="4" s="1"/>
  <c r="K184" i="4" a="1"/>
  <c r="K184" i="4" s="1"/>
  <c r="K183" i="4" a="1"/>
  <c r="K183" i="4" s="1"/>
  <c r="K182" i="4" a="1"/>
  <c r="K182" i="4" s="1"/>
  <c r="K181" i="4" a="1"/>
  <c r="K181" i="4" s="1"/>
  <c r="K180" i="4" a="1"/>
  <c r="K180" i="4" s="1"/>
  <c r="K179" i="4" a="1"/>
  <c r="K179" i="4" s="1"/>
  <c r="K178" i="4" a="1"/>
  <c r="K178" i="4" s="1"/>
  <c r="K177" i="4" a="1"/>
  <c r="K177" i="4" s="1"/>
  <c r="K176" i="4" a="1"/>
  <c r="K176" i="4" s="1"/>
  <c r="K175" i="4" a="1"/>
  <c r="K175" i="4" s="1"/>
  <c r="K174" i="4" a="1"/>
  <c r="K174" i="4" s="1"/>
  <c r="K173" i="4" a="1"/>
  <c r="K173" i="4" s="1"/>
  <c r="K172" i="4" a="1"/>
  <c r="K172" i="4" s="1"/>
  <c r="K171" i="4" a="1"/>
  <c r="K171" i="4" s="1"/>
  <c r="K170" i="4" a="1"/>
  <c r="K170" i="4" s="1"/>
  <c r="K169" i="4" a="1"/>
  <c r="K169" i="4" s="1"/>
  <c r="K168" i="4" a="1"/>
  <c r="K168" i="4" s="1"/>
  <c r="K167" i="4" a="1"/>
  <c r="K167" i="4" s="1"/>
  <c r="K166" i="4" a="1"/>
  <c r="K166" i="4" s="1"/>
  <c r="K165" i="4" a="1"/>
  <c r="K165" i="4" s="1"/>
  <c r="K164" i="4" a="1"/>
  <c r="K164" i="4" s="1"/>
  <c r="K163" i="4" a="1"/>
  <c r="K163" i="4" s="1"/>
  <c r="K162" i="4" a="1"/>
  <c r="K162" i="4" s="1"/>
  <c r="K161" i="4" a="1"/>
  <c r="K161" i="4" s="1"/>
  <c r="K160" i="4" a="1"/>
  <c r="K160" i="4" s="1"/>
  <c r="K159" i="4" a="1"/>
  <c r="K159" i="4" s="1"/>
  <c r="K158" i="4" a="1"/>
  <c r="K158" i="4" s="1"/>
  <c r="K157" i="4" a="1"/>
  <c r="K157" i="4" s="1"/>
  <c r="K156" i="4" a="1"/>
  <c r="K156" i="4" s="1"/>
  <c r="K155" i="4" a="1"/>
  <c r="K155" i="4" s="1"/>
  <c r="K154" i="4" a="1"/>
  <c r="K154" i="4" s="1"/>
  <c r="K153" i="4" a="1"/>
  <c r="K153" i="4" s="1"/>
  <c r="K152" i="4" a="1"/>
  <c r="K152" i="4" s="1"/>
  <c r="K151" i="4" a="1"/>
  <c r="K151" i="4" s="1"/>
  <c r="K150" i="4" a="1"/>
  <c r="K150" i="4" s="1"/>
  <c r="K149" i="4" a="1"/>
  <c r="K149" i="4" s="1"/>
  <c r="K148" i="4" a="1"/>
  <c r="K148" i="4" s="1"/>
  <c r="K147" i="4" a="1"/>
  <c r="K147" i="4" s="1"/>
  <c r="K146" i="4" a="1"/>
  <c r="K146" i="4" s="1"/>
  <c r="K145" i="4" a="1"/>
  <c r="K145" i="4" s="1"/>
  <c r="K144" i="4" a="1"/>
  <c r="K144" i="4" s="1"/>
  <c r="K143" i="4" a="1"/>
  <c r="K143" i="4" s="1"/>
  <c r="K142" i="4" a="1"/>
  <c r="K142" i="4" s="1"/>
  <c r="K141" i="4" a="1"/>
  <c r="K141" i="4" s="1"/>
  <c r="K140" i="4" a="1"/>
  <c r="K140" i="4" s="1"/>
  <c r="K139" i="4" a="1"/>
  <c r="K139" i="4" s="1"/>
  <c r="K138" i="4" a="1"/>
  <c r="K138" i="4" s="1"/>
  <c r="K137" i="4" a="1"/>
  <c r="K137" i="4" s="1"/>
  <c r="K136" i="4" a="1"/>
  <c r="K136" i="4" s="1"/>
  <c r="K135" i="4" a="1"/>
  <c r="K135" i="4" s="1"/>
  <c r="K134" i="4" a="1"/>
  <c r="K134" i="4" s="1"/>
  <c r="K133" i="4" a="1"/>
  <c r="K133" i="4" s="1"/>
  <c r="K132" i="4" a="1"/>
  <c r="K132" i="4" s="1"/>
  <c r="K131" i="4" a="1"/>
  <c r="K131" i="4" s="1"/>
  <c r="K130" i="4" a="1"/>
  <c r="K130" i="4" s="1"/>
  <c r="K129" i="4" a="1"/>
  <c r="K129" i="4" s="1"/>
  <c r="K128" i="4" a="1"/>
  <c r="K128" i="4" s="1"/>
  <c r="K127" i="4" a="1"/>
  <c r="K127" i="4" s="1"/>
  <c r="K126" i="4" a="1"/>
  <c r="K126" i="4" s="1"/>
  <c r="K125" i="4" a="1"/>
  <c r="K125" i="4" s="1"/>
  <c r="K124" i="4" a="1"/>
  <c r="K124" i="4" s="1"/>
  <c r="K123" i="4" a="1"/>
  <c r="K123" i="4" s="1"/>
  <c r="K122" i="4" a="1"/>
  <c r="K122" i="4" s="1"/>
  <c r="K121" i="4" a="1"/>
  <c r="K121" i="4" s="1"/>
  <c r="K120" i="4" a="1"/>
  <c r="K120" i="4" s="1"/>
  <c r="K119" i="4" a="1"/>
  <c r="K119" i="4" s="1"/>
  <c r="K118" i="4" a="1"/>
  <c r="K118" i="4" s="1"/>
  <c r="K117" i="4" a="1"/>
  <c r="K117" i="4" s="1"/>
  <c r="K116" i="4" a="1"/>
  <c r="K116" i="4" s="1"/>
  <c r="K115" i="4" a="1"/>
  <c r="K115" i="4" s="1"/>
  <c r="K114" i="4" a="1"/>
  <c r="K114" i="4" s="1"/>
  <c r="K113" i="4" a="1"/>
  <c r="K113" i="4" s="1"/>
  <c r="K112" i="4" a="1"/>
  <c r="K112" i="4" s="1"/>
  <c r="K111" i="4" a="1"/>
  <c r="K111" i="4" s="1"/>
  <c r="K110" i="4" a="1"/>
  <c r="K110" i="4" s="1"/>
  <c r="K109" i="4" a="1"/>
  <c r="K109" i="4" s="1"/>
  <c r="K108" i="4" a="1"/>
  <c r="K108" i="4" s="1"/>
  <c r="K107" i="4" a="1"/>
  <c r="K107" i="4" s="1"/>
  <c r="K106" i="4" a="1"/>
  <c r="K106" i="4" s="1"/>
  <c r="K105" i="4" a="1"/>
  <c r="K105" i="4" s="1"/>
  <c r="K104" i="4" a="1"/>
  <c r="K104" i="4" s="1"/>
  <c r="K103" i="4" a="1"/>
  <c r="K103" i="4" s="1"/>
  <c r="K102" i="4" a="1"/>
  <c r="K102" i="4" s="1"/>
  <c r="K101" i="4" a="1"/>
  <c r="K101" i="4" s="1"/>
  <c r="K100" i="4" a="1"/>
  <c r="K100" i="4" s="1"/>
  <c r="K99" i="4" a="1"/>
  <c r="K99" i="4" s="1"/>
  <c r="K98" i="4" a="1"/>
  <c r="K98" i="4" s="1"/>
  <c r="K97" i="4" a="1"/>
  <c r="K97" i="4" s="1"/>
  <c r="K96" i="4" a="1"/>
  <c r="K96" i="4" s="1"/>
  <c r="K95" i="4" a="1"/>
  <c r="K95" i="4" s="1"/>
  <c r="K94" i="4" a="1"/>
  <c r="K94" i="4" s="1"/>
  <c r="K93" i="4" a="1"/>
  <c r="K93" i="4" s="1"/>
  <c r="K92" i="4" a="1"/>
  <c r="K92" i="4" s="1"/>
  <c r="K91" i="4" a="1"/>
  <c r="K91" i="4" s="1"/>
  <c r="K90" i="4" a="1"/>
  <c r="K90" i="4" s="1"/>
  <c r="K89" i="4" a="1"/>
  <c r="K89" i="4" s="1"/>
  <c r="K88" i="4" a="1"/>
  <c r="K88" i="4" s="1"/>
  <c r="K87" i="4" a="1"/>
  <c r="K87" i="4" s="1"/>
  <c r="K86" i="4" a="1"/>
  <c r="K86" i="4" s="1"/>
  <c r="K85" i="4" a="1"/>
  <c r="K85" i="4" s="1"/>
  <c r="K84" i="4" a="1"/>
  <c r="K84" i="4" s="1"/>
  <c r="K83" i="4" a="1"/>
  <c r="K83" i="4" s="1"/>
  <c r="K82" i="4" a="1"/>
  <c r="K82" i="4" s="1"/>
  <c r="K81" i="4" a="1"/>
  <c r="K81" i="4" s="1"/>
  <c r="K80" i="4" a="1"/>
  <c r="K80" i="4" s="1"/>
  <c r="K79" i="4" a="1"/>
  <c r="K79" i="4" s="1"/>
  <c r="K78" i="4" a="1"/>
  <c r="K78" i="4" s="1"/>
  <c r="K77" i="4" a="1"/>
  <c r="K77" i="4" s="1"/>
  <c r="K76" i="4" a="1"/>
  <c r="K76" i="4" s="1"/>
  <c r="K75" i="4" a="1"/>
  <c r="K75" i="4" s="1"/>
  <c r="K74" i="4" a="1"/>
  <c r="K74" i="4" s="1"/>
  <c r="K73" i="4" a="1"/>
  <c r="K73" i="4" s="1"/>
  <c r="K72" i="4" a="1"/>
  <c r="K72" i="4" s="1"/>
  <c r="K71" i="4" a="1"/>
  <c r="K71" i="4" s="1"/>
  <c r="K70" i="4" a="1"/>
  <c r="K70" i="4" s="1"/>
  <c r="K69" i="4" a="1"/>
  <c r="K69" i="4" s="1"/>
  <c r="K68" i="4" a="1"/>
  <c r="K68" i="4" s="1"/>
  <c r="K67" i="4" a="1"/>
  <c r="K67" i="4" s="1"/>
  <c r="K66" i="4" a="1"/>
  <c r="K66" i="4" s="1"/>
  <c r="K65" i="4" a="1"/>
  <c r="K65" i="4" s="1"/>
  <c r="K64" i="4" a="1"/>
  <c r="K64" i="4" s="1"/>
  <c r="K63" i="4" a="1"/>
  <c r="K63" i="4" s="1"/>
  <c r="K62" i="4" a="1"/>
  <c r="K62" i="4" s="1"/>
  <c r="K61" i="4" a="1"/>
  <c r="K61" i="4" s="1"/>
  <c r="K60" i="4" a="1"/>
  <c r="K60" i="4" s="1"/>
  <c r="K59" i="4" a="1"/>
  <c r="K59" i="4" s="1"/>
  <c r="K58" i="4" a="1"/>
  <c r="K58" i="4" s="1"/>
  <c r="K57" i="4" a="1"/>
  <c r="K57" i="4" s="1"/>
  <c r="K56" i="4" a="1"/>
  <c r="K56" i="4" s="1"/>
  <c r="K55" i="4" a="1"/>
  <c r="K55" i="4" s="1"/>
  <c r="K54" i="4" a="1"/>
  <c r="K54" i="4" s="1"/>
  <c r="K53" i="4" a="1"/>
  <c r="K53" i="4" s="1"/>
  <c r="K52" i="4" a="1"/>
  <c r="K52" i="4" s="1"/>
  <c r="K51" i="4" a="1"/>
  <c r="K51" i="4" s="1"/>
  <c r="K50" i="4" a="1"/>
  <c r="K50" i="4" s="1"/>
  <c r="K49" i="4" a="1"/>
  <c r="K49" i="4" s="1"/>
  <c r="K48" i="4" a="1"/>
  <c r="K48" i="4" s="1"/>
  <c r="K47" i="4" a="1"/>
  <c r="K47" i="4" s="1"/>
  <c r="K46" i="4" a="1"/>
  <c r="K46" i="4" s="1"/>
  <c r="K45" i="4" a="1"/>
  <c r="K45" i="4" s="1"/>
  <c r="K44" i="4" a="1"/>
  <c r="K44" i="4" s="1"/>
  <c r="K43" i="4" a="1"/>
  <c r="K43" i="4" s="1"/>
  <c r="K42" i="4" a="1"/>
  <c r="K42" i="4" s="1"/>
  <c r="K41" i="4" a="1"/>
  <c r="K41" i="4" s="1"/>
  <c r="K40" i="4" a="1"/>
  <c r="K40" i="4" s="1"/>
  <c r="K39" i="4" a="1"/>
  <c r="K39" i="4" s="1"/>
  <c r="K38" i="4" a="1"/>
  <c r="K38" i="4" s="1"/>
  <c r="K37" i="4" a="1"/>
  <c r="K37" i="4" s="1"/>
  <c r="K36" i="4" a="1"/>
  <c r="K36" i="4" s="1"/>
  <c r="K35" i="4" a="1"/>
  <c r="K35" i="4" s="1"/>
  <c r="K34" i="4" a="1"/>
  <c r="K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8" i="4" a="1"/>
  <c r="K28" i="4" s="1"/>
  <c r="K27" i="4" a="1"/>
  <c r="K27" i="4" s="1"/>
  <c r="K26" i="4" a="1"/>
  <c r="K26" i="4" s="1"/>
  <c r="K25" i="4" a="1"/>
  <c r="K25" i="4" s="1"/>
  <c r="K24" i="4" a="1"/>
  <c r="K24" i="4" s="1"/>
  <c r="K23" i="4" a="1"/>
  <c r="K23" i="4" s="1"/>
  <c r="K22" i="4" a="1"/>
  <c r="K22" i="4" s="1"/>
  <c r="K21" i="4" a="1"/>
  <c r="K21" i="4" s="1"/>
  <c r="K20" i="4" a="1"/>
  <c r="K20" i="4" s="1"/>
  <c r="K19" i="4" a="1"/>
  <c r="K19" i="4" s="1"/>
  <c r="K18" i="4" a="1"/>
  <c r="K18" i="4" s="1"/>
  <c r="K17" i="4" a="1"/>
  <c r="K17" i="4" s="1"/>
  <c r="K16" i="4" a="1"/>
  <c r="K16" i="4" s="1"/>
  <c r="K15" i="4" a="1"/>
  <c r="K15" i="4" s="1"/>
  <c r="K14" i="4" a="1"/>
  <c r="K14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O198" i="4"/>
  <c r="J198" i="4"/>
  <c r="H198" i="4"/>
  <c r="I198" i="4" s="1"/>
  <c r="G198" i="4"/>
  <c r="F198" i="4"/>
  <c r="O197" i="4"/>
  <c r="J197" i="4"/>
  <c r="H197" i="4"/>
  <c r="I197" i="4" s="1"/>
  <c r="G197" i="4"/>
  <c r="F197" i="4"/>
  <c r="O196" i="4"/>
  <c r="J196" i="4"/>
  <c r="H196" i="4"/>
  <c r="I196" i="4" s="1"/>
  <c r="G196" i="4"/>
  <c r="F196" i="4"/>
  <c r="O195" i="4"/>
  <c r="J195" i="4"/>
  <c r="H195" i="4"/>
  <c r="I195" i="4" s="1"/>
  <c r="G195" i="4"/>
  <c r="F195" i="4"/>
  <c r="O194" i="4"/>
  <c r="J194" i="4"/>
  <c r="H194" i="4"/>
  <c r="I194" i="4" s="1"/>
  <c r="G194" i="4"/>
  <c r="F194" i="4"/>
  <c r="O193" i="4"/>
  <c r="J193" i="4"/>
  <c r="H193" i="4"/>
  <c r="I193" i="4" s="1"/>
  <c r="G193" i="4"/>
  <c r="F193" i="4"/>
  <c r="O192" i="4"/>
  <c r="J192" i="4"/>
  <c r="H192" i="4"/>
  <c r="I192" i="4" s="1"/>
  <c r="G192" i="4"/>
  <c r="F192" i="4"/>
  <c r="O191" i="4"/>
  <c r="J191" i="4"/>
  <c r="H191" i="4"/>
  <c r="I191" i="4" s="1"/>
  <c r="G191" i="4"/>
  <c r="F191" i="4"/>
  <c r="O190" i="4"/>
  <c r="J190" i="4"/>
  <c r="H190" i="4"/>
  <c r="I190" i="4" s="1"/>
  <c r="G190" i="4"/>
  <c r="F190" i="4"/>
  <c r="O189" i="4"/>
  <c r="J189" i="4"/>
  <c r="H189" i="4"/>
  <c r="I189" i="4" s="1"/>
  <c r="G189" i="4"/>
  <c r="F189" i="4"/>
  <c r="O188" i="4"/>
  <c r="J188" i="4"/>
  <c r="H188" i="4"/>
  <c r="I188" i="4" s="1"/>
  <c r="G188" i="4"/>
  <c r="F188" i="4"/>
  <c r="O187" i="4"/>
  <c r="J187" i="4"/>
  <c r="H187" i="4"/>
  <c r="I187" i="4" s="1"/>
  <c r="G187" i="4"/>
  <c r="F187" i="4"/>
  <c r="O186" i="4"/>
  <c r="J186" i="4"/>
  <c r="H186" i="4"/>
  <c r="I186" i="4" s="1"/>
  <c r="G186" i="4"/>
  <c r="F186" i="4"/>
  <c r="O185" i="4"/>
  <c r="J185" i="4"/>
  <c r="H185" i="4"/>
  <c r="I185" i="4" s="1"/>
  <c r="G185" i="4"/>
  <c r="F185" i="4"/>
  <c r="O184" i="4"/>
  <c r="J184" i="4"/>
  <c r="H184" i="4"/>
  <c r="I184" i="4" s="1"/>
  <c r="G184" i="4"/>
  <c r="F184" i="4"/>
  <c r="O183" i="4"/>
  <c r="J183" i="4"/>
  <c r="H183" i="4"/>
  <c r="I183" i="4" s="1"/>
  <c r="G183" i="4"/>
  <c r="F183" i="4"/>
  <c r="O182" i="4"/>
  <c r="J182" i="4"/>
  <c r="H182" i="4"/>
  <c r="I182" i="4" s="1"/>
  <c r="G182" i="4"/>
  <c r="F182" i="4"/>
  <c r="O181" i="4"/>
  <c r="J181" i="4"/>
  <c r="H181" i="4"/>
  <c r="I181" i="4" s="1"/>
  <c r="G181" i="4"/>
  <c r="F181" i="4"/>
  <c r="O180" i="4"/>
  <c r="J180" i="4"/>
  <c r="H180" i="4"/>
  <c r="I180" i="4" s="1"/>
  <c r="G180" i="4"/>
  <c r="F180" i="4"/>
  <c r="O179" i="4"/>
  <c r="J179" i="4"/>
  <c r="H179" i="4"/>
  <c r="I179" i="4" s="1"/>
  <c r="G179" i="4"/>
  <c r="F179" i="4"/>
  <c r="O178" i="4"/>
  <c r="J178" i="4"/>
  <c r="H178" i="4"/>
  <c r="I178" i="4" s="1"/>
  <c r="G178" i="4"/>
  <c r="F178" i="4"/>
  <c r="O177" i="4"/>
  <c r="J177" i="4"/>
  <c r="H177" i="4"/>
  <c r="I177" i="4" s="1"/>
  <c r="G177" i="4"/>
  <c r="F177" i="4"/>
  <c r="O176" i="4"/>
  <c r="J176" i="4"/>
  <c r="H176" i="4"/>
  <c r="I176" i="4" s="1"/>
  <c r="G176" i="4"/>
  <c r="F176" i="4"/>
  <c r="O175" i="4"/>
  <c r="J175" i="4"/>
  <c r="H175" i="4"/>
  <c r="I175" i="4" s="1"/>
  <c r="G175" i="4"/>
  <c r="F175" i="4"/>
  <c r="O174" i="4"/>
  <c r="J174" i="4"/>
  <c r="H174" i="4"/>
  <c r="I174" i="4" s="1"/>
  <c r="G174" i="4"/>
  <c r="F174" i="4"/>
  <c r="O173" i="4"/>
  <c r="J173" i="4"/>
  <c r="H173" i="4"/>
  <c r="I173" i="4" s="1"/>
  <c r="G173" i="4"/>
  <c r="F173" i="4"/>
  <c r="O172" i="4"/>
  <c r="J172" i="4"/>
  <c r="H172" i="4"/>
  <c r="I172" i="4" s="1"/>
  <c r="G172" i="4"/>
  <c r="F172" i="4"/>
  <c r="O171" i="4"/>
  <c r="J171" i="4"/>
  <c r="H171" i="4"/>
  <c r="I171" i="4" s="1"/>
  <c r="G171" i="4"/>
  <c r="F171" i="4"/>
  <c r="O170" i="4"/>
  <c r="J170" i="4"/>
  <c r="H170" i="4"/>
  <c r="I170" i="4" s="1"/>
  <c r="G170" i="4"/>
  <c r="F170" i="4"/>
  <c r="O169" i="4"/>
  <c r="J169" i="4"/>
  <c r="H169" i="4"/>
  <c r="I169" i="4" s="1"/>
  <c r="G169" i="4"/>
  <c r="F169" i="4"/>
  <c r="O168" i="4"/>
  <c r="J168" i="4"/>
  <c r="H168" i="4"/>
  <c r="I168" i="4" s="1"/>
  <c r="G168" i="4"/>
  <c r="F168" i="4"/>
  <c r="O167" i="4"/>
  <c r="J167" i="4"/>
  <c r="H167" i="4"/>
  <c r="I167" i="4" s="1"/>
  <c r="G167" i="4"/>
  <c r="F167" i="4"/>
  <c r="O166" i="4"/>
  <c r="J166" i="4"/>
  <c r="H166" i="4"/>
  <c r="I166" i="4" s="1"/>
  <c r="G166" i="4"/>
  <c r="F166" i="4"/>
  <c r="O165" i="4"/>
  <c r="J165" i="4"/>
  <c r="H165" i="4"/>
  <c r="I165" i="4" s="1"/>
  <c r="G165" i="4"/>
  <c r="F165" i="4"/>
  <c r="O164" i="4"/>
  <c r="J164" i="4"/>
  <c r="H164" i="4"/>
  <c r="I164" i="4" s="1"/>
  <c r="G164" i="4"/>
  <c r="F164" i="4"/>
  <c r="O163" i="4"/>
  <c r="J163" i="4"/>
  <c r="H163" i="4"/>
  <c r="I163" i="4" s="1"/>
  <c r="G163" i="4"/>
  <c r="F163" i="4"/>
  <c r="O162" i="4"/>
  <c r="J162" i="4"/>
  <c r="H162" i="4"/>
  <c r="I162" i="4" s="1"/>
  <c r="G162" i="4"/>
  <c r="F162" i="4"/>
  <c r="O161" i="4"/>
  <c r="J161" i="4"/>
  <c r="H161" i="4"/>
  <c r="I161" i="4" s="1"/>
  <c r="G161" i="4"/>
  <c r="F161" i="4"/>
  <c r="O160" i="4"/>
  <c r="J160" i="4"/>
  <c r="H160" i="4"/>
  <c r="I160" i="4" s="1"/>
  <c r="G160" i="4"/>
  <c r="F160" i="4"/>
  <c r="O159" i="4"/>
  <c r="J159" i="4"/>
  <c r="H159" i="4"/>
  <c r="I159" i="4" s="1"/>
  <c r="G159" i="4"/>
  <c r="F159" i="4"/>
  <c r="O158" i="4"/>
  <c r="J158" i="4"/>
  <c r="H158" i="4"/>
  <c r="I158" i="4" s="1"/>
  <c r="G158" i="4"/>
  <c r="F158" i="4"/>
  <c r="O157" i="4"/>
  <c r="J157" i="4"/>
  <c r="H157" i="4"/>
  <c r="I157" i="4" s="1"/>
  <c r="G157" i="4"/>
  <c r="F157" i="4"/>
  <c r="O156" i="4"/>
  <c r="J156" i="4"/>
  <c r="H156" i="4"/>
  <c r="I156" i="4" s="1"/>
  <c r="G156" i="4"/>
  <c r="F156" i="4"/>
  <c r="O155" i="4"/>
  <c r="J155" i="4"/>
  <c r="H155" i="4"/>
  <c r="I155" i="4" s="1"/>
  <c r="G155" i="4"/>
  <c r="F155" i="4"/>
  <c r="O154" i="4"/>
  <c r="J154" i="4"/>
  <c r="H154" i="4"/>
  <c r="I154" i="4" s="1"/>
  <c r="G154" i="4"/>
  <c r="F154" i="4"/>
  <c r="O153" i="4"/>
  <c r="J153" i="4"/>
  <c r="H153" i="4"/>
  <c r="I153" i="4" s="1"/>
  <c r="G153" i="4"/>
  <c r="F153" i="4"/>
  <c r="O152" i="4"/>
  <c r="J152" i="4"/>
  <c r="H152" i="4"/>
  <c r="I152" i="4" s="1"/>
  <c r="G152" i="4"/>
  <c r="F152" i="4"/>
  <c r="O151" i="4"/>
  <c r="J151" i="4"/>
  <c r="H151" i="4"/>
  <c r="I151" i="4" s="1"/>
  <c r="G151" i="4"/>
  <c r="F151" i="4"/>
  <c r="O150" i="4"/>
  <c r="J150" i="4"/>
  <c r="H150" i="4"/>
  <c r="I150" i="4" s="1"/>
  <c r="G150" i="4"/>
  <c r="F150" i="4"/>
  <c r="O149" i="4"/>
  <c r="J149" i="4"/>
  <c r="H149" i="4"/>
  <c r="I149" i="4" s="1"/>
  <c r="G149" i="4"/>
  <c r="F149" i="4"/>
  <c r="O148" i="4"/>
  <c r="J148" i="4"/>
  <c r="H148" i="4"/>
  <c r="I148" i="4" s="1"/>
  <c r="G148" i="4"/>
  <c r="F148" i="4"/>
  <c r="O147" i="4"/>
  <c r="J147" i="4"/>
  <c r="H147" i="4"/>
  <c r="I147" i="4" s="1"/>
  <c r="G147" i="4"/>
  <c r="F147" i="4"/>
  <c r="O146" i="4"/>
  <c r="J146" i="4"/>
  <c r="H146" i="4"/>
  <c r="I146" i="4" s="1"/>
  <c r="G146" i="4"/>
  <c r="F146" i="4"/>
  <c r="O145" i="4"/>
  <c r="J145" i="4"/>
  <c r="H145" i="4"/>
  <c r="I145" i="4" s="1"/>
  <c r="G145" i="4"/>
  <c r="F145" i="4"/>
  <c r="O144" i="4"/>
  <c r="J144" i="4"/>
  <c r="H144" i="4"/>
  <c r="I144" i="4" s="1"/>
  <c r="G144" i="4"/>
  <c r="F144" i="4"/>
  <c r="O143" i="4"/>
  <c r="J143" i="4"/>
  <c r="H143" i="4"/>
  <c r="I143" i="4" s="1"/>
  <c r="G143" i="4"/>
  <c r="F143" i="4"/>
  <c r="O142" i="4"/>
  <c r="J142" i="4"/>
  <c r="H142" i="4"/>
  <c r="I142" i="4" s="1"/>
  <c r="G142" i="4"/>
  <c r="F142" i="4"/>
  <c r="O141" i="4"/>
  <c r="J141" i="4"/>
  <c r="H141" i="4"/>
  <c r="I141" i="4" s="1"/>
  <c r="G141" i="4"/>
  <c r="F141" i="4"/>
  <c r="O140" i="4"/>
  <c r="J140" i="4"/>
  <c r="H140" i="4"/>
  <c r="I140" i="4" s="1"/>
  <c r="G140" i="4"/>
  <c r="F140" i="4"/>
  <c r="O139" i="4"/>
  <c r="J139" i="4"/>
  <c r="H139" i="4"/>
  <c r="I139" i="4" s="1"/>
  <c r="G139" i="4"/>
  <c r="F139" i="4"/>
  <c r="O138" i="4"/>
  <c r="J138" i="4"/>
  <c r="H138" i="4"/>
  <c r="I138" i="4" s="1"/>
  <c r="G138" i="4"/>
  <c r="F138" i="4"/>
  <c r="O137" i="4"/>
  <c r="J137" i="4"/>
  <c r="H137" i="4"/>
  <c r="I137" i="4" s="1"/>
  <c r="G137" i="4"/>
  <c r="F137" i="4"/>
  <c r="O136" i="4"/>
  <c r="J136" i="4"/>
  <c r="H136" i="4"/>
  <c r="I136" i="4" s="1"/>
  <c r="G136" i="4"/>
  <c r="F136" i="4"/>
  <c r="O135" i="4"/>
  <c r="J135" i="4"/>
  <c r="H135" i="4"/>
  <c r="I135" i="4" s="1"/>
  <c r="G135" i="4"/>
  <c r="F135" i="4"/>
  <c r="O134" i="4"/>
  <c r="J134" i="4"/>
  <c r="H134" i="4"/>
  <c r="I134" i="4" s="1"/>
  <c r="G134" i="4"/>
  <c r="F134" i="4"/>
  <c r="O133" i="4"/>
  <c r="J133" i="4"/>
  <c r="H133" i="4"/>
  <c r="I133" i="4" s="1"/>
  <c r="G133" i="4"/>
  <c r="F133" i="4"/>
  <c r="O132" i="4"/>
  <c r="J132" i="4"/>
  <c r="H132" i="4"/>
  <c r="I132" i="4" s="1"/>
  <c r="G132" i="4"/>
  <c r="F132" i="4"/>
  <c r="O131" i="4"/>
  <c r="J131" i="4"/>
  <c r="H131" i="4"/>
  <c r="I131" i="4" s="1"/>
  <c r="G131" i="4"/>
  <c r="F131" i="4"/>
  <c r="O130" i="4"/>
  <c r="J130" i="4"/>
  <c r="H130" i="4"/>
  <c r="I130" i="4" s="1"/>
  <c r="G130" i="4"/>
  <c r="F130" i="4"/>
  <c r="O129" i="4"/>
  <c r="J129" i="4"/>
  <c r="H129" i="4"/>
  <c r="I129" i="4" s="1"/>
  <c r="G129" i="4"/>
  <c r="F129" i="4"/>
  <c r="O128" i="4"/>
  <c r="J128" i="4"/>
  <c r="H128" i="4"/>
  <c r="I128" i="4" s="1"/>
  <c r="G128" i="4"/>
  <c r="F128" i="4"/>
  <c r="O127" i="4"/>
  <c r="J127" i="4"/>
  <c r="H127" i="4"/>
  <c r="I127" i="4" s="1"/>
  <c r="G127" i="4"/>
  <c r="F127" i="4"/>
  <c r="O126" i="4"/>
  <c r="J126" i="4"/>
  <c r="H126" i="4"/>
  <c r="I126" i="4" s="1"/>
  <c r="G126" i="4"/>
  <c r="F126" i="4"/>
  <c r="O125" i="4"/>
  <c r="J125" i="4"/>
  <c r="H125" i="4"/>
  <c r="I125" i="4" s="1"/>
  <c r="G125" i="4"/>
  <c r="F125" i="4"/>
  <c r="O124" i="4"/>
  <c r="J124" i="4"/>
  <c r="H124" i="4"/>
  <c r="I124" i="4" s="1"/>
  <c r="G124" i="4"/>
  <c r="F124" i="4"/>
  <c r="O123" i="4"/>
  <c r="J123" i="4"/>
  <c r="H123" i="4"/>
  <c r="I123" i="4" s="1"/>
  <c r="G123" i="4"/>
  <c r="F123" i="4"/>
  <c r="O122" i="4"/>
  <c r="J122" i="4"/>
  <c r="H122" i="4"/>
  <c r="I122" i="4" s="1"/>
  <c r="G122" i="4"/>
  <c r="F122" i="4"/>
  <c r="O121" i="4"/>
  <c r="J121" i="4"/>
  <c r="H121" i="4"/>
  <c r="I121" i="4" s="1"/>
  <c r="G121" i="4"/>
  <c r="F121" i="4"/>
  <c r="O120" i="4"/>
  <c r="J120" i="4"/>
  <c r="H120" i="4"/>
  <c r="I120" i="4" s="1"/>
  <c r="G120" i="4"/>
  <c r="F120" i="4"/>
  <c r="O119" i="4"/>
  <c r="J119" i="4"/>
  <c r="H119" i="4"/>
  <c r="I119" i="4" s="1"/>
  <c r="G119" i="4"/>
  <c r="F119" i="4"/>
  <c r="O118" i="4"/>
  <c r="J118" i="4"/>
  <c r="H118" i="4"/>
  <c r="I118" i="4" s="1"/>
  <c r="G118" i="4"/>
  <c r="F118" i="4"/>
  <c r="O117" i="4"/>
  <c r="J117" i="4"/>
  <c r="H117" i="4"/>
  <c r="I117" i="4" s="1"/>
  <c r="G117" i="4"/>
  <c r="F117" i="4"/>
  <c r="O116" i="4"/>
  <c r="J116" i="4"/>
  <c r="H116" i="4"/>
  <c r="I116" i="4" s="1"/>
  <c r="G116" i="4"/>
  <c r="F116" i="4"/>
  <c r="O115" i="4"/>
  <c r="J115" i="4"/>
  <c r="H115" i="4"/>
  <c r="I115" i="4" s="1"/>
  <c r="G115" i="4"/>
  <c r="F115" i="4"/>
  <c r="O114" i="4"/>
  <c r="J114" i="4"/>
  <c r="H114" i="4"/>
  <c r="I114" i="4" s="1"/>
  <c r="G114" i="4"/>
  <c r="F114" i="4"/>
  <c r="O113" i="4"/>
  <c r="J113" i="4"/>
  <c r="H113" i="4"/>
  <c r="I113" i="4" s="1"/>
  <c r="G113" i="4"/>
  <c r="F113" i="4"/>
  <c r="O112" i="4"/>
  <c r="J112" i="4"/>
  <c r="H112" i="4"/>
  <c r="I112" i="4" s="1"/>
  <c r="G112" i="4"/>
  <c r="F112" i="4"/>
  <c r="O111" i="4"/>
  <c r="J111" i="4"/>
  <c r="H111" i="4"/>
  <c r="I111" i="4" s="1"/>
  <c r="G111" i="4"/>
  <c r="F111" i="4"/>
  <c r="O110" i="4"/>
  <c r="J110" i="4"/>
  <c r="H110" i="4"/>
  <c r="I110" i="4" s="1"/>
  <c r="G110" i="4"/>
  <c r="F110" i="4"/>
  <c r="O109" i="4"/>
  <c r="J109" i="4"/>
  <c r="H109" i="4"/>
  <c r="I109" i="4" s="1"/>
  <c r="G109" i="4"/>
  <c r="F109" i="4"/>
  <c r="O108" i="4"/>
  <c r="J108" i="4"/>
  <c r="H108" i="4"/>
  <c r="I108" i="4" s="1"/>
  <c r="G108" i="4"/>
  <c r="F108" i="4"/>
  <c r="O107" i="4"/>
  <c r="J107" i="4"/>
  <c r="H107" i="4"/>
  <c r="I107" i="4" s="1"/>
  <c r="G107" i="4"/>
  <c r="F107" i="4"/>
  <c r="O106" i="4"/>
  <c r="J106" i="4"/>
  <c r="H106" i="4"/>
  <c r="I106" i="4" s="1"/>
  <c r="G106" i="4"/>
  <c r="F106" i="4"/>
  <c r="O105" i="4"/>
  <c r="J105" i="4"/>
  <c r="H105" i="4"/>
  <c r="I105" i="4" s="1"/>
  <c r="G105" i="4"/>
  <c r="F105" i="4"/>
  <c r="O104" i="4"/>
  <c r="J104" i="4"/>
  <c r="H104" i="4"/>
  <c r="I104" i="4" s="1"/>
  <c r="G104" i="4"/>
  <c r="F104" i="4"/>
  <c r="O103" i="4"/>
  <c r="J103" i="4"/>
  <c r="H103" i="4"/>
  <c r="I103" i="4" s="1"/>
  <c r="G103" i="4"/>
  <c r="F103" i="4"/>
  <c r="O102" i="4"/>
  <c r="J102" i="4"/>
  <c r="H102" i="4"/>
  <c r="I102" i="4" s="1"/>
  <c r="G102" i="4"/>
  <c r="F102" i="4"/>
  <c r="O101" i="4"/>
  <c r="J101" i="4"/>
  <c r="H101" i="4"/>
  <c r="I101" i="4" s="1"/>
  <c r="G101" i="4"/>
  <c r="F101" i="4"/>
  <c r="O100" i="4"/>
  <c r="J100" i="4"/>
  <c r="H100" i="4"/>
  <c r="I100" i="4" s="1"/>
  <c r="G100" i="4"/>
  <c r="F100" i="4"/>
  <c r="O99" i="4"/>
  <c r="J99" i="4"/>
  <c r="H99" i="4"/>
  <c r="I99" i="4" s="1"/>
  <c r="G99" i="4"/>
  <c r="F99" i="4"/>
  <c r="O98" i="4"/>
  <c r="J98" i="4"/>
  <c r="H98" i="4"/>
  <c r="I98" i="4" s="1"/>
  <c r="G98" i="4"/>
  <c r="F98" i="4"/>
  <c r="O97" i="4"/>
  <c r="J97" i="4"/>
  <c r="H97" i="4"/>
  <c r="I97" i="4" s="1"/>
  <c r="G97" i="4"/>
  <c r="F97" i="4"/>
  <c r="O96" i="4"/>
  <c r="J96" i="4"/>
  <c r="H96" i="4"/>
  <c r="I96" i="4" s="1"/>
  <c r="G96" i="4"/>
  <c r="F96" i="4"/>
  <c r="O95" i="4"/>
  <c r="J95" i="4"/>
  <c r="H95" i="4"/>
  <c r="I95" i="4" s="1"/>
  <c r="G95" i="4"/>
  <c r="F95" i="4"/>
  <c r="O94" i="4"/>
  <c r="J94" i="4"/>
  <c r="H94" i="4"/>
  <c r="I94" i="4" s="1"/>
  <c r="G94" i="4"/>
  <c r="F94" i="4"/>
  <c r="O93" i="4"/>
  <c r="J93" i="4"/>
  <c r="H93" i="4"/>
  <c r="I93" i="4" s="1"/>
  <c r="G93" i="4"/>
  <c r="F93" i="4"/>
  <c r="O92" i="4"/>
  <c r="J92" i="4"/>
  <c r="H92" i="4"/>
  <c r="I92" i="4" s="1"/>
  <c r="G92" i="4"/>
  <c r="F92" i="4"/>
  <c r="O91" i="4"/>
  <c r="J91" i="4"/>
  <c r="H91" i="4"/>
  <c r="I91" i="4" s="1"/>
  <c r="G91" i="4"/>
  <c r="F91" i="4"/>
  <c r="O90" i="4"/>
  <c r="J90" i="4"/>
  <c r="H90" i="4"/>
  <c r="I90" i="4" s="1"/>
  <c r="G90" i="4"/>
  <c r="F90" i="4"/>
  <c r="O89" i="4"/>
  <c r="J89" i="4"/>
  <c r="H89" i="4"/>
  <c r="I89" i="4" s="1"/>
  <c r="G89" i="4"/>
  <c r="F89" i="4"/>
  <c r="O88" i="4"/>
  <c r="J88" i="4"/>
  <c r="H88" i="4"/>
  <c r="I88" i="4" s="1"/>
  <c r="G88" i="4"/>
  <c r="F88" i="4"/>
  <c r="O87" i="4"/>
  <c r="J87" i="4"/>
  <c r="H87" i="4"/>
  <c r="I87" i="4" s="1"/>
  <c r="G87" i="4"/>
  <c r="F87" i="4"/>
  <c r="O86" i="4"/>
  <c r="J86" i="4"/>
  <c r="H86" i="4"/>
  <c r="I86" i="4" s="1"/>
  <c r="G86" i="4"/>
  <c r="F86" i="4"/>
  <c r="O85" i="4"/>
  <c r="J85" i="4"/>
  <c r="H85" i="4"/>
  <c r="I85" i="4" s="1"/>
  <c r="G85" i="4"/>
  <c r="F85" i="4"/>
  <c r="O84" i="4"/>
  <c r="J84" i="4"/>
  <c r="H84" i="4"/>
  <c r="I84" i="4" s="1"/>
  <c r="G84" i="4"/>
  <c r="F84" i="4"/>
  <c r="O83" i="4"/>
  <c r="J83" i="4"/>
  <c r="H83" i="4"/>
  <c r="I83" i="4" s="1"/>
  <c r="G83" i="4"/>
  <c r="F83" i="4"/>
  <c r="O82" i="4"/>
  <c r="J82" i="4"/>
  <c r="H82" i="4"/>
  <c r="I82" i="4" s="1"/>
  <c r="G82" i="4"/>
  <c r="F82" i="4"/>
  <c r="O81" i="4"/>
  <c r="J81" i="4"/>
  <c r="H81" i="4"/>
  <c r="I81" i="4" s="1"/>
  <c r="G81" i="4"/>
  <c r="F81" i="4"/>
  <c r="O80" i="4"/>
  <c r="J80" i="4"/>
  <c r="H80" i="4"/>
  <c r="I80" i="4" s="1"/>
  <c r="G80" i="4"/>
  <c r="F80" i="4"/>
  <c r="O79" i="4"/>
  <c r="J79" i="4"/>
  <c r="H79" i="4"/>
  <c r="I79" i="4" s="1"/>
  <c r="G79" i="4"/>
  <c r="F79" i="4"/>
  <c r="O78" i="4"/>
  <c r="J78" i="4"/>
  <c r="H78" i="4"/>
  <c r="I78" i="4" s="1"/>
  <c r="G78" i="4"/>
  <c r="F78" i="4"/>
  <c r="O77" i="4"/>
  <c r="J77" i="4"/>
  <c r="H77" i="4"/>
  <c r="I77" i="4" s="1"/>
  <c r="G77" i="4"/>
  <c r="F77" i="4"/>
  <c r="O76" i="4"/>
  <c r="J76" i="4"/>
  <c r="H76" i="4"/>
  <c r="I76" i="4" s="1"/>
  <c r="G76" i="4"/>
  <c r="F76" i="4"/>
  <c r="O75" i="4"/>
  <c r="J75" i="4"/>
  <c r="H75" i="4"/>
  <c r="I75" i="4" s="1"/>
  <c r="G75" i="4"/>
  <c r="F75" i="4"/>
  <c r="O74" i="4"/>
  <c r="J74" i="4"/>
  <c r="H74" i="4"/>
  <c r="I74" i="4" s="1"/>
  <c r="G74" i="4"/>
  <c r="F74" i="4"/>
  <c r="O73" i="4"/>
  <c r="J73" i="4"/>
  <c r="H73" i="4"/>
  <c r="I73" i="4" s="1"/>
  <c r="G73" i="4"/>
  <c r="F73" i="4"/>
  <c r="O72" i="4"/>
  <c r="J72" i="4"/>
  <c r="H72" i="4"/>
  <c r="I72" i="4" s="1"/>
  <c r="G72" i="4"/>
  <c r="F72" i="4"/>
  <c r="O71" i="4"/>
  <c r="J71" i="4"/>
  <c r="H71" i="4"/>
  <c r="I71" i="4" s="1"/>
  <c r="G71" i="4"/>
  <c r="F71" i="4"/>
  <c r="O70" i="4"/>
  <c r="J70" i="4"/>
  <c r="H70" i="4"/>
  <c r="I70" i="4" s="1"/>
  <c r="G70" i="4"/>
  <c r="F70" i="4"/>
  <c r="O69" i="4"/>
  <c r="J69" i="4"/>
  <c r="H69" i="4"/>
  <c r="I69" i="4" s="1"/>
  <c r="G69" i="4"/>
  <c r="F69" i="4"/>
  <c r="O68" i="4"/>
  <c r="J68" i="4"/>
  <c r="H68" i="4"/>
  <c r="I68" i="4" s="1"/>
  <c r="G68" i="4"/>
  <c r="F68" i="4"/>
  <c r="O67" i="4"/>
  <c r="J67" i="4"/>
  <c r="H67" i="4"/>
  <c r="I67" i="4" s="1"/>
  <c r="G67" i="4"/>
  <c r="F67" i="4"/>
  <c r="O66" i="4"/>
  <c r="J66" i="4"/>
  <c r="H66" i="4"/>
  <c r="I66" i="4" s="1"/>
  <c r="G66" i="4"/>
  <c r="F66" i="4"/>
  <c r="O65" i="4"/>
  <c r="J65" i="4"/>
  <c r="H65" i="4"/>
  <c r="I65" i="4" s="1"/>
  <c r="G65" i="4"/>
  <c r="F65" i="4"/>
  <c r="O64" i="4"/>
  <c r="J64" i="4"/>
  <c r="H64" i="4"/>
  <c r="I64" i="4" s="1"/>
  <c r="G64" i="4"/>
  <c r="F64" i="4"/>
  <c r="O63" i="4"/>
  <c r="J63" i="4"/>
  <c r="H63" i="4"/>
  <c r="I63" i="4" s="1"/>
  <c r="G63" i="4"/>
  <c r="F63" i="4"/>
  <c r="O62" i="4"/>
  <c r="J62" i="4"/>
  <c r="H62" i="4"/>
  <c r="I62" i="4" s="1"/>
  <c r="G62" i="4"/>
  <c r="F62" i="4"/>
  <c r="O61" i="4"/>
  <c r="J61" i="4"/>
  <c r="H61" i="4"/>
  <c r="I61" i="4" s="1"/>
  <c r="G61" i="4"/>
  <c r="F61" i="4"/>
  <c r="O60" i="4"/>
  <c r="J60" i="4"/>
  <c r="H60" i="4"/>
  <c r="I60" i="4" s="1"/>
  <c r="G60" i="4"/>
  <c r="F60" i="4"/>
  <c r="O59" i="4"/>
  <c r="J59" i="4"/>
  <c r="H59" i="4"/>
  <c r="I59" i="4" s="1"/>
  <c r="G59" i="4"/>
  <c r="F59" i="4"/>
  <c r="O58" i="4"/>
  <c r="J58" i="4"/>
  <c r="H58" i="4"/>
  <c r="I58" i="4" s="1"/>
  <c r="G58" i="4"/>
  <c r="F58" i="4"/>
  <c r="O57" i="4"/>
  <c r="J57" i="4"/>
  <c r="H57" i="4"/>
  <c r="I57" i="4" s="1"/>
  <c r="G57" i="4"/>
  <c r="F57" i="4"/>
  <c r="O56" i="4"/>
  <c r="J56" i="4"/>
  <c r="H56" i="4"/>
  <c r="I56" i="4" s="1"/>
  <c r="G56" i="4"/>
  <c r="F56" i="4"/>
  <c r="O55" i="4"/>
  <c r="J55" i="4"/>
  <c r="H55" i="4"/>
  <c r="I55" i="4" s="1"/>
  <c r="G55" i="4"/>
  <c r="F55" i="4"/>
  <c r="O54" i="4"/>
  <c r="J54" i="4"/>
  <c r="H54" i="4"/>
  <c r="I54" i="4" s="1"/>
  <c r="G54" i="4"/>
  <c r="F54" i="4"/>
  <c r="O53" i="4"/>
  <c r="J53" i="4"/>
  <c r="H53" i="4"/>
  <c r="I53" i="4" s="1"/>
  <c r="G53" i="4"/>
  <c r="F53" i="4"/>
  <c r="O52" i="4"/>
  <c r="J52" i="4"/>
  <c r="H52" i="4"/>
  <c r="I52" i="4" s="1"/>
  <c r="G52" i="4"/>
  <c r="F52" i="4"/>
  <c r="O51" i="4"/>
  <c r="J51" i="4"/>
  <c r="H51" i="4"/>
  <c r="I51" i="4" s="1"/>
  <c r="G51" i="4"/>
  <c r="F51" i="4"/>
  <c r="O50" i="4"/>
  <c r="J50" i="4"/>
  <c r="H50" i="4"/>
  <c r="I50" i="4" s="1"/>
  <c r="G50" i="4"/>
  <c r="F50" i="4"/>
  <c r="O49" i="4"/>
  <c r="J49" i="4"/>
  <c r="H49" i="4"/>
  <c r="I49" i="4" s="1"/>
  <c r="G49" i="4"/>
  <c r="F49" i="4"/>
  <c r="O48" i="4"/>
  <c r="J48" i="4"/>
  <c r="H48" i="4"/>
  <c r="I48" i="4" s="1"/>
  <c r="G48" i="4"/>
  <c r="F48" i="4"/>
  <c r="O47" i="4"/>
  <c r="J47" i="4"/>
  <c r="H47" i="4"/>
  <c r="I47" i="4" s="1"/>
  <c r="G47" i="4"/>
  <c r="F47" i="4"/>
  <c r="O46" i="4"/>
  <c r="J46" i="4"/>
  <c r="H46" i="4"/>
  <c r="I46" i="4" s="1"/>
  <c r="G46" i="4"/>
  <c r="F46" i="4"/>
  <c r="O45" i="4"/>
  <c r="J45" i="4"/>
  <c r="H45" i="4"/>
  <c r="I45" i="4" s="1"/>
  <c r="G45" i="4"/>
  <c r="F45" i="4"/>
  <c r="O44" i="4"/>
  <c r="J44" i="4"/>
  <c r="H44" i="4"/>
  <c r="I44" i="4" s="1"/>
  <c r="G44" i="4"/>
  <c r="F44" i="4"/>
  <c r="O43" i="4"/>
  <c r="J43" i="4"/>
  <c r="H43" i="4"/>
  <c r="I43" i="4" s="1"/>
  <c r="G43" i="4"/>
  <c r="F43" i="4"/>
  <c r="O42" i="4"/>
  <c r="J42" i="4"/>
  <c r="H42" i="4"/>
  <c r="I42" i="4" s="1"/>
  <c r="G42" i="4"/>
  <c r="F42" i="4"/>
  <c r="O41" i="4"/>
  <c r="J41" i="4"/>
  <c r="H41" i="4"/>
  <c r="I41" i="4" s="1"/>
  <c r="G41" i="4"/>
  <c r="F41" i="4"/>
  <c r="O40" i="4"/>
  <c r="J40" i="4"/>
  <c r="H40" i="4"/>
  <c r="I40" i="4" s="1"/>
  <c r="G40" i="4"/>
  <c r="F40" i="4"/>
  <c r="O39" i="4"/>
  <c r="J39" i="4"/>
  <c r="H39" i="4"/>
  <c r="I39" i="4" s="1"/>
  <c r="G39" i="4"/>
  <c r="F39" i="4"/>
  <c r="O38" i="4"/>
  <c r="J38" i="4"/>
  <c r="H38" i="4"/>
  <c r="I38" i="4" s="1"/>
  <c r="G38" i="4"/>
  <c r="F38" i="4"/>
  <c r="O37" i="4"/>
  <c r="J37" i="4"/>
  <c r="H37" i="4"/>
  <c r="I37" i="4" s="1"/>
  <c r="G37" i="4"/>
  <c r="F37" i="4"/>
  <c r="O36" i="4"/>
  <c r="J36" i="4"/>
  <c r="H36" i="4"/>
  <c r="I36" i="4" s="1"/>
  <c r="G36" i="4"/>
  <c r="F36" i="4"/>
  <c r="O35" i="4"/>
  <c r="J35" i="4"/>
  <c r="H35" i="4"/>
  <c r="I35" i="4" s="1"/>
  <c r="G35" i="4"/>
  <c r="F35" i="4"/>
  <c r="O34" i="4"/>
  <c r="J34" i="4"/>
  <c r="H34" i="4"/>
  <c r="I34" i="4" s="1"/>
  <c r="G34" i="4"/>
  <c r="F34" i="4"/>
  <c r="O33" i="4"/>
  <c r="J33" i="4"/>
  <c r="H33" i="4"/>
  <c r="I33" i="4" s="1"/>
  <c r="G33" i="4"/>
  <c r="F33" i="4"/>
  <c r="O32" i="4"/>
  <c r="J32" i="4"/>
  <c r="H32" i="4"/>
  <c r="I32" i="4" s="1"/>
  <c r="G32" i="4"/>
  <c r="F32" i="4"/>
  <c r="O31" i="4"/>
  <c r="J31" i="4"/>
  <c r="H31" i="4"/>
  <c r="I31" i="4" s="1"/>
  <c r="G31" i="4"/>
  <c r="F31" i="4"/>
  <c r="O30" i="4"/>
  <c r="J30" i="4"/>
  <c r="H30" i="4"/>
  <c r="I30" i="4" s="1"/>
  <c r="G30" i="4"/>
  <c r="F30" i="4"/>
  <c r="O29" i="4"/>
  <c r="J29" i="4"/>
  <c r="H29" i="4"/>
  <c r="I29" i="4" s="1"/>
  <c r="G29" i="4"/>
  <c r="F29" i="4"/>
  <c r="O28" i="4"/>
  <c r="J28" i="4"/>
  <c r="H28" i="4"/>
  <c r="I28" i="4" s="1"/>
  <c r="G28" i="4"/>
  <c r="F28" i="4"/>
  <c r="O27" i="4"/>
  <c r="J27" i="4"/>
  <c r="H27" i="4"/>
  <c r="I27" i="4" s="1"/>
  <c r="G27" i="4"/>
  <c r="F27" i="4"/>
  <c r="O26" i="4"/>
  <c r="J26" i="4"/>
  <c r="H26" i="4"/>
  <c r="I26" i="4" s="1"/>
  <c r="G26" i="4"/>
  <c r="F26" i="4"/>
  <c r="O25" i="4"/>
  <c r="J25" i="4"/>
  <c r="H25" i="4"/>
  <c r="I25" i="4" s="1"/>
  <c r="G25" i="4"/>
  <c r="F25" i="4"/>
  <c r="O24" i="4"/>
  <c r="J24" i="4"/>
  <c r="H24" i="4"/>
  <c r="I24" i="4" s="1"/>
  <c r="G24" i="4"/>
  <c r="F24" i="4"/>
  <c r="O23" i="4"/>
  <c r="J23" i="4"/>
  <c r="H23" i="4"/>
  <c r="I23" i="4" s="1"/>
  <c r="G23" i="4"/>
  <c r="F23" i="4"/>
  <c r="O22" i="4"/>
  <c r="J22" i="4"/>
  <c r="H22" i="4"/>
  <c r="I22" i="4" s="1"/>
  <c r="G22" i="4"/>
  <c r="F22" i="4"/>
  <c r="O21" i="4"/>
  <c r="J21" i="4"/>
  <c r="H21" i="4"/>
  <c r="I21" i="4" s="1"/>
  <c r="G21" i="4"/>
  <c r="F21" i="4"/>
  <c r="O20" i="4"/>
  <c r="J20" i="4"/>
  <c r="H20" i="4"/>
  <c r="I20" i="4" s="1"/>
  <c r="G20" i="4"/>
  <c r="F20" i="4"/>
  <c r="O19" i="4"/>
  <c r="J19" i="4"/>
  <c r="H19" i="4"/>
  <c r="I19" i="4" s="1"/>
  <c r="G19" i="4"/>
  <c r="F19" i="4"/>
  <c r="O18" i="4"/>
  <c r="J18" i="4"/>
  <c r="H18" i="4"/>
  <c r="I18" i="4" s="1"/>
  <c r="G18" i="4"/>
  <c r="F18" i="4"/>
  <c r="O17" i="4"/>
  <c r="J17" i="4"/>
  <c r="H17" i="4"/>
  <c r="I17" i="4" s="1"/>
  <c r="G17" i="4"/>
  <c r="F17" i="4"/>
  <c r="O16" i="4"/>
  <c r="J16" i="4"/>
  <c r="H16" i="4"/>
  <c r="I16" i="4" s="1"/>
  <c r="G16" i="4"/>
  <c r="F16" i="4"/>
  <c r="O15" i="4"/>
  <c r="J15" i="4"/>
  <c r="H15" i="4"/>
  <c r="I15" i="4" s="1"/>
  <c r="G15" i="4"/>
  <c r="F15" i="4"/>
  <c r="O14" i="4"/>
  <c r="J14" i="4"/>
  <c r="H14" i="4"/>
  <c r="I14" i="4" s="1"/>
  <c r="G14" i="4"/>
  <c r="F14" i="4"/>
  <c r="O13" i="4"/>
  <c r="J13" i="4"/>
  <c r="H13" i="4"/>
  <c r="I13" i="4" s="1"/>
  <c r="G13" i="4"/>
  <c r="F13" i="4"/>
  <c r="O12" i="4"/>
  <c r="J12" i="4"/>
  <c r="H12" i="4"/>
  <c r="I12" i="4" s="1"/>
  <c r="G12" i="4"/>
  <c r="F12" i="4"/>
  <c r="O11" i="4"/>
  <c r="J11" i="4"/>
  <c r="H11" i="4"/>
  <c r="I11" i="4" s="1"/>
  <c r="G11" i="4"/>
  <c r="F11" i="4"/>
  <c r="O10" i="4"/>
  <c r="J10" i="4"/>
  <c r="H10" i="4"/>
  <c r="I10" i="4" s="1"/>
  <c r="G10" i="4"/>
  <c r="F10" i="4"/>
  <c r="O9" i="4"/>
  <c r="J9" i="4"/>
  <c r="H9" i="4"/>
  <c r="I9" i="4" s="1"/>
  <c r="G9" i="4"/>
  <c r="F9" i="4"/>
  <c r="M31" i="4"/>
  <c r="M184" i="4"/>
  <c r="M6" i="4"/>
  <c r="M150" i="4"/>
  <c r="M30" i="4"/>
  <c r="M70" i="4"/>
  <c r="M196" i="4"/>
  <c r="M185" i="4"/>
  <c r="M15" i="4"/>
  <c r="M104" i="4"/>
  <c r="M93" i="4"/>
  <c r="M174" i="4"/>
  <c r="M34" i="4"/>
  <c r="M179" i="4"/>
  <c r="M117" i="4"/>
  <c r="M166" i="4"/>
  <c r="M90" i="4"/>
  <c r="M46" i="4"/>
  <c r="M120" i="4"/>
  <c r="M170" i="4"/>
  <c r="M57" i="4"/>
  <c r="M44" i="4"/>
  <c r="M54" i="4"/>
  <c r="M9" i="4"/>
  <c r="M29" i="4"/>
  <c r="M119" i="4"/>
  <c r="M109" i="4"/>
  <c r="M178" i="4"/>
  <c r="M19" i="4"/>
  <c r="M176" i="4"/>
  <c r="M28" i="4"/>
  <c r="M177" i="4"/>
  <c r="M49" i="4"/>
  <c r="M7" i="4"/>
  <c r="M126" i="4"/>
  <c r="M114" i="4"/>
  <c r="M105" i="4"/>
  <c r="M77" i="4"/>
  <c r="M65" i="4"/>
  <c r="M3" i="4"/>
  <c r="M103" i="4"/>
  <c r="M129" i="4"/>
  <c r="M167" i="4"/>
  <c r="M118" i="4"/>
  <c r="M145" i="4"/>
  <c r="M198" i="4"/>
  <c r="M137" i="4"/>
  <c r="M26" i="4"/>
  <c r="M82" i="4"/>
  <c r="M16" i="4"/>
  <c r="M52" i="4"/>
  <c r="M169" i="4"/>
  <c r="M86" i="4"/>
  <c r="M142" i="4"/>
  <c r="M10" i="4"/>
  <c r="M60" i="4"/>
  <c r="M112" i="4"/>
  <c r="M101" i="4"/>
  <c r="M192" i="4"/>
  <c r="M47" i="4"/>
  <c r="M140" i="4"/>
  <c r="M191" i="4"/>
  <c r="M38" i="4"/>
  <c r="M36" i="4"/>
  <c r="M153" i="4"/>
  <c r="M94" i="4"/>
  <c r="M141" i="4"/>
  <c r="M107" i="4"/>
  <c r="M152" i="4"/>
  <c r="M134" i="4"/>
  <c r="M173" i="4"/>
  <c r="M21" i="4"/>
  <c r="M88" i="4"/>
  <c r="M39" i="4"/>
  <c r="M156" i="4"/>
  <c r="M189" i="4"/>
  <c r="M128" i="4"/>
  <c r="M132" i="4"/>
  <c r="M13" i="4"/>
  <c r="M155" i="4"/>
  <c r="M182" i="4"/>
  <c r="M108" i="4"/>
  <c r="M66" i="4"/>
  <c r="M41" i="4"/>
  <c r="M149" i="4"/>
  <c r="M11" i="4"/>
  <c r="M32" i="4"/>
  <c r="M4" i="4"/>
  <c r="M180" i="4"/>
  <c r="M160" i="4"/>
  <c r="M106" i="4"/>
  <c r="M158" i="4"/>
  <c r="M91" i="4"/>
  <c r="M188" i="4"/>
  <c r="M131" i="4"/>
  <c r="M123" i="4"/>
  <c r="M87" i="4"/>
  <c r="M133" i="4"/>
  <c r="M83" i="4"/>
  <c r="M35" i="4"/>
  <c r="M17" i="4"/>
  <c r="M72" i="4"/>
  <c r="M181" i="4"/>
  <c r="M23" i="4"/>
  <c r="M37" i="4"/>
  <c r="M63" i="4"/>
  <c r="M111" i="4"/>
  <c r="M12" i="4"/>
  <c r="M154" i="4"/>
  <c r="M68" i="4"/>
  <c r="M25" i="4"/>
  <c r="M40" i="4"/>
  <c r="M22" i="4"/>
  <c r="M92" i="4"/>
  <c r="M24" i="4"/>
  <c r="M102" i="4"/>
  <c r="M116" i="4"/>
  <c r="M165" i="4"/>
  <c r="M115" i="4"/>
  <c r="M157" i="4"/>
  <c r="M73" i="4"/>
  <c r="M148" i="4"/>
  <c r="M161" i="4"/>
  <c r="M80" i="4"/>
  <c r="M78" i="4"/>
  <c r="M100" i="4"/>
  <c r="M96" i="4"/>
  <c r="M76" i="4"/>
  <c r="M171" i="4"/>
  <c r="M138" i="4"/>
  <c r="M159" i="4"/>
  <c r="M151" i="4"/>
  <c r="M194" i="4"/>
  <c r="M8" i="4"/>
  <c r="M127" i="4"/>
  <c r="M45" i="4"/>
  <c r="M5" i="4"/>
  <c r="M121" i="4"/>
  <c r="M67" i="4"/>
  <c r="M146" i="4"/>
  <c r="M187" i="4"/>
  <c r="M163" i="4"/>
  <c r="M135" i="4"/>
  <c r="M99" i="4"/>
  <c r="M74" i="4"/>
  <c r="M125" i="4"/>
  <c r="M42" i="4"/>
  <c r="M139" i="4"/>
  <c r="M56" i="4"/>
  <c r="M95" i="4"/>
  <c r="M175" i="4"/>
  <c r="M113" i="4"/>
  <c r="M183" i="4"/>
  <c r="M144" i="4"/>
  <c r="M61" i="4"/>
  <c r="M197" i="4"/>
  <c r="M48" i="4"/>
  <c r="M130" i="4"/>
  <c r="M193" i="4"/>
  <c r="M81" i="4"/>
  <c r="M62" i="4"/>
  <c r="M147" i="4"/>
  <c r="M97" i="4"/>
  <c r="M55" i="4"/>
  <c r="M53" i="4"/>
  <c r="M190" i="4"/>
  <c r="M75" i="4"/>
  <c r="M43" i="4"/>
  <c r="M89" i="4"/>
  <c r="M20" i="4"/>
  <c r="M27" i="4"/>
  <c r="M186" i="4"/>
  <c r="M85" i="4"/>
  <c r="M162" i="4"/>
  <c r="M50" i="4"/>
  <c r="M110" i="4"/>
  <c r="M195" i="4"/>
  <c r="M58" i="4"/>
  <c r="M136" i="4"/>
  <c r="M164" i="4"/>
  <c r="M98" i="4"/>
  <c r="M71" i="4"/>
  <c r="M168" i="4"/>
  <c r="M14" i="4"/>
  <c r="M124" i="4"/>
  <c r="M84" i="4"/>
  <c r="M51" i="4"/>
  <c r="M172" i="4"/>
  <c r="M33" i="4"/>
  <c r="M64" i="4"/>
  <c r="M79" i="4"/>
  <c r="M59" i="4"/>
  <c r="M122" i="4"/>
  <c r="M143" i="4"/>
  <c r="M69" i="4"/>
  <c r="M18" i="4"/>
  <c r="D77" i="6" l="1"/>
  <c r="E77" i="6" s="1"/>
  <c r="E72" i="6"/>
  <c r="E59" i="6"/>
  <c r="B13" i="6"/>
  <c r="D13" i="6" s="1"/>
  <c r="E12" i="6"/>
  <c r="C12" i="6"/>
  <c r="E11" i="6"/>
  <c r="F59" i="6"/>
  <c r="D35" i="6"/>
  <c r="T27" i="4"/>
  <c r="S27" i="4"/>
  <c r="R27" i="4" a="1"/>
  <c r="R27" i="4" s="1"/>
  <c r="B14" i="6" l="1"/>
  <c r="D14" i="6" s="1"/>
  <c r="C13" i="6"/>
  <c r="B40" i="3"/>
  <c r="B39" i="3"/>
  <c r="B38" i="3"/>
  <c r="B37" i="3"/>
  <c r="B36" i="3"/>
  <c r="B35" i="3"/>
  <c r="B34" i="3"/>
  <c r="B33" i="3"/>
  <c r="B32" i="3"/>
  <c r="B31" i="3"/>
  <c r="B30" i="3"/>
  <c r="N2" i="3"/>
  <c r="N3" i="3"/>
  <c r="N4" i="3"/>
  <c r="N5" i="3"/>
  <c r="N6" i="3"/>
  <c r="N7" i="3"/>
  <c r="N8" i="3"/>
  <c r="N9" i="3"/>
  <c r="N10" i="3"/>
  <c r="N11" i="3"/>
  <c r="N12" i="3"/>
  <c r="E19" i="3"/>
  <c r="E18" i="3"/>
  <c r="E17" i="3"/>
  <c r="E15" i="3"/>
  <c r="E12" i="3"/>
  <c r="E11" i="3"/>
  <c r="E10" i="3"/>
  <c r="H5" i="3"/>
  <c r="G3" i="1"/>
  <c r="G5" i="1"/>
  <c r="G4" i="1"/>
  <c r="G2" i="1"/>
  <c r="G6" i="1"/>
  <c r="G7" i="1"/>
  <c r="G10" i="1"/>
  <c r="G91" i="1"/>
  <c r="G11" i="1"/>
  <c r="G167" i="1"/>
  <c r="G129" i="1"/>
  <c r="G13" i="1"/>
  <c r="G103" i="1"/>
  <c r="G16" i="1"/>
  <c r="G189" i="1"/>
  <c r="G14" i="1"/>
  <c r="G15" i="1"/>
  <c r="G24" i="1"/>
  <c r="G12" i="1"/>
  <c r="G19" i="1"/>
  <c r="G22" i="1"/>
  <c r="G104" i="1"/>
  <c r="G153" i="1"/>
  <c r="G134" i="1"/>
  <c r="G26" i="1"/>
  <c r="G8" i="1"/>
  <c r="G127" i="1"/>
  <c r="G96" i="1"/>
  <c r="G99" i="1"/>
  <c r="G27" i="1"/>
  <c r="G143" i="1"/>
  <c r="G17" i="1"/>
  <c r="G18" i="1"/>
  <c r="G124" i="1"/>
  <c r="G28" i="1"/>
  <c r="G223" i="1"/>
  <c r="G154" i="1"/>
  <c r="G107" i="1"/>
  <c r="G168" i="1"/>
  <c r="G119" i="1"/>
  <c r="G34" i="1"/>
  <c r="G100" i="1"/>
  <c r="G156" i="1"/>
  <c r="G29" i="1"/>
  <c r="G87" i="1"/>
  <c r="G25" i="1"/>
  <c r="G227" i="1"/>
  <c r="E14" i="3" s="1"/>
  <c r="G31" i="1"/>
  <c r="G184" i="1"/>
  <c r="G218" i="1"/>
  <c r="G220" i="1"/>
  <c r="G30" i="1"/>
  <c r="G37" i="1"/>
  <c r="G9" i="1"/>
  <c r="G117" i="1"/>
  <c r="G210" i="1"/>
  <c r="G39" i="1"/>
  <c r="G236" i="1"/>
  <c r="G21" i="1"/>
  <c r="G43" i="1"/>
  <c r="G183" i="1"/>
  <c r="G228" i="1"/>
  <c r="G40" i="1"/>
  <c r="G42" i="1"/>
  <c r="G38" i="1"/>
  <c r="G45" i="1"/>
  <c r="G229" i="1"/>
  <c r="G125" i="1"/>
  <c r="G48" i="1"/>
  <c r="G214" i="1"/>
  <c r="G209" i="1"/>
  <c r="G207" i="1"/>
  <c r="G101" i="1"/>
  <c r="G159" i="1"/>
  <c r="G157" i="1"/>
  <c r="G111" i="1"/>
  <c r="G179" i="1"/>
  <c r="G51" i="1"/>
  <c r="G49" i="1"/>
  <c r="G46" i="1"/>
  <c r="G53" i="1"/>
  <c r="G152" i="1"/>
  <c r="G36" i="1"/>
  <c r="G146" i="1"/>
  <c r="G52" i="1"/>
  <c r="G20" i="1"/>
  <c r="G35" i="1"/>
  <c r="G88" i="1"/>
  <c r="G211" i="1"/>
  <c r="G97" i="1"/>
  <c r="G44" i="1"/>
  <c r="G234" i="1"/>
  <c r="G151" i="1"/>
  <c r="G205" i="1"/>
  <c r="G163" i="1"/>
  <c r="G181" i="1"/>
  <c r="G54" i="1"/>
  <c r="G199" i="1"/>
  <c r="G56" i="1"/>
  <c r="G47" i="1"/>
  <c r="G58" i="1"/>
  <c r="G41" i="1"/>
  <c r="G212" i="1"/>
  <c r="G90" i="1"/>
  <c r="G164" i="1"/>
  <c r="G139" i="1"/>
  <c r="G137" i="1"/>
  <c r="G170" i="1"/>
  <c r="G149" i="1"/>
  <c r="G231" i="1"/>
  <c r="G182" i="1"/>
  <c r="G106" i="1"/>
  <c r="G145" i="1"/>
  <c r="G121" i="1"/>
  <c r="G102" i="1"/>
  <c r="G135" i="1"/>
  <c r="G191" i="1"/>
  <c r="G59" i="1"/>
  <c r="G115" i="1"/>
  <c r="G60" i="1"/>
  <c r="G140" i="1"/>
  <c r="G215" i="1"/>
  <c r="G201" i="1"/>
  <c r="G61" i="1"/>
  <c r="G225" i="1"/>
  <c r="G132" i="1"/>
  <c r="G108" i="1"/>
  <c r="G171" i="1"/>
  <c r="G126" i="1"/>
  <c r="G155" i="1"/>
  <c r="G161" i="1"/>
  <c r="G176" i="1"/>
  <c r="G62" i="1"/>
  <c r="G57" i="1"/>
  <c r="G63" i="1"/>
  <c r="G235" i="1"/>
  <c r="G142" i="1"/>
  <c r="G198" i="1"/>
  <c r="G193" i="1"/>
  <c r="G95" i="1"/>
  <c r="G68" i="1"/>
  <c r="G150" i="1"/>
  <c r="G128" i="1"/>
  <c r="G203" i="1"/>
  <c r="G55" i="1"/>
  <c r="G93" i="1"/>
  <c r="G173" i="1"/>
  <c r="G65" i="1"/>
  <c r="G186" i="1"/>
  <c r="G232" i="1"/>
  <c r="G66" i="1"/>
  <c r="G144" i="1"/>
  <c r="G69" i="1"/>
  <c r="G160" i="1"/>
  <c r="G70" i="1"/>
  <c r="G72" i="1"/>
  <c r="G222" i="1"/>
  <c r="G73" i="1"/>
  <c r="G165" i="1"/>
  <c r="G196" i="1"/>
  <c r="G208" i="1"/>
  <c r="G122" i="1"/>
  <c r="G32" i="1"/>
  <c r="G74" i="1"/>
  <c r="G75" i="1"/>
  <c r="G221" i="1"/>
  <c r="E13" i="3" s="1"/>
  <c r="G169" i="1"/>
  <c r="G192" i="1"/>
  <c r="G71" i="1"/>
  <c r="G185" i="1"/>
  <c r="G89" i="1"/>
  <c r="G50" i="1"/>
  <c r="G136" i="1"/>
  <c r="G158" i="1"/>
  <c r="G200" i="1"/>
  <c r="G123" i="1"/>
  <c r="G76" i="1"/>
  <c r="G216" i="1"/>
  <c r="G67" i="1"/>
  <c r="G162" i="1"/>
  <c r="G64" i="1"/>
  <c r="G116" i="1"/>
  <c r="G237" i="1"/>
  <c r="G131" i="1"/>
  <c r="G175" i="1"/>
  <c r="G109" i="1"/>
  <c r="G79" i="1"/>
  <c r="G138" i="1"/>
  <c r="G86" i="1"/>
  <c r="G194" i="1"/>
  <c r="G190" i="1"/>
  <c r="G133" i="1"/>
  <c r="G85" i="1"/>
  <c r="G77" i="1"/>
  <c r="G204" i="1"/>
  <c r="G217" i="1"/>
  <c r="G197" i="1"/>
  <c r="G180" i="1"/>
  <c r="G130" i="1"/>
  <c r="G219" i="1"/>
  <c r="C10" i="3" s="1"/>
  <c r="G172" i="1"/>
  <c r="G226" i="1"/>
  <c r="G177" i="1"/>
  <c r="G98" i="1"/>
  <c r="G92" i="1"/>
  <c r="G188" i="1"/>
  <c r="G78" i="1"/>
  <c r="G147" i="1"/>
  <c r="G105" i="1"/>
  <c r="G141" i="1"/>
  <c r="G187" i="1"/>
  <c r="G113" i="1"/>
  <c r="G114" i="1"/>
  <c r="G178" i="1"/>
  <c r="G80" i="1"/>
  <c r="G81" i="1"/>
  <c r="G112" i="1"/>
  <c r="G174" i="1"/>
  <c r="G110" i="1"/>
  <c r="G83" i="1"/>
  <c r="G233" i="1"/>
  <c r="G94" i="1"/>
  <c r="G213" i="1"/>
  <c r="G84" i="1"/>
  <c r="G148" i="1"/>
  <c r="G230" i="1"/>
  <c r="G202" i="1"/>
  <c r="G82" i="1"/>
  <c r="G195" i="1"/>
  <c r="G166" i="1"/>
  <c r="G118" i="1"/>
  <c r="G120" i="1"/>
  <c r="G206" i="1"/>
  <c r="G33" i="1"/>
  <c r="G224" i="1"/>
  <c r="C17" i="3" l="1"/>
  <c r="D9" i="3"/>
  <c r="B15" i="6"/>
  <c r="D15" i="6" s="1"/>
  <c r="E14" i="6"/>
  <c r="C14" i="6"/>
  <c r="E13" i="6"/>
  <c r="B34" i="5" a="1"/>
  <c r="B34" i="5" s="1"/>
  <c r="D79" i="6" a="1"/>
  <c r="D79" i="6" s="1"/>
  <c r="B7" i="5" a="1"/>
  <c r="B7" i="5" s="1"/>
  <c r="B20" i="5" a="1"/>
  <c r="B20" i="5" s="1"/>
  <c r="F79" i="6" a="1"/>
  <c r="F79" i="6" s="1"/>
  <c r="N5" i="6"/>
  <c r="B74" i="5" a="1"/>
  <c r="B74" i="5" s="1"/>
  <c r="B61" i="5" a="1"/>
  <c r="B61" i="5" s="1"/>
  <c r="B47" i="5" a="1"/>
  <c r="B47" i="5" s="1"/>
  <c r="C79" i="6" a="1"/>
  <c r="C79" i="6" s="1"/>
  <c r="D12" i="3"/>
  <c r="C19" i="3"/>
  <c r="C18" i="3"/>
  <c r="F10" i="3"/>
  <c r="O3" i="3" s="1"/>
  <c r="D10" i="3"/>
  <c r="D13" i="3"/>
  <c r="D11" i="3"/>
  <c r="F18" i="3"/>
  <c r="O11" i="3" s="1"/>
  <c r="D18" i="3"/>
  <c r="G41" i="3"/>
  <c r="G33" i="3"/>
  <c r="F32" i="3" a="1"/>
  <c r="F32" i="3" s="1"/>
  <c r="P4" i="3" s="1"/>
  <c r="E37" i="3" a="1"/>
  <c r="E37" i="3" s="1"/>
  <c r="E33" i="3" a="1"/>
  <c r="E33" i="3" s="1"/>
  <c r="G20" i="3"/>
  <c r="G12" i="3"/>
  <c r="E30" i="3" a="1"/>
  <c r="E30" i="3" s="1"/>
  <c r="F41" i="3"/>
  <c r="G32" i="3"/>
  <c r="F31" i="3" a="1"/>
  <c r="F31" i="3" s="1"/>
  <c r="P3" i="3" s="1"/>
  <c r="D37" i="3" a="1"/>
  <c r="D37" i="3" s="1"/>
  <c r="D33" i="3" a="1"/>
  <c r="D33" i="3" s="1"/>
  <c r="F20" i="3"/>
  <c r="G11" i="3"/>
  <c r="F5" i="3"/>
  <c r="G10" i="3"/>
  <c r="F9" i="3"/>
  <c r="O2" i="3" s="1"/>
  <c r="D5" i="3"/>
  <c r="G18" i="3"/>
  <c r="E38" i="3" a="1"/>
  <c r="E38" i="3" s="1"/>
  <c r="E41" i="3" a="1"/>
  <c r="E41" i="3" s="1"/>
  <c r="D26" i="3" s="1"/>
  <c r="G31" i="3"/>
  <c r="F30" i="3" a="1"/>
  <c r="F30" i="3" s="1"/>
  <c r="P2" i="3" s="1"/>
  <c r="C37" i="3" a="1"/>
  <c r="C37" i="3" s="1"/>
  <c r="C33" i="3" a="1"/>
  <c r="C33" i="3" s="1"/>
  <c r="G9" i="3"/>
  <c r="G19" i="3"/>
  <c r="G17" i="3"/>
  <c r="E34" i="3" a="1"/>
  <c r="E34" i="3" s="1"/>
  <c r="D41" i="3" a="1"/>
  <c r="D41" i="3" s="1"/>
  <c r="D25" i="3" s="1"/>
  <c r="G30" i="3"/>
  <c r="E40" i="3" a="1"/>
  <c r="E40" i="3" s="1"/>
  <c r="E36" i="3" a="1"/>
  <c r="E36" i="3" s="1"/>
  <c r="E32" i="3" a="1"/>
  <c r="E32" i="3" s="1"/>
  <c r="B5" i="3"/>
  <c r="C20" i="3"/>
  <c r="C24" i="3" s="1"/>
  <c r="G15" i="3"/>
  <c r="C41" i="3" a="1"/>
  <c r="C41" i="3" s="1"/>
  <c r="D24" i="3" s="1"/>
  <c r="F40" i="3" a="1"/>
  <c r="F40" i="3" s="1"/>
  <c r="P12" i="3" s="1"/>
  <c r="D40" i="3" a="1"/>
  <c r="D40" i="3" s="1"/>
  <c r="D36" i="3" a="1"/>
  <c r="D36" i="3" s="1"/>
  <c r="D32" i="3" a="1"/>
  <c r="D32" i="3" s="1"/>
  <c r="G13" i="3"/>
  <c r="G40" i="3"/>
  <c r="F39" i="3" a="1"/>
  <c r="F39" i="3" s="1"/>
  <c r="P11" i="3" s="1"/>
  <c r="C40" i="3" a="1"/>
  <c r="C40" i="3" s="1"/>
  <c r="C36" i="3" a="1"/>
  <c r="C36" i="3" s="1"/>
  <c r="C32" i="3" a="1"/>
  <c r="C32" i="3" s="1"/>
  <c r="G39" i="3"/>
  <c r="F38" i="3" a="1"/>
  <c r="F38" i="3" s="1"/>
  <c r="P10" i="3" s="1"/>
  <c r="E39" i="3" a="1"/>
  <c r="E39" i="3" s="1"/>
  <c r="E35" i="3" a="1"/>
  <c r="E35" i="3" s="1"/>
  <c r="E31" i="3" a="1"/>
  <c r="E31" i="3" s="1"/>
  <c r="C38" i="3" a="1"/>
  <c r="C38" i="3" s="1"/>
  <c r="G38" i="3"/>
  <c r="F37" i="3" a="1"/>
  <c r="F37" i="3" s="1"/>
  <c r="P9" i="3" s="1"/>
  <c r="D39" i="3" a="1"/>
  <c r="D39" i="3" s="1"/>
  <c r="D35" i="3" a="1"/>
  <c r="D35" i="3" s="1"/>
  <c r="D31" i="3" a="1"/>
  <c r="D31" i="3" s="1"/>
  <c r="C34" i="3" a="1"/>
  <c r="C34" i="3" s="1"/>
  <c r="G37" i="3"/>
  <c r="F36" i="3" a="1"/>
  <c r="F36" i="3" s="1"/>
  <c r="P8" i="3" s="1"/>
  <c r="C39" i="3" a="1"/>
  <c r="C39" i="3" s="1"/>
  <c r="C35" i="3" a="1"/>
  <c r="C35" i="3" s="1"/>
  <c r="C31" i="3" a="1"/>
  <c r="C31" i="3" s="1"/>
  <c r="G16" i="3"/>
  <c r="G36" i="3"/>
  <c r="F35" i="3" a="1"/>
  <c r="F35" i="3" s="1"/>
  <c r="P7" i="3" s="1"/>
  <c r="C30" i="3" a="1"/>
  <c r="C30" i="3" s="1"/>
  <c r="G35" i="3"/>
  <c r="F34" i="3" a="1"/>
  <c r="F34" i="3" s="1"/>
  <c r="P6" i="3" s="1"/>
  <c r="D38" i="3" a="1"/>
  <c r="D38" i="3" s="1"/>
  <c r="D34" i="3" a="1"/>
  <c r="D34" i="3" s="1"/>
  <c r="D30" i="3" a="1"/>
  <c r="D30" i="3" s="1"/>
  <c r="G14" i="3"/>
  <c r="G34" i="3"/>
  <c r="F33" i="3" a="1"/>
  <c r="F33" i="3" s="1"/>
  <c r="P5" i="3" s="1"/>
  <c r="C9" i="3"/>
  <c r="C13" i="3"/>
  <c r="F13" i="3"/>
  <c r="O6" i="3" s="1"/>
  <c r="D14" i="3"/>
  <c r="C15" i="3"/>
  <c r="F14" i="3"/>
  <c r="O7" i="3" s="1"/>
  <c r="C14" i="3"/>
  <c r="C16" i="3"/>
  <c r="F16" i="3"/>
  <c r="O9" i="3" s="1"/>
  <c r="C12" i="3"/>
  <c r="F12" i="3"/>
  <c r="O5" i="3" s="1"/>
  <c r="D20" i="3"/>
  <c r="C25" i="3" s="1"/>
  <c r="F19" i="3"/>
  <c r="O12" i="3" s="1"/>
  <c r="D19" i="3"/>
  <c r="F17" i="3"/>
  <c r="O10" i="3" s="1"/>
  <c r="D17" i="3"/>
  <c r="D15" i="3"/>
  <c r="F15" i="3"/>
  <c r="O8" i="3" s="1"/>
  <c r="D16" i="3"/>
  <c r="F11" i="3"/>
  <c r="O4" i="3" s="1"/>
  <c r="C11" i="3"/>
  <c r="E16" i="3"/>
  <c r="E20" i="3"/>
  <c r="C26" i="3" s="1"/>
  <c r="E9" i="3"/>
  <c r="B16" i="6" l="1"/>
  <c r="D16" i="6" s="1"/>
  <c r="C15" i="6"/>
  <c r="E79" i="6"/>
  <c r="B17" i="6" l="1"/>
  <c r="D17" i="6" s="1"/>
  <c r="E16" i="6"/>
  <c r="C16" i="6"/>
  <c r="E15" i="6"/>
  <c r="B18" i="6" l="1"/>
  <c r="D18" i="6" s="1"/>
  <c r="E17" i="6"/>
  <c r="C17" i="6"/>
  <c r="B19" i="6" l="1"/>
  <c r="D19" i="6" s="1"/>
  <c r="E18" i="6"/>
  <c r="C18" i="6"/>
  <c r="B20" i="6" l="1"/>
  <c r="D20" i="6" s="1"/>
  <c r="C19" i="6"/>
  <c r="E19" i="6"/>
  <c r="B21" i="6" l="1"/>
  <c r="D21" i="6" s="1"/>
  <c r="E20" i="6"/>
  <c r="C20" i="6"/>
  <c r="B22" i="6" l="1"/>
  <c r="D22" i="6" s="1"/>
  <c r="E21" i="6"/>
  <c r="C21" i="6"/>
  <c r="B23" i="6" l="1"/>
  <c r="D23" i="6" s="1"/>
  <c r="E22" i="6"/>
  <c r="C22" i="6"/>
  <c r="B24" i="6" l="1"/>
  <c r="D24" i="6" s="1"/>
  <c r="E23" i="6"/>
  <c r="C23" i="6"/>
  <c r="B25" i="6" l="1"/>
  <c r="D25" i="6" s="1"/>
  <c r="E24" i="6"/>
  <c r="C24" i="6"/>
  <c r="B26" i="6" l="1"/>
  <c r="D26" i="6" s="1"/>
  <c r="C25" i="6"/>
  <c r="E25" i="6"/>
  <c r="B27" i="6" l="1"/>
  <c r="D27" i="6" s="1"/>
  <c r="E26" i="6"/>
  <c r="C26" i="6"/>
  <c r="C27" i="6" l="1"/>
  <c r="F25" i="6" s="1"/>
  <c r="F26" i="6" l="1"/>
  <c r="D28" i="6"/>
  <c r="E27" i="6"/>
  <c r="F27" i="6"/>
  <c r="C28" i="6"/>
  <c r="F11" i="6"/>
  <c r="F12" i="6"/>
  <c r="F10" i="6"/>
  <c r="F13" i="6"/>
  <c r="F14" i="6"/>
  <c r="F15" i="6"/>
  <c r="F16" i="6"/>
  <c r="F17" i="6"/>
  <c r="F18" i="6"/>
  <c r="F19" i="6"/>
  <c r="F21" i="6"/>
  <c r="F20" i="6"/>
  <c r="F22" i="6"/>
  <c r="F23" i="6"/>
  <c r="F24" i="6"/>
  <c r="F2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Santry</author>
  </authors>
  <commentList>
    <comment ref="J5" authorId="0" shapeId="0" xr:uid="{C83DFCF6-72EB-44A9-AD75-40EA60A86323}">
      <text>
        <r>
          <rPr>
            <b/>
            <sz val="9"/>
            <color indexed="81"/>
            <rFont val="Tahoma"/>
            <charset val="1"/>
          </rPr>
          <t>Dana Santry:</t>
        </r>
        <r>
          <rPr>
            <sz val="9"/>
            <color indexed="81"/>
            <rFont val="Tahoma"/>
            <charset val="1"/>
          </rPr>
          <t xml:space="preserve">
This is inclusive of deals which terminate due to overbids, overstating true termination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Santry</author>
  </authors>
  <commentList>
    <comment ref="N1" authorId="0" shapeId="0" xr:uid="{07BDD411-8E70-4BE4-B9F3-DA66110A733B}">
      <text>
        <r>
          <rPr>
            <b/>
            <sz val="9"/>
            <color indexed="81"/>
            <rFont val="Tahoma"/>
            <family val="2"/>
          </rPr>
          <t>Dana Santry:</t>
        </r>
        <r>
          <rPr>
            <sz val="9"/>
            <color indexed="81"/>
            <rFont val="Tahoma"/>
            <family val="2"/>
          </rPr>
          <t xml:space="preserve">
Chart source data for the by-sector chart (Avg &amp; Median days). Linked to the matrices above — leave in place. Collapsed by default; expand via the + above the columns.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<sst xmlns="http://schemas.openxmlformats.org/spreadsheetml/2006/main" count="4347" uniqueCount="1298">
  <si>
    <t>Deal Type</t>
  </si>
  <si>
    <t>Target Ticker</t>
  </si>
  <si>
    <t>Acquirer Ticker</t>
  </si>
  <si>
    <t>Announce Date</t>
  </si>
  <si>
    <t>Deal Status</t>
  </si>
  <si>
    <t>Completion/Termination Date</t>
  </si>
  <si>
    <t>Target Name</t>
  </si>
  <si>
    <t>Acquirer Name</t>
  </si>
  <si>
    <t>Payment Type</t>
  </si>
  <si>
    <t>Announced Equity Value (mil.)</t>
  </si>
  <si>
    <t>Announced Total Value (mil.)</t>
  </si>
  <si>
    <t>TV/EBITDA</t>
  </si>
  <si>
    <t>Target Termination Fee</t>
  </si>
  <si>
    <t>Acquirer Termination Fee</t>
  </si>
  <si>
    <t>Target Country/Region</t>
  </si>
  <si>
    <t>Acquirer Country/Region</t>
  </si>
  <si>
    <t>Announced Premium</t>
  </si>
  <si>
    <t>M&amp;A</t>
  </si>
  <si>
    <t>WBD US</t>
  </si>
  <si>
    <t>PSKY US</t>
  </si>
  <si>
    <t>Pending</t>
  </si>
  <si>
    <t>Warner Bros Discovery Inc</t>
  </si>
  <si>
    <t>Paramount Skydance Corp</t>
  </si>
  <si>
    <t>Cash</t>
  </si>
  <si>
    <t xml:space="preserve"> </t>
  </si>
  <si>
    <t>United States</t>
  </si>
  <si>
    <t>NSC US</t>
  </si>
  <si>
    <t>UNP US</t>
  </si>
  <si>
    <t>Norfolk Southern Corp</t>
  </si>
  <si>
    <t>Union Pacific Corp</t>
  </si>
  <si>
    <t>Cash and Stock</t>
  </si>
  <si>
    <t>NFLX US</t>
  </si>
  <si>
    <t>Terminated</t>
  </si>
  <si>
    <t>Netflix Inc</t>
  </si>
  <si>
    <t>D US</t>
  </si>
  <si>
    <t>NEE US</t>
  </si>
  <si>
    <t>Dominion Energy Inc</t>
  </si>
  <si>
    <t>NextEra Energy Inc</t>
  </si>
  <si>
    <t>Stock</t>
  </si>
  <si>
    <t>EA US</t>
  </si>
  <si>
    <t>Electronic Arts Inc</t>
  </si>
  <si>
    <t>Silver Lake Management LLC,Public Investment Fund,Affinity Partners LLC/The</t>
  </si>
  <si>
    <t>KVUE US</t>
  </si>
  <si>
    <t>KMB US</t>
  </si>
  <si>
    <t>Kenvue Inc</t>
  </si>
  <si>
    <t>Kimberly-Clark Corp</t>
  </si>
  <si>
    <t>AVB US</t>
  </si>
  <si>
    <t>EQR US</t>
  </si>
  <si>
    <t>AvalonBay Communities Inc</t>
  </si>
  <si>
    <t>Equity Residential</t>
  </si>
  <si>
    <t>CYBR US</t>
  </si>
  <si>
    <t>PANW US</t>
  </si>
  <si>
    <t>Completed</t>
  </si>
  <si>
    <t>CyberArk Software Ltd</t>
  </si>
  <si>
    <t>Palo Alto Networks Inc</t>
  </si>
  <si>
    <t>ROKU US</t>
  </si>
  <si>
    <t>FOXA US</t>
  </si>
  <si>
    <t>Roku Inc</t>
  </si>
  <si>
    <t>Fox Corp</t>
  </si>
  <si>
    <t>CTRA US</t>
  </si>
  <si>
    <t>DVN US</t>
  </si>
  <si>
    <t>Coterra Energy Inc</t>
  </si>
  <si>
    <t>Devon Energy Corp</t>
  </si>
  <si>
    <t>EXAS US</t>
  </si>
  <si>
    <t>ABT US</t>
  </si>
  <si>
    <t>Exact Sciences Corp</t>
  </si>
  <si>
    <t>Abbott Laboratories</t>
  </si>
  <si>
    <t>TECK/B CN</t>
  </si>
  <si>
    <t>AAL LN</t>
  </si>
  <si>
    <t>Teck Resources Ltd</t>
  </si>
  <si>
    <t>Anglo American PLC</t>
  </si>
  <si>
    <t>Canada</t>
  </si>
  <si>
    <t>South Africa</t>
  </si>
  <si>
    <t>HOLX US</t>
  </si>
  <si>
    <t>Hologic Inc</t>
  </si>
  <si>
    <t>Blackstone Inc,TPG Inc</t>
  </si>
  <si>
    <t>PEN US</t>
  </si>
  <si>
    <t>BSX US</t>
  </si>
  <si>
    <t>Penumbra Inc</t>
  </si>
  <si>
    <t>Boston Scientific Corp</t>
  </si>
  <si>
    <t>Cash or Stock</t>
  </si>
  <si>
    <t>ITCI US</t>
  </si>
  <si>
    <t>JNJ US</t>
  </si>
  <si>
    <t>Intra-Cellular Therapies Inc</t>
  </si>
  <si>
    <t>Johnson &amp; Johnson</t>
  </si>
  <si>
    <t>BLD US</t>
  </si>
  <si>
    <t>QXO US</t>
  </si>
  <si>
    <t>TopBuild Corp</t>
  </si>
  <si>
    <t>QXO Inc</t>
  </si>
  <si>
    <t>ARX CN</t>
  </si>
  <si>
    <t>SHEL LN</t>
  </si>
  <si>
    <t>ARC Resources Ltd</t>
  </si>
  <si>
    <t>Shell PLC</t>
  </si>
  <si>
    <t>APGE US</t>
  </si>
  <si>
    <t>ABBV US</t>
  </si>
  <si>
    <t>Apogee Therapeutics Inc</t>
  </si>
  <si>
    <t>AbbVie Inc</t>
  </si>
  <si>
    <t>WTRG US</t>
  </si>
  <si>
    <t>AWK US</t>
  </si>
  <si>
    <t>Essential Utilities Inc</t>
  </si>
  <si>
    <t>American Water Works Co Inc</t>
  </si>
  <si>
    <t>WBS US</t>
  </si>
  <si>
    <t>SAN SM</t>
  </si>
  <si>
    <t>Webster Financial Corp</t>
  </si>
  <si>
    <t>Banco Santander SA</t>
  </si>
  <si>
    <t>Spain</t>
  </si>
  <si>
    <t>GSAT US</t>
  </si>
  <si>
    <t>AMZN US</t>
  </si>
  <si>
    <t>Globalstar Inc</t>
  </si>
  <si>
    <t>Amazon.com Inc</t>
  </si>
  <si>
    <t>DAY US</t>
  </si>
  <si>
    <t>129626Z US</t>
  </si>
  <si>
    <t>Dayforce Inc</t>
  </si>
  <si>
    <t>Thoma Bravo LLC</t>
  </si>
  <si>
    <t>CFLT US</t>
  </si>
  <si>
    <t>IBM US</t>
  </si>
  <si>
    <t>Confluent Inc</t>
  </si>
  <si>
    <t>International Business Machine</t>
  </si>
  <si>
    <t>CMA US</t>
  </si>
  <si>
    <t>FITB US</t>
  </si>
  <si>
    <t>Comerica Inc</t>
  </si>
  <si>
    <t>Fifth Third Bancorp</t>
  </si>
  <si>
    <t>EQH US</t>
  </si>
  <si>
    <t>CRBG US</t>
  </si>
  <si>
    <t>Equitable Holdings Inc</t>
  </si>
  <si>
    <t>Corebridge Financial Inc</t>
  </si>
  <si>
    <t>AES US</t>
  </si>
  <si>
    <t>AES Corp/The</t>
  </si>
  <si>
    <t>California Public Employees' Retirement System,Qatar Investment Authority,Global Infrastructure Management LLC (Fund: Global Infrastructure Partners LP),EQT AB</t>
  </si>
  <si>
    <t>RNAM US</t>
  </si>
  <si>
    <t>NOVN SW</t>
  </si>
  <si>
    <t>Avidity Biosciences Inc</t>
  </si>
  <si>
    <t>Novartis AG</t>
  </si>
  <si>
    <t>COOP US</t>
  </si>
  <si>
    <t>RKT US</t>
  </si>
  <si>
    <t>Mr Cooper Group Inc</t>
  </si>
  <si>
    <t>Rocket Cos Inc</t>
  </si>
  <si>
    <t>WBA US</t>
  </si>
  <si>
    <t>9875574Z US</t>
  </si>
  <si>
    <t>Walgreens Boots Alliance Inc</t>
  </si>
  <si>
    <t>Sycamore Partners LLC</t>
  </si>
  <si>
    <t>QRVO US</t>
  </si>
  <si>
    <t>SWKS US</t>
  </si>
  <si>
    <t>Qorvo Inc</t>
  </si>
  <si>
    <t>Skyworks Solutions Inc</t>
  </si>
  <si>
    <t>MASI US</t>
  </si>
  <si>
    <t>DHR US</t>
  </si>
  <si>
    <t>Masimo Corp</t>
  </si>
  <si>
    <t>Danaher Corp</t>
  </si>
  <si>
    <t>GTLS US</t>
  </si>
  <si>
    <t>BKR US</t>
  </si>
  <si>
    <t>Chart Industries Inc</t>
  </si>
  <si>
    <t>Baker Hughes Co</t>
  </si>
  <si>
    <t>AXTA US</t>
  </si>
  <si>
    <t>AKZA NA</t>
  </si>
  <si>
    <t>Axalta Coating Systems Ltd</t>
  </si>
  <si>
    <t>Akzo Nobel NV</t>
  </si>
  <si>
    <t>Netherlands</t>
  </si>
  <si>
    <t>SKX US</t>
  </si>
  <si>
    <t>4071428Z US</t>
  </si>
  <si>
    <t>Skechers USA Inc</t>
  </si>
  <si>
    <t>3G Capital Inc</t>
  </si>
  <si>
    <t>NUVL US</t>
  </si>
  <si>
    <t>GSK LN</t>
  </si>
  <si>
    <t>Nuvalent Inc</t>
  </si>
  <si>
    <t>GSK PLC</t>
  </si>
  <si>
    <t>United Kingdom</t>
  </si>
  <si>
    <t>BPMC US</t>
  </si>
  <si>
    <t>SAN FP</t>
  </si>
  <si>
    <t>Blueprint Medicines Corp</t>
  </si>
  <si>
    <t>Sanofi</t>
  </si>
  <si>
    <t>AZEK US</t>
  </si>
  <si>
    <t>JHX AU</t>
  </si>
  <si>
    <t>AZEK Co Inc/The</t>
  </si>
  <si>
    <t>James Hardie Industries PLC</t>
  </si>
  <si>
    <t>SNV US</t>
  </si>
  <si>
    <t>PNFP US</t>
  </si>
  <si>
    <t>Synovus Financial Corp</t>
  </si>
  <si>
    <t>Pinnacle Financial Partners In</t>
  </si>
  <si>
    <t>BECN US</t>
  </si>
  <si>
    <t>Beacon Roofing Supply Inc</t>
  </si>
  <si>
    <t>NGD CN</t>
  </si>
  <si>
    <t>CDE US</t>
  </si>
  <si>
    <t>New Gold Inc</t>
  </si>
  <si>
    <t>Coeur Mining Inc</t>
  </si>
  <si>
    <t>SLAB US</t>
  </si>
  <si>
    <t>TXN US</t>
  </si>
  <si>
    <t>Silicon Laboratories Inc</t>
  </si>
  <si>
    <t>Texas Instruments Inc</t>
  </si>
  <si>
    <t>INFA US</t>
  </si>
  <si>
    <t>CRM US</t>
  </si>
  <si>
    <t>Informatica Inc</t>
  </si>
  <si>
    <t>Salesforce Inc</t>
  </si>
  <si>
    <t>CADE US</t>
  </si>
  <si>
    <t>HBAN US</t>
  </si>
  <si>
    <t>Cadence Bank</t>
  </si>
  <si>
    <t>Huntington Bancshares Inc/OH</t>
  </si>
  <si>
    <t>ACA US</t>
  </si>
  <si>
    <t>CRH US</t>
  </si>
  <si>
    <t>Arcosa Inc</t>
  </si>
  <si>
    <t>CRH PLC</t>
  </si>
  <si>
    <t>AL US</t>
  </si>
  <si>
    <t>Air Lease Corp</t>
  </si>
  <si>
    <t>Sumitomo Corp,Sumitomo Mitsui Finance &amp; Leasing Co Ltd,Brookfield Corp,Apollo Global Management Inc</t>
  </si>
  <si>
    <t>Japan</t>
  </si>
  <si>
    <t>FLS US</t>
  </si>
  <si>
    <t>Flowserve Corp</t>
  </si>
  <si>
    <t>AZPN US</t>
  </si>
  <si>
    <t>EMR US</t>
  </si>
  <si>
    <t>Aspen Technology Inc</t>
  </si>
  <si>
    <t>Emerson Electric Co</t>
  </si>
  <si>
    <t>CWAN US</t>
  </si>
  <si>
    <t>Clearwater Analytics Holdings Inc</t>
  </si>
  <si>
    <t>Temasek Holdings Pte Ltd,Warburg Pincus LLC,Permira Holdings LLP</t>
  </si>
  <si>
    <t>OS US</t>
  </si>
  <si>
    <t>Onestream Inc</t>
  </si>
  <si>
    <t>HgCapital LLP,General Atlantic LP,Tidemark Capital Inc</t>
  </si>
  <si>
    <t>CDTX US</t>
  </si>
  <si>
    <t>MRK US</t>
  </si>
  <si>
    <t>Cidara Therapeutics Inc</t>
  </si>
  <si>
    <t>Merck &amp; Co Inc</t>
  </si>
  <si>
    <t>MTSR US</t>
  </si>
  <si>
    <t>PFE US</t>
  </si>
  <si>
    <t>Metsera Inc</t>
  </si>
  <si>
    <t>Pfizer Inc</t>
  </si>
  <si>
    <t>TMHC US</t>
  </si>
  <si>
    <t>BRK/A US</t>
  </si>
  <si>
    <t>Taylor Morrison Home Corp</t>
  </si>
  <si>
    <t>Berkshire Hathaway Inc</t>
  </si>
  <si>
    <t>JHG US</t>
  </si>
  <si>
    <t>Janus Henderson Group PLC</t>
  </si>
  <si>
    <t>Trian Fund Management LP,General Catalyst Partners LLC</t>
  </si>
  <si>
    <t>CZR US</t>
  </si>
  <si>
    <t>0205348D US</t>
  </si>
  <si>
    <t>Caesars Entertainment Inc</t>
  </si>
  <si>
    <t>Fertitta Entertainment Inc</t>
  </si>
  <si>
    <t>SEE US</t>
  </si>
  <si>
    <t>5056Z US</t>
  </si>
  <si>
    <t>Sealed Air Corp</t>
  </si>
  <si>
    <t>Clayton Dubilier &amp; Rice LLC</t>
  </si>
  <si>
    <t>ACLX US</t>
  </si>
  <si>
    <t>GILD US</t>
  </si>
  <si>
    <t>Arcellx Inc</t>
  </si>
  <si>
    <t>Gilead Sciences Inc</t>
  </si>
  <si>
    <t>CORZ US</t>
  </si>
  <si>
    <t>CRWV US</t>
  </si>
  <si>
    <t>Core Scientific Inc</t>
  </si>
  <si>
    <t>Coreweave Inc</t>
  </si>
  <si>
    <t>TERN US</t>
  </si>
  <si>
    <t>Terns Pharmaceuticals Inc</t>
  </si>
  <si>
    <t>TXNM US</t>
  </si>
  <si>
    <t>BX US</t>
  </si>
  <si>
    <t>TXNM Energy Inc</t>
  </si>
  <si>
    <t>Blackstone Inc</t>
  </si>
  <si>
    <t>CNTA US</t>
  </si>
  <si>
    <t>LLY US</t>
  </si>
  <si>
    <t>Centessa Pharmaceuticals PLC</t>
  </si>
  <si>
    <t>Eli Lilly &amp; Co</t>
  </si>
  <si>
    <t>MEG CN</t>
  </si>
  <si>
    <t>CVE CN</t>
  </si>
  <si>
    <t>MEG Energy Corp</t>
  </si>
  <si>
    <t>Cenovus Energy Inc</t>
  </si>
  <si>
    <t>APLS US</t>
  </si>
  <si>
    <t>BIIB US</t>
  </si>
  <si>
    <t>Apellis Pharmaceuticals Inc</t>
  </si>
  <si>
    <t>Biogen Inc</t>
  </si>
  <si>
    <t>SCR CN</t>
  </si>
  <si>
    <t>Strathcona Resources Ltd</t>
  </si>
  <si>
    <t>VAL US</t>
  </si>
  <si>
    <t>RIG US</t>
  </si>
  <si>
    <t>Valaris Ltd</t>
  </si>
  <si>
    <t>Transocean Ltd</t>
  </si>
  <si>
    <t>GBTG US</t>
  </si>
  <si>
    <t>1341256D US</t>
  </si>
  <si>
    <t>Global Business Travel Group I</t>
  </si>
  <si>
    <t>Long Lake Management Inc</t>
  </si>
  <si>
    <t>OLA CN</t>
  </si>
  <si>
    <t>EQX CN</t>
  </si>
  <si>
    <t>Orla Mining Ltd</t>
  </si>
  <si>
    <t>Equinox Gold Corp</t>
  </si>
  <si>
    <t>NARI US</t>
  </si>
  <si>
    <t>SYK US</t>
  </si>
  <si>
    <t>Inari Medical Inc</t>
  </si>
  <si>
    <t>Stryker Corp</t>
  </si>
  <si>
    <t>FOLD US</t>
  </si>
  <si>
    <t>BMRN US</t>
  </si>
  <si>
    <t>Amicus Therapeutics Inc</t>
  </si>
  <si>
    <t>BioMarin Pharmaceutical Inc</t>
  </si>
  <si>
    <t>UNF US</t>
  </si>
  <si>
    <t>CTAS US</t>
  </si>
  <si>
    <t>UniFirst Corp/MA</t>
  </si>
  <si>
    <t>Cintas Corp</t>
  </si>
  <si>
    <t>AKRO US</t>
  </si>
  <si>
    <t>NOVOB DC</t>
  </si>
  <si>
    <t>Akero Therapeutics Inc</t>
  </si>
  <si>
    <t>Novo Nordisk A/S</t>
  </si>
  <si>
    <t>Denmark</t>
  </si>
  <si>
    <t>VRN CN</t>
  </si>
  <si>
    <t>WCP CN</t>
  </si>
  <si>
    <t>Veren Inc</t>
  </si>
  <si>
    <t>Whitecap Resources Inc</t>
  </si>
  <si>
    <t>GMS US</t>
  </si>
  <si>
    <t>HD US</t>
  </si>
  <si>
    <t>GMS Inc</t>
  </si>
  <si>
    <t>Home Depot Inc/The</t>
  </si>
  <si>
    <t>YERB/U CN</t>
  </si>
  <si>
    <t>BNKK US</t>
  </si>
  <si>
    <t>Yerbae Brands Corp</t>
  </si>
  <si>
    <t>Bonk Inc</t>
  </si>
  <si>
    <t>THR US</t>
  </si>
  <si>
    <t>CECO US</t>
  </si>
  <si>
    <t>Thermon Group Holdings Inc</t>
  </si>
  <si>
    <t>CECO Environmental Corp</t>
  </si>
  <si>
    <t>PYCR US</t>
  </si>
  <si>
    <t>PAYX US</t>
  </si>
  <si>
    <t>Paycor HCM Inc</t>
  </si>
  <si>
    <t>Paychex Inc</t>
  </si>
  <si>
    <t>DNB US</t>
  </si>
  <si>
    <t>8376046Z US</t>
  </si>
  <si>
    <t>Dun &amp; Bradstreet Holdings Inc</t>
  </si>
  <si>
    <t>Clearlake Capital Group LP</t>
  </si>
  <si>
    <t>TPH US</t>
  </si>
  <si>
    <t>1911 JP</t>
  </si>
  <si>
    <t>Tri Pointe Homes Inc</t>
  </si>
  <si>
    <t>Sumitomo Forestry Co Ltd</t>
  </si>
  <si>
    <t>AAUC CN</t>
  </si>
  <si>
    <t>2259 HK</t>
  </si>
  <si>
    <t>Allied Gold Corp</t>
  </si>
  <si>
    <t>Zijin Gold International Co Ltd</t>
  </si>
  <si>
    <t>Hong Kong</t>
  </si>
  <si>
    <t>BHF US</t>
  </si>
  <si>
    <t>1791435D US</t>
  </si>
  <si>
    <t>Brighthouse Financial Inc</t>
  </si>
  <si>
    <t>Aquarian Holdings LLC</t>
  </si>
  <si>
    <t>SES CN</t>
  </si>
  <si>
    <t>GFL CN</t>
  </si>
  <si>
    <t>Secure Waste Infrastructure Co</t>
  </si>
  <si>
    <t>GFL Environmental Inc</t>
  </si>
  <si>
    <t>CPRX US</t>
  </si>
  <si>
    <t>1453005D US</t>
  </si>
  <si>
    <t>Catalyst Pharmaceuticals Inc</t>
  </si>
  <si>
    <t>Angelini Pharma Inc</t>
  </si>
  <si>
    <t>HEES US</t>
  </si>
  <si>
    <t>HRI US</t>
  </si>
  <si>
    <t>H&amp;E Equipment Services Inc</t>
  </si>
  <si>
    <t>Herc Holdings Inc</t>
  </si>
  <si>
    <t>FCR-U CN</t>
  </si>
  <si>
    <t>First Capital Real Estate Investment Trust</t>
  </si>
  <si>
    <t>KingSett Capital Inc,Choice Properties Real Estate Investment Trust</t>
  </si>
  <si>
    <t>PCH US</t>
  </si>
  <si>
    <t>RYN US</t>
  </si>
  <si>
    <t>PotlatchDeltic Corp</t>
  </si>
  <si>
    <t>Rayonier Inc</t>
  </si>
  <si>
    <t>NATL US</t>
  </si>
  <si>
    <t>BCO US</t>
  </si>
  <si>
    <t>NCR Atleos Corp</t>
  </si>
  <si>
    <t>Brink's Co/The</t>
  </si>
  <si>
    <t>OGN US</t>
  </si>
  <si>
    <t>SUNP IN</t>
  </si>
  <si>
    <t>Organon &amp; Co</t>
  </si>
  <si>
    <t>Sun Pharmaceutical Industries Ltd</t>
  </si>
  <si>
    <t>India</t>
  </si>
  <si>
    <t>NWE US</t>
  </si>
  <si>
    <t>BKH US</t>
  </si>
  <si>
    <t>Northwestern Energy Group Inc</t>
  </si>
  <si>
    <t>Black Hills Corp</t>
  </si>
  <si>
    <t>TGNA US</t>
  </si>
  <si>
    <t>NXST US</t>
  </si>
  <si>
    <t>TEGNA Inc</t>
  </si>
  <si>
    <t>Nexstar Media Group Inc</t>
  </si>
  <si>
    <t>SWTX US</t>
  </si>
  <si>
    <t>MRK GR</t>
  </si>
  <si>
    <t>SpringWorks Therapeutics Inc</t>
  </si>
  <si>
    <t>Merck KGaA</t>
  </si>
  <si>
    <t>Germany</t>
  </si>
  <si>
    <t>AHL US</t>
  </si>
  <si>
    <t>8630 JP</t>
  </si>
  <si>
    <t>Aspen Insurance Holdings Ltd</t>
  </si>
  <si>
    <t>Sompo Holdings Inc</t>
  </si>
  <si>
    <t>Bermuda</t>
  </si>
  <si>
    <t>URI US</t>
  </si>
  <si>
    <t>United Rentals Inc</t>
  </si>
  <si>
    <t>SLNO US</t>
  </si>
  <si>
    <t>NBIX US</t>
  </si>
  <si>
    <t>Soleno Therapeutics Inc</t>
  </si>
  <si>
    <t>Neurocrine Biosciences Inc</t>
  </si>
  <si>
    <t>SSL CN</t>
  </si>
  <si>
    <t>RGLD US</t>
  </si>
  <si>
    <t>Sandstorm Gold Ltd</t>
  </si>
  <si>
    <t>Royal Gold Inc</t>
  </si>
  <si>
    <t>SWI US</t>
  </si>
  <si>
    <t>0212567D US</t>
  </si>
  <si>
    <t>SolarWinds Corp</t>
  </si>
  <si>
    <t>Turn/River Capital</t>
  </si>
  <si>
    <t>REVG US</t>
  </si>
  <si>
    <t>TEX US</t>
  </si>
  <si>
    <t>REV Group Inc</t>
  </si>
  <si>
    <t>Terex Corp</t>
  </si>
  <si>
    <t>CIVI US</t>
  </si>
  <si>
    <t>SM US</t>
  </si>
  <si>
    <t>Civitas Resources Inc</t>
  </si>
  <si>
    <t>SM Energy Co</t>
  </si>
  <si>
    <t>DBRG US</t>
  </si>
  <si>
    <t>9984 JP</t>
  </si>
  <si>
    <t>DigitalBridge Group Inc</t>
  </si>
  <si>
    <t>SoftBank Group Corp</t>
  </si>
  <si>
    <t>FOM CN</t>
  </si>
  <si>
    <t>ELD CN</t>
  </si>
  <si>
    <t>Foran Mining Corp</t>
  </si>
  <si>
    <t>Eldorado Gold Corp</t>
  </si>
  <si>
    <t>Turkey</t>
  </si>
  <si>
    <t>PAYO US</t>
  </si>
  <si>
    <t>13620Z US</t>
  </si>
  <si>
    <t>Payoneer Global Inc</t>
  </si>
  <si>
    <t>Advent International Corp</t>
  </si>
  <si>
    <t>HUN US</t>
  </si>
  <si>
    <t>OLN US</t>
  </si>
  <si>
    <t>Huntsman Corp</t>
  </si>
  <si>
    <t>Olin Corp</t>
  </si>
  <si>
    <t>RAMP US</t>
  </si>
  <si>
    <t>PUB FP</t>
  </si>
  <si>
    <t>LiveRamp Holdings Inc</t>
  </si>
  <si>
    <t>Publicis Groupe SA</t>
  </si>
  <si>
    <t>France</t>
  </si>
  <si>
    <t>BLX CN</t>
  </si>
  <si>
    <t>Boralex Inc</t>
  </si>
  <si>
    <t>Caisse de Depot et Placement du Quebec,Brookfield Corp (Fund: Brookfield Private Equity Fund LP)</t>
  </si>
  <si>
    <t>PINC US</t>
  </si>
  <si>
    <t>1822748D US</t>
  </si>
  <si>
    <t>Premier Inc</t>
  </si>
  <si>
    <t>Patient Square Capital LP</t>
  </si>
  <si>
    <t>CSGS US</t>
  </si>
  <si>
    <t>6701 JP</t>
  </si>
  <si>
    <t>CSG Systems International Inc</t>
  </si>
  <si>
    <t>NEC Corp</t>
  </si>
  <si>
    <t>ALEX US</t>
  </si>
  <si>
    <t>Alexander &amp; Baldwin Inc</t>
  </si>
  <si>
    <t>DivcoWest Properties,MW Group Ltd,Blackstone Real Estate Income Trust Inc</t>
  </si>
  <si>
    <t>FL US</t>
  </si>
  <si>
    <t>DKS US</t>
  </si>
  <si>
    <t>Foot Locker Inc</t>
  </si>
  <si>
    <t>Dick's Sporting Goods Inc</t>
  </si>
  <si>
    <t>HI US</t>
  </si>
  <si>
    <t>71194Z US</t>
  </si>
  <si>
    <t>Hillenbrand Inc</t>
  </si>
  <si>
    <t>Lone Star Global Acquisitions Ltd</t>
  </si>
  <si>
    <t>NVA CN</t>
  </si>
  <si>
    <t>OVV US</t>
  </si>
  <si>
    <t>NuVista Energy Ltd</t>
  </si>
  <si>
    <t>Ovintiv Inc</t>
  </si>
  <si>
    <t>HBI US</t>
  </si>
  <si>
    <t>GIL CN</t>
  </si>
  <si>
    <t>Hanesbrands Inc</t>
  </si>
  <si>
    <t>Gildan Activewear Inc</t>
  </si>
  <si>
    <t>ETNB US</t>
  </si>
  <si>
    <t>ROP SW</t>
  </si>
  <si>
    <t>89bio Inc</t>
  </si>
  <si>
    <t>Roche Holding AG</t>
  </si>
  <si>
    <t>FN CN</t>
  </si>
  <si>
    <t>First National Financial Corp</t>
  </si>
  <si>
    <t>Birch Hill Equity Partners Management Inc (Fund: Birch Hill Equity Partners VI LP),Brookfield Corp (Fund: Brookfield Capital Partners VI LP)</t>
  </si>
  <si>
    <t>AVDX US</t>
  </si>
  <si>
    <t>AvidXchange Holdings Inc</t>
  </si>
  <si>
    <t>Corpay Inc,TPG Capital LP/US (Fund: TPG LSI Equity LP)</t>
  </si>
  <si>
    <t>AVDL US</t>
  </si>
  <si>
    <t>ALKS US</t>
  </si>
  <si>
    <t>Avadel Pharmaceuticals PLC</t>
  </si>
  <si>
    <t>Alkermes PLC</t>
  </si>
  <si>
    <t>PPBI US</t>
  </si>
  <si>
    <t>COLB US</t>
  </si>
  <si>
    <t>Pacific Premier Bancorp Inc</t>
  </si>
  <si>
    <t>Columbia Banking System Inc</t>
  </si>
  <si>
    <t>TGI US</t>
  </si>
  <si>
    <t>Triumph Group Inc</t>
  </si>
  <si>
    <t>Warburg Pincus LLC (Fund: Warburg Pincus Global Growth II),Berkshire Partners LLC (Fund: Berkshire Fund XI LP)</t>
  </si>
  <si>
    <t>MAG CN</t>
  </si>
  <si>
    <t>PAAS CN</t>
  </si>
  <si>
    <t>MAG Silver Corp</t>
  </si>
  <si>
    <t>Pan American Silver Corp</t>
  </si>
  <si>
    <t>KLG US</t>
  </si>
  <si>
    <t>0852591D LX</t>
  </si>
  <si>
    <t>WK Kellogg Co</t>
  </si>
  <si>
    <t>Ferrero International SA</t>
  </si>
  <si>
    <t>Luxembourg</t>
  </si>
  <si>
    <t>STEL US</t>
  </si>
  <si>
    <t>PB US</t>
  </si>
  <si>
    <t>Stellar Bancorp Inc</t>
  </si>
  <si>
    <t>Prosperity Bancshares Inc</t>
  </si>
  <si>
    <t>INE CN</t>
  </si>
  <si>
    <t>1118Z CN</t>
  </si>
  <si>
    <t>Innergex Renewable Energy Inc</t>
  </si>
  <si>
    <t>Caisse de Depot et Placement du Quebec</t>
  </si>
  <si>
    <t>VECO US</t>
  </si>
  <si>
    <t>ACLS US</t>
  </si>
  <si>
    <t>Veeco Instruments Inc</t>
  </si>
  <si>
    <t>Axcelis Technologies Inc</t>
  </si>
  <si>
    <t>CXB CN</t>
  </si>
  <si>
    <t>Calibre Mining Corp</t>
  </si>
  <si>
    <t>RUP CN</t>
  </si>
  <si>
    <t>AEM CN</t>
  </si>
  <si>
    <t>Rupert Resources Ltd</t>
  </si>
  <si>
    <t>Agnico Eagle Mines Ltd</t>
  </si>
  <si>
    <t>OLO US</t>
  </si>
  <si>
    <t>Olo Inc</t>
  </si>
  <si>
    <t>GTWO CN</t>
  </si>
  <si>
    <t>GMIN CN</t>
  </si>
  <si>
    <t>G2 Goldfields Inc</t>
  </si>
  <si>
    <t>G Mining Ventures Corp</t>
  </si>
  <si>
    <t>DVAX US</t>
  </si>
  <si>
    <t>Dynavax Technologies Corp</t>
  </si>
  <si>
    <t>SMLR US</t>
  </si>
  <si>
    <t>ASST US</t>
  </si>
  <si>
    <t>Semler Scientific Inc</t>
  </si>
  <si>
    <t>Strive Inc</t>
  </si>
  <si>
    <t>SEMR US</t>
  </si>
  <si>
    <t>ADBE US</t>
  </si>
  <si>
    <t>SEMrush Holdings Inc</t>
  </si>
  <si>
    <t>Adobe Inc</t>
  </si>
  <si>
    <t>VRE US</t>
  </si>
  <si>
    <t>Veris Residential Inc</t>
  </si>
  <si>
    <t>USAA Real Estate Co,Vista Hill Partners LLC</t>
  </si>
  <si>
    <t>SCS US</t>
  </si>
  <si>
    <t>HNI US</t>
  </si>
  <si>
    <t>Steelcase Inc</t>
  </si>
  <si>
    <t>HNI Corp</t>
  </si>
  <si>
    <t>VBTX US</t>
  </si>
  <si>
    <t>Veritex Holdings Inc</t>
  </si>
  <si>
    <t>JAMF US</t>
  </si>
  <si>
    <t>20635Z US</t>
  </si>
  <si>
    <t>Jamf Holding Corp</t>
  </si>
  <si>
    <t>Francisco Partners Management LLC</t>
  </si>
  <si>
    <t>IAS US</t>
  </si>
  <si>
    <t>893791Z CN</t>
  </si>
  <si>
    <t>Integral Ad Science Holding Co</t>
  </si>
  <si>
    <t>Novacap Investments Inc</t>
  </si>
  <si>
    <t>SKYT US</t>
  </si>
  <si>
    <t>IONQ US</t>
  </si>
  <si>
    <t>SkyWater Technology Inc</t>
  </si>
  <si>
    <t>IonQ Inc</t>
  </si>
  <si>
    <t>SILA US</t>
  </si>
  <si>
    <t>1041777D US</t>
  </si>
  <si>
    <t>Sila Realty Trust Inc</t>
  </si>
  <si>
    <t>Oak Street Real Estate Capital LLC</t>
  </si>
  <si>
    <t>NFBK US</t>
  </si>
  <si>
    <t>CLBK US</t>
  </si>
  <si>
    <t>Northfield Bancorp Inc</t>
  </si>
  <si>
    <t>Columbia Financial Inc</t>
  </si>
  <si>
    <t>RAPT US</t>
  </si>
  <si>
    <t>RAPT Therapeutics Inc</t>
  </si>
  <si>
    <t>DNTL CN</t>
  </si>
  <si>
    <t>26026Z US</t>
  </si>
  <si>
    <t>dentalcorp Holdings Ltd</t>
  </si>
  <si>
    <t>GTCR Golder Rauner LLC</t>
  </si>
  <si>
    <t>MLNK US</t>
  </si>
  <si>
    <t>804856Z US</t>
  </si>
  <si>
    <t>MeridianLink Inc</t>
  </si>
  <si>
    <t>Centerbridge Partners LP</t>
  </si>
  <si>
    <t>STR US</t>
  </si>
  <si>
    <t>VNOM US</t>
  </si>
  <si>
    <t>Sitio Royalties Corp</t>
  </si>
  <si>
    <t>Viper Energy Inc</t>
  </si>
  <si>
    <t>BRDG US</t>
  </si>
  <si>
    <t>APO US</t>
  </si>
  <si>
    <t>Bridge Investment Group Holdings Inc</t>
  </si>
  <si>
    <t>Apollo Global Management Inc</t>
  </si>
  <si>
    <t>STAA US</t>
  </si>
  <si>
    <t>ALC SW</t>
  </si>
  <si>
    <t>STAAR Surgical Co</t>
  </si>
  <si>
    <t>Alcon Inc</t>
  </si>
  <si>
    <t>HOUS US</t>
  </si>
  <si>
    <t>COMP US</t>
  </si>
  <si>
    <t>Anywhere Real Estate Inc</t>
  </si>
  <si>
    <t>Compass Inc</t>
  </si>
  <si>
    <t>PLYA US</t>
  </si>
  <si>
    <t>H US</t>
  </si>
  <si>
    <t>Playa Hotels &amp; Resorts NV</t>
  </si>
  <si>
    <t>Hyatt Hotels Corp</t>
  </si>
  <si>
    <t>ARIS US</t>
  </si>
  <si>
    <t>WES US</t>
  </si>
  <si>
    <t>Aris Water Solution Inc</t>
  </si>
  <si>
    <t>Western Midstream Partners LP</t>
  </si>
  <si>
    <t>LEG US</t>
  </si>
  <si>
    <t>SGI US</t>
  </si>
  <si>
    <t>Leggett &amp; Platt Inc</t>
  </si>
  <si>
    <t>Somnigroup International Inc</t>
  </si>
  <si>
    <t>AND CN</t>
  </si>
  <si>
    <t>UPS US</t>
  </si>
  <si>
    <t>Andlauer Healthcare Group Inc</t>
  </si>
  <si>
    <t>United Parcel Service Inc</t>
  </si>
  <si>
    <t>PGRE US</t>
  </si>
  <si>
    <t>RITM US</t>
  </si>
  <si>
    <t>Paramount Group Inc</t>
  </si>
  <si>
    <t>Rithm Capital Corp</t>
  </si>
  <si>
    <t>IIP-U CN</t>
  </si>
  <si>
    <t>InterRent Real Estate Investment Trust</t>
  </si>
  <si>
    <t>GIC Pte Ltd,CLV Group Inc</t>
  </si>
  <si>
    <t>Singapore</t>
  </si>
  <si>
    <t>NVEE US</t>
  </si>
  <si>
    <t>TIC US</t>
  </si>
  <si>
    <t>NV5 Global Inc</t>
  </si>
  <si>
    <t>TIC Solutions Inc</t>
  </si>
  <si>
    <t>British Virgin Islands</t>
  </si>
  <si>
    <t>KALV US</t>
  </si>
  <si>
    <t>97612Z IM</t>
  </si>
  <si>
    <t>KalVista Pharmaceuticals Inc</t>
  </si>
  <si>
    <t>Chiesi Farmaceutici SpA</t>
  </si>
  <si>
    <t>Italy</t>
  </si>
  <si>
    <t>OLPX US</t>
  </si>
  <si>
    <t>HEN3 GR</t>
  </si>
  <si>
    <t>Olaplex Holdings Inc</t>
  </si>
  <si>
    <t>Henkel AG &amp; Co KGaA</t>
  </si>
  <si>
    <t>RDFN US</t>
  </si>
  <si>
    <t>Redfin Corp</t>
  </si>
  <si>
    <t>TWO US</t>
  </si>
  <si>
    <t>UWMC US</t>
  </si>
  <si>
    <t>Two Harbors Investment Corp</t>
  </si>
  <si>
    <t>UWM Holdings Corp</t>
  </si>
  <si>
    <t>BASE US</t>
  </si>
  <si>
    <t>1992552D US</t>
  </si>
  <si>
    <t>Couchbase Inc</t>
  </si>
  <si>
    <t>Haveli Investment LP</t>
  </si>
  <si>
    <t>LB CN</t>
  </si>
  <si>
    <t>1785877D CN</t>
  </si>
  <si>
    <t>Laurentian Bank of Canada</t>
  </si>
  <si>
    <t>Duo Bank of Canada</t>
  </si>
  <si>
    <t>PRA US</t>
  </si>
  <si>
    <t>13424Z US</t>
  </si>
  <si>
    <t>ProAssurance Corp</t>
  </si>
  <si>
    <t>Doctors Co/The</t>
  </si>
  <si>
    <t>TRML US</t>
  </si>
  <si>
    <t>Tourmaline Bio Inc</t>
  </si>
  <si>
    <t>2596445D US</t>
  </si>
  <si>
    <t>CrossCountry Intermediate HoldCo LLC</t>
  </si>
  <si>
    <t>VRNT US</t>
  </si>
  <si>
    <t>Verint Systems Inc</t>
  </si>
  <si>
    <t>VMEO US</t>
  </si>
  <si>
    <t>Vimeo Inc</t>
  </si>
  <si>
    <t>Bending Spoons SpA</t>
  </si>
  <si>
    <t>HSII US</t>
  </si>
  <si>
    <t>Heidrick &amp; Struggles International Inc</t>
  </si>
  <si>
    <t>Salem Capital Management Inc,Mousse Partners Ltd,Corvex Management LP,Barcliff LLC,TF CORNERSTONE INC,Highsage Ventures LLC,Advent International Corp (Fund: Advent International GPE XI)</t>
  </si>
  <si>
    <t>MRC US</t>
  </si>
  <si>
    <t>DNOW US</t>
  </si>
  <si>
    <t>MRC Global Inc</t>
  </si>
  <si>
    <t>DNOW Inc</t>
  </si>
  <si>
    <t>CCO US</t>
  </si>
  <si>
    <t>1448162D UH</t>
  </si>
  <si>
    <t>Clear Channel Outdoor Holdings Inc</t>
  </si>
  <si>
    <t>Mubadala Investment Co PJSC</t>
  </si>
  <si>
    <t>United Arab Emirates</t>
  </si>
  <si>
    <t>ASCU CN</t>
  </si>
  <si>
    <t>HBM CN</t>
  </si>
  <si>
    <t>Arizona Sonoran Copper Co Inc</t>
  </si>
  <si>
    <t>Hudbay Minerals Inc</t>
  </si>
  <si>
    <t>AVNS US</t>
  </si>
  <si>
    <t>30850Z US</t>
  </si>
  <si>
    <t>Avanos Medical Inc</t>
  </si>
  <si>
    <t>American Industrial Partners LP</t>
  </si>
  <si>
    <t>GLDD US</t>
  </si>
  <si>
    <t>685748Z US</t>
  </si>
  <si>
    <t>Great Lakes Dredge &amp; Dock Corp</t>
  </si>
  <si>
    <t>Saltchuk Resources Inc</t>
  </si>
  <si>
    <t>THS US</t>
  </si>
  <si>
    <t>300808Z IM</t>
  </si>
  <si>
    <t>TreeHouse Foods Inc</t>
  </si>
  <si>
    <t>Investindustrial Advisors SpA</t>
  </si>
  <si>
    <t>PRO US</t>
  </si>
  <si>
    <t>PROS Holdings Inc</t>
  </si>
  <si>
    <t>SSTK US</t>
  </si>
  <si>
    <t>GETY US</t>
  </si>
  <si>
    <t>Shutterstock Inc</t>
  </si>
  <si>
    <t>Getty Images Holdings Inc</t>
  </si>
  <si>
    <t>FNA US</t>
  </si>
  <si>
    <t>ZBH US</t>
  </si>
  <si>
    <t>Paragon 28 Inc</t>
  </si>
  <si>
    <t>Zimmer Biomet Holdings Inc</t>
  </si>
  <si>
    <t>GCG/A CN</t>
  </si>
  <si>
    <t>1407Z CN</t>
  </si>
  <si>
    <t>Guardian Capital Group Ltd</t>
  </si>
  <si>
    <t>Mouvement des caisses Desjardins</t>
  </si>
  <si>
    <t>SEM US</t>
  </si>
  <si>
    <t>Select Medical Holdings Corp</t>
  </si>
  <si>
    <t>Private Investor,Welsh Carson Anderson &amp; Stowe LP (Fund: WCAS XIV LP)</t>
  </si>
  <si>
    <t>KW US</t>
  </si>
  <si>
    <t>Kennedy-Wilson Holdings Inc</t>
  </si>
  <si>
    <t>Fairfax Financial Holdings Ltd,Management Group</t>
  </si>
  <si>
    <t>ENFN US</t>
  </si>
  <si>
    <t>Enfusion Inc</t>
  </si>
  <si>
    <t>ETWO US</t>
  </si>
  <si>
    <t>WTC AU</t>
  </si>
  <si>
    <t>E2open Parent Holdings Inc</t>
  </si>
  <si>
    <t>WiseTech Global Ltd</t>
  </si>
  <si>
    <t>Australia</t>
  </si>
  <si>
    <t>CHTH US</t>
  </si>
  <si>
    <t>SNDA US</t>
  </si>
  <si>
    <t>CNL Healthcare Properties Inc</t>
  </si>
  <si>
    <t>Sonida Senior Living Inc</t>
  </si>
  <si>
    <t>GNK US</t>
  </si>
  <si>
    <t>DSX US</t>
  </si>
  <si>
    <t>Genco Shipping &amp; Trading Ltd</t>
  </si>
  <si>
    <t>Diana Shipping Inc</t>
  </si>
  <si>
    <t>Greece</t>
  </si>
  <si>
    <t>VTYX US</t>
  </si>
  <si>
    <t>Ventyx Biosciences Inc</t>
  </si>
  <si>
    <t>EEX US</t>
  </si>
  <si>
    <t>Emerald Holding Inc</t>
  </si>
  <si>
    <t>PLYM US</t>
  </si>
  <si>
    <t>Plymouth Industrial REIT Inc</t>
  </si>
  <si>
    <t>Ares Alternative Credit Management LLC,Makarora Management LP</t>
  </si>
  <si>
    <t>WSR US</t>
  </si>
  <si>
    <t>ARES US</t>
  </si>
  <si>
    <t>Whitestone REIT</t>
  </si>
  <si>
    <t>Ares Management Corp</t>
  </si>
  <si>
    <t>UDMY US</t>
  </si>
  <si>
    <t>COUR US</t>
  </si>
  <si>
    <t>Udemy Inc</t>
  </si>
  <si>
    <t>Coursera Inc</t>
  </si>
  <si>
    <t>VERV US</t>
  </si>
  <si>
    <t>Verve Therapeutics Inc</t>
  </si>
  <si>
    <t>SNCY US</t>
  </si>
  <si>
    <t>ALGT US</t>
  </si>
  <si>
    <t>Sun Country Airlines Holdings Inc</t>
  </si>
  <si>
    <t>Allegiant Travel Co</t>
  </si>
  <si>
    <t>SPTN US</t>
  </si>
  <si>
    <t>22983Z US</t>
  </si>
  <si>
    <t>SpartanNash Co</t>
  </si>
  <si>
    <t>C&amp;S Wholesale Grocers Inc</t>
  </si>
  <si>
    <t>GES US</t>
  </si>
  <si>
    <t>AUTH US</t>
  </si>
  <si>
    <t>Guess? Inc</t>
  </si>
  <si>
    <t>Authentic Brands Group Inc</t>
  </si>
  <si>
    <t>TALK US</t>
  </si>
  <si>
    <t>UHS US</t>
  </si>
  <si>
    <t>Talkspace Inc</t>
  </si>
  <si>
    <t>Universal Health Services Inc</t>
  </si>
  <si>
    <t>MOFG US</t>
  </si>
  <si>
    <t>NIC US</t>
  </si>
  <si>
    <t>MidWestOne Financial Group Inc</t>
  </si>
  <si>
    <t>Nicolet Bankshares Inc</t>
  </si>
  <si>
    <t>AMWD US</t>
  </si>
  <si>
    <t>MBC US</t>
  </si>
  <si>
    <t>American Woodmark Corp</t>
  </si>
  <si>
    <t>Masterbrand Inc</t>
  </si>
  <si>
    <t>FARO US</t>
  </si>
  <si>
    <t>AME US</t>
  </si>
  <si>
    <t>FARO Technologies Inc</t>
  </si>
  <si>
    <t>AMETEK Inc</t>
  </si>
  <si>
    <t>ODP US</t>
  </si>
  <si>
    <t>743428Z US</t>
  </si>
  <si>
    <t>ODP Corp/The</t>
  </si>
  <si>
    <t>Atlas Holdings LLC</t>
  </si>
  <si>
    <t>RDUS US</t>
  </si>
  <si>
    <t>8015 JP</t>
  </si>
  <si>
    <t>Radius Recycling Inc</t>
  </si>
  <si>
    <t>Toyota Tsusho Corp</t>
  </si>
  <si>
    <t>CTLP US</t>
  </si>
  <si>
    <t>0943566D US</t>
  </si>
  <si>
    <t>Cantaloupe Inc</t>
  </si>
  <si>
    <t>365 Retail Markets LLC</t>
  </si>
  <si>
    <t>ESPR US</t>
  </si>
  <si>
    <t>1011231D FP</t>
  </si>
  <si>
    <t>Esperion Therapeutics Inc</t>
  </si>
  <si>
    <t>ArchiMed SAS</t>
  </si>
  <si>
    <t>AMPS US</t>
  </si>
  <si>
    <t>3561950Z US</t>
  </si>
  <si>
    <t>Altus Power Inc</t>
  </si>
  <si>
    <t>TPG Growth LLC</t>
  </si>
  <si>
    <t>RGLS US</t>
  </si>
  <si>
    <t>Regulus Therapeutics Inc</t>
  </si>
  <si>
    <t>CTS CN</t>
  </si>
  <si>
    <t>61128Z US</t>
  </si>
  <si>
    <t>Converge Technology Solutions Corp</t>
  </si>
  <si>
    <t>HIG Capital LLC</t>
  </si>
  <si>
    <t>SOY CN</t>
  </si>
  <si>
    <t>0809797D US</t>
  </si>
  <si>
    <t>SunOpta Inc</t>
  </si>
  <si>
    <t>Refresco US Inc</t>
  </si>
  <si>
    <t>HTBK US</t>
  </si>
  <si>
    <t>CVBF US</t>
  </si>
  <si>
    <t>Heritage Commerce Corp</t>
  </si>
  <si>
    <t>CVB Financial Corp</t>
  </si>
  <si>
    <t>KEC CN</t>
  </si>
  <si>
    <t>2305707D CN</t>
  </si>
  <si>
    <t>Kiwetinohk Energy Corp</t>
  </si>
  <si>
    <t>Cygnet Energy Ltd</t>
  </si>
  <si>
    <t>PKST US</t>
  </si>
  <si>
    <t>BAM CN</t>
  </si>
  <si>
    <t>Peakstone Realty Trust</t>
  </si>
  <si>
    <t>Brookfield Asset Management Inc Manager</t>
  </si>
  <si>
    <t>CMRX US</t>
  </si>
  <si>
    <t>JAZZ US</t>
  </si>
  <si>
    <t>Chimerix Inc</t>
  </si>
  <si>
    <t>Jazz Pharmaceuticals PLC</t>
  </si>
  <si>
    <t>MCW US</t>
  </si>
  <si>
    <t>24469Z US</t>
  </si>
  <si>
    <t>Mister Car Wash Inc</t>
  </si>
  <si>
    <t>Leonard Green &amp; Partners LP</t>
  </si>
  <si>
    <t>GDEN US</t>
  </si>
  <si>
    <t>VICI US</t>
  </si>
  <si>
    <t>Golden Entertainment Inc</t>
  </si>
  <si>
    <t>VICI Properties Inc</t>
  </si>
  <si>
    <t>RBX CN</t>
  </si>
  <si>
    <t>PDI AU</t>
  </si>
  <si>
    <t>Robex Resources Inc</t>
  </si>
  <si>
    <t>Predictive Discovery Ltd</t>
  </si>
  <si>
    <t>EHAB US</t>
  </si>
  <si>
    <t>884187Z US</t>
  </si>
  <si>
    <t>Enhabit Inc</t>
  </si>
  <si>
    <t>Kinderhook Industries LLC</t>
  </si>
  <si>
    <t>ISC CN</t>
  </si>
  <si>
    <t>2472407D CN</t>
  </si>
  <si>
    <t>Information Services Corp</t>
  </si>
  <si>
    <t>Plenary Americas LP</t>
  </si>
  <si>
    <t>VTLE US</t>
  </si>
  <si>
    <t>CRGY US</t>
  </si>
  <si>
    <t>Vital Energy Inc</t>
  </si>
  <si>
    <t>Crescent Energy Co</t>
  </si>
  <si>
    <t>ECN CN</t>
  </si>
  <si>
    <t>ECN Capital Corp</t>
  </si>
  <si>
    <t>Warburg Pincus LLC,Goodview Capital Corp</t>
  </si>
  <si>
    <t>FRGE US</t>
  </si>
  <si>
    <t>SCHW US</t>
  </si>
  <si>
    <t>Forge Global Holdings Inc</t>
  </si>
  <si>
    <t>Charles Schwab Corp/The</t>
  </si>
  <si>
    <t>PHLT US</t>
  </si>
  <si>
    <t>1659431D US</t>
  </si>
  <si>
    <t>Performant Healthcare Inc</t>
  </si>
  <si>
    <t>Machinify Inc</t>
  </si>
  <si>
    <t>9996201D US</t>
  </si>
  <si>
    <t>MCHB US</t>
  </si>
  <si>
    <t>Mechanics Bank/Walnut Creek CA</t>
  </si>
  <si>
    <t>Mechanics Bancorp</t>
  </si>
  <si>
    <t>FFIC US</t>
  </si>
  <si>
    <t>OCFC US</t>
  </si>
  <si>
    <t>Flushing Financial Corp</t>
  </si>
  <si>
    <t>OceanFirst Financial Corp</t>
  </si>
  <si>
    <t>ACCD US</t>
  </si>
  <si>
    <t>2540719D US</t>
  </si>
  <si>
    <t>Accolade Inc</t>
  </si>
  <si>
    <t>Transcarent Inc/Colorado</t>
  </si>
  <si>
    <t>BLN CN</t>
  </si>
  <si>
    <t>Blackline Safety Corp</t>
  </si>
  <si>
    <t>NHHS US</t>
  </si>
  <si>
    <t>WELL US</t>
  </si>
  <si>
    <t>NorthStar Healthcare Income Inc</t>
  </si>
  <si>
    <t>Welltower Inc</t>
  </si>
  <si>
    <t>SSUP US</t>
  </si>
  <si>
    <t>Superior Industries International Inc</t>
  </si>
  <si>
    <t>Oaktree Capital Management LP,SUP Parent Holdings LLC</t>
  </si>
  <si>
    <t>ZIMV US</t>
  </si>
  <si>
    <t>Zimvie Inc</t>
  </si>
  <si>
    <t>FFWM US</t>
  </si>
  <si>
    <t>FSUN US</t>
  </si>
  <si>
    <t>First Foundation Inc</t>
  </si>
  <si>
    <t>Firstsun Capital Bancorp</t>
  </si>
  <si>
    <t>MI-U CN</t>
  </si>
  <si>
    <t>8272866Z CN</t>
  </si>
  <si>
    <t>Minto Apartment Real Estate Investment Trust</t>
  </si>
  <si>
    <t>Crestpoint Real Estate Investments Ltd</t>
  </si>
  <si>
    <t>PBPB US</t>
  </si>
  <si>
    <t>1039759Z US</t>
  </si>
  <si>
    <t>Potbelly Corp</t>
  </si>
  <si>
    <t>RaceTrac Petroleum Inc</t>
  </si>
  <si>
    <t>HONE US</t>
  </si>
  <si>
    <t>EBC US</t>
  </si>
  <si>
    <t>HarborOne Bancorp Inc</t>
  </si>
  <si>
    <t>Eastern Bankshares Inc</t>
  </si>
  <si>
    <t>TIXT CN</t>
  </si>
  <si>
    <t>T CN</t>
  </si>
  <si>
    <t>TELUS International CDA Inc</t>
  </si>
  <si>
    <t>TELUS Corp</t>
  </si>
  <si>
    <t>XOMA US</t>
  </si>
  <si>
    <t>LGND US</t>
  </si>
  <si>
    <t>XOMA Royalty Corporation</t>
  </si>
  <si>
    <t>Ligand Pharmaceuticals Inc</t>
  </si>
  <si>
    <t>ZEUS US</t>
  </si>
  <si>
    <t>RYZ US</t>
  </si>
  <si>
    <t>Olympic Steel Inc</t>
  </si>
  <si>
    <t>Ryerson Holding Corp</t>
  </si>
  <si>
    <t>LSEA US</t>
  </si>
  <si>
    <t>NWHM US</t>
  </si>
  <si>
    <t>Landsea Homes Corp</t>
  </si>
  <si>
    <t>New Home Co Inc/The</t>
  </si>
  <si>
    <t>GDI CN</t>
  </si>
  <si>
    <t>GDI Integrated Facility Services Inc</t>
  </si>
  <si>
    <t>Gestion Claude Bigras Inc,Birch Hill Equity Partners Management Inc (Fund: Birch Hill Equity Partners VI LP)</t>
  </si>
  <si>
    <t>TBRG US</t>
  </si>
  <si>
    <t>IKS IN</t>
  </si>
  <si>
    <t>TruBridge Inc</t>
  </si>
  <si>
    <t>Inventurus Knowledge Solutions Ltd</t>
  </si>
  <si>
    <t>DENN US</t>
  </si>
  <si>
    <t>Denny's Corp</t>
  </si>
  <si>
    <t>CoVenture LLC,Yadav Enterprises Inc,TriArtisan Capital Advisors LLC</t>
  </si>
  <si>
    <t>BRY US</t>
  </si>
  <si>
    <t>CRC US</t>
  </si>
  <si>
    <t>Berry Corp</t>
  </si>
  <si>
    <t>California Resources Corp</t>
  </si>
  <si>
    <t>WOW US</t>
  </si>
  <si>
    <t>WideOpenWest Inc</t>
  </si>
  <si>
    <t>Digital Bridge Holdings LLC,Crestview Partners LP/NY (Fund: Crestview Partners IV LP)</t>
  </si>
  <si>
    <t>NDOI US</t>
  </si>
  <si>
    <t>MNKTQ US</t>
  </si>
  <si>
    <t>Endo LP</t>
  </si>
  <si>
    <t>Mallinckrodt PLC</t>
  </si>
  <si>
    <t>RPR-U CN</t>
  </si>
  <si>
    <t>CKI CN</t>
  </si>
  <si>
    <t>Ravelin Properties REIT</t>
  </si>
  <si>
    <t>Clarke Inc</t>
  </si>
  <si>
    <t>NSA US</t>
  </si>
  <si>
    <t>PSA US</t>
  </si>
  <si>
    <t>National Storage Affiliates Trust</t>
  </si>
  <si>
    <t>Public Storage</t>
  </si>
  <si>
    <t>N/A</t>
  </si>
  <si>
    <t>DAWN US</t>
  </si>
  <si>
    <t>2296308D FP</t>
  </si>
  <si>
    <t>Day One Biopharmaceuticals Inc</t>
  </si>
  <si>
    <t>Servier SAS</t>
  </si>
  <si>
    <t>Days to Complete</t>
  </si>
  <si>
    <t>Tender (Y/N)</t>
  </si>
  <si>
    <t>Y</t>
  </si>
  <si>
    <t>Consideration</t>
  </si>
  <si>
    <t>Target Industry Sector</t>
  </si>
  <si>
    <t>Target Industry Group</t>
  </si>
  <si>
    <t>Target Industry Subgroup</t>
  </si>
  <si>
    <t>Utilities</t>
  </si>
  <si>
    <t>Electric Utilities</t>
  </si>
  <si>
    <t>Communications</t>
  </si>
  <si>
    <t>Media</t>
  </si>
  <si>
    <t>Entertainment Content</t>
  </si>
  <si>
    <t>Industrials</t>
  </si>
  <si>
    <t>Industrial Services</t>
  </si>
  <si>
    <t>Transportation &amp; Logistics</t>
  </si>
  <si>
    <t>Consumer Staples</t>
  </si>
  <si>
    <t>Consumer Staple Products</t>
  </si>
  <si>
    <t>Household Products</t>
  </si>
  <si>
    <t>Retail &amp; Wholesale - Staples</t>
  </si>
  <si>
    <t>Retail - Consumer Staples</t>
  </si>
  <si>
    <t>Consumer Discretionary</t>
  </si>
  <si>
    <t>Consumer Discretionary Services</t>
  </si>
  <si>
    <t>Leisure Facilities &amp; Services</t>
  </si>
  <si>
    <t>Real Estate</t>
  </si>
  <si>
    <t>REIT</t>
  </si>
  <si>
    <t>Energy</t>
  </si>
  <si>
    <t>Oil &amp; Gas</t>
  </si>
  <si>
    <t>Oil &amp; Gas Supply Chain</t>
  </si>
  <si>
    <t>Technology</t>
  </si>
  <si>
    <t>Software &amp; Tech Services</t>
  </si>
  <si>
    <t>Software</t>
  </si>
  <si>
    <t>Health Care</t>
  </si>
  <si>
    <t>Medical Equipment &amp; Devices</t>
  </si>
  <si>
    <t>Gas &amp; Water Utilities</t>
  </si>
  <si>
    <t>Materials</t>
  </si>
  <si>
    <t>Metals &amp; Mining</t>
  </si>
  <si>
    <t>Engineering &amp; Construction</t>
  </si>
  <si>
    <t>Biotech &amp; Pharma</t>
  </si>
  <si>
    <t>Industrial Products</t>
  </si>
  <si>
    <t>Industrial Intermediate Prod</t>
  </si>
  <si>
    <t>Chemicals</t>
  </si>
  <si>
    <t>Financials</t>
  </si>
  <si>
    <t>Banking</t>
  </si>
  <si>
    <t>Telecommunications</t>
  </si>
  <si>
    <t>Retail &amp; Whsle - Discretionary</t>
  </si>
  <si>
    <t>Retail - Discretionary</t>
  </si>
  <si>
    <t>Insurance</t>
  </si>
  <si>
    <t>Consumer Discretionary Products</t>
  </si>
  <si>
    <t>Apparel &amp; Textile Products</t>
  </si>
  <si>
    <t>Containers &amp; Packaging</t>
  </si>
  <si>
    <t>Tech Hardware &amp; Semiconductors</t>
  </si>
  <si>
    <t>Semiconductors</t>
  </si>
  <si>
    <t>Financial Services</t>
  </si>
  <si>
    <t>Specialty Finance</t>
  </si>
  <si>
    <t>Home Construction</t>
  </si>
  <si>
    <t>Publishing &amp; Broadcasting</t>
  </si>
  <si>
    <t>Asset Management</t>
  </si>
  <si>
    <t>Industrial Support Services</t>
  </si>
  <si>
    <t>Oil &amp; Gas Services &amp; Equip</t>
  </si>
  <si>
    <t>Commercial Support Services</t>
  </si>
  <si>
    <t>Real Estate Services</t>
  </si>
  <si>
    <t>Machinery</t>
  </si>
  <si>
    <t>Beverages</t>
  </si>
  <si>
    <t>Health Care Facilities &amp; Svcs</t>
  </si>
  <si>
    <t>Technology Hardware</t>
  </si>
  <si>
    <t>Transportation Equipment</t>
  </si>
  <si>
    <t>Aerospace &amp; Defense</t>
  </si>
  <si>
    <t>Food</t>
  </si>
  <si>
    <t>Home &amp; Office Products</t>
  </si>
  <si>
    <t>IT Services</t>
  </si>
  <si>
    <t>Cable &amp; Satellite</t>
  </si>
  <si>
    <t>Internet Media &amp; Services</t>
  </si>
  <si>
    <t>Real Estate Owners &amp; Developers</t>
  </si>
  <si>
    <t>Automotive</t>
  </si>
  <si>
    <t>Renewable Energy</t>
  </si>
  <si>
    <t>Electrical Equipment</t>
  </si>
  <si>
    <t>Steel</t>
  </si>
  <si>
    <t>Consumer Services</t>
  </si>
  <si>
    <t>Institutional Financial Svcs</t>
  </si>
  <si>
    <t>Cash Tender</t>
  </si>
  <si>
    <t xml:space="preserve">Cash </t>
  </si>
  <si>
    <t>Median Days</t>
  </si>
  <si>
    <t>Average Days to Complete by Sector &amp; Consideration</t>
  </si>
  <si>
    <t>Industry Sector</t>
  </si>
  <si>
    <t>All Deals</t>
  </si>
  <si>
    <t>Completed (n)</t>
  </si>
  <si>
    <t>All Sectors</t>
  </si>
  <si>
    <t>Avg Days</t>
  </si>
  <si>
    <t>Sector</t>
  </si>
  <si>
    <t>Median Days to Complete by Sector &amp; Consideration</t>
  </si>
  <si>
    <t>TICKER</t>
  </si>
  <si>
    <t>Day Ann.</t>
  </si>
  <si>
    <t>Initial Close Est.</t>
  </si>
  <si>
    <t>Actual Close</t>
  </si>
  <si>
    <t>Days Est.</t>
  </si>
  <si>
    <t>Days to Close</t>
  </si>
  <si>
    <t>Days Err. (late)</t>
  </si>
  <si>
    <t>Abs. Days Err.</t>
  </si>
  <si>
    <t>Security</t>
  </si>
  <si>
    <t>Last Px</t>
  </si>
  <si>
    <t>DOJ/FTC/CC</t>
  </si>
  <si>
    <t>Cash/Stock (or Mix)/Tender</t>
  </si>
  <si>
    <t>Cash/Tender/Stock/Mix</t>
  </si>
  <si>
    <t>TMHC</t>
  </si>
  <si>
    <t>CZR</t>
  </si>
  <si>
    <t>D</t>
  </si>
  <si>
    <t>RAMP</t>
  </si>
  <si>
    <t>CPRX</t>
  </si>
  <si>
    <t>CCRN</t>
  </si>
  <si>
    <t>GBTG</t>
  </si>
  <si>
    <t>ESPR</t>
  </si>
  <si>
    <t>KALV</t>
  </si>
  <si>
    <t>Tender</t>
  </si>
  <si>
    <t xml:space="preserve">OGN </t>
  </si>
  <si>
    <t>2/15/27</t>
  </si>
  <si>
    <t>XOMA</t>
  </si>
  <si>
    <t>7/20/26</t>
  </si>
  <si>
    <t>ARX</t>
  </si>
  <si>
    <t>11/25/26</t>
  </si>
  <si>
    <t>SILA</t>
  </si>
  <si>
    <t>BLD</t>
  </si>
  <si>
    <t>Mix</t>
  </si>
  <si>
    <t xml:space="preserve">RUP CN </t>
  </si>
  <si>
    <t>Med. Days off</t>
  </si>
  <si>
    <t>Avg. Abs. Days Off</t>
  </si>
  <si>
    <t>Avg. Net Days off</t>
  </si>
  <si>
    <t>AVNS</t>
  </si>
  <si>
    <t>GSAT</t>
  </si>
  <si>
    <t>LEG</t>
  </si>
  <si>
    <t>WSR</t>
  </si>
  <si>
    <t xml:space="preserve">BLN CN </t>
  </si>
  <si>
    <t>SLNO</t>
  </si>
  <si>
    <t>CNTA</t>
  </si>
  <si>
    <t>APLS</t>
  </si>
  <si>
    <t>TWO</t>
  </si>
  <si>
    <t>OLPX</t>
  </si>
  <si>
    <t>CRBG</t>
  </si>
  <si>
    <t>TERN</t>
  </si>
  <si>
    <t>TALK</t>
  </si>
  <si>
    <t>NSA</t>
  </si>
  <si>
    <t>UNF</t>
  </si>
  <si>
    <t>MCW</t>
  </si>
  <si>
    <t>TPH</t>
  </si>
  <si>
    <t>GLDD</t>
  </si>
  <si>
    <t>VAL</t>
  </si>
  <si>
    <t>CCO</t>
  </si>
  <si>
    <t>STKL</t>
  </si>
  <si>
    <t>SLAB</t>
  </si>
  <si>
    <t>WBS</t>
  </si>
  <si>
    <t>CTRA</t>
  </si>
  <si>
    <t>NFBK</t>
  </si>
  <si>
    <t>PKST</t>
  </si>
  <si>
    <t>STEL</t>
  </si>
  <si>
    <t>SKYT</t>
  </si>
  <si>
    <t>RAPT</t>
  </si>
  <si>
    <t>PEN</t>
  </si>
  <si>
    <t>SNCY</t>
  </si>
  <si>
    <t>VTYX</t>
  </si>
  <si>
    <t>OS</t>
  </si>
  <si>
    <t>FFIC</t>
  </si>
  <si>
    <t>ONTF</t>
  </si>
  <si>
    <t>DBRG</t>
  </si>
  <si>
    <t>DVAX</t>
  </si>
  <si>
    <t>CWAN</t>
  </si>
  <si>
    <t>JHG</t>
  </si>
  <si>
    <t>DHIL</t>
  </si>
  <si>
    <t>DVS</t>
  </si>
  <si>
    <t>CFLT</t>
  </si>
  <si>
    <t>ALEX</t>
  </si>
  <si>
    <t>EXAS</t>
  </si>
  <si>
    <t>SEMR</t>
  </si>
  <si>
    <t>AXTA</t>
  </si>
  <si>
    <t>SEE</t>
  </si>
  <si>
    <t>CDTX</t>
  </si>
  <si>
    <t xml:space="preserve">THS </t>
  </si>
  <si>
    <t>BHF</t>
  </si>
  <si>
    <t>GDEN</t>
  </si>
  <si>
    <t>FRGE</t>
  </si>
  <si>
    <t>KVUE</t>
  </si>
  <si>
    <t>NGD</t>
  </si>
  <si>
    <t>CIVI</t>
  </si>
  <si>
    <t>DENN</t>
  </si>
  <si>
    <t>PRB CN</t>
  </si>
  <si>
    <t>REVG</t>
  </si>
  <si>
    <t>CSGS</t>
  </si>
  <si>
    <t>JAMF</t>
  </si>
  <si>
    <t>QRVO</t>
  </si>
  <si>
    <t>ZEUS</t>
  </si>
  <si>
    <t>RNA</t>
  </si>
  <si>
    <t>WTRG</t>
  </si>
  <si>
    <t>FFWM</t>
  </si>
  <si>
    <t>CADE</t>
  </si>
  <si>
    <t>PLYM</t>
  </si>
  <si>
    <t>MOFG</t>
  </si>
  <si>
    <t>AVDL</t>
  </si>
  <si>
    <t>HOLX</t>
  </si>
  <si>
    <t>HI</t>
  </si>
  <si>
    <t>PCH</t>
  </si>
  <si>
    <t>ATXS</t>
  </si>
  <si>
    <t>AKRO</t>
  </si>
  <si>
    <t>CMA</t>
  </si>
  <si>
    <t>HSII</t>
  </si>
  <si>
    <t>VECO</t>
  </si>
  <si>
    <t>EA</t>
  </si>
  <si>
    <t>MRUS</t>
  </si>
  <si>
    <t>IAS</t>
  </si>
  <si>
    <t>HOUS</t>
  </si>
  <si>
    <t>ODP</t>
  </si>
  <si>
    <t>PRO</t>
  </si>
  <si>
    <t>PINC</t>
  </si>
  <si>
    <t>MTSR</t>
  </si>
  <si>
    <t xml:space="preserve">ETNB </t>
  </si>
  <si>
    <t>PGRE</t>
  </si>
  <si>
    <t>BRY</t>
  </si>
  <si>
    <t>VMEO</t>
  </si>
  <si>
    <t>PBPB</t>
  </si>
  <si>
    <t>TECK</t>
  </si>
  <si>
    <t>TRML</t>
  </si>
  <si>
    <t>AL</t>
  </si>
  <si>
    <t>TIXT</t>
  </si>
  <si>
    <t>GCG CN</t>
  </si>
  <si>
    <t>AHL</t>
  </si>
  <si>
    <t xml:space="preserve">VTLE </t>
  </si>
  <si>
    <t>VRNT</t>
  </si>
  <si>
    <t>DAY</t>
  </si>
  <si>
    <t>GES</t>
  </si>
  <si>
    <t>NWE</t>
  </si>
  <si>
    <t>TGNA</t>
  </si>
  <si>
    <t>SHCO</t>
  </si>
  <si>
    <t>SPNS</t>
  </si>
  <si>
    <t>HBI</t>
  </si>
  <si>
    <t>WOW</t>
  </si>
  <si>
    <t>MLNK</t>
  </si>
  <si>
    <t xml:space="preserve">IMXI </t>
  </si>
  <si>
    <t>AMWD</t>
  </si>
  <si>
    <t>2629861D US</t>
  </si>
  <si>
    <t xml:space="preserve">STAA </t>
  </si>
  <si>
    <t>SCS</t>
  </si>
  <si>
    <t>PHLT</t>
  </si>
  <si>
    <t>CYBR</t>
  </si>
  <si>
    <t>GTLS</t>
  </si>
  <si>
    <t xml:space="preserve">NSC </t>
  </si>
  <si>
    <t>CIO</t>
  </si>
  <si>
    <t>SNV</t>
  </si>
  <si>
    <t>ZIMV</t>
  </si>
  <si>
    <t>ITOS</t>
  </si>
  <si>
    <t>ZK</t>
  </si>
  <si>
    <t>VBTX</t>
  </si>
  <si>
    <t>KLG</t>
  </si>
  <si>
    <t>VRNA</t>
  </si>
  <si>
    <t>SAND</t>
  </si>
  <si>
    <t>WNS</t>
  </si>
  <si>
    <t>OLO</t>
  </si>
  <si>
    <t>GMS</t>
  </si>
  <si>
    <t>MRC</t>
  </si>
  <si>
    <t>GNTY</t>
  </si>
  <si>
    <t>SPTN</t>
  </si>
  <si>
    <t>BASE</t>
  </si>
  <si>
    <t>GHLD</t>
  </si>
  <si>
    <t>VERV</t>
  </si>
  <si>
    <t>CTLP</t>
  </si>
  <si>
    <t>SAGE</t>
  </si>
  <si>
    <t>CVAC</t>
  </si>
  <si>
    <t>STR</t>
  </si>
  <si>
    <t>BPMC</t>
  </si>
  <si>
    <t>INFA</t>
  </si>
  <si>
    <t>ETWO</t>
  </si>
  <si>
    <t>MAG</t>
  </si>
  <si>
    <t>VIGL</t>
  </si>
  <si>
    <t>TXNM</t>
  </si>
  <si>
    <t>2649387D US</t>
  </si>
  <si>
    <t>INZY</t>
  </si>
  <si>
    <t>FL</t>
  </si>
  <si>
    <t>NVEE</t>
  </si>
  <si>
    <t>LSEA</t>
  </si>
  <si>
    <t>FARO</t>
  </si>
  <si>
    <t>PKI CN</t>
  </si>
  <si>
    <t>SKX</t>
  </si>
  <si>
    <t>RGLS</t>
  </si>
  <si>
    <t>AVDX</t>
  </si>
  <si>
    <t>GOGL</t>
  </si>
  <si>
    <t>SWTX</t>
  </si>
  <si>
    <t>HONE</t>
  </si>
  <si>
    <t>PPBI</t>
  </si>
  <si>
    <t>LUM</t>
  </si>
  <si>
    <t>M&amp;A Deal Timing Analysis</t>
  </si>
  <si>
    <t>▲ 10 Longest Deals</t>
  </si>
  <si>
    <t>Rank</t>
  </si>
  <si>
    <t>▼ 10 Shortest Deals</t>
  </si>
  <si>
    <t>Longest/Shortest Rankings by Consideration Type</t>
  </si>
  <si>
    <t>TOTAL DEALS</t>
  </si>
  <si>
    <t>TOTAL DEAL VALUE</t>
  </si>
  <si>
    <t>AVG DEAL SIZE</t>
  </si>
  <si>
    <t>MEDIAN PREMIUM</t>
  </si>
  <si>
    <t>COMPLETION RATE</t>
  </si>
  <si>
    <t>PENDING DEALS</t>
  </si>
  <si>
    <t>MEDIAN DAYS TO CLOSE</t>
  </si>
  <si>
    <t>announced</t>
  </si>
  <si>
    <t>$ billions</t>
  </si>
  <si>
    <t>$ billions / deal</t>
  </si>
  <si>
    <t>to unaffected px</t>
  </si>
  <si>
    <t>completed / resolved</t>
  </si>
  <si>
    <t>awaiting close</t>
  </si>
  <si>
    <t>completed deals</t>
  </si>
  <si>
    <t>Monthly Deal Activity</t>
  </si>
  <si>
    <t>Month</t>
  </si>
  <si>
    <t># Deals</t>
  </si>
  <si>
    <t>Cumulative ($mm)</t>
  </si>
  <si>
    <t>% of Deals</t>
  </si>
  <si>
    <t>Total</t>
  </si>
  <si>
    <t>Deal Structure by Consideration</t>
  </si>
  <si>
    <t>Type</t>
  </si>
  <si>
    <t>Avg Premium</t>
  </si>
  <si>
    <t>Activity by Target Industry Sector</t>
  </si>
  <si>
    <t>Median Premium</t>
  </si>
  <si>
    <t>Median TV/EBITDA</t>
  </si>
  <si>
    <t>Total / Median</t>
  </si>
  <si>
    <t>Size Bucket</t>
  </si>
  <si>
    <t>% of Value</t>
  </si>
  <si>
    <t>&lt; $1bn</t>
  </si>
  <si>
    <t>$1–5bn</t>
  </si>
  <si>
    <t>$5–10bn</t>
  </si>
  <si>
    <t>$10–25bn</t>
  </si>
  <si>
    <t>≥ $25bn</t>
  </si>
  <si>
    <t>Metric</t>
  </si>
  <si>
    <t>Target (Break) Fee</t>
  </si>
  <si>
    <t>Acquirer (Reverse) Fee</t>
  </si>
  <si>
    <t>Total ($mm)</t>
  </si>
  <si>
    <t>Average ($mm)</t>
  </si>
  <si>
    <t>Median ($mm)</t>
  </si>
  <si>
    <t>Largest ($mm)</t>
  </si>
  <si>
    <t>Median Fee % of Equity Value</t>
  </si>
  <si>
    <t>Reporting Parameters</t>
  </si>
  <si>
    <t>2025 window start</t>
  </si>
  <si>
    <t>2025 window end</t>
  </si>
  <si>
    <t>2026 window start</t>
  </si>
  <si>
    <t>2026 window end</t>
  </si>
  <si>
    <t># Deals Announced</t>
  </si>
  <si>
    <t>Avg Deal Size ($bn)</t>
  </si>
  <si>
    <t>Median Premium (%)</t>
  </si>
  <si>
    <t>% Cash (by #)</t>
  </si>
  <si>
    <t>% Stock (by #)</t>
  </si>
  <si>
    <t>Median Days to Close</t>
  </si>
  <si>
    <t># Terminated</t>
  </si>
  <si>
    <t>Completion Rate</t>
  </si>
  <si>
    <t>YTD Cutoffs</t>
  </si>
  <si>
    <t>As-of date</t>
  </si>
  <si>
    <t>2025 YTD end</t>
  </si>
  <si>
    <t>2026 YTD end</t>
  </si>
  <si>
    <t>2025 YTD</t>
  </si>
  <si>
    <t>2026 YTD</t>
  </si>
  <si>
    <t>Δ YTD</t>
  </si>
  <si>
    <t>Year-over-Year: YTD Comparison (Jan–Jun, by Announce Date)</t>
  </si>
  <si>
    <t>Note: 'YTD' compares Jan 1 – Jun 22 of each year (same calendar window) for a like-for-like read; 2025 FY shown for reference. Completion rate and median days-to-close for the 2026 cohort are understated, as recently announced deals have had less time to close. Premium in %, multiples in x, value in $bn. Source: Deal Sheet (Table1).</t>
  </si>
  <si>
    <t>2025 FY</t>
  </si>
  <si>
    <t>Min ($mm)</t>
  </si>
  <si>
    <t>Max ($mm)</t>
  </si>
  <si>
    <t>Size Bins (helper)</t>
  </si>
  <si>
    <t>COMPLETED DEALS</t>
  </si>
  <si>
    <t>AVG DAYS TO COMPLETE</t>
  </si>
  <si>
    <t>MEDIAN DAYS TO COMPLETE</t>
  </si>
  <si>
    <t>DEALS STILL PENDING</t>
  </si>
  <si>
    <t>M&amp;A Arbitrage Market Review  —  Trump's 2nd Term</t>
  </si>
  <si>
    <t>** Data Incomplete for Termination Fees from Bberg</t>
  </si>
  <si>
    <t>10 longest and 10 shortest completed deals (by Days to Complete) for each consideration type. 2025-Present. Cash = Cash Merger, Stock = Stock Merger</t>
  </si>
  <si>
    <t>Aggregate Days to Complete</t>
  </si>
  <si>
    <t>Average days from announcement to completion from 2025-present, by industry sector and consideration type — completed deals only      |      Cash = Cash Merger, Stock = Stock Merger</t>
  </si>
  <si>
    <t># Deals with Fee in Bberg</t>
  </si>
  <si>
    <t>Deal Protection: Termination Fees ($mm)  *Incomplete*</t>
  </si>
  <si>
    <t>Stock Tender</t>
  </si>
  <si>
    <t>Churchill Capital Ltd. is licensed to conduct Investment business by the Bermuda Monetary Authority. Churchill Capital’s disclaimer is accessible via https://www.churchillcap.com/#disclaimer</t>
  </si>
  <si>
    <t>TECH US</t>
  </si>
  <si>
    <t>MRK GY</t>
  </si>
  <si>
    <t>Bio-Techne Corp</t>
  </si>
  <si>
    <t>Total Equity Value ($mm)</t>
  </si>
  <si>
    <t>Deal Size Distribution (Announced Equity Value)</t>
  </si>
  <si>
    <t>Total Equity Value ($bn)</t>
  </si>
  <si>
    <t>YS</t>
  </si>
  <si>
    <t>Strategic</t>
  </si>
  <si>
    <t>Sponsor</t>
  </si>
  <si>
    <t>Strategic/Sponsor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</si>
</sst>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m/d/yy;@"/>
    <numFmt numFmtId="166" formatCode="0_);\(0\)"/>
    <numFmt numFmtId="167" formatCode="mm/dd/yyyy"/>
    <numFmt numFmtId="168" formatCode="&quot;$&quot;#,##0&quot;bn&quot;"/>
    <numFmt numFmtId="169" formatCode="&quot;$&quot;#,##0.0&quot;bn&quot;"/>
    <numFmt numFmtId="170" formatCode="0.0&quot;%&quot;"/>
    <numFmt numFmtId="171" formatCode="0.0%"/>
    <numFmt numFmtId="172" formatCode="0.0&quot;x&quot;"/>
    <numFmt numFmtId="173" formatCode="#,##0.0"/>
    <numFmt numFmtId="174" formatCode="mmm\ d\,\ yyyy"/>
    <numFmt numFmtId="175" formatCode="0.0"/>
    <numFmt numFmtId="176" formatCode="General;General;&quot;-&quot;;@"/>
  </numFmts>
  <fonts count="5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i/>
      <sz val="10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375623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i/>
      <sz val="10.5"/>
      <color rgb="FFFFFFFF"/>
      <name val="Calibri"/>
      <family val="2"/>
    </font>
    <font>
      <b/>
      <sz val="8"/>
      <color rgb="FF5A6B7B"/>
      <name val="Aptos Narrow"/>
      <family val="2"/>
      <scheme val="minor"/>
    </font>
    <font>
      <b/>
      <sz val="18"/>
      <color rgb="FF0B1F3A"/>
      <name val="Aptos Narrow"/>
      <family val="2"/>
      <scheme val="minor"/>
    </font>
    <font>
      <i/>
      <sz val="7.5"/>
      <color rgb="FF8A97A4"/>
      <name val="Aptos Narrow"/>
      <family val="2"/>
      <scheme val="minor"/>
    </font>
    <font>
      <b/>
      <sz val="9.5"/>
      <color rgb="FFFFFFFF"/>
      <name val="Aptos Narrow"/>
      <family val="2"/>
      <scheme val="minor"/>
    </font>
    <font>
      <sz val="9"/>
      <color rgb="FF333333"/>
      <name val="Aptos Narrow"/>
      <family val="2"/>
      <scheme val="minor"/>
    </font>
    <font>
      <sz val="9"/>
      <color rgb="FF0000FF"/>
      <name val="Aptos Narrow"/>
      <family val="2"/>
      <scheme val="minor"/>
    </font>
    <font>
      <i/>
      <sz val="8.5"/>
      <color rgb="FF8A97A4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8.5"/>
      <color rgb="FF8A97A4"/>
      <name val="Calibri"/>
      <family val="2"/>
    </font>
    <font>
      <b/>
      <sz val="8"/>
      <color rgb="FFFFFFFF"/>
      <name val="Calibri"/>
      <family val="2"/>
    </font>
    <font>
      <sz val="8"/>
      <color rgb="FF8A97A4"/>
      <name val="Calibri"/>
      <family val="2"/>
    </font>
    <font>
      <sz val="11"/>
      <color theme="1"/>
      <name val="Calibri"/>
      <family val="2"/>
    </font>
    <font>
      <b/>
      <sz val="18"/>
      <color rgb="FF104861"/>
      <name val="Calibri"/>
      <family val="2"/>
    </font>
    <font>
      <i/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20"/>
      <color rgb="FF10486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8"/>
      <color rgb="FF5A6B7B"/>
      <name val="Calibri"/>
      <family val="2"/>
    </font>
    <font>
      <b/>
      <sz val="18"/>
      <color rgb="FF0B1F3A"/>
      <name val="Calibri"/>
      <family val="2"/>
    </font>
    <font>
      <b/>
      <sz val="11"/>
      <color rgb="FF0B1F3A"/>
      <name val="Calibri"/>
      <family val="2"/>
    </font>
    <font>
      <sz val="11"/>
      <color rgb="FF5A6B7B"/>
      <name val="Calibri"/>
      <family val="2"/>
    </font>
    <font>
      <u/>
      <sz val="11"/>
      <color theme="10"/>
      <name val="Aptos Narrow"/>
      <family val="2"/>
      <scheme val="minor"/>
    </font>
    <font>
      <i/>
      <sz val="8"/>
      <color rgb="FF8A97A4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C3A5E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5A6B7B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C8D2DE"/>
      </top>
      <bottom/>
      <diagonal/>
    </border>
    <border>
      <left/>
      <right/>
      <top/>
      <bottom style="thin">
        <color rgb="FFC8D2DE"/>
      </bottom>
      <diagonal/>
    </border>
    <border>
      <left style="thin">
        <color rgb="FFC8D2DE"/>
      </left>
      <right/>
      <top style="thin">
        <color rgb="FFC8D2DE"/>
      </top>
      <bottom style="thin">
        <color rgb="FFC8D2DE"/>
      </bottom>
      <diagonal/>
    </border>
    <border>
      <left style="thin">
        <color rgb="FFC8D2DE"/>
      </left>
      <right/>
      <top style="thin">
        <color rgb="FFC8D2DE"/>
      </top>
      <bottom/>
      <diagonal/>
    </border>
    <border>
      <left style="thin">
        <color rgb="FFC8D2DE"/>
      </left>
      <right/>
      <top/>
      <bottom/>
      <diagonal/>
    </border>
    <border>
      <left style="thin">
        <color rgb="FFC8D2DE"/>
      </left>
      <right/>
      <top/>
      <bottom style="thin">
        <color rgb="FFC8D2DE"/>
      </bottom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/>
      <diagonal/>
    </border>
    <border>
      <left/>
      <right style="thin">
        <color rgb="FFC8D2DE"/>
      </right>
      <top/>
      <bottom/>
      <diagonal/>
    </border>
    <border>
      <left/>
      <right style="thin">
        <color rgb="FFC8D2DE"/>
      </right>
      <top/>
      <bottom style="thin">
        <color rgb="FFC8D2DE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medium">
        <color rgb="FF1C3A5E"/>
      </left>
      <right style="thin">
        <color rgb="FFC8D2DE"/>
      </right>
      <top style="medium">
        <color rgb="FF1C3A5E"/>
      </top>
      <bottom style="thin">
        <color rgb="FFC8D2DE"/>
      </bottom>
      <diagonal/>
    </border>
    <border>
      <left style="thin">
        <color rgb="FFC8D2DE"/>
      </left>
      <right style="thin">
        <color rgb="FFC8D2DE"/>
      </right>
      <top style="medium">
        <color rgb="FF1C3A5E"/>
      </top>
      <bottom style="thin">
        <color rgb="FFC8D2DE"/>
      </bottom>
      <diagonal/>
    </border>
    <border>
      <left style="thin">
        <color rgb="FFC8D2DE"/>
      </left>
      <right style="medium">
        <color rgb="FF1C3A5E"/>
      </right>
      <top style="medium">
        <color rgb="FF1C3A5E"/>
      </top>
      <bottom style="thin">
        <color rgb="FFC8D2DE"/>
      </bottom>
      <diagonal/>
    </border>
    <border>
      <left style="medium">
        <color rgb="FF1C3A5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 style="thin">
        <color rgb="FFC8D2DE"/>
      </left>
      <right style="medium">
        <color rgb="FF1C3A5E"/>
      </right>
      <top style="thin">
        <color rgb="FFC8D2DE"/>
      </top>
      <bottom style="thin">
        <color rgb="FFC8D2DE"/>
      </bottom>
      <diagonal/>
    </border>
    <border>
      <left style="medium">
        <color rgb="FF1C3A5E"/>
      </left>
      <right style="thin">
        <color rgb="FFC8D2DE"/>
      </right>
      <top style="thin">
        <color rgb="FFC8D2DE"/>
      </top>
      <bottom style="medium">
        <color rgb="FF1C3A5E"/>
      </bottom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medium">
        <color rgb="FF1C3A5E"/>
      </bottom>
      <diagonal/>
    </border>
    <border>
      <left style="thin">
        <color rgb="FFC8D2DE"/>
      </left>
      <right style="medium">
        <color rgb="FF1C3A5E"/>
      </right>
      <top style="thin">
        <color rgb="FFC8D2DE"/>
      </top>
      <bottom style="medium">
        <color rgb="FF1C3A5E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55" fillId="0" borderId="0" applyNumberFormat="0" applyFill="0" applyBorder="0" applyAlignment="0" applyProtection="0"/>
  </cellStyleXfs>
  <cellXfs count="16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horizontal="right"/>
    </xf>
    <xf numFmtId="0" fontId="13" fillId="35" borderId="0" xfId="0" applyFont="1" applyFill="1"/>
    <xf numFmtId="1" fontId="16" fillId="0" borderId="10" xfId="0" applyNumberFormat="1" applyFont="1" applyBorder="1" applyAlignment="1">
      <alignment horizontal="center"/>
    </xf>
    <xf numFmtId="166" fontId="16" fillId="0" borderId="11" xfId="0" applyNumberFormat="1" applyFont="1" applyBorder="1" applyAlignment="1">
      <alignment horizontal="center"/>
    </xf>
    <xf numFmtId="0" fontId="21" fillId="0" borderId="0" xfId="0" applyFont="1" applyAlignment="1">
      <alignment wrapText="1"/>
    </xf>
    <xf numFmtId="0" fontId="28" fillId="36" borderId="0" xfId="0" applyFont="1" applyFill="1" applyAlignment="1">
      <alignment horizontal="center" vertical="center"/>
    </xf>
    <xf numFmtId="3" fontId="0" fillId="0" borderId="0" xfId="0" applyNumberFormat="1"/>
    <xf numFmtId="3" fontId="28" fillId="36" borderId="0" xfId="0" applyNumberFormat="1" applyFont="1" applyFill="1" applyAlignment="1">
      <alignment horizontal="center" vertical="center"/>
    </xf>
    <xf numFmtId="167" fontId="0" fillId="0" borderId="0" xfId="0" applyNumberFormat="1"/>
    <xf numFmtId="167" fontId="28" fillId="36" borderId="0" xfId="0" applyNumberFormat="1" applyFont="1" applyFill="1" applyAlignment="1">
      <alignment horizontal="center" vertical="center"/>
    </xf>
    <xf numFmtId="0" fontId="29" fillId="33" borderId="12" xfId="0" applyFont="1" applyFill="1" applyBorder="1" applyAlignment="1">
      <alignment horizontal="center" vertical="center"/>
    </xf>
    <xf numFmtId="3" fontId="29" fillId="33" borderId="12" xfId="0" applyNumberFormat="1" applyFont="1" applyFill="1" applyBorder="1" applyAlignment="1">
      <alignment horizontal="center" vertical="center"/>
    </xf>
    <xf numFmtId="167" fontId="29" fillId="33" borderId="12" xfId="0" applyNumberFormat="1" applyFont="1" applyFill="1" applyBorder="1" applyAlignment="1">
      <alignment horizontal="center" vertical="center"/>
    </xf>
    <xf numFmtId="0" fontId="29" fillId="33" borderId="12" xfId="0" applyFont="1" applyFill="1" applyBorder="1" applyAlignment="1">
      <alignment horizontal="left" vertical="center"/>
    </xf>
    <xf numFmtId="0" fontId="29" fillId="44" borderId="12" xfId="0" applyFont="1" applyFill="1" applyBorder="1" applyAlignment="1">
      <alignment horizontal="center" vertical="center"/>
    </xf>
    <xf numFmtId="3" fontId="29" fillId="44" borderId="12" xfId="0" applyNumberFormat="1" applyFont="1" applyFill="1" applyBorder="1" applyAlignment="1">
      <alignment horizontal="center" vertical="center"/>
    </xf>
    <xf numFmtId="167" fontId="29" fillId="44" borderId="12" xfId="0" applyNumberFormat="1" applyFont="1" applyFill="1" applyBorder="1" applyAlignment="1">
      <alignment horizontal="center" vertical="center"/>
    </xf>
    <xf numFmtId="0" fontId="29" fillId="44" borderId="12" xfId="0" applyFont="1" applyFill="1" applyBorder="1" applyAlignment="1">
      <alignment horizontal="left" vertical="center"/>
    </xf>
    <xf numFmtId="0" fontId="29" fillId="33" borderId="13" xfId="0" applyFont="1" applyFill="1" applyBorder="1" applyAlignment="1">
      <alignment horizontal="center" vertical="center"/>
    </xf>
    <xf numFmtId="3" fontId="29" fillId="33" borderId="13" xfId="0" applyNumberFormat="1" applyFont="1" applyFill="1" applyBorder="1" applyAlignment="1">
      <alignment horizontal="center" vertical="center"/>
    </xf>
    <xf numFmtId="167" fontId="29" fillId="33" borderId="13" xfId="0" applyNumberFormat="1" applyFont="1" applyFill="1" applyBorder="1" applyAlignment="1">
      <alignment horizontal="center" vertical="center"/>
    </xf>
    <xf numFmtId="0" fontId="29" fillId="33" borderId="13" xfId="0" applyFont="1" applyFill="1" applyBorder="1" applyAlignment="1">
      <alignment horizontal="left" vertical="center"/>
    </xf>
    <xf numFmtId="0" fontId="29" fillId="44" borderId="14" xfId="0" applyFont="1" applyFill="1" applyBorder="1" applyAlignment="1">
      <alignment horizontal="center" vertical="center"/>
    </xf>
    <xf numFmtId="3" fontId="29" fillId="44" borderId="14" xfId="0" applyNumberFormat="1" applyFont="1" applyFill="1" applyBorder="1" applyAlignment="1">
      <alignment horizontal="center" vertical="center"/>
    </xf>
    <xf numFmtId="167" fontId="29" fillId="44" borderId="14" xfId="0" applyNumberFormat="1" applyFont="1" applyFill="1" applyBorder="1" applyAlignment="1">
      <alignment horizontal="center" vertical="center"/>
    </xf>
    <xf numFmtId="0" fontId="29" fillId="44" borderId="14" xfId="0" applyFont="1" applyFill="1" applyBorder="1" applyAlignment="1">
      <alignment horizontal="left" vertical="center"/>
    </xf>
    <xf numFmtId="0" fontId="29" fillId="33" borderId="15" xfId="0" applyFont="1" applyFill="1" applyBorder="1" applyAlignment="1">
      <alignment horizontal="center" vertical="center"/>
    </xf>
    <xf numFmtId="0" fontId="29" fillId="44" borderId="16" xfId="0" applyFont="1" applyFill="1" applyBorder="1" applyAlignment="1">
      <alignment horizontal="center" vertical="center"/>
    </xf>
    <xf numFmtId="0" fontId="29" fillId="33" borderId="16" xfId="0" applyFont="1" applyFill="1" applyBorder="1" applyAlignment="1">
      <alignment horizontal="center" vertical="center"/>
    </xf>
    <xf numFmtId="0" fontId="29" fillId="44" borderId="17" xfId="0" applyFont="1" applyFill="1" applyBorder="1" applyAlignment="1">
      <alignment horizontal="center" vertical="center"/>
    </xf>
    <xf numFmtId="0" fontId="29" fillId="33" borderId="18" xfId="0" applyFont="1" applyFill="1" applyBorder="1" applyAlignment="1">
      <alignment horizontal="left" vertical="center"/>
    </xf>
    <xf numFmtId="0" fontId="29" fillId="44" borderId="19" xfId="0" applyFont="1" applyFill="1" applyBorder="1" applyAlignment="1">
      <alignment horizontal="left" vertical="center"/>
    </xf>
    <xf numFmtId="0" fontId="29" fillId="33" borderId="19" xfId="0" applyFont="1" applyFill="1" applyBorder="1" applyAlignment="1">
      <alignment horizontal="left" vertical="center"/>
    </xf>
    <xf numFmtId="0" fontId="29" fillId="44" borderId="20" xfId="0" applyFont="1" applyFill="1" applyBorder="1" applyAlignment="1">
      <alignment horizontal="left" vertical="center"/>
    </xf>
    <xf numFmtId="0" fontId="35" fillId="46" borderId="27" xfId="0" applyFont="1" applyFill="1" applyBorder="1" applyAlignment="1">
      <alignment horizontal="center" vertical="center"/>
    </xf>
    <xf numFmtId="17" fontId="0" fillId="0" borderId="27" xfId="0" applyNumberFormat="1" applyBorder="1" applyAlignment="1">
      <alignment horizontal="left"/>
    </xf>
    <xf numFmtId="3" fontId="0" fillId="0" borderId="27" xfId="0" applyNumberFormat="1" applyBorder="1" applyAlignment="1">
      <alignment horizontal="right"/>
    </xf>
    <xf numFmtId="171" fontId="0" fillId="0" borderId="27" xfId="0" applyNumberFormat="1" applyBorder="1" applyAlignment="1">
      <alignment horizontal="right"/>
    </xf>
    <xf numFmtId="17" fontId="0" fillId="49" borderId="27" xfId="0" applyNumberFormat="1" applyFill="1" applyBorder="1" applyAlignment="1">
      <alignment horizontal="left"/>
    </xf>
    <xf numFmtId="3" fontId="0" fillId="49" borderId="27" xfId="0" applyNumberFormat="1" applyFill="1" applyBorder="1" applyAlignment="1">
      <alignment horizontal="right"/>
    </xf>
    <xf numFmtId="171" fontId="0" fillId="49" borderId="27" xfId="0" applyNumberFormat="1" applyFill="1" applyBorder="1" applyAlignment="1">
      <alignment horizontal="right"/>
    </xf>
    <xf numFmtId="0" fontId="16" fillId="48" borderId="27" xfId="0" applyFont="1" applyFill="1" applyBorder="1"/>
    <xf numFmtId="3" fontId="16" fillId="48" borderId="27" xfId="0" applyNumberFormat="1" applyFont="1" applyFill="1" applyBorder="1" applyAlignment="1">
      <alignment horizontal="right"/>
    </xf>
    <xf numFmtId="171" fontId="16" fillId="48" borderId="27" xfId="0" applyNumberFormat="1" applyFont="1" applyFill="1" applyBorder="1" applyAlignment="1">
      <alignment horizontal="right"/>
    </xf>
    <xf numFmtId="0" fontId="0" fillId="0" borderId="27" xfId="0" applyBorder="1" applyAlignment="1">
      <alignment horizontal="left"/>
    </xf>
    <xf numFmtId="170" fontId="0" fillId="0" borderId="27" xfId="0" applyNumberFormat="1" applyBorder="1" applyAlignment="1">
      <alignment horizontal="right"/>
    </xf>
    <xf numFmtId="0" fontId="0" fillId="49" borderId="27" xfId="0" applyFill="1" applyBorder="1" applyAlignment="1">
      <alignment horizontal="left"/>
    </xf>
    <xf numFmtId="170" fontId="0" fillId="49" borderId="27" xfId="0" applyNumberFormat="1" applyFill="1" applyBorder="1" applyAlignment="1">
      <alignment horizontal="right"/>
    </xf>
    <xf numFmtId="0" fontId="16" fillId="48" borderId="27" xfId="0" applyFont="1" applyFill="1" applyBorder="1" applyAlignment="1">
      <alignment horizontal="left"/>
    </xf>
    <xf numFmtId="170" fontId="16" fillId="48" borderId="27" xfId="0" applyNumberFormat="1" applyFont="1" applyFill="1" applyBorder="1" applyAlignment="1">
      <alignment horizontal="right"/>
    </xf>
    <xf numFmtId="172" fontId="0" fillId="0" borderId="27" xfId="0" applyNumberFormat="1" applyBorder="1" applyAlignment="1">
      <alignment horizontal="right"/>
    </xf>
    <xf numFmtId="172" fontId="0" fillId="49" borderId="27" xfId="0" applyNumberFormat="1" applyFill="1" applyBorder="1" applyAlignment="1">
      <alignment horizontal="right"/>
    </xf>
    <xf numFmtId="172" fontId="16" fillId="48" borderId="27" xfId="0" applyNumberFormat="1" applyFont="1" applyFill="1" applyBorder="1" applyAlignment="1">
      <alignment horizontal="right"/>
    </xf>
    <xf numFmtId="173" fontId="0" fillId="49" borderId="27" xfId="0" applyNumberFormat="1" applyFill="1" applyBorder="1" applyAlignment="1">
      <alignment horizontal="right"/>
    </xf>
    <xf numFmtId="173" fontId="0" fillId="0" borderId="27" xfId="0" applyNumberFormat="1" applyBorder="1" applyAlignment="1">
      <alignment horizontal="right"/>
    </xf>
    <xf numFmtId="0" fontId="36" fillId="50" borderId="27" xfId="0" applyFont="1" applyFill="1" applyBorder="1" applyAlignment="1">
      <alignment horizontal="left"/>
    </xf>
    <xf numFmtId="174" fontId="37" fillId="50" borderId="27" xfId="0" applyNumberFormat="1" applyFont="1" applyFill="1" applyBorder="1" applyAlignment="1">
      <alignment horizontal="right"/>
    </xf>
    <xf numFmtId="174" fontId="37" fillId="50" borderId="23" xfId="0" applyNumberFormat="1" applyFont="1" applyFill="1" applyBorder="1" applyAlignment="1">
      <alignment horizontal="right"/>
    </xf>
    <xf numFmtId="174" fontId="39" fillId="0" borderId="27" xfId="0" applyNumberFormat="1" applyFont="1" applyBorder="1"/>
    <xf numFmtId="0" fontId="41" fillId="51" borderId="31" xfId="0" applyFont="1" applyFill="1" applyBorder="1" applyAlignment="1">
      <alignment horizontal="center"/>
    </xf>
    <xf numFmtId="3" fontId="42" fillId="0" borderId="31" xfId="0" applyNumberFormat="1" applyFont="1" applyBorder="1" applyAlignment="1">
      <alignment horizontal="right"/>
    </xf>
    <xf numFmtId="0" fontId="43" fillId="0" borderId="0" xfId="0" applyFont="1"/>
    <xf numFmtId="0" fontId="45" fillId="0" borderId="0" xfId="0" applyFont="1"/>
    <xf numFmtId="1" fontId="43" fillId="0" borderId="0" xfId="0" applyNumberFormat="1" applyFont="1"/>
    <xf numFmtId="0" fontId="50" fillId="46" borderId="32" xfId="0" applyFont="1" applyFill="1" applyBorder="1" applyAlignment="1">
      <alignment horizontal="left" vertical="center" indent="1"/>
    </xf>
    <xf numFmtId="0" fontId="50" fillId="46" borderId="33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center" vertical="center"/>
    </xf>
    <xf numFmtId="0" fontId="43" fillId="0" borderId="35" xfId="0" applyFont="1" applyBorder="1" applyAlignment="1">
      <alignment horizontal="left"/>
    </xf>
    <xf numFmtId="175" fontId="43" fillId="0" borderId="27" xfId="0" applyNumberFormat="1" applyFont="1" applyBorder="1" applyAlignment="1">
      <alignment horizontal="center"/>
    </xf>
    <xf numFmtId="1" fontId="54" fillId="0" borderId="36" xfId="0" applyNumberFormat="1" applyFont="1" applyBorder="1" applyAlignment="1">
      <alignment horizontal="center"/>
    </xf>
    <xf numFmtId="0" fontId="53" fillId="48" borderId="37" xfId="0" applyFont="1" applyFill="1" applyBorder="1" applyAlignment="1">
      <alignment horizontal="left"/>
    </xf>
    <xf numFmtId="175" fontId="53" fillId="48" borderId="38" xfId="0" applyNumberFormat="1" applyFont="1" applyFill="1" applyBorder="1" applyAlignment="1">
      <alignment horizontal="center"/>
    </xf>
    <xf numFmtId="1" fontId="53" fillId="48" borderId="39" xfId="0" applyNumberFormat="1" applyFont="1" applyFill="1" applyBorder="1" applyAlignment="1">
      <alignment horizontal="center"/>
    </xf>
    <xf numFmtId="1" fontId="43" fillId="0" borderId="27" xfId="0" applyNumberFormat="1" applyFont="1" applyBorder="1" applyAlignment="1">
      <alignment horizontal="center"/>
    </xf>
    <xf numFmtId="1" fontId="53" fillId="48" borderId="38" xfId="0" applyNumberFormat="1" applyFont="1" applyFill="1" applyBorder="1" applyAlignment="1">
      <alignment horizontal="center"/>
    </xf>
    <xf numFmtId="0" fontId="49" fillId="46" borderId="32" xfId="0" applyFont="1" applyFill="1" applyBorder="1" applyAlignment="1">
      <alignment horizontal="left" indent="1"/>
    </xf>
    <xf numFmtId="0" fontId="49" fillId="46" borderId="33" xfId="0" applyFont="1" applyFill="1" applyBorder="1" applyAlignment="1">
      <alignment horizontal="center"/>
    </xf>
    <xf numFmtId="0" fontId="49" fillId="46" borderId="34" xfId="0" applyFont="1" applyFill="1" applyBorder="1" applyAlignment="1">
      <alignment horizontal="center"/>
    </xf>
    <xf numFmtId="0" fontId="43" fillId="33" borderId="35" xfId="0" applyFont="1" applyFill="1" applyBorder="1" applyAlignment="1">
      <alignment horizontal="left"/>
    </xf>
    <xf numFmtId="1" fontId="43" fillId="33" borderId="36" xfId="0" applyNumberFormat="1" applyFont="1" applyFill="1" applyBorder="1" applyAlignment="1">
      <alignment horizontal="center"/>
    </xf>
    <xf numFmtId="0" fontId="43" fillId="34" borderId="35" xfId="0" applyFont="1" applyFill="1" applyBorder="1" applyAlignment="1">
      <alignment horizontal="left"/>
    </xf>
    <xf numFmtId="1" fontId="43" fillId="34" borderId="36" xfId="0" applyNumberFormat="1" applyFont="1" applyFill="1" applyBorder="1" applyAlignment="1">
      <alignment horizontal="center"/>
    </xf>
    <xf numFmtId="0" fontId="43" fillId="33" borderId="37" xfId="0" applyFont="1" applyFill="1" applyBorder="1" applyAlignment="1">
      <alignment horizontal="left"/>
    </xf>
    <xf numFmtId="1" fontId="43" fillId="33" borderId="39" xfId="0" applyNumberFormat="1" applyFont="1" applyFill="1" applyBorder="1" applyAlignment="1">
      <alignment horizontal="center"/>
    </xf>
    <xf numFmtId="175" fontId="43" fillId="33" borderId="27" xfId="0" applyNumberFormat="1" applyFont="1" applyFill="1" applyBorder="1" applyAlignment="1">
      <alignment horizontal="center"/>
    </xf>
    <xf numFmtId="175" fontId="43" fillId="34" borderId="27" xfId="0" applyNumberFormat="1" applyFont="1" applyFill="1" applyBorder="1" applyAlignment="1">
      <alignment horizontal="center"/>
    </xf>
    <xf numFmtId="175" fontId="43" fillId="33" borderId="38" xfId="0" applyNumberFormat="1" applyFont="1" applyFill="1" applyBorder="1" applyAlignment="1">
      <alignment horizontal="center"/>
    </xf>
    <xf numFmtId="0" fontId="38" fillId="0" borderId="0" xfId="0" applyFont="1" applyAlignment="1">
      <alignment vertical="top" wrapText="1"/>
    </xf>
    <xf numFmtId="0" fontId="56" fillId="0" borderId="0" xfId="43" applyFont="1" applyAlignment="1">
      <alignment vertical="center"/>
    </xf>
    <xf numFmtId="176" fontId="29" fillId="33" borderId="13" xfId="0" applyNumberFormat="1" applyFont="1" applyFill="1" applyBorder="1" applyAlignment="1">
      <alignment horizontal="center" vertical="center"/>
    </xf>
    <xf numFmtId="176" fontId="29" fillId="44" borderId="12" xfId="0" applyNumberFormat="1" applyFont="1" applyFill="1" applyBorder="1" applyAlignment="1">
      <alignment horizontal="center" vertical="center"/>
    </xf>
    <xf numFmtId="176" fontId="29" fillId="33" borderId="12" xfId="0" applyNumberFormat="1" applyFont="1" applyFill="1" applyBorder="1" applyAlignment="1">
      <alignment horizontal="center" vertical="center"/>
    </xf>
    <xf numFmtId="176" fontId="29" fillId="44" borderId="14" xfId="0" applyNumberFormat="1" applyFont="1" applyFill="1" applyBorder="1" applyAlignment="1">
      <alignment horizontal="center" vertical="center"/>
    </xf>
    <xf numFmtId="176" fontId="28" fillId="36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40" fillId="47" borderId="31" xfId="0" applyFont="1" applyFill="1" applyBorder="1" applyAlignment="1">
      <alignment horizontal="center"/>
    </xf>
    <xf numFmtId="0" fontId="0" fillId="0" borderId="31" xfId="0" applyBorder="1"/>
    <xf numFmtId="0" fontId="18" fillId="45" borderId="0" xfId="0" applyFont="1" applyFill="1" applyAlignment="1">
      <alignment vertical="center"/>
    </xf>
    <xf numFmtId="0" fontId="35" fillId="46" borderId="27" xfId="0" applyFont="1" applyFill="1" applyBorder="1" applyAlignment="1">
      <alignment vertical="center"/>
    </xf>
    <xf numFmtId="0" fontId="35" fillId="46" borderId="23" xfId="0" applyFont="1" applyFill="1" applyBorder="1" applyAlignment="1">
      <alignment vertical="center"/>
    </xf>
    <xf numFmtId="0" fontId="30" fillId="45" borderId="0" xfId="0" applyFont="1" applyFill="1" applyAlignment="1">
      <alignment horizontal="left" vertical="center" indent="1"/>
    </xf>
    <xf numFmtId="0" fontId="31" fillId="46" borderId="0" xfId="0" applyFont="1" applyFill="1" applyAlignment="1">
      <alignment horizontal="left" vertical="center" indent="1"/>
    </xf>
    <xf numFmtId="169" fontId="33" fillId="47" borderId="25" xfId="0" applyNumberFormat="1" applyFont="1" applyFill="1" applyBorder="1" applyAlignment="1">
      <alignment horizontal="center" vertical="center"/>
    </xf>
    <xf numFmtId="164" fontId="0" fillId="47" borderId="0" xfId="0" applyNumberFormat="1" applyFill="1"/>
    <xf numFmtId="0" fontId="34" fillId="47" borderId="26" xfId="0" applyFont="1" applyFill="1" applyBorder="1" applyAlignment="1">
      <alignment horizontal="center"/>
    </xf>
    <xf numFmtId="0" fontId="0" fillId="47" borderId="22" xfId="0" applyFill="1" applyBorder="1"/>
    <xf numFmtId="0" fontId="32" fillId="47" borderId="24" xfId="0" applyFont="1" applyFill="1" applyBorder="1" applyAlignment="1">
      <alignment horizontal="center" vertical="center"/>
    </xf>
    <xf numFmtId="0" fontId="0" fillId="47" borderId="21" xfId="0" applyFill="1" applyBorder="1"/>
    <xf numFmtId="170" fontId="33" fillId="47" borderId="25" xfId="0" applyNumberFormat="1" applyFont="1" applyFill="1" applyBorder="1" applyAlignment="1">
      <alignment horizontal="center" vertical="center"/>
    </xf>
    <xf numFmtId="0" fontId="0" fillId="47" borderId="0" xfId="0" applyFill="1"/>
    <xf numFmtId="1" fontId="33" fillId="47" borderId="25" xfId="0" applyNumberFormat="1" applyFont="1" applyFill="1" applyBorder="1" applyAlignment="1">
      <alignment horizontal="center" vertical="center"/>
    </xf>
    <xf numFmtId="168" fontId="33" fillId="47" borderId="25" xfId="0" applyNumberFormat="1" applyFont="1" applyFill="1" applyBorder="1" applyAlignment="1">
      <alignment horizontal="center" vertical="center"/>
    </xf>
    <xf numFmtId="0" fontId="0" fillId="47" borderId="28" xfId="0" applyFill="1" applyBorder="1"/>
    <xf numFmtId="0" fontId="0" fillId="47" borderId="29" xfId="0" applyFill="1" applyBorder="1"/>
    <xf numFmtId="0" fontId="0" fillId="47" borderId="30" xfId="0" applyFill="1" applyBorder="1"/>
    <xf numFmtId="171" fontId="33" fillId="47" borderId="25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top" wrapText="1"/>
    </xf>
    <xf numFmtId="0" fontId="38" fillId="0" borderId="0" xfId="0" applyFont="1" applyAlignment="1">
      <alignment horizontal="center" vertical="top" wrapText="1"/>
    </xf>
    <xf numFmtId="0" fontId="22" fillId="45" borderId="0" xfId="0" applyFont="1" applyFill="1" applyAlignment="1">
      <alignment horizontal="left" vertical="center" indent="1"/>
    </xf>
    <xf numFmtId="0" fontId="44" fillId="0" borderId="0" xfId="0" applyFont="1"/>
    <xf numFmtId="0" fontId="31" fillId="46" borderId="0" xfId="0" applyFont="1" applyFill="1" applyAlignment="1">
      <alignment horizontal="left" vertical="center" wrapText="1" indent="1"/>
    </xf>
    <xf numFmtId="0" fontId="51" fillId="47" borderId="24" xfId="0" applyFont="1" applyFill="1" applyBorder="1" applyAlignment="1">
      <alignment horizontal="center" vertical="center"/>
    </xf>
    <xf numFmtId="0" fontId="46" fillId="47" borderId="28" xfId="0" applyFont="1" applyFill="1" applyBorder="1" applyAlignment="1">
      <alignment horizontal="center"/>
    </xf>
    <xf numFmtId="1" fontId="52" fillId="47" borderId="26" xfId="0" applyNumberFormat="1" applyFont="1" applyFill="1" applyBorder="1" applyAlignment="1">
      <alignment horizontal="center" vertical="center"/>
    </xf>
    <xf numFmtId="1" fontId="47" fillId="47" borderId="30" xfId="0" applyNumberFormat="1" applyFont="1" applyFill="1" applyBorder="1" applyAlignment="1">
      <alignment horizontal="center"/>
    </xf>
    <xf numFmtId="0" fontId="48" fillId="45" borderId="0" xfId="0" applyFont="1" applyFill="1" applyAlignment="1">
      <alignment vertical="center" indent="1"/>
    </xf>
    <xf numFmtId="0" fontId="46" fillId="47" borderId="21" xfId="0" applyFont="1" applyFill="1" applyBorder="1" applyAlignment="1">
      <alignment horizontal="center"/>
    </xf>
    <xf numFmtId="1" fontId="47" fillId="47" borderId="22" xfId="0" applyNumberFormat="1" applyFont="1" applyFill="1" applyBorder="1" applyAlignment="1">
      <alignment horizontal="center"/>
    </xf>
    <xf numFmtId="175" fontId="52" fillId="47" borderId="26" xfId="0" applyNumberFormat="1" applyFont="1" applyFill="1" applyBorder="1" applyAlignment="1">
      <alignment horizontal="center" vertical="center"/>
    </xf>
    <xf numFmtId="0" fontId="26" fillId="41" borderId="0" xfId="0" applyFont="1" applyFill="1"/>
    <xf numFmtId="3" fontId="26" fillId="41" borderId="0" xfId="0" applyNumberFormat="1" applyFont="1" applyFill="1"/>
    <xf numFmtId="167" fontId="26" fillId="41" borderId="0" xfId="0" applyNumberFormat="1" applyFont="1" applyFill="1"/>
    <xf numFmtId="176" fontId="26" fillId="41" borderId="0" xfId="0" applyNumberFormat="1" applyFont="1" applyFill="1" applyAlignment="1">
      <alignment horizontal="center"/>
    </xf>
    <xf numFmtId="0" fontId="24" fillId="42" borderId="0" xfId="0" applyFont="1" applyFill="1"/>
    <xf numFmtId="3" fontId="24" fillId="42" borderId="0" xfId="0" applyNumberFormat="1" applyFont="1" applyFill="1"/>
    <xf numFmtId="167" fontId="24" fillId="42" borderId="0" xfId="0" applyNumberFormat="1" applyFont="1" applyFill="1"/>
    <xf numFmtId="176" fontId="24" fillId="42" borderId="0" xfId="0" applyNumberFormat="1" applyFont="1" applyFill="1" applyAlignment="1">
      <alignment horizontal="center"/>
    </xf>
    <xf numFmtId="0" fontId="27" fillId="43" borderId="0" xfId="0" applyFont="1" applyFill="1"/>
    <xf numFmtId="3" fontId="27" fillId="43" borderId="0" xfId="0" applyNumberFormat="1" applyFont="1" applyFill="1"/>
    <xf numFmtId="167" fontId="27" fillId="43" borderId="0" xfId="0" applyNumberFormat="1" applyFont="1" applyFill="1"/>
    <xf numFmtId="176" fontId="27" fillId="43" borderId="0" xfId="0" applyNumberFormat="1" applyFont="1" applyFill="1" applyAlignment="1">
      <alignment horizontal="center"/>
    </xf>
    <xf numFmtId="0" fontId="24" fillId="40" borderId="0" xfId="0" applyFont="1" applyFill="1"/>
    <xf numFmtId="3" fontId="24" fillId="40" borderId="0" xfId="0" applyNumberFormat="1" applyFont="1" applyFill="1"/>
    <xf numFmtId="167" fontId="24" fillId="40" borderId="0" xfId="0" applyNumberFormat="1" applyFont="1" applyFill="1"/>
    <xf numFmtId="176" fontId="24" fillId="40" borderId="0" xfId="0" applyNumberFormat="1" applyFont="1" applyFill="1" applyAlignment="1">
      <alignment horizontal="center"/>
    </xf>
    <xf numFmtId="0" fontId="22" fillId="36" borderId="0" xfId="0" applyFont="1" applyFill="1" applyAlignment="1">
      <alignment vertical="center"/>
    </xf>
    <xf numFmtId="0" fontId="22" fillId="36" borderId="0" xfId="0" applyFont="1" applyFill="1"/>
    <xf numFmtId="0" fontId="23" fillId="37" borderId="0" xfId="0" applyFont="1" applyFill="1" applyAlignment="1">
      <alignment vertical="center"/>
    </xf>
    <xf numFmtId="0" fontId="23" fillId="37" borderId="0" xfId="0" applyFont="1" applyFill="1"/>
    <xf numFmtId="0" fontId="24" fillId="38" borderId="0" xfId="0" applyFont="1" applyFill="1"/>
    <xf numFmtId="0" fontId="25" fillId="39" borderId="0" xfId="0" applyFont="1" applyFill="1"/>
    <xf numFmtId="3" fontId="25" fillId="39" borderId="0" xfId="0" applyNumberFormat="1" applyFont="1" applyFill="1"/>
    <xf numFmtId="167" fontId="25" fillId="39" borderId="0" xfId="0" applyNumberFormat="1" applyFont="1" applyFill="1"/>
    <xf numFmtId="176" fontId="25" fillId="39" borderId="0" xfId="0" applyNumberFormat="1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7">
    <dxf>
      <numFmt numFmtId="177" formatCode="\-"/>
    </dxf>
    <dxf>
      <numFmt numFmtId="177" formatCode="\-"/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6" formatCode="0_);\(0\)"/>
    </dxf>
    <dxf>
      <numFmt numFmtId="166" formatCode="0_);\(0\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165" formatCode="m/d/yy;@"/>
    </dxf>
    <dxf>
      <numFmt numFmtId="165" formatCode="m/d/yy;@"/>
    </dxf>
    <dxf>
      <numFmt numFmtId="165" formatCode="m/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Real Time</v>
        <stp/>
        <stp>BDP|3665023046196017218|22</stp>
        <stp>PCH Equity</stp>
        <stp>LAST_PRICE</stp>
        <tr r="M105" s="4"/>
      </tp>
      <tp t="s">
        <v>#N/A Real Time</v>
        <stp/>
        <stp>BDP|2345020653951611828|22</stp>
        <stp>LUM Equity</stp>
        <stp>LAST_PRICE</stp>
        <tr r="M198" s="4"/>
      </tp>
      <tp t="s">
        <v>#N/A Real Time</v>
        <stp/>
        <stp>BDP|8754936513908234687|22</stp>
        <stp>NGD Equity</stp>
        <stp>LAST_PRICE</stp>
        <tr r="M87" s="4"/>
      </tp>
      <tp>
        <v>50.96</v>
        <stp/>
        <stp>BDP|3900640820205440005|22</stp>
        <stp>ISC CN Equity</stp>
        <stp>LAST_PRICE</stp>
        <tr r="M11" s="4"/>
      </tp>
      <tp t="s">
        <v>#N/A Real Time</v>
        <stp/>
        <stp>BDP|3571816175716449734|22</stp>
        <stp>TPH Equity</stp>
        <stp>LAST_PRICE</stp>
        <tr r="M46" s="4"/>
      </tp>
      <tp t="s">
        <v>#N/A Real Time</v>
        <stp/>
        <stp>BDP|9888945570134068702|22</stp>
        <stp>MRC Equity</stp>
        <stp>LAST_PRICE</stp>
        <tr r="M165" s="4"/>
      </tp>
      <tp>
        <v>51.94</v>
        <stp/>
        <stp>BDP|5551794248679439189|22</stp>
        <stp>JHG Equity</stp>
        <stp>LAST_PRICE</stp>
        <tr r="M71" s="4"/>
      </tp>
      <tp t="s">
        <v>#N/A Real Time</v>
        <stp/>
        <stp>BDP|9620954149539513392|22</stp>
        <stp>HBI Equity</stp>
        <stp>LAST_PRICE</stp>
        <tr r="M140" s="4"/>
      </tp>
      <tp>
        <v>76.430000000000007</v>
        <stp/>
        <stp>BDP|7297199342602936233|22</stp>
        <stp>VAL Equity</stp>
        <stp>LAST_PRICE</stp>
        <tr r="M48" s="4"/>
      </tp>
      <tp>
        <v>12.37</v>
        <stp/>
        <stp>BDP|4573921699370504183|22</stp>
        <stp>TWO Equity</stp>
        <stp>LAST_PRICE</stp>
        <tr r="M37" s="4"/>
      </tp>
      <tp>
        <v>204.66499999999999</v>
        <stp/>
        <stp>BDP|13692796523023891751|22</stp>
        <stp>EA Equity</stp>
        <stp>LAST_PRICE</stp>
        <tr r="M111" s="4"/>
      </tp>
      <tp t="s">
        <v>#N/A Real Time</v>
        <stp/>
        <stp>BDP|6694965789687618396|22</stp>
        <stp>SEE Equity</stp>
        <stp>LAST_PRICE</stp>
        <tr r="M79" s="4"/>
      </tp>
      <tp t="s">
        <v>#N/A Real Time</v>
        <stp/>
        <stp>BDP|17784364240859562434|22</stp>
        <stp>FL Equity</stp>
        <stp>LAST_PRICE</stp>
        <tr r="M184" s="4"/>
      </tp>
      <tp t="s">
        <v>#N/A Real Time</v>
        <stp/>
        <stp>BDP|1341324978408788167|22</stp>
        <stp>OLO Equity</stp>
        <stp>LAST_PRICE</stp>
        <tr r="M163" s="4"/>
      </tp>
      <tp>
        <v>44.37</v>
        <stp/>
        <stp>BDP|4807251085717621886|22</stp>
        <stp>NSA Equity</stp>
        <stp>LAST_PRICE</stp>
        <tr r="M43" s="4"/>
      </tp>
      <tp>
        <v>11.51</v>
        <stp/>
        <stp>BDP|6426540090401441845|22</stp>
        <stp>LEG Equity</stp>
        <stp>LAST_PRICE</stp>
        <tr r="M30" s="4"/>
      </tp>
      <tp t="s">
        <v>#N/A Real Time</v>
        <stp/>
        <stp>BDP|2039936955813083311|22</stp>
        <stp>PRB CN Equity</stp>
        <stp>LAST_PRICE</stp>
        <tr r="M90" s="4"/>
      </tp>
      <tp>
        <v>144.31</v>
        <stp/>
        <stp>BDP|3488119846217974286|22</stp>
        <stp>ACA US Equity</stp>
        <stp>LAST_PRICE</stp>
        <tr r="M4" s="4"/>
      </tp>
      <tp t="s">
        <v>#N/A Real Time</v>
        <stp/>
        <stp>BDP|9875582352254040146|22</stp>
        <stp>FOM CN Equity</stp>
        <stp>LAST_PRICE</stp>
        <tr r="M56" s="4"/>
      </tp>
      <tp t="s">
        <v>#N/A Real Time</v>
        <stp/>
        <stp>BDP|4562007709336371251|22</stp>
        <stp>STR Equity</stp>
        <stp>LAST_PRICE</stp>
        <tr r="M174" s="4"/>
      </tp>
      <tp t="s">
        <v>#N/A Real Time</v>
        <stp/>
        <stp>BDP|4707985335167747473|22</stp>
        <stp>GMS Equity</stp>
        <stp>LAST_PRICE</stp>
        <tr r="M164" s="4"/>
      </tp>
      <tp>
        <v>13.86</v>
        <stp/>
        <stp>BDP|8567338890125515436|22</stp>
        <stp>IMXI  Equity</stp>
        <stp>LAST_PRICE</stp>
        <tr r="M143" s="4"/>
      </tp>
      <tp t="s">
        <v>#N/A Real Time</v>
        <stp/>
        <stp>BDP|4203893321629967086|22</stp>
        <stp>WOW Equity</stp>
        <stp>LAST_PRICE</stp>
        <tr r="M141" s="4"/>
      </tp>
      <tp>
        <v>13.47</v>
        <stp/>
        <stp>BDP|18230346619465629789|22</stp>
        <stp>OGN  Equity</stp>
        <stp>LAST_PRICE</stp>
        <tr r="M20" s="4"/>
      </tp>
      <tp>
        <v>30.625</v>
        <stp/>
        <stp>BDP|7408731301270510609|22</stp>
        <stp>CZR Equity</stp>
        <stp>LAST_PRICE</stp>
        <tr r="M10" s="4"/>
      </tp>
      <tp t="s">
        <v>#N/A Real Time</v>
        <stp/>
        <stp>BDP|5569572399065751757|22</stp>
        <stp>SKX Equity</stp>
        <stp>LAST_PRICE</stp>
        <tr r="M189" s="4"/>
      </tp>
      <tp t="s">
        <v>#N/A Real Time</v>
        <stp/>
        <stp>BDP|2660844332932577778|22</stp>
        <stp>IAS Equity</stp>
        <stp>LAST_PRICE</stp>
        <tr r="M114" s="4"/>
      </tp>
      <tp t="s">
        <v>#N/A Real Time</v>
        <stp/>
        <stp>BDP|4821441263635828235|22</stp>
        <stp>AND CN Equity</stp>
        <stp>LAST_PRICE</stp>
        <tr r="M194" s="4"/>
      </tp>
      <tp>
        <v>13.62</v>
        <stp/>
        <stp>BDP|7341809165631086834|22</stp>
        <stp>OLA CN Equity</stp>
        <stp>LAST_PRICE</stp>
        <tr r="M14" s="4"/>
      </tp>
      <tp t="s">
        <v>#N/A Real Time</v>
        <stp/>
        <stp>BDP|5514675854321444800|22</stp>
        <stp>SNV Equity</stp>
        <stp>LAST_PRICE</stp>
        <tr r="M154" s="4"/>
      </tp>
    </main>
    <main first="bofaddin.rtdserver">
      <tp>
        <v>17.47</v>
        <stp/>
        <stp>BDP|9879917933807675570|22</stp>
        <stp>MI-U CN Equity</stp>
        <stp>LAST_PRICE</stp>
        <tr r="M65" s="4"/>
      </tp>
      <tp t="s">
        <v>#N/A Real Time</v>
        <stp/>
        <stp>BDP|10299124243645339501|22</stp>
        <stp>VTLE  Equity</stp>
        <stp>LAST_PRICE</stp>
        <tr r="M131" s="4"/>
      </tp>
      <tp>
        <v>9.0500000000000007</v>
        <stp/>
        <stp>BDP|5081173892643777527|22</stp>
        <stp>BLN CN  Equity</stp>
        <stp>LAST_PRICE</stp>
        <tr r="M33" s="4"/>
      </tp>
      <tp>
        <v>309.92</v>
        <stp/>
        <stp>BDP|1248560702204821683|22</stp>
        <stp>NSC  Equity</stp>
        <stp>LAST_PRICE</stp>
        <tr r="M151" s="4"/>
      </tp>
      <tp>
        <v>132.66</v>
        <stp/>
        <stp>BDP|13627884762505966417|22</stp>
        <stp>APGE US Equity</stp>
        <stp>LAST_PRICE</stp>
        <tr r="M3" s="4"/>
      </tp>
      <tp t="s">
        <v>#N/A Real Time</v>
        <stp/>
        <stp>BDP|730037202026731911|22</stp>
        <stp>GNTY Equity</stp>
        <stp>LAST_PRICE</stp>
        <tr r="M166" s="4"/>
      </tp>
      <tp t="s">
        <v>#N/A Real Time</v>
        <stp/>
        <stp>BDP|4111318520921077078|22</stp>
        <stp>THS  Equity</stp>
        <stp>LAST_PRICE</stp>
        <tr r="M81" s="4"/>
      </tp>
      <tp t="s">
        <v>#N/A Real Time</v>
        <stp/>
        <stp>BDP|799541081641442616|22</stp>
        <stp>VMEO Equity</stp>
        <stp>LAST_PRICE</stp>
        <tr r="M123" s="4"/>
      </tp>
      <tp>
        <v>7.0449999999999999</v>
        <stp/>
        <stp>BDP|16783826538572752286|22</stp>
        <stp>PAYO US Equity</stp>
        <stp>LAST_PRICE</stp>
        <tr r="M7" s="4"/>
      </tp>
      <tp>
        <v>69.260000000000005</v>
        <stp/>
        <stp>BDP|5592475719149361016|22</stp>
        <stp>D Equity</stp>
        <stp>LAST_PRICE</stp>
        <tr r="M12" s="4"/>
      </tp>
      <tp>
        <v>30.6</v>
        <stp/>
        <stp>BDP|934985648058617149|22</stp>
        <stp>STAA  Equity</stp>
        <stp>LAST_PRICE</stp>
        <tr r="M146" s="4"/>
      </tp>
      <tp t="s">
        <v>#N/A Real Time</v>
        <stp/>
        <stp>BDP|218154408396482437|22</stp>
        <stp>AKRO Equity</stp>
        <stp>LAST_PRICE</stp>
        <tr r="M107" s="4"/>
      </tp>
      <tp t="s">
        <v>#N/A Real Time</v>
        <stp/>
        <stp>BDP|121356177215561977|22</stp>
        <stp>CTRA Equity</stp>
        <stp>LAST_PRICE</stp>
        <tr r="M53" s="4"/>
      </tp>
      <tp t="s">
        <v>#N/A Real Time</v>
        <stp/>
        <stp>BDP|5829349803498650451|22</stp>
        <stp>RUP CN  Equity</stp>
        <stp>LAST_PRICE</stp>
        <tr r="M25" s="4"/>
      </tp>
      <tp t="s">
        <v>#N/A Real Time</v>
        <stp/>
        <stp>BDP|679944703718142750|22</stp>
        <stp>NVEE Equity</stp>
        <stp>LAST_PRICE</stp>
        <tr r="M185" s="4"/>
      </tp>
      <tp t="s">
        <v>#N/A Real Time</v>
        <stp/>
        <stp>BDP|13229978060037194143|22</stp>
        <stp>ETNB  Equity</stp>
        <stp>LAST_PRICE</stp>
        <tr r="M120" s="4"/>
      </tp>
      <tp t="s">
        <v>#N/A Real Time</v>
        <stp/>
        <stp>BDP|741011640750648550|22</stp>
        <stp>SLNO Equity</stp>
        <stp>LAST_PRICE</stp>
        <tr r="M34" s="4"/>
      </tp>
      <tp t="s">
        <v>#N/A Real Time</v>
        <stp/>
        <stp>BDP|902141940578380001|22</stp>
        <stp>HONE Equity</stp>
        <stp>LAST_PRICE</stp>
        <tr r="M195" s="4"/>
      </tp>
      <tp>
        <v>57.585000000000001</v>
        <stp/>
        <stp>BDP|705881382846718009|22</stp>
        <stp>TXNM Equity</stp>
        <stp>LAST_PRICE</stp>
        <tr r="M181" s="4"/>
      </tp>
      <tp t="s">
        <v>#N/A Real Time</v>
        <stp/>
        <stp>BDP|1067521963716695548|22</stp>
        <stp>INFA Equity</stp>
        <stp>LAST_PRICE</stp>
        <tr r="M177" s="4"/>
      </tp>
      <tp>
        <v>5.1950000000000003</v>
        <stp/>
        <stp>BDP|2890276656294215567|22</stp>
        <stp>TALK Equity</stp>
        <stp>LAST_PRICE</stp>
        <tr r="M42" s="4"/>
      </tp>
      <tp>
        <v>37.787999999999997</v>
        <stp/>
        <stp>BDP|5134056986365427033|22</stp>
        <stp>WTRG Equity</stp>
        <stp>LAST_PRICE</stp>
        <tr r="M97" s="4"/>
      </tp>
      <tp t="s">
        <v>#N/A Real Time</v>
        <stp/>
        <stp>BDP|4298397424602313307|22</stp>
        <stp>TERN Equity</stp>
        <stp>LAST_PRICE</stp>
        <tr r="M40" s="4"/>
      </tp>
      <tp>
        <v>22.725000000000001</v>
        <stp/>
        <stp>BDP|16929099202824321237|22</stp>
        <stp>SES CN Equity</stp>
        <stp>LAST_PRICE</stp>
        <tr r="M29" s="4"/>
      </tp>
      <tp t="s">
        <v>#N/A Real Time</v>
        <stp/>
        <stp>BDP|4301334534928435277|22</stp>
        <stp>OS Equity</stp>
        <stp>LAST_PRICE</stp>
        <tr r="M64" s="4"/>
      </tp>
      <tp t="s">
        <v>#N/A Real Time</v>
        <stp/>
        <stp>BDP|5421658684646502792|22</stp>
        <stp>FARO Equity</stp>
        <stp>LAST_PRICE</stp>
        <tr r="M187" s="4"/>
      </tp>
      <tp>
        <v>34.520000000000003</v>
        <stp/>
        <stp>BDP|2355466843720220965|22</stp>
        <stp>AXTA Equity</stp>
        <stp>LAST_PRICE</stp>
        <tr r="M78" s="4"/>
      </tp>
      <tp t="s">
        <v>#N/A Real Time</v>
        <stp/>
        <stp>BDP|5609288865192344236|22</stp>
        <stp>HSII Equity</stp>
        <stp>LAST_PRICE</stp>
        <tr r="M109" s="4"/>
      </tp>
      <tp t="s">
        <v>#N/A Real Time</v>
        <stp/>
        <stp>BDP|7003876695934837369|22</stp>
        <stp>ONTF Equity</stp>
        <stp>LAST_PRICE</stp>
        <tr r="M67" s="4"/>
      </tp>
      <tp t="s">
        <v>#N/A Real Time</v>
        <stp/>
        <stp>BDP|3505410482282189210|22</stp>
        <stp>ETWO Equity</stp>
        <stp>LAST_PRICE</stp>
        <tr r="M178" s="4"/>
      </tp>
      <tp t="s">
        <v>#N/A Real Time</v>
        <stp/>
        <stp>BDP|7451720429872482805|22</stp>
        <stp>SAGE Equity</stp>
        <stp>LAST_PRICE</stp>
        <tr r="M172" s="4"/>
      </tp>
      <tp>
        <v>28.015000000000001</v>
        <stp/>
        <stp>BDP|6782589033151371496|22</stp>
        <stp>CRBG Equity</stp>
        <stp>LAST_PRICE</stp>
        <tr r="M39" s="4"/>
      </tp>
      <tp t="s">
        <v>#N/A Real Time</v>
        <stp/>
        <stp>BDP|4287053134315032133|22</stp>
        <stp>CWAN Equity</stp>
        <stp>LAST_PRICE</stp>
        <tr r="M70" s="4"/>
      </tp>
      <tp t="s">
        <v>#N/A Real Time</v>
        <stp/>
        <stp>BDP|6436973549446866540|22</stp>
        <stp>GLDD Equity</stp>
        <stp>LAST_PRICE</stp>
        <tr r="M47" s="4"/>
      </tp>
      <tp t="s">
        <v>#N/A Real Time</v>
        <stp/>
        <stp>BDP|2565383360166305976|22</stp>
        <stp>BASE Equity</stp>
        <stp>LAST_PRICE</stp>
        <tr r="M168" s="4"/>
      </tp>
      <tp t="s">
        <v>#N/A Real Time</v>
        <stp/>
        <stp>BDP|6935485246841714516|22</stp>
        <stp>DENN Equity</stp>
        <stp>LAST_PRICE</stp>
        <tr r="M89" s="4"/>
      </tp>
      <tp t="s">
        <v>#N/A Real Time</v>
        <stp/>
        <stp>BDP|5421696763293854478|22</stp>
        <stp>STKL Equity</stp>
        <stp>LAST_PRICE</stp>
        <tr r="M50" s="4"/>
      </tp>
      <tp t="s">
        <v>#N/A Real Time</v>
        <stp/>
        <stp>BDP|4577837292757179399|22</stp>
        <stp>SPTN Equity</stp>
        <stp>LAST_PRICE</stp>
        <tr r="M167" s="4"/>
      </tp>
      <tp t="s">
        <v>#N/A Real Time</v>
        <stp/>
        <stp>BDP|2130801136164002413|22</stp>
        <stp>REVG Equity</stp>
        <stp>LAST_PRICE</stp>
        <tr r="M91" s="4"/>
      </tp>
      <tp>
        <v>37</v>
        <stp/>
        <stp>BDP|11223863479649710702|22</stp>
        <stp>BLX CN Equity</stp>
        <stp>LAST_PRICE</stp>
        <tr r="M41" s="4"/>
      </tp>
      <tp>
        <v>9.3800000000000008</v>
        <stp/>
        <stp>BDP|3422569404746619032|22</stp>
        <stp>GBTG Equity</stp>
        <stp>LAST_PRICE</stp>
        <tr r="M17" s="4"/>
      </tp>
      <tp>
        <v>72.734999999999999</v>
        <stp/>
        <stp>BDP|8155999605966045886|22</stp>
        <stp>VECO Equity</stp>
        <stp>LAST_PRICE</stp>
        <tr r="M110" s="4"/>
      </tp>
      <tp t="s">
        <v>#N/A Real Time</v>
        <stp/>
        <stp>BDP|17004814746560655517|22</stp>
        <stp>GCG CN Equity</stp>
        <stp>LAST_PRICE</stp>
        <tr r="M129" s="4"/>
      </tp>
      <tp>
        <v>11.4</v>
        <stp/>
        <stp>BDP|15639266335338112934|22</stp>
        <stp>HUN US Equity</stp>
        <stp>LAST_PRICE</stp>
        <tr r="M5" s="4"/>
      </tp>
      <tp t="s">
        <v>#N/A Real Time</v>
        <stp/>
        <stp>BDP|9933671696007037239|22</stp>
        <stp>CNTA Equity</stp>
        <stp>LAST_PRICE</stp>
        <tr r="M35" s="4"/>
      </tp>
      <tp t="s">
        <v>#N/A Real Time</v>
        <stp/>
        <stp>BDP|3737516557964220348|22</stp>
        <stp>SHCO Equity</stp>
        <stp>LAST_PRICE</stp>
        <tr r="M138" s="4"/>
      </tp>
      <tp t="s">
        <v>#N/A Real Time</v>
        <stp/>
        <stp>BDP|8734840978256704386|22</stp>
        <stp>FFWM Equity</stp>
        <stp>LAST_PRICE</stp>
        <tr r="M98" s="4"/>
      </tp>
      <tp t="s">
        <v>#N/A Real Time</v>
        <stp/>
        <stp>BDP|4138261484847025046|22</stp>
        <stp>CADE Equity</stp>
        <stp>LAST_PRICE</stp>
        <tr r="M99" s="4"/>
      </tp>
      <tp t="s">
        <v>#N/A Real Time</v>
        <stp/>
        <stp>BDP|7432668702650320118|22</stp>
        <stp>DHIL Equity</stp>
        <stp>LAST_PRICE</stp>
        <tr r="M72" s="4"/>
      </tp>
      <tp>
        <v>96.53</v>
        <stp/>
        <stp>BDP|3792134143336082362|22</stp>
        <stp>QRVO Equity</stp>
        <stp>LAST_PRICE</stp>
        <tr r="M94" s="4"/>
      </tp>
      <tp t="s">
        <v>#N/A Real Time</v>
        <stp/>
        <stp>BDP|1198360979255933406|22</stp>
        <stp>TRUE Equity</stp>
        <stp>LAST_PRICE</stp>
        <tr r="M197" s="4"/>
      </tp>
      <tp t="s">
        <v>#N/A Real Time</v>
        <stp/>
        <stp>BDP|4361029307848035242|22</stp>
        <stp>PLYM Equity</stp>
        <stp>LAST_PRICE</stp>
        <tr r="M100" s="4"/>
      </tp>
      <tp t="s">
        <v>#N/A Real Time</v>
        <stp/>
        <stp>BDP|14679673650975685119|22</stp>
        <stp>PKI CN Equity</stp>
        <stp>LAST_PRICE</stp>
        <tr r="M188" s="4"/>
      </tp>
      <tp>
        <v>13.19</v>
        <stp/>
        <stp>BDP|3462661454119458731|22</stp>
        <stp>CCRN Equity</stp>
        <stp>LAST_PRICE</stp>
        <tr r="M16" s="4"/>
      </tp>
      <tp>
        <v>38.86</v>
        <stp/>
        <stp>BDP|3264168278236285204|22</stp>
        <stp>STEL Equity</stp>
        <stp>LAST_PRICE</stp>
        <tr r="M57" s="4"/>
      </tp>
      <tp t="s">
        <v>#N/A Real Time</v>
        <stp/>
        <stp>BDP|11912796656289702699|22</stp>
        <stp>MEG CN Equity</stp>
        <stp>LAST_PRICE</stp>
        <tr r="M133" s="4"/>
      </tp>
      <tp t="s">
        <v>#N/A Real Time</v>
        <stp/>
        <stp>BDP|1919923611783886333|22</stp>
        <stp>FFIC Equity</stp>
        <stp>LAST_PRICE</stp>
        <tr r="M66" s="4"/>
      </tp>
      <tp t="s">
        <v>#N/A Real Time</v>
        <stp/>
        <stp>BDP|6558595026274195551|22</stp>
        <stp>MOFG Equity</stp>
        <stp>LAST_PRICE</stp>
        <tr r="M101" s="4"/>
      </tp>
      <tp>
        <v>59.22</v>
        <stp/>
        <stp>BDP|9073697677040106436|22</stp>
        <stp>TECK Equity</stp>
        <stp>LAST_PRICE</stp>
        <tr r="M125" s="4"/>
      </tp>
      <tp t="s">
        <v>#N/A Real Time</v>
        <stp/>
        <stp>BDP|8048105708511695158|22</stp>
        <stp>MLNK Equity</stp>
        <stp>LAST_PRICE</stp>
        <tr r="M142" s="4"/>
      </tp>
      <tp t="s">
        <v>#N/A Real Time</v>
        <stp/>
        <stp>BDP|1853038113781411619|22</stp>
        <stp>TRML Equity</stp>
        <stp>LAST_PRICE</stp>
        <tr r="M126" s="4"/>
      </tp>
      <tp>
        <v>50.13</v>
        <stp/>
        <stp>BDP|4298196702771918954|22</stp>
        <stp>PINC Equity</stp>
        <stp>LAST_PRICE</stp>
        <tr r="M118" s="4"/>
      </tp>
      <tp>
        <v>123.59</v>
        <stp/>
        <stp>BDP|6558943377323355054|22</stp>
        <stp>NUVL US Equity</stp>
        <stp>LAST_PRICE</stp>
        <tr r="M8" s="4"/>
      </tp>
      <tp>
        <v>14.62</v>
        <stp/>
        <stp>BDP|9050226693186128254|22</stp>
        <stp>NFBK Equity</stp>
        <stp>LAST_PRICE</stp>
        <tr r="M54" s="4"/>
      </tp>
      <tp t="s">
        <v>#N/A Real Time</v>
        <stp/>
        <stp>BDP|9062540412867842271|22</stp>
        <stp>AMWD Equity</stp>
        <stp>LAST_PRICE</stp>
        <tr r="M144" s="4"/>
      </tp>
      <tp>
        <v>42.05</v>
        <stp/>
        <stp>BDP|7090331700016653283|22</stp>
        <stp>XOMA Equity</stp>
        <stp>LAST_PRICE</stp>
        <tr r="M21" s="4"/>
      </tp>
      <tp t="s">
        <v>#N/A Real Time</v>
        <stp/>
        <stp>BDP|8591318205128482682|22</stp>
        <stp>PGRE Equity</stp>
        <stp>LAST_PRICE</stp>
        <tr r="M121" s="4"/>
      </tp>
      <tp t="s">
        <v>#N/A Real Time</v>
        <stp/>
        <stp>BDP|4197823696633887746|22</stp>
        <stp>CYBR Equity</stp>
        <stp>LAST_PRICE</stp>
        <tr r="M149" s="4"/>
      </tp>
      <tp t="s">
        <v>#N/A Real Time</v>
        <stp/>
        <stp>BDP|7757591231036056432|22</stp>
        <stp>APLS Equity</stp>
        <stp>LAST_PRICE</stp>
        <tr r="M36" s="4"/>
      </tp>
      <tp>
        <v>208.79</v>
        <stp/>
        <stp>BDP|2864283317183414977|22</stp>
        <stp>GTLS Equity</stp>
        <stp>LAST_PRICE</stp>
        <tr r="M150" s="4"/>
      </tp>
      <tp t="s">
        <v>#N/A Real Time</v>
        <stp/>
        <stp>BDP|8103083016262692429|22</stp>
        <stp>CTLP Equity</stp>
        <stp>LAST_PRICE</stp>
        <tr r="M171" s="4"/>
      </tp>
      <tp t="s">
        <v>#N/A Real Time</v>
        <stp/>
        <stp>BDP|9533177674587118959|22</stp>
        <stp>AVDX Equity</stp>
        <stp>LAST_PRICE</stp>
        <tr r="M191" s="4"/>
      </tp>
      <tp t="s">
        <v>#N/A Real Time</v>
        <stp/>
        <stp>BDP|6498717032836210825|22</stp>
        <stp>HOUS Equity</stp>
        <stp>LAST_PRICE</stp>
        <tr r="M115" s="4"/>
      </tp>
      <tp t="s">
        <v>#N/A Real Time</v>
        <stp/>
        <stp>BDP|8845914808251008650|22</stp>
        <stp>SPNS Equity</stp>
        <stp>LAST_PRICE</stp>
        <tr r="M139" s="4"/>
      </tp>
      <tp t="s">
        <v>#N/A Real Time</v>
        <stp/>
        <stp>BDP|8747527092362530782|22</stp>
        <stp>EXAS Equity</stp>
        <stp>LAST_PRICE</stp>
        <tr r="M76" s="4"/>
      </tp>
      <tp>
        <v>32.450000000000003</v>
        <stp/>
        <stp>BDP|7429166160568635661|22</stp>
        <stp>AAUC CN Equity</stp>
        <stp>LAST_PRICE</stp>
        <tr r="M59" s="4"/>
      </tp>
      <tp t="s">
        <v>#N/A Real Time</v>
        <stp/>
        <stp>BDP|7430000023915500060|22</stp>
        <stp>DNTL CN Equity</stp>
        <stp>LAST_PRICE</stp>
        <tr r="M113" s="4"/>
      </tp>
      <tp t="s">
        <v>#N/A Real Time</v>
        <stp/>
        <stp>BDP|5303031269830799932|22</stp>
        <stp>VERV Equity</stp>
        <stp>LAST_PRICE</stp>
        <tr r="M170" s="4"/>
      </tp>
      <tp>
        <v>8.77</v>
        <stp/>
        <stp>BDP|3203306062675688605|22</stp>
        <stp>GTWO CN Equity</stp>
        <stp>LAST_PRICE</stp>
        <tr r="M32" s="4"/>
      </tp>
      <tp t="s">
        <v>#N/A Real Time</v>
        <stp/>
        <stp>BDP|3807849033729148467|22</stp>
        <stp>CDTX Equity</stp>
        <stp>LAST_PRICE</stp>
        <tr r="M80" s="4"/>
      </tp>
      <tp t="s">
        <v>#N/A Real Time</v>
        <stp/>
        <stp>BDP|7425914256658276421|22</stp>
        <stp>MRUS Equity</stp>
        <stp>LAST_PRICE</stp>
        <tr r="M112" s="4"/>
      </tp>
      <tp t="s">
        <v>#N/A Real Time</v>
        <stp/>
        <stp>BDP|5769652313020790892|22</stp>
        <stp>ALEX Equity</stp>
        <stp>LAST_PRICE</stp>
        <tr r="M75" s="4"/>
      </tp>
      <tp t="s">
        <v>#N/A Real Time</v>
        <stp/>
        <stp>BDP|8956916539063356749|22</stp>
        <stp>DVAX Equity</stp>
        <stp>LAST_PRICE</stp>
        <tr r="M69" s="4"/>
      </tp>
      <tp t="s">
        <v>#N/A Real Time</v>
        <stp/>
        <stp>BDP|7850526730450837205|22</stp>
        <stp>INZY Equity</stp>
        <stp>LAST_PRICE</stp>
        <tr r="M183" s="4"/>
      </tp>
      <tp t="s">
        <v>#N/A Real Time</v>
        <stp/>
        <stp>BDP|6693410908170297010|22</stp>
        <stp>SNCY Equity</stp>
        <stp>LAST_PRICE</stp>
        <tr r="M62" s="4"/>
      </tp>
      <tp t="s">
        <v>#N/A Real Time</v>
        <stp/>
        <stp>BDP|11514949512760965346|22</stp>
        <stp>FN CN Equity</stp>
        <stp>LAST_PRICE</stp>
        <tr r="M152" s="4"/>
      </tp>
      <tp t="s">
        <v>#N/A Real Time</v>
        <stp/>
        <stp>BDP|7352599736838468635|22</stp>
        <stp>HI Equity</stp>
        <stp>LAST_PRICE</stp>
        <tr r="M104" s="4"/>
      </tp>
      <tp t="s">
        <v>#N/A Real Time</v>
        <stp/>
        <stp>BDP|4825148804655648984|22</stp>
        <stp>KALV Equity</stp>
        <stp>LAST_PRICE</stp>
        <tr r="M19" s="4"/>
      </tp>
      <tp t="s">
        <v>#N/A Real Time</v>
        <stp/>
        <stp>BDP|2960206296061308099|22</stp>
        <stp>RGLS Equity</stp>
        <stp>LAST_PRICE</stp>
        <tr r="M190" s="4"/>
      </tp>
      <tp t="s">
        <v>#N/A Real Time</v>
        <stp/>
        <stp>BDP|14155146490773144107|22</stp>
        <stp>NVA CN Equity</stp>
        <stp>LAST_PRICE</stp>
        <tr r="M85" s="4"/>
      </tp>
      <tp t="s">
        <v>#N/A Real Time</v>
        <stp/>
        <stp>BDP|9677467953454021069|22</stp>
        <stp>AL Equity</stp>
        <stp>LAST_PRICE</stp>
        <tr r="M127" s="4"/>
      </tp>
      <tp t="s">
        <v>#N/A Real Time</v>
        <stp/>
        <stp>BDP|3317878248597845395|22</stp>
        <stp>ZK Equity</stp>
        <stp>LAST_PRICE</stp>
        <tr r="M157" s="4"/>
      </tp>
      <tp>
        <v>134.66</v>
        <stp/>
        <stp>BDP|7180686982691298866|22</stp>
        <stp>ROKU US Equity</stp>
        <stp>LAST_PRICE</stp>
        <tr r="M6" s="4"/>
      </tp>
      <tp t="s">
        <v>#N/A Real Time</v>
        <stp/>
        <stp>BDP|9118642167435894061|22</stp>
        <stp>SEMR Equity</stp>
        <stp>LAST_PRICE</stp>
        <tr r="M77" s="4"/>
      </tp>
      <tp t="s">
        <v>#N/A Real Time</v>
        <stp/>
        <stp>BDP|6832823171886490678|22</stp>
        <stp>PHLT Equity</stp>
        <stp>LAST_PRICE</stp>
        <tr r="M148" s="4"/>
      </tp>
      <tp>
        <v>2.0550000000000002</v>
        <stp/>
        <stp>BDP|6129616988881899333|22</stp>
        <stp>OLPX Equity</stp>
        <stp>LAST_PRICE</stp>
        <tr r="M38" s="4"/>
      </tp>
      <tp t="s">
        <v>#N/A Real Time</v>
        <stp/>
        <stp>BDP|4168987597836852277|22</stp>
        <stp>CFLT Equity</stp>
        <stp>LAST_PRICE</stp>
        <tr r="M74" s="4"/>
      </tp>
      <tp>
        <v>31.425000000000001</v>
        <stp/>
        <stp>BDP|2393739525864779048|22</stp>
        <stp>CPRX Equity</stp>
        <stp>LAST_PRICE</stp>
        <tr r="M15" s="4"/>
      </tp>
      <tp t="s">
        <v>#N/A Real Time</v>
        <stp/>
        <stp>BDP|1910664531192009633|22</stp>
        <stp>SWTX Equity</stp>
        <stp>LAST_PRICE</stp>
        <tr r="M193" s="4"/>
      </tp>
      <tp>
        <v>23.02</v>
        <stp/>
        <stp>BDP|1790221003802850582|22</stp>
        <stp>FCR-U CN Equity</stp>
        <stp>LAST_PRICE</stp>
        <tr r="M26" s="4"/>
      </tp>
      <tp t="s">
        <v>#N/A Real Time</v>
        <stp/>
        <stp>BDP|11953112245666362485|22</stp>
        <stp>ZEUS Equity</stp>
        <stp>LAST_PRICE</stp>
        <tr r="M95" s="4"/>
      </tp>
      <tp t="s">
        <v>#N/A Real Time</v>
        <stp/>
        <stp>BDP|18325017938807954425|22</stp>
        <stp>DAY Equity</stp>
        <stp>LAST_PRICE</stp>
        <tr r="M134" s="4"/>
      </tp>
      <tp>
        <v>13.14</v>
        <stp/>
        <stp>BDP|15034005580983751578|22</stp>
        <stp>ARX Equity</stp>
        <stp>LAST_PRICE</stp>
        <tr r="M22" s="4"/>
      </tp>
      <tp t="s">
        <v>#N/A Real Time</v>
        <stp/>
        <stp>BDP|11660662400435408533|22</stp>
        <stp>ATXS Equity</stp>
        <stp>LAST_PRICE</stp>
        <tr r="M106" s="4"/>
      </tp>
      <tp t="s">
        <v>#N/A Real Time</v>
        <stp/>
        <stp>BDP|10562609912815750827|22</stp>
        <stp>BRY Equity</stp>
        <stp>LAST_PRICE</stp>
        <tr r="M122" s="4"/>
      </tp>
      <tp t="s">
        <v>#N/A Real Time</v>
        <stp/>
        <stp>BDP|12259249943252897830|22</stp>
        <stp>RAPT Equity</stp>
        <stp>LAST_PRICE</stp>
        <tr r="M60" s="4"/>
      </tp>
      <tp>
        <v>34.28</v>
        <stp/>
        <stp>BDP|15764466255141976451|22</stp>
        <stp>SKYT Equity</stp>
        <stp>LAST_PRICE</stp>
        <tr r="M58" s="4"/>
      </tp>
      <tp t="s">
        <v>#N/A Real Time</v>
        <stp/>
        <stp>BDP|16051587004645093467|22</stp>
        <stp>VBTX Equity</stp>
        <stp>LAST_PRICE</stp>
        <tr r="M158" s="4"/>
      </tp>
      <tp>
        <v>12.91</v>
        <stp/>
        <stp>BDP|6642756595369272535|22</stp>
        <stp>IIP-U CN Equity</stp>
        <stp>LAST_PRICE</stp>
        <tr r="M176" s="4"/>
      </tp>
      <tp t="s">
        <v>#N/A Real Time</v>
        <stp/>
        <stp>BDP|14836588556772835428|22</stp>
        <stp>MTSR Equity</stp>
        <stp>LAST_PRICE</stp>
        <tr r="M119" s="4"/>
      </tp>
      <tp>
        <v>24.905000000000001</v>
        <stp/>
        <stp>BDP|14629858483299544838|22</stp>
        <stp>AVNS Equity</stp>
        <stp>LAST_PRICE</stp>
        <tr r="M27" s="4"/>
      </tp>
      <tp t="s">
        <v>#N/A Real Time</v>
        <stp/>
        <stp>BDP|11556608738836562768|22</stp>
        <stp>2649387D US Equity</stp>
        <stp>LAST_PRICE</stp>
        <tr r="M182" s="4"/>
      </tp>
      <tp t="s">
        <v>#N/A Real Time</v>
        <stp/>
        <stp>BDP|12393591031436626304|22</stp>
        <stp>GES Equity</stp>
        <stp>LAST_PRICE</stp>
        <tr r="M135" s="4"/>
      </tp>
      <tp t="s">
        <v>#N/A Real Time</v>
        <stp/>
        <stp>BDP|13519834575799536508|22</stp>
        <stp>MCW Equity</stp>
        <stp>LAST_PRICE</stp>
        <tr r="M45" s="4"/>
      </tp>
      <tp>
        <v>3.1549999999999998</v>
        <stp/>
        <stp>BDP|15366008381340873031|22</stp>
        <stp>ESPR Equity</stp>
        <stp>LAST_PRICE</stp>
        <tr r="M18" s="4"/>
      </tp>
      <tp>
        <v>75.540000000000006</v>
        <stp/>
        <stp>BDP|17521215679493843566|22</stp>
        <stp>WBS Equity</stp>
        <stp>LAST_PRICE</stp>
        <tr r="M52" s="4"/>
      </tp>
      <tp t="s">
        <v>#N/A Real Time</v>
        <stp/>
        <stp>BDP|16881178662770814306|22</stp>
        <stp>HOLX Equity</stp>
        <stp>LAST_PRICE</stp>
        <tr r="M103" s="4"/>
      </tp>
      <tp t="s">
        <v>#N/A Real Time</v>
        <stp/>
        <stp>BDP|13549776401851185939|22</stp>
        <stp>CSGS Equity</stp>
        <stp>LAST_PRICE</stp>
        <tr r="M92" s="4"/>
      </tp>
      <tp t="s">
        <v>#N/A Real Time</v>
        <stp/>
        <stp>BDP|13348111330858081215|22</stp>
        <stp>VTYX Equity</stp>
        <stp>LAST_PRICE</stp>
        <tr r="M63" s="4"/>
      </tp>
      <tp>
        <v>79.625</v>
        <stp/>
        <stp>BDP|17445628318583769940|22</stp>
        <stp>GSAT Equity</stp>
        <stp>LAST_PRICE</stp>
        <tr r="M28" s="4"/>
      </tp>
      <tp t="s">
        <v>#N/A Real Time</v>
        <stp/>
        <stp>BDP|14992860535101458322|22</stp>
        <stp>TIXT Equity</stp>
        <stp>LAST_PRICE</stp>
        <tr r="M128" s="4"/>
      </tp>
      <tp t="s">
        <v>#N/A Real Time</v>
        <stp/>
        <stp>BDP|17159674486888770983|22</stp>
        <stp>ZIMV Equity</stp>
        <stp>LAST_PRICE</stp>
        <tr r="M155" s="4"/>
      </tp>
      <tp t="s">
        <v>#N/A Real Time</v>
        <stp/>
        <stp>BDP|16070934149350023981|22</stp>
        <stp>2629861D US Equity</stp>
        <stp>LAST_PRICE</stp>
        <tr r="M145" s="4"/>
      </tp>
      <tp t="s">
        <v>#N/A Real Time</v>
        <stp/>
        <stp>BDP|17846855132768678382|22</stp>
        <stp>WNS Equity</stp>
        <stp>LAST_PRICE</stp>
        <tr r="M162" s="4"/>
      </tp>
      <tp t="s">
        <v>#N/A Real Time</v>
        <stp/>
        <stp>BDP|15202925949927735581|22</stp>
        <stp>VRNT Equity</stp>
        <stp>LAST_PRICE</stp>
        <tr r="M132" s="4"/>
      </tp>
      <tp t="s">
        <v>#N/A Real Time</v>
        <stp/>
        <stp>BDP|14190867172718474980|22</stp>
        <stp>PKST Equity</stp>
        <stp>LAST_PRICE</stp>
        <tr r="M55" s="4"/>
      </tp>
      <tp>
        <v>18.954999999999998</v>
        <stp/>
        <stp>BDP|17041457700765845289|22</stp>
        <stp>WSR Equity</stp>
        <stp>LAST_PRICE</stp>
        <tr r="M31" s="4"/>
      </tp>
      <tp t="s">
        <v>#N/A Real Time</v>
        <stp/>
        <stp>BDP|93862990601095204|22</stp>
        <stp>SCS Equity</stp>
        <stp>LAST_PRICE</stp>
        <tr r="M147" s="4"/>
      </tp>
      <tp t="s">
        <v>#N/A Real Time</v>
        <stp/>
        <stp>BDP|17192464489296970724|22</stp>
        <stp>ITOS Equity</stp>
        <stp>LAST_PRICE</stp>
        <tr r="M156" s="4"/>
      </tp>
      <tp t="s">
        <v>#N/A Real Time</v>
        <stp/>
        <stp>BDP|13344816744091587960|22</stp>
        <stp>DVS Equity</stp>
        <stp>LAST_PRICE</stp>
        <tr r="M73" s="4"/>
      </tp>
      <tp t="s">
        <v>#N/A Real Time</v>
        <stp/>
        <stp>BDP|15754707102253754842|22</stp>
        <stp>ODP Equity</stp>
        <stp>LAST_PRICE</stp>
        <tr r="M116" s="4"/>
      </tp>
      <tp>
        <v>37.409999999999997</v>
        <stp/>
        <stp>BDP|14325853489746702698|22</stp>
        <stp>RAMP Equity</stp>
        <stp>LAST_PRICE</stp>
        <tr r="M13" s="4"/>
      </tp>
      <tp t="s">
        <v>#N/A Real Time</v>
        <stp/>
        <stp>BDP|10075397570048583693|22</stp>
        <stp>AHL Equity</stp>
        <stp>LAST_PRICE</stp>
        <tr r="M130" s="4"/>
      </tp>
      <tp t="s">
        <v>#N/A N/A</v>
        <stp/>
        <stp>BDP|17382466520121628140|22</stp>
        <stp>GOGL Equity</stp>
        <stp>LAST_PRICE</stp>
        <tr r="M192" s="4"/>
      </tp>
      <tp>
        <v>18.905000000000001</v>
        <stp/>
        <stp>BDP|12922020786960977638|22</stp>
        <stp>KVUE Equity</stp>
        <stp>LAST_PRICE</stp>
        <tr r="M86" s="4"/>
      </tp>
      <tp>
        <v>15.725</v>
        <stp/>
        <stp>BDP|17959082025673719276|22</stp>
        <stp>DBRG Equity</stp>
        <stp>LAST_PRICE</stp>
        <tr r="M68" s="4"/>
      </tp>
      <tp t="s">
        <v>#N/A Real Time</v>
        <stp/>
        <stp>BDP|12347815179576189224|22</stp>
        <stp>PPBI Equity</stp>
        <stp>LAST_PRICE</stp>
        <tr r="M196" s="4"/>
      </tp>
      <tp>
        <v>71.944999999999993</v>
        <stp/>
        <stp>BDP|13207458507019039989|22</stp>
        <stp>TMHC Equity</stp>
        <stp>LAST_PRICE</stp>
        <tr r="M9" s="4"/>
      </tp>
      <tp>
        <v>419.99</v>
        <stp/>
        <stp>BDP|17058926576341159299|22</stp>
        <stp>BLD Equity</stp>
        <stp>LAST_PRICE</stp>
        <tr r="M24" s="4"/>
      </tp>
      <tp t="s">
        <v>#N/A Real Time</v>
        <stp/>
        <stp>BDP|14232233365594578982|22</stp>
        <stp>CMA Equity</stp>
        <stp>LAST_PRICE</stp>
        <tr r="M108" s="4"/>
      </tp>
      <tp t="s">
        <v>#N/A Real Time</v>
        <stp/>
        <stp>BDP|16517115762014133541|22</stp>
        <stp>JAMF Equity</stp>
        <stp>LAST_PRICE</stp>
        <tr r="M93" s="4"/>
      </tp>
      <tp t="s">
        <v>#N/A Real Time</v>
        <stp/>
        <stp>BDP|12452529550702071726|22</stp>
        <stp>PRO Equity</stp>
        <stp>LAST_PRICE</stp>
        <tr r="M117" s="4"/>
      </tp>
      <tp>
        <v>71.680000000000007</v>
        <stp/>
        <stp>BDP|13183462956637655896|22</stp>
        <stp>NWE Equity</stp>
        <stp>LAST_PRICE</stp>
        <tr r="M136" s="4"/>
      </tp>
      <tp t="s">
        <v>#N/A Real Time</v>
        <stp/>
        <stp>BDP|11322660859011492954|22</stp>
        <stp>AVDL Equity</stp>
        <stp>LAST_PRICE</stp>
        <tr r="M102" s="4"/>
      </tp>
      <tp t="s">
        <v>#N/A Real Time</v>
        <stp/>
        <stp>BDP|13308704001132062305|22</stp>
        <stp>FRGE Equity</stp>
        <stp>LAST_PRICE</stp>
        <tr r="M84" s="4"/>
      </tp>
      <tp t="s">
        <v>#N/A Real Time</v>
        <stp/>
        <stp>BDP|17222962641024745066|22</stp>
        <stp>VRNA Equity</stp>
        <stp>LAST_PRICE</stp>
        <tr r="M160" s="4"/>
      </tp>
      <tp t="s">
        <v>#N/A Real Time</v>
        <stp/>
        <stp>BDP|13735876880645554688|22</stp>
        <stp>MAG Equity</stp>
        <stp>LAST_PRICE</stp>
        <tr r="M179" s="4"/>
      </tp>
      <tp>
        <v>262.38499999999999</v>
        <stp/>
        <stp>BDP|11102734692864431482|22</stp>
        <stp>UNF Equity</stp>
        <stp>LAST_PRICE</stp>
        <tr r="M44" s="4"/>
      </tp>
      <tp t="s">
        <v>#N/A Real Time</v>
        <stp/>
        <stp>BDP|16117067144126787849|22</stp>
        <stp>GHLD Equity</stp>
        <stp>LAST_PRICE</stp>
        <tr r="M169" s="4"/>
      </tp>
      <tp t="s">
        <v>#N/A Real Time</v>
        <stp/>
        <stp>BDP|17148361249765620316|22</stp>
        <stp>SAND Equity</stp>
        <stp>LAST_PRICE</stp>
        <tr r="M161" s="4"/>
      </tp>
      <tp t="s">
        <v>#N/A Real Time</v>
        <stp/>
        <stp>BDP|17248491193141876664|22</stp>
        <stp>PBPB Equity</stp>
        <stp>LAST_PRICE</stp>
        <tr r="M124" s="4"/>
      </tp>
      <tp t="s">
        <v>#N/A Real Time</v>
        <stp/>
        <stp>BDP|15542635711279277791|22</stp>
        <stp>TGNA Equity</stp>
        <stp>LAST_PRICE</stp>
        <tr r="M137" s="4"/>
      </tp>
      <tp t="s">
        <v>#N/A Real Time</v>
        <stp/>
        <stp>BDP|15271180293308057318|22</stp>
        <stp>KLG Equity</stp>
        <stp>LAST_PRICE</stp>
        <tr r="M159" s="4"/>
      </tp>
      <tp>
        <v>317.42</v>
        <stp/>
        <stp>BDP|12052447447329332813|22</stp>
        <stp>PEN Equity</stp>
        <stp>LAST_PRICE</stp>
        <tr r="M61" s="4"/>
      </tp>
      <tp t="s">
        <v>#N/A Real Time</v>
        <stp/>
        <stp>BDP|16039624269608479670|22</stp>
        <stp>LSEA Equity</stp>
        <stp>LAST_PRICE</stp>
        <tr r="M186" s="4"/>
      </tp>
      <tp>
        <v>30.344999999999999</v>
        <stp/>
        <stp>BDP|13079468051386484212|22</stp>
        <stp>SILA Equity</stp>
        <stp>LAST_PRICE</stp>
        <tr r="M23" s="4"/>
      </tp>
      <tp>
        <v>62.954999999999998</v>
        <stp/>
        <stp>BDP|10693921886108259175|22</stp>
        <stp>BHF Equity</stp>
        <stp>LAST_PRICE</stp>
        <tr r="M82" s="4"/>
      </tp>
      <tp>
        <v>2.4049999999999998</v>
        <stp/>
        <stp>BDP|13371580987658265207|22</stp>
        <stp>CCO Equity</stp>
        <stp>LAST_PRICE</stp>
        <tr r="M49" s="4"/>
      </tp>
      <tp t="s">
        <v>#N/A Real Time</v>
        <stp/>
        <stp>BDP|10178101045277139452|22</stp>
        <stp>VIGL Equity</stp>
        <stp>LAST_PRICE</stp>
        <tr r="M180" s="4"/>
      </tp>
      <tp t="s">
        <v>#N/A Real Time</v>
        <stp/>
        <stp>BDP|14248584670051088260|22</stp>
        <stp>BPMC Equity</stp>
        <stp>LAST_PRICE</stp>
        <tr r="M175" s="4"/>
      </tp>
      <tp t="s">
        <v>#N/A Real Time</v>
        <stp/>
        <stp>BDP|12610112801084380181|22</stp>
        <stp>CIO Equity</stp>
        <stp>LAST_PRICE</stp>
        <tr r="M153" s="4"/>
      </tp>
      <tp t="s">
        <v>#N/A Real Time</v>
        <stp/>
        <stp>BDP|11641093541063688536|22</stp>
        <stp>CVAC Equity</stp>
        <stp>LAST_PRICE</stp>
        <tr r="M173" s="4"/>
      </tp>
      <tp>
        <v>12.865</v>
        <stp/>
        <stp>BDP|10487500456361746100|22</stp>
        <stp>RNA Equity</stp>
        <stp>LAST_PRICE</stp>
        <tr r="M96" s="4"/>
      </tp>
      <tp t="s">
        <v>#N/A Real Time</v>
        <stp/>
        <stp>BDP|15535081920378580628|22</stp>
        <stp>GDEN Equity</stp>
        <stp>LAST_PRICE</stp>
        <tr r="M83" s="4"/>
      </tp>
      <tp>
        <v>217.83</v>
        <stp/>
        <stp>BDP|16214144076076487370|22</stp>
        <stp>SLAB Equity</stp>
        <stp>LAST_PRICE</stp>
        <tr r="M51" s="4"/>
      </tp>
      <tp t="s">
        <v>#N/A Real Time</v>
        <stp/>
        <stp>BDP|12268118595618194136|22</stp>
        <stp>CIVI Equity</stp>
        <stp>LAST_PRICE</stp>
        <tr r="M88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Deal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'M&amp;A Market Review'!$C$9</c:f>
              <c:strCache>
                <c:ptCount val="1"/>
                <c:pt idx="0">
                  <c:v># Deals</c:v>
                </c:pt>
              </c:strCache>
            </c:strRef>
          </c:tx>
          <c:spPr>
            <a:solidFill>
              <a:srgbClr val="1C3A5E"/>
            </a:solidFill>
            <a:ln>
              <a:noFill/>
            </a:ln>
            <a:effectLst/>
          </c:spPr>
          <c:invertIfNegative val="0"/>
          <c:cat>
            <c:numRef>
              <c:f>'M&amp;A Market Review'!$B$10:$B$27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'M&amp;A Market Review'!$C$10:$C$27</c:f>
              <c:numCache>
                <c:formatCode>#,##0</c:formatCode>
                <c:ptCount val="18"/>
                <c:pt idx="0">
                  <c:v>12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17</c:v>
                </c:pt>
                <c:pt idx="8">
                  <c:v>18</c:v>
                </c:pt>
                <c:pt idx="9">
                  <c:v>21</c:v>
                </c:pt>
                <c:pt idx="10">
                  <c:v>16</c:v>
                </c:pt>
                <c:pt idx="11">
                  <c:v>15</c:v>
                </c:pt>
                <c:pt idx="12">
                  <c:v>9</c:v>
                </c:pt>
                <c:pt idx="13">
                  <c:v>19</c:v>
                </c:pt>
                <c:pt idx="14">
                  <c:v>15</c:v>
                </c:pt>
                <c:pt idx="15">
                  <c:v>17</c:v>
                </c:pt>
                <c:pt idx="16">
                  <c:v>12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F-4F02-8F84-B77D1A3D6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049919424"/>
        <c:axId val="1049923024"/>
      </c:barChart>
      <c:lineChart>
        <c:grouping val="standard"/>
        <c:varyColors val="0"/>
        <c:ser>
          <c:idx val="1"/>
          <c:order val="1"/>
          <c:tx>
            <c:strRef>
              <c:f>'M&amp;A Market Review'!$D$9</c:f>
              <c:strCache>
                <c:ptCount val="1"/>
                <c:pt idx="0">
                  <c:v>Total Equity Value ($mm)</c:v>
                </c:pt>
              </c:strCache>
            </c:strRef>
          </c:tx>
          <c:spPr>
            <a:ln w="28575" cap="rnd">
              <a:solidFill>
                <a:srgbClr val="C8A24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8A24B"/>
              </a:solidFill>
              <a:ln w="9525">
                <a:solidFill>
                  <a:srgbClr val="C8A24B"/>
                </a:solidFill>
                <a:prstDash val="solid"/>
              </a:ln>
              <a:effectLst/>
            </c:spPr>
          </c:marker>
          <c:cat>
            <c:numRef>
              <c:f>'M&amp;A Market Review'!$B$10:$B$27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'M&amp;A Market Review'!$D$10:$D$27</c:f>
              <c:numCache>
                <c:formatCode>#,##0</c:formatCode>
                <c:ptCount val="18"/>
                <c:pt idx="0">
                  <c:v>49791.679999999993</c:v>
                </c:pt>
                <c:pt idx="1">
                  <c:v>17511.560000000001</c:v>
                </c:pt>
                <c:pt idx="2">
                  <c:v>41557.699999999997</c:v>
                </c:pt>
                <c:pt idx="3">
                  <c:v>8317.91</c:v>
                </c:pt>
                <c:pt idx="4">
                  <c:v>39148.85</c:v>
                </c:pt>
                <c:pt idx="5">
                  <c:v>26789.379999999997</c:v>
                </c:pt>
                <c:pt idx="6">
                  <c:v>131761.46000000002</c:v>
                </c:pt>
                <c:pt idx="7">
                  <c:v>41402.25</c:v>
                </c:pt>
                <c:pt idx="8">
                  <c:v>104353.16999999998</c:v>
                </c:pt>
                <c:pt idx="9">
                  <c:v>93892.87</c:v>
                </c:pt>
                <c:pt idx="10">
                  <c:v>106036.44</c:v>
                </c:pt>
                <c:pt idx="11">
                  <c:v>186820.88</c:v>
                </c:pt>
                <c:pt idx="12">
                  <c:v>33424.029999999992</c:v>
                </c:pt>
                <c:pt idx="13">
                  <c:v>84334.24000000002</c:v>
                </c:pt>
                <c:pt idx="14">
                  <c:v>50601.589999999989</c:v>
                </c:pt>
                <c:pt idx="15">
                  <c:v>66323.470000000016</c:v>
                </c:pt>
                <c:pt idx="16">
                  <c:v>125783.88999999997</c:v>
                </c:pt>
                <c:pt idx="17">
                  <c:v>68565.540000000008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F-4F02-8F84-B77D1A3D6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76200"/>
        <c:axId val="1405278720"/>
      </c:lineChart>
      <c:dateAx>
        <c:axId val="1049919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FC7D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23024"/>
        <c:crosses val="autoZero"/>
        <c:auto val="1"/>
        <c:lblOffset val="100"/>
        <c:baseTimeUnit val="months"/>
      </c:dateAx>
      <c:valAx>
        <c:axId val="10499230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19424"/>
        <c:crosses val="autoZero"/>
        <c:crossBetween val="between"/>
      </c:valAx>
      <c:valAx>
        <c:axId val="140527872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C8A24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6200"/>
        <c:crosses val="max"/>
        <c:crossBetween val="between"/>
      </c:valAx>
      <c:dateAx>
        <c:axId val="14052762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052787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5A6B7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Deals by Target Sector (#)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C3A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A6B7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'M&amp;A Market Review'!$B$39:$B$49</c:f>
              <c:strCache>
                <c:ptCount val="11"/>
                <c:pt idx="0">
                  <c:v>Health Care</c:v>
                </c:pt>
                <c:pt idx="1">
                  <c:v>Technology</c:v>
                </c:pt>
                <c:pt idx="2">
                  <c:v>Financials</c:v>
                </c:pt>
                <c:pt idx="3">
                  <c:v>Industrials</c:v>
                </c:pt>
                <c:pt idx="4">
                  <c:v>Consumer Discretionary</c:v>
                </c:pt>
                <c:pt idx="5">
                  <c:v>Real Estate</c:v>
                </c:pt>
                <c:pt idx="6">
                  <c:v>Materials</c:v>
                </c:pt>
                <c:pt idx="7">
                  <c:v>Energy</c:v>
                </c:pt>
                <c:pt idx="8">
                  <c:v>Communications</c:v>
                </c:pt>
                <c:pt idx="9">
                  <c:v>Utilities</c:v>
                </c:pt>
                <c:pt idx="10">
                  <c:v>Consumer Staples</c:v>
                </c:pt>
              </c:strCache>
            </c:strRef>
          </c:cat>
          <c:val>
            <c:numRef>
              <c:f>'M&amp;A Market Review'!$C$39:$C$49</c:f>
              <c:numCache>
                <c:formatCode>#,##0</c:formatCode>
                <c:ptCount val="11"/>
                <c:pt idx="0">
                  <c:v>47</c:v>
                </c:pt>
                <c:pt idx="1">
                  <c:v>33</c:v>
                </c:pt>
                <c:pt idx="2">
                  <c:v>33</c:v>
                </c:pt>
                <c:pt idx="3">
                  <c:v>27</c:v>
                </c:pt>
                <c:pt idx="4">
                  <c:v>23</c:v>
                </c:pt>
                <c:pt idx="5">
                  <c:v>19</c:v>
                </c:pt>
                <c:pt idx="6">
                  <c:v>16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4C3D-85A4-0ACFF9E0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1268968"/>
        <c:axId val="1221275448"/>
      </c:barChart>
      <c:catAx>
        <c:axId val="1221268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C7D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75448"/>
        <c:crosses val="autoZero"/>
        <c:auto val="1"/>
        <c:lblAlgn val="ctr"/>
        <c:lblOffset val="100"/>
        <c:noMultiLvlLbl val="0"/>
      </c:catAx>
      <c:valAx>
        <c:axId val="122127544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68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Deal Size Distribution (#)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E6E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A6B7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'M&amp;A Market Review'!$B$54:$B$58</c:f>
              <c:strCache>
                <c:ptCount val="5"/>
                <c:pt idx="0">
                  <c:v>&lt; $1bn</c:v>
                </c:pt>
                <c:pt idx="1">
                  <c:v>$1–5bn</c:v>
                </c:pt>
                <c:pt idx="2">
                  <c:v>$5–10bn</c:v>
                </c:pt>
                <c:pt idx="3">
                  <c:v>$10–25bn</c:v>
                </c:pt>
                <c:pt idx="4">
                  <c:v>≥ $25bn</c:v>
                </c:pt>
              </c:strCache>
            </c:strRef>
          </c:cat>
          <c:val>
            <c:numRef>
              <c:f>'M&amp;A Market Review'!$C$54:$C$58</c:f>
              <c:numCache>
                <c:formatCode>#,##0</c:formatCode>
                <c:ptCount val="5"/>
                <c:pt idx="0">
                  <c:v>56</c:v>
                </c:pt>
                <c:pt idx="1">
                  <c:v>115</c:v>
                </c:pt>
                <c:pt idx="2">
                  <c:v>36</c:v>
                </c:pt>
                <c:pt idx="3">
                  <c:v>20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7-4732-9854-5B8FF9B7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21280848"/>
        <c:axId val="1221282648"/>
      </c:barChart>
      <c:catAx>
        <c:axId val="12212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C7D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82648"/>
        <c:crosses val="autoZero"/>
        <c:auto val="1"/>
        <c:lblAlgn val="ctr"/>
        <c:lblOffset val="100"/>
        <c:noMultiLvlLbl val="0"/>
      </c:catAx>
      <c:valAx>
        <c:axId val="12212826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8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Consideration Mix (#)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C3A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A1-478F-87C0-591281FB4832}"/>
              </c:ext>
            </c:extLst>
          </c:dPt>
          <c:dPt>
            <c:idx val="1"/>
            <c:bubble3D val="0"/>
            <c:spPr>
              <a:solidFill>
                <a:srgbClr val="3E6E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A1-478F-87C0-591281FB4832}"/>
              </c:ext>
            </c:extLst>
          </c:dPt>
          <c:dPt>
            <c:idx val="2"/>
            <c:bubble3D val="0"/>
            <c:spPr>
              <a:solidFill>
                <a:srgbClr val="C8A24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A1-478F-87C0-591281FB48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'M&amp;A Market Review'!$B$32:$B$34</c:f>
              <c:strCache>
                <c:ptCount val="3"/>
                <c:pt idx="0">
                  <c:v>Cash</c:v>
                </c:pt>
                <c:pt idx="1">
                  <c:v>Stock</c:v>
                </c:pt>
                <c:pt idx="2">
                  <c:v>Cash Tender</c:v>
                </c:pt>
              </c:strCache>
            </c:strRef>
          </c:cat>
          <c:val>
            <c:numRef>
              <c:f>'M&amp;A Market Review'!$C$32:$C$34</c:f>
              <c:numCache>
                <c:formatCode>#,##0</c:formatCode>
                <c:ptCount val="3"/>
                <c:pt idx="0">
                  <c:v>121</c:v>
                </c:pt>
                <c:pt idx="1">
                  <c:v>91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1-478F-87C0-591281FB4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A6B7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3294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vs 2026: YTD Count &amp; Total Equity</a:t>
            </a:r>
            <a:r>
              <a:rPr lang="en-US" baseline="0"/>
              <a:t> </a:t>
            </a:r>
            <a:r>
              <a:rPr lang="en-US"/>
              <a:t>Value (Jan–Jun)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3294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'M&amp;A Market Review'!$B$72</c:f>
              <c:strCache>
                <c:ptCount val="1"/>
                <c:pt idx="0">
                  <c:v># Deals Announced</c:v>
                </c:pt>
              </c:strCache>
            </c:strRef>
          </c:tx>
          <c:spPr>
            <a:solidFill>
              <a:srgbClr val="1C3A5E"/>
            </a:solidFill>
            <a:ln>
              <a:noFill/>
            </a:ln>
            <a:effectLst/>
          </c:spPr>
          <c:invertIfNegative val="0"/>
          <c:cat>
            <c:strRef>
              <c:f>'M&amp;A Market Review'!$C$71:$D$71</c:f>
              <c:strCache>
                <c:ptCount val="2"/>
                <c:pt idx="0">
                  <c:v>2025 YTD</c:v>
                </c:pt>
                <c:pt idx="1">
                  <c:v>2026 YTD</c:v>
                </c:pt>
              </c:strCache>
            </c:strRef>
          </c:cat>
          <c:val>
            <c:numRef>
              <c:f>'M&amp;A Market Review'!$C$72:$D$72</c:f>
              <c:numCache>
                <c:formatCode>#,##0</c:formatCode>
                <c:ptCount val="2"/>
                <c:pt idx="0">
                  <c:v>56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6-4A09-801A-F9FFC16E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17154496"/>
        <c:axId val="1217156656"/>
      </c:barChart>
      <c:lineChart>
        <c:grouping val="standard"/>
        <c:varyColors val="0"/>
        <c:ser>
          <c:idx val="1"/>
          <c:order val="1"/>
          <c:tx>
            <c:strRef>
              <c:f>'M&amp;A Market Review'!$B$73</c:f>
              <c:strCache>
                <c:ptCount val="1"/>
                <c:pt idx="0">
                  <c:v>Total Equity Value ($bn)</c:v>
                </c:pt>
              </c:strCache>
            </c:strRef>
          </c:tx>
          <c:spPr>
            <a:ln w="28575" cap="rnd">
              <a:solidFill>
                <a:srgbClr val="C8A24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8A24B"/>
              </a:solidFill>
              <a:ln w="9525">
                <a:solidFill>
                  <a:srgbClr val="C8A24B"/>
                </a:solidFill>
                <a:prstDash val="solid"/>
              </a:ln>
              <a:effectLst/>
            </c:spPr>
          </c:marker>
          <c:cat>
            <c:strRef>
              <c:f>'M&amp;A Market Review'!$C$71:$D$71</c:f>
              <c:strCache>
                <c:ptCount val="2"/>
                <c:pt idx="0">
                  <c:v>2025 YTD</c:v>
                </c:pt>
                <c:pt idx="1">
                  <c:v>2026 YTD</c:v>
                </c:pt>
              </c:strCache>
            </c:strRef>
          </c:cat>
          <c:val>
            <c:numRef>
              <c:f>'M&amp;A Market Review'!$C$73:$D$73</c:f>
              <c:numCache>
                <c:formatCode>#,##0.0</c:formatCode>
                <c:ptCount val="2"/>
                <c:pt idx="0">
                  <c:v>177.66859000000002</c:v>
                </c:pt>
                <c:pt idx="1">
                  <c:v>429.03276000000005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6-4A09-801A-F9FFC16E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75120"/>
        <c:axId val="1405283040"/>
      </c:lineChart>
      <c:catAx>
        <c:axId val="121715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56656"/>
        <c:crosses val="autoZero"/>
        <c:auto val="1"/>
        <c:lblAlgn val="ctr"/>
        <c:lblOffset val="100"/>
        <c:noMultiLvlLbl val="0"/>
      </c:catAx>
      <c:valAx>
        <c:axId val="1217156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54496"/>
        <c:crosses val="autoZero"/>
        <c:crossBetween val="between"/>
      </c:valAx>
      <c:valAx>
        <c:axId val="1405283040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C8A24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5120"/>
        <c:crosses val="max"/>
        <c:crossBetween val="between"/>
      </c:valAx>
      <c:catAx>
        <c:axId val="140527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5283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5A6B7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to Complete by Sector — Avg vs. 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'Deal Timing Analysis'!$O$1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rgbClr val="1C3A5E"/>
            </a:solidFill>
            <a:ln>
              <a:noFill/>
            </a:ln>
            <a:effectLst/>
          </c:spPr>
          <c:invertIfNegative val="0"/>
          <c:cat>
            <c:strRef>
              <c:f>'Deal Timing Analysis'!$N$2:$N$12</c:f>
              <c:strCache>
                <c:ptCount val="11"/>
                <c:pt idx="0">
                  <c:v>Health Care</c:v>
                </c:pt>
                <c:pt idx="1">
                  <c:v>Energy</c:v>
                </c:pt>
                <c:pt idx="2">
                  <c:v>Real Estate</c:v>
                </c:pt>
                <c:pt idx="3">
                  <c:v>Utilities</c:v>
                </c:pt>
                <c:pt idx="4">
                  <c:v>Industrials</c:v>
                </c:pt>
                <c:pt idx="5">
                  <c:v>Technology</c:v>
                </c:pt>
                <c:pt idx="6">
                  <c:v>Consumer Staples</c:v>
                </c:pt>
                <c:pt idx="7">
                  <c:v>Consumer Discretionary</c:v>
                </c:pt>
                <c:pt idx="8">
                  <c:v>Materials</c:v>
                </c:pt>
                <c:pt idx="9">
                  <c:v>Financials</c:v>
                </c:pt>
                <c:pt idx="10">
                  <c:v>Communications</c:v>
                </c:pt>
              </c:strCache>
            </c:strRef>
          </c:cat>
          <c:val>
            <c:numRef>
              <c:f>'Deal Timing Analysis'!$O$2:$O$12</c:f>
              <c:numCache>
                <c:formatCode>0</c:formatCode>
                <c:ptCount val="11"/>
                <c:pt idx="0">
                  <c:v>75.771428571428572</c:v>
                </c:pt>
                <c:pt idx="1">
                  <c:v>83.6</c:v>
                </c:pt>
                <c:pt idx="2">
                  <c:v>102.09090909090909</c:v>
                </c:pt>
                <c:pt idx="3">
                  <c:v>108.5</c:v>
                </c:pt>
                <c:pt idx="4">
                  <c:v>111.4375</c:v>
                </c:pt>
                <c:pt idx="5">
                  <c:v>111.91304347826087</c:v>
                </c:pt>
                <c:pt idx="6">
                  <c:v>116.83333333333333</c:v>
                </c:pt>
                <c:pt idx="7">
                  <c:v>117.05263157894737</c:v>
                </c:pt>
                <c:pt idx="8">
                  <c:v>118.44444444444444</c:v>
                </c:pt>
                <c:pt idx="9">
                  <c:v>150.94999999999999</c:v>
                </c:pt>
                <c:pt idx="10">
                  <c:v>177.5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D2B-9CB0-EB568CFCED82}"/>
            </c:ext>
          </c:extLst>
        </c:ser>
        <c:ser>
          <c:idx val="1"/>
          <c:order val="1"/>
          <c:tx>
            <c:strRef>
              <c:f>'Deal Timing Analysis'!$P$1</c:f>
              <c:strCache>
                <c:ptCount val="1"/>
                <c:pt idx="0">
                  <c:v>Median Days</c:v>
                </c:pt>
              </c:strCache>
            </c:strRef>
          </c:tx>
          <c:spPr>
            <a:solidFill>
              <a:srgbClr val="C8A24B"/>
            </a:solidFill>
            <a:ln>
              <a:noFill/>
            </a:ln>
            <a:effectLst/>
          </c:spPr>
          <c:invertIfNegative val="0"/>
          <c:cat>
            <c:strRef>
              <c:f>'Deal Timing Analysis'!$N$2:$N$12</c:f>
              <c:strCache>
                <c:ptCount val="11"/>
                <c:pt idx="0">
                  <c:v>Health Care</c:v>
                </c:pt>
                <c:pt idx="1">
                  <c:v>Energy</c:v>
                </c:pt>
                <c:pt idx="2">
                  <c:v>Real Estate</c:v>
                </c:pt>
                <c:pt idx="3">
                  <c:v>Utilities</c:v>
                </c:pt>
                <c:pt idx="4">
                  <c:v>Industrials</c:v>
                </c:pt>
                <c:pt idx="5">
                  <c:v>Technology</c:v>
                </c:pt>
                <c:pt idx="6">
                  <c:v>Consumer Staples</c:v>
                </c:pt>
                <c:pt idx="7">
                  <c:v>Consumer Discretionary</c:v>
                </c:pt>
                <c:pt idx="8">
                  <c:v>Materials</c:v>
                </c:pt>
                <c:pt idx="9">
                  <c:v>Financials</c:v>
                </c:pt>
                <c:pt idx="10">
                  <c:v>Communications</c:v>
                </c:pt>
              </c:strCache>
            </c:strRef>
          </c:cat>
          <c:val>
            <c:numRef>
              <c:f>'Deal Timing Analysis'!$P$2:$P$12</c:f>
              <c:numCache>
                <c:formatCode>General</c:formatCode>
                <c:ptCount val="11"/>
                <c:pt idx="0">
                  <c:v>62</c:v>
                </c:pt>
                <c:pt idx="1">
                  <c:v>87.5</c:v>
                </c:pt>
                <c:pt idx="2">
                  <c:v>96</c:v>
                </c:pt>
                <c:pt idx="3">
                  <c:v>108.5</c:v>
                </c:pt>
                <c:pt idx="4">
                  <c:v>100.5</c:v>
                </c:pt>
                <c:pt idx="5">
                  <c:v>95</c:v>
                </c:pt>
                <c:pt idx="6">
                  <c:v>92</c:v>
                </c:pt>
                <c:pt idx="7">
                  <c:v>110</c:v>
                </c:pt>
                <c:pt idx="8">
                  <c:v>116</c:v>
                </c:pt>
                <c:pt idx="9">
                  <c:v>155</c:v>
                </c:pt>
                <c:pt idx="10">
                  <c:v>177.5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5-4D2B-9CB0-EB568CFCE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161336"/>
        <c:axId val="1217159536"/>
      </c:barChart>
      <c:catAx>
        <c:axId val="1217161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59536"/>
        <c:crosses val="autoZero"/>
        <c:auto val="1"/>
        <c:lblAlgn val="ctr"/>
        <c:lblOffset val="100"/>
        <c:noMultiLvlLbl val="0"/>
      </c:catAx>
      <c:valAx>
        <c:axId val="121715953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6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to Complete by Consideration — Avg vs. 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'Deal Timing Analysis'!$C$23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rgbClr val="1C3A5E"/>
            </a:solidFill>
            <a:ln>
              <a:noFill/>
            </a:ln>
            <a:effectLst/>
          </c:spPr>
          <c:invertIfNegative val="0"/>
          <c:cat>
            <c:strRef>
              <c:f>'Deal Timing Analysis'!$B$24:$B$26</c:f>
              <c:strCache>
                <c:ptCount val="3"/>
                <c:pt idx="0">
                  <c:v>Cash</c:v>
                </c:pt>
                <c:pt idx="1">
                  <c:v>Stock</c:v>
                </c:pt>
                <c:pt idx="2">
                  <c:v>Cash Tender</c:v>
                </c:pt>
              </c:strCache>
            </c:strRef>
          </c:cat>
          <c:val>
            <c:numRef>
              <c:f>'Deal Timing Analysis'!$C$24:$C$26</c:f>
              <c:numCache>
                <c:formatCode>0.0</c:formatCode>
                <c:ptCount val="3"/>
                <c:pt idx="0">
                  <c:v>114.80263157894737</c:v>
                </c:pt>
                <c:pt idx="1">
                  <c:v>123.12962962962963</c:v>
                </c:pt>
                <c:pt idx="2">
                  <c:v>48.727272727272727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3-47A4-A39E-C80491CC53D0}"/>
            </c:ext>
          </c:extLst>
        </c:ser>
        <c:ser>
          <c:idx val="1"/>
          <c:order val="1"/>
          <c:tx>
            <c:strRef>
              <c:f>'Deal Timing Analysis'!$D$23</c:f>
              <c:strCache>
                <c:ptCount val="1"/>
                <c:pt idx="0">
                  <c:v>Median Days</c:v>
                </c:pt>
              </c:strCache>
            </c:strRef>
          </c:tx>
          <c:spPr>
            <a:solidFill>
              <a:srgbClr val="C8A24B"/>
            </a:solidFill>
            <a:ln>
              <a:noFill/>
            </a:ln>
            <a:effectLst/>
          </c:spPr>
          <c:invertIfNegative val="0"/>
          <c:cat>
            <c:strRef>
              <c:f>'Deal Timing Analysis'!$B$24:$B$26</c:f>
              <c:strCache>
                <c:ptCount val="3"/>
                <c:pt idx="0">
                  <c:v>Cash</c:v>
                </c:pt>
                <c:pt idx="1">
                  <c:v>Stock</c:v>
                </c:pt>
                <c:pt idx="2">
                  <c:v>Cash Tender</c:v>
                </c:pt>
              </c:strCache>
            </c:strRef>
          </c:cat>
          <c:val>
            <c:numRef>
              <c:f>'Deal Timing Analysis'!$D$24:$D$26</c:f>
              <c:numCache>
                <c:formatCode>0</c:formatCode>
                <c:ptCount val="3"/>
                <c:pt idx="0">
                  <c:v>95</c:v>
                </c:pt>
                <c:pt idx="1">
                  <c:v>116</c:v>
                </c:pt>
                <c:pt idx="2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3-47A4-A39E-C80491CC5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162416"/>
        <c:axId val="1217147296"/>
      </c:barChart>
      <c:catAx>
        <c:axId val="12171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47296"/>
        <c:crosses val="autoZero"/>
        <c:auto val="1"/>
        <c:lblAlgn val="ctr"/>
        <c:lblOffset val="100"/>
        <c:noMultiLvlLbl val="0"/>
      </c:catAx>
      <c:valAx>
        <c:axId val="12171472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7EAEE"/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B7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6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CBA01-B8D4-B076-D52C-F2108890B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15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D52111-3EDB-F2C1-A475-2E9BEA70E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15</xdr:col>
      <xdr:colOff>0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0E986D-6F48-6469-8FFC-9B638A60B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61</xdr:row>
      <xdr:rowOff>0</xdr:rowOff>
    </xdr:from>
    <xdr:to>
      <xdr:col>15</xdr:col>
      <xdr:colOff>0</xdr:colOff>
      <xdr:row>77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D81828-CEB5-512F-6DEE-9FDE777D6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78</xdr:row>
      <xdr:rowOff>0</xdr:rowOff>
    </xdr:from>
    <xdr:to>
      <xdr:col>15</xdr:col>
      <xdr:colOff>0</xdr:colOff>
      <xdr:row>95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28FACF-6FE4-89DD-D248-842C1A4BA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-1</xdr:rowOff>
    </xdr:from>
    <xdr:to>
      <xdr:col>16</xdr:col>
      <xdr:colOff>381925</xdr:colOff>
      <xdr:row>22</xdr:row>
      <xdr:rowOff>151016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6E2670-F725-A2B4-79AC-D07FF0652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71431</xdr:rowOff>
    </xdr:from>
    <xdr:to>
      <xdr:col>16</xdr:col>
      <xdr:colOff>381925</xdr:colOff>
      <xdr:row>40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332796-05C2-E138-2089-1899D0D3C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55520-F667-4CC9-827D-0A194B936414}" name="Table1" displayName="Table1" ref="A1:X237" totalsRowShown="0">
  <autoFilter ref="A1:X237" xr:uid="{D0855520-F667-4CC9-827D-0A194B936414}"/>
  <sortState xmlns:xlrd2="http://schemas.microsoft.com/office/spreadsheetml/2017/richdata2" ref="A2:X237">
    <sortCondition descending="1" ref="G1:G237"/>
  </sortState>
  <tableColumns count="24">
    <tableColumn id="1" xr3:uid="{1AF02BFA-92AD-4736-84CD-A2906EED1286}" name="Deal Type"/>
    <tableColumn id="2" xr3:uid="{0FE345D0-8993-457D-9E9F-B92BDE9DB927}" name="Target Ticker"/>
    <tableColumn id="3" xr3:uid="{AF331D8D-460A-437F-8935-5C17FFBA3060}" name="Acquirer Ticker"/>
    <tableColumn id="4" xr3:uid="{221FDC41-F789-4CAC-92B4-D2D541F1D106}" name="Announce Date" dataDxfId="26"/>
    <tableColumn id="5" xr3:uid="{93786225-B4BC-4910-8702-61BD6FC52097}" name="Deal Status"/>
    <tableColumn id="6" xr3:uid="{F52D733A-4717-44EB-A0C0-4793292B6EC5}" name="Completion/Termination Date" dataDxfId="25"/>
    <tableColumn id="18" xr3:uid="{38120C37-0CD8-4D75-9D10-FEDFA9EE4B91}" name="Days to Complete" dataDxfId="24" dataCellStyle="Comma">
      <calculatedColumnFormula>IF(Table1[[#This Row],[Deal Status]]="Completed", Table1[[#This Row],[Completion/Termination Date]]-Table1[[#This Row],[Announce Date]], "")</calculatedColumnFormula>
    </tableColumn>
    <tableColumn id="7" xr3:uid="{8BBF54A7-FF9E-4326-B81E-C4B914CC7640}" name="Target Name"/>
    <tableColumn id="8" xr3:uid="{1CCD9583-2D54-401E-A288-DBC33C151C2B}" name="Acquirer Name"/>
    <tableColumn id="24" xr3:uid="{3A28ACA0-F971-429A-812C-04C7FC600364}" name="Strategic/Sponsor"/>
    <tableColumn id="9" xr3:uid="{852288E0-8542-4183-87EC-297B2F5D01F4}" name="Payment Type"/>
    <tableColumn id="19" xr3:uid="{5A03CFFA-ADC1-43F1-A49C-97222D161327}" name="Tender (Y/N)"/>
    <tableColumn id="20" xr3:uid="{2EF1BEDA-458E-472B-B81C-DE5A1C1D3E95}" name="Consideration" dataDxfId="23"/>
    <tableColumn id="10" xr3:uid="{7C943934-3FEC-4CEC-B05C-4111D7D08460}" name="Announced Equity Value (mil.)" dataDxfId="22" dataCellStyle="Comma"/>
    <tableColumn id="11" xr3:uid="{6C94DC32-C82E-446F-9C4C-739228E625DF}" name="Announced Total Value (mil.)" dataDxfId="21" dataCellStyle="Comma"/>
    <tableColumn id="12" xr3:uid="{BF4FAF95-DD68-49B2-ABDD-9EB69AA6AC6F}" name="TV/EBITDA" dataDxfId="20" dataCellStyle="Comma"/>
    <tableColumn id="13" xr3:uid="{C11A11DE-6C61-4D6C-AA39-C80760DDDD9C}" name="Target Termination Fee" dataDxfId="19" dataCellStyle="Comma"/>
    <tableColumn id="14" xr3:uid="{BB0FE31A-7334-4D6C-B356-A87778457423}" name="Acquirer Termination Fee" dataDxfId="18" dataCellStyle="Comma"/>
    <tableColumn id="23" xr3:uid="{7AB458B4-75CC-4CCB-A2FF-E3A719D9225B}" name="Target Industry Sector" dataDxfId="17" dataCellStyle="Comma"/>
    <tableColumn id="22" xr3:uid="{114DBD19-7B52-4258-9457-83E4A7EB20B8}" name="Target Industry Group" dataDxfId="16" dataCellStyle="Comma"/>
    <tableColumn id="21" xr3:uid="{FAF1822B-1766-4AB6-A09A-B300B7E35199}" name="Target Industry Subgroup" dataDxfId="15" dataCellStyle="Comma"/>
    <tableColumn id="15" xr3:uid="{EC53985F-938D-4A8D-B84D-D1E07BB54584}" name="Target Country/Region"/>
    <tableColumn id="16" xr3:uid="{B614C95E-9419-4F3A-996C-644CFBB02219}" name="Acquirer Country/Region"/>
    <tableColumn id="17" xr3:uid="{35444DA0-4B15-4724-966B-042279480836}" name="Announced Prem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05BCEE-A77B-461C-B00D-6469338554F7}" name="Table13" displayName="Table13" ref="B2:P198">
  <autoFilter ref="B2:P198" xr:uid="{0D3BE016-D23A-406A-A6D3-AEBA90CE44FA}"/>
  <sortState xmlns:xlrd2="http://schemas.microsoft.com/office/spreadsheetml/2017/richdata2" ref="B3:P198">
    <sortCondition descending="1" ref="C2:C198"/>
  </sortState>
  <tableColumns count="15">
    <tableColumn id="1" xr3:uid="{A2A5638A-AC9C-48EA-8BB4-74A279C708C3}" name="TICKER" totalsRowLabel="Total"/>
    <tableColumn id="13" xr3:uid="{E0B52BB4-4AFD-4261-8B1F-66D05A376003}" name="Day Ann." dataDxfId="14"/>
    <tableColumn id="2" xr3:uid="{F4573769-FD69-4515-849F-02A0B3C2DC74}" name="Initial Close Est." dataDxfId="13"/>
    <tableColumn id="3" xr3:uid="{7E864081-BDD7-4101-BB1C-8F0730E3E76A}" name="Actual Close" dataDxfId="12"/>
    <tableColumn id="15" xr3:uid="{1746A7C1-E9CD-4872-A655-03DA0D45EA25}" name="Days Est." dataDxfId="11" totalsRowDxfId="10" dataCellStyle="Comma">
      <calculatedColumnFormula>IF(Table13[[#This Row],[Day Ann.]]="", "", Table13[[#This Row],[Initial Close Est.]]-Table13[[#This Row],[Day Ann.]])</calculatedColumnFormula>
    </tableColumn>
    <tableColumn id="14" xr3:uid="{E9F692EE-5034-4DE7-AF4B-12468DAC7F29}" name="Days to Close" dataDxfId="9" totalsRowDxfId="8" dataCellStyle="Comma">
      <calculatedColumnFormula>IF(Table13[[#This Row],[Actual Close]]="", "",Table13[[#This Row],[Actual Close]]-Table13[[#This Row],[Day Ann.]])</calculatedColumnFormula>
    </tableColumn>
    <tableColumn id="4" xr3:uid="{1AEA2B94-A52E-4E6B-BAEE-730700F2F231}" name="Days Err. (late)" dataDxfId="7">
      <calculatedColumnFormula>IF(E3="","",E3-D3)</calculatedColumnFormula>
    </tableColumn>
    <tableColumn id="5" xr3:uid="{B82D0F1F-3943-499C-BB7D-8D8D5654A647}" name="Abs. Days Err." dataDxfId="6">
      <calculatedColumnFormula>IF(H3="", "",ABS(H3))</calculatedColumnFormula>
    </tableColumn>
    <tableColumn id="6" xr3:uid="{B6B18EA5-E3F5-4D92-BE2B-E4C2CF8A0771}" name="Security">
      <calculatedColumnFormula>(B3&amp;" Equity")</calculatedColumnFormula>
    </tableColumn>
    <tableColumn id="7" xr3:uid="{81E0FEA9-6777-4346-896F-B8EF65E637A1}" name="Target Industry Sector" dataDxfId="5">
      <calculatedColumnFormula array="1">IFERROR(_xlfn.LET(_xlpm.t,TRIM(Table13[[#This Row],[TICKER]]),_xlpm.k,IF(ISNUMBER(SEARCH(" ",_xlpm.t)),_xlpm.t,_xlpm.t&amp;" US"),_xlfn.XLOOKUP(_xlpm.k,TRIM(Table1[Target Ticker]),Table1[Target Industry Sector])),"")</calculatedColumnFormula>
    </tableColumn>
    <tableColumn id="8" xr3:uid="{C0EEA780-B5DC-4E08-B1B3-AE7AB9C53C4F}" name="Target Industry Group" dataDxfId="4">
      <calculatedColumnFormula array="1">IFERROR(_xlfn.LET(_xlpm.t,TRIM(Table13[[#This Row],[TICKER]]),_xlpm.k,IF(ISNUMBER(SEARCH(" ",_xlpm.t)),_xlpm.t,_xlpm.t&amp;" US"),_xlfn.XLOOKUP(_xlpm.k,TRIM(Table1[Target Ticker]),Table1[Target Industry Group])),"")</calculatedColumnFormula>
    </tableColumn>
    <tableColumn id="10" xr3:uid="{2B838CF3-B599-4016-BB2A-3D7461DCCFF3}" name="Last Px">
      <calculatedColumnFormula>_xll.BDP($J3, "LAST_PRICE")</calculatedColumnFormula>
    </tableColumn>
    <tableColumn id="11" xr3:uid="{18D52657-AF2E-4B37-9EB9-C57CC40F8658}" name="DOJ/FTC/CC"/>
    <tableColumn id="9" xr3:uid="{9D19C786-BDB0-4649-B552-A001A91B5A9C}" name="Cash/Stock (or Mix)/Tender" dataDxfId="3">
      <calculatedColumnFormula>IF(Table13[[#This Row],[Cash/Tender/Stock/Mix]]= "Mix", "Stock", Table13[[#This Row],[Cash/Tender/Stock/Mix]])</calculatedColumnFormula>
    </tableColumn>
    <tableColumn id="12" xr3:uid="{1D5B585D-848D-4BEF-8FFA-7406BD72FA6F}" name="Cash/Tender/Stock/Mix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4623FE-9A79-424B-BDC2-FA79EF146AB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a750bb6-70f2-4a1b-989c-167063838da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churchillcap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www.churchillcap.com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urchillcap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churchillcap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churchillc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1EF9-19F7-4B67-B05E-C4D7A1096A11}">
  <dimension ref="A1:S94"/>
  <sheetViews>
    <sheetView showGridLines="0" zoomScale="80" zoomScaleNormal="80" workbookViewId="0">
      <selection sqref="A1:O1"/>
    </sheetView>
  </sheetViews>
  <sheetFormatPr defaultRowHeight="15" outlineLevelCol="1" x14ac:dyDescent="0.25"/>
  <cols>
    <col min="1" max="1" width="2.7109375" customWidth="1"/>
    <col min="2" max="2" width="30.140625" customWidth="1"/>
    <col min="3" max="6" width="17.5703125" customWidth="1"/>
    <col min="7" max="7" width="3.85546875" customWidth="1"/>
    <col min="8" max="15" width="14.42578125" customWidth="1"/>
    <col min="17" max="17" width="12.140625" hidden="1" customWidth="1" outlineLevel="1"/>
    <col min="18" max="18" width="13.7109375" hidden="1" customWidth="1" outlineLevel="1"/>
    <col min="19" max="19" width="9.140625" collapsed="1"/>
  </cols>
  <sheetData>
    <row r="1" spans="1:15" ht="38.1" customHeight="1" x14ac:dyDescent="0.25">
      <c r="A1" s="106" t="s">
        <v>1279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21.95" customHeight="1" x14ac:dyDescent="0.25">
      <c r="A2" s="107" t="str">
        <f>"U.S. &amp; Cross-Border M&amp;A (Public Target Deals Valued&gt;$500M)     |      Announced Jan 2025 – Present      |      n = "&amp;COUNTA(Table1[Target Ticker])&amp;" deals      |      Data through "&amp;TEXT(MAX(Table1[Announce Date]),"mmm d, yyyy")&amp;"      |      Cash = Cash Merger, Stock = Stock Merger      |      Data sourced from Bloomberg"</f>
        <v>U.S. &amp; Cross-Border M&amp;A (Public Target Deals Valued&gt;$500M)     |      Announced Jan 2025 – Present      |      n = 236 deals      |      Data through Jun 25, 2026      |      Cash = Cash Merger, Stock = Stock Merger      |      Data sourced from Bloomberg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4" spans="1:15" ht="15.95" customHeight="1" x14ac:dyDescent="0.25">
      <c r="B4" s="112" t="s">
        <v>1207</v>
      </c>
      <c r="C4" s="113"/>
      <c r="D4" s="112" t="s">
        <v>1208</v>
      </c>
      <c r="E4" s="113"/>
      <c r="F4" s="112" t="s">
        <v>1209</v>
      </c>
      <c r="G4" s="113"/>
      <c r="H4" s="112" t="s">
        <v>1210</v>
      </c>
      <c r="I4" s="113"/>
      <c r="J4" s="112" t="s">
        <v>1211</v>
      </c>
      <c r="K4" s="113"/>
      <c r="L4" s="112" t="s">
        <v>1212</v>
      </c>
      <c r="M4" s="113"/>
      <c r="N4" s="112" t="s">
        <v>1213</v>
      </c>
      <c r="O4" s="118"/>
    </row>
    <row r="5" spans="1:15" ht="30" customHeight="1" x14ac:dyDescent="0.25">
      <c r="B5" s="116">
        <f>COUNTA(Table1[Target Ticker])</f>
        <v>236</v>
      </c>
      <c r="C5" s="115"/>
      <c r="D5" s="117">
        <f>SUM(Table1[Announced Equity Value (mil.)])/1000</f>
        <v>1276.4169099999997</v>
      </c>
      <c r="E5" s="109"/>
      <c r="F5" s="108">
        <f>AVERAGE(Table1[Announced Equity Value (mil.)])/1000</f>
        <v>5.4547731196581184</v>
      </c>
      <c r="G5" s="109"/>
      <c r="H5" s="114">
        <f>MEDIAN(Table1[Announced Premium])</f>
        <v>24.59</v>
      </c>
      <c r="I5" s="115"/>
      <c r="J5" s="121">
        <f>COUNTIF(Table1[Deal Status],"Completed")/(COUNTIF(Table1[Deal Status],"Completed")+COUNTIF(Table1[Deal Status],"Terminated"))</f>
        <v>0.95625000000000004</v>
      </c>
      <c r="K5" s="115"/>
      <c r="L5" s="116">
        <f>COUNTIF(Table1[Deal Status],"Pending")</f>
        <v>76</v>
      </c>
      <c r="M5" s="115"/>
      <c r="N5" s="116">
        <f>MEDIAN(Table1[Days to Complete])</f>
        <v>96</v>
      </c>
      <c r="O5" s="119"/>
    </row>
    <row r="6" spans="1:15" ht="14.1" customHeight="1" x14ac:dyDescent="0.25">
      <c r="B6" s="110" t="s">
        <v>1214</v>
      </c>
      <c r="C6" s="111"/>
      <c r="D6" s="110" t="s">
        <v>1215</v>
      </c>
      <c r="E6" s="111"/>
      <c r="F6" s="110" t="s">
        <v>1216</v>
      </c>
      <c r="G6" s="111"/>
      <c r="H6" s="110" t="s">
        <v>1217</v>
      </c>
      <c r="I6" s="111"/>
      <c r="J6" s="110" t="s">
        <v>1218</v>
      </c>
      <c r="K6" s="111"/>
      <c r="L6" s="110" t="s">
        <v>1219</v>
      </c>
      <c r="M6" s="111"/>
      <c r="N6" s="110" t="s">
        <v>1220</v>
      </c>
      <c r="O6" s="120"/>
    </row>
    <row r="8" spans="1:15" ht="20.100000000000001" customHeight="1" x14ac:dyDescent="0.25">
      <c r="B8" s="103" t="s">
        <v>1221</v>
      </c>
      <c r="C8" s="103"/>
      <c r="D8" s="103"/>
      <c r="E8" s="103"/>
      <c r="F8" s="103"/>
    </row>
    <row r="9" spans="1:15" ht="18" customHeight="1" x14ac:dyDescent="0.25">
      <c r="B9" s="40" t="s">
        <v>1222</v>
      </c>
      <c r="C9" s="40" t="s">
        <v>1223</v>
      </c>
      <c r="D9" s="40" t="s">
        <v>1291</v>
      </c>
      <c r="E9" s="40" t="s">
        <v>1224</v>
      </c>
      <c r="F9" s="40" t="s">
        <v>1225</v>
      </c>
    </row>
    <row r="10" spans="1:15" x14ac:dyDescent="0.25">
      <c r="B10" s="41">
        <f>DATE(2025,1,1)</f>
        <v>45658</v>
      </c>
      <c r="C10" s="42">
        <f>COUNTIFS(Table1[Announce Date],"&gt;="&amp;B10,Table1[Announce Date],"&lt;"&amp;EDATE(B10,1))</f>
        <v>12</v>
      </c>
      <c r="D10" s="42">
        <f>SUMIFS(Table1[Announced Equity Value (mil.)],Table1[Announce Date],"&gt;="&amp;B10,Table1[Announce Date],"&lt;"&amp;EDATE(B10,1))</f>
        <v>49791.679999999993</v>
      </c>
      <c r="E10" s="42">
        <f>SUM($D$10:D10)</f>
        <v>49791.679999999993</v>
      </c>
      <c r="F10" s="43">
        <f>C10/SUM($C$10:$C$27)</f>
        <v>5.0847457627118647E-2</v>
      </c>
    </row>
    <row r="11" spans="1:15" x14ac:dyDescent="0.25">
      <c r="B11" s="44">
        <f>EDATE(B10,1)</f>
        <v>45689</v>
      </c>
      <c r="C11" s="45">
        <f>COUNTIFS(Table1[Announce Date],"&gt;="&amp;B11,Table1[Announce Date],"&lt;"&amp;EDATE(B11,1))</f>
        <v>9</v>
      </c>
      <c r="D11" s="42">
        <f>SUMIFS(Table1[Announced Equity Value (mil.)],Table1[Announce Date],"&gt;="&amp;B11,Table1[Announce Date],"&lt;"&amp;EDATE(B11,1))</f>
        <v>17511.560000000001</v>
      </c>
      <c r="E11" s="45">
        <f>SUM($D$10:D11)</f>
        <v>67303.239999999991</v>
      </c>
      <c r="F11" s="46">
        <f t="shared" ref="F11:F27" si="0">C11/SUM($C$10:$C$27)</f>
        <v>3.8135593220338986E-2</v>
      </c>
    </row>
    <row r="12" spans="1:15" x14ac:dyDescent="0.25">
      <c r="B12" s="41">
        <f t="shared" ref="B12:B27" si="1">EDATE(B11,1)</f>
        <v>45717</v>
      </c>
      <c r="C12" s="42">
        <f>COUNTIFS(Table1[Announce Date],"&gt;="&amp;B12,Table1[Announce Date],"&lt;"&amp;EDATE(B12,1))</f>
        <v>11</v>
      </c>
      <c r="D12" s="42">
        <f>SUMIFS(Table1[Announced Equity Value (mil.)],Table1[Announce Date],"&gt;="&amp;B12,Table1[Announce Date],"&lt;"&amp;EDATE(B12,1))</f>
        <v>41557.699999999997</v>
      </c>
      <c r="E12" s="42">
        <f>SUM($D$10:D12)</f>
        <v>108860.93999999999</v>
      </c>
      <c r="F12" s="43">
        <f t="shared" si="0"/>
        <v>4.6610169491525424E-2</v>
      </c>
    </row>
    <row r="13" spans="1:15" x14ac:dyDescent="0.25">
      <c r="B13" s="44">
        <f t="shared" si="1"/>
        <v>45748</v>
      </c>
      <c r="C13" s="45">
        <f>COUNTIFS(Table1[Announce Date],"&gt;="&amp;B13,Table1[Announce Date],"&lt;"&amp;EDATE(B13,1))</f>
        <v>5</v>
      </c>
      <c r="D13" s="42">
        <f>SUMIFS(Table1[Announced Equity Value (mil.)],Table1[Announce Date],"&gt;="&amp;B13,Table1[Announce Date],"&lt;"&amp;EDATE(B13,1))</f>
        <v>8317.91</v>
      </c>
      <c r="E13" s="45">
        <f>SUM($D$10:D13)</f>
        <v>117178.84999999999</v>
      </c>
      <c r="F13" s="46">
        <f t="shared" si="0"/>
        <v>2.1186440677966101E-2</v>
      </c>
    </row>
    <row r="14" spans="1:15" x14ac:dyDescent="0.25">
      <c r="B14" s="41">
        <f t="shared" si="1"/>
        <v>45778</v>
      </c>
      <c r="C14" s="42">
        <f>COUNTIFS(Table1[Announce Date],"&gt;="&amp;B14,Table1[Announce Date],"&lt;"&amp;EDATE(B14,1))</f>
        <v>12</v>
      </c>
      <c r="D14" s="42">
        <f>SUMIFS(Table1[Announced Equity Value (mil.)],Table1[Announce Date],"&gt;="&amp;B14,Table1[Announce Date],"&lt;"&amp;EDATE(B14,1))</f>
        <v>39148.85</v>
      </c>
      <c r="E14" s="42">
        <f>SUM($D$10:D14)</f>
        <v>156327.69999999998</v>
      </c>
      <c r="F14" s="43">
        <f t="shared" si="0"/>
        <v>5.0847457627118647E-2</v>
      </c>
    </row>
    <row r="15" spans="1:15" x14ac:dyDescent="0.25">
      <c r="B15" s="44">
        <f t="shared" si="1"/>
        <v>45809</v>
      </c>
      <c r="C15" s="45">
        <f>COUNTIFS(Table1[Announce Date],"&gt;="&amp;B15,Table1[Announce Date],"&lt;"&amp;EDATE(B15,1))</f>
        <v>9</v>
      </c>
      <c r="D15" s="42">
        <f>SUMIFS(Table1[Announced Equity Value (mil.)],Table1[Announce Date],"&gt;="&amp;B15,Table1[Announce Date],"&lt;"&amp;EDATE(B15,1))</f>
        <v>26789.379999999997</v>
      </c>
      <c r="E15" s="45">
        <f>SUM($D$10:D15)</f>
        <v>183117.08</v>
      </c>
      <c r="F15" s="46">
        <f t="shared" si="0"/>
        <v>3.8135593220338986E-2</v>
      </c>
    </row>
    <row r="16" spans="1:15" x14ac:dyDescent="0.25">
      <c r="B16" s="41">
        <f t="shared" si="1"/>
        <v>45839</v>
      </c>
      <c r="C16" s="42">
        <f>COUNTIFS(Table1[Announce Date],"&gt;="&amp;B16,Table1[Announce Date],"&lt;"&amp;EDATE(B16,1))</f>
        <v>12</v>
      </c>
      <c r="D16" s="42">
        <f>SUMIFS(Table1[Announced Equity Value (mil.)],Table1[Announce Date],"&gt;="&amp;B16,Table1[Announce Date],"&lt;"&amp;EDATE(B16,1))</f>
        <v>131761.46000000002</v>
      </c>
      <c r="E16" s="42">
        <f>SUM($D$10:D16)</f>
        <v>314878.54000000004</v>
      </c>
      <c r="F16" s="43">
        <f t="shared" si="0"/>
        <v>5.0847457627118647E-2</v>
      </c>
    </row>
    <row r="17" spans="2:6" x14ac:dyDescent="0.25">
      <c r="B17" s="44">
        <f t="shared" si="1"/>
        <v>45870</v>
      </c>
      <c r="C17" s="45">
        <f>COUNTIFS(Table1[Announce Date],"&gt;="&amp;B17,Table1[Announce Date],"&lt;"&amp;EDATE(B17,1))</f>
        <v>17</v>
      </c>
      <c r="D17" s="42">
        <f>SUMIFS(Table1[Announced Equity Value (mil.)],Table1[Announce Date],"&gt;="&amp;B17,Table1[Announce Date],"&lt;"&amp;EDATE(B17,1))</f>
        <v>41402.25</v>
      </c>
      <c r="E17" s="45">
        <f>SUM($D$10:D17)</f>
        <v>356280.79000000004</v>
      </c>
      <c r="F17" s="46">
        <f t="shared" si="0"/>
        <v>7.2033898305084748E-2</v>
      </c>
    </row>
    <row r="18" spans="2:6" x14ac:dyDescent="0.25">
      <c r="B18" s="41">
        <f t="shared" si="1"/>
        <v>45901</v>
      </c>
      <c r="C18" s="42">
        <f>COUNTIFS(Table1[Announce Date],"&gt;="&amp;B18,Table1[Announce Date],"&lt;"&amp;EDATE(B18,1))</f>
        <v>18</v>
      </c>
      <c r="D18" s="42">
        <f>SUMIFS(Table1[Announced Equity Value (mil.)],Table1[Announce Date],"&gt;="&amp;B18,Table1[Announce Date],"&lt;"&amp;EDATE(B18,1))</f>
        <v>104353.16999999998</v>
      </c>
      <c r="E18" s="42">
        <f>SUM($D$10:D18)</f>
        <v>460633.96</v>
      </c>
      <c r="F18" s="43">
        <f t="shared" si="0"/>
        <v>7.6271186440677971E-2</v>
      </c>
    </row>
    <row r="19" spans="2:6" x14ac:dyDescent="0.25">
      <c r="B19" s="44">
        <f t="shared" si="1"/>
        <v>45931</v>
      </c>
      <c r="C19" s="45">
        <f>COUNTIFS(Table1[Announce Date],"&gt;="&amp;B19,Table1[Announce Date],"&lt;"&amp;EDATE(B19,1))</f>
        <v>21</v>
      </c>
      <c r="D19" s="42">
        <f>SUMIFS(Table1[Announced Equity Value (mil.)],Table1[Announce Date],"&gt;="&amp;B19,Table1[Announce Date],"&lt;"&amp;EDATE(B19,1))</f>
        <v>93892.87</v>
      </c>
      <c r="E19" s="45">
        <f>SUM($D$10:D19)</f>
        <v>554526.83000000007</v>
      </c>
      <c r="F19" s="46">
        <f t="shared" si="0"/>
        <v>8.8983050847457626E-2</v>
      </c>
    </row>
    <row r="20" spans="2:6" x14ac:dyDescent="0.25">
      <c r="B20" s="41">
        <f t="shared" si="1"/>
        <v>45962</v>
      </c>
      <c r="C20" s="42">
        <f>COUNTIFS(Table1[Announce Date],"&gt;="&amp;B20,Table1[Announce Date],"&lt;"&amp;EDATE(B20,1))</f>
        <v>16</v>
      </c>
      <c r="D20" s="42">
        <f>SUMIFS(Table1[Announced Equity Value (mil.)],Table1[Announce Date],"&gt;="&amp;B20,Table1[Announce Date],"&lt;"&amp;EDATE(B20,1))</f>
        <v>106036.44</v>
      </c>
      <c r="E20" s="42">
        <f>SUM($D$10:D20)</f>
        <v>660563.27</v>
      </c>
      <c r="F20" s="43">
        <f t="shared" si="0"/>
        <v>6.7796610169491525E-2</v>
      </c>
    </row>
    <row r="21" spans="2:6" x14ac:dyDescent="0.25">
      <c r="B21" s="44">
        <f t="shared" si="1"/>
        <v>45992</v>
      </c>
      <c r="C21" s="45">
        <f>COUNTIFS(Table1[Announce Date],"&gt;="&amp;B21,Table1[Announce Date],"&lt;"&amp;EDATE(B21,1))</f>
        <v>15</v>
      </c>
      <c r="D21" s="42">
        <f>SUMIFS(Table1[Announced Equity Value (mil.)],Table1[Announce Date],"&gt;="&amp;B21,Table1[Announce Date],"&lt;"&amp;EDATE(B21,1))</f>
        <v>186820.88</v>
      </c>
      <c r="E21" s="45">
        <f>SUM($D$10:D21)</f>
        <v>847384.15</v>
      </c>
      <c r="F21" s="46">
        <f t="shared" si="0"/>
        <v>6.3559322033898302E-2</v>
      </c>
    </row>
    <row r="22" spans="2:6" x14ac:dyDescent="0.25">
      <c r="B22" s="41">
        <f t="shared" si="1"/>
        <v>46023</v>
      </c>
      <c r="C22" s="42">
        <f>COUNTIFS(Table1[Announce Date],"&gt;="&amp;B22,Table1[Announce Date],"&lt;"&amp;EDATE(B22,1))</f>
        <v>9</v>
      </c>
      <c r="D22" s="42">
        <f>SUMIFS(Table1[Announced Equity Value (mil.)],Table1[Announce Date],"&gt;="&amp;B22,Table1[Announce Date],"&lt;"&amp;EDATE(B22,1))</f>
        <v>33424.029999999992</v>
      </c>
      <c r="E22" s="42">
        <f>SUM($D$10:D22)</f>
        <v>880808.18</v>
      </c>
      <c r="F22" s="43">
        <f t="shared" si="0"/>
        <v>3.8135593220338986E-2</v>
      </c>
    </row>
    <row r="23" spans="2:6" x14ac:dyDescent="0.25">
      <c r="B23" s="44">
        <f t="shared" si="1"/>
        <v>46054</v>
      </c>
      <c r="C23" s="45">
        <f>COUNTIFS(Table1[Announce Date],"&gt;="&amp;B23,Table1[Announce Date],"&lt;"&amp;EDATE(B23,1))</f>
        <v>19</v>
      </c>
      <c r="D23" s="42">
        <f>SUMIFS(Table1[Announced Equity Value (mil.)],Table1[Announce Date],"&gt;="&amp;B23,Table1[Announce Date],"&lt;"&amp;EDATE(B23,1))</f>
        <v>84334.24000000002</v>
      </c>
      <c r="E23" s="45">
        <f>SUM($D$10:D23)</f>
        <v>965142.42</v>
      </c>
      <c r="F23" s="46">
        <f t="shared" si="0"/>
        <v>8.050847457627118E-2</v>
      </c>
    </row>
    <row r="24" spans="2:6" x14ac:dyDescent="0.25">
      <c r="B24" s="41">
        <f t="shared" si="1"/>
        <v>46082</v>
      </c>
      <c r="C24" s="42">
        <f>COUNTIFS(Table1[Announce Date],"&gt;="&amp;B24,Table1[Announce Date],"&lt;"&amp;EDATE(B24,1))</f>
        <v>15</v>
      </c>
      <c r="D24" s="42">
        <f>SUMIFS(Table1[Announced Equity Value (mil.)],Table1[Announce Date],"&gt;="&amp;B24,Table1[Announce Date],"&lt;"&amp;EDATE(B24,1))</f>
        <v>50601.589999999989</v>
      </c>
      <c r="E24" s="42">
        <f>SUM($D$10:D24)</f>
        <v>1015744.01</v>
      </c>
      <c r="F24" s="43">
        <f t="shared" si="0"/>
        <v>6.3559322033898302E-2</v>
      </c>
    </row>
    <row r="25" spans="2:6" x14ac:dyDescent="0.25">
      <c r="B25" s="44">
        <f t="shared" si="1"/>
        <v>46113</v>
      </c>
      <c r="C25" s="45">
        <f>COUNTIFS(Table1[Announce Date],"&gt;="&amp;B25,Table1[Announce Date],"&lt;"&amp;EDATE(B25,1))</f>
        <v>17</v>
      </c>
      <c r="D25" s="42">
        <f>SUMIFS(Table1[Announced Equity Value (mil.)],Table1[Announce Date],"&gt;="&amp;B25,Table1[Announce Date],"&lt;"&amp;EDATE(B25,1))</f>
        <v>66323.470000000016</v>
      </c>
      <c r="E25" s="45">
        <f>SUM($D$10:D25)</f>
        <v>1082067.48</v>
      </c>
      <c r="F25" s="46">
        <f t="shared" si="0"/>
        <v>7.2033898305084748E-2</v>
      </c>
    </row>
    <row r="26" spans="2:6" x14ac:dyDescent="0.25">
      <c r="B26" s="41">
        <f t="shared" si="1"/>
        <v>46143</v>
      </c>
      <c r="C26" s="42">
        <f>COUNTIFS(Table1[Announce Date],"&gt;="&amp;B26,Table1[Announce Date],"&lt;"&amp;EDATE(B26,1))</f>
        <v>12</v>
      </c>
      <c r="D26" s="42">
        <f>SUMIFS(Table1[Announced Equity Value (mil.)],Table1[Announce Date],"&gt;="&amp;B26,Table1[Announce Date],"&lt;"&amp;EDATE(B26,1))</f>
        <v>125783.88999999997</v>
      </c>
      <c r="E26" s="42">
        <f>SUM($D$10:D26)</f>
        <v>1207851.3699999999</v>
      </c>
      <c r="F26" s="43">
        <f t="shared" si="0"/>
        <v>5.0847457627118647E-2</v>
      </c>
    </row>
    <row r="27" spans="2:6" x14ac:dyDescent="0.25">
      <c r="B27" s="44">
        <f t="shared" si="1"/>
        <v>46174</v>
      </c>
      <c r="C27" s="45">
        <f>COUNTIFS(Table1[Announce Date],"&gt;="&amp;B27,Table1[Announce Date],"&lt;"&amp;EDATE(B27,1))</f>
        <v>7</v>
      </c>
      <c r="D27" s="42">
        <f>SUMIFS(Table1[Announced Equity Value (mil.)],Table1[Announce Date],"&gt;="&amp;B27,Table1[Announce Date],"&lt;"&amp;EDATE(B27,1))</f>
        <v>68565.540000000008</v>
      </c>
      <c r="E27" s="45">
        <f>SUM($D$10:D27)</f>
        <v>1276416.9099999999</v>
      </c>
      <c r="F27" s="46">
        <f t="shared" si="0"/>
        <v>2.9661016949152543E-2</v>
      </c>
    </row>
    <row r="28" spans="2:6" x14ac:dyDescent="0.25">
      <c r="B28" s="47" t="s">
        <v>1226</v>
      </c>
      <c r="C28" s="48">
        <f>SUM(C10:C27)</f>
        <v>236</v>
      </c>
      <c r="D28" s="48">
        <f>SUM(D10:D27)</f>
        <v>1276416.9099999999</v>
      </c>
      <c r="E28" s="48"/>
      <c r="F28" s="49">
        <f>SUM(F10:F27)</f>
        <v>1</v>
      </c>
    </row>
    <row r="30" spans="2:6" ht="20.100000000000001" customHeight="1" x14ac:dyDescent="0.25">
      <c r="B30" s="103" t="s">
        <v>1227</v>
      </c>
      <c r="C30" s="103"/>
      <c r="D30" s="103"/>
      <c r="E30" s="103"/>
      <c r="F30" s="103"/>
    </row>
    <row r="31" spans="2:6" ht="18" customHeight="1" x14ac:dyDescent="0.25">
      <c r="B31" s="40" t="s">
        <v>1228</v>
      </c>
      <c r="C31" s="40" t="s">
        <v>1223</v>
      </c>
      <c r="D31" s="40" t="s">
        <v>1225</v>
      </c>
      <c r="E31" s="40" t="s">
        <v>1291</v>
      </c>
      <c r="F31" s="40" t="s">
        <v>1229</v>
      </c>
    </row>
    <row r="32" spans="2:6" x14ac:dyDescent="0.25">
      <c r="B32" s="50" t="s">
        <v>23</v>
      </c>
      <c r="C32" s="42">
        <f>COUNTIF(Table1[Consideration],B32)</f>
        <v>121</v>
      </c>
      <c r="D32" s="43">
        <f>C32/$C$35</f>
        <v>0.51489361702127656</v>
      </c>
      <c r="E32" s="42">
        <f>SUMIF(Table1[Consideration],B32,Table1[Announced Equity Value (mil.)])</f>
        <v>588525.91999999993</v>
      </c>
      <c r="F32" s="51">
        <f>AVERAGEIFS(Table1[Announced Premium],Table1[Consideration],B32)</f>
        <v>32.993826086956524</v>
      </c>
    </row>
    <row r="33" spans="2:6" x14ac:dyDescent="0.25">
      <c r="B33" s="52" t="s">
        <v>38</v>
      </c>
      <c r="C33" s="45">
        <f>COUNTIF(Table1[Consideration],B33)</f>
        <v>91</v>
      </c>
      <c r="D33" s="46">
        <f t="shared" ref="D33:D34" si="2">C33/$C$35</f>
        <v>0.38723404255319149</v>
      </c>
      <c r="E33" s="42">
        <f>SUMIF(Table1[Consideration],B33,Table1[Announced Equity Value (mil.)])</f>
        <v>603314.21000000008</v>
      </c>
      <c r="F33" s="53">
        <f>AVERAGEIFS(Table1[Announced Premium],Table1[Consideration],B33)</f>
        <v>23.96440476190476</v>
      </c>
    </row>
    <row r="34" spans="2:6" x14ac:dyDescent="0.25">
      <c r="B34" s="50" t="s">
        <v>996</v>
      </c>
      <c r="C34" s="42">
        <f>COUNTIF(Table1[Consideration],B34)</f>
        <v>23</v>
      </c>
      <c r="D34" s="43">
        <f t="shared" si="2"/>
        <v>9.7872340425531917E-2</v>
      </c>
      <c r="E34" s="42">
        <f>SUMIF(Table1[Consideration],B34,Table1[Announced Equity Value (mil.)])</f>
        <v>80734.979999999981</v>
      </c>
      <c r="F34" s="51">
        <f>AVERAGEIFS(Table1[Announced Premium],Table1[Consideration],B34)</f>
        <v>57.213809523809537</v>
      </c>
    </row>
    <row r="35" spans="2:6" x14ac:dyDescent="0.25">
      <c r="B35" s="54" t="s">
        <v>1226</v>
      </c>
      <c r="C35" s="48">
        <f>SUM(C32:C34)</f>
        <v>235</v>
      </c>
      <c r="D35" s="49">
        <f>SUM(D32:D34)</f>
        <v>1</v>
      </c>
      <c r="E35" s="48">
        <f>SUM(E32:E34)</f>
        <v>1272575.1099999999</v>
      </c>
      <c r="F35" s="55">
        <f>MEDIAN(Table1[Announced Premium])</f>
        <v>24.59</v>
      </c>
    </row>
    <row r="37" spans="2:6" ht="20.100000000000001" customHeight="1" x14ac:dyDescent="0.25">
      <c r="B37" s="103" t="s">
        <v>1230</v>
      </c>
      <c r="C37" s="103"/>
      <c r="D37" s="103"/>
      <c r="E37" s="103"/>
      <c r="F37" s="103"/>
    </row>
    <row r="38" spans="2:6" ht="18" customHeight="1" x14ac:dyDescent="0.25">
      <c r="B38" s="40" t="s">
        <v>1005</v>
      </c>
      <c r="C38" s="40" t="s">
        <v>1223</v>
      </c>
      <c r="D38" s="40" t="s">
        <v>1291</v>
      </c>
      <c r="E38" s="40" t="s">
        <v>1231</v>
      </c>
      <c r="F38" s="40" t="s">
        <v>1232</v>
      </c>
    </row>
    <row r="39" spans="2:6" x14ac:dyDescent="0.25">
      <c r="B39" s="50" t="s">
        <v>948</v>
      </c>
      <c r="C39" s="42">
        <f>COUNTIF(Table1[Target Industry Sector],B39)</f>
        <v>47</v>
      </c>
      <c r="D39" s="42">
        <f>SUMIF(Table1[Target Industry Sector],B39,Table1[Announced Equity Value (mil.)])</f>
        <v>218560.27000000005</v>
      </c>
      <c r="E39" s="51" cm="1">
        <f t="array" ref="E39">MEDIAN(IF((Table1[Target Industry Sector]=B39)*ISNUMBER(Table1[Announced Premium]),Table1[Announced Premium]))</f>
        <v>39.725000000000001</v>
      </c>
      <c r="F39" s="56" cm="1">
        <f t="array" ref="F39">MEDIAN(IF((Table1[Target Industry Sector]=B39)*ISNUMBER(Table1[TV/EBITDA]),Table1[TV/EBITDA]))</f>
        <v>30.344999999999999</v>
      </c>
    </row>
    <row r="40" spans="2:6" x14ac:dyDescent="0.25">
      <c r="B40" s="52" t="s">
        <v>945</v>
      </c>
      <c r="C40" s="45">
        <f>COUNTIF(Table1[Target Industry Sector],B40)</f>
        <v>33</v>
      </c>
      <c r="D40" s="42">
        <f>SUMIF(Table1[Target Industry Sector],B40,Table1[Announced Equity Value (mil.)])</f>
        <v>130579.3</v>
      </c>
      <c r="E40" s="53" cm="1">
        <f t="array" ref="E40">MEDIAN(IF((Table1[Target Industry Sector]=B40)*ISNUMBER(Table1[Announced Premium]),Table1[Announced Premium]))</f>
        <v>26.92</v>
      </c>
      <c r="F40" s="57" cm="1">
        <f t="array" ref="F40">MEDIAN(IF((Table1[Target Industry Sector]=B40)*ISNUMBER(Table1[TV/EBITDA]),Table1[TV/EBITDA]))</f>
        <v>35.07</v>
      </c>
    </row>
    <row r="41" spans="2:6" x14ac:dyDescent="0.25">
      <c r="B41" s="50" t="s">
        <v>958</v>
      </c>
      <c r="C41" s="42">
        <f>COUNTIF(Table1[Target Industry Sector],B41)</f>
        <v>33</v>
      </c>
      <c r="D41" s="42">
        <f>SUMIF(Table1[Target Industry Sector],B41,Table1[Announced Equity Value (mil.)])</f>
        <v>118009.07999999997</v>
      </c>
      <c r="E41" s="51" cm="1">
        <f t="array" ref="E41">MEDIAN(IF((Table1[Target Industry Sector]=B41)*ISNUMBER(Table1[Announced Premium]),Table1[Announced Premium]))</f>
        <v>20.29</v>
      </c>
      <c r="F41" s="56" cm="1">
        <f t="array" ref="F41">MEDIAN(IF((Table1[Target Industry Sector]=B41)*ISNUMBER(Table1[TV/EBITDA]),Table1[TV/EBITDA]))</f>
        <v>10.29</v>
      </c>
    </row>
    <row r="42" spans="2:6" x14ac:dyDescent="0.25">
      <c r="B42" s="52" t="s">
        <v>929</v>
      </c>
      <c r="C42" s="45">
        <f>COUNTIF(Table1[Target Industry Sector],B42)</f>
        <v>27</v>
      </c>
      <c r="D42" s="42">
        <f>SUMIF(Table1[Target Industry Sector],B42,Table1[Announced Equity Value (mil.)])</f>
        <v>152642.52000000002</v>
      </c>
      <c r="E42" s="53" cm="1">
        <f t="array" ref="E42">MEDIAN(IF((Table1[Target Industry Sector]=B42)*ISNUMBER(Table1[Announced Premium]),Table1[Announced Premium]))</f>
        <v>22.04</v>
      </c>
      <c r="F42" s="57" cm="1">
        <f t="array" ref="F42">MEDIAN(IF((Table1[Target Industry Sector]=B42)*ISNUMBER(Table1[TV/EBITDA]),Table1[TV/EBITDA]))</f>
        <v>13.79</v>
      </c>
    </row>
    <row r="43" spans="2:6" x14ac:dyDescent="0.25">
      <c r="B43" s="50" t="s">
        <v>937</v>
      </c>
      <c r="C43" s="42">
        <f>COUNTIF(Table1[Target Industry Sector],B43)</f>
        <v>23</v>
      </c>
      <c r="D43" s="42">
        <f>SUMIF(Table1[Target Industry Sector],B43,Table1[Announced Equity Value (mil.)])</f>
        <v>67965.749999999985</v>
      </c>
      <c r="E43" s="51" cm="1">
        <f t="array" ref="E43">MEDIAN(IF((Table1[Target Industry Sector]=B43)*ISNUMBER(Table1[Announced Premium]),Table1[Announced Premium]))</f>
        <v>30.704999999999998</v>
      </c>
      <c r="F43" s="56" cm="1">
        <f t="array" ref="F43">MEDIAN(IF((Table1[Target Industry Sector]=B43)*ISNUMBER(Table1[TV/EBITDA]),Table1[TV/EBITDA]))</f>
        <v>7.9749999999999996</v>
      </c>
    </row>
    <row r="44" spans="2:6" x14ac:dyDescent="0.25">
      <c r="B44" s="52" t="s">
        <v>940</v>
      </c>
      <c r="C44" s="45">
        <f>COUNTIF(Table1[Target Industry Sector],B44)</f>
        <v>19</v>
      </c>
      <c r="D44" s="42">
        <f>SUMIF(Table1[Target Industry Sector],B44,Table1[Announced Equity Value (mil.)])</f>
        <v>50139.489999999991</v>
      </c>
      <c r="E44" s="53" cm="1">
        <f t="array" ref="E44">MEDIAN(IF((Table1[Target Industry Sector]=B44)*ISNUMBER(Table1[Announced Premium]),Table1[Announced Premium]))</f>
        <v>19.350000000000001</v>
      </c>
      <c r="F44" s="57" cm="1">
        <f t="array" ref="F44">MEDIAN(IF((Table1[Target Industry Sector]=B44)*ISNUMBER(Table1[TV/EBITDA]),Table1[TV/EBITDA]))</f>
        <v>13.96</v>
      </c>
    </row>
    <row r="45" spans="2:6" x14ac:dyDescent="0.25">
      <c r="B45" s="50" t="s">
        <v>951</v>
      </c>
      <c r="C45" s="42">
        <f>COUNTIF(Table1[Target Industry Sector],B45)</f>
        <v>16</v>
      </c>
      <c r="D45" s="42">
        <f>SUMIF(Table1[Target Industry Sector],B45,Table1[Announced Equity Value (mil.)])</f>
        <v>70011.5</v>
      </c>
      <c r="E45" s="51" cm="1">
        <f t="array" ref="E45">MEDIAN(IF((Table1[Target Industry Sector]=B45)*ISNUMBER(Table1[Announced Premium]),Table1[Announced Premium]))</f>
        <v>21.314999999999998</v>
      </c>
      <c r="F45" s="56" cm="1">
        <f t="array" ref="F45">MEDIAN(IF((Table1[Target Industry Sector]=B45)*ISNUMBER(Table1[TV/EBITDA]),Table1[TV/EBITDA]))</f>
        <v>11.63</v>
      </c>
    </row>
    <row r="46" spans="2:6" x14ac:dyDescent="0.25">
      <c r="B46" s="52" t="s">
        <v>942</v>
      </c>
      <c r="C46" s="45">
        <f>COUNTIF(Table1[Target Industry Sector],B46)</f>
        <v>13</v>
      </c>
      <c r="D46" s="42">
        <f>SUMIF(Table1[Target Industry Sector],B46,Table1[Announced Equity Value (mil.)])</f>
        <v>63754.649999999987</v>
      </c>
      <c r="E46" s="53" cm="1">
        <f t="array" ref="E46">MEDIAN(IF((Table1[Target Industry Sector]=B46)*ISNUMBER(Table1[Announced Premium]),Table1[Announced Premium]))</f>
        <v>11</v>
      </c>
      <c r="F46" s="57" cm="1">
        <f t="array" ref="F46">MEDIAN(IF((Table1[Target Industry Sector]=B46)*ISNUMBER(Table1[TV/EBITDA]),Table1[TV/EBITDA]))</f>
        <v>5.68</v>
      </c>
    </row>
    <row r="47" spans="2:6" x14ac:dyDescent="0.25">
      <c r="B47" s="50" t="s">
        <v>926</v>
      </c>
      <c r="C47" s="42">
        <f>COUNTIF(Table1[Target Industry Sector],B47)</f>
        <v>9</v>
      </c>
      <c r="D47" s="42">
        <f>SUMIF(Table1[Target Industry Sector],B47,Table1[Announced Equity Value (mil.)])</f>
        <v>239424.34000000003</v>
      </c>
      <c r="E47" s="51" cm="1">
        <f t="array" ref="E47">MEDIAN(IF((Table1[Target Industry Sector]=B47)*ISNUMBER(Table1[Announced Premium]),Table1[Announced Premium]))</f>
        <v>22.28</v>
      </c>
      <c r="F47" s="56" cm="1">
        <f t="array" ref="F47">MEDIAN(IF((Table1[Target Industry Sector]=B47)*ISNUMBER(Table1[TV/EBITDA]),Table1[TV/EBITDA]))</f>
        <v>9.9</v>
      </c>
    </row>
    <row r="48" spans="2:6" x14ac:dyDescent="0.25">
      <c r="B48" s="52" t="s">
        <v>924</v>
      </c>
      <c r="C48" s="45">
        <f>COUNTIF(Table1[Target Industry Sector],B48)</f>
        <v>8</v>
      </c>
      <c r="D48" s="42">
        <f>SUMIF(Table1[Target Industry Sector],B48,Table1[Announced Equity Value (mil.)])</f>
        <v>104762.25000000001</v>
      </c>
      <c r="E48" s="53" cm="1">
        <f t="array" ref="E48">MEDIAN(IF((Table1[Target Industry Sector]=B48)*ISNUMBER(Table1[Announced Premium]),Table1[Announced Premium]))</f>
        <v>19.315000000000001</v>
      </c>
      <c r="F48" s="57" cm="1">
        <f t="array" ref="F48">MEDIAN(IF((Table1[Target Industry Sector]=B48)*ISNUMBER(Table1[TV/EBITDA]),Table1[TV/EBITDA]))</f>
        <v>15.32</v>
      </c>
    </row>
    <row r="49" spans="2:18" x14ac:dyDescent="0.25">
      <c r="B49" s="50" t="s">
        <v>932</v>
      </c>
      <c r="C49" s="42">
        <f>COUNTIF(Table1[Target Industry Sector],B49)</f>
        <v>8</v>
      </c>
      <c r="D49" s="42">
        <f>SUMIF(Table1[Target Industry Sector],B49,Table1[Announced Equity Value (mil.)])</f>
        <v>60567.759999999995</v>
      </c>
      <c r="E49" s="51" cm="1">
        <f t="array" ref="E49">MEDIAN(IF((Table1[Target Industry Sector]=B49)*ISNUMBER(Table1[Announced Premium]),Table1[Announced Premium]))</f>
        <v>40.08</v>
      </c>
      <c r="F49" s="56" cm="1">
        <f t="array" ref="F49">MEDIAN(IF((Table1[Target Industry Sector]=B49)*ISNUMBER(Table1[TV/EBITDA]),Table1[TV/EBITDA]))</f>
        <v>12.17</v>
      </c>
    </row>
    <row r="50" spans="2:18" x14ac:dyDescent="0.25">
      <c r="B50" s="54" t="s">
        <v>1233</v>
      </c>
      <c r="C50" s="48">
        <f>SUM(C39:C49)</f>
        <v>236</v>
      </c>
      <c r="D50" s="48">
        <f>SUM(D39:D49)</f>
        <v>1276416.9100000001</v>
      </c>
      <c r="E50" s="55">
        <f>MEDIAN(Table1[Announced Premium])</f>
        <v>24.59</v>
      </c>
      <c r="F50" s="58">
        <f>MEDIAN(Table1[TV/EBITDA])</f>
        <v>12.98</v>
      </c>
    </row>
    <row r="52" spans="2:18" ht="20.100000000000001" customHeight="1" x14ac:dyDescent="0.25">
      <c r="B52" s="103" t="s">
        <v>1292</v>
      </c>
      <c r="C52" s="103"/>
      <c r="D52" s="103"/>
      <c r="E52" s="103"/>
      <c r="F52" s="103"/>
      <c r="Q52" s="101" t="s">
        <v>1274</v>
      </c>
      <c r="R52" s="102"/>
    </row>
    <row r="53" spans="2:18" ht="18" customHeight="1" x14ac:dyDescent="0.25">
      <c r="B53" s="40" t="s">
        <v>1234</v>
      </c>
      <c r="C53" s="40" t="s">
        <v>1223</v>
      </c>
      <c r="D53" s="40" t="s">
        <v>1291</v>
      </c>
      <c r="E53" s="40" t="s">
        <v>1225</v>
      </c>
      <c r="F53" s="40" t="s">
        <v>1235</v>
      </c>
      <c r="Q53" s="65" t="s">
        <v>1272</v>
      </c>
      <c r="R53" s="65" t="s">
        <v>1273</v>
      </c>
    </row>
    <row r="54" spans="2:18" x14ac:dyDescent="0.25">
      <c r="B54" s="50" t="s">
        <v>1236</v>
      </c>
      <c r="C54" s="42">
        <f>COUNTIFS(Table1[Announced Equity Value (mil.)],"&gt;="&amp;Q54,Table1[Announced Equity Value (mil.)],"&lt;"&amp;R54)</f>
        <v>56</v>
      </c>
      <c r="D54" s="42">
        <f>SUMIFS(Table1[Announced Equity Value (mil.)],Table1[Announced Equity Value (mil.)],"&gt;="&amp;Q54,Table1[Announced Equity Value (mil.)],"&lt;"&amp;R54)</f>
        <v>37277.699999999997</v>
      </c>
      <c r="E54" s="43">
        <f>C54/$C$59</f>
        <v>0.23931623931623933</v>
      </c>
      <c r="F54" s="43">
        <f>D54/$D$59</f>
        <v>2.9204956239572224E-2</v>
      </c>
      <c r="Q54" s="66">
        <v>0</v>
      </c>
      <c r="R54" s="66">
        <v>1000</v>
      </c>
    </row>
    <row r="55" spans="2:18" x14ac:dyDescent="0.25">
      <c r="B55" s="52" t="s">
        <v>1237</v>
      </c>
      <c r="C55" s="45">
        <f>COUNTIFS(Table1[Announced Equity Value (mil.)],"&gt;="&amp;Q55,Table1[Announced Equity Value (mil.)],"&lt;"&amp;R55)</f>
        <v>115</v>
      </c>
      <c r="D55" s="42">
        <f>SUMIFS(Table1[Announced Equity Value (mil.)],Table1[Announced Equity Value (mil.)],"&gt;="&amp;Q55,Table1[Announced Equity Value (mil.)],"&lt;"&amp;R55)</f>
        <v>268865.29999999993</v>
      </c>
      <c r="E55" s="46">
        <f t="shared" ref="E55:E58" si="3">C55/$C$59</f>
        <v>0.49145299145299143</v>
      </c>
      <c r="F55" s="46">
        <f t="shared" ref="F55:F58" si="4">D55/$D$59</f>
        <v>0.21064065971987159</v>
      </c>
      <c r="Q55" s="66">
        <v>1000</v>
      </c>
      <c r="R55" s="66">
        <v>5000</v>
      </c>
    </row>
    <row r="56" spans="2:18" x14ac:dyDescent="0.25">
      <c r="B56" s="50" t="s">
        <v>1238</v>
      </c>
      <c r="C56" s="42">
        <f>COUNTIFS(Table1[Announced Equity Value (mil.)],"&gt;="&amp;Q56,Table1[Announced Equity Value (mil.)],"&lt;"&amp;R56)</f>
        <v>36</v>
      </c>
      <c r="D56" s="42">
        <f>SUMIFS(Table1[Announced Equity Value (mil.)],Table1[Announced Equity Value (mil.)],"&gt;="&amp;Q56,Table1[Announced Equity Value (mil.)],"&lt;"&amp;R56)</f>
        <v>272438.82000000007</v>
      </c>
      <c r="E56" s="43">
        <f t="shared" si="3"/>
        <v>0.15384615384615385</v>
      </c>
      <c r="F56" s="43">
        <f t="shared" si="4"/>
        <v>0.21344030924817509</v>
      </c>
      <c r="Q56" s="66">
        <v>5000</v>
      </c>
      <c r="R56" s="66">
        <v>10000</v>
      </c>
    </row>
    <row r="57" spans="2:18" x14ac:dyDescent="0.25">
      <c r="B57" s="52" t="s">
        <v>1239</v>
      </c>
      <c r="C57" s="45">
        <f>COUNTIFS(Table1[Announced Equity Value (mil.)],"&gt;="&amp;Q57,Table1[Announced Equity Value (mil.)],"&lt;"&amp;R57)</f>
        <v>20</v>
      </c>
      <c r="D57" s="42">
        <f>SUMIFS(Table1[Announced Equity Value (mil.)],Table1[Announced Equity Value (mil.)],"&gt;="&amp;Q57,Table1[Announced Equity Value (mil.)],"&lt;"&amp;R57)</f>
        <v>294168.11999999994</v>
      </c>
      <c r="E57" s="46">
        <f t="shared" si="3"/>
        <v>8.5470085470085472E-2</v>
      </c>
      <c r="F57" s="46">
        <f t="shared" si="4"/>
        <v>0.23046397904584323</v>
      </c>
      <c r="Q57" s="66">
        <v>10000</v>
      </c>
      <c r="R57" s="66">
        <v>25000</v>
      </c>
    </row>
    <row r="58" spans="2:18" x14ac:dyDescent="0.25">
      <c r="B58" s="50" t="s">
        <v>1240</v>
      </c>
      <c r="C58" s="42">
        <f>COUNTIFS(Table1[Announced Equity Value (mil.)],"&gt;="&amp;Q58,Table1[Announced Equity Value (mil.)],"&lt;"&amp;R58)</f>
        <v>7</v>
      </c>
      <c r="D58" s="42">
        <f>SUMIFS(Table1[Announced Equity Value (mil.)],Table1[Announced Equity Value (mil.)],"&gt;="&amp;Q58,Table1[Announced Equity Value (mil.)],"&lt;"&amp;R58)</f>
        <v>403666.97</v>
      </c>
      <c r="E58" s="43">
        <f t="shared" si="3"/>
        <v>2.9914529914529916E-2</v>
      </c>
      <c r="F58" s="43">
        <f t="shared" si="4"/>
        <v>0.31625009574653784</v>
      </c>
      <c r="Q58" s="66">
        <v>25000</v>
      </c>
      <c r="R58" s="66">
        <v>100000000</v>
      </c>
    </row>
    <row r="59" spans="2:18" x14ac:dyDescent="0.25">
      <c r="B59" s="54" t="s">
        <v>1226</v>
      </c>
      <c r="C59" s="48">
        <f>SUM(C54:C58)</f>
        <v>234</v>
      </c>
      <c r="D59" s="48">
        <f>SUM(D54:D58)</f>
        <v>1276416.9099999999</v>
      </c>
      <c r="E59" s="49">
        <f>SUM(E54:E58)</f>
        <v>1</v>
      </c>
      <c r="F59" s="49">
        <f>SUM(F54:F58)</f>
        <v>1</v>
      </c>
    </row>
    <row r="61" spans="2:18" ht="20.100000000000001" customHeight="1" x14ac:dyDescent="0.25">
      <c r="B61" s="103" t="s">
        <v>1285</v>
      </c>
      <c r="C61" s="103"/>
      <c r="D61" s="103"/>
    </row>
    <row r="62" spans="2:18" ht="18" customHeight="1" x14ac:dyDescent="0.25">
      <c r="B62" s="40" t="s">
        <v>1241</v>
      </c>
      <c r="C62" s="40" t="s">
        <v>1242</v>
      </c>
      <c r="D62" s="40" t="s">
        <v>1243</v>
      </c>
    </row>
    <row r="63" spans="2:18" x14ac:dyDescent="0.25">
      <c r="B63" s="50" t="s">
        <v>1284</v>
      </c>
      <c r="C63" s="42">
        <f>COUNT(Table1[Target Termination Fee])</f>
        <v>91</v>
      </c>
      <c r="D63" s="42">
        <f>COUNT(Table1[Acquirer Termination Fee])</f>
        <v>69</v>
      </c>
    </row>
    <row r="64" spans="2:18" x14ac:dyDescent="0.25">
      <c r="B64" s="52" t="s">
        <v>1244</v>
      </c>
      <c r="C64" s="45">
        <f>SUM(Table1[Target Termination Fee])</f>
        <v>25735.712400000008</v>
      </c>
      <c r="D64" s="45">
        <f>SUM(Table1[Acquirer Termination Fee])</f>
        <v>37327.226099999993</v>
      </c>
    </row>
    <row r="65" spans="2:9" x14ac:dyDescent="0.25">
      <c r="B65" s="50" t="s">
        <v>1245</v>
      </c>
      <c r="C65" s="42">
        <f>AVERAGE(Table1[Target Termination Fee])</f>
        <v>282.81002637362644</v>
      </c>
      <c r="D65" s="42">
        <f>AVERAGE(Table1[Acquirer Termination Fee])</f>
        <v>540.97429130434773</v>
      </c>
    </row>
    <row r="66" spans="2:9" x14ac:dyDescent="0.25">
      <c r="B66" s="52" t="s">
        <v>1246</v>
      </c>
      <c r="C66" s="45">
        <f>MEDIAN(Table1[Target Termination Fee])</f>
        <v>79.900000000000006</v>
      </c>
      <c r="D66" s="45">
        <f>MEDIAN(Table1[Acquirer Termination Fee])</f>
        <v>133</v>
      </c>
    </row>
    <row r="67" spans="2:9" x14ac:dyDescent="0.25">
      <c r="B67" s="50" t="s">
        <v>1247</v>
      </c>
      <c r="C67" s="42">
        <f>MAX(Table1[Target Termination Fee])</f>
        <v>2900</v>
      </c>
      <c r="D67" s="42">
        <f>MAX(Table1[Acquirer Termination Fee])</f>
        <v>6520</v>
      </c>
    </row>
    <row r="68" spans="2:9" ht="15" customHeight="1" x14ac:dyDescent="0.25">
      <c r="B68" s="52" t="s">
        <v>1248</v>
      </c>
      <c r="C68" s="46" cm="1">
        <f t="array" ref="C68">MEDIAN(IF((Table1[Announced Equity Value (mil.)]&gt;0)*ISNUMBER(Table1[Target Termination Fee]),Table1[Target Termination Fee]/(Table1[Announced Equity Value (mil.)]+(Table1[Announced Equity Value (mil.)]=0))))</f>
        <v>3.6983636081020961E-2</v>
      </c>
      <c r="D68" s="46" cm="1">
        <f t="array" ref="D68">MEDIAN(IF((Table1[Announced Equity Value (mil.)]&gt;0)*ISNUMBER(Table1[Acquirer Termination Fee]),Table1[Acquirer Termination Fee]/(Table1[Announced Equity Value (mil.)]+(Table1[Announced Equity Value (mil.)]=0))))</f>
        <v>5.2100374497491886E-2</v>
      </c>
      <c r="E68" s="123" t="s">
        <v>1280</v>
      </c>
      <c r="F68" s="123"/>
      <c r="G68" s="93"/>
      <c r="H68" s="93"/>
      <c r="I68" s="93"/>
    </row>
    <row r="69" spans="2:9" x14ac:dyDescent="0.25">
      <c r="E69" s="123"/>
      <c r="F69" s="123"/>
      <c r="G69" s="93"/>
      <c r="H69" s="93"/>
      <c r="I69" s="93"/>
    </row>
    <row r="70" spans="2:9" ht="20.100000000000001" customHeight="1" x14ac:dyDescent="0.25">
      <c r="B70" s="103" t="s">
        <v>1269</v>
      </c>
      <c r="C70" s="103"/>
      <c r="D70" s="103"/>
      <c r="E70" s="103"/>
      <c r="F70" s="103"/>
    </row>
    <row r="71" spans="2:9" ht="18" customHeight="1" x14ac:dyDescent="0.25">
      <c r="B71" s="40" t="s">
        <v>1241</v>
      </c>
      <c r="C71" s="40" t="s">
        <v>1266</v>
      </c>
      <c r="D71" s="40" t="s">
        <v>1267</v>
      </c>
      <c r="E71" s="40" t="s">
        <v>1268</v>
      </c>
      <c r="F71" s="40" t="s">
        <v>1271</v>
      </c>
    </row>
    <row r="72" spans="2:9" x14ac:dyDescent="0.25">
      <c r="B72" s="50" t="s">
        <v>1254</v>
      </c>
      <c r="C72" s="42">
        <f>COUNTIFS(Table1[Announce Date],"&gt;="&amp;$C$87,Table1[Announce Date],"&lt;="&amp;$E$88)</f>
        <v>56</v>
      </c>
      <c r="D72" s="42">
        <f>COUNTIFS(Table1[Announce Date],"&gt;="&amp;$C$89,Table1[Announce Date],"&lt;="&amp;$E$89)</f>
        <v>79</v>
      </c>
      <c r="E72" s="42">
        <f t="shared" ref="E72:E81" si="5">D72-C72</f>
        <v>23</v>
      </c>
      <c r="F72" s="42">
        <f>COUNTIFS(Table1[Announce Date],"&gt;="&amp;$C$87,Table1[Announce Date],"&lt;="&amp;$C$88)</f>
        <v>157</v>
      </c>
    </row>
    <row r="73" spans="2:9" x14ac:dyDescent="0.25">
      <c r="B73" s="52" t="s">
        <v>1293</v>
      </c>
      <c r="C73" s="59">
        <f>SUMIFS(Table1[Announced Equity Value (mil.)],Table1[Announce Date],"&gt;="&amp;$C$87,Table1[Announce Date],"&lt;="&amp;$E$88)/1000</f>
        <v>177.66859000000002</v>
      </c>
      <c r="D73" s="59">
        <f>SUMIFS(Table1[Announced Equity Value (mil.)],Table1[Announce Date],"&gt;="&amp;$C$89,Table1[Announce Date],"&lt;="&amp;$E$89)/1000</f>
        <v>429.03276000000005</v>
      </c>
      <c r="E73" s="59">
        <f t="shared" si="5"/>
        <v>251.36417000000003</v>
      </c>
      <c r="F73" s="59">
        <f>SUMIFS(Table1[Announced Equity Value (mil.)],Table1[Announce Date],"&gt;="&amp;$C$87,Table1[Announce Date],"&lt;="&amp;$C$88)/1000</f>
        <v>847.38414999999952</v>
      </c>
    </row>
    <row r="74" spans="2:9" x14ac:dyDescent="0.25">
      <c r="B74" s="50" t="s">
        <v>1255</v>
      </c>
      <c r="C74" s="60">
        <f>AVERAGEIFS(Table1[Announced Equity Value (mil.)],Table1[Announce Date],"&gt;="&amp;$C$87,Table1[Announce Date],"&lt;="&amp;$E$88)/1000</f>
        <v>3.1726533928571437</v>
      </c>
      <c r="D74" s="60">
        <f>AVERAGEIFS(Table1[Announced Equity Value (mil.)],Table1[Announce Date],"&gt;="&amp;$C$89,Table1[Announce Date],"&lt;="&amp;$E$89)/1000</f>
        <v>5.5718540259740266</v>
      </c>
      <c r="E74" s="60">
        <f t="shared" si="5"/>
        <v>2.3992006331168829</v>
      </c>
      <c r="F74" s="60">
        <f>AVERAGEIFS(Table1[Announced Equity Value (mil.)],Table1[Announce Date],"&gt;="&amp;$C$87,Table1[Announce Date],"&lt;="&amp;$C$88)/1000</f>
        <v>5.3973512738853477</v>
      </c>
    </row>
    <row r="75" spans="2:9" x14ac:dyDescent="0.25">
      <c r="B75" s="52" t="s">
        <v>1256</v>
      </c>
      <c r="C75" s="53" cm="1">
        <f t="array" ref="C75">MEDIAN(IF((Table1[Announce Date]&gt;=$C$87)*(Table1[Announce Date]&lt;=$E$88)*ISNUMBER(Table1[Announced Premium]),Table1[Announced Premium]))</f>
        <v>28.54</v>
      </c>
      <c r="D75" s="53" cm="1">
        <f t="array" ref="D75">MEDIAN(IF((Table1[Announce Date]&gt;=$C$89)*(Table1[Announce Date]&lt;=$E$89)*ISNUMBER(Table1[Announced Premium]),Table1[Announced Premium]))</f>
        <v>25.83</v>
      </c>
      <c r="E75" s="53">
        <f t="shared" si="5"/>
        <v>-2.7100000000000009</v>
      </c>
      <c r="F75" s="53" cm="1">
        <f t="array" ref="F75">MEDIAN(IF((Table1[Announce Date]&gt;=$C$87)*(Table1[Announce Date]&lt;=$C$88)*ISNUMBER(Table1[Announced Premium]),Table1[Announced Premium]))</f>
        <v>24.045000000000002</v>
      </c>
    </row>
    <row r="76" spans="2:9" x14ac:dyDescent="0.25">
      <c r="B76" s="50" t="s">
        <v>1257</v>
      </c>
      <c r="C76" s="43">
        <f>COUNTIFS(Table1[Consideration],"Cash",Table1[Announce Date],"&gt;="&amp;$C$87,Table1[Announce Date],"&lt;="&amp;$E$88)/C72</f>
        <v>0.5</v>
      </c>
      <c r="D76" s="43">
        <f>COUNTIFS(Table1[Consideration],"Cash",Table1[Announce Date],"&gt;="&amp;$C$89,Table1[Announce Date],"&lt;="&amp;$E$89)/D72</f>
        <v>0.50632911392405067</v>
      </c>
      <c r="E76" s="43">
        <f t="shared" si="5"/>
        <v>6.3291139240506666E-3</v>
      </c>
      <c r="F76" s="43">
        <f>COUNTIFS(Table1[Consideration],"Cash",Table1[Announce Date],"&gt;="&amp;$C$87,Table1[Announce Date],"&lt;="&amp;$C$88)/F72</f>
        <v>0.51592356687898089</v>
      </c>
    </row>
    <row r="77" spans="2:9" x14ac:dyDescent="0.25">
      <c r="B77" s="52" t="s">
        <v>1258</v>
      </c>
      <c r="C77" s="46">
        <f>COUNTIFS(Table1[Consideration],"Stock",Table1[Announce Date],"&gt;="&amp;$C$87,Table1[Announce Date],"&lt;="&amp;$E$88)/C72</f>
        <v>0.35714285714285715</v>
      </c>
      <c r="D77" s="46">
        <f>COUNTIFS(Table1[Consideration],"Stock",Table1[Announce Date],"&gt;="&amp;$C$89,Table1[Announce Date],"&lt;="&amp;$E$89)/D72</f>
        <v>0.379746835443038</v>
      </c>
      <c r="E77" s="46">
        <f t="shared" si="5"/>
        <v>2.2603978300180849E-2</v>
      </c>
      <c r="F77" s="46">
        <f>COUNTIFS(Table1[Consideration],"Stock",Table1[Announce Date],"&gt;="&amp;$C$87,Table1[Announce Date],"&lt;="&amp;$C$88)/F72</f>
        <v>0.38853503184713378</v>
      </c>
    </row>
    <row r="78" spans="2:9" x14ac:dyDescent="0.25">
      <c r="B78" s="50" t="s">
        <v>1232</v>
      </c>
      <c r="C78" s="56" cm="1">
        <f t="array" ref="C78">MEDIAN(IF((Table1[Announce Date]&gt;=$C$87)*(Table1[Announce Date]&lt;=$E$88)*ISNUMBER(Table1[TV/EBITDA]),Table1[TV/EBITDA]))</f>
        <v>11.24</v>
      </c>
      <c r="D78" s="56" cm="1">
        <f t="array" ref="D78">MEDIAN(IF((Table1[Announce Date]&gt;=$C$89)*(Table1[Announce Date]&lt;=$E$89)*ISNUMBER(Table1[TV/EBITDA]),Table1[TV/EBITDA]))</f>
        <v>14.670000000000002</v>
      </c>
      <c r="E78" s="56">
        <f t="shared" si="5"/>
        <v>3.4300000000000015</v>
      </c>
      <c r="F78" s="56" cm="1">
        <f t="array" ref="F78">MEDIAN(IF((Table1[Announce Date]&gt;=$C$87)*(Table1[Announce Date]&lt;=$C$88)*ISNUMBER(Table1[TV/EBITDA]),Table1[TV/EBITDA]))</f>
        <v>12.18</v>
      </c>
    </row>
    <row r="79" spans="2:9" x14ac:dyDescent="0.25">
      <c r="B79" s="52" t="s">
        <v>1259</v>
      </c>
      <c r="C79" s="45" cm="1">
        <f t="array" ref="C79">MEDIAN(IF((Table1[Announce Date]&gt;=$C$87)*(Table1[Announce Date]&lt;=$E$88)*ISNUMBER(Table1[Days to Complete]),Table1[Days to Complete]))</f>
        <v>98.5</v>
      </c>
      <c r="D79" s="45" cm="1">
        <f t="array" ref="D79">MEDIAN(IF((Table1[Announce Date]&gt;=$C$89)*(Table1[Announce Date]&lt;=$E$89)*ISNUMBER(Table1[Days to Complete]),Table1[Days to Complete]))</f>
        <v>77</v>
      </c>
      <c r="E79" s="45">
        <f t="shared" si="5"/>
        <v>-21.5</v>
      </c>
      <c r="F79" s="45" cm="1">
        <f t="array" ref="F79">MEDIAN(IF((Table1[Announce Date]&gt;=$C$87)*(Table1[Announce Date]&lt;=$C$88)*ISNUMBER(Table1[Days to Complete]),Table1[Days to Complete]))</f>
        <v>104</v>
      </c>
    </row>
    <row r="80" spans="2:9" x14ac:dyDescent="0.25">
      <c r="B80" s="50" t="s">
        <v>1260</v>
      </c>
      <c r="C80" s="42">
        <f>COUNTIFS(Table1[Deal Status],"Terminated",Table1[Announce Date],"&gt;="&amp;$C$87,Table1[Announce Date],"&lt;="&amp;$E$88)</f>
        <v>3</v>
      </c>
      <c r="D80" s="42">
        <f>COUNTIFS(Table1[Deal Status],"Terminated",Table1[Announce Date],"&gt;="&amp;$C$89,Table1[Announce Date],"&lt;="&amp;$E$89)</f>
        <v>0</v>
      </c>
      <c r="E80" s="42">
        <f t="shared" si="5"/>
        <v>-3</v>
      </c>
      <c r="F80" s="42">
        <f>COUNTIFS(Table1[Deal Status],"Terminated",Table1[Announce Date],"&gt;="&amp;$C$87,Table1[Announce Date],"&lt;="&amp;$C$88)</f>
        <v>7</v>
      </c>
    </row>
    <row r="81" spans="1:6" x14ac:dyDescent="0.25">
      <c r="B81" s="52" t="s">
        <v>1261</v>
      </c>
      <c r="C81" s="46">
        <f>COUNTIFS(Table1[Deal Status],"Completed",Table1[Announce Date],"&gt;="&amp;$C$87,Table1[Announce Date],"&lt;="&amp;$E$88)/(COUNTIFS(Table1[Deal Status],"Completed",Table1[Announce Date],"&gt;="&amp;$C$87,Table1[Announce Date],"&lt;="&amp;$E$88)+COUNTIFS(Table1[Deal Status],"Terminated",Table1[Announce Date],"&gt;="&amp;$C$87,Table1[Announce Date],"&lt;="&amp;$E$88))</f>
        <v>0.94117647058823528</v>
      </c>
      <c r="D81" s="46">
        <f>COUNTIFS(Table1[Deal Status],"Completed",Table1[Announce Date],"&gt;="&amp;$C$89,Table1[Announce Date],"&lt;="&amp;$E$89)/(COUNTIFS(Table1[Deal Status],"Completed",Table1[Announce Date],"&gt;="&amp;$C$89,Table1[Announce Date],"&lt;="&amp;$E$89)+COUNTIFS(Table1[Deal Status],"Terminated",Table1[Announce Date],"&gt;="&amp;$C$89,Table1[Announce Date],"&lt;="&amp;$E$89))</f>
        <v>1</v>
      </c>
      <c r="E81" s="46">
        <f t="shared" si="5"/>
        <v>5.8823529411764719E-2</v>
      </c>
      <c r="F81" s="46">
        <f>COUNTIFS(Table1[Deal Status],"Completed",Table1[Announce Date],"&gt;="&amp;$C$87,Table1[Announce Date],"&lt;="&amp;$C$88)/(COUNTIFS(Table1[Deal Status],"Completed",Table1[Announce Date],"&gt;="&amp;$C$87,Table1[Announce Date],"&lt;="&amp;$C$88)+COUNTIFS(Table1[Deal Status],"Terminated",Table1[Announce Date],"&gt;="&amp;$C$87,Table1[Announce Date],"&lt;="&amp;$C$88))</f>
        <v>0.94852941176470584</v>
      </c>
    </row>
    <row r="86" spans="1:6" ht="18" customHeight="1" x14ac:dyDescent="0.25">
      <c r="B86" s="104" t="s">
        <v>1249</v>
      </c>
      <c r="C86" s="105"/>
      <c r="D86" s="104" t="s">
        <v>1262</v>
      </c>
      <c r="E86" s="105"/>
    </row>
    <row r="87" spans="1:6" x14ac:dyDescent="0.25">
      <c r="B87" s="61" t="s">
        <v>1250</v>
      </c>
      <c r="C87" s="63">
        <f>DATE(2025,1,1)</f>
        <v>45658</v>
      </c>
      <c r="D87" s="61" t="s">
        <v>1263</v>
      </c>
      <c r="E87" s="64">
        <f>MAX(Table1[Announce Date])</f>
        <v>46198</v>
      </c>
    </row>
    <row r="88" spans="1:6" x14ac:dyDescent="0.25">
      <c r="B88" s="61" t="s">
        <v>1251</v>
      </c>
      <c r="C88" s="63">
        <f>DATE(2025,12,31)</f>
        <v>46022</v>
      </c>
      <c r="D88" s="61" t="s">
        <v>1264</v>
      </c>
      <c r="E88" s="64">
        <f>DATE(2025,MONTH(E87),DAY(E87))</f>
        <v>45833</v>
      </c>
    </row>
    <row r="89" spans="1:6" x14ac:dyDescent="0.25">
      <c r="B89" s="61" t="s">
        <v>1252</v>
      </c>
      <c r="C89" s="63">
        <f>DATE(2026,1,1)</f>
        <v>46023</v>
      </c>
      <c r="D89" s="61" t="s">
        <v>1265</v>
      </c>
      <c r="E89" s="64">
        <f>E87</f>
        <v>46198</v>
      </c>
    </row>
    <row r="90" spans="1:6" x14ac:dyDescent="0.25">
      <c r="B90" s="61" t="s">
        <v>1253</v>
      </c>
      <c r="C90" s="62">
        <f>DATE(2026,12,31)</f>
        <v>46387</v>
      </c>
    </row>
    <row r="91" spans="1:6" ht="27.95" customHeight="1" x14ac:dyDescent="0.25">
      <c r="B91" s="122" t="s">
        <v>1270</v>
      </c>
      <c r="C91" s="122"/>
      <c r="D91" s="122"/>
      <c r="E91" s="122"/>
      <c r="F91" s="122"/>
    </row>
    <row r="92" spans="1:6" x14ac:dyDescent="0.25">
      <c r="B92" s="122"/>
      <c r="C92" s="122"/>
      <c r="D92" s="122"/>
      <c r="E92" s="122"/>
      <c r="F92" s="122"/>
    </row>
    <row r="94" spans="1:6" x14ac:dyDescent="0.25">
      <c r="A94" s="94" t="s">
        <v>1287</v>
      </c>
    </row>
  </sheetData>
  <mergeCells count="34">
    <mergeCell ref="B91:F92"/>
    <mergeCell ref="B70:F70"/>
    <mergeCell ref="D86:E86"/>
    <mergeCell ref="B37:F37"/>
    <mergeCell ref="E68:F69"/>
    <mergeCell ref="N4:O4"/>
    <mergeCell ref="N5:O5"/>
    <mergeCell ref="N6:O6"/>
    <mergeCell ref="B8:F8"/>
    <mergeCell ref="B30:F30"/>
    <mergeCell ref="J4:K4"/>
    <mergeCell ref="J5:K5"/>
    <mergeCell ref="J6:K6"/>
    <mergeCell ref="L4:M4"/>
    <mergeCell ref="L5:M5"/>
    <mergeCell ref="L6:M6"/>
    <mergeCell ref="F4:G4"/>
    <mergeCell ref="D6:E6"/>
    <mergeCell ref="Q52:R52"/>
    <mergeCell ref="B52:F52"/>
    <mergeCell ref="B61:D61"/>
    <mergeCell ref="B86:C86"/>
    <mergeCell ref="A1:O1"/>
    <mergeCell ref="A2:O2"/>
    <mergeCell ref="F5:G5"/>
    <mergeCell ref="F6:G6"/>
    <mergeCell ref="H4:I4"/>
    <mergeCell ref="H5:I5"/>
    <mergeCell ref="H6:I6"/>
    <mergeCell ref="B4:C4"/>
    <mergeCell ref="B5:C5"/>
    <mergeCell ref="B6:C6"/>
    <mergeCell ref="D4:E4"/>
    <mergeCell ref="D5:E5"/>
  </mergeCells>
  <hyperlinks>
    <hyperlink ref="A94" r:id="rId1" location="disclaimer" tooltip="Churchill Capital disclaimer" xr:uid="{BD929C45-FF70-4786-B98F-293F70FAE56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2C1A-7948-4198-9F3C-F1CC82988938}">
  <dimension ref="A1:Q43"/>
  <sheetViews>
    <sheetView zoomScale="80" zoomScaleNormal="80" workbookViewId="0">
      <selection sqref="A1:O1"/>
    </sheetView>
  </sheetViews>
  <sheetFormatPr defaultRowHeight="15" outlineLevelCol="1" x14ac:dyDescent="0.25"/>
  <cols>
    <col min="1" max="1" width="2.28515625" customWidth="1"/>
    <col min="2" max="2" width="29.5703125" customWidth="1"/>
    <col min="3" max="7" width="15.5703125" customWidth="1"/>
    <col min="8" max="8" width="13.28515625" customWidth="1"/>
    <col min="9" max="9" width="11.42578125" customWidth="1"/>
    <col min="14" max="15" width="0" hidden="1" customWidth="1" outlineLevel="1"/>
    <col min="16" max="16" width="0" hidden="1" customWidth="1" outlineLevel="1" collapsed="1"/>
    <col min="17" max="17" width="9.140625" collapsed="1"/>
  </cols>
  <sheetData>
    <row r="1" spans="1:16" ht="33.950000000000003" customHeight="1" x14ac:dyDescent="0.35">
      <c r="A1" s="67"/>
      <c r="B1" s="124" t="s">
        <v>1202</v>
      </c>
      <c r="C1" s="125"/>
      <c r="D1" s="125"/>
      <c r="E1" s="125"/>
      <c r="F1" s="125"/>
      <c r="G1" s="125"/>
      <c r="H1" s="125"/>
      <c r="I1" s="125"/>
      <c r="J1" s="67"/>
      <c r="K1" s="67"/>
      <c r="L1" s="67"/>
      <c r="M1" s="67"/>
      <c r="N1" s="68" t="s">
        <v>1005</v>
      </c>
      <c r="O1" s="67" t="s">
        <v>1004</v>
      </c>
      <c r="P1" s="67" t="s">
        <v>998</v>
      </c>
    </row>
    <row r="2" spans="1:16" ht="32.1" customHeight="1" x14ac:dyDescent="0.25">
      <c r="A2" s="67"/>
      <c r="B2" s="126" t="s">
        <v>1283</v>
      </c>
      <c r="C2" s="126"/>
      <c r="D2" s="126"/>
      <c r="E2" s="126"/>
      <c r="F2" s="126"/>
      <c r="G2" s="126"/>
      <c r="H2" s="126"/>
      <c r="I2" s="126"/>
      <c r="J2" s="67"/>
      <c r="K2" s="67"/>
      <c r="L2" s="67"/>
      <c r="M2" s="67"/>
      <c r="N2" s="67" t="str">
        <f t="shared" ref="N2:N12" si="0">B9</f>
        <v>Health Care</v>
      </c>
      <c r="O2" s="69">
        <f t="shared" ref="O2:O12" si="1">F9</f>
        <v>75.771428571428572</v>
      </c>
      <c r="P2" s="67">
        <f>F30</f>
        <v>62</v>
      </c>
    </row>
    <row r="3" spans="1:16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 t="str">
        <f t="shared" si="0"/>
        <v>Energy</v>
      </c>
      <c r="O3" s="69">
        <f t="shared" si="1"/>
        <v>83.6</v>
      </c>
      <c r="P3" s="67">
        <f t="shared" ref="P3:P12" si="2">F31</f>
        <v>87.5</v>
      </c>
    </row>
    <row r="4" spans="1:16" ht="15.95" customHeight="1" x14ac:dyDescent="0.25">
      <c r="A4" s="67"/>
      <c r="B4" s="127" t="s">
        <v>1275</v>
      </c>
      <c r="C4" s="132"/>
      <c r="D4" s="127" t="s">
        <v>1276</v>
      </c>
      <c r="E4" s="132"/>
      <c r="F4" s="127" t="s">
        <v>1277</v>
      </c>
      <c r="G4" s="132"/>
      <c r="H4" s="127" t="s">
        <v>1278</v>
      </c>
      <c r="I4" s="128"/>
      <c r="J4" s="67"/>
      <c r="K4" s="67"/>
      <c r="L4" s="67"/>
      <c r="M4" s="67"/>
      <c r="N4" s="67" t="str">
        <f t="shared" si="0"/>
        <v>Real Estate</v>
      </c>
      <c r="O4" s="69">
        <f t="shared" si="1"/>
        <v>102.09090909090909</v>
      </c>
      <c r="P4" s="67">
        <f t="shared" si="2"/>
        <v>96</v>
      </c>
    </row>
    <row r="5" spans="1:16" ht="30" customHeight="1" x14ac:dyDescent="0.4">
      <c r="A5" s="67"/>
      <c r="B5" s="129">
        <f>COUNT(Table1[Days to Complete])</f>
        <v>153</v>
      </c>
      <c r="C5" s="133"/>
      <c r="D5" s="134">
        <f>AVERAGE(Table1[Days to Complete])</f>
        <v>108.16993464052288</v>
      </c>
      <c r="E5" s="133"/>
      <c r="F5" s="129">
        <f>MEDIAN(Table1[Days to Complete])</f>
        <v>96</v>
      </c>
      <c r="G5" s="133"/>
      <c r="H5" s="129">
        <f>COUNTIF(Table1[Deal Status],"Pending")</f>
        <v>76</v>
      </c>
      <c r="I5" s="130"/>
      <c r="J5" s="67"/>
      <c r="K5" s="67"/>
      <c r="L5" s="67"/>
      <c r="M5" s="67"/>
      <c r="N5" s="67" t="str">
        <f t="shared" si="0"/>
        <v>Utilities</v>
      </c>
      <c r="O5" s="69">
        <f t="shared" si="1"/>
        <v>108.5</v>
      </c>
      <c r="P5" s="67">
        <f t="shared" si="2"/>
        <v>108.5</v>
      </c>
    </row>
    <row r="6" spans="1:16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 t="str">
        <f t="shared" si="0"/>
        <v>Industrials</v>
      </c>
      <c r="O6" s="69">
        <f t="shared" si="1"/>
        <v>111.4375</v>
      </c>
      <c r="P6" s="67">
        <f t="shared" si="2"/>
        <v>100.5</v>
      </c>
    </row>
    <row r="7" spans="1:16" ht="21.95" customHeight="1" thickBot="1" x14ac:dyDescent="0.3">
      <c r="A7" s="67"/>
      <c r="B7" s="131" t="s">
        <v>999</v>
      </c>
      <c r="C7" s="131"/>
      <c r="D7" s="131"/>
      <c r="E7" s="131"/>
      <c r="F7" s="131"/>
      <c r="G7" s="131"/>
      <c r="H7" s="67"/>
      <c r="I7" s="67"/>
      <c r="J7" s="67"/>
      <c r="K7" s="67"/>
      <c r="L7" s="67"/>
      <c r="M7" s="67"/>
      <c r="N7" s="67" t="str">
        <f t="shared" si="0"/>
        <v>Technology</v>
      </c>
      <c r="O7" s="69">
        <f t="shared" si="1"/>
        <v>111.91304347826087</v>
      </c>
      <c r="P7" s="67">
        <f t="shared" si="2"/>
        <v>95</v>
      </c>
    </row>
    <row r="8" spans="1:16" x14ac:dyDescent="0.25">
      <c r="A8" s="67"/>
      <c r="B8" s="70" t="s">
        <v>1000</v>
      </c>
      <c r="C8" s="71" t="s">
        <v>23</v>
      </c>
      <c r="D8" s="71" t="s">
        <v>38</v>
      </c>
      <c r="E8" s="71" t="s">
        <v>996</v>
      </c>
      <c r="F8" s="71" t="s">
        <v>1001</v>
      </c>
      <c r="G8" s="72" t="s">
        <v>1002</v>
      </c>
      <c r="H8" s="67"/>
      <c r="I8" s="67"/>
      <c r="J8" s="67"/>
      <c r="K8" s="67"/>
      <c r="L8" s="67"/>
      <c r="M8" s="67"/>
      <c r="N8" s="67" t="str">
        <f t="shared" si="0"/>
        <v>Consumer Staples</v>
      </c>
      <c r="O8" s="69">
        <f t="shared" si="1"/>
        <v>116.83333333333333</v>
      </c>
      <c r="P8" s="67">
        <f t="shared" si="2"/>
        <v>92</v>
      </c>
    </row>
    <row r="9" spans="1:16" x14ac:dyDescent="0.25">
      <c r="A9" s="67"/>
      <c r="B9" s="73" t="s">
        <v>948</v>
      </c>
      <c r="C9" s="74">
        <f>IFERROR(AVERAGEIFS(Table1[Days to Complete],Table1[Target Industry Sector],$B9,Table1[Consideration],C$8),"–")</f>
        <v>98.0625</v>
      </c>
      <c r="D9" s="74">
        <f>IFERROR(AVERAGEIFS(Table1[Days to Complete],Table1[Target Industry Sector],$B9,Table1[Consideration],D$8),"–")</f>
        <v>130.5</v>
      </c>
      <c r="E9" s="74">
        <f>IFERROR(AVERAGEIFS(Table1[Days to Complete],Table1[Target Industry Sector],$B9,Table1[Consideration],E$8),"–")</f>
        <v>48.352941176470587</v>
      </c>
      <c r="F9" s="74">
        <f>IFERROR(AVERAGEIFS(Table1[Days to Complete],Table1[Target Industry Sector],$B9),"–")</f>
        <v>75.771428571428572</v>
      </c>
      <c r="G9" s="75">
        <f>COUNTIFS(Table1[Days to Complete],"&gt;=0",Table1[Target Industry Sector],$B9)</f>
        <v>35</v>
      </c>
      <c r="H9" s="67"/>
      <c r="I9" s="67"/>
      <c r="J9" s="67"/>
      <c r="K9" s="67"/>
      <c r="L9" s="67"/>
      <c r="M9" s="67"/>
      <c r="N9" s="67" t="str">
        <f t="shared" si="0"/>
        <v>Consumer Discretionary</v>
      </c>
      <c r="O9" s="69">
        <f t="shared" si="1"/>
        <v>117.05263157894737</v>
      </c>
      <c r="P9" s="67">
        <f t="shared" si="2"/>
        <v>110</v>
      </c>
    </row>
    <row r="10" spans="1:16" x14ac:dyDescent="0.25">
      <c r="A10" s="67"/>
      <c r="B10" s="73" t="s">
        <v>942</v>
      </c>
      <c r="C10" s="74">
        <f>IFERROR(AVERAGEIFS(Table1[Days to Complete],Table1[Target Industry Sector],$B10,Table1[Consideration],C$8),"–")</f>
        <v>55</v>
      </c>
      <c r="D10" s="74">
        <f>IFERROR(AVERAGEIFS(Table1[Days to Complete],Table1[Target Industry Sector],$B10,Table1[Consideration],D$8),"–")</f>
        <v>86.777777777777771</v>
      </c>
      <c r="E10" s="74" t="str">
        <f>IFERROR(AVERAGEIFS(Table1[Days to Complete],Table1[Target Industry Sector],$B10,Table1[Consideration],E$8),"–")</f>
        <v>–</v>
      </c>
      <c r="F10" s="74">
        <f>IFERROR(AVERAGEIFS(Table1[Days to Complete],Table1[Target Industry Sector],$B10),"–")</f>
        <v>83.6</v>
      </c>
      <c r="G10" s="75">
        <f>COUNTIFS(Table1[Days to Complete],"&gt;=0",Table1[Target Industry Sector],$B10)</f>
        <v>10</v>
      </c>
      <c r="H10" s="67"/>
      <c r="I10" s="67"/>
      <c r="J10" s="67"/>
      <c r="K10" s="67"/>
      <c r="L10" s="67"/>
      <c r="M10" s="67"/>
      <c r="N10" s="67" t="str">
        <f t="shared" si="0"/>
        <v>Materials</v>
      </c>
      <c r="O10" s="69">
        <f t="shared" si="1"/>
        <v>118.44444444444444</v>
      </c>
      <c r="P10" s="67">
        <f t="shared" si="2"/>
        <v>116</v>
      </c>
    </row>
    <row r="11" spans="1:16" x14ac:dyDescent="0.25">
      <c r="A11" s="67"/>
      <c r="B11" s="73" t="s">
        <v>940</v>
      </c>
      <c r="C11" s="74">
        <f>IFERROR(AVERAGEIFS(Table1[Days to Complete],Table1[Target Industry Sector],$B11,Table1[Consideration],C$8),"–")</f>
        <v>98.166666666666671</v>
      </c>
      <c r="D11" s="74">
        <f>IFERROR(AVERAGEIFS(Table1[Days to Complete],Table1[Target Industry Sector],$B11,Table1[Consideration],D$8),"–")</f>
        <v>106.8</v>
      </c>
      <c r="E11" s="74" t="str">
        <f>IFERROR(AVERAGEIFS(Table1[Days to Complete],Table1[Target Industry Sector],$B11,Table1[Consideration],E$8),"–")</f>
        <v>–</v>
      </c>
      <c r="F11" s="74">
        <f>IFERROR(AVERAGEIFS(Table1[Days to Complete],Table1[Target Industry Sector],$B11),"–")</f>
        <v>102.09090909090909</v>
      </c>
      <c r="G11" s="75">
        <f>COUNTIFS(Table1[Days to Complete],"&gt;=0",Table1[Target Industry Sector],$B11)</f>
        <v>11</v>
      </c>
      <c r="H11" s="67"/>
      <c r="I11" s="67"/>
      <c r="J11" s="67"/>
      <c r="K11" s="67"/>
      <c r="L11" s="67"/>
      <c r="M11" s="67"/>
      <c r="N11" s="67" t="str">
        <f t="shared" si="0"/>
        <v>Financials</v>
      </c>
      <c r="O11" s="69">
        <f t="shared" si="1"/>
        <v>150.94999999999999</v>
      </c>
      <c r="P11" s="67">
        <f t="shared" si="2"/>
        <v>155</v>
      </c>
    </row>
    <row r="12" spans="1:16" x14ac:dyDescent="0.25">
      <c r="A12" s="67"/>
      <c r="B12" s="73" t="s">
        <v>924</v>
      </c>
      <c r="C12" s="74">
        <f>IFERROR(AVERAGEIFS(Table1[Days to Complete],Table1[Target Industry Sector],$B12,Table1[Consideration],C$8),"–")</f>
        <v>108.5</v>
      </c>
      <c r="D12" s="74" t="str">
        <f>IFERROR(AVERAGEIFS(Table1[Days to Complete],Table1[Target Industry Sector],$B12,Table1[Consideration],D$8),"–")</f>
        <v>–</v>
      </c>
      <c r="E12" s="74" t="str">
        <f>IFERROR(AVERAGEIFS(Table1[Days to Complete],Table1[Target Industry Sector],$B12,Table1[Consideration],E$8),"–")</f>
        <v>–</v>
      </c>
      <c r="F12" s="74">
        <f>IFERROR(AVERAGEIFS(Table1[Days to Complete],Table1[Target Industry Sector],$B12),"–")</f>
        <v>108.5</v>
      </c>
      <c r="G12" s="75">
        <f>COUNTIFS(Table1[Days to Complete],"&gt;=0",Table1[Target Industry Sector],$B12)</f>
        <v>2</v>
      </c>
      <c r="H12" s="67"/>
      <c r="I12" s="67"/>
      <c r="J12" s="67"/>
      <c r="K12" s="67"/>
      <c r="L12" s="67"/>
      <c r="M12" s="67"/>
      <c r="N12" s="67" t="str">
        <f t="shared" si="0"/>
        <v>Communications</v>
      </c>
      <c r="O12" s="69">
        <f t="shared" si="1"/>
        <v>177.5</v>
      </c>
      <c r="P12" s="67">
        <f t="shared" si="2"/>
        <v>177.5</v>
      </c>
    </row>
    <row r="13" spans="1:16" x14ac:dyDescent="0.25">
      <c r="A13" s="67"/>
      <c r="B13" s="73" t="s">
        <v>929</v>
      </c>
      <c r="C13" s="74">
        <f>IFERROR(AVERAGEIFS(Table1[Days to Complete],Table1[Target Industry Sector],$B13,Table1[Consideration],C$8),"–")</f>
        <v>122.11111111111111</v>
      </c>
      <c r="D13" s="74">
        <f>IFERROR(AVERAGEIFS(Table1[Days to Complete],Table1[Target Industry Sector],$B13,Table1[Consideration],D$8),"–")</f>
        <v>106</v>
      </c>
      <c r="E13" s="74">
        <f>IFERROR(AVERAGEIFS(Table1[Days to Complete],Table1[Target Industry Sector],$B13,Table1[Consideration],E$8),"–")</f>
        <v>50</v>
      </c>
      <c r="F13" s="74">
        <f>IFERROR(AVERAGEIFS(Table1[Days to Complete],Table1[Target Industry Sector],$B13),"–")</f>
        <v>111.4375</v>
      </c>
      <c r="G13" s="75">
        <f>COUNTIFS(Table1[Days to Complete],"&gt;=0",Table1[Target Industry Sector],$B13)</f>
        <v>16</v>
      </c>
      <c r="H13" s="67"/>
      <c r="I13" s="67"/>
      <c r="J13" s="67"/>
      <c r="K13" s="67"/>
      <c r="L13" s="67"/>
      <c r="M13" s="67"/>
      <c r="N13" s="67"/>
      <c r="O13" s="67"/>
      <c r="P13" s="67"/>
    </row>
    <row r="14" spans="1:16" x14ac:dyDescent="0.25">
      <c r="A14" s="67"/>
      <c r="B14" s="73" t="s">
        <v>945</v>
      </c>
      <c r="C14" s="74">
        <f>IFERROR(AVERAGEIFS(Table1[Days to Complete],Table1[Target Industry Sector],$B14,Table1[Consideration],C$8),"–")</f>
        <v>114.26315789473684</v>
      </c>
      <c r="D14" s="74">
        <f>IFERROR(AVERAGEIFS(Table1[Days to Complete],Table1[Target Industry Sector],$B14,Table1[Consideration],D$8),"–")</f>
        <v>119.33333333333333</v>
      </c>
      <c r="E14" s="74">
        <f>IFERROR(AVERAGEIFS(Table1[Days to Complete],Table1[Target Industry Sector],$B14,Table1[Consideration],E$8),"–")</f>
        <v>45</v>
      </c>
      <c r="F14" s="74">
        <f>IFERROR(AVERAGEIFS(Table1[Days to Complete],Table1[Target Industry Sector],$B14),"–")</f>
        <v>111.91304347826087</v>
      </c>
      <c r="G14" s="75">
        <f>COUNTIFS(Table1[Days to Complete],"&gt;=0",Table1[Target Industry Sector],$B14)</f>
        <v>23</v>
      </c>
      <c r="H14" s="67"/>
      <c r="I14" s="67"/>
      <c r="J14" s="67"/>
      <c r="K14" s="67"/>
      <c r="L14" s="67"/>
      <c r="M14" s="67"/>
      <c r="N14" s="67"/>
      <c r="O14" s="67"/>
      <c r="P14" s="67"/>
    </row>
    <row r="15" spans="1:16" x14ac:dyDescent="0.25">
      <c r="A15" s="67"/>
      <c r="B15" s="73" t="s">
        <v>932</v>
      </c>
      <c r="C15" s="74">
        <f>IFERROR(AVERAGEIFS(Table1[Days to Complete],Table1[Target Industry Sector],$B15,Table1[Consideration],C$8),"–")</f>
        <v>105.2</v>
      </c>
      <c r="D15" s="74">
        <f>IFERROR(AVERAGEIFS(Table1[Days to Complete],Table1[Target Industry Sector],$B15,Table1[Consideration],D$8),"–")</f>
        <v>175</v>
      </c>
      <c r="E15" s="74" t="str">
        <f>IFERROR(AVERAGEIFS(Table1[Days to Complete],Table1[Target Industry Sector],$B15,Table1[Consideration],E$8),"–")</f>
        <v>–</v>
      </c>
      <c r="F15" s="74">
        <f>IFERROR(AVERAGEIFS(Table1[Days to Complete],Table1[Target Industry Sector],$B15),"–")</f>
        <v>116.83333333333333</v>
      </c>
      <c r="G15" s="75">
        <f>COUNTIFS(Table1[Days to Complete],"&gt;=0",Table1[Target Industry Sector],$B15)</f>
        <v>6</v>
      </c>
      <c r="H15" s="67"/>
      <c r="I15" s="67"/>
      <c r="J15" s="67"/>
      <c r="K15" s="67"/>
      <c r="L15" s="67"/>
      <c r="M15" s="67"/>
      <c r="N15" s="67"/>
      <c r="O15" s="67"/>
      <c r="P15" s="67"/>
    </row>
    <row r="16" spans="1:16" x14ac:dyDescent="0.25">
      <c r="A16" s="67"/>
      <c r="B16" s="73" t="s">
        <v>937</v>
      </c>
      <c r="C16" s="74">
        <f>IFERROR(AVERAGEIFS(Table1[Days to Complete],Table1[Target Industry Sector],$B16,Table1[Consideration],C$8),"–")</f>
        <v>108.5</v>
      </c>
      <c r="D16" s="74">
        <f>IFERROR(AVERAGEIFS(Table1[Days to Complete],Table1[Target Industry Sector],$B16,Table1[Consideration],D$8),"–")</f>
        <v>150.125</v>
      </c>
      <c r="E16" s="74">
        <f>IFERROR(AVERAGEIFS(Table1[Days to Complete],Table1[Target Industry Sector],$B16,Table1[Consideration],E$8),"–")</f>
        <v>51.666666666666664</v>
      </c>
      <c r="F16" s="74">
        <f>IFERROR(AVERAGEIFS(Table1[Days to Complete],Table1[Target Industry Sector],$B16),"–")</f>
        <v>117.05263157894737</v>
      </c>
      <c r="G16" s="75">
        <f>COUNTIFS(Table1[Days to Complete],"&gt;=0",Table1[Target Industry Sector],$B16)</f>
        <v>19</v>
      </c>
      <c r="H16" s="67"/>
      <c r="I16" s="67"/>
      <c r="J16" s="67"/>
      <c r="K16" s="67"/>
      <c r="L16" s="67"/>
      <c r="M16" s="67"/>
      <c r="N16" s="67"/>
      <c r="O16" s="67"/>
      <c r="P16" s="67"/>
    </row>
    <row r="17" spans="1:16" x14ac:dyDescent="0.25">
      <c r="A17" s="67"/>
      <c r="B17" s="73" t="s">
        <v>951</v>
      </c>
      <c r="C17" s="74">
        <f>IFERROR(AVERAGEIFS(Table1[Days to Complete],Table1[Target Industry Sector],$B17,Table1[Consideration],C$8),"–")</f>
        <v>143</v>
      </c>
      <c r="D17" s="74">
        <f>IFERROR(AVERAGEIFS(Table1[Days to Complete],Table1[Target Industry Sector],$B17,Table1[Consideration],D$8),"–")</f>
        <v>115.375</v>
      </c>
      <c r="E17" s="74" t="str">
        <f>IFERROR(AVERAGEIFS(Table1[Days to Complete],Table1[Target Industry Sector],$B17,Table1[Consideration],E$8),"–")</f>
        <v>–</v>
      </c>
      <c r="F17" s="74">
        <f>IFERROR(AVERAGEIFS(Table1[Days to Complete],Table1[Target Industry Sector],$B17),"–")</f>
        <v>118.44444444444444</v>
      </c>
      <c r="G17" s="75">
        <f>COUNTIFS(Table1[Days to Complete],"&gt;=0",Table1[Target Industry Sector],$B17)</f>
        <v>9</v>
      </c>
      <c r="H17" s="67"/>
      <c r="I17" s="67"/>
      <c r="J17" s="67"/>
      <c r="K17" s="67"/>
      <c r="L17" s="67"/>
      <c r="M17" s="67"/>
      <c r="N17" s="67"/>
      <c r="O17" s="67"/>
      <c r="P17" s="67"/>
    </row>
    <row r="18" spans="1:16" x14ac:dyDescent="0.25">
      <c r="A18" s="67"/>
      <c r="B18" s="73" t="s">
        <v>958</v>
      </c>
      <c r="C18" s="74">
        <f>IFERROR(AVERAGEIFS(Table1[Days to Complete],Table1[Target Industry Sector],$B18,Table1[Consideration],C$8),"–")</f>
        <v>161.85714285714286</v>
      </c>
      <c r="D18" s="74">
        <f>IFERROR(AVERAGEIFS(Table1[Days to Complete],Table1[Target Industry Sector],$B18,Table1[Consideration],D$8),"–")</f>
        <v>145.07692307692307</v>
      </c>
      <c r="E18" s="74" t="str">
        <f>IFERROR(AVERAGEIFS(Table1[Days to Complete],Table1[Target Industry Sector],$B18,Table1[Consideration],E$8),"–")</f>
        <v>–</v>
      </c>
      <c r="F18" s="74">
        <f>IFERROR(AVERAGEIFS(Table1[Days to Complete],Table1[Target Industry Sector],$B18),"–")</f>
        <v>150.94999999999999</v>
      </c>
      <c r="G18" s="75">
        <f>COUNTIFS(Table1[Days to Complete],"&gt;=0",Table1[Target Industry Sector],$B18)</f>
        <v>20</v>
      </c>
      <c r="H18" s="67"/>
      <c r="I18" s="67"/>
      <c r="J18" s="67"/>
      <c r="K18" s="67"/>
      <c r="L18" s="67"/>
      <c r="M18" s="67"/>
      <c r="N18" s="67"/>
      <c r="O18" s="67"/>
      <c r="P18" s="67"/>
    </row>
    <row r="19" spans="1:16" x14ac:dyDescent="0.25">
      <c r="A19" s="67"/>
      <c r="B19" s="73" t="s">
        <v>926</v>
      </c>
      <c r="C19" s="74">
        <f>IFERROR(AVERAGEIFS(Table1[Days to Complete],Table1[Target Industry Sector],$B19,Table1[Consideration],C$8),"–")</f>
        <v>177.5</v>
      </c>
      <c r="D19" s="74" t="str">
        <f>IFERROR(AVERAGEIFS(Table1[Days to Complete],Table1[Target Industry Sector],$B19,Table1[Consideration],D$8),"–")</f>
        <v>–</v>
      </c>
      <c r="E19" s="74" t="str">
        <f>IFERROR(AVERAGEIFS(Table1[Days to Complete],Table1[Target Industry Sector],$B19,Table1[Consideration],E$8),"–")</f>
        <v>–</v>
      </c>
      <c r="F19" s="74">
        <f>IFERROR(AVERAGEIFS(Table1[Days to Complete],Table1[Target Industry Sector],$B19),"–")</f>
        <v>177.5</v>
      </c>
      <c r="G19" s="75">
        <f>COUNTIFS(Table1[Days to Complete],"&gt;=0",Table1[Target Industry Sector],$B19)</f>
        <v>2</v>
      </c>
      <c r="H19" s="67"/>
      <c r="I19" s="67"/>
      <c r="J19" s="67"/>
      <c r="K19" s="67"/>
      <c r="L19" s="67"/>
      <c r="M19" s="67"/>
      <c r="N19" s="67"/>
      <c r="O19" s="67"/>
      <c r="P19" s="67"/>
    </row>
    <row r="20" spans="1:16" ht="15.75" thickBot="1" x14ac:dyDescent="0.3">
      <c r="A20" s="67"/>
      <c r="B20" s="76" t="s">
        <v>1003</v>
      </c>
      <c r="C20" s="77">
        <f>IFERROR(AVERAGEIFS(Table1[Days to Complete],Table1[Consideration],C$8),"–")</f>
        <v>114.80263157894737</v>
      </c>
      <c r="D20" s="77">
        <f>IFERROR(AVERAGEIFS(Table1[Days to Complete],Table1[Consideration],D$8),"–")</f>
        <v>123.12962962962963</v>
      </c>
      <c r="E20" s="77">
        <f>IFERROR(AVERAGEIFS(Table1[Days to Complete],Table1[Consideration],E$8),"–")</f>
        <v>48.727272727272727</v>
      </c>
      <c r="F20" s="77">
        <f>AVERAGE(Table1[Days to Complete])</f>
        <v>108.16993464052288</v>
      </c>
      <c r="G20" s="78">
        <f>COUNT(Table1[Days to Complete])</f>
        <v>153</v>
      </c>
      <c r="H20" s="67"/>
      <c r="I20" s="67"/>
      <c r="J20" s="67"/>
      <c r="K20" s="67"/>
      <c r="L20" s="67"/>
      <c r="M20" s="67"/>
      <c r="N20" s="67"/>
      <c r="O20" s="67"/>
      <c r="P20" s="67"/>
    </row>
    <row r="21" spans="1:16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16.5" thickBot="1" x14ac:dyDescent="0.3">
      <c r="A22" s="67"/>
      <c r="B22" s="131" t="s">
        <v>1282</v>
      </c>
      <c r="C22" s="131"/>
      <c r="D22" s="131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</row>
    <row r="23" spans="1:16" ht="18" customHeight="1" x14ac:dyDescent="0.25">
      <c r="A23" s="67"/>
      <c r="B23" s="81" t="s">
        <v>920</v>
      </c>
      <c r="C23" s="82" t="s">
        <v>1004</v>
      </c>
      <c r="D23" s="83" t="s">
        <v>998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</row>
    <row r="24" spans="1:16" ht="18" customHeight="1" x14ac:dyDescent="0.25">
      <c r="A24" s="67"/>
      <c r="B24" s="84" t="s">
        <v>23</v>
      </c>
      <c r="C24" s="90">
        <f>C20</f>
        <v>114.80263157894737</v>
      </c>
      <c r="D24" s="85">
        <f>C41</f>
        <v>95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</row>
    <row r="25" spans="1:16" ht="18" customHeight="1" x14ac:dyDescent="0.25">
      <c r="A25" s="67"/>
      <c r="B25" s="86" t="s">
        <v>38</v>
      </c>
      <c r="C25" s="91">
        <f>D20</f>
        <v>123.12962962962963</v>
      </c>
      <c r="D25" s="87">
        <f>D41</f>
        <v>116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</row>
    <row r="26" spans="1:16" ht="18" customHeight="1" thickBot="1" x14ac:dyDescent="0.3">
      <c r="A26" s="67"/>
      <c r="B26" s="88" t="s">
        <v>996</v>
      </c>
      <c r="C26" s="92">
        <f>E20</f>
        <v>48.727272727272727</v>
      </c>
      <c r="D26" s="89">
        <f>E41</f>
        <v>46.5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</row>
    <row r="27" spans="1:16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</row>
    <row r="28" spans="1:16" ht="21.95" customHeight="1" thickBot="1" x14ac:dyDescent="0.3">
      <c r="A28" s="67"/>
      <c r="B28" s="131" t="s">
        <v>1006</v>
      </c>
      <c r="C28" s="131"/>
      <c r="D28" s="131"/>
      <c r="E28" s="131"/>
      <c r="F28" s="131"/>
      <c r="G28" s="131"/>
      <c r="H28" s="67"/>
      <c r="I28" s="67"/>
      <c r="J28" s="67"/>
      <c r="K28" s="67"/>
      <c r="L28" s="67"/>
      <c r="M28" s="67"/>
      <c r="N28" s="67"/>
      <c r="O28" s="67"/>
      <c r="P28" s="67"/>
    </row>
    <row r="29" spans="1:16" x14ac:dyDescent="0.25">
      <c r="A29" s="67"/>
      <c r="B29" s="70" t="s">
        <v>1000</v>
      </c>
      <c r="C29" s="71" t="s">
        <v>23</v>
      </c>
      <c r="D29" s="71" t="s">
        <v>38</v>
      </c>
      <c r="E29" s="71" t="s">
        <v>996</v>
      </c>
      <c r="F29" s="71" t="s">
        <v>1001</v>
      </c>
      <c r="G29" s="72" t="s">
        <v>1002</v>
      </c>
      <c r="H29" s="67"/>
      <c r="I29" s="67"/>
      <c r="J29" s="67"/>
      <c r="K29" s="67"/>
      <c r="L29" s="67"/>
      <c r="M29" s="67"/>
      <c r="N29" s="67"/>
      <c r="O29" s="67"/>
      <c r="P29" s="67"/>
    </row>
    <row r="30" spans="1:16" x14ac:dyDescent="0.25">
      <c r="A30" s="67"/>
      <c r="B30" s="73" t="str">
        <f t="shared" ref="B30:B40" si="3">B9</f>
        <v>Health Care</v>
      </c>
      <c r="C30" s="79" cm="1">
        <f t="array" ref="C30">IFERROR(MEDIAN(IF((Table1[Target Industry Sector]=$B30)*(Table1[Consideration]=C$29)*(Table1[Days to Complete]&lt;&gt;""),Table1[Days to Complete])),"–")</f>
        <v>91.5</v>
      </c>
      <c r="D30" s="79" cm="1">
        <f t="array" ref="D30">IFERROR(MEDIAN(IF((Table1[Target Industry Sector]=$B30)*(Table1[Consideration]=D$29)*(Table1[Days to Complete]&lt;&gt;""),Table1[Days to Complete])),"–")</f>
        <v>130.5</v>
      </c>
      <c r="E30" s="79" cm="1">
        <f t="array" ref="E30">IFERROR(MEDIAN(IF((Table1[Target Industry Sector]=$B30)*(Table1[Consideration]=E$29)*(Table1[Days to Complete]&lt;&gt;""),Table1[Days to Complete])),"–")</f>
        <v>48</v>
      </c>
      <c r="F30" s="79" cm="1">
        <f t="array" ref="F30">IFERROR(MEDIAN(IF((Table1[Target Industry Sector]=$B30)*(Table1[Days to Complete]&lt;&gt;""),Table1[Days to Complete])),"–")</f>
        <v>62</v>
      </c>
      <c r="G30" s="75">
        <f>COUNTIFS(Table1[Days to Complete],"&gt;=0",Table1[Target Industry Sector],$B30)</f>
        <v>35</v>
      </c>
      <c r="H30" s="67"/>
      <c r="I30" s="67"/>
      <c r="J30" s="67"/>
      <c r="K30" s="67"/>
      <c r="L30" s="67"/>
      <c r="M30" s="67"/>
      <c r="N30" s="67"/>
      <c r="O30" s="67"/>
      <c r="P30" s="67"/>
    </row>
    <row r="31" spans="1:16" x14ac:dyDescent="0.25">
      <c r="A31" s="67"/>
      <c r="B31" s="73" t="str">
        <f t="shared" si="3"/>
        <v>Energy</v>
      </c>
      <c r="C31" s="79" cm="1">
        <f t="array" ref="C31">IFERROR(MEDIAN(IF((Table1[Target Industry Sector]=$B31)*(Table1[Consideration]=C$29)*(Table1[Days to Complete]&lt;&gt;""),Table1[Days to Complete])),"–")</f>
        <v>55</v>
      </c>
      <c r="D31" s="79" cm="1">
        <f t="array" ref="D31">IFERROR(MEDIAN(IF((Table1[Target Industry Sector]=$B31)*(Table1[Consideration]=D$29)*(Table1[Days to Complete]&lt;&gt;""),Table1[Days to Complete])),"–")</f>
        <v>88</v>
      </c>
      <c r="E31" s="79" t="str" cm="1">
        <f t="array" ref="E31">IFERROR(MEDIAN(IF((Table1[Target Industry Sector]=$B31)*(Table1[Consideration]=E$29)*(Table1[Days to Complete]&lt;&gt;""),Table1[Days to Complete])),"–")</f>
        <v>–</v>
      </c>
      <c r="F31" s="79" cm="1">
        <f t="array" ref="F31">IFERROR(MEDIAN(IF((Table1[Target Industry Sector]=$B31)*(Table1[Days to Complete]&lt;&gt;""),Table1[Days to Complete])),"–")</f>
        <v>87.5</v>
      </c>
      <c r="G31" s="75">
        <f>COUNTIFS(Table1[Days to Complete],"&gt;=0",Table1[Target Industry Sector],$B31)</f>
        <v>10</v>
      </c>
      <c r="H31" s="67"/>
      <c r="I31" s="67"/>
      <c r="J31" s="67"/>
      <c r="K31" s="67"/>
      <c r="L31" s="67"/>
      <c r="M31" s="67"/>
      <c r="N31" s="67"/>
      <c r="O31" s="67"/>
      <c r="P31" s="67"/>
    </row>
    <row r="32" spans="1:16" x14ac:dyDescent="0.25">
      <c r="A32" s="67"/>
      <c r="B32" s="73" t="str">
        <f t="shared" si="3"/>
        <v>Real Estate</v>
      </c>
      <c r="C32" s="79" cm="1">
        <f t="array" ref="C32">IFERROR(MEDIAN(IF((Table1[Target Industry Sector]=$B32)*(Table1[Consideration]=C$29)*(Table1[Days to Complete]&lt;&gt;""),Table1[Days to Complete])),"–")</f>
        <v>94</v>
      </c>
      <c r="D32" s="79" cm="1">
        <f t="array" ref="D32">IFERROR(MEDIAN(IF((Table1[Target Industry Sector]=$B32)*(Table1[Consideration]=D$29)*(Table1[Days to Complete]&lt;&gt;""),Table1[Days to Complete])),"–")</f>
        <v>112</v>
      </c>
      <c r="E32" s="79" t="str" cm="1">
        <f t="array" ref="E32">IFERROR(MEDIAN(IF((Table1[Target Industry Sector]=$B32)*(Table1[Consideration]=E$29)*(Table1[Days to Complete]&lt;&gt;""),Table1[Days to Complete])),"–")</f>
        <v>–</v>
      </c>
      <c r="F32" s="79" cm="1">
        <f t="array" ref="F32">IFERROR(MEDIAN(IF((Table1[Target Industry Sector]=$B32)*(Table1[Days to Complete]&lt;&gt;""),Table1[Days to Complete])),"–")</f>
        <v>96</v>
      </c>
      <c r="G32" s="75">
        <f>COUNTIFS(Table1[Days to Complete],"&gt;=0",Table1[Target Industry Sector],$B32)</f>
        <v>11</v>
      </c>
      <c r="H32" s="67"/>
      <c r="I32" s="67"/>
      <c r="J32" s="67"/>
      <c r="K32" s="67"/>
      <c r="L32" s="67"/>
      <c r="M32" s="67"/>
      <c r="N32" s="67"/>
      <c r="O32" s="67"/>
      <c r="P32" s="67"/>
    </row>
    <row r="33" spans="1:16" x14ac:dyDescent="0.25">
      <c r="A33" s="67"/>
      <c r="B33" s="73" t="str">
        <f t="shared" si="3"/>
        <v>Utilities</v>
      </c>
      <c r="C33" s="79" cm="1">
        <f t="array" ref="C33">IFERROR(MEDIAN(IF((Table1[Target Industry Sector]=$B33)*(Table1[Consideration]=C$29)*(Table1[Days to Complete]&lt;&gt;""),Table1[Days to Complete])),"–")</f>
        <v>108.5</v>
      </c>
      <c r="D33" s="79" t="str" cm="1">
        <f t="array" ref="D33">IFERROR(MEDIAN(IF((Table1[Target Industry Sector]=$B33)*(Table1[Consideration]=D$29)*(Table1[Days to Complete]&lt;&gt;""),Table1[Days to Complete])),"–")</f>
        <v>–</v>
      </c>
      <c r="E33" s="79" t="str" cm="1">
        <f t="array" ref="E33">IFERROR(MEDIAN(IF((Table1[Target Industry Sector]=$B33)*(Table1[Consideration]=E$29)*(Table1[Days to Complete]&lt;&gt;""),Table1[Days to Complete])),"–")</f>
        <v>–</v>
      </c>
      <c r="F33" s="79" cm="1">
        <f t="array" ref="F33">IFERROR(MEDIAN(IF((Table1[Target Industry Sector]=$B33)*(Table1[Days to Complete]&lt;&gt;""),Table1[Days to Complete])),"–")</f>
        <v>108.5</v>
      </c>
      <c r="G33" s="75">
        <f>COUNTIFS(Table1[Days to Complete],"&gt;=0",Table1[Target Industry Sector],$B33)</f>
        <v>2</v>
      </c>
      <c r="H33" s="67"/>
      <c r="I33" s="67"/>
      <c r="J33" s="67"/>
      <c r="K33" s="67"/>
      <c r="L33" s="67"/>
      <c r="M33" s="67"/>
      <c r="N33" s="67"/>
      <c r="O33" s="67"/>
      <c r="P33" s="67"/>
    </row>
    <row r="34" spans="1:16" x14ac:dyDescent="0.25">
      <c r="A34" s="67"/>
      <c r="B34" s="73" t="str">
        <f t="shared" si="3"/>
        <v>Industrials</v>
      </c>
      <c r="C34" s="79" cm="1">
        <f t="array" ref="C34">IFERROR(MEDIAN(IF((Table1[Target Industry Sector]=$B34)*(Table1[Consideration]=C$29)*(Table1[Days to Complete]&lt;&gt;""),Table1[Days to Complete])),"–")</f>
        <v>118</v>
      </c>
      <c r="D34" s="79" cm="1">
        <f t="array" ref="D34">IFERROR(MEDIAN(IF((Table1[Target Industry Sector]=$B34)*(Table1[Consideration]=D$29)*(Table1[Days to Complete]&lt;&gt;""),Table1[Days to Complete])),"–")</f>
        <v>97</v>
      </c>
      <c r="E34" s="79" cm="1">
        <f t="array" ref="E34">IFERROR(MEDIAN(IF((Table1[Target Industry Sector]=$B34)*(Table1[Consideration]=E$29)*(Table1[Days to Complete]&lt;&gt;""),Table1[Days to Complete])),"–")</f>
        <v>50</v>
      </c>
      <c r="F34" s="79" cm="1">
        <f t="array" ref="F34">IFERROR(MEDIAN(IF((Table1[Target Industry Sector]=$B34)*(Table1[Days to Complete]&lt;&gt;""),Table1[Days to Complete])),"–")</f>
        <v>100.5</v>
      </c>
      <c r="G34" s="75">
        <f>COUNTIFS(Table1[Days to Complete],"&gt;=0",Table1[Target Industry Sector],$B34)</f>
        <v>16</v>
      </c>
      <c r="H34" s="67"/>
      <c r="I34" s="67"/>
      <c r="J34" s="67"/>
      <c r="K34" s="67"/>
      <c r="L34" s="67"/>
      <c r="M34" s="67"/>
      <c r="N34" s="67"/>
      <c r="O34" s="67"/>
      <c r="P34" s="67"/>
    </row>
    <row r="35" spans="1:16" x14ac:dyDescent="0.25">
      <c r="A35" s="67"/>
      <c r="B35" s="73" t="str">
        <f t="shared" si="3"/>
        <v>Technology</v>
      </c>
      <c r="C35" s="79" cm="1">
        <f t="array" ref="C35">IFERROR(MEDIAN(IF((Table1[Target Industry Sector]=$B35)*(Table1[Consideration]=C$29)*(Table1[Days to Complete]&lt;&gt;""),Table1[Days to Complete])),"–")</f>
        <v>95</v>
      </c>
      <c r="D35" s="79" cm="1">
        <f t="array" ref="D35">IFERROR(MEDIAN(IF((Table1[Target Industry Sector]=$B35)*(Table1[Consideration]=D$29)*(Table1[Days to Complete]&lt;&gt;""),Table1[Days to Complete])),"–")</f>
        <v>98</v>
      </c>
      <c r="E35" s="79" cm="1">
        <f t="array" ref="E35">IFERROR(MEDIAN(IF((Table1[Target Industry Sector]=$B35)*(Table1[Consideration]=E$29)*(Table1[Days to Complete]&lt;&gt;""),Table1[Days to Complete])),"–")</f>
        <v>45</v>
      </c>
      <c r="F35" s="79" cm="1">
        <f t="array" ref="F35">IFERROR(MEDIAN(IF((Table1[Target Industry Sector]=$B35)*(Table1[Days to Complete]&lt;&gt;""),Table1[Days to Complete])),"–")</f>
        <v>95</v>
      </c>
      <c r="G35" s="75">
        <f>COUNTIFS(Table1[Days to Complete],"&gt;=0",Table1[Target Industry Sector],$B35)</f>
        <v>23</v>
      </c>
      <c r="H35" s="67"/>
      <c r="I35" s="67"/>
      <c r="J35" s="67"/>
      <c r="K35" s="67"/>
      <c r="L35" s="67"/>
      <c r="M35" s="67"/>
      <c r="N35" s="67"/>
      <c r="O35" s="67"/>
      <c r="P35" s="67"/>
    </row>
    <row r="36" spans="1:16" x14ac:dyDescent="0.25">
      <c r="A36" s="67"/>
      <c r="B36" s="73" t="str">
        <f t="shared" si="3"/>
        <v>Consumer Staples</v>
      </c>
      <c r="C36" s="79" cm="1">
        <f t="array" ref="C36">IFERROR(MEDIAN(IF((Table1[Target Industry Sector]=$B36)*(Table1[Consideration]=C$29)*(Table1[Days to Complete]&lt;&gt;""),Table1[Days to Complete])),"–")</f>
        <v>91</v>
      </c>
      <c r="D36" s="79" cm="1">
        <f t="array" ref="D36">IFERROR(MEDIAN(IF((Table1[Target Industry Sector]=$B36)*(Table1[Consideration]=D$29)*(Table1[Days to Complete]&lt;&gt;""),Table1[Days to Complete])),"–")</f>
        <v>175</v>
      </c>
      <c r="E36" s="79" t="str" cm="1">
        <f t="array" ref="E36">IFERROR(MEDIAN(IF((Table1[Target Industry Sector]=$B36)*(Table1[Consideration]=E$29)*(Table1[Days to Complete]&lt;&gt;""),Table1[Days to Complete])),"–")</f>
        <v>–</v>
      </c>
      <c r="F36" s="79" cm="1">
        <f t="array" ref="F36">IFERROR(MEDIAN(IF((Table1[Target Industry Sector]=$B36)*(Table1[Days to Complete]&lt;&gt;""),Table1[Days to Complete])),"–")</f>
        <v>92</v>
      </c>
      <c r="G36" s="75">
        <f>COUNTIFS(Table1[Days to Complete],"&gt;=0",Table1[Target Industry Sector],$B36)</f>
        <v>6</v>
      </c>
      <c r="H36" s="67"/>
      <c r="I36" s="67"/>
      <c r="J36" s="67"/>
      <c r="K36" s="67"/>
      <c r="L36" s="67"/>
      <c r="M36" s="67"/>
      <c r="N36" s="67"/>
      <c r="O36" s="67"/>
      <c r="P36" s="67"/>
    </row>
    <row r="37" spans="1:16" x14ac:dyDescent="0.25">
      <c r="A37" s="67"/>
      <c r="B37" s="73" t="str">
        <f t="shared" si="3"/>
        <v>Consumer Discretionary</v>
      </c>
      <c r="C37" s="79" cm="1">
        <f t="array" ref="C37">IFERROR(MEDIAN(IF((Table1[Target Industry Sector]=$B37)*(Table1[Consideration]=C$29)*(Table1[Days to Complete]&lt;&gt;""),Table1[Days to Complete])),"–")</f>
        <v>92</v>
      </c>
      <c r="D37" s="79" cm="1">
        <f t="array" ref="D37">IFERROR(MEDIAN(IF((Table1[Target Industry Sector]=$B37)*(Table1[Consideration]=D$29)*(Table1[Days to Complete]&lt;&gt;""),Table1[Days to Complete])),"–")</f>
        <v>129</v>
      </c>
      <c r="E37" s="79" cm="1">
        <f t="array" ref="E37">IFERROR(MEDIAN(IF((Table1[Target Industry Sector]=$B37)*(Table1[Consideration]=E$29)*(Table1[Days to Complete]&lt;&gt;""),Table1[Days to Complete])),"–")</f>
        <v>45</v>
      </c>
      <c r="F37" s="79" cm="1">
        <f t="array" ref="F37">IFERROR(MEDIAN(IF((Table1[Target Industry Sector]=$B37)*(Table1[Days to Complete]&lt;&gt;""),Table1[Days to Complete])),"–")</f>
        <v>110</v>
      </c>
      <c r="G37" s="75">
        <f>COUNTIFS(Table1[Days to Complete],"&gt;=0",Table1[Target Industry Sector],$B37)</f>
        <v>19</v>
      </c>
      <c r="H37" s="67"/>
      <c r="I37" s="67"/>
      <c r="J37" s="67"/>
      <c r="K37" s="67"/>
      <c r="L37" s="67"/>
      <c r="M37" s="67"/>
      <c r="N37" s="67"/>
      <c r="O37" s="67"/>
      <c r="P37" s="67"/>
    </row>
    <row r="38" spans="1:16" x14ac:dyDescent="0.25">
      <c r="A38" s="67"/>
      <c r="B38" s="73" t="str">
        <f t="shared" si="3"/>
        <v>Materials</v>
      </c>
      <c r="C38" s="79" cm="1">
        <f t="array" ref="C38">IFERROR(MEDIAN(IF((Table1[Target Industry Sector]=$B38)*(Table1[Consideration]=C$29)*(Table1[Days to Complete]&lt;&gt;""),Table1[Days to Complete])),"–")</f>
        <v>143</v>
      </c>
      <c r="D38" s="79" cm="1">
        <f t="array" ref="D38">IFERROR(MEDIAN(IF((Table1[Target Industry Sector]=$B38)*(Table1[Consideration]=D$29)*(Table1[Days to Complete]&lt;&gt;""),Table1[Days to Complete])),"–")</f>
        <v>114</v>
      </c>
      <c r="E38" s="79" t="str" cm="1">
        <f t="array" ref="E38">IFERROR(MEDIAN(IF((Table1[Target Industry Sector]=$B38)*(Table1[Consideration]=E$29)*(Table1[Days to Complete]&lt;&gt;""),Table1[Days to Complete])),"–")</f>
        <v>–</v>
      </c>
      <c r="F38" s="79" cm="1">
        <f t="array" ref="F38">IFERROR(MEDIAN(IF((Table1[Target Industry Sector]=$B38)*(Table1[Days to Complete]&lt;&gt;""),Table1[Days to Complete])),"–")</f>
        <v>116</v>
      </c>
      <c r="G38" s="75">
        <f>COUNTIFS(Table1[Days to Complete],"&gt;=0",Table1[Target Industry Sector],$B38)</f>
        <v>9</v>
      </c>
      <c r="H38" s="67"/>
      <c r="I38" s="67"/>
      <c r="J38" s="67"/>
      <c r="K38" s="67"/>
      <c r="L38" s="67"/>
      <c r="M38" s="67"/>
      <c r="N38" s="67"/>
      <c r="O38" s="67"/>
      <c r="P38" s="67"/>
    </row>
    <row r="39" spans="1:16" x14ac:dyDescent="0.25">
      <c r="A39" s="67"/>
      <c r="B39" s="73" t="str">
        <f t="shared" si="3"/>
        <v>Financials</v>
      </c>
      <c r="C39" s="79" cm="1">
        <f t="array" ref="C39">IFERROR(MEDIAN(IF((Table1[Target Industry Sector]=$B39)*(Table1[Consideration]=C$29)*(Table1[Days to Complete]&lt;&gt;""),Table1[Days to Complete])),"–")</f>
        <v>166</v>
      </c>
      <c r="D39" s="79" cm="1">
        <f t="array" ref="D39">IFERROR(MEDIAN(IF((Table1[Target Industry Sector]=$B39)*(Table1[Consideration]=D$29)*(Table1[Days to Complete]&lt;&gt;""),Table1[Days to Complete])),"–")</f>
        <v>155</v>
      </c>
      <c r="E39" s="79" t="str" cm="1">
        <f t="array" ref="E39">IFERROR(MEDIAN(IF((Table1[Target Industry Sector]=$B39)*(Table1[Consideration]=E$29)*(Table1[Days to Complete]&lt;&gt;""),Table1[Days to Complete])),"–")</f>
        <v>–</v>
      </c>
      <c r="F39" s="79" cm="1">
        <f t="array" ref="F39">IFERROR(MEDIAN(IF((Table1[Target Industry Sector]=$B39)*(Table1[Days to Complete]&lt;&gt;""),Table1[Days to Complete])),"–")</f>
        <v>155</v>
      </c>
      <c r="G39" s="75">
        <f>COUNTIFS(Table1[Days to Complete],"&gt;=0",Table1[Target Industry Sector],$B39)</f>
        <v>20</v>
      </c>
      <c r="H39" s="67"/>
      <c r="I39" s="67"/>
      <c r="J39" s="67"/>
      <c r="K39" s="67"/>
      <c r="L39" s="67"/>
      <c r="M39" s="67"/>
      <c r="N39" s="67"/>
      <c r="O39" s="67"/>
      <c r="P39" s="67"/>
    </row>
    <row r="40" spans="1:16" x14ac:dyDescent="0.25">
      <c r="A40" s="67"/>
      <c r="B40" s="73" t="str">
        <f t="shared" si="3"/>
        <v>Communications</v>
      </c>
      <c r="C40" s="79" cm="1">
        <f t="array" ref="C40">IFERROR(MEDIAN(IF((Table1[Target Industry Sector]=$B40)*(Table1[Consideration]=C$29)*(Table1[Days to Complete]&lt;&gt;""),Table1[Days to Complete])),"–")</f>
        <v>177.5</v>
      </c>
      <c r="D40" s="79" t="str" cm="1">
        <f t="array" ref="D40">IFERROR(MEDIAN(IF((Table1[Target Industry Sector]=$B40)*(Table1[Consideration]=D$29)*(Table1[Days to Complete]&lt;&gt;""),Table1[Days to Complete])),"–")</f>
        <v>–</v>
      </c>
      <c r="E40" s="79" t="str" cm="1">
        <f t="array" ref="E40">IFERROR(MEDIAN(IF((Table1[Target Industry Sector]=$B40)*(Table1[Consideration]=E$29)*(Table1[Days to Complete]&lt;&gt;""),Table1[Days to Complete])),"–")</f>
        <v>–</v>
      </c>
      <c r="F40" s="79" cm="1">
        <f t="array" ref="F40">IFERROR(MEDIAN(IF((Table1[Target Industry Sector]=$B40)*(Table1[Days to Complete]&lt;&gt;""),Table1[Days to Complete])),"–")</f>
        <v>177.5</v>
      </c>
      <c r="G40" s="75">
        <f>COUNTIFS(Table1[Days to Complete],"&gt;=0",Table1[Target Industry Sector],$B40)</f>
        <v>2</v>
      </c>
      <c r="H40" s="67"/>
      <c r="I40" s="67"/>
      <c r="J40" s="67"/>
      <c r="K40" s="67"/>
      <c r="L40" s="67"/>
      <c r="M40" s="67"/>
      <c r="N40" s="67"/>
      <c r="O40" s="67"/>
      <c r="P40" s="67"/>
    </row>
    <row r="41" spans="1:16" ht="15.75" thickBot="1" x14ac:dyDescent="0.3">
      <c r="A41" s="67"/>
      <c r="B41" s="76" t="s">
        <v>1003</v>
      </c>
      <c r="C41" s="80" cm="1">
        <f t="array" ref="C41">IFERROR(MEDIAN(IF((Table1[Consideration]=C$29)*(Table1[Days to Complete]&lt;&gt;""),Table1[Days to Complete])),"–")</f>
        <v>95</v>
      </c>
      <c r="D41" s="80" cm="1">
        <f t="array" ref="D41">IFERROR(MEDIAN(IF((Table1[Consideration]=D$29)*(Table1[Days to Complete]&lt;&gt;""),Table1[Days to Complete])),"–")</f>
        <v>116</v>
      </c>
      <c r="E41" s="80" cm="1">
        <f t="array" ref="E41">IFERROR(MEDIAN(IF((Table1[Consideration]=E$29)*(Table1[Days to Complete]&lt;&gt;""),Table1[Days to Complete])),"–")</f>
        <v>46.5</v>
      </c>
      <c r="F41" s="80">
        <f>MEDIAN(Table1[Days to Complete])</f>
        <v>96</v>
      </c>
      <c r="G41" s="78">
        <f>COUNT(Table1[Days to Complete])</f>
        <v>153</v>
      </c>
      <c r="H41" s="67"/>
      <c r="I41" s="67"/>
      <c r="J41" s="67"/>
      <c r="K41" s="67"/>
      <c r="L41" s="67"/>
      <c r="M41" s="67"/>
      <c r="N41" s="67"/>
      <c r="O41" s="67"/>
      <c r="P41" s="67"/>
    </row>
    <row r="43" spans="1:16" x14ac:dyDescent="0.25">
      <c r="B43" s="94" t="s">
        <v>1287</v>
      </c>
    </row>
  </sheetData>
  <mergeCells count="13">
    <mergeCell ref="B28:G28"/>
    <mergeCell ref="B4:C4"/>
    <mergeCell ref="B5:C5"/>
    <mergeCell ref="D4:E4"/>
    <mergeCell ref="D5:E5"/>
    <mergeCell ref="F4:G4"/>
    <mergeCell ref="F5:G5"/>
    <mergeCell ref="B22:D22"/>
    <mergeCell ref="B1:I1"/>
    <mergeCell ref="B2:I2"/>
    <mergeCell ref="H4:I4"/>
    <mergeCell ref="H5:I5"/>
    <mergeCell ref="B7:G7"/>
  </mergeCells>
  <conditionalFormatting sqref="C9:F19">
    <cfRule type="colorScale" priority="1">
      <colorScale>
        <cfvo type="min"/>
        <cfvo type="percentile" val="50"/>
        <cfvo type="max"/>
        <color rgb="FFF4F8FB"/>
        <color rgb="FFA9C4DE"/>
        <color rgb="FF3E6E9C"/>
      </colorScale>
    </cfRule>
  </conditionalFormatting>
  <conditionalFormatting sqref="C30:F40">
    <cfRule type="colorScale" priority="2">
      <colorScale>
        <cfvo type="min"/>
        <cfvo type="percentile" val="50"/>
        <cfvo type="max"/>
        <color rgb="FFF4F8FB"/>
        <color rgb="FFA9C4DE"/>
        <color rgb="FF3E6E9C"/>
      </colorScale>
    </cfRule>
  </conditionalFormatting>
  <conditionalFormatting sqref="G9:G19">
    <cfRule type="dataBar" priority="3">
      <dataBar>
        <cfvo type="min"/>
        <cfvo type="max"/>
        <color rgb="FFD6E2EF"/>
      </dataBar>
      <extLst>
        <ext xmlns:x14="http://schemas.microsoft.com/office/spreadsheetml/2009/9/main" uri="{B025F937-C7B1-47D3-B67F-A62EFF666E3E}">
          <x14:id>{08D72734-4079-4B06-805F-D7193D2BD916}</x14:id>
        </ext>
      </extLst>
    </cfRule>
  </conditionalFormatting>
  <conditionalFormatting sqref="G30:G40">
    <cfRule type="dataBar" priority="4">
      <dataBar>
        <cfvo type="min"/>
        <cfvo type="max"/>
        <color rgb="FFD6E2EF"/>
      </dataBar>
      <extLst>
        <ext xmlns:x14="http://schemas.microsoft.com/office/spreadsheetml/2009/9/main" uri="{B025F937-C7B1-47D3-B67F-A62EFF666E3E}">
          <x14:id>{92C360AD-EE48-4F7F-AF9D-1946145913F5}</x14:id>
        </ext>
      </extLst>
    </cfRule>
  </conditionalFormatting>
  <hyperlinks>
    <hyperlink ref="B43" r:id="rId1" location="disclaimer" tooltip="Churchill Capital disclaimer" xr:uid="{146E0215-FCD0-4B2A-BAD0-40D35ADF407F}"/>
  </hyperlinks>
  <pageMargins left="0.7" right="0.7" top="0.75" bottom="0.75" header="0.3" footer="0.3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D72734-4079-4B06-805F-D7193D2BD916}">
            <x14:dataBar minLength="0" maxLength="100" border="1" gradient="0" direction="leftToRight" negativeBarColorSameAsPositive="1" axisPosition="none">
              <x14:cfvo type="min"/>
              <x14:cfvo type="max"/>
              <x14:borderColor rgb="FFBBD0E6"/>
            </x14:dataBar>
          </x14:cfRule>
          <xm:sqref>G9:G19</xm:sqref>
        </x14:conditionalFormatting>
        <x14:conditionalFormatting xmlns:xm="http://schemas.microsoft.com/office/excel/2006/main">
          <x14:cfRule type="dataBar" id="{92C360AD-EE48-4F7F-AF9D-1946145913F5}">
            <x14:dataBar minLength="0" maxLength="100" border="1" gradient="0" direction="leftToRight" negativeBarColorSameAsPositive="1" axisPosition="none">
              <x14:cfvo type="min"/>
              <x14:cfvo type="max"/>
              <x14:borderColor rgb="FFBBD0E6"/>
            </x14:dataBar>
          </x14:cfRule>
          <xm:sqref>G30:G40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DC83-11F5-4D3D-820B-8A7A483C0BFA}">
  <dimension ref="A1:H85"/>
  <sheetViews>
    <sheetView showGridLines="0" workbookViewId="0">
      <selection sqref="A1:O1"/>
    </sheetView>
  </sheetViews>
  <sheetFormatPr defaultRowHeight="15" x14ac:dyDescent="0.25"/>
  <cols>
    <col min="1" max="1" width="6.42578125" customWidth="1"/>
    <col min="2" max="2" width="18.140625" customWidth="1"/>
    <col min="3" max="4" width="17.140625" customWidth="1"/>
    <col min="5" max="5" width="18.140625" customWidth="1"/>
    <col min="6" max="7" width="43.85546875" customWidth="1"/>
  </cols>
  <sheetData>
    <row r="1" spans="1:8" ht="33.950000000000003" customHeight="1" x14ac:dyDescent="0.35">
      <c r="A1" s="151" t="s">
        <v>1206</v>
      </c>
      <c r="B1" s="152"/>
      <c r="C1" s="152"/>
      <c r="D1" s="152"/>
      <c r="E1" s="152"/>
      <c r="F1" s="152"/>
      <c r="G1" s="152"/>
    </row>
    <row r="2" spans="1:8" ht="27.95" customHeight="1" x14ac:dyDescent="0.25">
      <c r="A2" s="153" t="s">
        <v>1281</v>
      </c>
      <c r="B2" s="154"/>
      <c r="C2" s="154"/>
      <c r="D2" s="154"/>
      <c r="E2" s="154"/>
      <c r="F2" s="154"/>
      <c r="G2" s="154"/>
    </row>
    <row r="4" spans="1:8" ht="17.25" x14ac:dyDescent="0.3">
      <c r="A4" s="155" t="s">
        <v>23</v>
      </c>
      <c r="B4" s="155"/>
      <c r="C4" s="155"/>
      <c r="D4" s="155"/>
      <c r="E4" s="155"/>
      <c r="F4" s="155"/>
      <c r="G4" s="155"/>
    </row>
    <row r="5" spans="1:8" x14ac:dyDescent="0.25">
      <c r="A5" s="156" t="s">
        <v>1203</v>
      </c>
      <c r="B5" s="156"/>
      <c r="C5" s="156"/>
      <c r="D5" s="156"/>
      <c r="E5" s="156"/>
      <c r="F5" s="156"/>
      <c r="G5" s="156"/>
    </row>
    <row r="6" spans="1:8" ht="21.95" customHeight="1" thickBot="1" x14ac:dyDescent="0.3">
      <c r="A6" s="11" t="s">
        <v>1204</v>
      </c>
      <c r="B6" s="11" t="s">
        <v>917</v>
      </c>
      <c r="C6" s="11" t="s">
        <v>3</v>
      </c>
      <c r="D6" s="11" t="s">
        <v>1</v>
      </c>
      <c r="E6" s="11" t="s">
        <v>2</v>
      </c>
      <c r="F6" s="11" t="s">
        <v>6</v>
      </c>
      <c r="G6" s="11" t="s">
        <v>7</v>
      </c>
    </row>
    <row r="7" spans="1:8" x14ac:dyDescent="0.25">
      <c r="A7" s="32">
        <v>1</v>
      </c>
      <c r="B7" s="25" cm="1">
        <f t="array" ref="B7:G16">_xlfn.TAKE(_xlfn._xlws.SORT(_xlfn._xlws.FILTER(_xlfn.HSTACK(Table1[Days to Complete],Table1[Announce Date],Table1[Target Ticker],Table1[Acquirer Ticker],Table1[Target Name],Table1[Acquirer Name]),(Table1[Consideration]=$A$4)*(Table1[Tender (Y/N)]&lt;&gt;"Y")*ISNUMBER(Table1[Days to Complete])),1,-1),10)</f>
        <v>329</v>
      </c>
      <c r="C7" s="26">
        <v>45824</v>
      </c>
      <c r="D7" s="24" t="str">
        <v>CTLP US</v>
      </c>
      <c r="E7" s="95" t="str">
        <v>0943566D US</v>
      </c>
      <c r="F7" s="27" t="str">
        <v>Cantaloupe Inc</v>
      </c>
      <c r="G7" s="36" t="str">
        <v>365 Retail Markets LLC</v>
      </c>
      <c r="H7" t="str">
        <f>""</f>
        <v/>
      </c>
    </row>
    <row r="8" spans="1:8" x14ac:dyDescent="0.25">
      <c r="A8" s="33">
        <v>2</v>
      </c>
      <c r="B8" s="21">
        <v>218</v>
      </c>
      <c r="C8" s="22">
        <v>45902</v>
      </c>
      <c r="D8" s="20" t="str">
        <v>AL US</v>
      </c>
      <c r="E8" s="96">
        <v>0</v>
      </c>
      <c r="F8" s="23" t="str">
        <v>Air Lease Corp</v>
      </c>
      <c r="G8" s="37" t="str">
        <v>Sumitomo Corp,Sumitomo Mitsui Finance &amp; Leasing Co Ltd,Brookfield Corp,Apollo Global Management Inc</v>
      </c>
      <c r="H8" t="str">
        <f>""</f>
        <v/>
      </c>
    </row>
    <row r="9" spans="1:8" x14ac:dyDescent="0.25">
      <c r="A9" s="34">
        <v>3</v>
      </c>
      <c r="B9" s="17">
        <v>213</v>
      </c>
      <c r="C9" s="18">
        <v>45888</v>
      </c>
      <c r="D9" s="16" t="str">
        <v>TGNA US</v>
      </c>
      <c r="E9" s="97" t="str">
        <v>NXST US</v>
      </c>
      <c r="F9" s="19" t="str">
        <v>TEGNA Inc</v>
      </c>
      <c r="G9" s="38" t="str">
        <v>Nexstar Media Group Inc</v>
      </c>
      <c r="H9" t="str">
        <f>""</f>
        <v/>
      </c>
    </row>
    <row r="10" spans="1:8" x14ac:dyDescent="0.25">
      <c r="A10" s="33">
        <v>4</v>
      </c>
      <c r="B10" s="21">
        <v>209</v>
      </c>
      <c r="C10" s="22">
        <v>45897</v>
      </c>
      <c r="D10" s="20" t="str">
        <v>GCG/A CN</v>
      </c>
      <c r="E10" s="96" t="str">
        <v>1407Z CN</v>
      </c>
      <c r="F10" s="23" t="str">
        <v>Guardian Capital Group Ltd</v>
      </c>
      <c r="G10" s="37" t="str">
        <v>Mouvement des caisses Desjardins</v>
      </c>
      <c r="H10" t="str">
        <f>""</f>
        <v/>
      </c>
    </row>
    <row r="11" spans="1:8" x14ac:dyDescent="0.25">
      <c r="A11" s="34">
        <v>5</v>
      </c>
      <c r="B11" s="17">
        <v>198</v>
      </c>
      <c r="C11" s="18">
        <v>45959</v>
      </c>
      <c r="D11" s="16" t="str">
        <v>CSGS US</v>
      </c>
      <c r="E11" s="97" t="str">
        <v>6701 JP</v>
      </c>
      <c r="F11" s="19" t="str">
        <v>CSG Systems International Inc</v>
      </c>
      <c r="G11" s="38" t="str">
        <v>NEC Corp</v>
      </c>
      <c r="H11" t="str">
        <f>""</f>
        <v/>
      </c>
    </row>
    <row r="12" spans="1:8" x14ac:dyDescent="0.25">
      <c r="A12" s="33">
        <v>6</v>
      </c>
      <c r="B12" s="21">
        <v>195</v>
      </c>
      <c r="C12" s="22">
        <v>45771</v>
      </c>
      <c r="D12" s="20" t="str">
        <v>AND CN</v>
      </c>
      <c r="E12" s="96" t="str">
        <v>UPS US</v>
      </c>
      <c r="F12" s="23" t="str">
        <v>Andlauer Healthcare Group Inc</v>
      </c>
      <c r="G12" s="37" t="str">
        <v>United Parcel Service Inc</v>
      </c>
      <c r="H12" t="str">
        <f>""</f>
        <v/>
      </c>
    </row>
    <row r="13" spans="1:8" x14ac:dyDescent="0.25">
      <c r="A13" s="34">
        <v>7</v>
      </c>
      <c r="B13" s="17">
        <v>181</v>
      </c>
      <c r="C13" s="18">
        <v>45896</v>
      </c>
      <c r="D13" s="16" t="str">
        <v>AHL US</v>
      </c>
      <c r="E13" s="97" t="str">
        <v>8630 JP</v>
      </c>
      <c r="F13" s="19" t="str">
        <v>Aspen Insurance Holdings Ltd</v>
      </c>
      <c r="G13" s="38" t="str">
        <v>Sompo Holdings Inc</v>
      </c>
      <c r="H13" t="str">
        <f>""</f>
        <v/>
      </c>
    </row>
    <row r="14" spans="1:8" x14ac:dyDescent="0.25">
      <c r="A14" s="33">
        <v>8</v>
      </c>
      <c r="B14" s="21">
        <v>175</v>
      </c>
      <c r="C14" s="22">
        <v>45723</v>
      </c>
      <c r="D14" s="20" t="str">
        <v>WBA US</v>
      </c>
      <c r="E14" s="96" t="str">
        <v>9875574Z US</v>
      </c>
      <c r="F14" s="23" t="str">
        <v>Walgreens Boots Alliance Inc</v>
      </c>
      <c r="G14" s="37" t="str">
        <v>Sycamore Partners LLC</v>
      </c>
      <c r="H14" t="str">
        <f>""</f>
        <v/>
      </c>
    </row>
    <row r="15" spans="1:8" x14ac:dyDescent="0.25">
      <c r="A15" s="34">
        <v>9</v>
      </c>
      <c r="B15" s="17">
        <v>175</v>
      </c>
      <c r="C15" s="18">
        <v>45804</v>
      </c>
      <c r="D15" s="16" t="str">
        <v>INFA US</v>
      </c>
      <c r="E15" s="97" t="str">
        <v>CRM US</v>
      </c>
      <c r="F15" s="19" t="str">
        <v>Informatica Inc</v>
      </c>
      <c r="G15" s="38" t="str">
        <v>Salesforce Inc</v>
      </c>
      <c r="H15" t="str">
        <f>""</f>
        <v/>
      </c>
    </row>
    <row r="16" spans="1:8" ht="15.75" thickBot="1" x14ac:dyDescent="0.3">
      <c r="A16" s="35">
        <v>10</v>
      </c>
      <c r="B16" s="29">
        <v>172</v>
      </c>
      <c r="C16" s="30">
        <v>45691</v>
      </c>
      <c r="D16" s="28" t="str">
        <v>TGI US</v>
      </c>
      <c r="E16" s="98">
        <v>0</v>
      </c>
      <c r="F16" s="31" t="str">
        <v>Triumph Group Inc</v>
      </c>
      <c r="G16" s="39" t="str">
        <v>Warburg Pincus LLC (Fund: Warburg Pincus Global Growth II),Berkshire Partners LLC (Fund: Berkshire Fund XI LP)</v>
      </c>
      <c r="H16" t="str">
        <f>""</f>
        <v/>
      </c>
    </row>
    <row r="17" spans="1:8" x14ac:dyDescent="0.25">
      <c r="B17" s="12"/>
      <c r="C17" s="14"/>
      <c r="E17" s="100"/>
      <c r="H17" t="str">
        <f>""</f>
        <v/>
      </c>
    </row>
    <row r="18" spans="1:8" x14ac:dyDescent="0.25">
      <c r="A18" s="156" t="s">
        <v>1205</v>
      </c>
      <c r="B18" s="157"/>
      <c r="C18" s="158"/>
      <c r="D18" s="156"/>
      <c r="E18" s="159"/>
      <c r="F18" s="156"/>
      <c r="G18" s="156"/>
      <c r="H18" t="str">
        <f>""</f>
        <v/>
      </c>
    </row>
    <row r="19" spans="1:8" ht="21.95" customHeight="1" thickBot="1" x14ac:dyDescent="0.3">
      <c r="A19" s="11" t="s">
        <v>1204</v>
      </c>
      <c r="B19" s="13" t="s">
        <v>917</v>
      </c>
      <c r="C19" s="15" t="s">
        <v>3</v>
      </c>
      <c r="D19" s="11" t="s">
        <v>1</v>
      </c>
      <c r="E19" s="99" t="s">
        <v>2</v>
      </c>
      <c r="F19" s="11" t="s">
        <v>6</v>
      </c>
      <c r="G19" s="11" t="s">
        <v>7</v>
      </c>
      <c r="H19" t="str">
        <f>""</f>
        <v/>
      </c>
    </row>
    <row r="20" spans="1:8" x14ac:dyDescent="0.25">
      <c r="A20" s="32">
        <v>1</v>
      </c>
      <c r="B20" s="25" cm="1">
        <f t="array" ref="B20:G29">_xlfn.TAKE(_xlfn._xlws.SORT(_xlfn._xlws.FILTER(_xlfn.HSTACK(Table1[Days to Complete],Table1[Announce Date],Table1[Target Ticker],Table1[Acquirer Ticker],Table1[Target Name],Table1[Acquirer Name]),(Table1[Consideration]=$A$4)*(Table1[Tender (Y/N)]&lt;&gt;"Y")*ISNUMBER(Table1[Days to Complete])),1,1),10)</f>
        <v>55</v>
      </c>
      <c r="C20" s="26">
        <v>45958</v>
      </c>
      <c r="D20" s="24" t="str">
        <v>KEC CN</v>
      </c>
      <c r="E20" s="95" t="str">
        <v>2305707D CN</v>
      </c>
      <c r="F20" s="27" t="str">
        <v>Kiwetinohk Energy Corp</v>
      </c>
      <c r="G20" s="36" t="str">
        <v>Cygnet Energy Ltd</v>
      </c>
      <c r="H20" t="str">
        <f>""</f>
        <v/>
      </c>
    </row>
    <row r="21" spans="1:8" x14ac:dyDescent="0.25">
      <c r="A21" s="33">
        <v>2</v>
      </c>
      <c r="B21" s="21">
        <v>57</v>
      </c>
      <c r="C21" s="22">
        <v>46029</v>
      </c>
      <c r="D21" s="20" t="str">
        <v>VTYX US</v>
      </c>
      <c r="E21" s="96" t="str">
        <v>LLY US</v>
      </c>
      <c r="F21" s="23" t="str">
        <v>Ventyx Biosciences Inc</v>
      </c>
      <c r="G21" s="37" t="str">
        <v>Eli Lilly &amp; Co</v>
      </c>
      <c r="H21" t="str">
        <f>""</f>
        <v/>
      </c>
    </row>
    <row r="22" spans="1:8" x14ac:dyDescent="0.25">
      <c r="A22" s="34">
        <v>3</v>
      </c>
      <c r="B22" s="17">
        <v>62</v>
      </c>
      <c r="C22" s="18">
        <v>45939</v>
      </c>
      <c r="D22" s="16" t="str">
        <v>AKRO US</v>
      </c>
      <c r="E22" s="97" t="str">
        <v>NOVOB DC</v>
      </c>
      <c r="F22" s="19" t="str">
        <v>Akero Therapeutics Inc</v>
      </c>
      <c r="G22" s="38" t="str">
        <v>Novo Nordisk A/S</v>
      </c>
      <c r="H22" t="str">
        <f>""</f>
        <v/>
      </c>
    </row>
    <row r="23" spans="1:8" x14ac:dyDescent="0.25">
      <c r="A23" s="33">
        <v>4</v>
      </c>
      <c r="B23" s="21">
        <v>65</v>
      </c>
      <c r="C23" s="22">
        <v>45775</v>
      </c>
      <c r="D23" s="20" t="str">
        <v>SWTX US</v>
      </c>
      <c r="E23" s="96" t="str">
        <v>MRK GR</v>
      </c>
      <c r="F23" s="23" t="str">
        <v>SpringWorks Therapeutics Inc</v>
      </c>
      <c r="G23" s="37" t="str">
        <v>Merck KGaA</v>
      </c>
      <c r="H23" t="str">
        <f>""</f>
        <v/>
      </c>
    </row>
    <row r="24" spans="1:8" x14ac:dyDescent="0.25">
      <c r="A24" s="34">
        <v>5</v>
      </c>
      <c r="B24" s="17">
        <v>65</v>
      </c>
      <c r="C24" s="18">
        <v>45922</v>
      </c>
      <c r="D24" s="16" t="str">
        <v>PINC US</v>
      </c>
      <c r="E24" s="97" t="str">
        <v>1822748D US</v>
      </c>
      <c r="F24" s="19" t="str">
        <v>Premier Inc</v>
      </c>
      <c r="G24" s="38" t="str">
        <v>Patient Square Capital LP</v>
      </c>
      <c r="H24" t="str">
        <f>""</f>
        <v/>
      </c>
    </row>
    <row r="25" spans="1:8" x14ac:dyDescent="0.25">
      <c r="A25" s="33">
        <v>6</v>
      </c>
      <c r="B25" s="21">
        <v>66</v>
      </c>
      <c r="C25" s="22">
        <v>45936</v>
      </c>
      <c r="D25" s="20" t="str">
        <v>HSII US</v>
      </c>
      <c r="E25" s="96">
        <v>0</v>
      </c>
      <c r="F25" s="23" t="str">
        <v>Heidrick &amp; Struggles International Inc</v>
      </c>
      <c r="G25" s="37" t="str">
        <v>Salem Capital Management Inc,Mousse Partners Ltd,Corvex Management LP,Barcliff LLC,TF CORNERSTONE INC,Highsage Ventures LLC,Advent International Corp (Fund: Advent International GPE XI)</v>
      </c>
      <c r="H25" t="str">
        <f>""</f>
        <v/>
      </c>
    </row>
    <row r="26" spans="1:8" x14ac:dyDescent="0.25">
      <c r="A26" s="34">
        <v>7</v>
      </c>
      <c r="B26" s="17">
        <v>68</v>
      </c>
      <c r="C26" s="18">
        <v>45695</v>
      </c>
      <c r="D26" s="16" t="str">
        <v>SWI US</v>
      </c>
      <c r="E26" s="97" t="str">
        <v>0212567D US</v>
      </c>
      <c r="F26" s="19" t="str">
        <v>SolarWinds Corp</v>
      </c>
      <c r="G26" s="38" t="str">
        <v>Turn/River Capital</v>
      </c>
      <c r="H26" t="str">
        <f>""</f>
        <v/>
      </c>
    </row>
    <row r="27" spans="1:8" x14ac:dyDescent="0.25">
      <c r="A27" s="33">
        <v>8</v>
      </c>
      <c r="B27" s="21">
        <v>69</v>
      </c>
      <c r="C27" s="22">
        <v>45694</v>
      </c>
      <c r="D27" s="20" t="str">
        <v>AMPS US</v>
      </c>
      <c r="E27" s="96" t="str">
        <v>3561950Z US</v>
      </c>
      <c r="F27" s="23" t="str">
        <v>Altus Power Inc</v>
      </c>
      <c r="G27" s="37" t="str">
        <v>TPG Growth LLC</v>
      </c>
      <c r="H27" t="str">
        <f>""</f>
        <v/>
      </c>
    </row>
    <row r="28" spans="1:8" x14ac:dyDescent="0.25">
      <c r="A28" s="34">
        <v>9</v>
      </c>
      <c r="B28" s="17">
        <v>71</v>
      </c>
      <c r="C28" s="18">
        <v>45802</v>
      </c>
      <c r="D28" s="16" t="str">
        <v>ETWO US</v>
      </c>
      <c r="E28" s="97" t="str">
        <v>WTC AU</v>
      </c>
      <c r="F28" s="19" t="str">
        <v>E2open Parent Holdings Inc</v>
      </c>
      <c r="G28" s="38" t="str">
        <v>WiseTech Global Ltd</v>
      </c>
      <c r="H28" t="str">
        <f>""</f>
        <v/>
      </c>
    </row>
    <row r="29" spans="1:8" ht="15.75" thickBot="1" x14ac:dyDescent="0.3">
      <c r="A29" s="35">
        <v>10</v>
      </c>
      <c r="B29" s="29">
        <v>71</v>
      </c>
      <c r="C29" s="30">
        <v>45841</v>
      </c>
      <c r="D29" s="28" t="str">
        <v>OLO US</v>
      </c>
      <c r="E29" s="98" t="str">
        <v>129626Z US</v>
      </c>
      <c r="F29" s="31" t="str">
        <v>Olo Inc</v>
      </c>
      <c r="G29" s="39" t="str">
        <v>Thoma Bravo LLC</v>
      </c>
      <c r="H29" t="str">
        <f>""</f>
        <v/>
      </c>
    </row>
    <row r="30" spans="1:8" x14ac:dyDescent="0.25">
      <c r="B30" s="12"/>
      <c r="C30" s="14"/>
      <c r="E30" s="100"/>
      <c r="H30" t="str">
        <f>""</f>
        <v/>
      </c>
    </row>
    <row r="31" spans="1:8" ht="17.25" x14ac:dyDescent="0.3">
      <c r="A31" s="147" t="s">
        <v>38</v>
      </c>
      <c r="B31" s="148"/>
      <c r="C31" s="149"/>
      <c r="D31" s="147"/>
      <c r="E31" s="150"/>
      <c r="F31" s="147"/>
      <c r="G31" s="147"/>
      <c r="H31" t="str">
        <f>""</f>
        <v/>
      </c>
    </row>
    <row r="32" spans="1:8" x14ac:dyDescent="0.25">
      <c r="A32" s="135" t="s">
        <v>1203</v>
      </c>
      <c r="B32" s="136"/>
      <c r="C32" s="137"/>
      <c r="D32" s="135"/>
      <c r="E32" s="138"/>
      <c r="F32" s="135"/>
      <c r="G32" s="135"/>
      <c r="H32" t="str">
        <f>""</f>
        <v/>
      </c>
    </row>
    <row r="33" spans="1:8" ht="21.95" customHeight="1" thickBot="1" x14ac:dyDescent="0.3">
      <c r="A33" s="11" t="s">
        <v>1204</v>
      </c>
      <c r="B33" s="13" t="s">
        <v>917</v>
      </c>
      <c r="C33" s="15" t="s">
        <v>3</v>
      </c>
      <c r="D33" s="11" t="s">
        <v>1</v>
      </c>
      <c r="E33" s="99" t="s">
        <v>2</v>
      </c>
      <c r="F33" s="11" t="s">
        <v>6</v>
      </c>
      <c r="G33" s="11" t="s">
        <v>7</v>
      </c>
      <c r="H33" t="str">
        <f>""</f>
        <v/>
      </c>
    </row>
    <row r="34" spans="1:8" x14ac:dyDescent="0.25">
      <c r="A34" s="32">
        <v>1</v>
      </c>
      <c r="B34" s="25" cm="1">
        <f t="array" ref="B34:G43">_xlfn.TAKE(_xlfn._xlws.SORT(_xlfn._xlws.FILTER(_xlfn.HSTACK(Table1[Days to Complete],Table1[Announce Date],Table1[Target Ticker],Table1[Acquirer Ticker],Table1[Target Name],Table1[Acquirer Name]),(Table1[Consideration]=$A$31)*(Table1[Tender (Y/N)]&lt;&gt;"Y")*ISNUMBER(Table1[Days to Complete])),1,-1),10)</f>
        <v>296</v>
      </c>
      <c r="C34" s="26">
        <v>45875</v>
      </c>
      <c r="D34" s="24" t="str">
        <v>AMWD US</v>
      </c>
      <c r="E34" s="95" t="str">
        <v>MBC US</v>
      </c>
      <c r="F34" s="27" t="str">
        <v>American Woodmark Corp</v>
      </c>
      <c r="G34" s="36" t="str">
        <v>Masterbrand Inc</v>
      </c>
      <c r="H34" t="str">
        <f>""</f>
        <v/>
      </c>
    </row>
    <row r="35" spans="1:8" x14ac:dyDescent="0.25">
      <c r="A35" s="33">
        <v>2</v>
      </c>
      <c r="B35" s="21">
        <v>197</v>
      </c>
      <c r="C35" s="22">
        <v>45868</v>
      </c>
      <c r="D35" s="20" t="str">
        <v>CYBR US</v>
      </c>
      <c r="E35" s="96" t="str">
        <v>PANW US</v>
      </c>
      <c r="F35" s="23" t="str">
        <v>CyberArk Software Ltd</v>
      </c>
      <c r="G35" s="37" t="str">
        <v>Palo Alto Networks Inc</v>
      </c>
      <c r="H35" t="str">
        <f>""</f>
        <v/>
      </c>
    </row>
    <row r="36" spans="1:8" x14ac:dyDescent="0.25">
      <c r="A36" s="34">
        <v>3</v>
      </c>
      <c r="B36" s="17">
        <v>196</v>
      </c>
      <c r="C36" s="18">
        <v>45936</v>
      </c>
      <c r="D36" s="16" t="str">
        <v>RBX CN</v>
      </c>
      <c r="E36" s="97" t="str">
        <v>PDI AU</v>
      </c>
      <c r="F36" s="19" t="str">
        <v>Robex Resources Inc</v>
      </c>
      <c r="G36" s="38" t="str">
        <v>Predictive Discovery Ltd</v>
      </c>
      <c r="H36" t="str">
        <f>""</f>
        <v/>
      </c>
    </row>
    <row r="37" spans="1:8" x14ac:dyDescent="0.25">
      <c r="A37" s="33">
        <v>4</v>
      </c>
      <c r="B37" s="21">
        <v>193</v>
      </c>
      <c r="C37" s="22">
        <v>45771</v>
      </c>
      <c r="D37" s="20" t="str">
        <v>HONE US</v>
      </c>
      <c r="E37" s="96" t="str">
        <v>EBC US</v>
      </c>
      <c r="F37" s="23" t="str">
        <v>HarborOne Bancorp Inc</v>
      </c>
      <c r="G37" s="37" t="str">
        <v>Eastern Bankshares Inc</v>
      </c>
      <c r="H37" t="str">
        <f>""</f>
        <v/>
      </c>
    </row>
    <row r="38" spans="1:8" x14ac:dyDescent="0.25">
      <c r="A38" s="34">
        <v>5</v>
      </c>
      <c r="B38" s="17">
        <v>190</v>
      </c>
      <c r="C38" s="18">
        <v>45712</v>
      </c>
      <c r="D38" s="16" t="str">
        <v>BRDG US</v>
      </c>
      <c r="E38" s="97" t="str">
        <v>APO US</v>
      </c>
      <c r="F38" s="19" t="str">
        <v>Bridge Investment Group Holdings Inc</v>
      </c>
      <c r="G38" s="38" t="str">
        <v>Apollo Global Management Inc</v>
      </c>
      <c r="H38" t="str">
        <f>""</f>
        <v/>
      </c>
    </row>
    <row r="39" spans="1:8" x14ac:dyDescent="0.25">
      <c r="A39" s="33">
        <v>6</v>
      </c>
      <c r="B39" s="21">
        <v>185</v>
      </c>
      <c r="C39" s="22">
        <v>45747</v>
      </c>
      <c r="D39" s="20" t="str">
        <v>COOP US</v>
      </c>
      <c r="E39" s="96" t="str">
        <v>RKT US</v>
      </c>
      <c r="F39" s="23" t="str">
        <v>Mr Cooper Group Inc</v>
      </c>
      <c r="G39" s="37" t="str">
        <v>Rocket Cos Inc</v>
      </c>
      <c r="H39" t="str">
        <f>""</f>
        <v/>
      </c>
    </row>
    <row r="40" spans="1:8" x14ac:dyDescent="0.25">
      <c r="A40" s="34">
        <v>7</v>
      </c>
      <c r="B40" s="17">
        <v>176</v>
      </c>
      <c r="C40" s="18">
        <v>45967</v>
      </c>
      <c r="D40" s="16" t="str">
        <v>GDEN US</v>
      </c>
      <c r="E40" s="97" t="str">
        <v>VICI US</v>
      </c>
      <c r="F40" s="19" t="str">
        <v>Golden Entertainment Inc</v>
      </c>
      <c r="G40" s="38" t="str">
        <v>VICI Properties Inc</v>
      </c>
      <c r="H40" t="str">
        <f>""</f>
        <v/>
      </c>
    </row>
    <row r="41" spans="1:8" x14ac:dyDescent="0.25">
      <c r="A41" s="33">
        <v>8</v>
      </c>
      <c r="B41" s="21">
        <v>175</v>
      </c>
      <c r="C41" s="22">
        <v>45665</v>
      </c>
      <c r="D41" s="20" t="str">
        <v>YERB/U CN</v>
      </c>
      <c r="E41" s="96" t="str">
        <v>BNKK US</v>
      </c>
      <c r="F41" s="23" t="str">
        <v>Yerbae Brands Corp</v>
      </c>
      <c r="G41" s="37" t="str">
        <v>Bonk Inc</v>
      </c>
      <c r="H41" t="str">
        <f>""</f>
        <v/>
      </c>
    </row>
    <row r="42" spans="1:8" x14ac:dyDescent="0.25">
      <c r="A42" s="34">
        <v>9</v>
      </c>
      <c r="B42" s="17">
        <v>162</v>
      </c>
      <c r="C42" s="18">
        <v>45862</v>
      </c>
      <c r="D42" s="16" t="str">
        <v>SNV US</v>
      </c>
      <c r="E42" s="97" t="str">
        <v>PNFP US</v>
      </c>
      <c r="F42" s="19" t="str">
        <v>Synovus Financial Corp</v>
      </c>
      <c r="G42" s="38" t="str">
        <v>Pinnacle Financial Partners In</v>
      </c>
      <c r="H42" t="str">
        <f>""</f>
        <v/>
      </c>
    </row>
    <row r="43" spans="1:8" ht="15.75" thickBot="1" x14ac:dyDescent="0.3">
      <c r="A43" s="35">
        <v>10</v>
      </c>
      <c r="B43" s="29">
        <v>156</v>
      </c>
      <c r="C43" s="30">
        <v>45957</v>
      </c>
      <c r="D43" s="28" t="str">
        <v>FFWM US</v>
      </c>
      <c r="E43" s="98" t="str">
        <v>FSUN US</v>
      </c>
      <c r="F43" s="31" t="str">
        <v>First Foundation Inc</v>
      </c>
      <c r="G43" s="39" t="str">
        <v>Firstsun Capital Bancorp</v>
      </c>
      <c r="H43" t="str">
        <f>""</f>
        <v/>
      </c>
    </row>
    <row r="44" spans="1:8" x14ac:dyDescent="0.25">
      <c r="B44" s="12"/>
      <c r="C44" s="14"/>
      <c r="E44" s="100"/>
      <c r="H44" t="str">
        <f>""</f>
        <v/>
      </c>
    </row>
    <row r="45" spans="1:8" x14ac:dyDescent="0.25">
      <c r="A45" s="135" t="s">
        <v>1205</v>
      </c>
      <c r="B45" s="136"/>
      <c r="C45" s="137"/>
      <c r="D45" s="135"/>
      <c r="E45" s="138"/>
      <c r="F45" s="135"/>
      <c r="G45" s="135"/>
      <c r="H45" t="str">
        <f>""</f>
        <v/>
      </c>
    </row>
    <row r="46" spans="1:8" ht="21.95" customHeight="1" thickBot="1" x14ac:dyDescent="0.3">
      <c r="A46" s="11" t="s">
        <v>1204</v>
      </c>
      <c r="B46" s="13" t="s">
        <v>917</v>
      </c>
      <c r="C46" s="15" t="s">
        <v>3</v>
      </c>
      <c r="D46" s="11" t="s">
        <v>1</v>
      </c>
      <c r="E46" s="99" t="s">
        <v>2</v>
      </c>
      <c r="F46" s="11" t="s">
        <v>6</v>
      </c>
      <c r="G46" s="11" t="s">
        <v>7</v>
      </c>
      <c r="H46" t="str">
        <f>""</f>
        <v/>
      </c>
    </row>
    <row r="47" spans="1:8" x14ac:dyDescent="0.25">
      <c r="A47" s="32">
        <v>1</v>
      </c>
      <c r="B47" s="25" cm="1">
        <f t="array" ref="B47:G56">_xlfn.TAKE(_xlfn._xlws.SORT(_xlfn._xlws.FILTER(_xlfn.HSTACK(Table1[Days to Complete],Table1[Announce Date],Table1[Target Ticker],Table1[Acquirer Ticker],Table1[Target Name],Table1[Acquirer Name]),(Table1[Consideration]=$A$31)*(Table1[Tender (Y/N)]&lt;&gt;"Y")*ISNUMBER(Table1[Days to Complete])),1,1),10)</f>
        <v>59</v>
      </c>
      <c r="C47" s="26">
        <v>46132</v>
      </c>
      <c r="D47" s="24" t="str">
        <v>RUP CN</v>
      </c>
      <c r="E47" s="95" t="str">
        <v>AEM CN</v>
      </c>
      <c r="F47" s="27" t="str">
        <v>Rupert Resources Ltd</v>
      </c>
      <c r="G47" s="36" t="str">
        <v>Agnico Eagle Mines Ltd</v>
      </c>
      <c r="H47" t="str">
        <f>""</f>
        <v/>
      </c>
    </row>
    <row r="48" spans="1:8" x14ac:dyDescent="0.25">
      <c r="A48" s="33">
        <v>2</v>
      </c>
      <c r="B48" s="21">
        <v>63</v>
      </c>
      <c r="C48" s="22">
        <v>45902</v>
      </c>
      <c r="D48" s="20" t="str">
        <v>TIXT CN</v>
      </c>
      <c r="E48" s="96" t="str">
        <v>T CN</v>
      </c>
      <c r="F48" s="23" t="str">
        <v>TELUS International CDA Inc</v>
      </c>
      <c r="G48" s="37" t="str">
        <v>TELUS Corp</v>
      </c>
      <c r="H48" t="str">
        <f>""</f>
        <v/>
      </c>
    </row>
    <row r="49" spans="1:8" x14ac:dyDescent="0.25">
      <c r="A49" s="34">
        <v>3</v>
      </c>
      <c r="B49" s="17">
        <v>65</v>
      </c>
      <c r="C49" s="18">
        <v>45726</v>
      </c>
      <c r="D49" s="16" t="str">
        <v>VRN CN</v>
      </c>
      <c r="E49" s="97" t="str">
        <v>WCP CN</v>
      </c>
      <c r="F49" s="19" t="str">
        <v>Veren Inc</v>
      </c>
      <c r="G49" s="38" t="str">
        <v>Whitecap Resources Inc</v>
      </c>
      <c r="H49" t="str">
        <f>""</f>
        <v/>
      </c>
    </row>
    <row r="50" spans="1:8" x14ac:dyDescent="0.25">
      <c r="A50" s="33">
        <v>4</v>
      </c>
      <c r="B50" s="21">
        <v>68</v>
      </c>
      <c r="C50" s="22">
        <v>46108</v>
      </c>
      <c r="D50" s="20" t="str">
        <v>RPR-U CN</v>
      </c>
      <c r="E50" s="96" t="str">
        <v>CKI CN</v>
      </c>
      <c r="F50" s="23" t="str">
        <v>Ravelin Properties REIT</v>
      </c>
      <c r="G50" s="37" t="str">
        <v>Clarke Inc</v>
      </c>
      <c r="H50" t="str">
        <f>""</f>
        <v/>
      </c>
    </row>
    <row r="51" spans="1:8" x14ac:dyDescent="0.25">
      <c r="A51" s="34">
        <v>5</v>
      </c>
      <c r="B51" s="17">
        <v>70</v>
      </c>
      <c r="C51" s="18">
        <v>45875</v>
      </c>
      <c r="D51" s="16" t="str">
        <v>ARIS US</v>
      </c>
      <c r="E51" s="97" t="str">
        <v>WES US</v>
      </c>
      <c r="F51" s="19" t="str">
        <v>Aris Water Solution Inc</v>
      </c>
      <c r="G51" s="38" t="str">
        <v>Western Midstream Partners LP</v>
      </c>
      <c r="H51" t="str">
        <f>""</f>
        <v/>
      </c>
    </row>
    <row r="52" spans="1:8" x14ac:dyDescent="0.25">
      <c r="A52" s="33">
        <v>6</v>
      </c>
      <c r="B52" s="21">
        <v>73</v>
      </c>
      <c r="C52" s="22">
        <v>46055</v>
      </c>
      <c r="D52" s="20" t="str">
        <v>FOM CN</v>
      </c>
      <c r="E52" s="96" t="str">
        <v>ELD CN</v>
      </c>
      <c r="F52" s="23" t="str">
        <v>Foran Mining Corp</v>
      </c>
      <c r="G52" s="37" t="str">
        <v>Eldorado Gold Corp</v>
      </c>
      <c r="H52" t="str">
        <f>""</f>
        <v/>
      </c>
    </row>
    <row r="53" spans="1:8" x14ac:dyDescent="0.25">
      <c r="A53" s="34">
        <v>7</v>
      </c>
      <c r="B53" s="17">
        <v>77</v>
      </c>
      <c r="C53" s="18">
        <v>45811</v>
      </c>
      <c r="D53" s="16" t="str">
        <v>STR US</v>
      </c>
      <c r="E53" s="97" t="str">
        <v>VNOM US</v>
      </c>
      <c r="F53" s="19" t="str">
        <v>Sitio Royalties Corp</v>
      </c>
      <c r="G53" s="38" t="str">
        <v>Viper Energy Inc</v>
      </c>
      <c r="H53" t="str">
        <f>""</f>
        <v/>
      </c>
    </row>
    <row r="54" spans="1:8" x14ac:dyDescent="0.25">
      <c r="A54" s="33">
        <v>8</v>
      </c>
      <c r="B54" s="21">
        <v>82</v>
      </c>
      <c r="C54" s="22">
        <v>45792</v>
      </c>
      <c r="D54" s="20" t="str">
        <v>NVEE US</v>
      </c>
      <c r="E54" s="96" t="str">
        <v>TIC US</v>
      </c>
      <c r="F54" s="23" t="str">
        <v>NV5 Global Inc</v>
      </c>
      <c r="G54" s="37" t="str">
        <v>TIC Solutions Inc</v>
      </c>
      <c r="H54" t="str">
        <f>""</f>
        <v/>
      </c>
    </row>
    <row r="55" spans="1:8" x14ac:dyDescent="0.25">
      <c r="A55" s="34">
        <v>9</v>
      </c>
      <c r="B55" s="17">
        <v>87</v>
      </c>
      <c r="C55" s="18">
        <v>45891</v>
      </c>
      <c r="D55" s="16" t="str">
        <v>MEG CN</v>
      </c>
      <c r="E55" s="97" t="str">
        <v>CVE CN</v>
      </c>
      <c r="F55" s="19" t="str">
        <v>MEG Energy Corp</v>
      </c>
      <c r="G55" s="38" t="str">
        <v>Cenovus Energy Inc</v>
      </c>
      <c r="H55" t="str">
        <f>""</f>
        <v/>
      </c>
    </row>
    <row r="56" spans="1:8" ht="15.75" thickBot="1" x14ac:dyDescent="0.3">
      <c r="A56" s="35">
        <v>10</v>
      </c>
      <c r="B56" s="29">
        <v>88</v>
      </c>
      <c r="C56" s="30">
        <v>45964</v>
      </c>
      <c r="D56" s="28" t="str">
        <v>CIVI US</v>
      </c>
      <c r="E56" s="98" t="str">
        <v>SM US</v>
      </c>
      <c r="F56" s="31" t="str">
        <v>Civitas Resources Inc</v>
      </c>
      <c r="G56" s="39" t="str">
        <v>SM Energy Co</v>
      </c>
      <c r="H56" t="str">
        <f>""</f>
        <v/>
      </c>
    </row>
    <row r="57" spans="1:8" x14ac:dyDescent="0.25">
      <c r="B57" s="12"/>
      <c r="C57" s="14"/>
      <c r="E57" s="100"/>
      <c r="H57" t="str">
        <f>""</f>
        <v/>
      </c>
    </row>
    <row r="58" spans="1:8" ht="17.25" x14ac:dyDescent="0.3">
      <c r="A58" s="139" t="s">
        <v>996</v>
      </c>
      <c r="B58" s="140"/>
      <c r="C58" s="141"/>
      <c r="D58" s="139"/>
      <c r="E58" s="142"/>
      <c r="F58" s="139"/>
      <c r="G58" s="139"/>
      <c r="H58" t="str">
        <f>""</f>
        <v/>
      </c>
    </row>
    <row r="59" spans="1:8" x14ac:dyDescent="0.25">
      <c r="A59" s="143" t="s">
        <v>1203</v>
      </c>
      <c r="B59" s="144"/>
      <c r="C59" s="145"/>
      <c r="D59" s="143"/>
      <c r="E59" s="146"/>
      <c r="F59" s="143"/>
      <c r="G59" s="143"/>
      <c r="H59" t="str">
        <f>""</f>
        <v/>
      </c>
    </row>
    <row r="60" spans="1:8" ht="21.95" customHeight="1" thickBot="1" x14ac:dyDescent="0.3">
      <c r="A60" s="11" t="s">
        <v>1204</v>
      </c>
      <c r="B60" s="13" t="s">
        <v>917</v>
      </c>
      <c r="C60" s="15" t="s">
        <v>3</v>
      </c>
      <c r="D60" s="11" t="s">
        <v>1</v>
      </c>
      <c r="E60" s="99" t="s">
        <v>2</v>
      </c>
      <c r="F60" s="11" t="s">
        <v>6</v>
      </c>
      <c r="G60" s="11" t="s">
        <v>7</v>
      </c>
      <c r="H60" t="str">
        <f>""</f>
        <v/>
      </c>
    </row>
    <row r="61" spans="1:8" x14ac:dyDescent="0.25">
      <c r="A61" s="32">
        <v>1</v>
      </c>
      <c r="B61" s="25" cm="1">
        <f t="array" ref="B61:G70">_xlfn.TAKE(_xlfn._xlws.SORT(_xlfn._xlws.FILTER(_xlfn.HSTACK(Table1[Days to Complete],Table1[Announce Date],Table1[Target Ticker],Table1[Acquirer Ticker],Table1[Target Name],Table1[Acquirer Name]),(Table1[Tender (Y/N)]="Y")*ISNUMBER(Table1[Days to Complete])),1,-1),10)</f>
        <v>66</v>
      </c>
      <c r="C61" s="26">
        <v>45838</v>
      </c>
      <c r="D61" s="24" t="str">
        <v>GMS US</v>
      </c>
      <c r="E61" s="95" t="str">
        <v>HD US</v>
      </c>
      <c r="F61" s="27" t="str">
        <v>GMS Inc</v>
      </c>
      <c r="G61" s="36" t="str">
        <v>Home Depot Inc/The</v>
      </c>
      <c r="H61" t="str">
        <f>""</f>
        <v/>
      </c>
    </row>
    <row r="62" spans="1:8" x14ac:dyDescent="0.25">
      <c r="A62" s="33">
        <v>2</v>
      </c>
      <c r="B62" s="21">
        <v>65</v>
      </c>
      <c r="C62" s="22">
        <v>46076</v>
      </c>
      <c r="D62" s="20" t="str">
        <v>ACLX US</v>
      </c>
      <c r="E62" s="96" t="str">
        <v>GILD US</v>
      </c>
      <c r="F62" s="23" t="str">
        <v>Arcellx Inc</v>
      </c>
      <c r="G62" s="37" t="str">
        <v>Gilead Sciences Inc</v>
      </c>
      <c r="H62" t="str">
        <f>""</f>
        <v/>
      </c>
    </row>
    <row r="63" spans="1:8" x14ac:dyDescent="0.25">
      <c r="A63" s="34">
        <v>3</v>
      </c>
      <c r="B63" s="17">
        <v>57</v>
      </c>
      <c r="C63" s="18">
        <v>45777</v>
      </c>
      <c r="D63" s="16" t="str">
        <v>RGLS US</v>
      </c>
      <c r="E63" s="97" t="str">
        <v>NOVN SW</v>
      </c>
      <c r="F63" s="19" t="str">
        <v>Regulus Therapeutics Inc</v>
      </c>
      <c r="G63" s="38" t="str">
        <v>Novartis AG</v>
      </c>
      <c r="H63" t="str">
        <f>""</f>
        <v/>
      </c>
    </row>
    <row r="64" spans="1:8" x14ac:dyDescent="0.25">
      <c r="A64" s="33">
        <v>4</v>
      </c>
      <c r="B64" s="21">
        <v>55</v>
      </c>
      <c r="C64" s="22">
        <v>45975</v>
      </c>
      <c r="D64" s="20" t="str">
        <v>CDTX US</v>
      </c>
      <c r="E64" s="96" t="str">
        <v>MRK US</v>
      </c>
      <c r="F64" s="23" t="str">
        <v>Cidara Therapeutics Inc</v>
      </c>
      <c r="G64" s="37" t="str">
        <v>Merck &amp; Co Inc</v>
      </c>
      <c r="H64" t="str">
        <f>""</f>
        <v/>
      </c>
    </row>
    <row r="65" spans="1:8" x14ac:dyDescent="0.25">
      <c r="A65" s="34">
        <v>5</v>
      </c>
      <c r="B65" s="17">
        <v>53</v>
      </c>
      <c r="C65" s="18">
        <v>45922</v>
      </c>
      <c r="D65" s="16" t="str">
        <v>MTSR US</v>
      </c>
      <c r="E65" s="97" t="str">
        <v>PFE US</v>
      </c>
      <c r="F65" s="19" t="str">
        <v>Metsera Inc</v>
      </c>
      <c r="G65" s="38" t="str">
        <v>Pfizer Inc</v>
      </c>
      <c r="H65" t="str">
        <f>""</f>
        <v/>
      </c>
    </row>
    <row r="66" spans="1:8" x14ac:dyDescent="0.25">
      <c r="A66" s="33">
        <v>6</v>
      </c>
      <c r="B66" s="21">
        <v>50</v>
      </c>
      <c r="C66" s="22">
        <v>46064</v>
      </c>
      <c r="D66" s="20" t="str">
        <v>GLDD US</v>
      </c>
      <c r="E66" s="96" t="str">
        <v>685748Z US</v>
      </c>
      <c r="F66" s="23" t="str">
        <v>Great Lakes Dredge &amp; Dock Corp</v>
      </c>
      <c r="G66" s="37" t="str">
        <v>Saltchuk Resources Inc</v>
      </c>
      <c r="H66" t="str">
        <f>""</f>
        <v/>
      </c>
    </row>
    <row r="67" spans="1:8" x14ac:dyDescent="0.25">
      <c r="A67" s="34">
        <v>7</v>
      </c>
      <c r="B67" s="17">
        <v>50</v>
      </c>
      <c r="C67" s="18">
        <v>45909</v>
      </c>
      <c r="D67" s="16" t="str">
        <v>TRML US</v>
      </c>
      <c r="E67" s="97" t="str">
        <v>NOVN SW</v>
      </c>
      <c r="F67" s="19" t="str">
        <v>Tourmaline Bio Inc</v>
      </c>
      <c r="G67" s="38" t="str">
        <v>Novartis AG</v>
      </c>
      <c r="H67" t="str">
        <f>""</f>
        <v/>
      </c>
    </row>
    <row r="68" spans="1:8" x14ac:dyDescent="0.25">
      <c r="A68" s="33">
        <v>8</v>
      </c>
      <c r="B68" s="21">
        <v>49</v>
      </c>
      <c r="C68" s="22">
        <v>45810</v>
      </c>
      <c r="D68" s="20" t="str">
        <v>BPMC US</v>
      </c>
      <c r="E68" s="96" t="str">
        <v>SAN FP</v>
      </c>
      <c r="F68" s="23" t="str">
        <v>Blueprint Medicines Corp</v>
      </c>
      <c r="G68" s="37" t="str">
        <v>Sanofi</v>
      </c>
      <c r="H68" t="str">
        <f>""</f>
        <v/>
      </c>
    </row>
    <row r="69" spans="1:8" x14ac:dyDescent="0.25">
      <c r="A69" s="34">
        <v>9</v>
      </c>
      <c r="B69" s="17">
        <v>49</v>
      </c>
      <c r="C69" s="18">
        <v>46087</v>
      </c>
      <c r="D69" s="16" t="str">
        <v>DAWN US</v>
      </c>
      <c r="E69" s="97" t="str">
        <v>2296308D FP</v>
      </c>
      <c r="F69" s="19" t="str">
        <v>Day One Biopharmaceuticals Inc</v>
      </c>
      <c r="G69" s="38" t="str">
        <v>Servier SAS</v>
      </c>
      <c r="H69" t="str">
        <f>""</f>
        <v/>
      </c>
    </row>
    <row r="70" spans="1:8" ht="15.75" thickBot="1" x14ac:dyDescent="0.3">
      <c r="A70" s="35">
        <v>10</v>
      </c>
      <c r="B70" s="29">
        <v>49</v>
      </c>
      <c r="C70" s="30">
        <v>46015</v>
      </c>
      <c r="D70" s="28" t="str">
        <v>DVAX US</v>
      </c>
      <c r="E70" s="98" t="str">
        <v>SAN FP</v>
      </c>
      <c r="F70" s="31" t="str">
        <v>Dynavax Technologies Corp</v>
      </c>
      <c r="G70" s="39" t="str">
        <v>Sanofi</v>
      </c>
      <c r="H70" t="str">
        <f>""</f>
        <v/>
      </c>
    </row>
    <row r="71" spans="1:8" x14ac:dyDescent="0.25">
      <c r="B71" s="12"/>
      <c r="C71" s="14"/>
      <c r="E71" s="100"/>
      <c r="H71" t="str">
        <f>""</f>
        <v/>
      </c>
    </row>
    <row r="72" spans="1:8" x14ac:dyDescent="0.25">
      <c r="A72" s="143" t="s">
        <v>1205</v>
      </c>
      <c r="B72" s="144"/>
      <c r="C72" s="145"/>
      <c r="D72" s="143"/>
      <c r="E72" s="146"/>
      <c r="F72" s="143"/>
      <c r="G72" s="143"/>
      <c r="H72" t="str">
        <f>""</f>
        <v/>
      </c>
    </row>
    <row r="73" spans="1:8" ht="21.95" customHeight="1" thickBot="1" x14ac:dyDescent="0.3">
      <c r="A73" s="11" t="s">
        <v>1204</v>
      </c>
      <c r="B73" s="13" t="s">
        <v>917</v>
      </c>
      <c r="C73" s="15" t="s">
        <v>3</v>
      </c>
      <c r="D73" s="11" t="s">
        <v>1</v>
      </c>
      <c r="E73" s="99" t="s">
        <v>2</v>
      </c>
      <c r="F73" s="11" t="s">
        <v>6</v>
      </c>
      <c r="G73" s="11" t="s">
        <v>7</v>
      </c>
      <c r="H73" t="str">
        <f>""</f>
        <v/>
      </c>
    </row>
    <row r="74" spans="1:8" x14ac:dyDescent="0.25">
      <c r="A74" s="32">
        <v>1</v>
      </c>
      <c r="B74" s="25" cm="1">
        <f t="array" ref="B74:G83">_xlfn.TAKE(_xlfn._xlws.SORT(_xlfn._xlws.FILTER(_xlfn.HSTACK(Table1[Days to Complete],Table1[Announce Date],Table1[Target Ticker],Table1[Acquirer Ticker],Table1[Target Name],Table1[Acquirer Name]),(Table1[Tender (Y/N)]="Y")*ISNUMBER(Table1[Days to Complete])),1,1),10)</f>
        <v>41</v>
      </c>
      <c r="C74" s="26">
        <v>45825</v>
      </c>
      <c r="D74" s="24" t="str">
        <v>VERV US</v>
      </c>
      <c r="E74" s="95" t="str">
        <v>LLY US</v>
      </c>
      <c r="F74" s="27" t="str">
        <v>Verve Therapeutics Inc</v>
      </c>
      <c r="G74" s="36" t="str">
        <v>Eli Lilly &amp; Co</v>
      </c>
      <c r="H74" t="str">
        <f>""</f>
        <v/>
      </c>
    </row>
    <row r="75" spans="1:8" x14ac:dyDescent="0.25">
      <c r="A75" s="33">
        <v>2</v>
      </c>
      <c r="B75" s="21">
        <v>42</v>
      </c>
      <c r="C75" s="22">
        <v>46106</v>
      </c>
      <c r="D75" s="20" t="str">
        <v>TERN US</v>
      </c>
      <c r="E75" s="96" t="str">
        <v>MRK US</v>
      </c>
      <c r="F75" s="23" t="str">
        <v>Terns Pharmaceuticals Inc</v>
      </c>
      <c r="G75" s="37" t="str">
        <v>Merck &amp; Co Inc</v>
      </c>
      <c r="H75" t="str">
        <f>""</f>
        <v/>
      </c>
    </row>
    <row r="76" spans="1:8" x14ac:dyDescent="0.25">
      <c r="A76" s="34">
        <v>3</v>
      </c>
      <c r="B76" s="17">
        <v>43</v>
      </c>
      <c r="C76" s="18">
        <v>46118</v>
      </c>
      <c r="D76" s="16" t="str">
        <v>SLNO US</v>
      </c>
      <c r="E76" s="97" t="str">
        <v>NBIX US</v>
      </c>
      <c r="F76" s="19" t="str">
        <v>Soleno Therapeutics Inc</v>
      </c>
      <c r="G76" s="38" t="str">
        <v>Neurocrine Biosciences Inc</v>
      </c>
      <c r="H76" t="str">
        <f>""</f>
        <v/>
      </c>
    </row>
    <row r="77" spans="1:8" x14ac:dyDescent="0.25">
      <c r="A77" s="33">
        <v>4</v>
      </c>
      <c r="B77" s="21">
        <v>43</v>
      </c>
      <c r="C77" s="22">
        <v>46042</v>
      </c>
      <c r="D77" s="20" t="str">
        <v>RAPT US</v>
      </c>
      <c r="E77" s="96" t="str">
        <v>GSK LN</v>
      </c>
      <c r="F77" s="23" t="str">
        <v>RAPT Therapeutics Inc</v>
      </c>
      <c r="G77" s="37" t="str">
        <v>GSK PLC</v>
      </c>
      <c r="H77" t="str">
        <f>""</f>
        <v/>
      </c>
    </row>
    <row r="78" spans="1:8" x14ac:dyDescent="0.25">
      <c r="A78" s="34">
        <v>5</v>
      </c>
      <c r="B78" s="17">
        <v>44</v>
      </c>
      <c r="C78" s="18">
        <v>45917</v>
      </c>
      <c r="D78" s="16" t="str">
        <v>ETNB US</v>
      </c>
      <c r="E78" s="97" t="str">
        <v>ROP SW</v>
      </c>
      <c r="F78" s="19" t="str">
        <v>89bio Inc</v>
      </c>
      <c r="G78" s="38" t="str">
        <v>Roche Holding AG</v>
      </c>
      <c r="H78" t="str">
        <f>""</f>
        <v/>
      </c>
    </row>
    <row r="79" spans="1:8" x14ac:dyDescent="0.25">
      <c r="A79" s="33">
        <v>6</v>
      </c>
      <c r="B79" s="21">
        <v>44</v>
      </c>
      <c r="C79" s="22">
        <v>46141</v>
      </c>
      <c r="D79" s="20" t="str">
        <v>KALV US</v>
      </c>
      <c r="E79" s="96" t="str">
        <v>97612Z IM</v>
      </c>
      <c r="F79" s="23" t="str">
        <v>KalVista Pharmaceuticals Inc</v>
      </c>
      <c r="G79" s="37" t="str">
        <v>Chiesi Farmaceutici SpA</v>
      </c>
      <c r="H79" t="str">
        <f>""</f>
        <v/>
      </c>
    </row>
    <row r="80" spans="1:8" x14ac:dyDescent="0.25">
      <c r="A80" s="34">
        <v>7</v>
      </c>
      <c r="B80" s="17">
        <v>44</v>
      </c>
      <c r="C80" s="18">
        <v>45910</v>
      </c>
      <c r="D80" s="16" t="str">
        <v>PBPB US</v>
      </c>
      <c r="E80" s="97" t="str">
        <v>1039759Z US</v>
      </c>
      <c r="F80" s="19" t="str">
        <v>Potbelly Corp</v>
      </c>
      <c r="G80" s="38" t="str">
        <v>RaceTrac Petroleum Inc</v>
      </c>
      <c r="H80" t="str">
        <f>""</f>
        <v/>
      </c>
    </row>
    <row r="81" spans="1:8" x14ac:dyDescent="0.25">
      <c r="A81" s="33">
        <v>8</v>
      </c>
      <c r="B81" s="21">
        <v>45</v>
      </c>
      <c r="C81" s="22">
        <v>45684</v>
      </c>
      <c r="D81" s="20" t="str">
        <v>AZPN US</v>
      </c>
      <c r="E81" s="96" t="str">
        <v>EMR US</v>
      </c>
      <c r="F81" s="23" t="str">
        <v>Aspen Technology Inc</v>
      </c>
      <c r="G81" s="37" t="str">
        <v>Emerson Electric Co</v>
      </c>
      <c r="H81" t="str">
        <f>""</f>
        <v/>
      </c>
    </row>
    <row r="82" spans="1:8" x14ac:dyDescent="0.25">
      <c r="A82" s="34">
        <v>9</v>
      </c>
      <c r="B82" s="17">
        <v>45</v>
      </c>
      <c r="C82" s="18">
        <v>46112</v>
      </c>
      <c r="D82" s="16" t="str">
        <v>APLS US</v>
      </c>
      <c r="E82" s="97" t="str">
        <v>BIIB US</v>
      </c>
      <c r="F82" s="19" t="str">
        <v>Apellis Pharmaceuticals Inc</v>
      </c>
      <c r="G82" s="38" t="str">
        <v>Biogen Inc</v>
      </c>
      <c r="H82" t="str">
        <f>""</f>
        <v/>
      </c>
    </row>
    <row r="83" spans="1:8" ht="15.75" thickBot="1" x14ac:dyDescent="0.3">
      <c r="A83" s="35">
        <v>10</v>
      </c>
      <c r="B83" s="29">
        <v>45</v>
      </c>
      <c r="C83" s="30">
        <v>45663</v>
      </c>
      <c r="D83" s="28" t="str">
        <v>NARI US</v>
      </c>
      <c r="E83" s="98" t="str">
        <v>SYK US</v>
      </c>
      <c r="F83" s="31" t="str">
        <v>Inari Medical Inc</v>
      </c>
      <c r="G83" s="39" t="str">
        <v>Stryker Corp</v>
      </c>
      <c r="H83" t="str">
        <f>""</f>
        <v/>
      </c>
    </row>
    <row r="85" spans="1:8" x14ac:dyDescent="0.25">
      <c r="A85" s="94" t="s">
        <v>1287</v>
      </c>
    </row>
  </sheetData>
  <mergeCells count="11">
    <mergeCell ref="A31:G31"/>
    <mergeCell ref="A1:G1"/>
    <mergeCell ref="A2:G2"/>
    <mergeCell ref="A4:G4"/>
    <mergeCell ref="A5:G5"/>
    <mergeCell ref="A18:G18"/>
    <mergeCell ref="A32:G32"/>
    <mergeCell ref="A45:G45"/>
    <mergeCell ref="A58:G58"/>
    <mergeCell ref="A59:G59"/>
    <mergeCell ref="A72:G72"/>
  </mergeCells>
  <hyperlinks>
    <hyperlink ref="A85" r:id="rId1" location="disclaimer" tooltip="Churchill Capital disclaimer" xr:uid="{DF3FBEB6-1871-4D57-93B0-013B26AB066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EE31-0058-476F-89FB-CDBC15BDDCC9}">
  <dimension ref="A1:X239"/>
  <sheetViews>
    <sheetView tabSelected="1" workbookViewId="0"/>
  </sheetViews>
  <sheetFormatPr defaultRowHeight="15" x14ac:dyDescent="0.25"/>
  <cols>
    <col min="1" max="1" width="12" customWidth="1"/>
    <col min="2" max="2" width="14.5703125" customWidth="1"/>
    <col min="3" max="3" width="16.5703125" customWidth="1"/>
    <col min="4" max="4" width="16.85546875" customWidth="1"/>
    <col min="5" max="5" width="13.42578125" customWidth="1"/>
    <col min="6" max="6" width="17.28515625" customWidth="1"/>
    <col min="7" max="7" width="17.140625" style="2" customWidth="1"/>
    <col min="8" max="8" width="14.42578125" customWidth="1"/>
    <col min="9" max="10" width="16.42578125" customWidth="1"/>
    <col min="11" max="13" width="15.7109375" customWidth="1"/>
    <col min="14" max="14" width="18.140625" style="2" customWidth="1"/>
    <col min="15" max="15" width="19.5703125" style="2" customWidth="1"/>
    <col min="16" max="16" width="12.42578125" style="2" customWidth="1"/>
    <col min="17" max="17" width="11.42578125" style="2" customWidth="1"/>
    <col min="18" max="18" width="8.28515625" style="2" customWidth="1"/>
    <col min="19" max="19" width="23.28515625" style="2" bestFit="1" customWidth="1"/>
    <col min="20" max="20" width="31.28515625" style="2" bestFit="1" customWidth="1"/>
    <col min="21" max="21" width="30.28515625" style="2" bestFit="1" customWidth="1"/>
    <col min="22" max="22" width="23.42578125" customWidth="1"/>
    <col min="23" max="23" width="18.5703125" customWidth="1"/>
    <col min="24" max="24" width="14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917</v>
      </c>
      <c r="H1" t="s">
        <v>6</v>
      </c>
      <c r="I1" t="s">
        <v>7</v>
      </c>
      <c r="J1" t="s">
        <v>1297</v>
      </c>
      <c r="K1" t="s">
        <v>8</v>
      </c>
      <c r="L1" t="s">
        <v>918</v>
      </c>
      <c r="M1" t="s">
        <v>920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t="s">
        <v>921</v>
      </c>
      <c r="T1" t="s">
        <v>922</v>
      </c>
      <c r="U1" t="s">
        <v>923</v>
      </c>
      <c r="V1" t="s">
        <v>14</v>
      </c>
      <c r="W1" t="s">
        <v>15</v>
      </c>
      <c r="X1" t="s">
        <v>16</v>
      </c>
    </row>
    <row r="2" spans="1:24" x14ac:dyDescent="0.25">
      <c r="A2" t="s">
        <v>17</v>
      </c>
      <c r="B2" t="s">
        <v>34</v>
      </c>
      <c r="C2" t="s">
        <v>35</v>
      </c>
      <c r="D2" s="1">
        <v>46160</v>
      </c>
      <c r="E2" t="s">
        <v>20</v>
      </c>
      <c r="F2" s="1">
        <v>46700</v>
      </c>
      <c r="G2" s="2" t="str">
        <f>IF(Table1[[#This Row],[Deal Status]]="Completed", Table1[[#This Row],[Completion/Termination Date]]-Table1[[#This Row],[Announce Date]], "")</f>
        <v/>
      </c>
      <c r="H2" t="s">
        <v>36</v>
      </c>
      <c r="I2" t="s">
        <v>37</v>
      </c>
      <c r="J2" t="s">
        <v>1295</v>
      </c>
      <c r="K2" t="s">
        <v>38</v>
      </c>
      <c r="M2" t="s">
        <v>38</v>
      </c>
      <c r="N2" s="2">
        <v>67683.83</v>
      </c>
      <c r="O2" s="2">
        <v>119097.83</v>
      </c>
      <c r="P2" s="2">
        <v>16.559999999999999</v>
      </c>
      <c r="Q2" s="2">
        <v>2240</v>
      </c>
      <c r="R2" s="2">
        <v>6520</v>
      </c>
      <c r="S2" t="s">
        <v>924</v>
      </c>
      <c r="T2" t="s">
        <v>924</v>
      </c>
      <c r="U2" t="s">
        <v>925</v>
      </c>
      <c r="V2" t="s">
        <v>25</v>
      </c>
      <c r="W2" t="s">
        <v>25</v>
      </c>
      <c r="X2">
        <v>23.17</v>
      </c>
    </row>
    <row r="3" spans="1:24" x14ac:dyDescent="0.25">
      <c r="A3" t="s">
        <v>17</v>
      </c>
      <c r="B3" t="s">
        <v>18</v>
      </c>
      <c r="C3" t="s">
        <v>19</v>
      </c>
      <c r="D3" s="1">
        <v>45999</v>
      </c>
      <c r="E3" t="s">
        <v>20</v>
      </c>
      <c r="F3" s="1">
        <v>46295</v>
      </c>
      <c r="G3" s="2" t="str">
        <f>IF(Table1[[#This Row],[Deal Status]]="Completed", Table1[[#This Row],[Completion/Termination Date]]-Table1[[#This Row],[Announce Date]], "")</f>
        <v/>
      </c>
      <c r="H3" t="s">
        <v>21</v>
      </c>
      <c r="I3" t="s">
        <v>22</v>
      </c>
      <c r="J3" t="s">
        <v>1295</v>
      </c>
      <c r="K3" t="s">
        <v>23</v>
      </c>
      <c r="M3" t="s">
        <v>23</v>
      </c>
      <c r="N3" s="2">
        <v>76817.210000000006</v>
      </c>
      <c r="O3" s="2">
        <v>106044.21</v>
      </c>
      <c r="P3" s="2" t="s">
        <v>24</v>
      </c>
      <c r="Q3" s="2">
        <v>2900</v>
      </c>
      <c r="R3" s="2">
        <v>5000</v>
      </c>
      <c r="S3" t="s">
        <v>926</v>
      </c>
      <c r="T3" t="s">
        <v>927</v>
      </c>
      <c r="U3" t="s">
        <v>928</v>
      </c>
      <c r="V3" t="s">
        <v>25</v>
      </c>
      <c r="W3" t="s">
        <v>25</v>
      </c>
      <c r="X3">
        <v>11.09</v>
      </c>
    </row>
    <row r="4" spans="1:24" x14ac:dyDescent="0.25">
      <c r="A4" t="s">
        <v>17</v>
      </c>
      <c r="B4" t="s">
        <v>18</v>
      </c>
      <c r="C4" t="s">
        <v>31</v>
      </c>
      <c r="D4" s="1">
        <v>45996</v>
      </c>
      <c r="E4" t="s">
        <v>32</v>
      </c>
      <c r="F4" s="1">
        <v>46079</v>
      </c>
      <c r="G4" s="2" t="str">
        <f>IF(Table1[[#This Row],[Deal Status]]="Completed", Table1[[#This Row],[Completion/Termination Date]]-Table1[[#This Row],[Announce Date]], "")</f>
        <v/>
      </c>
      <c r="H4" t="s">
        <v>21</v>
      </c>
      <c r="I4" t="s">
        <v>33</v>
      </c>
      <c r="J4" t="s">
        <v>1295</v>
      </c>
      <c r="K4" t="s">
        <v>23</v>
      </c>
      <c r="M4" t="s">
        <v>23</v>
      </c>
      <c r="N4" s="2">
        <v>68763.789999999994</v>
      </c>
      <c r="O4" s="2">
        <v>97990.79</v>
      </c>
      <c r="P4" s="2" t="s">
        <v>24</v>
      </c>
      <c r="Q4" s="2">
        <v>2800</v>
      </c>
      <c r="R4" s="2">
        <v>5800</v>
      </c>
      <c r="S4" t="s">
        <v>926</v>
      </c>
      <c r="T4" t="s">
        <v>927</v>
      </c>
      <c r="U4" t="s">
        <v>928</v>
      </c>
      <c r="V4" t="s">
        <v>25</v>
      </c>
      <c r="W4" t="s">
        <v>25</v>
      </c>
      <c r="X4">
        <v>-2.99</v>
      </c>
    </row>
    <row r="5" spans="1:24" x14ac:dyDescent="0.25">
      <c r="A5" t="s">
        <v>17</v>
      </c>
      <c r="B5" t="s">
        <v>26</v>
      </c>
      <c r="C5" t="s">
        <v>27</v>
      </c>
      <c r="D5" s="1">
        <v>45867</v>
      </c>
      <c r="E5" t="s">
        <v>20</v>
      </c>
      <c r="F5" s="1">
        <v>46568</v>
      </c>
      <c r="G5" s="2" t="str">
        <f>IF(Table1[[#This Row],[Deal Status]]="Completed", Table1[[#This Row],[Completion/Termination Date]]-Table1[[#This Row],[Announce Date]], "")</f>
        <v/>
      </c>
      <c r="H5" t="s">
        <v>28</v>
      </c>
      <c r="I5" t="s">
        <v>29</v>
      </c>
      <c r="J5" t="s">
        <v>1295</v>
      </c>
      <c r="K5" t="s">
        <v>30</v>
      </c>
      <c r="M5" t="s">
        <v>38</v>
      </c>
      <c r="N5" s="2">
        <v>72193.210000000006</v>
      </c>
      <c r="O5" s="2">
        <v>88402.21</v>
      </c>
      <c r="P5" s="2">
        <v>16</v>
      </c>
      <c r="Q5" s="2" t="s">
        <v>24</v>
      </c>
      <c r="R5" s="2">
        <v>2500</v>
      </c>
      <c r="S5" t="s">
        <v>929</v>
      </c>
      <c r="T5" t="s">
        <v>930</v>
      </c>
      <c r="U5" t="s">
        <v>931</v>
      </c>
      <c r="V5" t="s">
        <v>25</v>
      </c>
      <c r="W5" t="s">
        <v>25</v>
      </c>
      <c r="X5">
        <v>19.32</v>
      </c>
    </row>
    <row r="6" spans="1:24" x14ac:dyDescent="0.25">
      <c r="A6" t="s">
        <v>17</v>
      </c>
      <c r="B6" t="s">
        <v>39</v>
      </c>
      <c r="D6" s="1">
        <v>45929</v>
      </c>
      <c r="E6" t="s">
        <v>20</v>
      </c>
      <c r="F6" s="1">
        <v>46477</v>
      </c>
      <c r="G6" s="2" t="str">
        <f>IF(Table1[[#This Row],[Deal Status]]="Completed", Table1[[#This Row],[Completion/Termination Date]]-Table1[[#This Row],[Announce Date]], "")</f>
        <v/>
      </c>
      <c r="H6" t="s">
        <v>40</v>
      </c>
      <c r="I6" t="s">
        <v>41</v>
      </c>
      <c r="J6" t="s">
        <v>1296</v>
      </c>
      <c r="K6" t="s">
        <v>23</v>
      </c>
      <c r="M6" t="s">
        <v>23</v>
      </c>
      <c r="N6" s="2">
        <v>52543.54</v>
      </c>
      <c r="O6" s="2">
        <v>53122.54</v>
      </c>
      <c r="P6" s="2">
        <v>26.6</v>
      </c>
      <c r="Q6" s="2">
        <v>1000</v>
      </c>
      <c r="R6" s="2">
        <v>1000</v>
      </c>
      <c r="S6" t="s">
        <v>926</v>
      </c>
      <c r="T6" t="s">
        <v>927</v>
      </c>
      <c r="U6" t="s">
        <v>928</v>
      </c>
      <c r="V6" t="s">
        <v>25</v>
      </c>
      <c r="W6" t="s">
        <v>25</v>
      </c>
      <c r="X6">
        <v>22.28</v>
      </c>
    </row>
    <row r="7" spans="1:24" x14ac:dyDescent="0.25">
      <c r="A7" t="s">
        <v>17</v>
      </c>
      <c r="B7" t="s">
        <v>42</v>
      </c>
      <c r="C7" t="s">
        <v>43</v>
      </c>
      <c r="D7" s="1">
        <v>45964</v>
      </c>
      <c r="E7" t="s">
        <v>20</v>
      </c>
      <c r="F7" s="1">
        <v>46387</v>
      </c>
      <c r="G7" s="2" t="str">
        <f>IF(Table1[[#This Row],[Deal Status]]="Completed", Table1[[#This Row],[Completion/Termination Date]]-Table1[[#This Row],[Announce Date]], "")</f>
        <v/>
      </c>
      <c r="H7" t="s">
        <v>44</v>
      </c>
      <c r="I7" t="s">
        <v>45</v>
      </c>
      <c r="J7" t="s">
        <v>1295</v>
      </c>
      <c r="K7" t="s">
        <v>30</v>
      </c>
      <c r="M7" t="s">
        <v>38</v>
      </c>
      <c r="N7" s="2">
        <v>40378.04</v>
      </c>
      <c r="O7" s="2">
        <v>47918.04</v>
      </c>
      <c r="P7" s="2">
        <v>19.079999999999998</v>
      </c>
      <c r="Q7" s="2">
        <v>1136</v>
      </c>
      <c r="R7" s="2">
        <v>1136</v>
      </c>
      <c r="S7" t="s">
        <v>932</v>
      </c>
      <c r="T7" t="s">
        <v>933</v>
      </c>
      <c r="U7" t="s">
        <v>934</v>
      </c>
      <c r="V7" t="s">
        <v>25</v>
      </c>
      <c r="W7" t="s">
        <v>25</v>
      </c>
      <c r="X7">
        <v>36.99</v>
      </c>
    </row>
    <row r="8" spans="1:24" x14ac:dyDescent="0.25">
      <c r="A8" t="s">
        <v>17</v>
      </c>
      <c r="B8" t="s">
        <v>126</v>
      </c>
      <c r="D8" s="1">
        <v>46083</v>
      </c>
      <c r="E8" t="s">
        <v>20</v>
      </c>
      <c r="F8" s="1">
        <v>46568</v>
      </c>
      <c r="G8" s="2" t="str">
        <f>IF(Table1[[#This Row],[Deal Status]]="Completed", Table1[[#This Row],[Completion/Termination Date]]-Table1[[#This Row],[Announce Date]], "")</f>
        <v/>
      </c>
      <c r="H8" t="s">
        <v>127</v>
      </c>
      <c r="I8" t="s">
        <v>128</v>
      </c>
      <c r="J8" t="s">
        <v>1296</v>
      </c>
      <c r="K8" t="s">
        <v>23</v>
      </c>
      <c r="M8" t="s">
        <v>23</v>
      </c>
      <c r="N8" s="2">
        <v>10681.81</v>
      </c>
      <c r="O8" s="2">
        <v>38330.81</v>
      </c>
      <c r="P8" s="2">
        <v>11.38</v>
      </c>
      <c r="Q8" s="2" t="s">
        <v>24</v>
      </c>
      <c r="R8" s="2" t="s">
        <v>24</v>
      </c>
      <c r="S8" t="s">
        <v>924</v>
      </c>
      <c r="T8" t="s">
        <v>924</v>
      </c>
      <c r="U8" t="s">
        <v>925</v>
      </c>
      <c r="V8" t="s">
        <v>25</v>
      </c>
      <c r="W8" t="s">
        <v>25</v>
      </c>
      <c r="X8">
        <v>-6.85</v>
      </c>
    </row>
    <row r="9" spans="1:24" x14ac:dyDescent="0.25">
      <c r="A9" t="s">
        <v>17</v>
      </c>
      <c r="B9" t="s">
        <v>232</v>
      </c>
      <c r="C9" t="s">
        <v>233</v>
      </c>
      <c r="D9" s="1">
        <v>46170</v>
      </c>
      <c r="E9" t="s">
        <v>20</v>
      </c>
      <c r="F9" t="s">
        <v>24</v>
      </c>
      <c r="G9" s="2" t="str">
        <f>IF(Table1[[#This Row],[Deal Status]]="Completed", Table1[[#This Row],[Completion/Termination Date]]-Table1[[#This Row],[Announce Date]], "")</f>
        <v/>
      </c>
      <c r="H9" t="s">
        <v>234</v>
      </c>
      <c r="I9" t="s">
        <v>235</v>
      </c>
      <c r="J9" t="s">
        <v>1295</v>
      </c>
      <c r="K9" t="s">
        <v>23</v>
      </c>
      <c r="M9" t="s">
        <v>23</v>
      </c>
      <c r="N9" s="2">
        <v>6313.98</v>
      </c>
      <c r="O9" s="2">
        <v>30374.98</v>
      </c>
      <c r="P9" s="2">
        <v>9.0299999999999994</v>
      </c>
      <c r="Q9" s="2" t="s">
        <v>24</v>
      </c>
      <c r="R9" s="2" t="s">
        <v>24</v>
      </c>
      <c r="S9" t="s">
        <v>937</v>
      </c>
      <c r="T9" t="s">
        <v>938</v>
      </c>
      <c r="U9" t="s">
        <v>939</v>
      </c>
      <c r="V9" t="s">
        <v>25</v>
      </c>
      <c r="W9" t="s">
        <v>25</v>
      </c>
      <c r="X9">
        <v>11.96</v>
      </c>
    </row>
    <row r="10" spans="1:24" x14ac:dyDescent="0.25">
      <c r="A10" t="s">
        <v>17</v>
      </c>
      <c r="B10" t="s">
        <v>46</v>
      </c>
      <c r="C10" t="s">
        <v>47</v>
      </c>
      <c r="D10" s="1">
        <v>46163</v>
      </c>
      <c r="E10" t="s">
        <v>20</v>
      </c>
      <c r="F10" s="1">
        <v>46387</v>
      </c>
      <c r="G10" s="2" t="str">
        <f>IF(Table1[[#This Row],[Deal Status]]="Completed", Table1[[#This Row],[Completion/Termination Date]]-Table1[[#This Row],[Announce Date]], "")</f>
        <v/>
      </c>
      <c r="H10" t="s">
        <v>48</v>
      </c>
      <c r="I10" t="s">
        <v>49</v>
      </c>
      <c r="J10" t="s">
        <v>1295</v>
      </c>
      <c r="K10" t="s">
        <v>38</v>
      </c>
      <c r="M10" t="s">
        <v>38</v>
      </c>
      <c r="N10" s="2">
        <v>25287.35</v>
      </c>
      <c r="O10" s="2">
        <v>25287.35</v>
      </c>
      <c r="P10" s="2">
        <v>13.77</v>
      </c>
      <c r="Q10" s="2">
        <v>1070</v>
      </c>
      <c r="R10" s="2">
        <v>1005</v>
      </c>
      <c r="S10" t="s">
        <v>940</v>
      </c>
      <c r="T10" t="s">
        <v>940</v>
      </c>
      <c r="U10" t="s">
        <v>941</v>
      </c>
      <c r="V10" t="s">
        <v>25</v>
      </c>
      <c r="W10" t="s">
        <v>25</v>
      </c>
      <c r="X10">
        <v>-0.68</v>
      </c>
    </row>
    <row r="11" spans="1:24" x14ac:dyDescent="0.25">
      <c r="A11" t="s">
        <v>17</v>
      </c>
      <c r="B11" t="s">
        <v>55</v>
      </c>
      <c r="C11" t="s">
        <v>56</v>
      </c>
      <c r="D11" s="1">
        <v>46188</v>
      </c>
      <c r="E11" t="s">
        <v>20</v>
      </c>
      <c r="F11" s="1">
        <v>46568</v>
      </c>
      <c r="G11" s="2" t="str">
        <f>IF(Table1[[#This Row],[Deal Status]]="Completed", Table1[[#This Row],[Completion/Termination Date]]-Table1[[#This Row],[Announce Date]], "")</f>
        <v/>
      </c>
      <c r="H11" t="s">
        <v>57</v>
      </c>
      <c r="I11" t="s">
        <v>58</v>
      </c>
      <c r="J11" t="s">
        <v>1295</v>
      </c>
      <c r="K11" t="s">
        <v>30</v>
      </c>
      <c r="M11" t="s">
        <v>38</v>
      </c>
      <c r="N11" s="2">
        <v>23590.98</v>
      </c>
      <c r="O11" s="2">
        <v>21711.88</v>
      </c>
      <c r="P11" s="2">
        <v>193.01</v>
      </c>
      <c r="Q11" s="2">
        <v>866.08399999999995</v>
      </c>
      <c r="R11" s="2">
        <v>1237.26</v>
      </c>
      <c r="S11" t="s">
        <v>926</v>
      </c>
      <c r="T11" t="s">
        <v>927</v>
      </c>
      <c r="U11" t="s">
        <v>928</v>
      </c>
      <c r="V11" t="s">
        <v>25</v>
      </c>
      <c r="W11" t="s">
        <v>25</v>
      </c>
      <c r="X11">
        <v>27.01</v>
      </c>
    </row>
    <row r="12" spans="1:24" x14ac:dyDescent="0.25">
      <c r="A12" t="s">
        <v>17</v>
      </c>
      <c r="B12" t="s">
        <v>97</v>
      </c>
      <c r="C12" t="s">
        <v>98</v>
      </c>
      <c r="D12" s="1">
        <v>45957</v>
      </c>
      <c r="E12" t="s">
        <v>20</v>
      </c>
      <c r="F12" s="1">
        <v>46477</v>
      </c>
      <c r="G12" s="2" t="str">
        <f>IF(Table1[[#This Row],[Deal Status]]="Completed", Table1[[#This Row],[Completion/Termination Date]]-Table1[[#This Row],[Announce Date]], "")</f>
        <v/>
      </c>
      <c r="H12" t="s">
        <v>99</v>
      </c>
      <c r="I12" t="s">
        <v>100</v>
      </c>
      <c r="J12" t="s">
        <v>1295</v>
      </c>
      <c r="K12" t="s">
        <v>38</v>
      </c>
      <c r="M12" t="s">
        <v>38</v>
      </c>
      <c r="N12" s="2">
        <v>12063.18</v>
      </c>
      <c r="O12" s="2">
        <v>19839.78</v>
      </c>
      <c r="P12" s="2">
        <v>17.45</v>
      </c>
      <c r="Q12" s="2">
        <v>370</v>
      </c>
      <c r="R12" s="2">
        <v>835</v>
      </c>
      <c r="S12" t="s">
        <v>924</v>
      </c>
      <c r="T12" t="s">
        <v>924</v>
      </c>
      <c r="U12" t="s">
        <v>950</v>
      </c>
      <c r="V12" t="s">
        <v>25</v>
      </c>
      <c r="W12" t="s">
        <v>25</v>
      </c>
      <c r="X12">
        <v>6.26</v>
      </c>
    </row>
    <row r="13" spans="1:24" x14ac:dyDescent="0.25">
      <c r="A13" t="s">
        <v>17</v>
      </c>
      <c r="B13" t="s">
        <v>67</v>
      </c>
      <c r="C13" t="s">
        <v>68</v>
      </c>
      <c r="D13" s="1">
        <v>45909</v>
      </c>
      <c r="E13" t="s">
        <v>20</v>
      </c>
      <c r="F13" s="1">
        <v>46477</v>
      </c>
      <c r="G13" s="2" t="str">
        <f>IF(Table1[[#This Row],[Deal Status]]="Completed", Table1[[#This Row],[Completion/Termination Date]]-Table1[[#This Row],[Announce Date]], "")</f>
        <v/>
      </c>
      <c r="H13" t="s">
        <v>69</v>
      </c>
      <c r="I13" t="s">
        <v>70</v>
      </c>
      <c r="J13" t="s">
        <v>1295</v>
      </c>
      <c r="K13" t="s">
        <v>38</v>
      </c>
      <c r="M13" t="s">
        <v>38</v>
      </c>
      <c r="N13" s="2">
        <v>19377.75</v>
      </c>
      <c r="O13" s="2">
        <v>19530.3</v>
      </c>
      <c r="P13" s="2">
        <v>15.73</v>
      </c>
      <c r="Q13" s="2" t="s">
        <v>24</v>
      </c>
      <c r="R13" s="2">
        <v>455.46600000000001</v>
      </c>
      <c r="S13" t="s">
        <v>951</v>
      </c>
      <c r="T13" t="s">
        <v>951</v>
      </c>
      <c r="U13" t="s">
        <v>952</v>
      </c>
      <c r="V13" t="s">
        <v>71</v>
      </c>
      <c r="W13" t="s">
        <v>72</v>
      </c>
      <c r="X13">
        <v>20.79</v>
      </c>
    </row>
    <row r="14" spans="1:24" x14ac:dyDescent="0.25">
      <c r="A14" t="s">
        <v>17</v>
      </c>
      <c r="B14" t="s">
        <v>85</v>
      </c>
      <c r="C14" t="s">
        <v>86</v>
      </c>
      <c r="D14" s="1">
        <v>46131</v>
      </c>
      <c r="E14" t="s">
        <v>20</v>
      </c>
      <c r="F14" s="1">
        <v>46204</v>
      </c>
      <c r="G14" s="2" t="str">
        <f>IF(Table1[[#This Row],[Deal Status]]="Completed", Table1[[#This Row],[Completion/Termination Date]]-Table1[[#This Row],[Announce Date]], "")</f>
        <v/>
      </c>
      <c r="H14" t="s">
        <v>87</v>
      </c>
      <c r="I14" t="s">
        <v>88</v>
      </c>
      <c r="J14" t="s">
        <v>1295</v>
      </c>
      <c r="K14" t="s">
        <v>80</v>
      </c>
      <c r="M14" t="s">
        <v>38</v>
      </c>
      <c r="N14" s="2">
        <v>14213.29</v>
      </c>
      <c r="O14" s="2">
        <v>17179.740000000002</v>
      </c>
      <c r="P14" s="2">
        <v>16.32</v>
      </c>
      <c r="Q14" s="2" t="s">
        <v>24</v>
      </c>
      <c r="R14" s="2" t="s">
        <v>24</v>
      </c>
      <c r="S14" t="s">
        <v>929</v>
      </c>
      <c r="T14" t="s">
        <v>930</v>
      </c>
      <c r="U14" t="s">
        <v>953</v>
      </c>
      <c r="V14" t="s">
        <v>25</v>
      </c>
      <c r="W14" t="s">
        <v>25</v>
      </c>
      <c r="X14">
        <v>37.18</v>
      </c>
    </row>
    <row r="15" spans="1:24" x14ac:dyDescent="0.25">
      <c r="A15" t="s">
        <v>17</v>
      </c>
      <c r="B15" t="s">
        <v>89</v>
      </c>
      <c r="C15" t="s">
        <v>90</v>
      </c>
      <c r="D15" s="1">
        <v>46139</v>
      </c>
      <c r="E15" t="s">
        <v>20</v>
      </c>
      <c r="F15" s="1">
        <v>46387</v>
      </c>
      <c r="G15" s="2" t="str">
        <f>IF(Table1[[#This Row],[Deal Status]]="Completed", Table1[[#This Row],[Completion/Termination Date]]-Table1[[#This Row],[Announce Date]], "")</f>
        <v/>
      </c>
      <c r="H15" t="s">
        <v>91</v>
      </c>
      <c r="I15" t="s">
        <v>92</v>
      </c>
      <c r="J15" t="s">
        <v>1295</v>
      </c>
      <c r="K15" t="s">
        <v>30</v>
      </c>
      <c r="M15" t="s">
        <v>38</v>
      </c>
      <c r="N15" s="2">
        <v>14002.18</v>
      </c>
      <c r="O15" s="2">
        <v>16870.23</v>
      </c>
      <c r="P15" s="2">
        <v>6.93</v>
      </c>
      <c r="Q15" s="2" t="s">
        <v>24</v>
      </c>
      <c r="R15" s="2" t="s">
        <v>24</v>
      </c>
      <c r="S15" t="s">
        <v>942</v>
      </c>
      <c r="T15" t="s">
        <v>943</v>
      </c>
      <c r="U15" t="s">
        <v>944</v>
      </c>
      <c r="V15" t="s">
        <v>71</v>
      </c>
      <c r="W15" t="s">
        <v>25</v>
      </c>
      <c r="X15">
        <v>26.12</v>
      </c>
    </row>
    <row r="16" spans="1:24" x14ac:dyDescent="0.25">
      <c r="A16" t="s">
        <v>17</v>
      </c>
      <c r="B16" t="s">
        <v>76</v>
      </c>
      <c r="C16" t="s">
        <v>77</v>
      </c>
      <c r="D16" s="1">
        <v>46037</v>
      </c>
      <c r="E16" t="s">
        <v>20</v>
      </c>
      <c r="F16" s="1">
        <v>46387</v>
      </c>
      <c r="G16" s="2" t="str">
        <f>IF(Table1[[#This Row],[Deal Status]]="Completed", Table1[[#This Row],[Completion/Termination Date]]-Table1[[#This Row],[Announce Date]], "")</f>
        <v/>
      </c>
      <c r="H16" t="s">
        <v>78</v>
      </c>
      <c r="I16" t="s">
        <v>79</v>
      </c>
      <c r="J16" t="s">
        <v>1295</v>
      </c>
      <c r="K16" t="s">
        <v>80</v>
      </c>
      <c r="M16" t="s">
        <v>38</v>
      </c>
      <c r="N16" s="2">
        <v>14646.65</v>
      </c>
      <c r="O16" s="2">
        <v>14393.4</v>
      </c>
      <c r="P16" s="2">
        <v>62.36</v>
      </c>
      <c r="Q16" s="2">
        <v>525</v>
      </c>
      <c r="R16" s="2">
        <v>900</v>
      </c>
      <c r="S16" t="s">
        <v>948</v>
      </c>
      <c r="T16" t="s">
        <v>948</v>
      </c>
      <c r="U16" t="s">
        <v>949</v>
      </c>
      <c r="V16" t="s">
        <v>25</v>
      </c>
      <c r="W16" t="s">
        <v>25</v>
      </c>
      <c r="X16">
        <v>18.96</v>
      </c>
    </row>
    <row r="17" spans="1:24" x14ac:dyDescent="0.25">
      <c r="A17" t="s">
        <v>17</v>
      </c>
      <c r="B17" t="s">
        <v>149</v>
      </c>
      <c r="C17" t="s">
        <v>150</v>
      </c>
      <c r="D17" s="1">
        <v>45867</v>
      </c>
      <c r="E17" t="s">
        <v>20</v>
      </c>
      <c r="F17" s="1">
        <v>46234</v>
      </c>
      <c r="G17" s="2" t="str">
        <f>IF(Table1[[#This Row],[Deal Status]]="Completed", Table1[[#This Row],[Completion/Termination Date]]-Table1[[#This Row],[Announce Date]], "")</f>
        <v/>
      </c>
      <c r="H17" t="s">
        <v>151</v>
      </c>
      <c r="I17" t="s">
        <v>152</v>
      </c>
      <c r="J17" t="s">
        <v>1295</v>
      </c>
      <c r="K17" t="s">
        <v>23</v>
      </c>
      <c r="M17" t="s">
        <v>23</v>
      </c>
      <c r="N17" s="2">
        <v>9596.86</v>
      </c>
      <c r="O17" s="2">
        <v>13113.16</v>
      </c>
      <c r="P17" s="2">
        <v>13.9</v>
      </c>
      <c r="Q17" s="2" t="s">
        <v>24</v>
      </c>
      <c r="R17" s="2">
        <v>500</v>
      </c>
      <c r="S17" t="s">
        <v>929</v>
      </c>
      <c r="T17" t="s">
        <v>955</v>
      </c>
      <c r="U17" t="s">
        <v>956</v>
      </c>
      <c r="V17" t="s">
        <v>25</v>
      </c>
      <c r="W17" t="s">
        <v>25</v>
      </c>
      <c r="X17">
        <v>24.59</v>
      </c>
    </row>
    <row r="18" spans="1:24" x14ac:dyDescent="0.25">
      <c r="A18" t="s">
        <v>17</v>
      </c>
      <c r="B18" t="s">
        <v>153</v>
      </c>
      <c r="C18" t="s">
        <v>154</v>
      </c>
      <c r="D18" s="1">
        <v>45979</v>
      </c>
      <c r="E18" t="s">
        <v>20</v>
      </c>
      <c r="F18" s="1">
        <v>46568</v>
      </c>
      <c r="G18" s="2" t="str">
        <f>IF(Table1[[#This Row],[Deal Status]]="Completed", Table1[[#This Row],[Completion/Termination Date]]-Table1[[#This Row],[Announce Date]], "")</f>
        <v/>
      </c>
      <c r="H18" t="s">
        <v>155</v>
      </c>
      <c r="I18" t="s">
        <v>156</v>
      </c>
      <c r="J18" t="s">
        <v>1295</v>
      </c>
      <c r="K18" t="s">
        <v>38</v>
      </c>
      <c r="M18" t="s">
        <v>38</v>
      </c>
      <c r="N18" s="2">
        <v>9444.9500000000007</v>
      </c>
      <c r="O18" s="2">
        <v>12240.95</v>
      </c>
      <c r="P18" s="2">
        <v>11.94</v>
      </c>
      <c r="Q18" s="2" t="s">
        <v>24</v>
      </c>
      <c r="R18" s="2" t="s">
        <v>24</v>
      </c>
      <c r="S18" t="s">
        <v>951</v>
      </c>
      <c r="T18" t="s">
        <v>951</v>
      </c>
      <c r="U18" t="s">
        <v>957</v>
      </c>
      <c r="V18" t="s">
        <v>25</v>
      </c>
      <c r="W18" t="s">
        <v>157</v>
      </c>
      <c r="X18">
        <v>53.96</v>
      </c>
    </row>
    <row r="19" spans="1:24" x14ac:dyDescent="0.25">
      <c r="A19" t="s">
        <v>17</v>
      </c>
      <c r="B19" t="s">
        <v>101</v>
      </c>
      <c r="C19" t="s">
        <v>102</v>
      </c>
      <c r="D19" s="1">
        <v>46056</v>
      </c>
      <c r="E19" t="s">
        <v>20</v>
      </c>
      <c r="F19" s="1">
        <v>46387</v>
      </c>
      <c r="G19" s="2" t="str">
        <f>IF(Table1[[#This Row],[Deal Status]]="Completed", Table1[[#This Row],[Completion/Termination Date]]-Table1[[#This Row],[Announce Date]], "")</f>
        <v/>
      </c>
      <c r="H19" t="s">
        <v>103</v>
      </c>
      <c r="I19" t="s">
        <v>104</v>
      </c>
      <c r="J19" t="s">
        <v>1295</v>
      </c>
      <c r="K19" t="s">
        <v>30</v>
      </c>
      <c r="M19" t="s">
        <v>38</v>
      </c>
      <c r="N19" s="2">
        <v>11966.53</v>
      </c>
      <c r="O19" s="2">
        <v>11966.53</v>
      </c>
      <c r="P19" s="2" t="s">
        <v>24</v>
      </c>
      <c r="Q19" s="2">
        <v>489</v>
      </c>
      <c r="R19" s="2" t="s">
        <v>24</v>
      </c>
      <c r="S19" t="s">
        <v>958</v>
      </c>
      <c r="T19" t="s">
        <v>959</v>
      </c>
      <c r="U19" t="s">
        <v>959</v>
      </c>
      <c r="V19" t="s">
        <v>25</v>
      </c>
      <c r="W19" t="s">
        <v>105</v>
      </c>
      <c r="X19">
        <v>14.59</v>
      </c>
    </row>
    <row r="20" spans="1:24" x14ac:dyDescent="0.25">
      <c r="A20" t="s">
        <v>17</v>
      </c>
      <c r="B20" t="s">
        <v>357</v>
      </c>
      <c r="C20" t="s">
        <v>358</v>
      </c>
      <c r="D20" s="1">
        <v>46138</v>
      </c>
      <c r="E20" t="s">
        <v>20</v>
      </c>
      <c r="F20" s="1">
        <v>46568</v>
      </c>
      <c r="G20" s="2" t="str">
        <f>IF(Table1[[#This Row],[Deal Status]]="Completed", Table1[[#This Row],[Completion/Termination Date]]-Table1[[#This Row],[Announce Date]], "")</f>
        <v/>
      </c>
      <c r="H20" t="s">
        <v>359</v>
      </c>
      <c r="I20" t="s">
        <v>360</v>
      </c>
      <c r="J20" t="s">
        <v>1295</v>
      </c>
      <c r="K20" t="s">
        <v>23</v>
      </c>
      <c r="M20" t="s">
        <v>23</v>
      </c>
      <c r="N20" s="2">
        <v>3676.41</v>
      </c>
      <c r="O20" s="2">
        <v>11902.41</v>
      </c>
      <c r="P20" s="2">
        <v>9.48</v>
      </c>
      <c r="Q20" s="2" t="s">
        <v>24</v>
      </c>
      <c r="R20" s="2">
        <v>120</v>
      </c>
      <c r="S20" t="s">
        <v>948</v>
      </c>
      <c r="T20" t="s">
        <v>948</v>
      </c>
      <c r="U20" t="s">
        <v>954</v>
      </c>
      <c r="V20" t="s">
        <v>25</v>
      </c>
      <c r="W20" t="s">
        <v>361</v>
      </c>
      <c r="X20">
        <v>78.98</v>
      </c>
    </row>
    <row r="21" spans="1:24" x14ac:dyDescent="0.25">
      <c r="A21" t="s">
        <v>17</v>
      </c>
      <c r="B21" t="s">
        <v>250</v>
      </c>
      <c r="C21" t="s">
        <v>251</v>
      </c>
      <c r="D21" s="1">
        <v>45796</v>
      </c>
      <c r="E21" t="s">
        <v>20</v>
      </c>
      <c r="F21" s="1">
        <v>46387</v>
      </c>
      <c r="G21" s="2" t="str">
        <f>IF(Table1[[#This Row],[Deal Status]]="Completed", Table1[[#This Row],[Completion/Termination Date]]-Table1[[#This Row],[Announce Date]], "")</f>
        <v/>
      </c>
      <c r="H21" t="s">
        <v>252</v>
      </c>
      <c r="I21" t="s">
        <v>253</v>
      </c>
      <c r="J21" t="s">
        <v>1296</v>
      </c>
      <c r="K21" t="s">
        <v>23</v>
      </c>
      <c r="M21" t="s">
        <v>23</v>
      </c>
      <c r="N21" s="2">
        <v>5675.38</v>
      </c>
      <c r="O21" s="2">
        <v>11811.08</v>
      </c>
      <c r="P21" s="2">
        <v>13.16</v>
      </c>
      <c r="Q21" s="2" t="s">
        <v>24</v>
      </c>
      <c r="R21" s="2" t="s">
        <v>24</v>
      </c>
      <c r="S21" t="s">
        <v>924</v>
      </c>
      <c r="T21" t="s">
        <v>924</v>
      </c>
      <c r="U21" t="s">
        <v>925</v>
      </c>
      <c r="V21" t="s">
        <v>25</v>
      </c>
      <c r="W21" t="s">
        <v>25</v>
      </c>
      <c r="X21">
        <v>15.46</v>
      </c>
    </row>
    <row r="22" spans="1:24" x14ac:dyDescent="0.25">
      <c r="A22" t="s">
        <v>17</v>
      </c>
      <c r="B22" t="s">
        <v>106</v>
      </c>
      <c r="C22" t="s">
        <v>107</v>
      </c>
      <c r="D22" s="1">
        <v>46126</v>
      </c>
      <c r="E22" t="s">
        <v>20</v>
      </c>
      <c r="F22" s="1">
        <v>46752</v>
      </c>
      <c r="G22" s="2" t="str">
        <f>IF(Table1[[#This Row],[Deal Status]]="Completed", Table1[[#This Row],[Completion/Termination Date]]-Table1[[#This Row],[Announce Date]], "")</f>
        <v/>
      </c>
      <c r="H22" t="s">
        <v>108</v>
      </c>
      <c r="I22" t="s">
        <v>109</v>
      </c>
      <c r="J22" t="s">
        <v>1295</v>
      </c>
      <c r="K22" t="s">
        <v>80</v>
      </c>
      <c r="M22" t="s">
        <v>38</v>
      </c>
      <c r="N22" s="2">
        <v>11573.2</v>
      </c>
      <c r="O22" s="2">
        <v>11672.07</v>
      </c>
      <c r="P22" s="2">
        <v>123.08</v>
      </c>
      <c r="Q22" s="2" t="s">
        <v>24</v>
      </c>
      <c r="R22" s="2" t="s">
        <v>24</v>
      </c>
      <c r="S22" t="s">
        <v>926</v>
      </c>
      <c r="T22" t="s">
        <v>960</v>
      </c>
      <c r="U22" t="s">
        <v>960</v>
      </c>
      <c r="V22" t="s">
        <v>25</v>
      </c>
      <c r="W22" t="s">
        <v>25</v>
      </c>
      <c r="X22">
        <v>35.630000000000003</v>
      </c>
    </row>
    <row r="23" spans="1:24" x14ac:dyDescent="0.25">
      <c r="A23" t="s">
        <v>17</v>
      </c>
      <c r="B23" t="s">
        <v>1288</v>
      </c>
      <c r="C23" t="s">
        <v>1289</v>
      </c>
      <c r="D23" s="1">
        <v>46198</v>
      </c>
      <c r="E23" t="s">
        <v>20</v>
      </c>
      <c r="F23" s="1">
        <v>46476</v>
      </c>
      <c r="G23" s="2" t="str">
        <f>IF(Table1[[#This Row],[Deal Status]]="Completed", Table1[[#This Row],[Completion/Termination Date]]-Table1[[#This Row],[Announce Date]], "")</f>
        <v/>
      </c>
      <c r="H23" t="s">
        <v>1290</v>
      </c>
      <c r="I23" t="s">
        <v>373</v>
      </c>
      <c r="J23" t="s">
        <v>1295</v>
      </c>
      <c r="K23" t="s">
        <v>23</v>
      </c>
      <c r="M23" t="s">
        <v>23</v>
      </c>
      <c r="N23" s="2">
        <v>11429.52</v>
      </c>
      <c r="O23" s="2">
        <v>11510.01</v>
      </c>
      <c r="P23" s="2">
        <v>50.14</v>
      </c>
      <c r="Q23" s="2" t="s">
        <v>912</v>
      </c>
      <c r="R23" s="2" t="s">
        <v>912</v>
      </c>
      <c r="S23" t="s">
        <v>948</v>
      </c>
      <c r="T23" t="s">
        <v>948</v>
      </c>
      <c r="U23" t="s">
        <v>949</v>
      </c>
      <c r="V23" t="s">
        <v>25</v>
      </c>
      <c r="W23" t="s">
        <v>374</v>
      </c>
      <c r="X23">
        <v>36.369999999999997</v>
      </c>
    </row>
    <row r="24" spans="1:24" x14ac:dyDescent="0.25">
      <c r="A24" t="s">
        <v>17</v>
      </c>
      <c r="B24" t="s">
        <v>93</v>
      </c>
      <c r="C24" t="s">
        <v>94</v>
      </c>
      <c r="D24" s="1">
        <v>46195</v>
      </c>
      <c r="E24" t="s">
        <v>20</v>
      </c>
      <c r="F24" s="1">
        <v>46295</v>
      </c>
      <c r="G24" s="2" t="str">
        <f>IF(Table1[[#This Row],[Deal Status]]="Completed", Table1[[#This Row],[Completion/Termination Date]]-Table1[[#This Row],[Announce Date]], "")</f>
        <v/>
      </c>
      <c r="H24" t="s">
        <v>95</v>
      </c>
      <c r="I24" t="s">
        <v>96</v>
      </c>
      <c r="J24" t="s">
        <v>1295</v>
      </c>
      <c r="K24" t="s">
        <v>23</v>
      </c>
      <c r="M24" t="s">
        <v>23</v>
      </c>
      <c r="N24" s="2">
        <v>12150.19</v>
      </c>
      <c r="O24" s="2">
        <v>10900</v>
      </c>
      <c r="P24" s="2" t="s">
        <v>24</v>
      </c>
      <c r="Q24" s="2" t="s">
        <v>24</v>
      </c>
      <c r="R24" s="2" t="s">
        <v>24</v>
      </c>
      <c r="S24" t="s">
        <v>948</v>
      </c>
      <c r="T24" t="s">
        <v>948</v>
      </c>
      <c r="U24" t="s">
        <v>954</v>
      </c>
      <c r="V24" t="s">
        <v>25</v>
      </c>
      <c r="W24" t="s">
        <v>25</v>
      </c>
      <c r="X24" t="s">
        <v>24</v>
      </c>
    </row>
    <row r="25" spans="1:24" x14ac:dyDescent="0.25">
      <c r="A25" t="s">
        <v>17</v>
      </c>
      <c r="B25" t="s">
        <v>149</v>
      </c>
      <c r="C25" t="s">
        <v>205</v>
      </c>
      <c r="D25" s="1">
        <v>45812</v>
      </c>
      <c r="E25" t="s">
        <v>32</v>
      </c>
      <c r="F25" s="1">
        <v>45867</v>
      </c>
      <c r="G25" s="2" t="str">
        <f>IF(Table1[[#This Row],[Deal Status]]="Completed", Table1[[#This Row],[Completion/Termination Date]]-Table1[[#This Row],[Announce Date]], "")</f>
        <v/>
      </c>
      <c r="H25" t="s">
        <v>151</v>
      </c>
      <c r="I25" t="s">
        <v>206</v>
      </c>
      <c r="J25" t="s">
        <v>1295</v>
      </c>
      <c r="K25" t="s">
        <v>38</v>
      </c>
      <c r="M25" t="s">
        <v>38</v>
      </c>
      <c r="N25" s="2">
        <v>7226.21</v>
      </c>
      <c r="O25" s="2">
        <v>10742.51</v>
      </c>
      <c r="P25" s="2">
        <v>11.38</v>
      </c>
      <c r="Q25" s="2">
        <v>266</v>
      </c>
      <c r="R25" s="2" t="s">
        <v>24</v>
      </c>
      <c r="S25" t="s">
        <v>929</v>
      </c>
      <c r="T25" t="s">
        <v>955</v>
      </c>
      <c r="U25" t="s">
        <v>956</v>
      </c>
      <c r="V25" t="s">
        <v>25</v>
      </c>
      <c r="W25" t="s">
        <v>25</v>
      </c>
      <c r="X25">
        <v>-2.71</v>
      </c>
    </row>
    <row r="26" spans="1:24" x14ac:dyDescent="0.25">
      <c r="A26" t="s">
        <v>17</v>
      </c>
      <c r="B26" t="s">
        <v>122</v>
      </c>
      <c r="C26" t="s">
        <v>123</v>
      </c>
      <c r="D26" s="1">
        <v>46107</v>
      </c>
      <c r="E26" t="s">
        <v>20</v>
      </c>
      <c r="F26" s="1">
        <v>46387</v>
      </c>
      <c r="G26" s="2" t="str">
        <f>IF(Table1[[#This Row],[Deal Status]]="Completed", Table1[[#This Row],[Completion/Termination Date]]-Table1[[#This Row],[Announce Date]], "")</f>
        <v/>
      </c>
      <c r="H26" t="s">
        <v>124</v>
      </c>
      <c r="I26" t="s">
        <v>125</v>
      </c>
      <c r="J26" t="s">
        <v>1295</v>
      </c>
      <c r="K26" t="s">
        <v>38</v>
      </c>
      <c r="M26" t="s">
        <v>38</v>
      </c>
      <c r="N26" s="2">
        <v>10727.21</v>
      </c>
      <c r="O26" s="2">
        <v>10727.21</v>
      </c>
      <c r="P26" s="2" t="s">
        <v>24</v>
      </c>
      <c r="Q26" s="2">
        <v>475</v>
      </c>
      <c r="R26" s="2">
        <v>475</v>
      </c>
      <c r="S26" t="s">
        <v>958</v>
      </c>
      <c r="T26" t="s">
        <v>963</v>
      </c>
      <c r="U26" t="s">
        <v>963</v>
      </c>
      <c r="V26" t="s">
        <v>25</v>
      </c>
      <c r="W26" t="s">
        <v>25</v>
      </c>
      <c r="X26">
        <v>-1.24</v>
      </c>
    </row>
    <row r="27" spans="1:24" x14ac:dyDescent="0.25">
      <c r="A27" t="s">
        <v>17</v>
      </c>
      <c r="B27" t="s">
        <v>141</v>
      </c>
      <c r="C27" t="s">
        <v>142</v>
      </c>
      <c r="D27" s="1">
        <v>45957</v>
      </c>
      <c r="E27" t="s">
        <v>20</v>
      </c>
      <c r="F27" s="1">
        <v>46568</v>
      </c>
      <c r="G27" s="2" t="str">
        <f>IF(Table1[[#This Row],[Deal Status]]="Completed", Table1[[#This Row],[Completion/Termination Date]]-Table1[[#This Row],[Announce Date]], "")</f>
        <v/>
      </c>
      <c r="H27" t="s">
        <v>143</v>
      </c>
      <c r="I27" t="s">
        <v>144</v>
      </c>
      <c r="J27" t="s">
        <v>1295</v>
      </c>
      <c r="K27" t="s">
        <v>30</v>
      </c>
      <c r="M27" t="s">
        <v>38</v>
      </c>
      <c r="N27" s="2">
        <v>9688.33</v>
      </c>
      <c r="O27" s="2">
        <v>10072.049999999999</v>
      </c>
      <c r="P27" s="2">
        <v>24.47</v>
      </c>
      <c r="Q27" s="2">
        <v>298.69200000000001</v>
      </c>
      <c r="R27" s="2">
        <v>100</v>
      </c>
      <c r="S27" t="s">
        <v>945</v>
      </c>
      <c r="T27" t="s">
        <v>967</v>
      </c>
      <c r="U27" t="s">
        <v>968</v>
      </c>
      <c r="V27" t="s">
        <v>25</v>
      </c>
      <c r="W27" t="s">
        <v>25</v>
      </c>
      <c r="X27">
        <v>15.32</v>
      </c>
    </row>
    <row r="28" spans="1:24" x14ac:dyDescent="0.25">
      <c r="A28" t="s">
        <v>17</v>
      </c>
      <c r="B28" t="s">
        <v>162</v>
      </c>
      <c r="C28" t="s">
        <v>163</v>
      </c>
      <c r="D28" s="1">
        <v>46181</v>
      </c>
      <c r="E28" t="s">
        <v>20</v>
      </c>
      <c r="F28" s="1">
        <v>46295</v>
      </c>
      <c r="G28" s="2" t="str">
        <f>IF(Table1[[#This Row],[Deal Status]]="Completed", Table1[[#This Row],[Completion/Termination Date]]-Table1[[#This Row],[Announce Date]], "")</f>
        <v/>
      </c>
      <c r="H28" t="s">
        <v>164</v>
      </c>
      <c r="I28" t="s">
        <v>165</v>
      </c>
      <c r="J28" t="s">
        <v>1295</v>
      </c>
      <c r="K28" t="s">
        <v>23</v>
      </c>
      <c r="L28" t="s">
        <v>919</v>
      </c>
      <c r="M28" t="s">
        <v>996</v>
      </c>
      <c r="N28" s="2">
        <v>9121.77</v>
      </c>
      <c r="O28" s="2">
        <v>9121.77</v>
      </c>
      <c r="P28" s="2" t="s">
        <v>24</v>
      </c>
      <c r="Q28" s="2" t="s">
        <v>24</v>
      </c>
      <c r="R28" s="2" t="s">
        <v>24</v>
      </c>
      <c r="S28" t="s">
        <v>948</v>
      </c>
      <c r="T28" t="s">
        <v>948</v>
      </c>
      <c r="U28" t="s">
        <v>954</v>
      </c>
      <c r="V28" t="s">
        <v>25</v>
      </c>
      <c r="W28" t="s">
        <v>166</v>
      </c>
      <c r="X28">
        <v>22.63</v>
      </c>
    </row>
    <row r="29" spans="1:24" x14ac:dyDescent="0.25">
      <c r="A29" t="s">
        <v>17</v>
      </c>
      <c r="B29" t="s">
        <v>197</v>
      </c>
      <c r="C29" t="s">
        <v>198</v>
      </c>
      <c r="D29" s="1">
        <v>46195</v>
      </c>
      <c r="E29" t="s">
        <v>20</v>
      </c>
      <c r="F29" s="1">
        <v>46477</v>
      </c>
      <c r="G29" s="2" t="str">
        <f>IF(Table1[[#This Row],[Deal Status]]="Completed", Table1[[#This Row],[Completion/Termination Date]]-Table1[[#This Row],[Announce Date]], "")</f>
        <v/>
      </c>
      <c r="H29" t="s">
        <v>199</v>
      </c>
      <c r="I29" t="s">
        <v>200</v>
      </c>
      <c r="J29" t="s">
        <v>1295</v>
      </c>
      <c r="K29" t="s">
        <v>23</v>
      </c>
      <c r="M29" t="s">
        <v>23</v>
      </c>
      <c r="N29" s="2">
        <v>7364.45</v>
      </c>
      <c r="O29" s="2">
        <v>8790.9599999999991</v>
      </c>
      <c r="P29" s="2">
        <v>15.23</v>
      </c>
      <c r="Q29" s="2">
        <v>260.37799999999999</v>
      </c>
      <c r="R29" s="2">
        <v>371.96800000000002</v>
      </c>
      <c r="S29" t="s">
        <v>929</v>
      </c>
      <c r="T29" t="s">
        <v>930</v>
      </c>
      <c r="U29" t="s">
        <v>953</v>
      </c>
      <c r="V29" t="s">
        <v>25</v>
      </c>
      <c r="W29" t="s">
        <v>25</v>
      </c>
      <c r="X29">
        <v>18.850000000000001</v>
      </c>
    </row>
    <row r="30" spans="1:24" x14ac:dyDescent="0.25">
      <c r="A30" t="s">
        <v>17</v>
      </c>
      <c r="B30" t="s">
        <v>225</v>
      </c>
      <c r="C30" t="s">
        <v>226</v>
      </c>
      <c r="D30" s="1">
        <v>46173</v>
      </c>
      <c r="E30" t="s">
        <v>20</v>
      </c>
      <c r="F30" s="1">
        <v>46387</v>
      </c>
      <c r="G30" s="2" t="str">
        <f>IF(Table1[[#This Row],[Deal Status]]="Completed", Table1[[#This Row],[Completion/Termination Date]]-Table1[[#This Row],[Announce Date]], "")</f>
        <v/>
      </c>
      <c r="H30" t="s">
        <v>227</v>
      </c>
      <c r="I30" t="s">
        <v>228</v>
      </c>
      <c r="J30" t="s">
        <v>1295</v>
      </c>
      <c r="K30" t="s">
        <v>23</v>
      </c>
      <c r="M30" t="s">
        <v>23</v>
      </c>
      <c r="N30" s="2">
        <v>6773.5</v>
      </c>
      <c r="O30" s="2">
        <v>8444.32</v>
      </c>
      <c r="P30" s="2">
        <v>7.09</v>
      </c>
      <c r="Q30" s="2" t="s">
        <v>24</v>
      </c>
      <c r="R30" s="2" t="s">
        <v>24</v>
      </c>
      <c r="S30" t="s">
        <v>937</v>
      </c>
      <c r="T30" t="s">
        <v>964</v>
      </c>
      <c r="U30" t="s">
        <v>971</v>
      </c>
      <c r="V30" t="s">
        <v>25</v>
      </c>
      <c r="W30" t="s">
        <v>25</v>
      </c>
      <c r="X30">
        <v>24.59</v>
      </c>
    </row>
    <row r="31" spans="1:24" x14ac:dyDescent="0.25">
      <c r="A31" t="s">
        <v>17</v>
      </c>
      <c r="B31" t="s">
        <v>211</v>
      </c>
      <c r="D31" s="1">
        <v>46012</v>
      </c>
      <c r="E31" t="s">
        <v>20</v>
      </c>
      <c r="F31" s="1">
        <v>46198</v>
      </c>
      <c r="G31" s="2" t="str">
        <f>IF(Table1[[#This Row],[Deal Status]]="Completed", Table1[[#This Row],[Completion/Termination Date]]-Table1[[#This Row],[Announce Date]], "")</f>
        <v/>
      </c>
      <c r="H31" t="s">
        <v>212</v>
      </c>
      <c r="I31" t="s">
        <v>213</v>
      </c>
      <c r="J31" t="s">
        <v>1296</v>
      </c>
      <c r="K31" t="s">
        <v>23</v>
      </c>
      <c r="M31" t="s">
        <v>23</v>
      </c>
      <c r="N31" s="2">
        <v>7074.18</v>
      </c>
      <c r="O31" s="2">
        <v>7892.89</v>
      </c>
      <c r="P31" s="2">
        <v>234.8</v>
      </c>
      <c r="Q31" s="2" t="s">
        <v>24</v>
      </c>
      <c r="R31" s="2" t="s">
        <v>24</v>
      </c>
      <c r="S31" t="s">
        <v>945</v>
      </c>
      <c r="T31" t="s">
        <v>946</v>
      </c>
      <c r="U31" t="s">
        <v>947</v>
      </c>
      <c r="V31" t="s">
        <v>25</v>
      </c>
      <c r="W31" t="s">
        <v>25</v>
      </c>
      <c r="X31">
        <v>13.41</v>
      </c>
    </row>
    <row r="32" spans="1:24" x14ac:dyDescent="0.25">
      <c r="A32" t="s">
        <v>17</v>
      </c>
      <c r="B32" t="s">
        <v>645</v>
      </c>
      <c r="C32" t="s">
        <v>646</v>
      </c>
      <c r="D32" s="1">
        <v>46062</v>
      </c>
      <c r="E32" t="s">
        <v>20</v>
      </c>
      <c r="F32" s="1">
        <v>46295</v>
      </c>
      <c r="G32" s="2" t="str">
        <f>IF(Table1[[#This Row],[Deal Status]]="Completed", Table1[[#This Row],[Completion/Termination Date]]-Table1[[#This Row],[Announce Date]], "")</f>
        <v/>
      </c>
      <c r="H32" t="s">
        <v>647</v>
      </c>
      <c r="I32" t="s">
        <v>648</v>
      </c>
      <c r="J32" t="s">
        <v>1296</v>
      </c>
      <c r="K32" t="s">
        <v>23</v>
      </c>
      <c r="M32" t="s">
        <v>23</v>
      </c>
      <c r="N32" s="2">
        <v>1208.45</v>
      </c>
      <c r="O32" s="2">
        <v>7516.07</v>
      </c>
      <c r="P32" s="2">
        <v>9.9</v>
      </c>
      <c r="Q32" s="2">
        <v>39.799999999999997</v>
      </c>
      <c r="R32" s="2">
        <v>92.9</v>
      </c>
      <c r="S32" t="s">
        <v>926</v>
      </c>
      <c r="T32" t="s">
        <v>927</v>
      </c>
      <c r="U32" t="s">
        <v>972</v>
      </c>
      <c r="V32" t="s">
        <v>25</v>
      </c>
      <c r="W32" t="s">
        <v>649</v>
      </c>
      <c r="X32">
        <v>15.55</v>
      </c>
    </row>
    <row r="33" spans="1:24" x14ac:dyDescent="0.25">
      <c r="A33" t="s">
        <v>17</v>
      </c>
      <c r="B33" t="s">
        <v>908</v>
      </c>
      <c r="C33" t="s">
        <v>909</v>
      </c>
      <c r="D33" s="1">
        <v>46097</v>
      </c>
      <c r="E33" t="s">
        <v>20</v>
      </c>
      <c r="F33" s="1">
        <v>46295</v>
      </c>
      <c r="G33" s="2" t="str">
        <f>IF(Table1[[#This Row],[Deal Status]]="Completed", Table1[[#This Row],[Completion/Termination Date]]-Table1[[#This Row],[Announce Date]], "")</f>
        <v/>
      </c>
      <c r="H33" t="s">
        <v>910</v>
      </c>
      <c r="I33" t="s">
        <v>911</v>
      </c>
      <c r="J33" t="s">
        <v>1295</v>
      </c>
      <c r="K33" t="s">
        <v>38</v>
      </c>
      <c r="M33" t="s">
        <v>38</v>
      </c>
      <c r="N33" s="2" t="s">
        <v>912</v>
      </c>
      <c r="O33" s="2">
        <v>7279.39</v>
      </c>
      <c r="P33" s="2">
        <v>15.48</v>
      </c>
      <c r="Q33" s="2" t="s">
        <v>24</v>
      </c>
      <c r="R33" s="2" t="s">
        <v>24</v>
      </c>
      <c r="S33" t="s">
        <v>940</v>
      </c>
      <c r="T33" t="s">
        <v>940</v>
      </c>
      <c r="U33" t="s">
        <v>941</v>
      </c>
      <c r="V33" t="s">
        <v>25</v>
      </c>
      <c r="W33" t="s">
        <v>25</v>
      </c>
      <c r="X33">
        <v>25.32</v>
      </c>
    </row>
    <row r="34" spans="1:24" x14ac:dyDescent="0.25">
      <c r="A34" t="s">
        <v>17</v>
      </c>
      <c r="B34" t="s">
        <v>185</v>
      </c>
      <c r="C34" t="s">
        <v>186</v>
      </c>
      <c r="D34" s="1">
        <v>46057</v>
      </c>
      <c r="E34" t="s">
        <v>20</v>
      </c>
      <c r="F34" s="1">
        <v>46568</v>
      </c>
      <c r="G34" s="2" t="str">
        <f>IF(Table1[[#This Row],[Deal Status]]="Completed", Table1[[#This Row],[Completion/Termination Date]]-Table1[[#This Row],[Announce Date]], "")</f>
        <v/>
      </c>
      <c r="H34" t="s">
        <v>187</v>
      </c>
      <c r="I34" t="s">
        <v>188</v>
      </c>
      <c r="J34" t="s">
        <v>1295</v>
      </c>
      <c r="K34" t="s">
        <v>23</v>
      </c>
      <c r="M34" t="s">
        <v>23</v>
      </c>
      <c r="N34" s="2">
        <v>7612.82</v>
      </c>
      <c r="O34" s="2">
        <v>7173.79</v>
      </c>
      <c r="P34" s="2" t="s">
        <v>24</v>
      </c>
      <c r="Q34" s="2" t="s">
        <v>24</v>
      </c>
      <c r="R34" s="2" t="s">
        <v>24</v>
      </c>
      <c r="S34" t="s">
        <v>945</v>
      </c>
      <c r="T34" t="s">
        <v>967</v>
      </c>
      <c r="U34" t="s">
        <v>968</v>
      </c>
      <c r="V34" t="s">
        <v>25</v>
      </c>
      <c r="W34" t="s">
        <v>25</v>
      </c>
      <c r="X34">
        <v>58.38</v>
      </c>
    </row>
    <row r="35" spans="1:24" x14ac:dyDescent="0.25">
      <c r="A35" t="s">
        <v>17</v>
      </c>
      <c r="B35" t="s">
        <v>362</v>
      </c>
      <c r="C35" t="s">
        <v>363</v>
      </c>
      <c r="D35" s="1">
        <v>45888</v>
      </c>
      <c r="E35" t="s">
        <v>20</v>
      </c>
      <c r="F35" s="1">
        <v>46356</v>
      </c>
      <c r="G35" s="2" t="str">
        <f>IF(Table1[[#This Row],[Deal Status]]="Completed", Table1[[#This Row],[Completion/Termination Date]]-Table1[[#This Row],[Announce Date]], "")</f>
        <v/>
      </c>
      <c r="H35" t="s">
        <v>364</v>
      </c>
      <c r="I35" t="s">
        <v>365</v>
      </c>
      <c r="J35" t="s">
        <v>1295</v>
      </c>
      <c r="K35" t="s">
        <v>38</v>
      </c>
      <c r="M35" t="s">
        <v>38</v>
      </c>
      <c r="N35" s="2">
        <v>3544.26</v>
      </c>
      <c r="O35" s="2">
        <v>6711.02</v>
      </c>
      <c r="P35" s="2">
        <v>12.18</v>
      </c>
      <c r="Q35" s="2" t="s">
        <v>24</v>
      </c>
      <c r="R35" s="2" t="s">
        <v>24</v>
      </c>
      <c r="S35" t="s">
        <v>924</v>
      </c>
      <c r="T35" t="s">
        <v>924</v>
      </c>
      <c r="U35" t="s">
        <v>925</v>
      </c>
      <c r="V35" t="s">
        <v>25</v>
      </c>
      <c r="W35" t="s">
        <v>25</v>
      </c>
      <c r="X35">
        <v>6.6</v>
      </c>
    </row>
    <row r="36" spans="1:24" x14ac:dyDescent="0.25">
      <c r="A36" t="s">
        <v>17</v>
      </c>
      <c r="B36" t="s">
        <v>346</v>
      </c>
      <c r="D36" s="1">
        <v>46128</v>
      </c>
      <c r="E36" t="s">
        <v>20</v>
      </c>
      <c r="F36" s="1">
        <v>46387</v>
      </c>
      <c r="G36" s="2" t="str">
        <f>IF(Table1[[#This Row],[Deal Status]]="Completed", Table1[[#This Row],[Completion/Termination Date]]-Table1[[#This Row],[Announce Date]], "")</f>
        <v/>
      </c>
      <c r="H36" t="s">
        <v>347</v>
      </c>
      <c r="I36" t="s">
        <v>348</v>
      </c>
      <c r="J36" t="s">
        <v>1296</v>
      </c>
      <c r="K36" t="s">
        <v>30</v>
      </c>
      <c r="M36" t="s">
        <v>38</v>
      </c>
      <c r="N36" s="2">
        <v>3753.77</v>
      </c>
      <c r="O36" s="2">
        <v>6626.36</v>
      </c>
      <c r="P36" s="2">
        <v>22.24</v>
      </c>
      <c r="Q36" s="2">
        <v>187.5</v>
      </c>
      <c r="R36" s="2" t="s">
        <v>24</v>
      </c>
      <c r="S36" t="s">
        <v>940</v>
      </c>
      <c r="T36" t="s">
        <v>940</v>
      </c>
      <c r="U36" t="s">
        <v>941</v>
      </c>
      <c r="V36" t="s">
        <v>71</v>
      </c>
      <c r="W36" t="s">
        <v>71</v>
      </c>
      <c r="X36">
        <v>15.93</v>
      </c>
    </row>
    <row r="37" spans="1:24" x14ac:dyDescent="0.25">
      <c r="A37" t="s">
        <v>17</v>
      </c>
      <c r="B37" t="s">
        <v>229</v>
      </c>
      <c r="D37" s="1">
        <v>46013</v>
      </c>
      <c r="E37" t="s">
        <v>20</v>
      </c>
      <c r="F37" s="1">
        <v>46204</v>
      </c>
      <c r="G37" s="2" t="str">
        <f>IF(Table1[[#This Row],[Deal Status]]="Completed", Table1[[#This Row],[Completion/Termination Date]]-Table1[[#This Row],[Announce Date]], "")</f>
        <v/>
      </c>
      <c r="H37" t="s">
        <v>230</v>
      </c>
      <c r="I37" t="s">
        <v>231</v>
      </c>
      <c r="J37" t="s">
        <v>1296</v>
      </c>
      <c r="K37" t="s">
        <v>23</v>
      </c>
      <c r="M37" t="s">
        <v>23</v>
      </c>
      <c r="N37" s="2">
        <v>6378.02</v>
      </c>
      <c r="O37" s="2">
        <v>6378.02</v>
      </c>
      <c r="P37" s="2">
        <v>11.99</v>
      </c>
      <c r="Q37" s="2">
        <v>297.13</v>
      </c>
      <c r="R37" s="2">
        <v>222.85</v>
      </c>
      <c r="S37" t="s">
        <v>958</v>
      </c>
      <c r="T37" t="s">
        <v>969</v>
      </c>
      <c r="U37" t="s">
        <v>973</v>
      </c>
      <c r="V37" t="s">
        <v>25</v>
      </c>
      <c r="W37" t="s">
        <v>25</v>
      </c>
      <c r="X37">
        <v>1.75</v>
      </c>
    </row>
    <row r="38" spans="1:24" x14ac:dyDescent="0.25">
      <c r="A38" t="s">
        <v>17</v>
      </c>
      <c r="B38" t="s">
        <v>272</v>
      </c>
      <c r="C38" t="s">
        <v>273</v>
      </c>
      <c r="D38" s="1">
        <v>46146</v>
      </c>
      <c r="E38" t="s">
        <v>20</v>
      </c>
      <c r="F38" s="1">
        <v>46387</v>
      </c>
      <c r="G38" s="2" t="str">
        <f>IF(Table1[[#This Row],[Deal Status]]="Completed", Table1[[#This Row],[Completion/Termination Date]]-Table1[[#This Row],[Announce Date]], "")</f>
        <v/>
      </c>
      <c r="H38" t="s">
        <v>274</v>
      </c>
      <c r="I38" t="s">
        <v>275</v>
      </c>
      <c r="J38" t="s">
        <v>1296</v>
      </c>
      <c r="K38" t="s">
        <v>23</v>
      </c>
      <c r="M38" t="s">
        <v>23</v>
      </c>
      <c r="N38" s="2">
        <v>4971.76</v>
      </c>
      <c r="O38" s="2">
        <v>6043.76</v>
      </c>
      <c r="P38" s="2">
        <v>17.420000000000002</v>
      </c>
      <c r="Q38" s="2" t="s">
        <v>24</v>
      </c>
      <c r="R38" s="2" t="s">
        <v>24</v>
      </c>
      <c r="S38" t="s">
        <v>937</v>
      </c>
      <c r="T38" t="s">
        <v>938</v>
      </c>
      <c r="U38" t="s">
        <v>939</v>
      </c>
      <c r="V38" t="s">
        <v>25</v>
      </c>
      <c r="W38" t="s">
        <v>25</v>
      </c>
      <c r="X38">
        <v>63.92</v>
      </c>
    </row>
    <row r="39" spans="1:24" x14ac:dyDescent="0.25">
      <c r="A39" t="s">
        <v>17</v>
      </c>
      <c r="B39" t="s">
        <v>244</v>
      </c>
      <c r="C39" t="s">
        <v>245</v>
      </c>
      <c r="D39" s="1">
        <v>45845</v>
      </c>
      <c r="E39" t="s">
        <v>32</v>
      </c>
      <c r="F39" s="1">
        <v>45960</v>
      </c>
      <c r="G39" s="2" t="str">
        <f>IF(Table1[[#This Row],[Deal Status]]="Completed", Table1[[#This Row],[Completion/Termination Date]]-Table1[[#This Row],[Announce Date]], "")</f>
        <v/>
      </c>
      <c r="H39" t="s">
        <v>246</v>
      </c>
      <c r="I39" t="s">
        <v>247</v>
      </c>
      <c r="J39" t="s">
        <v>1295</v>
      </c>
      <c r="K39" t="s">
        <v>38</v>
      </c>
      <c r="M39" t="s">
        <v>38</v>
      </c>
      <c r="N39" s="2">
        <v>5851.71</v>
      </c>
      <c r="O39" s="2">
        <v>5851.71</v>
      </c>
      <c r="P39" s="2">
        <v>54</v>
      </c>
      <c r="Q39" s="2" t="s">
        <v>24</v>
      </c>
      <c r="R39" s="2" t="s">
        <v>24</v>
      </c>
      <c r="S39" t="s">
        <v>958</v>
      </c>
      <c r="T39" t="s">
        <v>969</v>
      </c>
      <c r="U39" t="s">
        <v>973</v>
      </c>
      <c r="V39" t="s">
        <v>25</v>
      </c>
      <c r="W39" t="s">
        <v>25</v>
      </c>
      <c r="X39">
        <v>44.28</v>
      </c>
    </row>
    <row r="40" spans="1:24" x14ac:dyDescent="0.25">
      <c r="A40" t="s">
        <v>17</v>
      </c>
      <c r="B40" t="s">
        <v>258</v>
      </c>
      <c r="C40" t="s">
        <v>266</v>
      </c>
      <c r="D40" s="1">
        <v>45807</v>
      </c>
      <c r="E40" t="s">
        <v>32</v>
      </c>
      <c r="F40" s="1">
        <v>45940</v>
      </c>
      <c r="G40" s="2" t="str">
        <f>IF(Table1[[#This Row],[Deal Status]]="Completed", Table1[[#This Row],[Completion/Termination Date]]-Table1[[#This Row],[Announce Date]], "")</f>
        <v/>
      </c>
      <c r="H40" t="s">
        <v>260</v>
      </c>
      <c r="I40" t="s">
        <v>267</v>
      </c>
      <c r="J40" t="s">
        <v>1295</v>
      </c>
      <c r="K40" t="s">
        <v>38</v>
      </c>
      <c r="M40" t="s">
        <v>38</v>
      </c>
      <c r="N40" s="2">
        <v>4999.41</v>
      </c>
      <c r="O40" s="2">
        <v>5734.3</v>
      </c>
      <c r="P40" s="2">
        <v>5.78</v>
      </c>
      <c r="Q40" s="2" t="s">
        <v>24</v>
      </c>
      <c r="R40" s="2" t="s">
        <v>24</v>
      </c>
      <c r="S40" t="s">
        <v>942</v>
      </c>
      <c r="T40" t="s">
        <v>943</v>
      </c>
      <c r="U40" t="s">
        <v>944</v>
      </c>
      <c r="V40" t="s">
        <v>71</v>
      </c>
      <c r="W40" t="s">
        <v>71</v>
      </c>
      <c r="X40">
        <v>8.9</v>
      </c>
    </row>
    <row r="41" spans="1:24" x14ac:dyDescent="0.25">
      <c r="A41" t="s">
        <v>17</v>
      </c>
      <c r="B41" t="s">
        <v>424</v>
      </c>
      <c r="D41" s="1">
        <v>46106</v>
      </c>
      <c r="E41" t="s">
        <v>20</v>
      </c>
      <c r="F41" s="1">
        <v>46387</v>
      </c>
      <c r="G41" s="2" t="str">
        <f>IF(Table1[[#This Row],[Deal Status]]="Completed", Table1[[#This Row],[Completion/Termination Date]]-Table1[[#This Row],[Announce Date]], "")</f>
        <v/>
      </c>
      <c r="H41" t="s">
        <v>425</v>
      </c>
      <c r="I41" t="s">
        <v>426</v>
      </c>
      <c r="J41" t="s">
        <v>1296</v>
      </c>
      <c r="K41" t="s">
        <v>23</v>
      </c>
      <c r="M41" t="s">
        <v>23</v>
      </c>
      <c r="N41" s="2">
        <v>2355.85</v>
      </c>
      <c r="O41" s="2">
        <v>5518</v>
      </c>
      <c r="P41" s="2">
        <v>16.829999999999998</v>
      </c>
      <c r="Q41" s="2">
        <v>115</v>
      </c>
      <c r="R41" s="2">
        <v>172</v>
      </c>
      <c r="S41" t="s">
        <v>924</v>
      </c>
      <c r="T41" t="s">
        <v>924</v>
      </c>
      <c r="U41" t="s">
        <v>925</v>
      </c>
      <c r="V41" t="s">
        <v>71</v>
      </c>
      <c r="W41" t="s">
        <v>71</v>
      </c>
      <c r="X41">
        <v>33.11</v>
      </c>
    </row>
    <row r="42" spans="1:24" x14ac:dyDescent="0.25">
      <c r="A42" t="s">
        <v>17</v>
      </c>
      <c r="B42" t="s">
        <v>268</v>
      </c>
      <c r="C42" t="s">
        <v>269</v>
      </c>
      <c r="D42" s="1">
        <v>46062</v>
      </c>
      <c r="E42" t="s">
        <v>20</v>
      </c>
      <c r="F42" s="1">
        <v>46387</v>
      </c>
      <c r="G42" s="2" t="str">
        <f>IF(Table1[[#This Row],[Deal Status]]="Completed", Table1[[#This Row],[Completion/Termination Date]]-Table1[[#This Row],[Announce Date]], "")</f>
        <v/>
      </c>
      <c r="H42" t="s">
        <v>270</v>
      </c>
      <c r="I42" t="s">
        <v>271</v>
      </c>
      <c r="J42" t="s">
        <v>1295</v>
      </c>
      <c r="K42" t="s">
        <v>38</v>
      </c>
      <c r="M42" t="s">
        <v>38</v>
      </c>
      <c r="N42" s="2">
        <v>4999.01</v>
      </c>
      <c r="O42" s="2">
        <v>5500.01</v>
      </c>
      <c r="P42" s="2">
        <v>10.56</v>
      </c>
      <c r="Q42" s="2" t="s">
        <v>24</v>
      </c>
      <c r="R42" s="2" t="s">
        <v>24</v>
      </c>
      <c r="S42" t="s">
        <v>942</v>
      </c>
      <c r="T42" t="s">
        <v>943</v>
      </c>
      <c r="U42" t="s">
        <v>975</v>
      </c>
      <c r="V42" t="s">
        <v>25</v>
      </c>
      <c r="W42" t="s">
        <v>25</v>
      </c>
      <c r="X42">
        <v>27.24</v>
      </c>
    </row>
    <row r="43" spans="1:24" x14ac:dyDescent="0.25">
      <c r="A43" t="s">
        <v>17</v>
      </c>
      <c r="B43" t="s">
        <v>254</v>
      </c>
      <c r="C43" t="s">
        <v>255</v>
      </c>
      <c r="D43" s="1">
        <v>46112</v>
      </c>
      <c r="E43" t="s">
        <v>20</v>
      </c>
      <c r="F43" s="1">
        <v>46198</v>
      </c>
      <c r="G43" s="2" t="str">
        <f>IF(Table1[[#This Row],[Deal Status]]="Completed", Table1[[#This Row],[Completion/Termination Date]]-Table1[[#This Row],[Announce Date]], "")</f>
        <v/>
      </c>
      <c r="H43" t="s">
        <v>256</v>
      </c>
      <c r="I43" t="s">
        <v>257</v>
      </c>
      <c r="J43" t="s">
        <v>1295</v>
      </c>
      <c r="K43" t="s">
        <v>23</v>
      </c>
      <c r="M43" t="s">
        <v>23</v>
      </c>
      <c r="N43" s="2">
        <v>5616.14</v>
      </c>
      <c r="O43" s="2">
        <v>5488.19</v>
      </c>
      <c r="P43" s="2" t="s">
        <v>24</v>
      </c>
      <c r="Q43" s="2" t="s">
        <v>24</v>
      </c>
      <c r="R43" s="2" t="s">
        <v>24</v>
      </c>
      <c r="S43" t="s">
        <v>948</v>
      </c>
      <c r="T43" t="s">
        <v>948</v>
      </c>
      <c r="U43" t="s">
        <v>954</v>
      </c>
      <c r="V43" t="s">
        <v>25</v>
      </c>
      <c r="W43" t="s">
        <v>25</v>
      </c>
      <c r="X43">
        <v>38.25</v>
      </c>
    </row>
    <row r="44" spans="1:24" x14ac:dyDescent="0.25">
      <c r="A44" t="s">
        <v>17</v>
      </c>
      <c r="B44" t="s">
        <v>342</v>
      </c>
      <c r="C44" t="s">
        <v>380</v>
      </c>
      <c r="D44" s="1">
        <v>45671</v>
      </c>
      <c r="E44" t="s">
        <v>32</v>
      </c>
      <c r="F44" s="1">
        <v>45707</v>
      </c>
      <c r="G44" s="2" t="str">
        <f>IF(Table1[[#This Row],[Deal Status]]="Completed", Table1[[#This Row],[Completion/Termination Date]]-Table1[[#This Row],[Announce Date]], "")</f>
        <v/>
      </c>
      <c r="H44" t="s">
        <v>344</v>
      </c>
      <c r="I44" t="s">
        <v>381</v>
      </c>
      <c r="J44" t="s">
        <v>1295</v>
      </c>
      <c r="K44" t="s">
        <v>23</v>
      </c>
      <c r="M44" t="s">
        <v>23</v>
      </c>
      <c r="N44" s="2">
        <v>3368.21</v>
      </c>
      <c r="O44" s="2">
        <v>5117.1000000000004</v>
      </c>
      <c r="P44" s="2">
        <v>7.38</v>
      </c>
      <c r="Q44" s="2">
        <v>62.523899999999998</v>
      </c>
      <c r="R44" s="2">
        <v>127.048</v>
      </c>
      <c r="S44" t="s">
        <v>929</v>
      </c>
      <c r="T44" t="s">
        <v>930</v>
      </c>
      <c r="U44" t="s">
        <v>974</v>
      </c>
      <c r="V44" t="s">
        <v>25</v>
      </c>
      <c r="W44" t="s">
        <v>25</v>
      </c>
      <c r="X44">
        <v>85.65</v>
      </c>
    </row>
    <row r="45" spans="1:24" x14ac:dyDescent="0.25">
      <c r="A45" t="s">
        <v>17</v>
      </c>
      <c r="B45" t="s">
        <v>276</v>
      </c>
      <c r="C45" t="s">
        <v>277</v>
      </c>
      <c r="D45" s="1">
        <v>46155</v>
      </c>
      <c r="E45" t="s">
        <v>20</v>
      </c>
      <c r="F45" s="1">
        <v>46295</v>
      </c>
      <c r="G45" s="2" t="str">
        <f>IF(Table1[[#This Row],[Deal Status]]="Completed", Table1[[#This Row],[Completion/Termination Date]]-Table1[[#This Row],[Announce Date]], "")</f>
        <v/>
      </c>
      <c r="H45" t="s">
        <v>278</v>
      </c>
      <c r="I45" t="s">
        <v>279</v>
      </c>
      <c r="J45" t="s">
        <v>1295</v>
      </c>
      <c r="K45" t="s">
        <v>30</v>
      </c>
      <c r="M45" t="s">
        <v>38</v>
      </c>
      <c r="N45" s="2">
        <v>4967.8999999999996</v>
      </c>
      <c r="O45" s="2">
        <v>4909.2</v>
      </c>
      <c r="P45" s="2">
        <v>8.8699999999999992</v>
      </c>
      <c r="Q45" s="2">
        <v>475</v>
      </c>
      <c r="R45" s="2">
        <v>250</v>
      </c>
      <c r="S45" t="s">
        <v>951</v>
      </c>
      <c r="T45" t="s">
        <v>951</v>
      </c>
      <c r="U45" t="s">
        <v>952</v>
      </c>
      <c r="V45" t="s">
        <v>71</v>
      </c>
      <c r="W45" t="s">
        <v>71</v>
      </c>
      <c r="X45">
        <v>-0.67</v>
      </c>
    </row>
    <row r="46" spans="1:24" x14ac:dyDescent="0.25">
      <c r="A46" t="s">
        <v>17</v>
      </c>
      <c r="B46" t="s">
        <v>334</v>
      </c>
      <c r="C46" t="s">
        <v>335</v>
      </c>
      <c r="D46" s="1">
        <v>46125</v>
      </c>
      <c r="E46" t="s">
        <v>20</v>
      </c>
      <c r="F46" s="1">
        <v>46387</v>
      </c>
      <c r="G46" s="2" t="str">
        <f>IF(Table1[[#This Row],[Deal Status]]="Completed", Table1[[#This Row],[Completion/Termination Date]]-Table1[[#This Row],[Announce Date]], "")</f>
        <v/>
      </c>
      <c r="H46" t="s">
        <v>336</v>
      </c>
      <c r="I46" t="s">
        <v>337</v>
      </c>
      <c r="J46" t="s">
        <v>1295</v>
      </c>
      <c r="K46" t="s">
        <v>80</v>
      </c>
      <c r="M46" t="s">
        <v>38</v>
      </c>
      <c r="N46" s="2">
        <v>3908.37</v>
      </c>
      <c r="O46" s="2">
        <v>4631.62</v>
      </c>
      <c r="P46" s="2">
        <v>13.71</v>
      </c>
      <c r="Q46" s="2">
        <v>200</v>
      </c>
      <c r="R46" s="2" t="s">
        <v>24</v>
      </c>
      <c r="S46" t="s">
        <v>929</v>
      </c>
      <c r="T46" t="s">
        <v>930</v>
      </c>
      <c r="U46" t="s">
        <v>976</v>
      </c>
      <c r="V46" t="s">
        <v>71</v>
      </c>
      <c r="W46" t="s">
        <v>25</v>
      </c>
      <c r="X46">
        <v>14.14</v>
      </c>
    </row>
    <row r="47" spans="1:24" x14ac:dyDescent="0.25">
      <c r="A47" t="s">
        <v>17</v>
      </c>
      <c r="B47" t="s">
        <v>415</v>
      </c>
      <c r="C47" t="s">
        <v>416</v>
      </c>
      <c r="D47" s="1">
        <v>46189</v>
      </c>
      <c r="E47" t="s">
        <v>20</v>
      </c>
      <c r="F47" s="1">
        <v>46568</v>
      </c>
      <c r="G47" s="2" t="str">
        <f>IF(Table1[[#This Row],[Deal Status]]="Completed", Table1[[#This Row],[Completion/Termination Date]]-Table1[[#This Row],[Announce Date]], "")</f>
        <v/>
      </c>
      <c r="H47" t="s">
        <v>417</v>
      </c>
      <c r="I47" t="s">
        <v>418</v>
      </c>
      <c r="J47" t="s">
        <v>1295</v>
      </c>
      <c r="K47" t="s">
        <v>38</v>
      </c>
      <c r="M47" t="s">
        <v>38</v>
      </c>
      <c r="N47" s="2">
        <v>2431.27</v>
      </c>
      <c r="O47" s="2">
        <v>4549.2700000000004</v>
      </c>
      <c r="P47" s="2">
        <v>19.61</v>
      </c>
      <c r="Q47" s="2">
        <v>121</v>
      </c>
      <c r="R47" s="2">
        <v>121</v>
      </c>
      <c r="S47" t="s">
        <v>951</v>
      </c>
      <c r="T47" t="s">
        <v>951</v>
      </c>
      <c r="U47" t="s">
        <v>957</v>
      </c>
      <c r="V47" t="s">
        <v>25</v>
      </c>
      <c r="W47" t="s">
        <v>25</v>
      </c>
      <c r="X47">
        <v>-4.7300000000000004</v>
      </c>
    </row>
    <row r="48" spans="1:24" x14ac:dyDescent="0.25">
      <c r="A48" t="s">
        <v>17</v>
      </c>
      <c r="B48" t="s">
        <v>288</v>
      </c>
      <c r="C48" t="s">
        <v>289</v>
      </c>
      <c r="D48" s="1">
        <v>46092</v>
      </c>
      <c r="E48" t="s">
        <v>20</v>
      </c>
      <c r="F48" s="1">
        <v>46387</v>
      </c>
      <c r="G48" s="2" t="str">
        <f>IF(Table1[[#This Row],[Deal Status]]="Completed", Table1[[#This Row],[Completion/Termination Date]]-Table1[[#This Row],[Announce Date]], "")</f>
        <v/>
      </c>
      <c r="H48" t="s">
        <v>290</v>
      </c>
      <c r="I48" t="s">
        <v>291</v>
      </c>
      <c r="J48" t="s">
        <v>1295</v>
      </c>
      <c r="K48" t="s">
        <v>30</v>
      </c>
      <c r="M48" t="s">
        <v>38</v>
      </c>
      <c r="N48" s="2">
        <v>4481.7</v>
      </c>
      <c r="O48" s="2">
        <v>4429.1099999999997</v>
      </c>
      <c r="P48" s="2">
        <v>12.59</v>
      </c>
      <c r="Q48" s="2">
        <v>213.3</v>
      </c>
      <c r="R48" s="2">
        <v>350</v>
      </c>
      <c r="S48" t="s">
        <v>929</v>
      </c>
      <c r="T48" t="s">
        <v>930</v>
      </c>
      <c r="U48" t="s">
        <v>976</v>
      </c>
      <c r="V48" t="s">
        <v>25</v>
      </c>
      <c r="W48" t="s">
        <v>25</v>
      </c>
      <c r="X48">
        <v>28.66</v>
      </c>
    </row>
    <row r="49" spans="1:24" x14ac:dyDescent="0.25">
      <c r="A49" t="s">
        <v>17</v>
      </c>
      <c r="B49" t="s">
        <v>330</v>
      </c>
      <c r="C49" t="s">
        <v>331</v>
      </c>
      <c r="D49" s="1">
        <v>45967</v>
      </c>
      <c r="E49" t="s">
        <v>20</v>
      </c>
      <c r="F49" s="1">
        <v>46387</v>
      </c>
      <c r="G49" s="2" t="str">
        <f>IF(Table1[[#This Row],[Deal Status]]="Completed", Table1[[#This Row],[Completion/Termination Date]]-Table1[[#This Row],[Announce Date]], "")</f>
        <v/>
      </c>
      <c r="H49" t="s">
        <v>332</v>
      </c>
      <c r="I49" t="s">
        <v>333</v>
      </c>
      <c r="J49" t="s">
        <v>1296</v>
      </c>
      <c r="K49" t="s">
        <v>23</v>
      </c>
      <c r="M49" t="s">
        <v>23</v>
      </c>
      <c r="N49" s="2">
        <v>4000.67</v>
      </c>
      <c r="O49" s="2">
        <v>4000.67</v>
      </c>
      <c r="P49" s="2" t="s">
        <v>24</v>
      </c>
      <c r="Q49" s="2" t="s">
        <v>24</v>
      </c>
      <c r="R49" s="2" t="s">
        <v>24</v>
      </c>
      <c r="S49" t="s">
        <v>958</v>
      </c>
      <c r="T49" t="s">
        <v>963</v>
      </c>
      <c r="U49" t="s">
        <v>963</v>
      </c>
      <c r="V49" t="s">
        <v>25</v>
      </c>
      <c r="W49" t="s">
        <v>25</v>
      </c>
      <c r="X49">
        <v>44.45</v>
      </c>
    </row>
    <row r="50" spans="1:24" x14ac:dyDescent="0.25">
      <c r="A50" t="s">
        <v>17</v>
      </c>
      <c r="B50" t="s">
        <v>680</v>
      </c>
      <c r="D50" s="1">
        <v>46083</v>
      </c>
      <c r="E50" t="s">
        <v>20</v>
      </c>
      <c r="F50" s="1">
        <v>46203</v>
      </c>
      <c r="G50" s="2" t="str">
        <f>IF(Table1[[#This Row],[Deal Status]]="Completed", Table1[[#This Row],[Completion/Termination Date]]-Table1[[#This Row],[Announce Date]], "")</f>
        <v/>
      </c>
      <c r="H50" t="s">
        <v>681</v>
      </c>
      <c r="I50" t="s">
        <v>682</v>
      </c>
      <c r="J50" t="s">
        <v>1296</v>
      </c>
      <c r="K50" t="s">
        <v>23</v>
      </c>
      <c r="M50" t="s">
        <v>23</v>
      </c>
      <c r="N50" s="2">
        <v>1057.81</v>
      </c>
      <c r="O50" s="2">
        <v>3900</v>
      </c>
      <c r="P50" s="2">
        <v>5.47</v>
      </c>
      <c r="Q50" s="2" t="s">
        <v>24</v>
      </c>
      <c r="R50" s="2" t="s">
        <v>24</v>
      </c>
      <c r="S50" t="s">
        <v>948</v>
      </c>
      <c r="T50" t="s">
        <v>948</v>
      </c>
      <c r="U50" t="s">
        <v>980</v>
      </c>
      <c r="V50" t="s">
        <v>25</v>
      </c>
      <c r="W50" t="s">
        <v>25</v>
      </c>
      <c r="X50" t="s">
        <v>24</v>
      </c>
    </row>
    <row r="51" spans="1:24" x14ac:dyDescent="0.25">
      <c r="A51" t="s">
        <v>17</v>
      </c>
      <c r="B51" t="s">
        <v>325</v>
      </c>
      <c r="C51" t="s">
        <v>326</v>
      </c>
      <c r="D51" s="1">
        <v>46048</v>
      </c>
      <c r="E51" t="s">
        <v>20</v>
      </c>
      <c r="F51" s="1">
        <v>46203</v>
      </c>
      <c r="G51" s="2" t="str">
        <f>IF(Table1[[#This Row],[Deal Status]]="Completed", Table1[[#This Row],[Completion/Termination Date]]-Table1[[#This Row],[Announce Date]], "")</f>
        <v/>
      </c>
      <c r="H51" t="s">
        <v>327</v>
      </c>
      <c r="I51" t="s">
        <v>328</v>
      </c>
      <c r="J51" t="s">
        <v>1295</v>
      </c>
      <c r="K51" t="s">
        <v>23</v>
      </c>
      <c r="M51" t="s">
        <v>23</v>
      </c>
      <c r="N51" s="2">
        <v>4004.91</v>
      </c>
      <c r="O51" s="2">
        <v>3865.63</v>
      </c>
      <c r="P51" s="2">
        <v>10.38</v>
      </c>
      <c r="Q51" s="2" t="s">
        <v>24</v>
      </c>
      <c r="R51" s="2" t="s">
        <v>24</v>
      </c>
      <c r="S51" t="s">
        <v>951</v>
      </c>
      <c r="T51" t="s">
        <v>951</v>
      </c>
      <c r="U51" t="s">
        <v>952</v>
      </c>
      <c r="V51" t="s">
        <v>71</v>
      </c>
      <c r="W51" t="s">
        <v>329</v>
      </c>
      <c r="X51">
        <v>21.84</v>
      </c>
    </row>
    <row r="52" spans="1:24" x14ac:dyDescent="0.25">
      <c r="A52" t="s">
        <v>17</v>
      </c>
      <c r="B52" t="s">
        <v>353</v>
      </c>
      <c r="C52" t="s">
        <v>354</v>
      </c>
      <c r="D52" s="1">
        <v>46079</v>
      </c>
      <c r="E52" t="s">
        <v>20</v>
      </c>
      <c r="F52" s="1">
        <v>46477</v>
      </c>
      <c r="G52" s="2" t="str">
        <f>IF(Table1[[#This Row],[Deal Status]]="Completed", Table1[[#This Row],[Completion/Termination Date]]-Table1[[#This Row],[Announce Date]], "")</f>
        <v/>
      </c>
      <c r="H52" t="s">
        <v>355</v>
      </c>
      <c r="I52" t="s">
        <v>356</v>
      </c>
      <c r="J52" t="s">
        <v>1295</v>
      </c>
      <c r="K52" t="s">
        <v>30</v>
      </c>
      <c r="M52" t="s">
        <v>38</v>
      </c>
      <c r="N52" s="2">
        <v>3717.09</v>
      </c>
      <c r="O52" s="2">
        <v>3717.09</v>
      </c>
      <c r="P52" s="2">
        <v>4.62</v>
      </c>
      <c r="Q52" s="2">
        <v>145</v>
      </c>
      <c r="R52" s="2">
        <v>175</v>
      </c>
      <c r="S52" t="s">
        <v>945</v>
      </c>
      <c r="T52" t="s">
        <v>967</v>
      </c>
      <c r="U52" t="s">
        <v>981</v>
      </c>
      <c r="V52" t="s">
        <v>25</v>
      </c>
      <c r="W52" t="s">
        <v>25</v>
      </c>
      <c r="X52">
        <v>25.64</v>
      </c>
    </row>
    <row r="53" spans="1:24" x14ac:dyDescent="0.25">
      <c r="A53" t="s">
        <v>17</v>
      </c>
      <c r="B53" t="s">
        <v>338</v>
      </c>
      <c r="C53" t="s">
        <v>339</v>
      </c>
      <c r="D53" s="1">
        <v>46149</v>
      </c>
      <c r="E53" t="s">
        <v>20</v>
      </c>
      <c r="F53" s="1">
        <v>46295</v>
      </c>
      <c r="G53" s="2" t="str">
        <f>IF(Table1[[#This Row],[Deal Status]]="Completed", Table1[[#This Row],[Completion/Termination Date]]-Table1[[#This Row],[Announce Date]], "")</f>
        <v/>
      </c>
      <c r="H53" t="s">
        <v>340</v>
      </c>
      <c r="I53" t="s">
        <v>341</v>
      </c>
      <c r="J53" t="s">
        <v>1295</v>
      </c>
      <c r="K53" t="s">
        <v>23</v>
      </c>
      <c r="M53" t="s">
        <v>23</v>
      </c>
      <c r="N53" s="2">
        <v>3846.9</v>
      </c>
      <c r="O53" s="2">
        <v>3140.52</v>
      </c>
      <c r="P53" s="2">
        <v>10.61</v>
      </c>
      <c r="Q53" s="2" t="s">
        <v>24</v>
      </c>
      <c r="R53" s="2" t="s">
        <v>24</v>
      </c>
      <c r="S53" t="s">
        <v>948</v>
      </c>
      <c r="T53" t="s">
        <v>948</v>
      </c>
      <c r="U53" t="s">
        <v>954</v>
      </c>
      <c r="V53" t="s">
        <v>25</v>
      </c>
      <c r="W53" t="s">
        <v>25</v>
      </c>
      <c r="X53">
        <v>15.19</v>
      </c>
    </row>
    <row r="54" spans="1:24" x14ac:dyDescent="0.25">
      <c r="A54" t="s">
        <v>17</v>
      </c>
      <c r="B54" t="s">
        <v>402</v>
      </c>
      <c r="C54" t="s">
        <v>403</v>
      </c>
      <c r="D54" s="1">
        <v>46020</v>
      </c>
      <c r="E54" t="s">
        <v>20</v>
      </c>
      <c r="F54" s="1">
        <v>46387</v>
      </c>
      <c r="G54" s="2" t="str">
        <f>IF(Table1[[#This Row],[Deal Status]]="Completed", Table1[[#This Row],[Completion/Termination Date]]-Table1[[#This Row],[Announce Date]], "")</f>
        <v/>
      </c>
      <c r="H54" t="s">
        <v>404</v>
      </c>
      <c r="I54" t="s">
        <v>405</v>
      </c>
      <c r="J54" t="s">
        <v>1295</v>
      </c>
      <c r="K54" t="s">
        <v>23</v>
      </c>
      <c r="M54" t="s">
        <v>23</v>
      </c>
      <c r="N54" s="2">
        <v>2922.79</v>
      </c>
      <c r="O54" s="2">
        <v>2869.76</v>
      </c>
      <c r="P54" s="2">
        <v>17.899999999999999</v>
      </c>
      <c r="Q54" s="2">
        <v>96</v>
      </c>
      <c r="R54" s="2">
        <v>154</v>
      </c>
      <c r="S54" t="s">
        <v>958</v>
      </c>
      <c r="T54" t="s">
        <v>969</v>
      </c>
      <c r="U54" t="s">
        <v>973</v>
      </c>
      <c r="V54" t="s">
        <v>25</v>
      </c>
      <c r="W54" t="s">
        <v>204</v>
      </c>
      <c r="X54">
        <v>24.15</v>
      </c>
    </row>
    <row r="55" spans="1:24" x14ac:dyDescent="0.25">
      <c r="A55" t="s">
        <v>17</v>
      </c>
      <c r="B55" t="s">
        <v>581</v>
      </c>
      <c r="C55" t="s">
        <v>582</v>
      </c>
      <c r="D55" s="1">
        <v>46125</v>
      </c>
      <c r="E55" t="s">
        <v>20</v>
      </c>
      <c r="F55" s="1">
        <v>46387</v>
      </c>
      <c r="G55" s="2" t="str">
        <f>IF(Table1[[#This Row],[Deal Status]]="Completed", Table1[[#This Row],[Completion/Termination Date]]-Table1[[#This Row],[Announce Date]], "")</f>
        <v/>
      </c>
      <c r="H55" t="s">
        <v>583</v>
      </c>
      <c r="I55" t="s">
        <v>584</v>
      </c>
      <c r="J55" t="s">
        <v>1295</v>
      </c>
      <c r="K55" t="s">
        <v>38</v>
      </c>
      <c r="M55" t="s">
        <v>38</v>
      </c>
      <c r="N55" s="2">
        <v>1481.31</v>
      </c>
      <c r="O55" s="2">
        <v>2553.71</v>
      </c>
      <c r="P55" s="2">
        <v>4.7300000000000004</v>
      </c>
      <c r="Q55" s="2">
        <v>64</v>
      </c>
      <c r="R55" s="2">
        <v>80</v>
      </c>
      <c r="S55" t="s">
        <v>937</v>
      </c>
      <c r="T55" t="s">
        <v>964</v>
      </c>
      <c r="U55" t="s">
        <v>985</v>
      </c>
      <c r="V55" t="s">
        <v>25</v>
      </c>
      <c r="W55" t="s">
        <v>25</v>
      </c>
      <c r="X55">
        <v>9.7200000000000006</v>
      </c>
    </row>
    <row r="56" spans="1:24" x14ac:dyDescent="0.25">
      <c r="A56" t="s">
        <v>17</v>
      </c>
      <c r="B56" t="s">
        <v>411</v>
      </c>
      <c r="C56" t="s">
        <v>412</v>
      </c>
      <c r="D56" s="1">
        <v>46188</v>
      </c>
      <c r="E56" t="s">
        <v>20</v>
      </c>
      <c r="F56" s="1">
        <v>46568</v>
      </c>
      <c r="G56" s="2" t="str">
        <f>IF(Table1[[#This Row],[Deal Status]]="Completed", Table1[[#This Row],[Completion/Termination Date]]-Table1[[#This Row],[Announce Date]], "")</f>
        <v/>
      </c>
      <c r="H56" t="s">
        <v>413</v>
      </c>
      <c r="I56" t="s">
        <v>414</v>
      </c>
      <c r="J56" t="s">
        <v>1296</v>
      </c>
      <c r="K56" t="s">
        <v>23</v>
      </c>
      <c r="M56" t="s">
        <v>23</v>
      </c>
      <c r="N56" s="2">
        <v>2477.36</v>
      </c>
      <c r="O56" s="2">
        <v>2477.36</v>
      </c>
      <c r="P56" s="2">
        <v>13.02</v>
      </c>
      <c r="Q56" s="2" t="s">
        <v>24</v>
      </c>
      <c r="R56" s="2" t="s">
        <v>24</v>
      </c>
      <c r="S56" t="s">
        <v>958</v>
      </c>
      <c r="T56" t="s">
        <v>969</v>
      </c>
      <c r="U56" t="s">
        <v>970</v>
      </c>
      <c r="V56" t="s">
        <v>25</v>
      </c>
      <c r="W56" t="s">
        <v>25</v>
      </c>
      <c r="X56">
        <v>38.21</v>
      </c>
    </row>
    <row r="57" spans="1:24" x14ac:dyDescent="0.25">
      <c r="A57" t="s">
        <v>17</v>
      </c>
      <c r="B57" t="s">
        <v>539</v>
      </c>
      <c r="C57" t="s">
        <v>540</v>
      </c>
      <c r="D57" s="1">
        <v>46132</v>
      </c>
      <c r="E57" t="s">
        <v>20</v>
      </c>
      <c r="F57" s="1">
        <v>46204</v>
      </c>
      <c r="G57" s="2" t="str">
        <f>IF(Table1[[#This Row],[Deal Status]]="Completed", Table1[[#This Row],[Completion/Termination Date]]-Table1[[#This Row],[Announce Date]], "")</f>
        <v/>
      </c>
      <c r="H57" t="s">
        <v>541</v>
      </c>
      <c r="I57" t="s">
        <v>542</v>
      </c>
      <c r="J57" t="s">
        <v>1296</v>
      </c>
      <c r="K57" t="s">
        <v>23</v>
      </c>
      <c r="M57" t="s">
        <v>23</v>
      </c>
      <c r="N57" s="2">
        <v>1678.39</v>
      </c>
      <c r="O57" s="2">
        <v>2361.23</v>
      </c>
      <c r="P57" s="2">
        <v>16.71</v>
      </c>
      <c r="Q57" s="2" t="s">
        <v>24</v>
      </c>
      <c r="R57" s="2" t="s">
        <v>24</v>
      </c>
      <c r="S57" t="s">
        <v>940</v>
      </c>
      <c r="T57" t="s">
        <v>940</v>
      </c>
      <c r="U57" t="s">
        <v>941</v>
      </c>
      <c r="V57" t="s">
        <v>25</v>
      </c>
      <c r="W57" t="s">
        <v>25</v>
      </c>
      <c r="X57">
        <v>25.83</v>
      </c>
    </row>
    <row r="58" spans="1:24" x14ac:dyDescent="0.25">
      <c r="A58" t="s">
        <v>17</v>
      </c>
      <c r="B58" t="s">
        <v>419</v>
      </c>
      <c r="C58" t="s">
        <v>420</v>
      </c>
      <c r="D58" s="1">
        <v>46159</v>
      </c>
      <c r="E58" t="s">
        <v>20</v>
      </c>
      <c r="F58" s="1">
        <v>46387</v>
      </c>
      <c r="G58" s="2" t="str">
        <f>IF(Table1[[#This Row],[Deal Status]]="Completed", Table1[[#This Row],[Completion/Termination Date]]-Table1[[#This Row],[Announce Date]], "")</f>
        <v/>
      </c>
      <c r="H58" t="s">
        <v>421</v>
      </c>
      <c r="I58" t="s">
        <v>422</v>
      </c>
      <c r="J58" t="s">
        <v>1295</v>
      </c>
      <c r="K58" t="s">
        <v>23</v>
      </c>
      <c r="M58" t="s">
        <v>23</v>
      </c>
      <c r="N58" s="2">
        <v>2430.31</v>
      </c>
      <c r="O58" s="2">
        <v>2058.16</v>
      </c>
      <c r="P58" s="2">
        <v>70.59</v>
      </c>
      <c r="Q58" s="2" t="s">
        <v>24</v>
      </c>
      <c r="R58" s="2" t="s">
        <v>24</v>
      </c>
      <c r="S58" t="s">
        <v>945</v>
      </c>
      <c r="T58" t="s">
        <v>946</v>
      </c>
      <c r="U58" t="s">
        <v>947</v>
      </c>
      <c r="V58" t="s">
        <v>25</v>
      </c>
      <c r="W58" t="s">
        <v>423</v>
      </c>
      <c r="X58">
        <v>30.57</v>
      </c>
    </row>
    <row r="59" spans="1:24" x14ac:dyDescent="0.25">
      <c r="A59" t="s">
        <v>17</v>
      </c>
      <c r="B59" t="s">
        <v>484</v>
      </c>
      <c r="C59" t="s">
        <v>485</v>
      </c>
      <c r="D59" s="1">
        <v>46050</v>
      </c>
      <c r="E59" t="s">
        <v>20</v>
      </c>
      <c r="F59" s="1">
        <v>46204</v>
      </c>
      <c r="G59" s="2" t="str">
        <f>IF(Table1[[#This Row],[Deal Status]]="Completed", Table1[[#This Row],[Completion/Termination Date]]-Table1[[#This Row],[Announce Date]], "")</f>
        <v/>
      </c>
      <c r="H59" t="s">
        <v>486</v>
      </c>
      <c r="I59" t="s">
        <v>487</v>
      </c>
      <c r="J59" t="s">
        <v>1295</v>
      </c>
      <c r="K59" t="s">
        <v>30</v>
      </c>
      <c r="M59" t="s">
        <v>38</v>
      </c>
      <c r="N59" s="2">
        <v>1976.42</v>
      </c>
      <c r="O59" s="2">
        <v>1976.42</v>
      </c>
      <c r="P59" s="2" t="s">
        <v>24</v>
      </c>
      <c r="Q59" s="2" t="s">
        <v>24</v>
      </c>
      <c r="R59" s="2" t="s">
        <v>24</v>
      </c>
      <c r="S59" t="s">
        <v>958</v>
      </c>
      <c r="T59" t="s">
        <v>959</v>
      </c>
      <c r="U59" t="s">
        <v>959</v>
      </c>
      <c r="V59" t="s">
        <v>25</v>
      </c>
      <c r="W59" t="s">
        <v>25</v>
      </c>
      <c r="X59">
        <v>20.9</v>
      </c>
    </row>
    <row r="60" spans="1:24" x14ac:dyDescent="0.25">
      <c r="A60" t="s">
        <v>17</v>
      </c>
      <c r="B60" t="s">
        <v>492</v>
      </c>
      <c r="C60" t="s">
        <v>493</v>
      </c>
      <c r="D60" s="1">
        <v>45931</v>
      </c>
      <c r="E60" t="s">
        <v>20</v>
      </c>
      <c r="F60" s="1">
        <v>46387</v>
      </c>
      <c r="G60" s="2" t="str">
        <f>IF(Table1[[#This Row],[Deal Status]]="Completed", Table1[[#This Row],[Completion/Termination Date]]-Table1[[#This Row],[Announce Date]], "")</f>
        <v/>
      </c>
      <c r="H60" t="s">
        <v>494</v>
      </c>
      <c r="I60" t="s">
        <v>495</v>
      </c>
      <c r="J60" t="s">
        <v>1295</v>
      </c>
      <c r="K60" t="s">
        <v>38</v>
      </c>
      <c r="M60" t="s">
        <v>38</v>
      </c>
      <c r="N60" s="2">
        <v>1939.7</v>
      </c>
      <c r="O60" s="2">
        <v>1847.68</v>
      </c>
      <c r="P60" s="2">
        <v>19.059999999999999</v>
      </c>
      <c r="Q60" s="2" t="s">
        <v>24</v>
      </c>
      <c r="R60" s="2" t="s">
        <v>24</v>
      </c>
      <c r="S60" t="s">
        <v>945</v>
      </c>
      <c r="T60" t="s">
        <v>967</v>
      </c>
      <c r="U60" t="s">
        <v>968</v>
      </c>
      <c r="V60" t="s">
        <v>25</v>
      </c>
      <c r="W60" t="s">
        <v>25</v>
      </c>
      <c r="X60">
        <v>18.75</v>
      </c>
    </row>
    <row r="61" spans="1:24" x14ac:dyDescent="0.25">
      <c r="A61" t="s">
        <v>17</v>
      </c>
      <c r="B61" t="s">
        <v>504</v>
      </c>
      <c r="C61" t="s">
        <v>505</v>
      </c>
      <c r="D61" s="1">
        <v>46121</v>
      </c>
      <c r="E61" t="s">
        <v>20</v>
      </c>
      <c r="F61" s="1">
        <v>46234</v>
      </c>
      <c r="G61" s="2" t="str">
        <f>IF(Table1[[#This Row],[Deal Status]]="Completed", Table1[[#This Row],[Completion/Termination Date]]-Table1[[#This Row],[Announce Date]], "")</f>
        <v/>
      </c>
      <c r="H61" t="s">
        <v>506</v>
      </c>
      <c r="I61" t="s">
        <v>507</v>
      </c>
      <c r="J61" t="s">
        <v>1295</v>
      </c>
      <c r="K61" t="s">
        <v>38</v>
      </c>
      <c r="M61" t="s">
        <v>38</v>
      </c>
      <c r="N61" s="2">
        <v>1824.1</v>
      </c>
      <c r="O61" s="2">
        <v>1781.27</v>
      </c>
      <c r="P61" s="2" t="s">
        <v>24</v>
      </c>
      <c r="Q61" s="2">
        <v>121</v>
      </c>
      <c r="R61" s="2" t="s">
        <v>24</v>
      </c>
      <c r="S61" t="s">
        <v>951</v>
      </c>
      <c r="T61" t="s">
        <v>951</v>
      </c>
      <c r="U61" t="s">
        <v>952</v>
      </c>
      <c r="V61" t="s">
        <v>71</v>
      </c>
      <c r="W61" t="s">
        <v>71</v>
      </c>
      <c r="X61">
        <v>77.790000000000006</v>
      </c>
    </row>
    <row r="62" spans="1:24" x14ac:dyDescent="0.25">
      <c r="A62" t="s">
        <v>17</v>
      </c>
      <c r="B62" t="s">
        <v>535</v>
      </c>
      <c r="C62" t="s">
        <v>536</v>
      </c>
      <c r="D62" s="1">
        <v>46048</v>
      </c>
      <c r="E62" t="s">
        <v>20</v>
      </c>
      <c r="F62" s="1">
        <v>46295</v>
      </c>
      <c r="G62" s="2" t="str">
        <f>IF(Table1[[#This Row],[Deal Status]]="Completed", Table1[[#This Row],[Completion/Termination Date]]-Table1[[#This Row],[Announce Date]], "")</f>
        <v/>
      </c>
      <c r="H62" t="s">
        <v>537</v>
      </c>
      <c r="I62" t="s">
        <v>538</v>
      </c>
      <c r="J62" t="s">
        <v>1295</v>
      </c>
      <c r="K62" t="s">
        <v>30</v>
      </c>
      <c r="M62" t="s">
        <v>38</v>
      </c>
      <c r="N62" s="2">
        <v>1697.78</v>
      </c>
      <c r="O62" s="2">
        <v>1733.01</v>
      </c>
      <c r="P62" s="2">
        <v>52.29</v>
      </c>
      <c r="Q62" s="2" t="s">
        <v>24</v>
      </c>
      <c r="R62" s="2" t="s">
        <v>24</v>
      </c>
      <c r="S62" t="s">
        <v>945</v>
      </c>
      <c r="T62" t="s">
        <v>967</v>
      </c>
      <c r="U62" t="s">
        <v>968</v>
      </c>
      <c r="V62" t="s">
        <v>25</v>
      </c>
      <c r="W62" t="s">
        <v>25</v>
      </c>
      <c r="X62">
        <v>29.54</v>
      </c>
    </row>
    <row r="63" spans="1:24" x14ac:dyDescent="0.25">
      <c r="A63" t="s">
        <v>17</v>
      </c>
      <c r="B63" t="s">
        <v>543</v>
      </c>
      <c r="C63" t="s">
        <v>544</v>
      </c>
      <c r="D63" s="1">
        <v>46055</v>
      </c>
      <c r="E63" t="s">
        <v>20</v>
      </c>
      <c r="F63" s="1">
        <v>46295</v>
      </c>
      <c r="G63" s="2" t="str">
        <f>IF(Table1[[#This Row],[Deal Status]]="Completed", Table1[[#This Row],[Completion/Termination Date]]-Table1[[#This Row],[Announce Date]], "")</f>
        <v/>
      </c>
      <c r="H63" t="s">
        <v>545</v>
      </c>
      <c r="I63" t="s">
        <v>546</v>
      </c>
      <c r="J63" t="s">
        <v>1295</v>
      </c>
      <c r="K63" t="s">
        <v>38</v>
      </c>
      <c r="M63" t="s">
        <v>38</v>
      </c>
      <c r="N63" s="2">
        <v>1672.13</v>
      </c>
      <c r="O63" s="2">
        <v>1672.13</v>
      </c>
      <c r="P63" s="2" t="s">
        <v>24</v>
      </c>
      <c r="Q63" s="2">
        <v>23.7</v>
      </c>
      <c r="R63" s="2">
        <v>23.7</v>
      </c>
      <c r="S63" t="s">
        <v>958</v>
      </c>
      <c r="T63" t="s">
        <v>959</v>
      </c>
      <c r="U63" t="s">
        <v>959</v>
      </c>
      <c r="V63" t="s">
        <v>25</v>
      </c>
      <c r="W63" t="s">
        <v>25</v>
      </c>
      <c r="X63" t="s">
        <v>24</v>
      </c>
    </row>
    <row r="64" spans="1:24" x14ac:dyDescent="0.25">
      <c r="A64" t="s">
        <v>17</v>
      </c>
      <c r="B64" t="s">
        <v>709</v>
      </c>
      <c r="C64" t="s">
        <v>710</v>
      </c>
      <c r="D64" s="1">
        <v>46121</v>
      </c>
      <c r="E64" t="s">
        <v>20</v>
      </c>
      <c r="F64" s="1">
        <v>46295</v>
      </c>
      <c r="G64" s="2" t="str">
        <f>IF(Table1[[#This Row],[Deal Status]]="Completed", Table1[[#This Row],[Completion/Termination Date]]-Table1[[#This Row],[Announce Date]], "")</f>
        <v/>
      </c>
      <c r="H64" t="s">
        <v>711</v>
      </c>
      <c r="I64" t="s">
        <v>712</v>
      </c>
      <c r="J64" t="s">
        <v>1296</v>
      </c>
      <c r="K64" t="s">
        <v>23</v>
      </c>
      <c r="M64" t="s">
        <v>23</v>
      </c>
      <c r="N64" s="2">
        <v>976.44</v>
      </c>
      <c r="O64" s="2">
        <v>1616.22</v>
      </c>
      <c r="P64" s="2">
        <v>18</v>
      </c>
      <c r="Q64" s="2" t="s">
        <v>24</v>
      </c>
      <c r="R64" s="2" t="s">
        <v>24</v>
      </c>
      <c r="S64" t="s">
        <v>940</v>
      </c>
      <c r="T64" t="s">
        <v>940</v>
      </c>
      <c r="U64" t="s">
        <v>941</v>
      </c>
      <c r="V64" t="s">
        <v>25</v>
      </c>
      <c r="W64" t="s">
        <v>25</v>
      </c>
      <c r="X64">
        <v>16.29</v>
      </c>
    </row>
    <row r="65" spans="1:24" x14ac:dyDescent="0.25">
      <c r="A65" t="s">
        <v>17</v>
      </c>
      <c r="B65" t="s">
        <v>593</v>
      </c>
      <c r="D65" s="1">
        <v>45804</v>
      </c>
      <c r="E65" t="s">
        <v>20</v>
      </c>
      <c r="F65" s="1">
        <v>46203</v>
      </c>
      <c r="G65" s="2" t="str">
        <f>IF(Table1[[#This Row],[Deal Status]]="Completed", Table1[[#This Row],[Completion/Termination Date]]-Table1[[#This Row],[Announce Date]], "")</f>
        <v/>
      </c>
      <c r="H65" t="s">
        <v>594</v>
      </c>
      <c r="I65" t="s">
        <v>595</v>
      </c>
      <c r="J65" t="s">
        <v>1296</v>
      </c>
      <c r="K65" t="s">
        <v>23</v>
      </c>
      <c r="M65" t="s">
        <v>23</v>
      </c>
      <c r="N65" s="2">
        <v>1450.64</v>
      </c>
      <c r="O65" s="2">
        <v>1450.64</v>
      </c>
      <c r="P65" s="2">
        <v>13.48</v>
      </c>
      <c r="Q65" s="2" t="s">
        <v>24</v>
      </c>
      <c r="R65" s="2" t="s">
        <v>24</v>
      </c>
      <c r="S65" t="s">
        <v>940</v>
      </c>
      <c r="T65" t="s">
        <v>940</v>
      </c>
      <c r="U65" t="s">
        <v>941</v>
      </c>
      <c r="V65" t="s">
        <v>71</v>
      </c>
      <c r="W65" t="s">
        <v>596</v>
      </c>
      <c r="X65">
        <v>19.03</v>
      </c>
    </row>
    <row r="66" spans="1:24" x14ac:dyDescent="0.25">
      <c r="A66" t="s">
        <v>17</v>
      </c>
      <c r="B66" t="s">
        <v>607</v>
      </c>
      <c r="C66" t="s">
        <v>608</v>
      </c>
      <c r="D66" s="1">
        <v>46107</v>
      </c>
      <c r="E66" t="s">
        <v>20</v>
      </c>
      <c r="F66" s="1">
        <v>46387</v>
      </c>
      <c r="G66" s="2" t="str">
        <f>IF(Table1[[#This Row],[Deal Status]]="Completed", Table1[[#This Row],[Completion/Termination Date]]-Table1[[#This Row],[Announce Date]], "")</f>
        <v/>
      </c>
      <c r="H66" t="s">
        <v>609</v>
      </c>
      <c r="I66" t="s">
        <v>610</v>
      </c>
      <c r="J66" t="s">
        <v>1295</v>
      </c>
      <c r="K66" t="s">
        <v>23</v>
      </c>
      <c r="M66" t="s">
        <v>23</v>
      </c>
      <c r="N66" s="2">
        <v>1378.97</v>
      </c>
      <c r="O66" s="2">
        <v>1412.53</v>
      </c>
      <c r="P66" s="2">
        <v>12.31</v>
      </c>
      <c r="Q66" s="2" t="s">
        <v>24</v>
      </c>
      <c r="R66" s="2" t="s">
        <v>24</v>
      </c>
      <c r="S66" t="s">
        <v>932</v>
      </c>
      <c r="T66" t="s">
        <v>933</v>
      </c>
      <c r="U66" t="s">
        <v>934</v>
      </c>
      <c r="V66" t="s">
        <v>25</v>
      </c>
      <c r="W66" t="s">
        <v>374</v>
      </c>
      <c r="X66">
        <v>49.55</v>
      </c>
    </row>
    <row r="67" spans="1:24" x14ac:dyDescent="0.25">
      <c r="A67" t="s">
        <v>17</v>
      </c>
      <c r="B67" t="s">
        <v>704</v>
      </c>
      <c r="C67" t="s">
        <v>562</v>
      </c>
      <c r="D67" s="1">
        <v>46153</v>
      </c>
      <c r="E67" t="s">
        <v>20</v>
      </c>
      <c r="F67" s="1">
        <v>46387</v>
      </c>
      <c r="G67" s="2" t="str">
        <f>IF(Table1[[#This Row],[Deal Status]]="Completed", Table1[[#This Row],[Completion/Termination Date]]-Table1[[#This Row],[Announce Date]], "")</f>
        <v/>
      </c>
      <c r="H67" t="s">
        <v>705</v>
      </c>
      <c r="I67" t="s">
        <v>564</v>
      </c>
      <c r="J67" t="s">
        <v>1296</v>
      </c>
      <c r="K67" t="s">
        <v>23</v>
      </c>
      <c r="M67" t="s">
        <v>23</v>
      </c>
      <c r="N67" s="2">
        <v>995.48</v>
      </c>
      <c r="O67" s="2">
        <v>1403.68</v>
      </c>
      <c r="P67" s="2">
        <v>26.24</v>
      </c>
      <c r="Q67" s="2" t="s">
        <v>24</v>
      </c>
      <c r="R67" s="2" t="s">
        <v>24</v>
      </c>
      <c r="S67" t="s">
        <v>929</v>
      </c>
      <c r="T67" t="s">
        <v>930</v>
      </c>
      <c r="U67" t="s">
        <v>976</v>
      </c>
      <c r="V67" t="s">
        <v>25</v>
      </c>
      <c r="W67" t="s">
        <v>25</v>
      </c>
      <c r="X67">
        <v>6.49</v>
      </c>
    </row>
    <row r="68" spans="1:24" x14ac:dyDescent="0.25">
      <c r="A68" t="s">
        <v>17</v>
      </c>
      <c r="B68" t="s">
        <v>565</v>
      </c>
      <c r="C68" t="s">
        <v>566</v>
      </c>
      <c r="D68" s="1">
        <v>45874</v>
      </c>
      <c r="E68" t="s">
        <v>32</v>
      </c>
      <c r="F68" s="1">
        <v>46028</v>
      </c>
      <c r="G68" s="2" t="str">
        <f>IF(Table1[[#This Row],[Deal Status]]="Completed", Table1[[#This Row],[Completion/Termination Date]]-Table1[[#This Row],[Announce Date]], "")</f>
        <v/>
      </c>
      <c r="H68" t="s">
        <v>567</v>
      </c>
      <c r="I68" t="s">
        <v>568</v>
      </c>
      <c r="J68" t="s">
        <v>1295</v>
      </c>
      <c r="K68" t="s">
        <v>23</v>
      </c>
      <c r="M68" t="s">
        <v>23</v>
      </c>
      <c r="N68" s="2">
        <v>1522.93</v>
      </c>
      <c r="O68" s="2">
        <v>1336.85</v>
      </c>
      <c r="P68" s="2">
        <v>468.41</v>
      </c>
      <c r="Q68" s="2" t="s">
        <v>24</v>
      </c>
      <c r="R68" s="2" t="s">
        <v>24</v>
      </c>
      <c r="S68" t="s">
        <v>948</v>
      </c>
      <c r="T68" t="s">
        <v>948</v>
      </c>
      <c r="U68" t="s">
        <v>949</v>
      </c>
      <c r="V68" t="s">
        <v>25</v>
      </c>
      <c r="W68" t="s">
        <v>25</v>
      </c>
      <c r="X68">
        <v>16.920000000000002</v>
      </c>
    </row>
    <row r="69" spans="1:24" x14ac:dyDescent="0.25">
      <c r="A69" t="s">
        <v>17</v>
      </c>
      <c r="B69" t="s">
        <v>613</v>
      </c>
      <c r="C69" t="s">
        <v>614</v>
      </c>
      <c r="D69" s="1">
        <v>46008</v>
      </c>
      <c r="E69" t="s">
        <v>32</v>
      </c>
      <c r="F69" s="1">
        <v>46108</v>
      </c>
      <c r="G69" s="2" t="str">
        <f>IF(Table1[[#This Row],[Deal Status]]="Completed", Table1[[#This Row],[Completion/Termination Date]]-Table1[[#This Row],[Announce Date]], "")</f>
        <v/>
      </c>
      <c r="H69" t="s">
        <v>615</v>
      </c>
      <c r="I69" t="s">
        <v>616</v>
      </c>
      <c r="J69" t="s">
        <v>1295</v>
      </c>
      <c r="K69" t="s">
        <v>38</v>
      </c>
      <c r="M69" t="s">
        <v>38</v>
      </c>
      <c r="N69" s="2">
        <v>1328.95</v>
      </c>
      <c r="O69" s="2">
        <v>1328.95</v>
      </c>
      <c r="P69" s="2">
        <v>1.4</v>
      </c>
      <c r="Q69" s="2">
        <v>25.35</v>
      </c>
      <c r="R69" s="2" t="s">
        <v>24</v>
      </c>
      <c r="S69" t="s">
        <v>958</v>
      </c>
      <c r="T69" t="s">
        <v>969</v>
      </c>
      <c r="U69" t="s">
        <v>970</v>
      </c>
      <c r="V69" t="s">
        <v>25</v>
      </c>
      <c r="W69" t="s">
        <v>25</v>
      </c>
      <c r="X69">
        <v>28</v>
      </c>
    </row>
    <row r="70" spans="1:24" x14ac:dyDescent="0.25">
      <c r="A70" t="s">
        <v>17</v>
      </c>
      <c r="B70" t="s">
        <v>621</v>
      </c>
      <c r="C70" t="s">
        <v>622</v>
      </c>
      <c r="D70" s="1">
        <v>45993</v>
      </c>
      <c r="E70" t="s">
        <v>20</v>
      </c>
      <c r="F70" s="1">
        <v>46112</v>
      </c>
      <c r="G70" s="2" t="str">
        <f>IF(Table1[[#This Row],[Deal Status]]="Completed", Table1[[#This Row],[Completion/Termination Date]]-Table1[[#This Row],[Announce Date]], "")</f>
        <v/>
      </c>
      <c r="H70" t="s">
        <v>623</v>
      </c>
      <c r="I70" t="s">
        <v>624</v>
      </c>
      <c r="J70" t="s">
        <v>1295</v>
      </c>
      <c r="K70" t="s">
        <v>23</v>
      </c>
      <c r="M70" t="s">
        <v>23</v>
      </c>
      <c r="N70" s="2">
        <v>1290.1500000000001</v>
      </c>
      <c r="O70" s="2">
        <v>1290.1500000000001</v>
      </c>
      <c r="P70" s="2" t="s">
        <v>24</v>
      </c>
      <c r="Q70" s="2" t="s">
        <v>24</v>
      </c>
      <c r="R70" s="2" t="s">
        <v>24</v>
      </c>
      <c r="S70" t="s">
        <v>958</v>
      </c>
      <c r="T70" t="s">
        <v>959</v>
      </c>
      <c r="U70" t="s">
        <v>959</v>
      </c>
      <c r="V70" t="s">
        <v>71</v>
      </c>
      <c r="W70" t="s">
        <v>71</v>
      </c>
      <c r="X70">
        <v>22.07</v>
      </c>
    </row>
    <row r="71" spans="1:24" x14ac:dyDescent="0.25">
      <c r="A71" t="s">
        <v>17</v>
      </c>
      <c r="B71" t="s">
        <v>668</v>
      </c>
      <c r="C71" t="s">
        <v>669</v>
      </c>
      <c r="D71" s="1">
        <v>45664</v>
      </c>
      <c r="E71" t="s">
        <v>20</v>
      </c>
      <c r="F71" t="s">
        <v>24</v>
      </c>
      <c r="G71" s="2" t="str">
        <f>IF(Table1[[#This Row],[Deal Status]]="Completed", Table1[[#This Row],[Completion/Termination Date]]-Table1[[#This Row],[Announce Date]], "")</f>
        <v/>
      </c>
      <c r="H71" t="s">
        <v>670</v>
      </c>
      <c r="I71" t="s">
        <v>671</v>
      </c>
      <c r="J71" t="s">
        <v>1295</v>
      </c>
      <c r="K71" t="s">
        <v>80</v>
      </c>
      <c r="M71" t="s">
        <v>38</v>
      </c>
      <c r="N71" s="2">
        <v>1112.3</v>
      </c>
      <c r="O71" s="2">
        <v>1284.8699999999999</v>
      </c>
      <c r="P71" s="2">
        <v>8.2200000000000006</v>
      </c>
      <c r="Q71" s="2">
        <v>32.700000000000003</v>
      </c>
      <c r="R71" s="2">
        <v>32.700000000000003</v>
      </c>
      <c r="S71" t="s">
        <v>926</v>
      </c>
      <c r="T71" t="s">
        <v>927</v>
      </c>
      <c r="U71" t="s">
        <v>988</v>
      </c>
      <c r="V71" t="s">
        <v>25</v>
      </c>
      <c r="W71" t="s">
        <v>25</v>
      </c>
      <c r="X71">
        <v>2.74</v>
      </c>
    </row>
    <row r="72" spans="1:24" x14ac:dyDescent="0.25">
      <c r="A72" t="s">
        <v>17</v>
      </c>
      <c r="B72" t="s">
        <v>625</v>
      </c>
      <c r="C72" t="s">
        <v>626</v>
      </c>
      <c r="D72" s="1">
        <v>45735</v>
      </c>
      <c r="E72" t="s">
        <v>20</v>
      </c>
      <c r="F72" s="1">
        <v>46203</v>
      </c>
      <c r="G72" s="2" t="str">
        <f>IF(Table1[[#This Row],[Deal Status]]="Completed", Table1[[#This Row],[Completion/Termination Date]]-Table1[[#This Row],[Announce Date]], "")</f>
        <v/>
      </c>
      <c r="H72" t="s">
        <v>627</v>
      </c>
      <c r="I72" t="s">
        <v>628</v>
      </c>
      <c r="J72" t="s">
        <v>1295</v>
      </c>
      <c r="K72" t="s">
        <v>23</v>
      </c>
      <c r="M72" t="s">
        <v>23</v>
      </c>
      <c r="N72" s="2">
        <v>1278.92</v>
      </c>
      <c r="O72" s="2">
        <v>1278.92</v>
      </c>
      <c r="P72" s="2" t="s">
        <v>24</v>
      </c>
      <c r="Q72" s="2" t="s">
        <v>24</v>
      </c>
      <c r="R72" s="2" t="s">
        <v>24</v>
      </c>
      <c r="S72" t="s">
        <v>958</v>
      </c>
      <c r="T72" t="s">
        <v>963</v>
      </c>
      <c r="U72" t="s">
        <v>963</v>
      </c>
      <c r="V72" t="s">
        <v>25</v>
      </c>
      <c r="W72" t="s">
        <v>25</v>
      </c>
      <c r="X72">
        <v>63.39</v>
      </c>
    </row>
    <row r="73" spans="1:24" x14ac:dyDescent="0.25">
      <c r="A73" t="s">
        <v>17</v>
      </c>
      <c r="B73" t="s">
        <v>613</v>
      </c>
      <c r="C73" t="s">
        <v>631</v>
      </c>
      <c r="D73" s="1">
        <v>46108</v>
      </c>
      <c r="E73" t="s">
        <v>20</v>
      </c>
      <c r="F73" s="1">
        <v>46295</v>
      </c>
      <c r="G73" s="2" t="str">
        <f>IF(Table1[[#This Row],[Deal Status]]="Completed", Table1[[#This Row],[Completion/Termination Date]]-Table1[[#This Row],[Announce Date]], "")</f>
        <v/>
      </c>
      <c r="H73" t="s">
        <v>615</v>
      </c>
      <c r="I73" t="s">
        <v>632</v>
      </c>
      <c r="J73" t="s">
        <v>1295</v>
      </c>
      <c r="K73" t="s">
        <v>23</v>
      </c>
      <c r="M73" t="s">
        <v>23</v>
      </c>
      <c r="N73" s="2">
        <v>1260.52</v>
      </c>
      <c r="O73" s="2">
        <v>1260.52</v>
      </c>
      <c r="P73" s="2">
        <v>27.69</v>
      </c>
      <c r="Q73" s="2" t="s">
        <v>24</v>
      </c>
      <c r="R73" s="2" t="s">
        <v>24</v>
      </c>
      <c r="S73" t="s">
        <v>958</v>
      </c>
      <c r="T73" t="s">
        <v>969</v>
      </c>
      <c r="U73" t="s">
        <v>970</v>
      </c>
      <c r="V73" t="s">
        <v>25</v>
      </c>
      <c r="W73" t="s">
        <v>25</v>
      </c>
      <c r="X73">
        <v>5.04</v>
      </c>
    </row>
    <row r="74" spans="1:24" x14ac:dyDescent="0.25">
      <c r="A74" t="s">
        <v>17</v>
      </c>
      <c r="B74" t="s">
        <v>650</v>
      </c>
      <c r="C74" t="s">
        <v>651</v>
      </c>
      <c r="D74" s="1">
        <v>46083</v>
      </c>
      <c r="E74" t="s">
        <v>20</v>
      </c>
      <c r="F74" s="1">
        <v>46203</v>
      </c>
      <c r="G74" s="2" t="str">
        <f>IF(Table1[[#This Row],[Deal Status]]="Completed", Table1[[#This Row],[Completion/Termination Date]]-Table1[[#This Row],[Announce Date]], "")</f>
        <v/>
      </c>
      <c r="H74" t="s">
        <v>652</v>
      </c>
      <c r="I74" t="s">
        <v>653</v>
      </c>
      <c r="J74" t="s">
        <v>1295</v>
      </c>
      <c r="K74" t="s">
        <v>38</v>
      </c>
      <c r="M74" t="s">
        <v>38</v>
      </c>
      <c r="N74" s="2">
        <v>1163.22</v>
      </c>
      <c r="O74" s="2">
        <v>1204.73</v>
      </c>
      <c r="P74" s="2" t="s">
        <v>24</v>
      </c>
      <c r="Q74" s="2" t="s">
        <v>24</v>
      </c>
      <c r="R74" s="2" t="s">
        <v>24</v>
      </c>
      <c r="S74" t="s">
        <v>951</v>
      </c>
      <c r="T74" t="s">
        <v>951</v>
      </c>
      <c r="U74" t="s">
        <v>952</v>
      </c>
      <c r="V74" t="s">
        <v>25</v>
      </c>
      <c r="W74" t="s">
        <v>71</v>
      </c>
      <c r="X74">
        <v>35.99</v>
      </c>
    </row>
    <row r="75" spans="1:24" x14ac:dyDescent="0.25">
      <c r="A75" t="s">
        <v>17</v>
      </c>
      <c r="B75" t="s">
        <v>654</v>
      </c>
      <c r="C75" t="s">
        <v>655</v>
      </c>
      <c r="D75" s="1">
        <v>46126</v>
      </c>
      <c r="E75" t="s">
        <v>20</v>
      </c>
      <c r="F75" s="1">
        <v>46387</v>
      </c>
      <c r="G75" s="2" t="str">
        <f>IF(Table1[[#This Row],[Deal Status]]="Completed", Table1[[#This Row],[Completion/Termination Date]]-Table1[[#This Row],[Announce Date]], "")</f>
        <v/>
      </c>
      <c r="H75" t="s">
        <v>656</v>
      </c>
      <c r="I75" t="s">
        <v>657</v>
      </c>
      <c r="J75" t="s">
        <v>1296</v>
      </c>
      <c r="K75" t="s">
        <v>23</v>
      </c>
      <c r="M75" t="s">
        <v>23</v>
      </c>
      <c r="N75" s="2">
        <v>1162.69</v>
      </c>
      <c r="O75" s="2">
        <v>1201.99</v>
      </c>
      <c r="P75" s="2" t="s">
        <v>24</v>
      </c>
      <c r="Q75" s="2" t="s">
        <v>24</v>
      </c>
      <c r="R75" s="2" t="s">
        <v>24</v>
      </c>
      <c r="S75" t="s">
        <v>948</v>
      </c>
      <c r="T75" t="s">
        <v>948</v>
      </c>
      <c r="U75" t="s">
        <v>949</v>
      </c>
      <c r="V75" t="s">
        <v>25</v>
      </c>
      <c r="W75" t="s">
        <v>25</v>
      </c>
      <c r="X75">
        <v>81.400000000000006</v>
      </c>
    </row>
    <row r="76" spans="1:24" x14ac:dyDescent="0.25">
      <c r="A76" t="s">
        <v>17</v>
      </c>
      <c r="B76" t="s">
        <v>697</v>
      </c>
      <c r="C76" t="s">
        <v>698</v>
      </c>
      <c r="D76" s="1">
        <v>46146</v>
      </c>
      <c r="E76" t="s">
        <v>20</v>
      </c>
      <c r="F76" t="s">
        <v>24</v>
      </c>
      <c r="G76" s="2" t="str">
        <f>IF(Table1[[#This Row],[Deal Status]]="Completed", Table1[[#This Row],[Completion/Termination Date]]-Table1[[#This Row],[Announce Date]], "")</f>
        <v/>
      </c>
      <c r="H76" t="s">
        <v>699</v>
      </c>
      <c r="I76" t="s">
        <v>700</v>
      </c>
      <c r="J76" t="s">
        <v>1295</v>
      </c>
      <c r="K76" t="s">
        <v>30</v>
      </c>
      <c r="M76" t="s">
        <v>38</v>
      </c>
      <c r="N76" s="2">
        <v>1005.84</v>
      </c>
      <c r="O76" s="2">
        <v>1144.92</v>
      </c>
      <c r="P76" s="2">
        <v>14.79</v>
      </c>
      <c r="Q76" s="2" t="s">
        <v>24</v>
      </c>
      <c r="R76" s="2" t="s">
        <v>24</v>
      </c>
      <c r="S76" t="s">
        <v>929</v>
      </c>
      <c r="T76" t="s">
        <v>930</v>
      </c>
      <c r="U76" t="s">
        <v>931</v>
      </c>
      <c r="V76" t="s">
        <v>25</v>
      </c>
      <c r="W76" t="s">
        <v>701</v>
      </c>
      <c r="X76">
        <v>14.05</v>
      </c>
    </row>
    <row r="77" spans="1:24" x14ac:dyDescent="0.25">
      <c r="A77" t="s">
        <v>17</v>
      </c>
      <c r="B77" t="s">
        <v>759</v>
      </c>
      <c r="C77" t="s">
        <v>760</v>
      </c>
      <c r="D77" s="1">
        <v>46143</v>
      </c>
      <c r="E77" t="s">
        <v>20</v>
      </c>
      <c r="F77" s="1">
        <v>46295</v>
      </c>
      <c r="G77" s="2" t="str">
        <f>IF(Table1[[#This Row],[Deal Status]]="Completed", Table1[[#This Row],[Completion/Termination Date]]-Table1[[#This Row],[Announce Date]], "")</f>
        <v/>
      </c>
      <c r="H77" t="s">
        <v>761</v>
      </c>
      <c r="I77" t="s">
        <v>762</v>
      </c>
      <c r="J77" t="s">
        <v>1296</v>
      </c>
      <c r="K77" t="s">
        <v>23</v>
      </c>
      <c r="M77" t="s">
        <v>23</v>
      </c>
      <c r="N77" s="2">
        <v>813.4</v>
      </c>
      <c r="O77" s="2">
        <v>897.78</v>
      </c>
      <c r="P77" s="2">
        <v>14.63</v>
      </c>
      <c r="Q77" s="2" t="s">
        <v>24</v>
      </c>
      <c r="R77" s="2" t="s">
        <v>24</v>
      </c>
      <c r="S77" t="s">
        <v>948</v>
      </c>
      <c r="T77" t="s">
        <v>948</v>
      </c>
      <c r="U77" t="s">
        <v>954</v>
      </c>
      <c r="V77" t="s">
        <v>25</v>
      </c>
      <c r="W77" t="s">
        <v>423</v>
      </c>
      <c r="X77">
        <v>49.98</v>
      </c>
    </row>
    <row r="78" spans="1:24" x14ac:dyDescent="0.25">
      <c r="A78" t="s">
        <v>17</v>
      </c>
      <c r="B78" t="s">
        <v>809</v>
      </c>
      <c r="C78" t="s">
        <v>810</v>
      </c>
      <c r="D78" s="1">
        <v>46161</v>
      </c>
      <c r="E78" t="s">
        <v>20</v>
      </c>
      <c r="F78" s="1">
        <v>46295</v>
      </c>
      <c r="G78" s="2" t="str">
        <f>IF(Table1[[#This Row],[Deal Status]]="Completed", Table1[[#This Row],[Completion/Termination Date]]-Table1[[#This Row],[Announce Date]], "")</f>
        <v/>
      </c>
      <c r="H78" t="s">
        <v>811</v>
      </c>
      <c r="I78" t="s">
        <v>812</v>
      </c>
      <c r="J78" t="s">
        <v>1296</v>
      </c>
      <c r="K78" t="s">
        <v>23</v>
      </c>
      <c r="M78" t="s">
        <v>23</v>
      </c>
      <c r="N78" s="2">
        <v>693.64</v>
      </c>
      <c r="O78" s="2">
        <v>795.95</v>
      </c>
      <c r="P78" s="2">
        <v>13.79</v>
      </c>
      <c r="Q78" s="2">
        <v>55</v>
      </c>
      <c r="R78" s="2">
        <v>66</v>
      </c>
      <c r="S78" t="s">
        <v>929</v>
      </c>
      <c r="T78" t="s">
        <v>930</v>
      </c>
      <c r="U78" t="s">
        <v>976</v>
      </c>
      <c r="V78" t="s">
        <v>71</v>
      </c>
      <c r="W78" t="s">
        <v>71</v>
      </c>
      <c r="X78">
        <v>12.18</v>
      </c>
    </row>
    <row r="79" spans="1:24" x14ac:dyDescent="0.25">
      <c r="A79" t="s">
        <v>17</v>
      </c>
      <c r="B79" t="s">
        <v>731</v>
      </c>
      <c r="C79" t="s">
        <v>732</v>
      </c>
      <c r="D79" s="1">
        <v>46090</v>
      </c>
      <c r="E79" t="s">
        <v>20</v>
      </c>
      <c r="F79" s="1">
        <v>46295</v>
      </c>
      <c r="G79" s="2" t="str">
        <f>IF(Table1[[#This Row],[Deal Status]]="Completed", Table1[[#This Row],[Completion/Termination Date]]-Table1[[#This Row],[Announce Date]], "")</f>
        <v/>
      </c>
      <c r="H79" t="s">
        <v>733</v>
      </c>
      <c r="I79" t="s">
        <v>734</v>
      </c>
      <c r="J79" t="s">
        <v>1295</v>
      </c>
      <c r="K79" t="s">
        <v>23</v>
      </c>
      <c r="M79" t="s">
        <v>23</v>
      </c>
      <c r="N79" s="2">
        <v>869.69</v>
      </c>
      <c r="O79" s="2">
        <v>777.11</v>
      </c>
      <c r="P79" s="2">
        <v>128.94</v>
      </c>
      <c r="Q79" s="2" t="s">
        <v>24</v>
      </c>
      <c r="R79" s="2" t="s">
        <v>24</v>
      </c>
      <c r="S79" t="s">
        <v>945</v>
      </c>
      <c r="T79" t="s">
        <v>946</v>
      </c>
      <c r="U79" t="s">
        <v>947</v>
      </c>
      <c r="V79" t="s">
        <v>25</v>
      </c>
      <c r="W79" t="s">
        <v>25</v>
      </c>
      <c r="X79">
        <v>18.98</v>
      </c>
    </row>
    <row r="80" spans="1:24" x14ac:dyDescent="0.25">
      <c r="A80" t="s">
        <v>17</v>
      </c>
      <c r="B80" t="s">
        <v>840</v>
      </c>
      <c r="C80" t="s">
        <v>528</v>
      </c>
      <c r="D80" s="1">
        <v>46120</v>
      </c>
      <c r="E80" t="s">
        <v>20</v>
      </c>
      <c r="F80" s="1">
        <v>46203</v>
      </c>
      <c r="G80" s="2" t="str">
        <f>IF(Table1[[#This Row],[Deal Status]]="Completed", Table1[[#This Row],[Completion/Termination Date]]-Table1[[#This Row],[Announce Date]], "")</f>
        <v/>
      </c>
      <c r="H80" t="s">
        <v>841</v>
      </c>
      <c r="I80" t="s">
        <v>530</v>
      </c>
      <c r="J80" t="s">
        <v>1296</v>
      </c>
      <c r="K80" t="s">
        <v>23</v>
      </c>
      <c r="M80" t="s">
        <v>23</v>
      </c>
      <c r="N80" s="2">
        <v>565.79</v>
      </c>
      <c r="O80" s="2">
        <v>565.79</v>
      </c>
      <c r="P80" s="2">
        <v>356.33</v>
      </c>
      <c r="Q80" s="2" t="s">
        <v>24</v>
      </c>
      <c r="R80" s="2" t="s">
        <v>24</v>
      </c>
      <c r="S80" t="s">
        <v>945</v>
      </c>
      <c r="T80" t="s">
        <v>967</v>
      </c>
      <c r="U80" t="s">
        <v>981</v>
      </c>
      <c r="V80" t="s">
        <v>71</v>
      </c>
      <c r="W80" t="s">
        <v>25</v>
      </c>
      <c r="X80">
        <v>27.72</v>
      </c>
    </row>
    <row r="81" spans="1:24" x14ac:dyDescent="0.25">
      <c r="A81" t="s">
        <v>17</v>
      </c>
      <c r="B81" t="s">
        <v>842</v>
      </c>
      <c r="C81" t="s">
        <v>843</v>
      </c>
      <c r="D81" s="1">
        <v>45687</v>
      </c>
      <c r="E81" t="s">
        <v>20</v>
      </c>
      <c r="F81" s="1">
        <v>45838</v>
      </c>
      <c r="G81" s="2" t="str">
        <f>IF(Table1[[#This Row],[Deal Status]]="Completed", Table1[[#This Row],[Completion/Termination Date]]-Table1[[#This Row],[Announce Date]], "")</f>
        <v/>
      </c>
      <c r="H81" t="s">
        <v>844</v>
      </c>
      <c r="I81" t="s">
        <v>845</v>
      </c>
      <c r="J81" t="s">
        <v>1295</v>
      </c>
      <c r="K81" t="s">
        <v>23</v>
      </c>
      <c r="M81" t="s">
        <v>23</v>
      </c>
      <c r="N81" s="2">
        <v>562.71</v>
      </c>
      <c r="O81" s="2">
        <v>562.71</v>
      </c>
      <c r="P81" s="2">
        <v>10.82</v>
      </c>
      <c r="Q81" s="2" t="s">
        <v>24</v>
      </c>
      <c r="R81" s="2" t="s">
        <v>24</v>
      </c>
      <c r="S81" t="s">
        <v>940</v>
      </c>
      <c r="T81" t="s">
        <v>940</v>
      </c>
      <c r="U81" t="s">
        <v>941</v>
      </c>
      <c r="V81" t="s">
        <v>25</v>
      </c>
      <c r="W81" t="s">
        <v>25</v>
      </c>
      <c r="X81" t="s">
        <v>24</v>
      </c>
    </row>
    <row r="82" spans="1:24" x14ac:dyDescent="0.25">
      <c r="A82" t="s">
        <v>17</v>
      </c>
      <c r="B82" t="s">
        <v>886</v>
      </c>
      <c r="C82" t="s">
        <v>887</v>
      </c>
      <c r="D82" s="1">
        <v>46135</v>
      </c>
      <c r="E82" t="s">
        <v>20</v>
      </c>
      <c r="F82" s="1">
        <v>46295</v>
      </c>
      <c r="G82" s="2" t="str">
        <f>IF(Table1[[#This Row],[Deal Status]]="Completed", Table1[[#This Row],[Completion/Termination Date]]-Table1[[#This Row],[Announce Date]], "")</f>
        <v/>
      </c>
      <c r="H82" t="s">
        <v>888</v>
      </c>
      <c r="I82" t="s">
        <v>889</v>
      </c>
      <c r="J82" t="s">
        <v>1295</v>
      </c>
      <c r="K82" t="s">
        <v>23</v>
      </c>
      <c r="M82" t="s">
        <v>23</v>
      </c>
      <c r="N82" s="2">
        <v>391.3</v>
      </c>
      <c r="O82" s="2">
        <v>533.20000000000005</v>
      </c>
      <c r="P82" s="2">
        <v>11.06</v>
      </c>
      <c r="Q82" s="2">
        <v>12.292899999999999</v>
      </c>
      <c r="R82" s="2">
        <v>24.585799999999999</v>
      </c>
      <c r="S82" t="s">
        <v>945</v>
      </c>
      <c r="T82" t="s">
        <v>946</v>
      </c>
      <c r="U82" t="s">
        <v>947</v>
      </c>
      <c r="V82" t="s">
        <v>25</v>
      </c>
      <c r="W82" t="s">
        <v>361</v>
      </c>
      <c r="X82">
        <v>41.48</v>
      </c>
    </row>
    <row r="83" spans="1:24" x14ac:dyDescent="0.25">
      <c r="A83" t="s">
        <v>17</v>
      </c>
      <c r="B83" t="s">
        <v>855</v>
      </c>
      <c r="C83" t="s">
        <v>856</v>
      </c>
      <c r="D83" s="1">
        <v>46027</v>
      </c>
      <c r="E83" t="s">
        <v>20</v>
      </c>
      <c r="F83" s="1">
        <v>46387</v>
      </c>
      <c r="G83" s="2" t="str">
        <f>IF(Table1[[#This Row],[Deal Status]]="Completed", Table1[[#This Row],[Completion/Termination Date]]-Table1[[#This Row],[Announce Date]], "")</f>
        <v/>
      </c>
      <c r="H83" t="s">
        <v>857</v>
      </c>
      <c r="I83" t="s">
        <v>858</v>
      </c>
      <c r="J83" t="s">
        <v>1296</v>
      </c>
      <c r="K83" t="s">
        <v>23</v>
      </c>
      <c r="M83" t="s">
        <v>23</v>
      </c>
      <c r="N83" s="2">
        <v>521.67999999999995</v>
      </c>
      <c r="O83" s="2">
        <v>521.67999999999995</v>
      </c>
      <c r="P83" s="2" t="s">
        <v>24</v>
      </c>
      <c r="Q83" s="2">
        <v>42.1</v>
      </c>
      <c r="R83" s="2">
        <v>47.7</v>
      </c>
      <c r="S83" t="s">
        <v>940</v>
      </c>
      <c r="T83" t="s">
        <v>940</v>
      </c>
      <c r="U83" t="s">
        <v>941</v>
      </c>
      <c r="V83" t="s">
        <v>71</v>
      </c>
      <c r="W83" t="s">
        <v>71</v>
      </c>
      <c r="X83">
        <v>34.89</v>
      </c>
    </row>
    <row r="84" spans="1:24" x14ac:dyDescent="0.25">
      <c r="A84" t="s">
        <v>17</v>
      </c>
      <c r="B84" t="s">
        <v>871</v>
      </c>
      <c r="C84" t="s">
        <v>872</v>
      </c>
      <c r="D84" s="1">
        <v>46139</v>
      </c>
      <c r="E84" t="s">
        <v>20</v>
      </c>
      <c r="F84" s="1">
        <v>46218</v>
      </c>
      <c r="G84" s="2" t="str">
        <f>IF(Table1[[#This Row],[Deal Status]]="Completed", Table1[[#This Row],[Completion/Termination Date]]-Table1[[#This Row],[Announce Date]], "")</f>
        <v/>
      </c>
      <c r="H84" t="s">
        <v>873</v>
      </c>
      <c r="I84" t="s">
        <v>874</v>
      </c>
      <c r="J84" t="s">
        <v>1295</v>
      </c>
      <c r="K84" t="s">
        <v>23</v>
      </c>
      <c r="M84" t="s">
        <v>23</v>
      </c>
      <c r="N84" s="2">
        <v>464.71</v>
      </c>
      <c r="O84" s="2">
        <v>500.45</v>
      </c>
      <c r="P84" s="2">
        <v>32.97</v>
      </c>
      <c r="Q84" s="2" t="s">
        <v>24</v>
      </c>
      <c r="R84" s="2" t="s">
        <v>24</v>
      </c>
      <c r="S84" t="s">
        <v>948</v>
      </c>
      <c r="T84" t="s">
        <v>948</v>
      </c>
      <c r="U84" t="s">
        <v>954</v>
      </c>
      <c r="V84" t="s">
        <v>25</v>
      </c>
      <c r="W84" t="s">
        <v>25</v>
      </c>
      <c r="X84">
        <v>7.35</v>
      </c>
    </row>
    <row r="85" spans="1:24" x14ac:dyDescent="0.25">
      <c r="A85" t="s">
        <v>17</v>
      </c>
      <c r="B85" t="s">
        <v>755</v>
      </c>
      <c r="C85" t="s">
        <v>756</v>
      </c>
      <c r="D85" s="1">
        <v>45824</v>
      </c>
      <c r="E85" t="s">
        <v>52</v>
      </c>
      <c r="F85" s="1">
        <v>46153</v>
      </c>
      <c r="G85" s="2">
        <f>IF(Table1[[#This Row],[Deal Status]]="Completed", Table1[[#This Row],[Completion/Termination Date]]-Table1[[#This Row],[Announce Date]], "")</f>
        <v>329</v>
      </c>
      <c r="H85" t="s">
        <v>757</v>
      </c>
      <c r="I85" t="s">
        <v>758</v>
      </c>
      <c r="J85" t="s">
        <v>1295</v>
      </c>
      <c r="K85" t="s">
        <v>23</v>
      </c>
      <c r="M85" t="s">
        <v>23</v>
      </c>
      <c r="N85" s="2">
        <v>818.25</v>
      </c>
      <c r="O85" s="2">
        <v>821.44</v>
      </c>
      <c r="P85" s="2">
        <v>28.43</v>
      </c>
      <c r="Q85" s="2" t="s">
        <v>24</v>
      </c>
      <c r="R85" s="2" t="s">
        <v>24</v>
      </c>
      <c r="S85" t="s">
        <v>945</v>
      </c>
      <c r="T85" t="s">
        <v>946</v>
      </c>
      <c r="U85" t="s">
        <v>947</v>
      </c>
      <c r="V85" t="s">
        <v>25</v>
      </c>
      <c r="W85" t="s">
        <v>25</v>
      </c>
      <c r="X85">
        <v>26.92</v>
      </c>
    </row>
    <row r="86" spans="1:24" x14ac:dyDescent="0.25">
      <c r="A86" t="s">
        <v>17</v>
      </c>
      <c r="B86" t="s">
        <v>739</v>
      </c>
      <c r="C86" t="s">
        <v>740</v>
      </c>
      <c r="D86" s="1">
        <v>45875</v>
      </c>
      <c r="E86" t="s">
        <v>52</v>
      </c>
      <c r="F86" s="1">
        <v>46171</v>
      </c>
      <c r="G86" s="2">
        <f>IF(Table1[[#This Row],[Deal Status]]="Completed", Table1[[#This Row],[Completion/Termination Date]]-Table1[[#This Row],[Announce Date]], "")</f>
        <v>296</v>
      </c>
      <c r="H86" t="s">
        <v>741</v>
      </c>
      <c r="I86" t="s">
        <v>742</v>
      </c>
      <c r="J86" t="s">
        <v>1295</v>
      </c>
      <c r="K86" t="s">
        <v>38</v>
      </c>
      <c r="M86" t="s">
        <v>38</v>
      </c>
      <c r="N86" s="2">
        <v>856.91</v>
      </c>
      <c r="O86" s="2">
        <v>1321.3</v>
      </c>
      <c r="P86" s="2">
        <v>5.63</v>
      </c>
      <c r="Q86" s="2">
        <v>25</v>
      </c>
      <c r="R86" s="2">
        <v>35</v>
      </c>
      <c r="S86" t="s">
        <v>937</v>
      </c>
      <c r="T86" t="s">
        <v>964</v>
      </c>
      <c r="U86" t="s">
        <v>971</v>
      </c>
      <c r="V86" t="s">
        <v>25</v>
      </c>
      <c r="W86" t="s">
        <v>25</v>
      </c>
      <c r="X86">
        <v>8.24</v>
      </c>
    </row>
    <row r="87" spans="1:24" x14ac:dyDescent="0.25">
      <c r="A87" t="s">
        <v>17</v>
      </c>
      <c r="B87" t="s">
        <v>201</v>
      </c>
      <c r="D87" s="1">
        <v>45902</v>
      </c>
      <c r="E87" t="s">
        <v>52</v>
      </c>
      <c r="F87" s="1">
        <v>46120</v>
      </c>
      <c r="G87" s="2">
        <f>IF(Table1[[#This Row],[Deal Status]]="Completed", Table1[[#This Row],[Completion/Termination Date]]-Table1[[#This Row],[Announce Date]], "")</f>
        <v>218</v>
      </c>
      <c r="H87" t="s">
        <v>202</v>
      </c>
      <c r="I87" t="s">
        <v>203</v>
      </c>
      <c r="J87" t="s">
        <v>1296</v>
      </c>
      <c r="K87" t="s">
        <v>23</v>
      </c>
      <c r="M87" t="s">
        <v>23</v>
      </c>
      <c r="N87" s="2">
        <v>7264.73</v>
      </c>
      <c r="O87" s="2">
        <v>7264.73</v>
      </c>
      <c r="P87" s="2">
        <v>2.89</v>
      </c>
      <c r="Q87" s="2" t="s">
        <v>24</v>
      </c>
      <c r="R87" s="2" t="s">
        <v>24</v>
      </c>
      <c r="S87" t="s">
        <v>958</v>
      </c>
      <c r="T87" t="s">
        <v>969</v>
      </c>
      <c r="U87" t="s">
        <v>970</v>
      </c>
      <c r="V87" t="s">
        <v>25</v>
      </c>
      <c r="W87" t="s">
        <v>204</v>
      </c>
      <c r="X87">
        <v>12.37</v>
      </c>
    </row>
    <row r="88" spans="1:24" x14ac:dyDescent="0.25">
      <c r="A88" t="s">
        <v>17</v>
      </c>
      <c r="B88" t="s">
        <v>366</v>
      </c>
      <c r="C88" t="s">
        <v>367</v>
      </c>
      <c r="D88" s="1">
        <v>45888</v>
      </c>
      <c r="E88" t="s">
        <v>52</v>
      </c>
      <c r="F88" s="1">
        <v>46101</v>
      </c>
      <c r="G88" s="2">
        <f>IF(Table1[[#This Row],[Deal Status]]="Completed", Table1[[#This Row],[Completion/Termination Date]]-Table1[[#This Row],[Announce Date]], "")</f>
        <v>213</v>
      </c>
      <c r="H88" t="s">
        <v>368</v>
      </c>
      <c r="I88" t="s">
        <v>369</v>
      </c>
      <c r="J88" t="s">
        <v>1295</v>
      </c>
      <c r="K88" t="s">
        <v>23</v>
      </c>
      <c r="M88" t="s">
        <v>23</v>
      </c>
      <c r="N88" s="2">
        <v>3539.3</v>
      </c>
      <c r="O88" s="2">
        <v>5359.57</v>
      </c>
      <c r="P88" s="2">
        <v>5.86</v>
      </c>
      <c r="Q88" s="2" t="s">
        <v>24</v>
      </c>
      <c r="R88" s="2" t="s">
        <v>24</v>
      </c>
      <c r="S88" t="s">
        <v>926</v>
      </c>
      <c r="T88" t="s">
        <v>927</v>
      </c>
      <c r="U88" t="s">
        <v>928</v>
      </c>
      <c r="V88" t="s">
        <v>25</v>
      </c>
      <c r="W88" t="s">
        <v>25</v>
      </c>
      <c r="X88">
        <v>24.51</v>
      </c>
    </row>
    <row r="89" spans="1:24" x14ac:dyDescent="0.25">
      <c r="A89" t="s">
        <v>17</v>
      </c>
      <c r="B89" t="s">
        <v>676</v>
      </c>
      <c r="C89" t="s">
        <v>677</v>
      </c>
      <c r="D89" s="1">
        <v>45897</v>
      </c>
      <c r="E89" t="s">
        <v>52</v>
      </c>
      <c r="F89" s="1">
        <v>46106</v>
      </c>
      <c r="G89" s="2">
        <f>IF(Table1[[#This Row],[Deal Status]]="Completed", Table1[[#This Row],[Completion/Termination Date]]-Table1[[#This Row],[Announce Date]], "")</f>
        <v>209</v>
      </c>
      <c r="H89" t="s">
        <v>678</v>
      </c>
      <c r="I89" t="s">
        <v>679</v>
      </c>
      <c r="J89" t="s">
        <v>1295</v>
      </c>
      <c r="K89" t="s">
        <v>23</v>
      </c>
      <c r="M89" t="s">
        <v>23</v>
      </c>
      <c r="N89" s="2">
        <v>1079.6099999999999</v>
      </c>
      <c r="O89" s="2">
        <v>1079.6099999999999</v>
      </c>
      <c r="P89" s="2">
        <v>10.29</v>
      </c>
      <c r="Q89" s="2" t="s">
        <v>24</v>
      </c>
      <c r="R89" s="2" t="s">
        <v>24</v>
      </c>
      <c r="S89" t="s">
        <v>958</v>
      </c>
      <c r="T89" t="s">
        <v>969</v>
      </c>
      <c r="U89" t="s">
        <v>973</v>
      </c>
      <c r="V89" t="s">
        <v>71</v>
      </c>
      <c r="W89" t="s">
        <v>71</v>
      </c>
      <c r="X89">
        <v>65.53</v>
      </c>
    </row>
    <row r="90" spans="1:24" x14ac:dyDescent="0.25">
      <c r="A90" t="s">
        <v>17</v>
      </c>
      <c r="B90" t="s">
        <v>431</v>
      </c>
      <c r="C90" t="s">
        <v>432</v>
      </c>
      <c r="D90" s="1">
        <v>45959</v>
      </c>
      <c r="E90" t="s">
        <v>52</v>
      </c>
      <c r="F90" s="1">
        <v>46157</v>
      </c>
      <c r="G90" s="2">
        <f>IF(Table1[[#This Row],[Deal Status]]="Completed", Table1[[#This Row],[Completion/Termination Date]]-Table1[[#This Row],[Announce Date]], "")</f>
        <v>198</v>
      </c>
      <c r="H90" t="s">
        <v>433</v>
      </c>
      <c r="I90" t="s">
        <v>434</v>
      </c>
      <c r="J90" t="s">
        <v>1295</v>
      </c>
      <c r="K90" t="s">
        <v>23</v>
      </c>
      <c r="M90" t="s">
        <v>23</v>
      </c>
      <c r="N90" s="2">
        <v>2321.61</v>
      </c>
      <c r="O90" s="2">
        <v>2740.67</v>
      </c>
      <c r="P90" s="2">
        <v>12.73</v>
      </c>
      <c r="Q90" s="2" t="s">
        <v>24</v>
      </c>
      <c r="R90" s="2" t="s">
        <v>24</v>
      </c>
      <c r="S90" t="s">
        <v>929</v>
      </c>
      <c r="T90" t="s">
        <v>930</v>
      </c>
      <c r="U90" t="s">
        <v>976</v>
      </c>
      <c r="V90" t="s">
        <v>25</v>
      </c>
      <c r="W90" t="s">
        <v>204</v>
      </c>
      <c r="X90">
        <v>23.62</v>
      </c>
    </row>
    <row r="91" spans="1:24" x14ac:dyDescent="0.25">
      <c r="A91" t="s">
        <v>17</v>
      </c>
      <c r="B91" t="s">
        <v>50</v>
      </c>
      <c r="C91" t="s">
        <v>51</v>
      </c>
      <c r="D91" s="1">
        <v>45868</v>
      </c>
      <c r="E91" t="s">
        <v>52</v>
      </c>
      <c r="F91" s="1">
        <v>46065</v>
      </c>
      <c r="G91" s="2">
        <f>IF(Table1[[#This Row],[Deal Status]]="Completed", Table1[[#This Row],[Completion/Termination Date]]-Table1[[#This Row],[Announce Date]], "")</f>
        <v>197</v>
      </c>
      <c r="H91" t="s">
        <v>53</v>
      </c>
      <c r="I91" t="s">
        <v>54</v>
      </c>
      <c r="J91" t="s">
        <v>1295</v>
      </c>
      <c r="K91" t="s">
        <v>30</v>
      </c>
      <c r="M91" t="s">
        <v>38</v>
      </c>
      <c r="N91" s="2">
        <v>23739.49</v>
      </c>
      <c r="O91" s="2">
        <v>22963.38</v>
      </c>
      <c r="P91" s="2" t="s">
        <v>24</v>
      </c>
      <c r="Q91" s="2">
        <v>750</v>
      </c>
      <c r="R91" s="2">
        <v>1000</v>
      </c>
      <c r="S91" t="s">
        <v>945</v>
      </c>
      <c r="T91" t="s">
        <v>946</v>
      </c>
      <c r="U91" t="s">
        <v>947</v>
      </c>
      <c r="V91" t="s">
        <v>25</v>
      </c>
      <c r="W91" t="s">
        <v>25</v>
      </c>
      <c r="X91">
        <v>23.94</v>
      </c>
    </row>
    <row r="92" spans="1:24" x14ac:dyDescent="0.25">
      <c r="A92" t="s">
        <v>17</v>
      </c>
      <c r="B92" t="s">
        <v>801</v>
      </c>
      <c r="C92" t="s">
        <v>802</v>
      </c>
      <c r="D92" s="1">
        <v>45936</v>
      </c>
      <c r="E92" t="s">
        <v>52</v>
      </c>
      <c r="F92" s="1">
        <v>46132</v>
      </c>
      <c r="G92" s="2">
        <f>IF(Table1[[#This Row],[Deal Status]]="Completed", Table1[[#This Row],[Completion/Termination Date]]-Table1[[#This Row],[Announce Date]], "")</f>
        <v>196</v>
      </c>
      <c r="H92" t="s">
        <v>803</v>
      </c>
      <c r="I92" t="s">
        <v>804</v>
      </c>
      <c r="J92" t="s">
        <v>1295</v>
      </c>
      <c r="K92" t="s">
        <v>38</v>
      </c>
      <c r="M92" t="s">
        <v>38</v>
      </c>
      <c r="N92" s="2">
        <v>714.34</v>
      </c>
      <c r="O92" s="2">
        <v>703.03</v>
      </c>
      <c r="P92" s="2">
        <v>11.63</v>
      </c>
      <c r="Q92" s="2" t="s">
        <v>24</v>
      </c>
      <c r="R92" s="2" t="s">
        <v>24</v>
      </c>
      <c r="S92" t="s">
        <v>951</v>
      </c>
      <c r="T92" t="s">
        <v>951</v>
      </c>
      <c r="U92" t="s">
        <v>952</v>
      </c>
      <c r="V92" t="s">
        <v>71</v>
      </c>
      <c r="W92" t="s">
        <v>692</v>
      </c>
      <c r="X92">
        <v>0.78</v>
      </c>
    </row>
    <row r="93" spans="1:24" x14ac:dyDescent="0.25">
      <c r="A93" t="s">
        <v>17</v>
      </c>
      <c r="B93" t="s">
        <v>585</v>
      </c>
      <c r="C93" t="s">
        <v>586</v>
      </c>
      <c r="D93" s="1">
        <v>45771</v>
      </c>
      <c r="E93" t="s">
        <v>52</v>
      </c>
      <c r="F93" s="1">
        <v>45966</v>
      </c>
      <c r="G93" s="2">
        <f>IF(Table1[[#This Row],[Deal Status]]="Completed", Table1[[#This Row],[Completion/Termination Date]]-Table1[[#This Row],[Announce Date]], "")</f>
        <v>195</v>
      </c>
      <c r="H93" t="s">
        <v>587</v>
      </c>
      <c r="I93" t="s">
        <v>588</v>
      </c>
      <c r="J93" t="s">
        <v>1295</v>
      </c>
      <c r="K93" t="s">
        <v>23</v>
      </c>
      <c r="M93" t="s">
        <v>23</v>
      </c>
      <c r="N93" s="2">
        <v>1458.89</v>
      </c>
      <c r="O93" s="2">
        <v>1520.73</v>
      </c>
      <c r="P93" s="2">
        <v>12.8</v>
      </c>
      <c r="Q93" s="2" t="s">
        <v>24</v>
      </c>
      <c r="R93" s="2" t="s">
        <v>24</v>
      </c>
      <c r="S93" t="s">
        <v>929</v>
      </c>
      <c r="T93" t="s">
        <v>930</v>
      </c>
      <c r="U93" t="s">
        <v>931</v>
      </c>
      <c r="V93" t="s">
        <v>71</v>
      </c>
      <c r="W93" t="s">
        <v>25</v>
      </c>
      <c r="X93">
        <v>36.340000000000003</v>
      </c>
    </row>
    <row r="94" spans="1:24" x14ac:dyDescent="0.25">
      <c r="A94" t="s">
        <v>17</v>
      </c>
      <c r="B94" t="s">
        <v>863</v>
      </c>
      <c r="C94" t="s">
        <v>864</v>
      </c>
      <c r="D94" s="1">
        <v>45771</v>
      </c>
      <c r="E94" t="s">
        <v>52</v>
      </c>
      <c r="F94" s="1">
        <v>45964</v>
      </c>
      <c r="G94" s="2">
        <f>IF(Table1[[#This Row],[Deal Status]]="Completed", Table1[[#This Row],[Completion/Termination Date]]-Table1[[#This Row],[Announce Date]], "")</f>
        <v>193</v>
      </c>
      <c r="H94" t="s">
        <v>865</v>
      </c>
      <c r="I94" t="s">
        <v>866</v>
      </c>
      <c r="J94" t="s">
        <v>1295</v>
      </c>
      <c r="K94" t="s">
        <v>80</v>
      </c>
      <c r="M94" t="s">
        <v>38</v>
      </c>
      <c r="N94" s="2">
        <v>507.31</v>
      </c>
      <c r="O94" s="2">
        <v>507.31</v>
      </c>
      <c r="P94" s="2" t="s">
        <v>24</v>
      </c>
      <c r="Q94" s="2" t="s">
        <v>24</v>
      </c>
      <c r="R94" s="2" t="s">
        <v>24</v>
      </c>
      <c r="S94" t="s">
        <v>958</v>
      </c>
      <c r="T94" t="s">
        <v>959</v>
      </c>
      <c r="U94" t="s">
        <v>959</v>
      </c>
      <c r="V94" t="s">
        <v>25</v>
      </c>
      <c r="W94" t="s">
        <v>25</v>
      </c>
      <c r="X94">
        <v>19.68</v>
      </c>
    </row>
    <row r="95" spans="1:24" x14ac:dyDescent="0.25">
      <c r="A95" t="s">
        <v>17</v>
      </c>
      <c r="B95" t="s">
        <v>561</v>
      </c>
      <c r="C95" t="s">
        <v>562</v>
      </c>
      <c r="D95" s="1">
        <v>45712</v>
      </c>
      <c r="E95" t="s">
        <v>52</v>
      </c>
      <c r="F95" s="1">
        <v>45902</v>
      </c>
      <c r="G95" s="2">
        <f>IF(Table1[[#This Row],[Deal Status]]="Completed", Table1[[#This Row],[Completion/Termination Date]]-Table1[[#This Row],[Announce Date]], "")</f>
        <v>190</v>
      </c>
      <c r="H95" t="s">
        <v>563</v>
      </c>
      <c r="I95" t="s">
        <v>564</v>
      </c>
      <c r="J95" t="s">
        <v>1296</v>
      </c>
      <c r="K95" t="s">
        <v>38</v>
      </c>
      <c r="M95" t="s">
        <v>38</v>
      </c>
      <c r="N95" s="2">
        <v>1526.68</v>
      </c>
      <c r="O95" s="2">
        <v>1526.68</v>
      </c>
      <c r="P95" s="2">
        <v>30.78</v>
      </c>
      <c r="Q95" s="2" t="s">
        <v>24</v>
      </c>
      <c r="R95" s="2" t="s">
        <v>24</v>
      </c>
      <c r="S95" t="s">
        <v>958</v>
      </c>
      <c r="T95" t="s">
        <v>969</v>
      </c>
      <c r="U95" t="s">
        <v>973</v>
      </c>
      <c r="V95" t="s">
        <v>25</v>
      </c>
      <c r="W95" t="s">
        <v>25</v>
      </c>
      <c r="X95" t="s">
        <v>24</v>
      </c>
    </row>
    <row r="96" spans="1:24" x14ac:dyDescent="0.25">
      <c r="A96" t="s">
        <v>17</v>
      </c>
      <c r="B96" t="s">
        <v>133</v>
      </c>
      <c r="C96" t="s">
        <v>134</v>
      </c>
      <c r="D96" s="1">
        <v>45747</v>
      </c>
      <c r="E96" t="s">
        <v>52</v>
      </c>
      <c r="F96" s="1">
        <v>45932</v>
      </c>
      <c r="G96" s="2">
        <f>IF(Table1[[#This Row],[Deal Status]]="Completed", Table1[[#This Row],[Completion/Termination Date]]-Table1[[#This Row],[Announce Date]], "")</f>
        <v>185</v>
      </c>
      <c r="H96" t="s">
        <v>135</v>
      </c>
      <c r="I96" t="s">
        <v>136</v>
      </c>
      <c r="J96" t="s">
        <v>1295</v>
      </c>
      <c r="K96" t="s">
        <v>38</v>
      </c>
      <c r="M96" t="s">
        <v>38</v>
      </c>
      <c r="N96" s="2">
        <v>9935.58</v>
      </c>
      <c r="O96" s="2">
        <v>9935.58</v>
      </c>
      <c r="P96" s="2">
        <v>5.6</v>
      </c>
      <c r="Q96" s="2">
        <v>306.92399999999998</v>
      </c>
      <c r="R96" s="2">
        <v>500</v>
      </c>
      <c r="S96" t="s">
        <v>958</v>
      </c>
      <c r="T96" t="s">
        <v>969</v>
      </c>
      <c r="U96" t="s">
        <v>970</v>
      </c>
      <c r="V96" t="s">
        <v>25</v>
      </c>
      <c r="W96" t="s">
        <v>25</v>
      </c>
      <c r="X96">
        <v>49.04</v>
      </c>
    </row>
    <row r="97" spans="1:24" x14ac:dyDescent="0.25">
      <c r="A97" t="s">
        <v>17</v>
      </c>
      <c r="B97" t="s">
        <v>375</v>
      </c>
      <c r="C97" t="s">
        <v>376</v>
      </c>
      <c r="D97" s="1">
        <v>45896</v>
      </c>
      <c r="E97" t="s">
        <v>52</v>
      </c>
      <c r="F97" s="1">
        <v>46077</v>
      </c>
      <c r="G97" s="2">
        <f>IF(Table1[[#This Row],[Deal Status]]="Completed", Table1[[#This Row],[Completion/Termination Date]]-Table1[[#This Row],[Announce Date]], "")</f>
        <v>181</v>
      </c>
      <c r="H97" t="s">
        <v>377</v>
      </c>
      <c r="I97" t="s">
        <v>378</v>
      </c>
      <c r="J97" t="s">
        <v>1295</v>
      </c>
      <c r="K97" t="s">
        <v>23</v>
      </c>
      <c r="M97" t="s">
        <v>23</v>
      </c>
      <c r="N97" s="2">
        <v>3443.94</v>
      </c>
      <c r="O97" s="2">
        <v>3443.94</v>
      </c>
      <c r="P97" s="2" t="s">
        <v>24</v>
      </c>
      <c r="Q97" s="2" t="s">
        <v>24</v>
      </c>
      <c r="R97" s="2" t="s">
        <v>24</v>
      </c>
      <c r="S97" t="s">
        <v>958</v>
      </c>
      <c r="T97" t="s">
        <v>963</v>
      </c>
      <c r="U97" t="s">
        <v>963</v>
      </c>
      <c r="V97" t="s">
        <v>379</v>
      </c>
      <c r="W97" t="s">
        <v>204</v>
      </c>
      <c r="X97">
        <v>22.92</v>
      </c>
    </row>
    <row r="98" spans="1:24" x14ac:dyDescent="0.25">
      <c r="A98" t="s">
        <v>17</v>
      </c>
      <c r="B98" t="s">
        <v>797</v>
      </c>
      <c r="C98" t="s">
        <v>798</v>
      </c>
      <c r="D98" s="1">
        <v>45967</v>
      </c>
      <c r="E98" t="s">
        <v>52</v>
      </c>
      <c r="F98" s="1">
        <v>46143</v>
      </c>
      <c r="G98" s="2">
        <f>IF(Table1[[#This Row],[Deal Status]]="Completed", Table1[[#This Row],[Completion/Termination Date]]-Table1[[#This Row],[Announce Date]], "")</f>
        <v>176</v>
      </c>
      <c r="H98" t="s">
        <v>799</v>
      </c>
      <c r="I98" t="s">
        <v>800</v>
      </c>
      <c r="J98" t="s">
        <v>1295</v>
      </c>
      <c r="K98" t="s">
        <v>38</v>
      </c>
      <c r="M98" t="s">
        <v>38</v>
      </c>
      <c r="N98" s="2">
        <v>725.01</v>
      </c>
      <c r="O98" s="2">
        <v>1189.1099999999999</v>
      </c>
      <c r="P98" s="2">
        <v>5.34</v>
      </c>
      <c r="Q98" s="2">
        <v>37</v>
      </c>
      <c r="R98" s="2">
        <v>10</v>
      </c>
      <c r="S98" t="s">
        <v>937</v>
      </c>
      <c r="T98" t="s">
        <v>938</v>
      </c>
      <c r="U98" t="s">
        <v>939</v>
      </c>
      <c r="V98" t="s">
        <v>25</v>
      </c>
      <c r="W98" t="s">
        <v>25</v>
      </c>
      <c r="X98">
        <v>27.22</v>
      </c>
    </row>
    <row r="99" spans="1:24" x14ac:dyDescent="0.25">
      <c r="A99" t="s">
        <v>17</v>
      </c>
      <c r="B99" t="s">
        <v>137</v>
      </c>
      <c r="C99" t="s">
        <v>138</v>
      </c>
      <c r="D99" s="1">
        <v>45723</v>
      </c>
      <c r="E99" t="s">
        <v>52</v>
      </c>
      <c r="F99" s="1">
        <v>45898</v>
      </c>
      <c r="G99" s="2">
        <f>IF(Table1[[#This Row],[Deal Status]]="Completed", Table1[[#This Row],[Completion/Termination Date]]-Table1[[#This Row],[Announce Date]], "")</f>
        <v>175</v>
      </c>
      <c r="H99" t="s">
        <v>139</v>
      </c>
      <c r="I99" t="s">
        <v>140</v>
      </c>
      <c r="J99" t="s">
        <v>1296</v>
      </c>
      <c r="K99" t="s">
        <v>23</v>
      </c>
      <c r="M99" t="s">
        <v>23</v>
      </c>
      <c r="N99" s="2">
        <v>9894.56</v>
      </c>
      <c r="O99" s="2">
        <v>39411.56</v>
      </c>
      <c r="P99" s="2" t="s">
        <v>24</v>
      </c>
      <c r="Q99" s="2">
        <v>158</v>
      </c>
      <c r="R99" s="2">
        <v>560</v>
      </c>
      <c r="S99" t="s">
        <v>932</v>
      </c>
      <c r="T99" t="s">
        <v>935</v>
      </c>
      <c r="U99" t="s">
        <v>936</v>
      </c>
      <c r="V99" t="s">
        <v>25</v>
      </c>
      <c r="W99" t="s">
        <v>25</v>
      </c>
      <c r="X99">
        <v>9.81</v>
      </c>
    </row>
    <row r="100" spans="1:24" x14ac:dyDescent="0.25">
      <c r="A100" t="s">
        <v>17</v>
      </c>
      <c r="B100" t="s">
        <v>189</v>
      </c>
      <c r="C100" t="s">
        <v>190</v>
      </c>
      <c r="D100" s="1">
        <v>45804</v>
      </c>
      <c r="E100" t="s">
        <v>52</v>
      </c>
      <c r="F100" s="1">
        <v>45979</v>
      </c>
      <c r="G100" s="2">
        <f>IF(Table1[[#This Row],[Deal Status]]="Completed", Table1[[#This Row],[Completion/Termination Date]]-Table1[[#This Row],[Announce Date]], "")</f>
        <v>175</v>
      </c>
      <c r="H100" t="s">
        <v>191</v>
      </c>
      <c r="I100" t="s">
        <v>192</v>
      </c>
      <c r="J100" t="s">
        <v>1295</v>
      </c>
      <c r="K100" t="s">
        <v>23</v>
      </c>
      <c r="M100" t="s">
        <v>23</v>
      </c>
      <c r="N100" s="2">
        <v>7543.1</v>
      </c>
      <c r="O100" s="2">
        <v>8148.22</v>
      </c>
      <c r="P100" s="2">
        <v>57.96</v>
      </c>
      <c r="Q100" s="2" t="s">
        <v>24</v>
      </c>
      <c r="R100" s="2" t="s">
        <v>24</v>
      </c>
      <c r="S100" t="s">
        <v>945</v>
      </c>
      <c r="T100" t="s">
        <v>946</v>
      </c>
      <c r="U100" t="s">
        <v>947</v>
      </c>
      <c r="V100" t="s">
        <v>25</v>
      </c>
      <c r="W100" t="s">
        <v>25</v>
      </c>
      <c r="X100">
        <v>29.41</v>
      </c>
    </row>
    <row r="101" spans="1:24" x14ac:dyDescent="0.25">
      <c r="A101" t="s">
        <v>17</v>
      </c>
      <c r="B101" t="s">
        <v>305</v>
      </c>
      <c r="C101" t="s">
        <v>306</v>
      </c>
      <c r="D101" s="1">
        <v>45665</v>
      </c>
      <c r="E101" t="s">
        <v>52</v>
      </c>
      <c r="F101" s="1">
        <v>45840</v>
      </c>
      <c r="G101" s="2">
        <f>IF(Table1[[#This Row],[Deal Status]]="Completed", Table1[[#This Row],[Completion/Termination Date]]-Table1[[#This Row],[Announce Date]], "")</f>
        <v>175</v>
      </c>
      <c r="H101" t="s">
        <v>307</v>
      </c>
      <c r="I101" t="s">
        <v>308</v>
      </c>
      <c r="J101" t="s">
        <v>1295</v>
      </c>
      <c r="K101" t="s">
        <v>38</v>
      </c>
      <c r="M101" t="s">
        <v>38</v>
      </c>
      <c r="N101" s="2">
        <v>4096.78</v>
      </c>
      <c r="O101" s="2">
        <v>4100</v>
      </c>
      <c r="P101" s="2" t="s">
        <v>24</v>
      </c>
      <c r="Q101" s="2">
        <v>1.75</v>
      </c>
      <c r="R101" s="2">
        <v>0.5</v>
      </c>
      <c r="S101" t="s">
        <v>932</v>
      </c>
      <c r="T101" t="s">
        <v>933</v>
      </c>
      <c r="U101" t="s">
        <v>979</v>
      </c>
      <c r="V101" t="s">
        <v>71</v>
      </c>
      <c r="W101" t="s">
        <v>25</v>
      </c>
      <c r="X101" t="s">
        <v>24</v>
      </c>
    </row>
    <row r="102" spans="1:24" x14ac:dyDescent="0.25">
      <c r="A102" t="s">
        <v>17</v>
      </c>
      <c r="B102" t="s">
        <v>472</v>
      </c>
      <c r="D102" s="1">
        <v>45691</v>
      </c>
      <c r="E102" t="s">
        <v>52</v>
      </c>
      <c r="F102" s="1">
        <v>45863</v>
      </c>
      <c r="G102" s="2">
        <f>IF(Table1[[#This Row],[Deal Status]]="Completed", Table1[[#This Row],[Completion/Termination Date]]-Table1[[#This Row],[Announce Date]], "")</f>
        <v>172</v>
      </c>
      <c r="H102" t="s">
        <v>473</v>
      </c>
      <c r="I102" t="s">
        <v>474</v>
      </c>
      <c r="J102" t="s">
        <v>1296</v>
      </c>
      <c r="K102" t="s">
        <v>23</v>
      </c>
      <c r="M102" t="s">
        <v>23</v>
      </c>
      <c r="N102" s="2">
        <v>2011.11</v>
      </c>
      <c r="O102" s="2">
        <v>2871.96</v>
      </c>
      <c r="P102" s="2">
        <v>22.82</v>
      </c>
      <c r="Q102" s="2">
        <v>80</v>
      </c>
      <c r="R102" s="2">
        <v>135</v>
      </c>
      <c r="S102" t="s">
        <v>929</v>
      </c>
      <c r="T102" t="s">
        <v>955</v>
      </c>
      <c r="U102" t="s">
        <v>983</v>
      </c>
      <c r="V102" t="s">
        <v>25</v>
      </c>
      <c r="W102" t="s">
        <v>25</v>
      </c>
      <c r="X102">
        <v>38.33</v>
      </c>
    </row>
    <row r="103" spans="1:24" x14ac:dyDescent="0.25">
      <c r="A103" t="s">
        <v>17</v>
      </c>
      <c r="B103" t="s">
        <v>73</v>
      </c>
      <c r="D103" s="1">
        <v>45951</v>
      </c>
      <c r="E103" t="s">
        <v>52</v>
      </c>
      <c r="F103" s="1">
        <v>46120</v>
      </c>
      <c r="G103" s="2">
        <f>IF(Table1[[#This Row],[Deal Status]]="Completed", Table1[[#This Row],[Completion/Termination Date]]-Table1[[#This Row],[Announce Date]], "")</f>
        <v>169</v>
      </c>
      <c r="H103" t="s">
        <v>74</v>
      </c>
      <c r="I103" t="s">
        <v>75</v>
      </c>
      <c r="J103" t="s">
        <v>1296</v>
      </c>
      <c r="K103" t="s">
        <v>23</v>
      </c>
      <c r="M103" t="s">
        <v>23</v>
      </c>
      <c r="N103" s="2">
        <v>16903.87</v>
      </c>
      <c r="O103" s="2">
        <v>17547.27</v>
      </c>
      <c r="P103" s="2">
        <v>16.75</v>
      </c>
      <c r="Q103" s="2">
        <v>540</v>
      </c>
      <c r="R103" s="2">
        <v>900</v>
      </c>
      <c r="S103" t="s">
        <v>948</v>
      </c>
      <c r="T103" t="s">
        <v>948</v>
      </c>
      <c r="U103" t="s">
        <v>949</v>
      </c>
      <c r="V103" t="s">
        <v>25</v>
      </c>
      <c r="W103" t="s">
        <v>25</v>
      </c>
      <c r="X103">
        <v>12.32</v>
      </c>
    </row>
    <row r="104" spans="1:24" x14ac:dyDescent="0.25">
      <c r="A104" t="s">
        <v>17</v>
      </c>
      <c r="B104" t="s">
        <v>110</v>
      </c>
      <c r="C104" t="s">
        <v>111</v>
      </c>
      <c r="D104" s="1">
        <v>45890</v>
      </c>
      <c r="E104" t="s">
        <v>52</v>
      </c>
      <c r="F104" s="1">
        <v>46057</v>
      </c>
      <c r="G104" s="2">
        <f>IF(Table1[[#This Row],[Deal Status]]="Completed", Table1[[#This Row],[Completion/Termination Date]]-Table1[[#This Row],[Announce Date]], "")</f>
        <v>167</v>
      </c>
      <c r="H104" t="s">
        <v>112</v>
      </c>
      <c r="I104" t="s">
        <v>113</v>
      </c>
      <c r="J104" t="s">
        <v>1296</v>
      </c>
      <c r="K104" t="s">
        <v>23</v>
      </c>
      <c r="M104" t="s">
        <v>23</v>
      </c>
      <c r="N104" s="2">
        <v>11237.21</v>
      </c>
      <c r="O104" s="2">
        <v>11237.21</v>
      </c>
      <c r="P104" s="2">
        <v>35.07</v>
      </c>
      <c r="Q104" s="2" t="s">
        <v>24</v>
      </c>
      <c r="R104" s="2" t="s">
        <v>24</v>
      </c>
      <c r="S104" t="s">
        <v>945</v>
      </c>
      <c r="T104" t="s">
        <v>946</v>
      </c>
      <c r="U104" t="s">
        <v>947</v>
      </c>
      <c r="V104" t="s">
        <v>25</v>
      </c>
      <c r="W104" t="s">
        <v>25</v>
      </c>
      <c r="X104">
        <v>23.22</v>
      </c>
    </row>
    <row r="105" spans="1:24" x14ac:dyDescent="0.25">
      <c r="A105" t="s">
        <v>17</v>
      </c>
      <c r="B105" t="s">
        <v>817</v>
      </c>
      <c r="D105" s="1">
        <v>45975</v>
      </c>
      <c r="E105" t="s">
        <v>52</v>
      </c>
      <c r="F105" s="1">
        <v>46141</v>
      </c>
      <c r="G105" s="2">
        <f>IF(Table1[[#This Row],[Deal Status]]="Completed", Table1[[#This Row],[Completion/Termination Date]]-Table1[[#This Row],[Announce Date]], "")</f>
        <v>166</v>
      </c>
      <c r="H105" t="s">
        <v>818</v>
      </c>
      <c r="I105" t="s">
        <v>819</v>
      </c>
      <c r="J105" t="s">
        <v>1296</v>
      </c>
      <c r="K105" t="s">
        <v>23</v>
      </c>
      <c r="M105" t="s">
        <v>23</v>
      </c>
      <c r="N105" s="2">
        <v>622.16999999999996</v>
      </c>
      <c r="O105" s="2">
        <v>622.16999999999996</v>
      </c>
      <c r="P105" s="2">
        <v>6.7</v>
      </c>
      <c r="Q105" s="2" t="s">
        <v>24</v>
      </c>
      <c r="R105" s="2" t="s">
        <v>24</v>
      </c>
      <c r="S105" t="s">
        <v>958</v>
      </c>
      <c r="T105" t="s">
        <v>969</v>
      </c>
      <c r="U105" t="s">
        <v>970</v>
      </c>
      <c r="V105" t="s">
        <v>71</v>
      </c>
      <c r="W105" t="s">
        <v>71</v>
      </c>
      <c r="X105">
        <v>8.81</v>
      </c>
    </row>
    <row r="106" spans="1:24" x14ac:dyDescent="0.25">
      <c r="A106" t="s">
        <v>17</v>
      </c>
      <c r="B106" t="s">
        <v>461</v>
      </c>
      <c r="D106" s="1">
        <v>45783</v>
      </c>
      <c r="E106" t="s">
        <v>52</v>
      </c>
      <c r="F106" s="1">
        <v>45946</v>
      </c>
      <c r="G106" s="2">
        <f>IF(Table1[[#This Row],[Deal Status]]="Completed", Table1[[#This Row],[Completion/Termination Date]]-Table1[[#This Row],[Announce Date]], "")</f>
        <v>163</v>
      </c>
      <c r="H106" t="s">
        <v>462</v>
      </c>
      <c r="I106" t="s">
        <v>463</v>
      </c>
      <c r="J106" t="s">
        <v>1296</v>
      </c>
      <c r="K106" t="s">
        <v>23</v>
      </c>
      <c r="M106" t="s">
        <v>23</v>
      </c>
      <c r="N106" s="2">
        <v>2068.65</v>
      </c>
      <c r="O106" s="2">
        <v>1754.75</v>
      </c>
      <c r="P106" s="2">
        <v>49.72</v>
      </c>
      <c r="Q106" s="2">
        <v>78</v>
      </c>
      <c r="R106" s="2">
        <v>133</v>
      </c>
      <c r="S106" t="s">
        <v>945</v>
      </c>
      <c r="T106" t="s">
        <v>946</v>
      </c>
      <c r="U106" t="s">
        <v>947</v>
      </c>
      <c r="V106" t="s">
        <v>25</v>
      </c>
      <c r="W106" t="s">
        <v>25</v>
      </c>
      <c r="X106">
        <v>27.8</v>
      </c>
    </row>
    <row r="107" spans="1:24" x14ac:dyDescent="0.25">
      <c r="A107" t="s">
        <v>17</v>
      </c>
      <c r="B107" t="s">
        <v>175</v>
      </c>
      <c r="C107" t="s">
        <v>176</v>
      </c>
      <c r="D107" s="1">
        <v>45862</v>
      </c>
      <c r="E107" t="s">
        <v>52</v>
      </c>
      <c r="F107" s="1">
        <v>46024</v>
      </c>
      <c r="G107" s="2">
        <f>IF(Table1[[#This Row],[Deal Status]]="Completed", Table1[[#This Row],[Completion/Termination Date]]-Table1[[#This Row],[Announce Date]], "")</f>
        <v>162</v>
      </c>
      <c r="H107" t="s">
        <v>177</v>
      </c>
      <c r="I107" t="s">
        <v>178</v>
      </c>
      <c r="J107" t="s">
        <v>1295</v>
      </c>
      <c r="K107" t="s">
        <v>38</v>
      </c>
      <c r="M107" t="s">
        <v>38</v>
      </c>
      <c r="N107" s="2">
        <v>8368.2000000000007</v>
      </c>
      <c r="O107" s="2">
        <v>8368.2000000000007</v>
      </c>
      <c r="P107" s="2" t="s">
        <v>24</v>
      </c>
      <c r="Q107" s="2" t="s">
        <v>24</v>
      </c>
      <c r="R107" s="2" t="s">
        <v>24</v>
      </c>
      <c r="S107" t="s">
        <v>958</v>
      </c>
      <c r="T107" t="s">
        <v>959</v>
      </c>
      <c r="U107" t="s">
        <v>959</v>
      </c>
      <c r="V107" t="s">
        <v>25</v>
      </c>
      <c r="W107" t="s">
        <v>25</v>
      </c>
      <c r="X107">
        <v>10.9</v>
      </c>
    </row>
    <row r="108" spans="1:24" x14ac:dyDescent="0.25">
      <c r="A108" t="s">
        <v>17</v>
      </c>
      <c r="B108" t="s">
        <v>514</v>
      </c>
      <c r="C108" t="s">
        <v>515</v>
      </c>
      <c r="D108" s="1">
        <v>45980</v>
      </c>
      <c r="E108" t="s">
        <v>52</v>
      </c>
      <c r="F108" s="1">
        <v>46140</v>
      </c>
      <c r="G108" s="2">
        <f>IF(Table1[[#This Row],[Deal Status]]="Completed", Table1[[#This Row],[Completion/Termination Date]]-Table1[[#This Row],[Announce Date]], "")</f>
        <v>160</v>
      </c>
      <c r="H108" t="s">
        <v>516</v>
      </c>
      <c r="I108" t="s">
        <v>517</v>
      </c>
      <c r="J108" t="s">
        <v>1295</v>
      </c>
      <c r="K108" t="s">
        <v>23</v>
      </c>
      <c r="M108" t="s">
        <v>23</v>
      </c>
      <c r="N108" s="2">
        <v>1790.2</v>
      </c>
      <c r="O108" s="2">
        <v>1528.45</v>
      </c>
      <c r="P108" s="2">
        <v>64.66</v>
      </c>
      <c r="Q108" s="2">
        <v>63</v>
      </c>
      <c r="R108" s="2" t="s">
        <v>24</v>
      </c>
      <c r="S108" t="s">
        <v>945</v>
      </c>
      <c r="T108" t="s">
        <v>946</v>
      </c>
      <c r="U108" t="s">
        <v>947</v>
      </c>
      <c r="V108" t="s">
        <v>25</v>
      </c>
      <c r="W108" t="s">
        <v>25</v>
      </c>
      <c r="X108">
        <v>63.42</v>
      </c>
    </row>
    <row r="109" spans="1:24" x14ac:dyDescent="0.25">
      <c r="A109" t="s">
        <v>17</v>
      </c>
      <c r="B109" t="s">
        <v>727</v>
      </c>
      <c r="C109" t="s">
        <v>728</v>
      </c>
      <c r="D109" s="1">
        <v>45889</v>
      </c>
      <c r="E109" t="s">
        <v>52</v>
      </c>
      <c r="F109" s="1">
        <v>46045</v>
      </c>
      <c r="G109" s="2">
        <f>IF(Table1[[#This Row],[Deal Status]]="Completed", Table1[[#This Row],[Completion/Termination Date]]-Table1[[#This Row],[Announce Date]], "")</f>
        <v>156</v>
      </c>
      <c r="H109" t="s">
        <v>729</v>
      </c>
      <c r="I109" t="s">
        <v>730</v>
      </c>
      <c r="J109" t="s">
        <v>1295</v>
      </c>
      <c r="K109" t="s">
        <v>23</v>
      </c>
      <c r="M109" t="s">
        <v>23</v>
      </c>
      <c r="N109" s="2">
        <v>871.28</v>
      </c>
      <c r="O109" s="2">
        <v>2288.12</v>
      </c>
      <c r="P109" s="2">
        <v>4.7699999999999996</v>
      </c>
      <c r="Q109" s="2">
        <v>23.297899999999998</v>
      </c>
      <c r="R109" s="2" t="s">
        <v>24</v>
      </c>
      <c r="S109" t="s">
        <v>937</v>
      </c>
      <c r="T109" t="s">
        <v>961</v>
      </c>
      <c r="U109" t="s">
        <v>962</v>
      </c>
      <c r="V109" t="s">
        <v>25</v>
      </c>
      <c r="W109" t="s">
        <v>25</v>
      </c>
      <c r="X109">
        <v>25.62</v>
      </c>
    </row>
    <row r="110" spans="1:24" x14ac:dyDescent="0.25">
      <c r="A110" t="s">
        <v>17</v>
      </c>
      <c r="B110" t="s">
        <v>851</v>
      </c>
      <c r="C110" t="s">
        <v>852</v>
      </c>
      <c r="D110" s="1">
        <v>45957</v>
      </c>
      <c r="E110" t="s">
        <v>52</v>
      </c>
      <c r="F110" s="1">
        <v>46113</v>
      </c>
      <c r="G110" s="2">
        <f>IF(Table1[[#This Row],[Deal Status]]="Completed", Table1[[#This Row],[Completion/Termination Date]]-Table1[[#This Row],[Announce Date]], "")</f>
        <v>156</v>
      </c>
      <c r="H110" t="s">
        <v>853</v>
      </c>
      <c r="I110" t="s">
        <v>854</v>
      </c>
      <c r="J110" t="s">
        <v>1295</v>
      </c>
      <c r="K110" t="s">
        <v>38</v>
      </c>
      <c r="M110" t="s">
        <v>38</v>
      </c>
      <c r="N110" s="2">
        <v>526.27</v>
      </c>
      <c r="O110" s="2">
        <v>526.27</v>
      </c>
      <c r="P110" s="2" t="s">
        <v>24</v>
      </c>
      <c r="Q110" s="2" t="s">
        <v>24</v>
      </c>
      <c r="R110" s="2" t="s">
        <v>24</v>
      </c>
      <c r="S110" t="s">
        <v>958</v>
      </c>
      <c r="T110" t="s">
        <v>959</v>
      </c>
      <c r="U110" t="s">
        <v>959</v>
      </c>
      <c r="V110" t="s">
        <v>25</v>
      </c>
      <c r="W110" t="s">
        <v>25</v>
      </c>
      <c r="X110">
        <v>13.67</v>
      </c>
    </row>
    <row r="111" spans="1:24" x14ac:dyDescent="0.25">
      <c r="A111" t="s">
        <v>17</v>
      </c>
      <c r="B111" t="s">
        <v>317</v>
      </c>
      <c r="C111" t="s">
        <v>318</v>
      </c>
      <c r="D111" s="1">
        <v>45740</v>
      </c>
      <c r="E111" t="s">
        <v>52</v>
      </c>
      <c r="F111" s="1">
        <v>45895</v>
      </c>
      <c r="G111" s="2">
        <f>IF(Table1[[#This Row],[Deal Status]]="Completed", Table1[[#This Row],[Completion/Termination Date]]-Table1[[#This Row],[Announce Date]], "")</f>
        <v>155</v>
      </c>
      <c r="H111" t="s">
        <v>319</v>
      </c>
      <c r="I111" t="s">
        <v>320</v>
      </c>
      <c r="J111" t="s">
        <v>1296</v>
      </c>
      <c r="K111" t="s">
        <v>23</v>
      </c>
      <c r="M111" t="s">
        <v>23</v>
      </c>
      <c r="N111" s="2">
        <v>4039.87</v>
      </c>
      <c r="O111" s="2">
        <v>4039.87</v>
      </c>
      <c r="P111" s="2">
        <v>5.16</v>
      </c>
      <c r="Q111" s="2" t="s">
        <v>24</v>
      </c>
      <c r="R111" s="2" t="s">
        <v>24</v>
      </c>
      <c r="S111" t="s">
        <v>958</v>
      </c>
      <c r="T111" t="s">
        <v>969</v>
      </c>
      <c r="U111" t="s">
        <v>970</v>
      </c>
      <c r="V111" t="s">
        <v>25</v>
      </c>
      <c r="W111" t="s">
        <v>25</v>
      </c>
      <c r="X111">
        <v>6.17</v>
      </c>
    </row>
    <row r="112" spans="1:24" x14ac:dyDescent="0.25">
      <c r="A112" t="s">
        <v>17</v>
      </c>
      <c r="B112" t="s">
        <v>846</v>
      </c>
      <c r="D112" s="1">
        <v>45846</v>
      </c>
      <c r="E112" t="s">
        <v>52</v>
      </c>
      <c r="F112" s="1">
        <v>46001</v>
      </c>
      <c r="G112" s="2">
        <f>IF(Table1[[#This Row],[Deal Status]]="Completed", Table1[[#This Row],[Completion/Termination Date]]-Table1[[#This Row],[Announce Date]], "")</f>
        <v>155</v>
      </c>
      <c r="H112" t="s">
        <v>847</v>
      </c>
      <c r="I112" t="s">
        <v>848</v>
      </c>
      <c r="J112" t="s">
        <v>1296</v>
      </c>
      <c r="K112" t="s">
        <v>997</v>
      </c>
      <c r="M112" t="s">
        <v>23</v>
      </c>
      <c r="N112" s="2">
        <v>559.29999999999995</v>
      </c>
      <c r="O112" s="2">
        <v>998.81</v>
      </c>
      <c r="P112" s="2">
        <v>8.4</v>
      </c>
      <c r="Q112" s="2" t="s">
        <v>24</v>
      </c>
      <c r="R112" s="2" t="s">
        <v>24</v>
      </c>
      <c r="S112" t="s">
        <v>937</v>
      </c>
      <c r="T112" t="s">
        <v>964</v>
      </c>
      <c r="U112" t="s">
        <v>990</v>
      </c>
      <c r="V112" t="s">
        <v>25</v>
      </c>
      <c r="W112" t="s">
        <v>25</v>
      </c>
      <c r="X112" t="s">
        <v>24</v>
      </c>
    </row>
    <row r="113" spans="1:24" x14ac:dyDescent="0.25">
      <c r="A113" t="s">
        <v>17</v>
      </c>
      <c r="B113" t="s">
        <v>828</v>
      </c>
      <c r="C113" t="s">
        <v>829</v>
      </c>
      <c r="D113" s="1">
        <v>45747</v>
      </c>
      <c r="E113" t="s">
        <v>52</v>
      </c>
      <c r="F113" s="1">
        <v>45902</v>
      </c>
      <c r="G113" s="2">
        <f>IF(Table1[[#This Row],[Deal Status]]="Completed", Table1[[#This Row],[Completion/Termination Date]]-Table1[[#This Row],[Announce Date]], "")</f>
        <v>155</v>
      </c>
      <c r="H113" t="s">
        <v>830</v>
      </c>
      <c r="I113" t="s">
        <v>831</v>
      </c>
      <c r="J113" t="s">
        <v>1295</v>
      </c>
      <c r="K113" t="s">
        <v>38</v>
      </c>
      <c r="M113" t="s">
        <v>38</v>
      </c>
      <c r="N113" s="2">
        <v>584.11</v>
      </c>
      <c r="O113" s="2">
        <v>584.11</v>
      </c>
      <c r="P113" s="2" t="s">
        <v>24</v>
      </c>
      <c r="Q113" s="2" t="s">
        <v>24</v>
      </c>
      <c r="R113" s="2" t="s">
        <v>24</v>
      </c>
      <c r="S113" t="s">
        <v>958</v>
      </c>
      <c r="T113" t="s">
        <v>959</v>
      </c>
      <c r="U113" t="s">
        <v>959</v>
      </c>
      <c r="V113" t="s">
        <v>25</v>
      </c>
      <c r="W113" t="s">
        <v>25</v>
      </c>
      <c r="X113" t="s">
        <v>24</v>
      </c>
    </row>
    <row r="114" spans="1:24" x14ac:dyDescent="0.25">
      <c r="A114" t="s">
        <v>17</v>
      </c>
      <c r="B114" t="s">
        <v>832</v>
      </c>
      <c r="C114" t="s">
        <v>833</v>
      </c>
      <c r="D114" s="1">
        <v>46020</v>
      </c>
      <c r="E114" t="s">
        <v>52</v>
      </c>
      <c r="F114" s="1">
        <v>46175</v>
      </c>
      <c r="G114" s="2">
        <f>IF(Table1[[#This Row],[Deal Status]]="Completed", Table1[[#This Row],[Completion/Termination Date]]-Table1[[#This Row],[Announce Date]], "")</f>
        <v>155</v>
      </c>
      <c r="H114" t="s">
        <v>834</v>
      </c>
      <c r="I114" t="s">
        <v>835</v>
      </c>
      <c r="J114" t="s">
        <v>1295</v>
      </c>
      <c r="K114" t="s">
        <v>38</v>
      </c>
      <c r="M114" t="s">
        <v>38</v>
      </c>
      <c r="N114" s="2">
        <v>567.59</v>
      </c>
      <c r="O114" s="2">
        <v>567.59</v>
      </c>
      <c r="P114" s="2" t="s">
        <v>24</v>
      </c>
      <c r="Q114" s="2" t="s">
        <v>24</v>
      </c>
      <c r="R114" s="2" t="s">
        <v>24</v>
      </c>
      <c r="S114" t="s">
        <v>958</v>
      </c>
      <c r="T114" t="s">
        <v>959</v>
      </c>
      <c r="U114" t="s">
        <v>959</v>
      </c>
      <c r="V114" t="s">
        <v>25</v>
      </c>
      <c r="W114" t="s">
        <v>25</v>
      </c>
      <c r="X114">
        <v>-1.1000000000000001</v>
      </c>
    </row>
    <row r="115" spans="1:24" x14ac:dyDescent="0.25">
      <c r="A115" t="s">
        <v>17</v>
      </c>
      <c r="B115" t="s">
        <v>488</v>
      </c>
      <c r="C115" t="s">
        <v>489</v>
      </c>
      <c r="D115" s="1">
        <v>45713</v>
      </c>
      <c r="E115" t="s">
        <v>52</v>
      </c>
      <c r="F115" s="1">
        <v>45861</v>
      </c>
      <c r="G115" s="2">
        <f>IF(Table1[[#This Row],[Deal Status]]="Completed", Table1[[#This Row],[Completion/Termination Date]]-Table1[[#This Row],[Announce Date]], "")</f>
        <v>148</v>
      </c>
      <c r="H115" t="s">
        <v>490</v>
      </c>
      <c r="I115" t="s">
        <v>491</v>
      </c>
      <c r="J115" t="s">
        <v>1296</v>
      </c>
      <c r="K115" t="s">
        <v>23</v>
      </c>
      <c r="M115" t="s">
        <v>23</v>
      </c>
      <c r="N115" s="2">
        <v>1953.96</v>
      </c>
      <c r="O115" s="2">
        <v>6444.67</v>
      </c>
      <c r="P115" s="2">
        <v>14.08</v>
      </c>
      <c r="Q115" s="2" t="s">
        <v>24</v>
      </c>
      <c r="R115" s="2" t="s">
        <v>24</v>
      </c>
      <c r="S115" t="s">
        <v>924</v>
      </c>
      <c r="T115" t="s">
        <v>924</v>
      </c>
      <c r="U115" t="s">
        <v>925</v>
      </c>
      <c r="V115" t="s">
        <v>71</v>
      </c>
      <c r="W115" t="s">
        <v>71</v>
      </c>
      <c r="X115">
        <v>83.47</v>
      </c>
    </row>
    <row r="116" spans="1:24" x14ac:dyDescent="0.25">
      <c r="A116" t="s">
        <v>17</v>
      </c>
      <c r="B116" t="s">
        <v>713</v>
      </c>
      <c r="C116" t="s">
        <v>714</v>
      </c>
      <c r="D116" s="1">
        <v>46008</v>
      </c>
      <c r="E116" t="s">
        <v>52</v>
      </c>
      <c r="F116" s="1">
        <v>46154</v>
      </c>
      <c r="G116" s="2">
        <f>IF(Table1[[#This Row],[Deal Status]]="Completed", Table1[[#This Row],[Completion/Termination Date]]-Table1[[#This Row],[Announce Date]], "")</f>
        <v>146</v>
      </c>
      <c r="H116" t="s">
        <v>715</v>
      </c>
      <c r="I116" t="s">
        <v>716</v>
      </c>
      <c r="J116" t="s">
        <v>1295</v>
      </c>
      <c r="K116" t="s">
        <v>38</v>
      </c>
      <c r="M116" t="s">
        <v>38</v>
      </c>
      <c r="N116" s="2">
        <v>949.05</v>
      </c>
      <c r="O116" s="2">
        <v>622.07000000000005</v>
      </c>
      <c r="P116" s="2" t="s">
        <v>24</v>
      </c>
      <c r="Q116" s="2" t="s">
        <v>24</v>
      </c>
      <c r="R116" s="2">
        <v>40.5</v>
      </c>
      <c r="S116" t="s">
        <v>937</v>
      </c>
      <c r="T116" t="s">
        <v>938</v>
      </c>
      <c r="U116" t="s">
        <v>994</v>
      </c>
      <c r="V116" t="s">
        <v>25</v>
      </c>
      <c r="W116" t="s">
        <v>25</v>
      </c>
      <c r="X116">
        <v>25.59</v>
      </c>
    </row>
    <row r="117" spans="1:24" x14ac:dyDescent="0.25">
      <c r="A117" t="s">
        <v>17</v>
      </c>
      <c r="B117" t="s">
        <v>236</v>
      </c>
      <c r="C117" t="s">
        <v>237</v>
      </c>
      <c r="D117" s="1">
        <v>45978</v>
      </c>
      <c r="E117" t="s">
        <v>52</v>
      </c>
      <c r="F117" s="1">
        <v>46121</v>
      </c>
      <c r="G117" s="2">
        <f>IF(Table1[[#This Row],[Deal Status]]="Completed", Table1[[#This Row],[Completion/Termination Date]]-Table1[[#This Row],[Announce Date]], "")</f>
        <v>143</v>
      </c>
      <c r="H117" t="s">
        <v>238</v>
      </c>
      <c r="I117" t="s">
        <v>239</v>
      </c>
      <c r="J117" t="s">
        <v>1296</v>
      </c>
      <c r="K117" t="s">
        <v>23</v>
      </c>
      <c r="M117" t="s">
        <v>23</v>
      </c>
      <c r="N117" s="2">
        <v>6201.24</v>
      </c>
      <c r="O117" s="2">
        <v>10199.74</v>
      </c>
      <c r="P117" s="2">
        <v>10.06</v>
      </c>
      <c r="Q117" s="2" t="s">
        <v>24</v>
      </c>
      <c r="R117" s="2" t="s">
        <v>24</v>
      </c>
      <c r="S117" t="s">
        <v>951</v>
      </c>
      <c r="T117" t="s">
        <v>951</v>
      </c>
      <c r="U117" t="s">
        <v>966</v>
      </c>
      <c r="V117" t="s">
        <v>25</v>
      </c>
      <c r="W117" t="s">
        <v>25</v>
      </c>
      <c r="X117">
        <v>17.04</v>
      </c>
    </row>
    <row r="118" spans="1:24" x14ac:dyDescent="0.25">
      <c r="A118" t="s">
        <v>17</v>
      </c>
      <c r="B118" t="s">
        <v>897</v>
      </c>
      <c r="D118" s="1">
        <v>45880</v>
      </c>
      <c r="E118" t="s">
        <v>52</v>
      </c>
      <c r="F118" s="1">
        <v>46022</v>
      </c>
      <c r="G118" s="2">
        <f>IF(Table1[[#This Row],[Deal Status]]="Completed", Table1[[#This Row],[Completion/Termination Date]]-Table1[[#This Row],[Announce Date]], "")</f>
        <v>142</v>
      </c>
      <c r="H118" t="s">
        <v>898</v>
      </c>
      <c r="I118" t="s">
        <v>899</v>
      </c>
      <c r="J118" t="s">
        <v>1296</v>
      </c>
      <c r="K118" t="s">
        <v>23</v>
      </c>
      <c r="M118" t="s">
        <v>23</v>
      </c>
      <c r="N118" s="2">
        <v>275.57</v>
      </c>
      <c r="O118" s="2">
        <v>1302.27</v>
      </c>
      <c r="P118" s="2">
        <v>6.59</v>
      </c>
      <c r="Q118" s="2" t="s">
        <v>24</v>
      </c>
      <c r="R118" s="2" t="s">
        <v>24</v>
      </c>
      <c r="S118" t="s">
        <v>926</v>
      </c>
      <c r="T118" t="s">
        <v>927</v>
      </c>
      <c r="U118" t="s">
        <v>987</v>
      </c>
      <c r="V118" t="s">
        <v>25</v>
      </c>
      <c r="W118" t="s">
        <v>25</v>
      </c>
      <c r="X118">
        <v>45.03</v>
      </c>
    </row>
    <row r="119" spans="1:24" x14ac:dyDescent="0.25">
      <c r="A119" t="s">
        <v>17</v>
      </c>
      <c r="B119" t="s">
        <v>181</v>
      </c>
      <c r="C119" t="s">
        <v>182</v>
      </c>
      <c r="D119" s="1">
        <v>45964</v>
      </c>
      <c r="E119" t="s">
        <v>52</v>
      </c>
      <c r="F119" s="1">
        <v>46105</v>
      </c>
      <c r="G119" s="2">
        <f>IF(Table1[[#This Row],[Deal Status]]="Completed", Table1[[#This Row],[Completion/Termination Date]]-Table1[[#This Row],[Announce Date]], "")</f>
        <v>141</v>
      </c>
      <c r="H119" t="s">
        <v>183</v>
      </c>
      <c r="I119" t="s">
        <v>184</v>
      </c>
      <c r="J119" t="s">
        <v>1295</v>
      </c>
      <c r="K119" t="s">
        <v>38</v>
      </c>
      <c r="M119" t="s">
        <v>38</v>
      </c>
      <c r="N119" s="2">
        <v>7726.2</v>
      </c>
      <c r="O119" s="2">
        <v>7997.6</v>
      </c>
      <c r="P119" s="2">
        <v>18.579999999999998</v>
      </c>
      <c r="Q119" s="2" t="s">
        <v>24</v>
      </c>
      <c r="R119" s="2" t="s">
        <v>24</v>
      </c>
      <c r="S119" t="s">
        <v>951</v>
      </c>
      <c r="T119" t="s">
        <v>951</v>
      </c>
      <c r="U119" t="s">
        <v>952</v>
      </c>
      <c r="V119" t="s">
        <v>71</v>
      </c>
      <c r="W119" t="s">
        <v>25</v>
      </c>
      <c r="X119">
        <v>40.67</v>
      </c>
    </row>
    <row r="120" spans="1:24" x14ac:dyDescent="0.25">
      <c r="A120" t="s">
        <v>17</v>
      </c>
      <c r="B120" t="s">
        <v>900</v>
      </c>
      <c r="C120" t="s">
        <v>901</v>
      </c>
      <c r="D120" s="1">
        <v>45729</v>
      </c>
      <c r="E120" t="s">
        <v>52</v>
      </c>
      <c r="F120" s="1">
        <v>45870</v>
      </c>
      <c r="G120" s="2">
        <f>IF(Table1[[#This Row],[Deal Status]]="Completed", Table1[[#This Row],[Completion/Termination Date]]-Table1[[#This Row],[Announce Date]], "")</f>
        <v>141</v>
      </c>
      <c r="H120" t="s">
        <v>902</v>
      </c>
      <c r="I120" t="s">
        <v>903</v>
      </c>
      <c r="J120" t="s">
        <v>1295</v>
      </c>
      <c r="K120" t="s">
        <v>30</v>
      </c>
      <c r="M120" t="s">
        <v>38</v>
      </c>
      <c r="N120" s="2">
        <v>99.84</v>
      </c>
      <c r="O120" s="2">
        <v>2192.4899999999998</v>
      </c>
      <c r="P120" s="2">
        <v>0.38</v>
      </c>
      <c r="Q120" s="2">
        <v>83</v>
      </c>
      <c r="R120" s="2">
        <v>80.2</v>
      </c>
      <c r="S120" t="s">
        <v>948</v>
      </c>
      <c r="T120" t="s">
        <v>948</v>
      </c>
      <c r="U120" t="s">
        <v>954</v>
      </c>
      <c r="V120" t="s">
        <v>25</v>
      </c>
      <c r="W120" t="s">
        <v>25</v>
      </c>
      <c r="X120">
        <v>-95.4</v>
      </c>
    </row>
    <row r="121" spans="1:24" x14ac:dyDescent="0.25">
      <c r="A121" t="s">
        <v>17</v>
      </c>
      <c r="B121" t="s">
        <v>468</v>
      </c>
      <c r="C121" t="s">
        <v>469</v>
      </c>
      <c r="D121" s="1">
        <v>45770</v>
      </c>
      <c r="E121" t="s">
        <v>52</v>
      </c>
      <c r="F121" s="1">
        <v>45903</v>
      </c>
      <c r="G121" s="2">
        <f>IF(Table1[[#This Row],[Deal Status]]="Completed", Table1[[#This Row],[Completion/Termination Date]]-Table1[[#This Row],[Announce Date]], "")</f>
        <v>133</v>
      </c>
      <c r="H121" t="s">
        <v>470</v>
      </c>
      <c r="I121" t="s">
        <v>471</v>
      </c>
      <c r="J121" t="s">
        <v>1295</v>
      </c>
      <c r="K121" t="s">
        <v>38</v>
      </c>
      <c r="M121" t="s">
        <v>38</v>
      </c>
      <c r="N121" s="2">
        <v>2027.45</v>
      </c>
      <c r="O121" s="2">
        <v>2027.45</v>
      </c>
      <c r="P121" s="2" t="s">
        <v>24</v>
      </c>
      <c r="Q121" s="2" t="s">
        <v>24</v>
      </c>
      <c r="R121" s="2" t="s">
        <v>24</v>
      </c>
      <c r="S121" t="s">
        <v>958</v>
      </c>
      <c r="T121" t="s">
        <v>959</v>
      </c>
      <c r="U121" t="s">
        <v>959</v>
      </c>
      <c r="V121" t="s">
        <v>25</v>
      </c>
      <c r="W121" t="s">
        <v>25</v>
      </c>
      <c r="X121">
        <v>4.32</v>
      </c>
    </row>
    <row r="122" spans="1:24" x14ac:dyDescent="0.25">
      <c r="A122" t="s">
        <v>17</v>
      </c>
      <c r="B122" t="s">
        <v>641</v>
      </c>
      <c r="C122" t="s">
        <v>642</v>
      </c>
      <c r="D122" s="1">
        <v>45834</v>
      </c>
      <c r="E122" t="s">
        <v>52</v>
      </c>
      <c r="F122" s="1">
        <v>45967</v>
      </c>
      <c r="G122" s="2">
        <f>IF(Table1[[#This Row],[Deal Status]]="Completed", Table1[[#This Row],[Completion/Termination Date]]-Table1[[#This Row],[Announce Date]], "")</f>
        <v>133</v>
      </c>
      <c r="H122" t="s">
        <v>643</v>
      </c>
      <c r="I122" t="s">
        <v>644</v>
      </c>
      <c r="J122" t="s">
        <v>1295</v>
      </c>
      <c r="K122" t="s">
        <v>38</v>
      </c>
      <c r="M122" t="s">
        <v>38</v>
      </c>
      <c r="N122" s="2">
        <v>1214.25</v>
      </c>
      <c r="O122" s="2">
        <v>1707.25</v>
      </c>
      <c r="P122" s="2">
        <v>7.73</v>
      </c>
      <c r="Q122" s="2" t="s">
        <v>24</v>
      </c>
      <c r="R122" s="2" t="s">
        <v>24</v>
      </c>
      <c r="S122" t="s">
        <v>929</v>
      </c>
      <c r="T122" t="s">
        <v>930</v>
      </c>
      <c r="U122" t="s">
        <v>974</v>
      </c>
      <c r="V122" t="s">
        <v>25</v>
      </c>
      <c r="W122" t="s">
        <v>25</v>
      </c>
      <c r="X122">
        <v>10.55</v>
      </c>
    </row>
    <row r="123" spans="1:24" x14ac:dyDescent="0.25">
      <c r="A123" t="s">
        <v>17</v>
      </c>
      <c r="B123" t="s">
        <v>693</v>
      </c>
      <c r="C123" t="s">
        <v>694</v>
      </c>
      <c r="D123" s="1">
        <v>45966</v>
      </c>
      <c r="E123" t="s">
        <v>52</v>
      </c>
      <c r="F123" s="1">
        <v>46097</v>
      </c>
      <c r="G123" s="2">
        <f>IF(Table1[[#This Row],[Deal Status]]="Completed", Table1[[#This Row],[Completion/Termination Date]]-Table1[[#This Row],[Announce Date]], "")</f>
        <v>131</v>
      </c>
      <c r="H123" t="s">
        <v>695</v>
      </c>
      <c r="I123" t="s">
        <v>696</v>
      </c>
      <c r="J123" t="s">
        <v>1295</v>
      </c>
      <c r="K123" t="s">
        <v>30</v>
      </c>
      <c r="M123" t="s">
        <v>38</v>
      </c>
      <c r="N123" s="2">
        <v>1010.7</v>
      </c>
      <c r="O123" s="2">
        <v>1010.7</v>
      </c>
      <c r="P123" s="2">
        <v>12.39</v>
      </c>
      <c r="Q123" s="2" t="s">
        <v>24</v>
      </c>
      <c r="R123" s="2" t="s">
        <v>24</v>
      </c>
      <c r="S123" t="s">
        <v>940</v>
      </c>
      <c r="T123" t="s">
        <v>940</v>
      </c>
      <c r="U123" t="s">
        <v>941</v>
      </c>
      <c r="V123" t="s">
        <v>25</v>
      </c>
      <c r="W123" t="s">
        <v>25</v>
      </c>
      <c r="X123">
        <v>76.56</v>
      </c>
    </row>
    <row r="124" spans="1:24" x14ac:dyDescent="0.25">
      <c r="A124" t="s">
        <v>17</v>
      </c>
      <c r="B124" t="s">
        <v>158</v>
      </c>
      <c r="C124" t="s">
        <v>159</v>
      </c>
      <c r="D124" s="1">
        <v>45782</v>
      </c>
      <c r="E124" t="s">
        <v>52</v>
      </c>
      <c r="F124" s="1">
        <v>45912</v>
      </c>
      <c r="G124" s="2">
        <f>IF(Table1[[#This Row],[Deal Status]]="Completed", Table1[[#This Row],[Completion/Termination Date]]-Table1[[#This Row],[Announce Date]], "")</f>
        <v>130</v>
      </c>
      <c r="H124" t="s">
        <v>160</v>
      </c>
      <c r="I124" t="s">
        <v>161</v>
      </c>
      <c r="J124" t="s">
        <v>1296</v>
      </c>
      <c r="K124" t="s">
        <v>80</v>
      </c>
      <c r="M124" t="s">
        <v>38</v>
      </c>
      <c r="N124" s="2">
        <v>9432.98</v>
      </c>
      <c r="O124" s="2">
        <v>10479.16</v>
      </c>
      <c r="P124" s="2">
        <v>6.87</v>
      </c>
      <c r="Q124" s="2" t="s">
        <v>24</v>
      </c>
      <c r="R124" s="2" t="s">
        <v>24</v>
      </c>
      <c r="S124" t="s">
        <v>937</v>
      </c>
      <c r="T124" t="s">
        <v>964</v>
      </c>
      <c r="U124" t="s">
        <v>965</v>
      </c>
      <c r="V124" t="s">
        <v>25</v>
      </c>
      <c r="W124" t="s">
        <v>25</v>
      </c>
      <c r="X124">
        <v>30.11</v>
      </c>
    </row>
    <row r="125" spans="1:24" x14ac:dyDescent="0.25">
      <c r="A125" t="s">
        <v>17</v>
      </c>
      <c r="B125" t="s">
        <v>284</v>
      </c>
      <c r="C125" t="s">
        <v>285</v>
      </c>
      <c r="D125" s="1">
        <v>46010</v>
      </c>
      <c r="E125" t="s">
        <v>52</v>
      </c>
      <c r="F125" s="1">
        <v>46140</v>
      </c>
      <c r="G125" s="2">
        <f>IF(Table1[[#This Row],[Deal Status]]="Completed", Table1[[#This Row],[Completion/Termination Date]]-Table1[[#This Row],[Announce Date]], "")</f>
        <v>130</v>
      </c>
      <c r="H125" t="s">
        <v>286</v>
      </c>
      <c r="I125" t="s">
        <v>287</v>
      </c>
      <c r="J125" t="s">
        <v>1295</v>
      </c>
      <c r="K125" t="s">
        <v>23</v>
      </c>
      <c r="M125" t="s">
        <v>23</v>
      </c>
      <c r="N125" s="2">
        <v>4531.7299999999996</v>
      </c>
      <c r="O125" s="2">
        <v>4710.71</v>
      </c>
      <c r="P125" s="2">
        <v>117.41</v>
      </c>
      <c r="Q125" s="2" t="s">
        <v>24</v>
      </c>
      <c r="R125" s="2" t="s">
        <v>24</v>
      </c>
      <c r="S125" t="s">
        <v>948</v>
      </c>
      <c r="T125" t="s">
        <v>948</v>
      </c>
      <c r="U125" t="s">
        <v>954</v>
      </c>
      <c r="V125" t="s">
        <v>25</v>
      </c>
      <c r="W125" t="s">
        <v>25</v>
      </c>
      <c r="X125">
        <v>43.92</v>
      </c>
    </row>
    <row r="126" spans="1:24" x14ac:dyDescent="0.25">
      <c r="A126" t="s">
        <v>17</v>
      </c>
      <c r="B126" t="s">
        <v>521</v>
      </c>
      <c r="C126" t="s">
        <v>522</v>
      </c>
      <c r="D126" s="1">
        <v>45873</v>
      </c>
      <c r="E126" t="s">
        <v>52</v>
      </c>
      <c r="F126" s="1">
        <v>46001</v>
      </c>
      <c r="G126" s="2">
        <f>IF(Table1[[#This Row],[Deal Status]]="Completed", Table1[[#This Row],[Completion/Termination Date]]-Table1[[#This Row],[Announce Date]], "")</f>
        <v>128</v>
      </c>
      <c r="H126" t="s">
        <v>523</v>
      </c>
      <c r="I126" t="s">
        <v>524</v>
      </c>
      <c r="J126" t="s">
        <v>1295</v>
      </c>
      <c r="K126" t="s">
        <v>30</v>
      </c>
      <c r="M126" t="s">
        <v>38</v>
      </c>
      <c r="N126" s="2">
        <v>1771.67</v>
      </c>
      <c r="O126" s="2">
        <v>2147.5700000000002</v>
      </c>
      <c r="P126" s="2">
        <v>7.56</v>
      </c>
      <c r="Q126" s="2">
        <v>67</v>
      </c>
      <c r="R126" s="2">
        <v>134</v>
      </c>
      <c r="S126" t="s">
        <v>937</v>
      </c>
      <c r="T126" t="s">
        <v>964</v>
      </c>
      <c r="U126" t="s">
        <v>985</v>
      </c>
      <c r="V126" t="s">
        <v>25</v>
      </c>
      <c r="W126" t="s">
        <v>25</v>
      </c>
      <c r="X126">
        <v>76.400000000000006</v>
      </c>
    </row>
    <row r="127" spans="1:24" x14ac:dyDescent="0.25">
      <c r="A127" t="s">
        <v>17</v>
      </c>
      <c r="B127" t="s">
        <v>129</v>
      </c>
      <c r="C127" t="s">
        <v>130</v>
      </c>
      <c r="D127" s="1">
        <v>45956</v>
      </c>
      <c r="E127" t="s">
        <v>52</v>
      </c>
      <c r="F127" s="1">
        <v>46083</v>
      </c>
      <c r="G127" s="2">
        <f>IF(Table1[[#This Row],[Deal Status]]="Completed", Table1[[#This Row],[Completion/Termination Date]]-Table1[[#This Row],[Announce Date]], "")</f>
        <v>127</v>
      </c>
      <c r="H127" t="s">
        <v>131</v>
      </c>
      <c r="I127" t="s">
        <v>132</v>
      </c>
      <c r="J127" t="s">
        <v>1295</v>
      </c>
      <c r="K127" t="s">
        <v>23</v>
      </c>
      <c r="M127" t="s">
        <v>23</v>
      </c>
      <c r="N127" s="2">
        <v>9938.44</v>
      </c>
      <c r="O127" s="2">
        <v>8760.43</v>
      </c>
      <c r="P127" s="2" t="s">
        <v>24</v>
      </c>
      <c r="Q127" s="2">
        <v>450</v>
      </c>
      <c r="R127" s="2" t="s">
        <v>24</v>
      </c>
      <c r="S127" t="s">
        <v>948</v>
      </c>
      <c r="T127" t="s">
        <v>948</v>
      </c>
      <c r="U127" t="s">
        <v>954</v>
      </c>
      <c r="V127" t="s">
        <v>25</v>
      </c>
      <c r="W127" t="s">
        <v>25</v>
      </c>
      <c r="X127">
        <v>51.71</v>
      </c>
    </row>
    <row r="128" spans="1:24" x14ac:dyDescent="0.25">
      <c r="A128" t="s">
        <v>17</v>
      </c>
      <c r="B128" t="s">
        <v>573</v>
      </c>
      <c r="C128" t="s">
        <v>574</v>
      </c>
      <c r="D128" s="1">
        <v>45698</v>
      </c>
      <c r="E128" t="s">
        <v>52</v>
      </c>
      <c r="F128" s="1">
        <v>45824</v>
      </c>
      <c r="G128" s="2">
        <f>IF(Table1[[#This Row],[Deal Status]]="Completed", Table1[[#This Row],[Completion/Termination Date]]-Table1[[#This Row],[Announce Date]], "")</f>
        <v>126</v>
      </c>
      <c r="H128" t="s">
        <v>575</v>
      </c>
      <c r="I128" t="s">
        <v>576</v>
      </c>
      <c r="J128" t="s">
        <v>1295</v>
      </c>
      <c r="K128" t="s">
        <v>23</v>
      </c>
      <c r="M128" t="s">
        <v>23</v>
      </c>
      <c r="N128" s="2">
        <v>1486.73</v>
      </c>
      <c r="O128" s="2">
        <v>2352.75</v>
      </c>
      <c r="P128" s="2">
        <v>3.33</v>
      </c>
      <c r="Q128" s="2" t="s">
        <v>24</v>
      </c>
      <c r="R128" s="2" t="s">
        <v>24</v>
      </c>
      <c r="S128" t="s">
        <v>937</v>
      </c>
      <c r="T128" t="s">
        <v>938</v>
      </c>
      <c r="U128" t="s">
        <v>939</v>
      </c>
      <c r="V128" t="s">
        <v>25</v>
      </c>
      <c r="W128" t="s">
        <v>25</v>
      </c>
      <c r="X128">
        <v>7.97</v>
      </c>
    </row>
    <row r="129" spans="1:24" x14ac:dyDescent="0.25">
      <c r="A129" t="s">
        <v>17</v>
      </c>
      <c r="B129" t="s">
        <v>63</v>
      </c>
      <c r="C129" t="s">
        <v>64</v>
      </c>
      <c r="D129" s="1">
        <v>45981</v>
      </c>
      <c r="E129" t="s">
        <v>52</v>
      </c>
      <c r="F129" s="1">
        <v>46105</v>
      </c>
      <c r="G129" s="2">
        <f>IF(Table1[[#This Row],[Deal Status]]="Completed", Table1[[#This Row],[Completion/Termination Date]]-Table1[[#This Row],[Announce Date]], "")</f>
        <v>124</v>
      </c>
      <c r="H129" t="s">
        <v>65</v>
      </c>
      <c r="I129" t="s">
        <v>66</v>
      </c>
      <c r="J129" t="s">
        <v>1295</v>
      </c>
      <c r="K129" t="s">
        <v>23</v>
      </c>
      <c r="M129" t="s">
        <v>23</v>
      </c>
      <c r="N129" s="2">
        <v>19894.490000000002</v>
      </c>
      <c r="O129" s="2">
        <v>21428.17</v>
      </c>
      <c r="P129" s="2" t="s">
        <v>24</v>
      </c>
      <c r="Q129" s="2">
        <v>628.69399999999996</v>
      </c>
      <c r="R129" s="2" t="s">
        <v>24</v>
      </c>
      <c r="S129" t="s">
        <v>948</v>
      </c>
      <c r="T129" t="s">
        <v>948</v>
      </c>
      <c r="U129" t="s">
        <v>949</v>
      </c>
      <c r="V129" t="s">
        <v>25</v>
      </c>
      <c r="W129" t="s">
        <v>25</v>
      </c>
      <c r="X129">
        <v>55.93</v>
      </c>
    </row>
    <row r="130" spans="1:24" x14ac:dyDescent="0.25">
      <c r="A130" t="s">
        <v>17</v>
      </c>
      <c r="B130" t="s">
        <v>777</v>
      </c>
      <c r="C130" t="s">
        <v>778</v>
      </c>
      <c r="D130" s="1">
        <v>46008</v>
      </c>
      <c r="E130" t="s">
        <v>52</v>
      </c>
      <c r="F130" s="1">
        <v>46132</v>
      </c>
      <c r="G130" s="2">
        <f>IF(Table1[[#This Row],[Deal Status]]="Completed", Table1[[#This Row],[Completion/Termination Date]]-Table1[[#This Row],[Announce Date]], "")</f>
        <v>124</v>
      </c>
      <c r="H130" t="s">
        <v>779</v>
      </c>
      <c r="I130" t="s">
        <v>780</v>
      </c>
      <c r="J130" t="s">
        <v>1295</v>
      </c>
      <c r="K130" t="s">
        <v>38</v>
      </c>
      <c r="M130" t="s">
        <v>38</v>
      </c>
      <c r="N130" s="2">
        <v>784.16</v>
      </c>
      <c r="O130" s="2">
        <v>784.16</v>
      </c>
      <c r="P130" s="2" t="s">
        <v>24</v>
      </c>
      <c r="Q130" s="2">
        <v>32.450000000000003</v>
      </c>
      <c r="R130" s="2">
        <v>32.450000000000003</v>
      </c>
      <c r="S130" t="s">
        <v>958</v>
      </c>
      <c r="T130" t="s">
        <v>959</v>
      </c>
      <c r="U130" t="s">
        <v>959</v>
      </c>
      <c r="V130" t="s">
        <v>25</v>
      </c>
      <c r="W130" t="s">
        <v>25</v>
      </c>
      <c r="X130">
        <v>13.78</v>
      </c>
    </row>
    <row r="131" spans="1:24" x14ac:dyDescent="0.25">
      <c r="A131" t="s">
        <v>17</v>
      </c>
      <c r="B131" t="s">
        <v>719</v>
      </c>
      <c r="C131" t="s">
        <v>720</v>
      </c>
      <c r="D131" s="1">
        <v>46033</v>
      </c>
      <c r="E131" t="s">
        <v>52</v>
      </c>
      <c r="F131" s="1">
        <v>46156</v>
      </c>
      <c r="G131" s="2">
        <f>IF(Table1[[#This Row],[Deal Status]]="Completed", Table1[[#This Row],[Completion/Termination Date]]-Table1[[#This Row],[Announce Date]], "")</f>
        <v>123</v>
      </c>
      <c r="H131" t="s">
        <v>721</v>
      </c>
      <c r="I131" t="s">
        <v>722</v>
      </c>
      <c r="J131" t="s">
        <v>1295</v>
      </c>
      <c r="K131" t="s">
        <v>30</v>
      </c>
      <c r="M131" t="s">
        <v>38</v>
      </c>
      <c r="N131" s="2">
        <v>934.19</v>
      </c>
      <c r="O131" s="2">
        <v>934.19</v>
      </c>
      <c r="P131" s="2">
        <v>4.68</v>
      </c>
      <c r="Q131" s="2" t="s">
        <v>24</v>
      </c>
      <c r="R131" s="2" t="s">
        <v>24</v>
      </c>
      <c r="S131" t="s">
        <v>929</v>
      </c>
      <c r="T131" t="s">
        <v>930</v>
      </c>
      <c r="U131" t="s">
        <v>931</v>
      </c>
      <c r="V131" t="s">
        <v>25</v>
      </c>
      <c r="W131" t="s">
        <v>25</v>
      </c>
      <c r="X131">
        <v>19.510000000000002</v>
      </c>
    </row>
    <row r="132" spans="1:24" x14ac:dyDescent="0.25">
      <c r="A132" t="s">
        <v>17</v>
      </c>
      <c r="B132" t="s">
        <v>510</v>
      </c>
      <c r="C132" t="s">
        <v>511</v>
      </c>
      <c r="D132" s="1">
        <v>45922</v>
      </c>
      <c r="E132" t="s">
        <v>52</v>
      </c>
      <c r="F132" s="1">
        <v>46042</v>
      </c>
      <c r="G132" s="2">
        <f>IF(Table1[[#This Row],[Deal Status]]="Completed", Table1[[#This Row],[Completion/Termination Date]]-Table1[[#This Row],[Announce Date]], "")</f>
        <v>120</v>
      </c>
      <c r="H132" t="s">
        <v>512</v>
      </c>
      <c r="I132" t="s">
        <v>513</v>
      </c>
      <c r="J132" t="s">
        <v>1295</v>
      </c>
      <c r="K132" t="s">
        <v>38</v>
      </c>
      <c r="M132" t="s">
        <v>38</v>
      </c>
      <c r="N132" s="2">
        <v>1810.31</v>
      </c>
      <c r="O132" s="2">
        <v>1892.81</v>
      </c>
      <c r="P132" s="2">
        <v>87.99</v>
      </c>
      <c r="Q132" s="2">
        <v>49</v>
      </c>
      <c r="R132" s="2" t="s">
        <v>24</v>
      </c>
      <c r="S132" t="s">
        <v>948</v>
      </c>
      <c r="T132" t="s">
        <v>948</v>
      </c>
      <c r="U132" t="s">
        <v>949</v>
      </c>
      <c r="V132" t="s">
        <v>25</v>
      </c>
      <c r="W132" t="s">
        <v>25</v>
      </c>
      <c r="X132" t="s">
        <v>24</v>
      </c>
    </row>
    <row r="133" spans="1:24" x14ac:dyDescent="0.25">
      <c r="A133" t="s">
        <v>17</v>
      </c>
      <c r="B133" t="s">
        <v>751</v>
      </c>
      <c r="C133" t="s">
        <v>752</v>
      </c>
      <c r="D133" s="1">
        <v>45729</v>
      </c>
      <c r="E133" t="s">
        <v>52</v>
      </c>
      <c r="F133" s="1">
        <v>45849</v>
      </c>
      <c r="G133" s="2">
        <f>IF(Table1[[#This Row],[Deal Status]]="Completed", Table1[[#This Row],[Completion/Termination Date]]-Table1[[#This Row],[Announce Date]], "")</f>
        <v>120</v>
      </c>
      <c r="H133" t="s">
        <v>753</v>
      </c>
      <c r="I133" t="s">
        <v>754</v>
      </c>
      <c r="J133" t="s">
        <v>1295</v>
      </c>
      <c r="K133" t="s">
        <v>23</v>
      </c>
      <c r="M133" t="s">
        <v>23</v>
      </c>
      <c r="N133" s="2">
        <v>838.66</v>
      </c>
      <c r="O133" s="2">
        <v>1404.97</v>
      </c>
      <c r="P133" s="2" t="s">
        <v>24</v>
      </c>
      <c r="Q133" s="2" t="s">
        <v>24</v>
      </c>
      <c r="R133" s="2" t="s">
        <v>24</v>
      </c>
      <c r="S133" t="s">
        <v>929</v>
      </c>
      <c r="T133" t="s">
        <v>930</v>
      </c>
      <c r="U133" t="s">
        <v>976</v>
      </c>
      <c r="V133" t="s">
        <v>25</v>
      </c>
      <c r="W133" t="s">
        <v>204</v>
      </c>
      <c r="X133">
        <v>125.86</v>
      </c>
    </row>
    <row r="134" spans="1:24" x14ac:dyDescent="0.25">
      <c r="A134" t="s">
        <v>17</v>
      </c>
      <c r="B134" t="s">
        <v>118</v>
      </c>
      <c r="C134" t="s">
        <v>119</v>
      </c>
      <c r="D134" s="1">
        <v>45936</v>
      </c>
      <c r="E134" t="s">
        <v>52</v>
      </c>
      <c r="F134" s="1">
        <v>46055</v>
      </c>
      <c r="G134" s="2">
        <f>IF(Table1[[#This Row],[Deal Status]]="Completed", Table1[[#This Row],[Completion/Termination Date]]-Table1[[#This Row],[Announce Date]], "")</f>
        <v>119</v>
      </c>
      <c r="H134" t="s">
        <v>120</v>
      </c>
      <c r="I134" t="s">
        <v>121</v>
      </c>
      <c r="J134" t="s">
        <v>1295</v>
      </c>
      <c r="K134" t="s">
        <v>38</v>
      </c>
      <c r="M134" t="s">
        <v>38</v>
      </c>
      <c r="N134" s="2">
        <v>10851.35</v>
      </c>
      <c r="O134" s="2">
        <v>10851.35</v>
      </c>
      <c r="P134" s="2" t="s">
        <v>24</v>
      </c>
      <c r="Q134" s="2">
        <v>500</v>
      </c>
      <c r="R134" s="2">
        <v>500</v>
      </c>
      <c r="S134" t="s">
        <v>958</v>
      </c>
      <c r="T134" t="s">
        <v>959</v>
      </c>
      <c r="U134" t="s">
        <v>959</v>
      </c>
      <c r="V134" t="s">
        <v>25</v>
      </c>
      <c r="W134" t="s">
        <v>25</v>
      </c>
      <c r="X134">
        <v>21.86</v>
      </c>
    </row>
    <row r="135" spans="1:24" x14ac:dyDescent="0.25">
      <c r="A135" t="s">
        <v>17</v>
      </c>
      <c r="B135" t="s">
        <v>475</v>
      </c>
      <c r="C135" t="s">
        <v>476</v>
      </c>
      <c r="D135" s="1">
        <v>45789</v>
      </c>
      <c r="E135" t="s">
        <v>52</v>
      </c>
      <c r="F135" s="1">
        <v>45908</v>
      </c>
      <c r="G135" s="2">
        <f>IF(Table1[[#This Row],[Deal Status]]="Completed", Table1[[#This Row],[Completion/Termination Date]]-Table1[[#This Row],[Announce Date]], "")</f>
        <v>119</v>
      </c>
      <c r="H135" t="s">
        <v>477</v>
      </c>
      <c r="I135" t="s">
        <v>478</v>
      </c>
      <c r="J135" t="s">
        <v>1295</v>
      </c>
      <c r="K135" t="s">
        <v>80</v>
      </c>
      <c r="M135" t="s">
        <v>38</v>
      </c>
      <c r="N135" s="2">
        <v>2002.85</v>
      </c>
      <c r="O135" s="2">
        <v>1842.74</v>
      </c>
      <c r="P135" s="2" t="s">
        <v>24</v>
      </c>
      <c r="Q135" s="2" t="s">
        <v>24</v>
      </c>
      <c r="R135" s="2" t="s">
        <v>24</v>
      </c>
      <c r="S135" t="s">
        <v>951</v>
      </c>
      <c r="T135" t="s">
        <v>951</v>
      </c>
      <c r="U135" t="s">
        <v>952</v>
      </c>
      <c r="V135" t="s">
        <v>71</v>
      </c>
      <c r="W135" t="s">
        <v>71</v>
      </c>
      <c r="X135">
        <v>25.7</v>
      </c>
    </row>
    <row r="136" spans="1:24" x14ac:dyDescent="0.25">
      <c r="A136" t="s">
        <v>17</v>
      </c>
      <c r="B136" t="s">
        <v>683</v>
      </c>
      <c r="D136" s="1">
        <v>46070</v>
      </c>
      <c r="E136" t="s">
        <v>52</v>
      </c>
      <c r="F136" s="1">
        <v>46189</v>
      </c>
      <c r="G136" s="2">
        <f>IF(Table1[[#This Row],[Deal Status]]="Completed", Table1[[#This Row],[Completion/Termination Date]]-Table1[[#This Row],[Announce Date]], "")</f>
        <v>119</v>
      </c>
      <c r="H136" t="s">
        <v>684</v>
      </c>
      <c r="I136" t="s">
        <v>685</v>
      </c>
      <c r="J136" t="s">
        <v>1295</v>
      </c>
      <c r="K136" t="s">
        <v>23</v>
      </c>
      <c r="M136" t="s">
        <v>23</v>
      </c>
      <c r="N136" s="2">
        <v>1038.74</v>
      </c>
      <c r="O136" s="2">
        <v>1038.74</v>
      </c>
      <c r="P136" s="2">
        <v>4.55</v>
      </c>
      <c r="Q136" s="2">
        <v>42.7</v>
      </c>
      <c r="R136" s="2" t="s">
        <v>24</v>
      </c>
      <c r="S136" t="s">
        <v>940</v>
      </c>
      <c r="T136" t="s">
        <v>940</v>
      </c>
      <c r="U136" t="s">
        <v>989</v>
      </c>
      <c r="V136" t="s">
        <v>25</v>
      </c>
      <c r="W136" t="s">
        <v>71</v>
      </c>
      <c r="X136">
        <v>10.53</v>
      </c>
    </row>
    <row r="137" spans="1:24" x14ac:dyDescent="0.25">
      <c r="A137" t="s">
        <v>17</v>
      </c>
      <c r="B137" t="s">
        <v>442</v>
      </c>
      <c r="C137" t="s">
        <v>443</v>
      </c>
      <c r="D137" s="1">
        <v>45945</v>
      </c>
      <c r="E137" t="s">
        <v>52</v>
      </c>
      <c r="F137" s="1">
        <v>46063</v>
      </c>
      <c r="G137" s="2">
        <f>IF(Table1[[#This Row],[Deal Status]]="Completed", Table1[[#This Row],[Completion/Termination Date]]-Table1[[#This Row],[Announce Date]], "")</f>
        <v>118</v>
      </c>
      <c r="H137" t="s">
        <v>444</v>
      </c>
      <c r="I137" t="s">
        <v>445</v>
      </c>
      <c r="J137" t="s">
        <v>1296</v>
      </c>
      <c r="K137" t="s">
        <v>23</v>
      </c>
      <c r="M137" t="s">
        <v>23</v>
      </c>
      <c r="N137" s="2">
        <v>2255.4299999999998</v>
      </c>
      <c r="O137" s="2">
        <v>3866.33</v>
      </c>
      <c r="P137" s="2">
        <v>14.51</v>
      </c>
      <c r="Q137" s="2">
        <v>69</v>
      </c>
      <c r="R137" s="2">
        <v>138</v>
      </c>
      <c r="S137" t="s">
        <v>929</v>
      </c>
      <c r="T137" t="s">
        <v>955</v>
      </c>
      <c r="U137" t="s">
        <v>978</v>
      </c>
      <c r="V137" t="s">
        <v>25</v>
      </c>
      <c r="W137" t="s">
        <v>25</v>
      </c>
      <c r="X137">
        <v>24.75</v>
      </c>
    </row>
    <row r="138" spans="1:24" x14ac:dyDescent="0.25">
      <c r="A138" t="s">
        <v>17</v>
      </c>
      <c r="B138" t="s">
        <v>735</v>
      </c>
      <c r="C138" t="s">
        <v>736</v>
      </c>
      <c r="D138" s="1">
        <v>45953</v>
      </c>
      <c r="E138" t="s">
        <v>52</v>
      </c>
      <c r="F138" s="1">
        <v>46070</v>
      </c>
      <c r="G138" s="2">
        <f>IF(Table1[[#This Row],[Deal Status]]="Completed", Table1[[#This Row],[Completion/Termination Date]]-Table1[[#This Row],[Announce Date]], "")</f>
        <v>117</v>
      </c>
      <c r="H138" t="s">
        <v>737</v>
      </c>
      <c r="I138" t="s">
        <v>738</v>
      </c>
      <c r="J138" t="s">
        <v>1295</v>
      </c>
      <c r="K138" t="s">
        <v>38</v>
      </c>
      <c r="M138" t="s">
        <v>38</v>
      </c>
      <c r="N138" s="2">
        <v>863.37</v>
      </c>
      <c r="O138" s="2">
        <v>863.37</v>
      </c>
      <c r="P138" s="2" t="s">
        <v>24</v>
      </c>
      <c r="Q138" s="2" t="s">
        <v>24</v>
      </c>
      <c r="R138" s="2" t="s">
        <v>24</v>
      </c>
      <c r="S138" t="s">
        <v>958</v>
      </c>
      <c r="T138" t="s">
        <v>959</v>
      </c>
      <c r="U138" t="s">
        <v>959</v>
      </c>
      <c r="V138" t="s">
        <v>25</v>
      </c>
      <c r="W138" t="s">
        <v>25</v>
      </c>
      <c r="X138">
        <v>46.19</v>
      </c>
    </row>
    <row r="139" spans="1:24" x14ac:dyDescent="0.25">
      <c r="A139" t="s">
        <v>17</v>
      </c>
      <c r="B139" t="s">
        <v>438</v>
      </c>
      <c r="C139" t="s">
        <v>439</v>
      </c>
      <c r="D139" s="1">
        <v>45792</v>
      </c>
      <c r="E139" t="s">
        <v>52</v>
      </c>
      <c r="F139" s="1">
        <v>45908</v>
      </c>
      <c r="G139" s="2">
        <f>IF(Table1[[#This Row],[Deal Status]]="Completed", Table1[[#This Row],[Completion/Termination Date]]-Table1[[#This Row],[Announce Date]], "")</f>
        <v>116</v>
      </c>
      <c r="H139" t="s">
        <v>440</v>
      </c>
      <c r="I139" t="s">
        <v>441</v>
      </c>
      <c r="J139" t="s">
        <v>1295</v>
      </c>
      <c r="K139" t="s">
        <v>80</v>
      </c>
      <c r="M139" t="s">
        <v>38</v>
      </c>
      <c r="N139" s="2">
        <v>2278.91</v>
      </c>
      <c r="O139" s="2">
        <v>4661.8999999999996</v>
      </c>
      <c r="P139" s="2">
        <v>4.92</v>
      </c>
      <c r="Q139" s="2">
        <v>59.5</v>
      </c>
      <c r="R139" s="2">
        <v>95.5</v>
      </c>
      <c r="S139" t="s">
        <v>937</v>
      </c>
      <c r="T139" t="s">
        <v>961</v>
      </c>
      <c r="U139" t="s">
        <v>962</v>
      </c>
      <c r="V139" t="s">
        <v>25</v>
      </c>
      <c r="W139" t="s">
        <v>25</v>
      </c>
      <c r="X139">
        <v>96.62</v>
      </c>
    </row>
    <row r="140" spans="1:24" x14ac:dyDescent="0.25">
      <c r="A140" t="s">
        <v>17</v>
      </c>
      <c r="B140" t="s">
        <v>496</v>
      </c>
      <c r="C140" t="s">
        <v>277</v>
      </c>
      <c r="D140" s="1">
        <v>45711</v>
      </c>
      <c r="E140" t="s">
        <v>52</v>
      </c>
      <c r="F140" s="1">
        <v>45827</v>
      </c>
      <c r="G140" s="2">
        <f>IF(Table1[[#This Row],[Deal Status]]="Completed", Table1[[#This Row],[Completion/Termination Date]]-Table1[[#This Row],[Announce Date]], "")</f>
        <v>116</v>
      </c>
      <c r="H140" t="s">
        <v>497</v>
      </c>
      <c r="I140" t="s">
        <v>279</v>
      </c>
      <c r="J140" t="s">
        <v>1295</v>
      </c>
      <c r="K140" t="s">
        <v>38</v>
      </c>
      <c r="M140" t="s">
        <v>38</v>
      </c>
      <c r="N140" s="2">
        <v>1937.83</v>
      </c>
      <c r="O140" s="2">
        <v>2142.94</v>
      </c>
      <c r="P140" s="2">
        <v>9.7100000000000009</v>
      </c>
      <c r="Q140" s="2" t="s">
        <v>24</v>
      </c>
      <c r="R140" s="2" t="s">
        <v>24</v>
      </c>
      <c r="S140" t="s">
        <v>951</v>
      </c>
      <c r="T140" t="s">
        <v>951</v>
      </c>
      <c r="U140" t="s">
        <v>952</v>
      </c>
      <c r="V140" t="s">
        <v>71</v>
      </c>
      <c r="W140" t="s">
        <v>71</v>
      </c>
      <c r="X140">
        <v>5.3</v>
      </c>
    </row>
    <row r="141" spans="1:24" x14ac:dyDescent="0.25">
      <c r="A141" t="s">
        <v>17</v>
      </c>
      <c r="B141" t="s">
        <v>820</v>
      </c>
      <c r="C141" t="s">
        <v>821</v>
      </c>
      <c r="D141" s="1">
        <v>45967</v>
      </c>
      <c r="E141" t="s">
        <v>52</v>
      </c>
      <c r="F141" s="1">
        <v>46083</v>
      </c>
      <c r="G141" s="2">
        <f>IF(Table1[[#This Row],[Deal Status]]="Completed", Table1[[#This Row],[Completion/Termination Date]]-Table1[[#This Row],[Announce Date]], "")</f>
        <v>116</v>
      </c>
      <c r="H141" t="s">
        <v>822</v>
      </c>
      <c r="I141" t="s">
        <v>823</v>
      </c>
      <c r="J141" t="s">
        <v>1295</v>
      </c>
      <c r="K141" t="s">
        <v>23</v>
      </c>
      <c r="M141" t="s">
        <v>23</v>
      </c>
      <c r="N141" s="2">
        <v>612.05999999999995</v>
      </c>
      <c r="O141" s="2">
        <v>612.05999999999995</v>
      </c>
      <c r="P141" s="2" t="s">
        <v>24</v>
      </c>
      <c r="Q141" s="2" t="s">
        <v>24</v>
      </c>
      <c r="R141" s="2" t="s">
        <v>24</v>
      </c>
      <c r="S141" t="s">
        <v>958</v>
      </c>
      <c r="T141" t="s">
        <v>969</v>
      </c>
      <c r="U141" t="s">
        <v>995</v>
      </c>
      <c r="V141" t="s">
        <v>25</v>
      </c>
      <c r="W141" t="s">
        <v>25</v>
      </c>
      <c r="X141">
        <v>136.66999999999999</v>
      </c>
    </row>
    <row r="142" spans="1:24" x14ac:dyDescent="0.25">
      <c r="A142" t="s">
        <v>17</v>
      </c>
      <c r="B142" t="s">
        <v>549</v>
      </c>
      <c r="C142" t="s">
        <v>550</v>
      </c>
      <c r="D142" s="1">
        <v>45926</v>
      </c>
      <c r="E142" t="s">
        <v>52</v>
      </c>
      <c r="F142" s="1">
        <v>46041</v>
      </c>
      <c r="G142" s="2">
        <f>IF(Table1[[#This Row],[Deal Status]]="Completed", Table1[[#This Row],[Completion/Termination Date]]-Table1[[#This Row],[Announce Date]], "")</f>
        <v>115</v>
      </c>
      <c r="H142" t="s">
        <v>551</v>
      </c>
      <c r="I142" t="s">
        <v>552</v>
      </c>
      <c r="J142" t="s">
        <v>1296</v>
      </c>
      <c r="K142" t="s">
        <v>23</v>
      </c>
      <c r="M142" t="s">
        <v>23</v>
      </c>
      <c r="N142" s="2">
        <v>1578.87</v>
      </c>
      <c r="O142" s="2">
        <v>2528.5500000000002</v>
      </c>
      <c r="P142" s="2">
        <v>13.69</v>
      </c>
      <c r="Q142" s="2" t="s">
        <v>24</v>
      </c>
      <c r="R142" s="2" t="s">
        <v>24</v>
      </c>
      <c r="S142" t="s">
        <v>948</v>
      </c>
      <c r="T142" t="s">
        <v>948</v>
      </c>
      <c r="U142" t="s">
        <v>980</v>
      </c>
      <c r="V142" t="s">
        <v>71</v>
      </c>
      <c r="W142" t="s">
        <v>25</v>
      </c>
      <c r="X142">
        <v>33.79</v>
      </c>
    </row>
    <row r="143" spans="1:24" x14ac:dyDescent="0.25">
      <c r="A143" t="s">
        <v>17</v>
      </c>
      <c r="B143" t="s">
        <v>145</v>
      </c>
      <c r="C143" t="s">
        <v>146</v>
      </c>
      <c r="D143" s="1">
        <v>46070</v>
      </c>
      <c r="E143" t="s">
        <v>52</v>
      </c>
      <c r="F143" s="1">
        <v>46184</v>
      </c>
      <c r="G143" s="2">
        <f>IF(Table1[[#This Row],[Deal Status]]="Completed", Table1[[#This Row],[Completion/Termination Date]]-Table1[[#This Row],[Announce Date]], "")</f>
        <v>114</v>
      </c>
      <c r="H143" t="s">
        <v>147</v>
      </c>
      <c r="I143" t="s">
        <v>148</v>
      </c>
      <c r="J143" t="s">
        <v>1295</v>
      </c>
      <c r="K143" t="s">
        <v>23</v>
      </c>
      <c r="M143" t="s">
        <v>23</v>
      </c>
      <c r="N143" s="2">
        <v>9668.51</v>
      </c>
      <c r="O143" s="2">
        <v>9668.51</v>
      </c>
      <c r="P143" s="2">
        <v>27.72</v>
      </c>
      <c r="Q143" s="2">
        <v>305</v>
      </c>
      <c r="R143" s="2" t="s">
        <v>24</v>
      </c>
      <c r="S143" t="s">
        <v>948</v>
      </c>
      <c r="T143" t="s">
        <v>948</v>
      </c>
      <c r="U143" t="s">
        <v>949</v>
      </c>
      <c r="V143" t="s">
        <v>25</v>
      </c>
      <c r="W143" t="s">
        <v>25</v>
      </c>
      <c r="X143">
        <v>30.37</v>
      </c>
    </row>
    <row r="144" spans="1:24" x14ac:dyDescent="0.25">
      <c r="A144" t="s">
        <v>17</v>
      </c>
      <c r="B144" t="s">
        <v>611</v>
      </c>
      <c r="C144" t="s">
        <v>134</v>
      </c>
      <c r="D144" s="1">
        <v>45726</v>
      </c>
      <c r="E144" t="s">
        <v>52</v>
      </c>
      <c r="F144" s="1">
        <v>45840</v>
      </c>
      <c r="G144" s="2">
        <f>IF(Table1[[#This Row],[Deal Status]]="Completed", Table1[[#This Row],[Completion/Termination Date]]-Table1[[#This Row],[Announce Date]], "")</f>
        <v>114</v>
      </c>
      <c r="H144" t="s">
        <v>612</v>
      </c>
      <c r="I144" t="s">
        <v>136</v>
      </c>
      <c r="J144" t="s">
        <v>1295</v>
      </c>
      <c r="K144" t="s">
        <v>38</v>
      </c>
      <c r="M144" t="s">
        <v>38</v>
      </c>
      <c r="N144" s="2">
        <v>1345.62</v>
      </c>
      <c r="O144" s="2">
        <v>2215.77</v>
      </c>
      <c r="P144" s="2" t="s">
        <v>24</v>
      </c>
      <c r="Q144" s="2" t="s">
        <v>24</v>
      </c>
      <c r="R144" s="2" t="s">
        <v>24</v>
      </c>
      <c r="S144" t="s">
        <v>940</v>
      </c>
      <c r="T144" t="s">
        <v>940</v>
      </c>
      <c r="U144" t="s">
        <v>977</v>
      </c>
      <c r="V144" t="s">
        <v>25</v>
      </c>
      <c r="W144" t="s">
        <v>25</v>
      </c>
      <c r="X144">
        <v>37.82</v>
      </c>
    </row>
    <row r="145" spans="1:24" x14ac:dyDescent="0.25">
      <c r="A145" t="s">
        <v>17</v>
      </c>
      <c r="B145" t="s">
        <v>464</v>
      </c>
      <c r="C145" t="s">
        <v>465</v>
      </c>
      <c r="D145" s="1">
        <v>45952</v>
      </c>
      <c r="E145" t="s">
        <v>52</v>
      </c>
      <c r="F145" s="1">
        <v>46066</v>
      </c>
      <c r="G145" s="2">
        <f>IF(Table1[[#This Row],[Deal Status]]="Completed", Table1[[#This Row],[Completion/Termination Date]]-Table1[[#This Row],[Announce Date]], "")</f>
        <v>114</v>
      </c>
      <c r="H145" t="s">
        <v>466</v>
      </c>
      <c r="I145" t="s">
        <v>467</v>
      </c>
      <c r="J145" t="s">
        <v>1295</v>
      </c>
      <c r="K145" t="s">
        <v>23</v>
      </c>
      <c r="M145" t="s">
        <v>23</v>
      </c>
      <c r="N145" s="2">
        <v>2039.05</v>
      </c>
      <c r="O145" s="2">
        <v>2039.05</v>
      </c>
      <c r="P145" s="2" t="s">
        <v>24</v>
      </c>
      <c r="Q145" s="2" t="s">
        <v>24</v>
      </c>
      <c r="R145" s="2" t="s">
        <v>24</v>
      </c>
      <c r="S145" t="s">
        <v>948</v>
      </c>
      <c r="T145" t="s">
        <v>948</v>
      </c>
      <c r="U145" t="s">
        <v>954</v>
      </c>
      <c r="V145" t="s">
        <v>25</v>
      </c>
      <c r="W145" t="s">
        <v>25</v>
      </c>
      <c r="X145">
        <v>9.3800000000000008</v>
      </c>
    </row>
    <row r="146" spans="1:24" x14ac:dyDescent="0.25">
      <c r="A146" t="s">
        <v>17</v>
      </c>
      <c r="B146" t="s">
        <v>349</v>
      </c>
      <c r="C146" t="s">
        <v>350</v>
      </c>
      <c r="D146" s="1">
        <v>45944</v>
      </c>
      <c r="E146" t="s">
        <v>52</v>
      </c>
      <c r="F146" s="1">
        <v>46056</v>
      </c>
      <c r="G146" s="2">
        <f>IF(Table1[[#This Row],[Deal Status]]="Completed", Table1[[#This Row],[Completion/Termination Date]]-Table1[[#This Row],[Announce Date]], "")</f>
        <v>112</v>
      </c>
      <c r="H146" t="s">
        <v>351</v>
      </c>
      <c r="I146" t="s">
        <v>352</v>
      </c>
      <c r="J146" t="s">
        <v>1295</v>
      </c>
      <c r="K146" t="s">
        <v>30</v>
      </c>
      <c r="M146" t="s">
        <v>38</v>
      </c>
      <c r="N146" s="2">
        <v>3731.38</v>
      </c>
      <c r="O146" s="2">
        <v>3731.38</v>
      </c>
      <c r="P146" s="2">
        <v>24.91</v>
      </c>
      <c r="Q146" s="2">
        <v>138</v>
      </c>
      <c r="R146" s="2">
        <v>159</v>
      </c>
      <c r="S146" t="s">
        <v>940</v>
      </c>
      <c r="T146" t="s">
        <v>940</v>
      </c>
      <c r="U146" t="s">
        <v>941</v>
      </c>
      <c r="V146" t="s">
        <v>25</v>
      </c>
      <c r="W146" t="s">
        <v>25</v>
      </c>
      <c r="X146">
        <v>17.82</v>
      </c>
    </row>
    <row r="147" spans="1:24" x14ac:dyDescent="0.25">
      <c r="A147" t="s">
        <v>17</v>
      </c>
      <c r="B147" t="s">
        <v>813</v>
      </c>
      <c r="C147" t="s">
        <v>814</v>
      </c>
      <c r="D147" s="1">
        <v>45894</v>
      </c>
      <c r="E147" t="s">
        <v>52</v>
      </c>
      <c r="F147" s="1">
        <v>46006</v>
      </c>
      <c r="G147" s="2">
        <f>IF(Table1[[#This Row],[Deal Status]]="Completed", Table1[[#This Row],[Completion/Termination Date]]-Table1[[#This Row],[Announce Date]], "")</f>
        <v>112</v>
      </c>
      <c r="H147" t="s">
        <v>815</v>
      </c>
      <c r="I147" t="s">
        <v>816</v>
      </c>
      <c r="J147" t="s">
        <v>1295</v>
      </c>
      <c r="K147" t="s">
        <v>38</v>
      </c>
      <c r="M147" t="s">
        <v>38</v>
      </c>
      <c r="N147" s="2">
        <v>689.11</v>
      </c>
      <c r="O147" s="2">
        <v>3053.93</v>
      </c>
      <c r="P147" s="2">
        <v>3.75</v>
      </c>
      <c r="Q147" s="2">
        <v>22.5</v>
      </c>
      <c r="R147" s="2">
        <v>76.900000000000006</v>
      </c>
      <c r="S147" t="s">
        <v>942</v>
      </c>
      <c r="T147" t="s">
        <v>943</v>
      </c>
      <c r="U147" t="s">
        <v>944</v>
      </c>
      <c r="V147" t="s">
        <v>25</v>
      </c>
      <c r="W147" t="s">
        <v>25</v>
      </c>
      <c r="X147">
        <v>9.61</v>
      </c>
    </row>
    <row r="148" spans="1:24" x14ac:dyDescent="0.25">
      <c r="A148" t="s">
        <v>17</v>
      </c>
      <c r="B148" t="s">
        <v>875</v>
      </c>
      <c r="C148" t="s">
        <v>876</v>
      </c>
      <c r="D148" s="1">
        <v>45958</v>
      </c>
      <c r="E148" t="s">
        <v>52</v>
      </c>
      <c r="F148" s="1">
        <v>46070</v>
      </c>
      <c r="G148" s="2">
        <f>IF(Table1[[#This Row],[Deal Status]]="Completed", Table1[[#This Row],[Completion/Termination Date]]-Table1[[#This Row],[Announce Date]], "")</f>
        <v>112</v>
      </c>
      <c r="H148" t="s">
        <v>877</v>
      </c>
      <c r="I148" t="s">
        <v>878</v>
      </c>
      <c r="J148" t="s">
        <v>1295</v>
      </c>
      <c r="K148" t="s">
        <v>38</v>
      </c>
      <c r="M148" t="s">
        <v>38</v>
      </c>
      <c r="N148" s="2">
        <v>442.82</v>
      </c>
      <c r="O148" s="2">
        <v>705.33</v>
      </c>
      <c r="P148" s="2">
        <v>8.1199999999999992</v>
      </c>
      <c r="Q148" s="2">
        <v>15</v>
      </c>
      <c r="R148" s="2">
        <v>15</v>
      </c>
      <c r="S148" t="s">
        <v>951</v>
      </c>
      <c r="T148" t="s">
        <v>951</v>
      </c>
      <c r="U148" t="s">
        <v>993</v>
      </c>
      <c r="V148" t="s">
        <v>25</v>
      </c>
      <c r="W148" t="s">
        <v>25</v>
      </c>
      <c r="X148">
        <v>36.32</v>
      </c>
    </row>
    <row r="149" spans="1:24" x14ac:dyDescent="0.25">
      <c r="A149" t="s">
        <v>17</v>
      </c>
      <c r="B149" t="s">
        <v>450</v>
      </c>
      <c r="C149" t="s">
        <v>451</v>
      </c>
      <c r="D149" s="1">
        <v>45882</v>
      </c>
      <c r="E149" t="s">
        <v>52</v>
      </c>
      <c r="F149" s="1">
        <v>45992</v>
      </c>
      <c r="G149" s="2">
        <f>IF(Table1[[#This Row],[Deal Status]]="Completed", Table1[[#This Row],[Completion/Termination Date]]-Table1[[#This Row],[Announce Date]], "")</f>
        <v>110</v>
      </c>
      <c r="H149" t="s">
        <v>452</v>
      </c>
      <c r="I149" t="s">
        <v>453</v>
      </c>
      <c r="J149" t="s">
        <v>1295</v>
      </c>
      <c r="K149" t="s">
        <v>30</v>
      </c>
      <c r="M149" t="s">
        <v>38</v>
      </c>
      <c r="N149" s="2">
        <v>2152.75</v>
      </c>
      <c r="O149" s="2">
        <v>4518.07</v>
      </c>
      <c r="P149" s="2">
        <v>16.87</v>
      </c>
      <c r="Q149" s="2" t="s">
        <v>24</v>
      </c>
      <c r="R149" s="2" t="s">
        <v>24</v>
      </c>
      <c r="S149" t="s">
        <v>937</v>
      </c>
      <c r="T149" t="s">
        <v>964</v>
      </c>
      <c r="U149" t="s">
        <v>965</v>
      </c>
      <c r="V149" t="s">
        <v>25</v>
      </c>
      <c r="W149" t="s">
        <v>71</v>
      </c>
      <c r="X149">
        <v>34.26</v>
      </c>
    </row>
    <row r="150" spans="1:24" x14ac:dyDescent="0.25">
      <c r="A150" t="s">
        <v>17</v>
      </c>
      <c r="B150" t="s">
        <v>569</v>
      </c>
      <c r="C150" t="s">
        <v>570</v>
      </c>
      <c r="D150" s="1">
        <v>45922</v>
      </c>
      <c r="E150" t="s">
        <v>52</v>
      </c>
      <c r="F150" s="1">
        <v>46031</v>
      </c>
      <c r="G150" s="2">
        <f>IF(Table1[[#This Row],[Deal Status]]="Completed", Table1[[#This Row],[Completion/Termination Date]]-Table1[[#This Row],[Announce Date]], "")</f>
        <v>109</v>
      </c>
      <c r="H150" t="s">
        <v>571</v>
      </c>
      <c r="I150" t="s">
        <v>572</v>
      </c>
      <c r="J150" t="s">
        <v>1295</v>
      </c>
      <c r="K150" t="s">
        <v>38</v>
      </c>
      <c r="M150" t="s">
        <v>38</v>
      </c>
      <c r="N150" s="2">
        <v>1496.62</v>
      </c>
      <c r="O150" s="2">
        <v>4578.62</v>
      </c>
      <c r="P150" s="2">
        <v>13.96</v>
      </c>
      <c r="Q150" s="2" t="s">
        <v>24</v>
      </c>
      <c r="R150" s="2" t="s">
        <v>24</v>
      </c>
      <c r="S150" t="s">
        <v>940</v>
      </c>
      <c r="T150" t="s">
        <v>940</v>
      </c>
      <c r="U150" t="s">
        <v>977</v>
      </c>
      <c r="V150" t="s">
        <v>25</v>
      </c>
      <c r="W150" t="s">
        <v>25</v>
      </c>
      <c r="X150">
        <v>105.45</v>
      </c>
    </row>
    <row r="151" spans="1:24" x14ac:dyDescent="0.25">
      <c r="A151" t="s">
        <v>17</v>
      </c>
      <c r="B151" t="s">
        <v>386</v>
      </c>
      <c r="C151" t="s">
        <v>387</v>
      </c>
      <c r="D151" s="1">
        <v>45845</v>
      </c>
      <c r="E151" t="s">
        <v>52</v>
      </c>
      <c r="F151" s="1">
        <v>45952</v>
      </c>
      <c r="G151" s="2">
        <f>IF(Table1[[#This Row],[Deal Status]]="Completed", Table1[[#This Row],[Completion/Termination Date]]-Table1[[#This Row],[Announce Date]], "")</f>
        <v>107</v>
      </c>
      <c r="H151" t="s">
        <v>388</v>
      </c>
      <c r="I151" t="s">
        <v>389</v>
      </c>
      <c r="J151" t="s">
        <v>1295</v>
      </c>
      <c r="K151" t="s">
        <v>38</v>
      </c>
      <c r="M151" t="s">
        <v>38</v>
      </c>
      <c r="N151" s="2">
        <v>3250.43</v>
      </c>
      <c r="O151" s="2">
        <v>3576.52</v>
      </c>
      <c r="P151" s="2">
        <v>26.82</v>
      </c>
      <c r="Q151" s="2" t="s">
        <v>24</v>
      </c>
      <c r="R151" s="2" t="s">
        <v>24</v>
      </c>
      <c r="S151" t="s">
        <v>951</v>
      </c>
      <c r="T151" t="s">
        <v>951</v>
      </c>
      <c r="U151" t="s">
        <v>952</v>
      </c>
      <c r="V151" t="s">
        <v>71</v>
      </c>
      <c r="W151" t="s">
        <v>25</v>
      </c>
      <c r="X151">
        <v>20.03</v>
      </c>
    </row>
    <row r="152" spans="1:24" x14ac:dyDescent="0.25">
      <c r="A152" t="s">
        <v>17</v>
      </c>
      <c r="B152" t="s">
        <v>342</v>
      </c>
      <c r="C152" t="s">
        <v>343</v>
      </c>
      <c r="D152" s="1">
        <v>45707</v>
      </c>
      <c r="E152" t="s">
        <v>52</v>
      </c>
      <c r="F152" s="1">
        <v>45811</v>
      </c>
      <c r="G152" s="2">
        <f>IF(Table1[[#This Row],[Deal Status]]="Completed", Table1[[#This Row],[Completion/Termination Date]]-Table1[[#This Row],[Announce Date]], "")</f>
        <v>104</v>
      </c>
      <c r="H152" t="s">
        <v>344</v>
      </c>
      <c r="I152" t="s">
        <v>345</v>
      </c>
      <c r="J152" t="s">
        <v>1295</v>
      </c>
      <c r="K152" t="s">
        <v>30</v>
      </c>
      <c r="L152" t="s">
        <v>1294</v>
      </c>
      <c r="M152" t="s">
        <v>1286</v>
      </c>
      <c r="N152" s="2">
        <v>3841.8</v>
      </c>
      <c r="O152" s="2">
        <v>5590.69</v>
      </c>
      <c r="P152" s="2">
        <v>8.01</v>
      </c>
      <c r="Q152" s="2">
        <v>208.36600000000001</v>
      </c>
      <c r="R152" s="2" t="s">
        <v>24</v>
      </c>
      <c r="S152" t="s">
        <v>929</v>
      </c>
      <c r="T152" t="s">
        <v>930</v>
      </c>
      <c r="U152" t="s">
        <v>974</v>
      </c>
      <c r="V152" t="s">
        <v>25</v>
      </c>
      <c r="W152" t="s">
        <v>25</v>
      </c>
      <c r="X152">
        <v>18.32</v>
      </c>
    </row>
    <row r="153" spans="1:24" x14ac:dyDescent="0.25">
      <c r="A153" t="s">
        <v>17</v>
      </c>
      <c r="B153" t="s">
        <v>114</v>
      </c>
      <c r="C153" t="s">
        <v>115</v>
      </c>
      <c r="D153" s="1">
        <v>45999</v>
      </c>
      <c r="E153" t="s">
        <v>52</v>
      </c>
      <c r="F153" s="1">
        <v>46099</v>
      </c>
      <c r="G153" s="2">
        <f>IF(Table1[[#This Row],[Deal Status]]="Completed", Table1[[#This Row],[Completion/Termination Date]]-Table1[[#This Row],[Announce Date]], "")</f>
        <v>100</v>
      </c>
      <c r="H153" t="s">
        <v>116</v>
      </c>
      <c r="I153" t="s">
        <v>117</v>
      </c>
      <c r="J153" t="s">
        <v>1295</v>
      </c>
      <c r="K153" t="s">
        <v>23</v>
      </c>
      <c r="M153" t="s">
        <v>23</v>
      </c>
      <c r="N153" s="2">
        <v>10898.34</v>
      </c>
      <c r="O153" s="2">
        <v>10898.34</v>
      </c>
      <c r="P153" s="2" t="s">
        <v>24</v>
      </c>
      <c r="Q153" s="2">
        <v>453.6</v>
      </c>
      <c r="R153" s="2" t="s">
        <v>24</v>
      </c>
      <c r="S153" t="s">
        <v>945</v>
      </c>
      <c r="T153" t="s">
        <v>946</v>
      </c>
      <c r="U153" t="s">
        <v>947</v>
      </c>
      <c r="V153" t="s">
        <v>25</v>
      </c>
      <c r="W153" t="s">
        <v>25</v>
      </c>
      <c r="X153">
        <v>36.58</v>
      </c>
    </row>
    <row r="154" spans="1:24" x14ac:dyDescent="0.25">
      <c r="A154" t="s">
        <v>17</v>
      </c>
      <c r="B154" t="s">
        <v>171</v>
      </c>
      <c r="C154" t="s">
        <v>172</v>
      </c>
      <c r="D154" s="1">
        <v>45740</v>
      </c>
      <c r="E154" t="s">
        <v>52</v>
      </c>
      <c r="F154" s="1">
        <v>45839</v>
      </c>
      <c r="G154" s="2">
        <f>IF(Table1[[#This Row],[Deal Status]]="Completed", Table1[[#This Row],[Completion/Termination Date]]-Table1[[#This Row],[Announce Date]], "")</f>
        <v>99</v>
      </c>
      <c r="H154" t="s">
        <v>173</v>
      </c>
      <c r="I154" t="s">
        <v>174</v>
      </c>
      <c r="J154" t="s">
        <v>1295</v>
      </c>
      <c r="K154" t="s">
        <v>30</v>
      </c>
      <c r="M154" t="s">
        <v>38</v>
      </c>
      <c r="N154" s="2">
        <v>8458.69</v>
      </c>
      <c r="O154" s="2">
        <v>8770.57</v>
      </c>
      <c r="P154" s="2">
        <v>25.27</v>
      </c>
      <c r="Q154" s="2">
        <v>272</v>
      </c>
      <c r="R154" s="2" t="s">
        <v>24</v>
      </c>
      <c r="S154" t="s">
        <v>937</v>
      </c>
      <c r="T154" t="s">
        <v>964</v>
      </c>
      <c r="U154" t="s">
        <v>971</v>
      </c>
      <c r="V154" t="s">
        <v>25</v>
      </c>
      <c r="W154" t="s">
        <v>25</v>
      </c>
      <c r="X154">
        <v>36.15</v>
      </c>
    </row>
    <row r="155" spans="1:24" x14ac:dyDescent="0.25">
      <c r="A155" t="s">
        <v>17</v>
      </c>
      <c r="B155" t="s">
        <v>525</v>
      </c>
      <c r="C155" t="s">
        <v>194</v>
      </c>
      <c r="D155" s="1">
        <v>45852</v>
      </c>
      <c r="E155" t="s">
        <v>52</v>
      </c>
      <c r="F155" s="1">
        <v>45951</v>
      </c>
      <c r="G155" s="2">
        <f>IF(Table1[[#This Row],[Deal Status]]="Completed", Table1[[#This Row],[Completion/Termination Date]]-Table1[[#This Row],[Announce Date]], "")</f>
        <v>99</v>
      </c>
      <c r="H155" t="s">
        <v>526</v>
      </c>
      <c r="I155" t="s">
        <v>196</v>
      </c>
      <c r="J155" t="s">
        <v>1295</v>
      </c>
      <c r="K155" t="s">
        <v>38</v>
      </c>
      <c r="M155" t="s">
        <v>38</v>
      </c>
      <c r="N155" s="2">
        <v>1758.57</v>
      </c>
      <c r="O155" s="2">
        <v>1758.57</v>
      </c>
      <c r="P155" s="2" t="s">
        <v>24</v>
      </c>
      <c r="Q155" s="2">
        <v>56</v>
      </c>
      <c r="R155" s="2" t="s">
        <v>24</v>
      </c>
      <c r="S155" t="s">
        <v>958</v>
      </c>
      <c r="T155" t="s">
        <v>959</v>
      </c>
      <c r="U155" t="s">
        <v>959</v>
      </c>
      <c r="V155" t="s">
        <v>25</v>
      </c>
      <c r="W155" t="s">
        <v>25</v>
      </c>
      <c r="X155">
        <v>24.52</v>
      </c>
    </row>
    <row r="156" spans="1:24" x14ac:dyDescent="0.25">
      <c r="A156" t="s">
        <v>17</v>
      </c>
      <c r="B156" t="s">
        <v>193</v>
      </c>
      <c r="C156" t="s">
        <v>194</v>
      </c>
      <c r="D156" s="1">
        <v>45957</v>
      </c>
      <c r="E156" t="s">
        <v>52</v>
      </c>
      <c r="F156" s="1">
        <v>46055</v>
      </c>
      <c r="G156" s="2">
        <f>IF(Table1[[#This Row],[Deal Status]]="Completed", Table1[[#This Row],[Completion/Termination Date]]-Table1[[#This Row],[Announce Date]], "")</f>
        <v>98</v>
      </c>
      <c r="H156" t="s">
        <v>195</v>
      </c>
      <c r="I156" t="s">
        <v>196</v>
      </c>
      <c r="J156" t="s">
        <v>1295</v>
      </c>
      <c r="K156" t="s">
        <v>38</v>
      </c>
      <c r="M156" t="s">
        <v>38</v>
      </c>
      <c r="N156" s="2">
        <v>7416.59</v>
      </c>
      <c r="O156" s="2">
        <v>7416.59</v>
      </c>
      <c r="P156" s="2" t="s">
        <v>24</v>
      </c>
      <c r="Q156" s="2">
        <v>296</v>
      </c>
      <c r="R156" s="2">
        <v>296</v>
      </c>
      <c r="S156" t="s">
        <v>958</v>
      </c>
      <c r="T156" t="s">
        <v>959</v>
      </c>
      <c r="U156" t="s">
        <v>959</v>
      </c>
      <c r="V156" t="s">
        <v>25</v>
      </c>
      <c r="W156" t="s">
        <v>25</v>
      </c>
      <c r="X156">
        <v>7.45</v>
      </c>
    </row>
    <row r="157" spans="1:24" x14ac:dyDescent="0.25">
      <c r="A157" t="s">
        <v>17</v>
      </c>
      <c r="B157" t="s">
        <v>313</v>
      </c>
      <c r="C157" t="s">
        <v>314</v>
      </c>
      <c r="D157" s="1">
        <v>45664</v>
      </c>
      <c r="E157" t="s">
        <v>52</v>
      </c>
      <c r="F157" s="1">
        <v>45762</v>
      </c>
      <c r="G157" s="2">
        <f>IF(Table1[[#This Row],[Deal Status]]="Completed", Table1[[#This Row],[Completion/Termination Date]]-Table1[[#This Row],[Announce Date]], "")</f>
        <v>98</v>
      </c>
      <c r="H157" t="s">
        <v>315</v>
      </c>
      <c r="I157" t="s">
        <v>316</v>
      </c>
      <c r="J157" t="s">
        <v>1295</v>
      </c>
      <c r="K157" t="s">
        <v>23</v>
      </c>
      <c r="M157" t="s">
        <v>23</v>
      </c>
      <c r="N157" s="2">
        <v>4042.32</v>
      </c>
      <c r="O157" s="2">
        <v>3957.36</v>
      </c>
      <c r="P157" s="2" t="s">
        <v>24</v>
      </c>
      <c r="Q157" s="2" t="s">
        <v>24</v>
      </c>
      <c r="R157" s="2" t="s">
        <v>24</v>
      </c>
      <c r="S157" t="s">
        <v>945</v>
      </c>
      <c r="T157" t="s">
        <v>946</v>
      </c>
      <c r="U157" t="s">
        <v>947</v>
      </c>
      <c r="V157" t="s">
        <v>25</v>
      </c>
      <c r="W157" t="s">
        <v>25</v>
      </c>
      <c r="X157">
        <v>15.39</v>
      </c>
    </row>
    <row r="158" spans="1:24" x14ac:dyDescent="0.25">
      <c r="A158" t="s">
        <v>17</v>
      </c>
      <c r="B158" t="s">
        <v>686</v>
      </c>
      <c r="C158" t="s">
        <v>211</v>
      </c>
      <c r="D158" s="1">
        <v>45670</v>
      </c>
      <c r="E158" t="s">
        <v>52</v>
      </c>
      <c r="F158" s="1">
        <v>45768</v>
      </c>
      <c r="G158" s="2">
        <f>IF(Table1[[#This Row],[Deal Status]]="Completed", Table1[[#This Row],[Completion/Termination Date]]-Table1[[#This Row],[Announce Date]], "")</f>
        <v>98</v>
      </c>
      <c r="H158" t="s">
        <v>687</v>
      </c>
      <c r="I158" t="s">
        <v>212</v>
      </c>
      <c r="J158" t="s">
        <v>1295</v>
      </c>
      <c r="K158" t="s">
        <v>80</v>
      </c>
      <c r="M158" t="s">
        <v>38</v>
      </c>
      <c r="N158" s="2">
        <v>1025.82</v>
      </c>
      <c r="O158" s="2">
        <v>998.65</v>
      </c>
      <c r="P158" s="2" t="s">
        <v>24</v>
      </c>
      <c r="Q158" s="2" t="s">
        <v>24</v>
      </c>
      <c r="R158" s="2" t="s">
        <v>24</v>
      </c>
      <c r="S158" t="s">
        <v>945</v>
      </c>
      <c r="T158" t="s">
        <v>946</v>
      </c>
      <c r="U158" t="s">
        <v>947</v>
      </c>
      <c r="V158" t="s">
        <v>25</v>
      </c>
      <c r="W158" t="s">
        <v>25</v>
      </c>
      <c r="X158">
        <v>4.1500000000000004</v>
      </c>
    </row>
    <row r="159" spans="1:24" x14ac:dyDescent="0.25">
      <c r="A159" t="s">
        <v>17</v>
      </c>
      <c r="B159" t="s">
        <v>309</v>
      </c>
      <c r="C159" t="s">
        <v>310</v>
      </c>
      <c r="D159" s="1">
        <v>46077</v>
      </c>
      <c r="E159" t="s">
        <v>52</v>
      </c>
      <c r="F159" s="1">
        <v>46174</v>
      </c>
      <c r="G159" s="2">
        <f>IF(Table1[[#This Row],[Deal Status]]="Completed", Table1[[#This Row],[Completion/Termination Date]]-Table1[[#This Row],[Announce Date]], "")</f>
        <v>97</v>
      </c>
      <c r="H159" t="s">
        <v>311</v>
      </c>
      <c r="I159" t="s">
        <v>312</v>
      </c>
      <c r="J159" t="s">
        <v>1295</v>
      </c>
      <c r="K159" t="s">
        <v>80</v>
      </c>
      <c r="M159" t="s">
        <v>38</v>
      </c>
      <c r="N159" s="2">
        <v>4051.91</v>
      </c>
      <c r="O159" s="2">
        <v>4165.2299999999996</v>
      </c>
      <c r="P159" s="2">
        <v>39.17</v>
      </c>
      <c r="Q159" s="2" t="s">
        <v>24</v>
      </c>
      <c r="R159" s="2" t="s">
        <v>24</v>
      </c>
      <c r="S159" t="s">
        <v>929</v>
      </c>
      <c r="T159" t="s">
        <v>955</v>
      </c>
      <c r="U159" t="s">
        <v>978</v>
      </c>
      <c r="V159" t="s">
        <v>25</v>
      </c>
      <c r="W159" t="s">
        <v>25</v>
      </c>
      <c r="X159">
        <v>154.16999999999999</v>
      </c>
    </row>
    <row r="160" spans="1:24" x14ac:dyDescent="0.25">
      <c r="A160" t="s">
        <v>17</v>
      </c>
      <c r="B160" t="s">
        <v>617</v>
      </c>
      <c r="C160" t="s">
        <v>618</v>
      </c>
      <c r="D160" s="1">
        <v>45828</v>
      </c>
      <c r="E160" t="s">
        <v>52</v>
      </c>
      <c r="F160" s="1">
        <v>45925</v>
      </c>
      <c r="G160" s="2">
        <f>IF(Table1[[#This Row],[Deal Status]]="Completed", Table1[[#This Row],[Completion/Termination Date]]-Table1[[#This Row],[Announce Date]], "")</f>
        <v>97</v>
      </c>
      <c r="H160" t="s">
        <v>619</v>
      </c>
      <c r="I160" t="s">
        <v>620</v>
      </c>
      <c r="J160" t="s">
        <v>1296</v>
      </c>
      <c r="K160" t="s">
        <v>23</v>
      </c>
      <c r="M160" t="s">
        <v>23</v>
      </c>
      <c r="N160" s="2">
        <v>1325.07</v>
      </c>
      <c r="O160" s="2">
        <v>1186.99</v>
      </c>
      <c r="P160" s="2" t="s">
        <v>24</v>
      </c>
      <c r="Q160" s="2">
        <v>42</v>
      </c>
      <c r="R160" s="2">
        <v>82.5</v>
      </c>
      <c r="S160" t="s">
        <v>945</v>
      </c>
      <c r="T160" t="s">
        <v>946</v>
      </c>
      <c r="U160" t="s">
        <v>947</v>
      </c>
      <c r="V160" t="s">
        <v>25</v>
      </c>
      <c r="W160" t="s">
        <v>25</v>
      </c>
      <c r="X160">
        <v>29.93</v>
      </c>
    </row>
    <row r="161" spans="1:24" x14ac:dyDescent="0.25">
      <c r="A161" t="s">
        <v>17</v>
      </c>
      <c r="B161" t="s">
        <v>527</v>
      </c>
      <c r="C161" t="s">
        <v>528</v>
      </c>
      <c r="D161" s="1">
        <v>45959</v>
      </c>
      <c r="E161" t="s">
        <v>52</v>
      </c>
      <c r="F161" s="1">
        <v>46055</v>
      </c>
      <c r="G161" s="2">
        <f>IF(Table1[[#This Row],[Deal Status]]="Completed", Table1[[#This Row],[Completion/Termination Date]]-Table1[[#This Row],[Announce Date]], "")</f>
        <v>96</v>
      </c>
      <c r="H161" t="s">
        <v>529</v>
      </c>
      <c r="I161" t="s">
        <v>530</v>
      </c>
      <c r="J161" t="s">
        <v>1296</v>
      </c>
      <c r="K161" t="s">
        <v>23</v>
      </c>
      <c r="M161" t="s">
        <v>23</v>
      </c>
      <c r="N161" s="2">
        <v>1733.52</v>
      </c>
      <c r="O161" s="2">
        <v>1645.02</v>
      </c>
      <c r="P161" s="2" t="s">
        <v>24</v>
      </c>
      <c r="Q161" s="2" t="s">
        <v>24</v>
      </c>
      <c r="R161" s="2" t="s">
        <v>24</v>
      </c>
      <c r="S161" t="s">
        <v>945</v>
      </c>
      <c r="T161" t="s">
        <v>946</v>
      </c>
      <c r="U161" t="s">
        <v>947</v>
      </c>
      <c r="V161" t="s">
        <v>25</v>
      </c>
      <c r="W161" t="s">
        <v>25</v>
      </c>
      <c r="X161">
        <v>25.72</v>
      </c>
    </row>
    <row r="162" spans="1:24" x14ac:dyDescent="0.25">
      <c r="A162" t="s">
        <v>17</v>
      </c>
      <c r="B162" t="s">
        <v>706</v>
      </c>
      <c r="D162" s="1">
        <v>45954</v>
      </c>
      <c r="E162" t="s">
        <v>52</v>
      </c>
      <c r="F162" s="1">
        <v>46050</v>
      </c>
      <c r="G162" s="2">
        <f>IF(Table1[[#This Row],[Deal Status]]="Completed", Table1[[#This Row],[Completion/Termination Date]]-Table1[[#This Row],[Announce Date]], "")</f>
        <v>96</v>
      </c>
      <c r="H162" t="s">
        <v>707</v>
      </c>
      <c r="I162" t="s">
        <v>708</v>
      </c>
      <c r="J162" t="s">
        <v>1296</v>
      </c>
      <c r="K162" t="s">
        <v>23</v>
      </c>
      <c r="M162" t="s">
        <v>23</v>
      </c>
      <c r="N162" s="2">
        <v>980.18</v>
      </c>
      <c r="O162" s="2">
        <v>980.18</v>
      </c>
      <c r="P162" s="2">
        <v>8.1199999999999992</v>
      </c>
      <c r="Q162" s="2">
        <v>40.1</v>
      </c>
      <c r="R162" s="2">
        <v>70.2</v>
      </c>
      <c r="S162" t="s">
        <v>940</v>
      </c>
      <c r="T162" t="s">
        <v>940</v>
      </c>
      <c r="U162" t="s">
        <v>941</v>
      </c>
      <c r="V162" t="s">
        <v>25</v>
      </c>
      <c r="W162" t="s">
        <v>25</v>
      </c>
      <c r="X162">
        <v>0.3</v>
      </c>
    </row>
    <row r="163" spans="1:24" x14ac:dyDescent="0.25">
      <c r="A163" t="s">
        <v>17</v>
      </c>
      <c r="B163" t="s">
        <v>394</v>
      </c>
      <c r="C163" t="s">
        <v>395</v>
      </c>
      <c r="D163" s="1">
        <v>45960</v>
      </c>
      <c r="E163" t="s">
        <v>52</v>
      </c>
      <c r="F163" s="1">
        <v>46055</v>
      </c>
      <c r="G163" s="2">
        <f>IF(Table1[[#This Row],[Deal Status]]="Completed", Table1[[#This Row],[Completion/Termination Date]]-Table1[[#This Row],[Announce Date]], "")</f>
        <v>95</v>
      </c>
      <c r="H163" t="s">
        <v>396</v>
      </c>
      <c r="I163" t="s">
        <v>397</v>
      </c>
      <c r="J163" t="s">
        <v>1295</v>
      </c>
      <c r="K163" t="s">
        <v>30</v>
      </c>
      <c r="M163" t="s">
        <v>38</v>
      </c>
      <c r="N163" s="2">
        <v>3024.65</v>
      </c>
      <c r="O163" s="2">
        <v>3102.05</v>
      </c>
      <c r="P163" s="2">
        <v>26.79</v>
      </c>
      <c r="Q163" s="2">
        <v>128</v>
      </c>
      <c r="R163" s="2">
        <v>128</v>
      </c>
      <c r="S163" t="s">
        <v>929</v>
      </c>
      <c r="T163" t="s">
        <v>955</v>
      </c>
      <c r="U163" t="s">
        <v>982</v>
      </c>
      <c r="V163" t="s">
        <v>25</v>
      </c>
      <c r="W163" t="s">
        <v>25</v>
      </c>
      <c r="X163">
        <v>7.99</v>
      </c>
    </row>
    <row r="164" spans="1:24" x14ac:dyDescent="0.25">
      <c r="A164" t="s">
        <v>17</v>
      </c>
      <c r="B164" t="s">
        <v>435</v>
      </c>
      <c r="D164" s="1">
        <v>45999</v>
      </c>
      <c r="E164" t="s">
        <v>52</v>
      </c>
      <c r="F164" s="1">
        <v>46094</v>
      </c>
      <c r="G164" s="2">
        <f>IF(Table1[[#This Row],[Deal Status]]="Completed", Table1[[#This Row],[Completion/Termination Date]]-Table1[[#This Row],[Announce Date]], "")</f>
        <v>95</v>
      </c>
      <c r="H164" t="s">
        <v>436</v>
      </c>
      <c r="I164" t="s">
        <v>437</v>
      </c>
      <c r="J164" t="s">
        <v>1296</v>
      </c>
      <c r="K164" t="s">
        <v>23</v>
      </c>
      <c r="M164" t="s">
        <v>23</v>
      </c>
      <c r="N164" s="2">
        <v>2300</v>
      </c>
      <c r="O164" s="2">
        <v>2300</v>
      </c>
      <c r="P164" s="2">
        <v>19.809999999999999</v>
      </c>
      <c r="Q164" s="2">
        <v>50.5</v>
      </c>
      <c r="R164" s="2">
        <v>155.30000000000001</v>
      </c>
      <c r="S164" t="s">
        <v>940</v>
      </c>
      <c r="T164" t="s">
        <v>940</v>
      </c>
      <c r="U164" t="s">
        <v>941</v>
      </c>
      <c r="V164" t="s">
        <v>25</v>
      </c>
      <c r="W164" t="s">
        <v>25</v>
      </c>
      <c r="X164" t="s">
        <v>24</v>
      </c>
    </row>
    <row r="165" spans="1:24" x14ac:dyDescent="0.25">
      <c r="A165" t="s">
        <v>17</v>
      </c>
      <c r="B165" t="s">
        <v>633</v>
      </c>
      <c r="C165" t="s">
        <v>111</v>
      </c>
      <c r="D165" s="1">
        <v>45894</v>
      </c>
      <c r="E165" t="s">
        <v>52</v>
      </c>
      <c r="F165" s="1">
        <v>45989</v>
      </c>
      <c r="G165" s="2">
        <f>IF(Table1[[#This Row],[Deal Status]]="Completed", Table1[[#This Row],[Completion/Termination Date]]-Table1[[#This Row],[Announce Date]], "")</f>
        <v>95</v>
      </c>
      <c r="H165" t="s">
        <v>634</v>
      </c>
      <c r="I165" t="s">
        <v>113</v>
      </c>
      <c r="J165" t="s">
        <v>1296</v>
      </c>
      <c r="K165" t="s">
        <v>23</v>
      </c>
      <c r="M165" t="s">
        <v>23</v>
      </c>
      <c r="N165" s="2">
        <v>1233.29</v>
      </c>
      <c r="O165" s="2">
        <v>1494.05</v>
      </c>
      <c r="P165" s="2">
        <v>9.24</v>
      </c>
      <c r="Q165" s="2" t="s">
        <v>24</v>
      </c>
      <c r="R165" s="2" t="s">
        <v>24</v>
      </c>
      <c r="S165" t="s">
        <v>945</v>
      </c>
      <c r="T165" t="s">
        <v>946</v>
      </c>
      <c r="U165" t="s">
        <v>947</v>
      </c>
      <c r="V165" t="s">
        <v>25</v>
      </c>
      <c r="W165" t="s">
        <v>25</v>
      </c>
      <c r="X165">
        <v>0.35</v>
      </c>
    </row>
    <row r="166" spans="1:24" x14ac:dyDescent="0.25">
      <c r="A166" t="s">
        <v>17</v>
      </c>
      <c r="B166" t="s">
        <v>893</v>
      </c>
      <c r="C166" t="s">
        <v>894</v>
      </c>
      <c r="D166" s="1">
        <v>45915</v>
      </c>
      <c r="E166" t="s">
        <v>52</v>
      </c>
      <c r="F166" s="1">
        <v>46010</v>
      </c>
      <c r="G166" s="2">
        <f>IF(Table1[[#This Row],[Deal Status]]="Completed", Table1[[#This Row],[Completion/Termination Date]]-Table1[[#This Row],[Announce Date]], "")</f>
        <v>95</v>
      </c>
      <c r="H166" t="s">
        <v>895</v>
      </c>
      <c r="I166" t="s">
        <v>896</v>
      </c>
      <c r="J166" t="s">
        <v>1295</v>
      </c>
      <c r="K166" t="s">
        <v>38</v>
      </c>
      <c r="M166" t="s">
        <v>38</v>
      </c>
      <c r="N166" s="2">
        <v>277.75</v>
      </c>
      <c r="O166" s="2">
        <v>622.62</v>
      </c>
      <c r="P166" s="2">
        <v>2.6</v>
      </c>
      <c r="Q166" s="2" t="s">
        <v>24</v>
      </c>
      <c r="R166" s="2" t="s">
        <v>24</v>
      </c>
      <c r="S166" t="s">
        <v>942</v>
      </c>
      <c r="T166" t="s">
        <v>943</v>
      </c>
      <c r="U166" t="s">
        <v>944</v>
      </c>
      <c r="V166" t="s">
        <v>25</v>
      </c>
      <c r="W166" t="s">
        <v>25</v>
      </c>
      <c r="X166">
        <v>14.59</v>
      </c>
    </row>
    <row r="167" spans="1:24" x14ac:dyDescent="0.25">
      <c r="A167" t="s">
        <v>17</v>
      </c>
      <c r="B167" t="s">
        <v>59</v>
      </c>
      <c r="C167" t="s">
        <v>60</v>
      </c>
      <c r="D167" s="1">
        <v>46055</v>
      </c>
      <c r="E167" t="s">
        <v>52</v>
      </c>
      <c r="F167" s="1">
        <v>46149</v>
      </c>
      <c r="G167" s="2">
        <f>IF(Table1[[#This Row],[Deal Status]]="Completed", Table1[[#This Row],[Completion/Termination Date]]-Table1[[#This Row],[Announce Date]], "")</f>
        <v>94</v>
      </c>
      <c r="H167" t="s">
        <v>61</v>
      </c>
      <c r="I167" t="s">
        <v>62</v>
      </c>
      <c r="J167" t="s">
        <v>1295</v>
      </c>
      <c r="K167" t="s">
        <v>38</v>
      </c>
      <c r="M167" t="s">
        <v>38</v>
      </c>
      <c r="N167" s="2">
        <v>19942.189999999999</v>
      </c>
      <c r="O167" s="2">
        <v>23961.19</v>
      </c>
      <c r="P167" s="2">
        <v>4.8499999999999996</v>
      </c>
      <c r="Q167" s="2">
        <v>865</v>
      </c>
      <c r="R167" s="2">
        <v>865</v>
      </c>
      <c r="S167" t="s">
        <v>942</v>
      </c>
      <c r="T167" t="s">
        <v>943</v>
      </c>
      <c r="U167" t="s">
        <v>944</v>
      </c>
      <c r="V167" t="s">
        <v>25</v>
      </c>
      <c r="W167" t="s">
        <v>25</v>
      </c>
      <c r="X167">
        <v>-0.64</v>
      </c>
    </row>
    <row r="168" spans="1:24" x14ac:dyDescent="0.25">
      <c r="A168" t="s">
        <v>17</v>
      </c>
      <c r="B168" t="s">
        <v>179</v>
      </c>
      <c r="C168" t="s">
        <v>86</v>
      </c>
      <c r="D168" s="1">
        <v>45684</v>
      </c>
      <c r="E168" t="s">
        <v>52</v>
      </c>
      <c r="F168" s="1">
        <v>45777</v>
      </c>
      <c r="G168" s="2">
        <f>IF(Table1[[#This Row],[Deal Status]]="Completed", Table1[[#This Row],[Completion/Termination Date]]-Table1[[#This Row],[Announce Date]], "")</f>
        <v>93</v>
      </c>
      <c r="H168" t="s">
        <v>180</v>
      </c>
      <c r="I168" t="s">
        <v>88</v>
      </c>
      <c r="J168" t="s">
        <v>1295</v>
      </c>
      <c r="K168" t="s">
        <v>23</v>
      </c>
      <c r="M168" t="s">
        <v>23</v>
      </c>
      <c r="N168" s="2">
        <v>7755.28</v>
      </c>
      <c r="O168" s="2">
        <v>11394.08</v>
      </c>
      <c r="P168" s="2">
        <v>11.24</v>
      </c>
      <c r="Q168" s="2" t="s">
        <v>24</v>
      </c>
      <c r="R168" s="2" t="s">
        <v>24</v>
      </c>
      <c r="S168" t="s">
        <v>937</v>
      </c>
      <c r="T168" t="s">
        <v>961</v>
      </c>
      <c r="U168" t="s">
        <v>962</v>
      </c>
      <c r="V168" t="s">
        <v>25</v>
      </c>
      <c r="W168" t="s">
        <v>25</v>
      </c>
      <c r="X168">
        <v>3.85</v>
      </c>
    </row>
    <row r="169" spans="1:24" x14ac:dyDescent="0.25">
      <c r="A169" t="s">
        <v>17</v>
      </c>
      <c r="B169" t="s">
        <v>662</v>
      </c>
      <c r="C169" t="s">
        <v>663</v>
      </c>
      <c r="D169" s="1">
        <v>45971</v>
      </c>
      <c r="E169" t="s">
        <v>52</v>
      </c>
      <c r="F169" s="1">
        <v>46064</v>
      </c>
      <c r="G169" s="2">
        <f>IF(Table1[[#This Row],[Deal Status]]="Completed", Table1[[#This Row],[Completion/Termination Date]]-Table1[[#This Row],[Announce Date]], "")</f>
        <v>93</v>
      </c>
      <c r="H169" t="s">
        <v>664</v>
      </c>
      <c r="I169" t="s">
        <v>665</v>
      </c>
      <c r="J169" t="s">
        <v>1296</v>
      </c>
      <c r="K169" t="s">
        <v>23</v>
      </c>
      <c r="M169" t="s">
        <v>23</v>
      </c>
      <c r="N169" s="2">
        <v>1136.25</v>
      </c>
      <c r="O169" s="2">
        <v>2766.55</v>
      </c>
      <c r="P169" s="2">
        <v>9.33</v>
      </c>
      <c r="Q169" s="2" t="s">
        <v>24</v>
      </c>
      <c r="R169" s="2" t="s">
        <v>24</v>
      </c>
      <c r="S169" t="s">
        <v>932</v>
      </c>
      <c r="T169" t="s">
        <v>933</v>
      </c>
      <c r="U169" t="s">
        <v>984</v>
      </c>
      <c r="V169" t="s">
        <v>25</v>
      </c>
      <c r="W169" t="s">
        <v>606</v>
      </c>
      <c r="X169">
        <v>18.55</v>
      </c>
    </row>
    <row r="170" spans="1:24" x14ac:dyDescent="0.25">
      <c r="A170" t="s">
        <v>17</v>
      </c>
      <c r="B170" t="s">
        <v>446</v>
      </c>
      <c r="C170" t="s">
        <v>447</v>
      </c>
      <c r="D170" s="1">
        <v>45965</v>
      </c>
      <c r="E170" t="s">
        <v>52</v>
      </c>
      <c r="F170" s="1">
        <v>46058</v>
      </c>
      <c r="G170" s="2">
        <f>IF(Table1[[#This Row],[Deal Status]]="Completed", Table1[[#This Row],[Completion/Termination Date]]-Table1[[#This Row],[Announce Date]], "")</f>
        <v>93</v>
      </c>
      <c r="H170" t="s">
        <v>448</v>
      </c>
      <c r="I170" t="s">
        <v>449</v>
      </c>
      <c r="J170" t="s">
        <v>1295</v>
      </c>
      <c r="K170" t="s">
        <v>80</v>
      </c>
      <c r="M170" t="s">
        <v>38</v>
      </c>
      <c r="N170" s="2">
        <v>2238.7399999999998</v>
      </c>
      <c r="O170" s="2">
        <v>2512.3200000000002</v>
      </c>
      <c r="P170" s="2">
        <v>6.64</v>
      </c>
      <c r="Q170" s="2" t="s">
        <v>24</v>
      </c>
      <c r="R170" s="2" t="s">
        <v>24</v>
      </c>
      <c r="S170" t="s">
        <v>942</v>
      </c>
      <c r="T170" t="s">
        <v>943</v>
      </c>
      <c r="U170" t="s">
        <v>944</v>
      </c>
      <c r="V170" t="s">
        <v>71</v>
      </c>
      <c r="W170" t="s">
        <v>25</v>
      </c>
      <c r="X170">
        <v>11</v>
      </c>
    </row>
    <row r="171" spans="1:24" x14ac:dyDescent="0.25">
      <c r="A171" t="s">
        <v>17</v>
      </c>
      <c r="B171" t="s">
        <v>518</v>
      </c>
      <c r="D171" s="1">
        <v>46076</v>
      </c>
      <c r="E171" t="s">
        <v>52</v>
      </c>
      <c r="F171" s="1">
        <v>46169</v>
      </c>
      <c r="G171" s="2">
        <f>IF(Table1[[#This Row],[Deal Status]]="Completed", Table1[[#This Row],[Completion/Termination Date]]-Table1[[#This Row],[Announce Date]], "")</f>
        <v>93</v>
      </c>
      <c r="H171" t="s">
        <v>519</v>
      </c>
      <c r="I171" t="s">
        <v>520</v>
      </c>
      <c r="J171" t="s">
        <v>1296</v>
      </c>
      <c r="K171" t="s">
        <v>23</v>
      </c>
      <c r="M171" t="s">
        <v>23</v>
      </c>
      <c r="N171" s="2">
        <v>1775.1</v>
      </c>
      <c r="O171" s="2">
        <v>1775.1</v>
      </c>
      <c r="P171" s="2">
        <v>14.71</v>
      </c>
      <c r="Q171" s="2" t="s">
        <v>24</v>
      </c>
      <c r="R171" s="2" t="s">
        <v>24</v>
      </c>
      <c r="S171" t="s">
        <v>940</v>
      </c>
      <c r="T171" t="s">
        <v>940</v>
      </c>
      <c r="U171" t="s">
        <v>941</v>
      </c>
      <c r="V171" t="s">
        <v>25</v>
      </c>
      <c r="W171" t="s">
        <v>25</v>
      </c>
      <c r="X171">
        <v>19.670000000000002</v>
      </c>
    </row>
    <row r="172" spans="1:24" x14ac:dyDescent="0.25">
      <c r="A172" t="s">
        <v>17</v>
      </c>
      <c r="B172" t="s">
        <v>785</v>
      </c>
      <c r="C172" t="s">
        <v>786</v>
      </c>
      <c r="D172" s="1">
        <v>46055</v>
      </c>
      <c r="E172" t="s">
        <v>52</v>
      </c>
      <c r="F172" s="1">
        <v>46148</v>
      </c>
      <c r="G172" s="2">
        <f>IF(Table1[[#This Row],[Deal Status]]="Completed", Table1[[#This Row],[Completion/Termination Date]]-Table1[[#This Row],[Announce Date]], "")</f>
        <v>93</v>
      </c>
      <c r="H172" t="s">
        <v>787</v>
      </c>
      <c r="I172" t="s">
        <v>788</v>
      </c>
      <c r="J172" t="s">
        <v>1296</v>
      </c>
      <c r="K172" t="s">
        <v>23</v>
      </c>
      <c r="M172" t="s">
        <v>23</v>
      </c>
      <c r="N172" s="2">
        <v>772.61</v>
      </c>
      <c r="O172" s="2">
        <v>1485.65</v>
      </c>
      <c r="P172" s="2">
        <v>51.96</v>
      </c>
      <c r="Q172" s="2">
        <v>16</v>
      </c>
      <c r="R172" s="2" t="s">
        <v>24</v>
      </c>
      <c r="S172" t="s">
        <v>940</v>
      </c>
      <c r="T172" t="s">
        <v>940</v>
      </c>
      <c r="U172" t="s">
        <v>941</v>
      </c>
      <c r="V172" t="s">
        <v>25</v>
      </c>
      <c r="W172" t="s">
        <v>71</v>
      </c>
      <c r="X172">
        <v>47.23</v>
      </c>
    </row>
    <row r="173" spans="1:24" x14ac:dyDescent="0.25">
      <c r="A173" t="s">
        <v>17</v>
      </c>
      <c r="B173" t="s">
        <v>589</v>
      </c>
      <c r="C173" t="s">
        <v>590</v>
      </c>
      <c r="D173" s="1">
        <v>45917</v>
      </c>
      <c r="E173" t="s">
        <v>52</v>
      </c>
      <c r="F173" s="1">
        <v>46010</v>
      </c>
      <c r="G173" s="2">
        <f>IF(Table1[[#This Row],[Deal Status]]="Completed", Table1[[#This Row],[Completion/Termination Date]]-Table1[[#This Row],[Announce Date]], "")</f>
        <v>93</v>
      </c>
      <c r="H173" t="s">
        <v>591</v>
      </c>
      <c r="I173" t="s">
        <v>592</v>
      </c>
      <c r="J173" t="s">
        <v>1296</v>
      </c>
      <c r="K173" t="s">
        <v>23</v>
      </c>
      <c r="M173" t="s">
        <v>23</v>
      </c>
      <c r="N173" s="2">
        <v>1454.59</v>
      </c>
      <c r="O173" s="2">
        <v>1454.59</v>
      </c>
      <c r="P173" s="2">
        <v>3.76</v>
      </c>
      <c r="Q173" s="2">
        <v>59.7</v>
      </c>
      <c r="R173" s="2" t="s">
        <v>24</v>
      </c>
      <c r="S173" t="s">
        <v>940</v>
      </c>
      <c r="T173" t="s">
        <v>940</v>
      </c>
      <c r="U173" t="s">
        <v>941</v>
      </c>
      <c r="V173" t="s">
        <v>25</v>
      </c>
      <c r="W173" t="s">
        <v>25</v>
      </c>
      <c r="X173">
        <v>-6.92</v>
      </c>
    </row>
    <row r="174" spans="1:24" x14ac:dyDescent="0.25">
      <c r="A174" t="s">
        <v>17</v>
      </c>
      <c r="B174" t="s">
        <v>849</v>
      </c>
      <c r="C174" t="s">
        <v>760</v>
      </c>
      <c r="D174" s="1">
        <v>45859</v>
      </c>
      <c r="E174" t="s">
        <v>52</v>
      </c>
      <c r="F174" s="1">
        <v>45951</v>
      </c>
      <c r="G174" s="2">
        <f>IF(Table1[[#This Row],[Deal Status]]="Completed", Table1[[#This Row],[Completion/Termination Date]]-Table1[[#This Row],[Announce Date]], "")</f>
        <v>92</v>
      </c>
      <c r="H174" t="s">
        <v>850</v>
      </c>
      <c r="I174" t="s">
        <v>762</v>
      </c>
      <c r="J174" t="s">
        <v>1296</v>
      </c>
      <c r="K174" t="s">
        <v>23</v>
      </c>
      <c r="M174" t="s">
        <v>23</v>
      </c>
      <c r="N174" s="2">
        <v>530.51</v>
      </c>
      <c r="O174" s="2">
        <v>692.61</v>
      </c>
      <c r="P174" s="2">
        <v>50.75</v>
      </c>
      <c r="Q174" s="2" t="s">
        <v>24</v>
      </c>
      <c r="R174" s="2" t="s">
        <v>24</v>
      </c>
      <c r="S174" t="s">
        <v>948</v>
      </c>
      <c r="T174" t="s">
        <v>948</v>
      </c>
      <c r="U174" t="s">
        <v>949</v>
      </c>
      <c r="V174" t="s">
        <v>25</v>
      </c>
      <c r="W174" t="s">
        <v>423</v>
      </c>
      <c r="X174">
        <v>107.07</v>
      </c>
    </row>
    <row r="175" spans="1:24" x14ac:dyDescent="0.25">
      <c r="A175" t="s">
        <v>17</v>
      </c>
      <c r="B175" t="s">
        <v>723</v>
      </c>
      <c r="C175" t="s">
        <v>724</v>
      </c>
      <c r="D175" s="1">
        <v>45831</v>
      </c>
      <c r="E175" t="s">
        <v>52</v>
      </c>
      <c r="F175" s="1">
        <v>45922</v>
      </c>
      <c r="G175" s="2">
        <f>IF(Table1[[#This Row],[Deal Status]]="Completed", Table1[[#This Row],[Completion/Termination Date]]-Table1[[#This Row],[Announce Date]], "")</f>
        <v>91</v>
      </c>
      <c r="H175" t="s">
        <v>725</v>
      </c>
      <c r="I175" t="s">
        <v>726</v>
      </c>
      <c r="J175" t="s">
        <v>1295</v>
      </c>
      <c r="K175" t="s">
        <v>23</v>
      </c>
      <c r="M175" t="s">
        <v>23</v>
      </c>
      <c r="N175" s="2">
        <v>910.56</v>
      </c>
      <c r="O175" s="2">
        <v>2005.49</v>
      </c>
      <c r="P175" s="2">
        <v>9.2200000000000006</v>
      </c>
      <c r="Q175" s="2" t="s">
        <v>24</v>
      </c>
      <c r="R175" s="2" t="s">
        <v>24</v>
      </c>
      <c r="S175" t="s">
        <v>932</v>
      </c>
      <c r="T175" t="s">
        <v>935</v>
      </c>
      <c r="U175" t="s">
        <v>936</v>
      </c>
      <c r="V175" t="s">
        <v>25</v>
      </c>
      <c r="W175" t="s">
        <v>25</v>
      </c>
      <c r="X175">
        <v>44.03</v>
      </c>
    </row>
    <row r="176" spans="1:24" x14ac:dyDescent="0.25">
      <c r="A176" t="s">
        <v>17</v>
      </c>
      <c r="B176" t="s">
        <v>531</v>
      </c>
      <c r="C176" t="s">
        <v>532</v>
      </c>
      <c r="D176" s="1">
        <v>45924</v>
      </c>
      <c r="E176" t="s">
        <v>52</v>
      </c>
      <c r="F176" s="1">
        <v>46015</v>
      </c>
      <c r="G176" s="2">
        <f>IF(Table1[[#This Row],[Deal Status]]="Completed", Table1[[#This Row],[Completion/Termination Date]]-Table1[[#This Row],[Announce Date]], "")</f>
        <v>91</v>
      </c>
      <c r="H176" t="s">
        <v>533</v>
      </c>
      <c r="I176" t="s">
        <v>534</v>
      </c>
      <c r="J176" t="s">
        <v>1296</v>
      </c>
      <c r="K176" t="s">
        <v>23</v>
      </c>
      <c r="M176" t="s">
        <v>23</v>
      </c>
      <c r="N176" s="2">
        <v>1711.48</v>
      </c>
      <c r="O176" s="2">
        <v>1648.6</v>
      </c>
      <c r="P176" s="2">
        <v>12.21</v>
      </c>
      <c r="Q176" s="2">
        <v>52.5</v>
      </c>
      <c r="R176" s="2">
        <v>100</v>
      </c>
      <c r="S176" t="s">
        <v>945</v>
      </c>
      <c r="T176" t="s">
        <v>946</v>
      </c>
      <c r="U176" t="s">
        <v>986</v>
      </c>
      <c r="V176" t="s">
        <v>25</v>
      </c>
      <c r="W176" t="s">
        <v>71</v>
      </c>
      <c r="X176">
        <v>18.8</v>
      </c>
    </row>
    <row r="177" spans="1:24" x14ac:dyDescent="0.25">
      <c r="A177" t="s">
        <v>17</v>
      </c>
      <c r="B177" t="s">
        <v>793</v>
      </c>
      <c r="C177" t="s">
        <v>794</v>
      </c>
      <c r="D177" s="1">
        <v>46071</v>
      </c>
      <c r="E177" t="s">
        <v>52</v>
      </c>
      <c r="F177" s="1">
        <v>46162</v>
      </c>
      <c r="G177" s="2">
        <f>IF(Table1[[#This Row],[Deal Status]]="Completed", Table1[[#This Row],[Completion/Termination Date]]-Table1[[#This Row],[Announce Date]], "")</f>
        <v>91</v>
      </c>
      <c r="H177" t="s">
        <v>795</v>
      </c>
      <c r="I177" t="s">
        <v>796</v>
      </c>
      <c r="J177" t="s">
        <v>1296</v>
      </c>
      <c r="K177" t="s">
        <v>23</v>
      </c>
      <c r="M177" t="s">
        <v>23</v>
      </c>
      <c r="N177" s="2">
        <v>758.52</v>
      </c>
      <c r="O177" s="2">
        <v>758.52</v>
      </c>
      <c r="P177" s="2">
        <v>5.56</v>
      </c>
      <c r="Q177" s="2" t="s">
        <v>24</v>
      </c>
      <c r="R177" s="2" t="s">
        <v>24</v>
      </c>
      <c r="S177" t="s">
        <v>937</v>
      </c>
      <c r="T177" t="s">
        <v>961</v>
      </c>
      <c r="U177" t="s">
        <v>962</v>
      </c>
      <c r="V177" t="s">
        <v>25</v>
      </c>
      <c r="W177" t="s">
        <v>25</v>
      </c>
      <c r="X177">
        <v>20.47</v>
      </c>
    </row>
    <row r="178" spans="1:24" x14ac:dyDescent="0.25">
      <c r="A178" t="s">
        <v>17</v>
      </c>
      <c r="B178" t="s">
        <v>836</v>
      </c>
      <c r="C178" t="s">
        <v>837</v>
      </c>
      <c r="D178" s="1">
        <v>45665</v>
      </c>
      <c r="E178" t="s">
        <v>52</v>
      </c>
      <c r="F178" s="1">
        <v>45756</v>
      </c>
      <c r="G178" s="2">
        <f>IF(Table1[[#This Row],[Deal Status]]="Completed", Table1[[#This Row],[Completion/Termination Date]]-Table1[[#This Row],[Announce Date]], "")</f>
        <v>91</v>
      </c>
      <c r="H178" t="s">
        <v>838</v>
      </c>
      <c r="I178" t="s">
        <v>839</v>
      </c>
      <c r="J178" t="s">
        <v>1295</v>
      </c>
      <c r="K178" t="s">
        <v>23</v>
      </c>
      <c r="M178" t="s">
        <v>23</v>
      </c>
      <c r="N178" s="2">
        <v>566.17999999999995</v>
      </c>
      <c r="O178" s="2">
        <v>570.63</v>
      </c>
      <c r="P178" s="2" t="s">
        <v>24</v>
      </c>
      <c r="Q178" s="2">
        <v>19.8</v>
      </c>
      <c r="R178" s="2">
        <v>29.95</v>
      </c>
      <c r="S178" t="s">
        <v>948</v>
      </c>
      <c r="T178" t="s">
        <v>948</v>
      </c>
      <c r="U178" t="s">
        <v>980</v>
      </c>
      <c r="V178" t="s">
        <v>25</v>
      </c>
      <c r="W178" t="s">
        <v>25</v>
      </c>
      <c r="X178">
        <v>102.65</v>
      </c>
    </row>
    <row r="179" spans="1:24" x14ac:dyDescent="0.25">
      <c r="A179" t="s">
        <v>17</v>
      </c>
      <c r="B179" t="s">
        <v>321</v>
      </c>
      <c r="C179" t="s">
        <v>322</v>
      </c>
      <c r="D179" s="1">
        <v>46066</v>
      </c>
      <c r="E179" t="s">
        <v>52</v>
      </c>
      <c r="F179" s="1">
        <v>46156</v>
      </c>
      <c r="G179" s="2">
        <f>IF(Table1[[#This Row],[Deal Status]]="Completed", Table1[[#This Row],[Completion/Termination Date]]-Table1[[#This Row],[Announce Date]], "")</f>
        <v>90</v>
      </c>
      <c r="H179" t="s">
        <v>323</v>
      </c>
      <c r="I179" t="s">
        <v>324</v>
      </c>
      <c r="J179" t="s">
        <v>1295</v>
      </c>
      <c r="K179" t="s">
        <v>23</v>
      </c>
      <c r="M179" t="s">
        <v>23</v>
      </c>
      <c r="N179" s="2">
        <v>4039.81</v>
      </c>
      <c r="O179" s="2">
        <v>4442.63</v>
      </c>
      <c r="P179" s="2">
        <v>12.84</v>
      </c>
      <c r="Q179" s="2" t="s">
        <v>24</v>
      </c>
      <c r="R179" s="2" t="s">
        <v>24</v>
      </c>
      <c r="S179" t="s">
        <v>937</v>
      </c>
      <c r="T179" t="s">
        <v>964</v>
      </c>
      <c r="U179" t="s">
        <v>971</v>
      </c>
      <c r="V179" t="s">
        <v>25</v>
      </c>
      <c r="W179" t="s">
        <v>204</v>
      </c>
      <c r="X179">
        <v>35.21</v>
      </c>
    </row>
    <row r="180" spans="1:24" x14ac:dyDescent="0.25">
      <c r="A180" t="s">
        <v>17</v>
      </c>
      <c r="B180" t="s">
        <v>773</v>
      </c>
      <c r="C180" t="s">
        <v>774</v>
      </c>
      <c r="D180" s="1">
        <v>46059</v>
      </c>
      <c r="E180" t="s">
        <v>52</v>
      </c>
      <c r="F180" s="1">
        <v>46148</v>
      </c>
      <c r="G180" s="2">
        <f>IF(Table1[[#This Row],[Deal Status]]="Completed", Table1[[#This Row],[Completion/Termination Date]]-Table1[[#This Row],[Announce Date]], "")</f>
        <v>89</v>
      </c>
      <c r="H180" t="s">
        <v>775</v>
      </c>
      <c r="I180" t="s">
        <v>776</v>
      </c>
      <c r="J180" t="s">
        <v>1295</v>
      </c>
      <c r="K180" t="s">
        <v>23</v>
      </c>
      <c r="M180" t="s">
        <v>23</v>
      </c>
      <c r="N180" s="2">
        <v>785.14</v>
      </c>
      <c r="O180" s="2">
        <v>1159.1500000000001</v>
      </c>
      <c r="P180" s="2">
        <v>12.03</v>
      </c>
      <c r="Q180" s="2" t="s">
        <v>24</v>
      </c>
      <c r="R180" s="2" t="s">
        <v>24</v>
      </c>
      <c r="S180" t="s">
        <v>932</v>
      </c>
      <c r="T180" t="s">
        <v>933</v>
      </c>
      <c r="U180" t="s">
        <v>984</v>
      </c>
      <c r="V180" t="s">
        <v>71</v>
      </c>
      <c r="W180" t="s">
        <v>25</v>
      </c>
      <c r="X180">
        <v>40.08</v>
      </c>
    </row>
    <row r="181" spans="1:24" x14ac:dyDescent="0.25">
      <c r="A181" t="s">
        <v>17</v>
      </c>
      <c r="B181" t="s">
        <v>398</v>
      </c>
      <c r="C181" t="s">
        <v>399</v>
      </c>
      <c r="D181" s="1">
        <v>45964</v>
      </c>
      <c r="E181" t="s">
        <v>52</v>
      </c>
      <c r="F181" s="1">
        <v>46052</v>
      </c>
      <c r="G181" s="2">
        <f>IF(Table1[[#This Row],[Deal Status]]="Completed", Table1[[#This Row],[Completion/Termination Date]]-Table1[[#This Row],[Announce Date]], "")</f>
        <v>88</v>
      </c>
      <c r="H181" t="s">
        <v>400</v>
      </c>
      <c r="I181" t="s">
        <v>401</v>
      </c>
      <c r="J181" t="s">
        <v>1295</v>
      </c>
      <c r="K181" t="s">
        <v>38</v>
      </c>
      <c r="M181" t="s">
        <v>38</v>
      </c>
      <c r="N181" s="2">
        <v>2970.03</v>
      </c>
      <c r="O181" s="2">
        <v>8289.0300000000007</v>
      </c>
      <c r="P181" s="2">
        <v>2.31</v>
      </c>
      <c r="Q181" s="2" t="s">
        <v>24</v>
      </c>
      <c r="R181" s="2" t="s">
        <v>24</v>
      </c>
      <c r="S181" t="s">
        <v>942</v>
      </c>
      <c r="T181" t="s">
        <v>943</v>
      </c>
      <c r="U181" t="s">
        <v>944</v>
      </c>
      <c r="V181" t="s">
        <v>25</v>
      </c>
      <c r="W181" t="s">
        <v>25</v>
      </c>
      <c r="X181">
        <v>8.2899999999999991</v>
      </c>
    </row>
    <row r="182" spans="1:24" x14ac:dyDescent="0.25">
      <c r="A182" t="s">
        <v>17</v>
      </c>
      <c r="B182" t="s">
        <v>458</v>
      </c>
      <c r="D182" s="1">
        <v>45866</v>
      </c>
      <c r="E182" t="s">
        <v>52</v>
      </c>
      <c r="F182" s="1">
        <v>45954</v>
      </c>
      <c r="G182" s="2">
        <f>IF(Table1[[#This Row],[Deal Status]]="Completed", Table1[[#This Row],[Completion/Termination Date]]-Table1[[#This Row],[Announce Date]], "")</f>
        <v>88</v>
      </c>
      <c r="H182" t="s">
        <v>459</v>
      </c>
      <c r="I182" t="s">
        <v>460</v>
      </c>
      <c r="J182" t="s">
        <v>1296</v>
      </c>
      <c r="K182" t="s">
        <v>23</v>
      </c>
      <c r="M182" t="s">
        <v>23</v>
      </c>
      <c r="N182" s="2">
        <v>2098.09</v>
      </c>
      <c r="O182" s="2">
        <v>2098.09</v>
      </c>
      <c r="P182" s="2">
        <v>1.58</v>
      </c>
      <c r="Q182" s="2">
        <v>50</v>
      </c>
      <c r="R182" s="2">
        <v>75</v>
      </c>
      <c r="S182" t="s">
        <v>958</v>
      </c>
      <c r="T182" t="s">
        <v>969</v>
      </c>
      <c r="U182" t="s">
        <v>970</v>
      </c>
      <c r="V182" t="s">
        <v>71</v>
      </c>
      <c r="W182" t="s">
        <v>71</v>
      </c>
      <c r="X182">
        <v>13.55</v>
      </c>
    </row>
    <row r="183" spans="1:24" x14ac:dyDescent="0.25">
      <c r="A183" t="s">
        <v>17</v>
      </c>
      <c r="B183" t="s">
        <v>258</v>
      </c>
      <c r="C183" t="s">
        <v>259</v>
      </c>
      <c r="D183" s="1">
        <v>45891</v>
      </c>
      <c r="E183" t="s">
        <v>52</v>
      </c>
      <c r="F183" s="1">
        <v>45978</v>
      </c>
      <c r="G183" s="2">
        <f>IF(Table1[[#This Row],[Deal Status]]="Completed", Table1[[#This Row],[Completion/Termination Date]]-Table1[[#This Row],[Announce Date]], "")</f>
        <v>87</v>
      </c>
      <c r="H183" t="s">
        <v>260</v>
      </c>
      <c r="I183" t="s">
        <v>261</v>
      </c>
      <c r="J183" t="s">
        <v>1295</v>
      </c>
      <c r="K183" t="s">
        <v>80</v>
      </c>
      <c r="M183" t="s">
        <v>38</v>
      </c>
      <c r="N183" s="2">
        <v>5527.74</v>
      </c>
      <c r="O183" s="2">
        <v>6145.19</v>
      </c>
      <c r="P183" s="2">
        <v>5.68</v>
      </c>
      <c r="Q183" s="2" t="s">
        <v>24</v>
      </c>
      <c r="R183" s="2" t="s">
        <v>24</v>
      </c>
      <c r="S183" t="s">
        <v>942</v>
      </c>
      <c r="T183" t="s">
        <v>943</v>
      </c>
      <c r="U183" t="s">
        <v>944</v>
      </c>
      <c r="V183" t="s">
        <v>71</v>
      </c>
      <c r="W183" t="s">
        <v>71</v>
      </c>
      <c r="X183">
        <v>3.65</v>
      </c>
    </row>
    <row r="184" spans="1:24" x14ac:dyDescent="0.25">
      <c r="A184" t="s">
        <v>17</v>
      </c>
      <c r="B184" t="s">
        <v>214</v>
      </c>
      <c r="D184" s="1">
        <v>46028</v>
      </c>
      <c r="E184" t="s">
        <v>52</v>
      </c>
      <c r="F184" s="1">
        <v>46114</v>
      </c>
      <c r="G184" s="2">
        <f>IF(Table1[[#This Row],[Deal Status]]="Completed", Table1[[#This Row],[Completion/Termination Date]]-Table1[[#This Row],[Announce Date]], "")</f>
        <v>86</v>
      </c>
      <c r="H184" t="s">
        <v>215</v>
      </c>
      <c r="I184" t="s">
        <v>216</v>
      </c>
      <c r="J184" t="s">
        <v>1296</v>
      </c>
      <c r="K184" t="s">
        <v>23</v>
      </c>
      <c r="M184" t="s">
        <v>23</v>
      </c>
      <c r="N184" s="2">
        <v>7036.15</v>
      </c>
      <c r="O184" s="2">
        <v>6400</v>
      </c>
      <c r="P184" s="2" t="s">
        <v>24</v>
      </c>
      <c r="Q184" s="2" t="s">
        <v>24</v>
      </c>
      <c r="R184" s="2" t="s">
        <v>24</v>
      </c>
      <c r="S184" t="s">
        <v>945</v>
      </c>
      <c r="T184" t="s">
        <v>946</v>
      </c>
      <c r="U184" t="s">
        <v>947</v>
      </c>
      <c r="V184" t="s">
        <v>25</v>
      </c>
      <c r="W184" t="s">
        <v>166</v>
      </c>
      <c r="X184" t="s">
        <v>24</v>
      </c>
    </row>
    <row r="185" spans="1:24" x14ac:dyDescent="0.25">
      <c r="A185" t="s">
        <v>17</v>
      </c>
      <c r="B185" t="s">
        <v>672</v>
      </c>
      <c r="C185" t="s">
        <v>673</v>
      </c>
      <c r="D185" s="1">
        <v>45685</v>
      </c>
      <c r="E185" t="s">
        <v>52</v>
      </c>
      <c r="F185" s="1">
        <v>45768</v>
      </c>
      <c r="G185" s="2">
        <f>IF(Table1[[#This Row],[Deal Status]]="Completed", Table1[[#This Row],[Completion/Termination Date]]-Table1[[#This Row],[Announce Date]], "")</f>
        <v>83</v>
      </c>
      <c r="H185" t="s">
        <v>674</v>
      </c>
      <c r="I185" t="s">
        <v>675</v>
      </c>
      <c r="J185" t="s">
        <v>1295</v>
      </c>
      <c r="K185" t="s">
        <v>23</v>
      </c>
      <c r="M185" t="s">
        <v>23</v>
      </c>
      <c r="N185" s="2">
        <v>1103.1199999999999</v>
      </c>
      <c r="O185" s="2">
        <v>1175.5899999999999</v>
      </c>
      <c r="P185" s="2" t="s">
        <v>24</v>
      </c>
      <c r="Q185" s="2">
        <v>40</v>
      </c>
      <c r="R185" s="2" t="s">
        <v>24</v>
      </c>
      <c r="S185" t="s">
        <v>948</v>
      </c>
      <c r="T185" t="s">
        <v>948</v>
      </c>
      <c r="U185" t="s">
        <v>949</v>
      </c>
      <c r="V185" t="s">
        <v>25</v>
      </c>
      <c r="W185" t="s">
        <v>25</v>
      </c>
      <c r="X185">
        <v>20.49</v>
      </c>
    </row>
    <row r="186" spans="1:24" x14ac:dyDescent="0.25">
      <c r="A186" t="s">
        <v>17</v>
      </c>
      <c r="B186" t="s">
        <v>597</v>
      </c>
      <c r="C186" t="s">
        <v>598</v>
      </c>
      <c r="D186" s="1">
        <v>45792</v>
      </c>
      <c r="E186" t="s">
        <v>52</v>
      </c>
      <c r="F186" s="1">
        <v>45874</v>
      </c>
      <c r="G186" s="2">
        <f>IF(Table1[[#This Row],[Deal Status]]="Completed", Table1[[#This Row],[Completion/Termination Date]]-Table1[[#This Row],[Announce Date]], "")</f>
        <v>82</v>
      </c>
      <c r="H186" t="s">
        <v>599</v>
      </c>
      <c r="I186" t="s">
        <v>600</v>
      </c>
      <c r="J186" t="s">
        <v>1295</v>
      </c>
      <c r="K186" t="s">
        <v>30</v>
      </c>
      <c r="M186" t="s">
        <v>38</v>
      </c>
      <c r="N186" s="2">
        <v>1415.64</v>
      </c>
      <c r="O186" s="2">
        <v>1633.98</v>
      </c>
      <c r="P186" s="2">
        <v>12.98</v>
      </c>
      <c r="Q186" s="2" t="s">
        <v>24</v>
      </c>
      <c r="R186" s="2" t="s">
        <v>24</v>
      </c>
      <c r="S186" t="s">
        <v>929</v>
      </c>
      <c r="T186" t="s">
        <v>930</v>
      </c>
      <c r="U186" t="s">
        <v>953</v>
      </c>
      <c r="V186" t="s">
        <v>25</v>
      </c>
      <c r="W186" t="s">
        <v>601</v>
      </c>
      <c r="X186">
        <v>22.04</v>
      </c>
    </row>
    <row r="187" spans="1:24" x14ac:dyDescent="0.25">
      <c r="A187" t="s">
        <v>17</v>
      </c>
      <c r="B187" t="s">
        <v>824</v>
      </c>
      <c r="C187" t="s">
        <v>825</v>
      </c>
      <c r="D187" s="1">
        <v>45870</v>
      </c>
      <c r="E187" t="s">
        <v>52</v>
      </c>
      <c r="F187" s="1">
        <v>45952</v>
      </c>
      <c r="G187" s="2">
        <f>IF(Table1[[#This Row],[Deal Status]]="Completed", Table1[[#This Row],[Completion/Termination Date]]-Table1[[#This Row],[Announce Date]], "")</f>
        <v>82</v>
      </c>
      <c r="H187" t="s">
        <v>826</v>
      </c>
      <c r="I187" t="s">
        <v>827</v>
      </c>
      <c r="J187" t="s">
        <v>1295</v>
      </c>
      <c r="K187" t="s">
        <v>23</v>
      </c>
      <c r="M187" t="s">
        <v>23</v>
      </c>
      <c r="N187" s="2">
        <v>606.95000000000005</v>
      </c>
      <c r="O187" s="2">
        <v>605.86</v>
      </c>
      <c r="P187" s="2" t="s">
        <v>24</v>
      </c>
      <c r="Q187" s="2" t="s">
        <v>24</v>
      </c>
      <c r="R187" s="2" t="s">
        <v>24</v>
      </c>
      <c r="S187" t="s">
        <v>929</v>
      </c>
      <c r="T187" t="s">
        <v>930</v>
      </c>
      <c r="U187" t="s">
        <v>976</v>
      </c>
      <c r="V187" t="s">
        <v>25</v>
      </c>
      <c r="W187" t="s">
        <v>25</v>
      </c>
      <c r="X187">
        <v>98.62</v>
      </c>
    </row>
    <row r="188" spans="1:24" x14ac:dyDescent="0.25">
      <c r="A188" t="s">
        <v>17</v>
      </c>
      <c r="B188" t="s">
        <v>805</v>
      </c>
      <c r="C188" t="s">
        <v>806</v>
      </c>
      <c r="D188" s="1">
        <v>46076</v>
      </c>
      <c r="E188" t="s">
        <v>52</v>
      </c>
      <c r="F188" s="1">
        <v>46157</v>
      </c>
      <c r="G188" s="2">
        <f>IF(Table1[[#This Row],[Deal Status]]="Completed", Table1[[#This Row],[Completion/Termination Date]]-Table1[[#This Row],[Announce Date]], "")</f>
        <v>81</v>
      </c>
      <c r="H188" t="s">
        <v>807</v>
      </c>
      <c r="I188" t="s">
        <v>808</v>
      </c>
      <c r="J188" t="s">
        <v>1296</v>
      </c>
      <c r="K188" t="s">
        <v>23</v>
      </c>
      <c r="M188" t="s">
        <v>23</v>
      </c>
      <c r="N188" s="2">
        <v>698.38</v>
      </c>
      <c r="O188" s="2">
        <v>1157.98</v>
      </c>
      <c r="P188" s="2">
        <v>18.98</v>
      </c>
      <c r="Q188" s="2">
        <v>24.536799999999999</v>
      </c>
      <c r="R188" s="2">
        <v>44.612299999999998</v>
      </c>
      <c r="S188" t="s">
        <v>948</v>
      </c>
      <c r="T188" t="s">
        <v>948</v>
      </c>
      <c r="U188" t="s">
        <v>980</v>
      </c>
      <c r="V188" t="s">
        <v>25</v>
      </c>
      <c r="W188" t="s">
        <v>25</v>
      </c>
      <c r="X188">
        <v>26.2</v>
      </c>
    </row>
    <row r="189" spans="1:24" x14ac:dyDescent="0.25">
      <c r="A189" t="s">
        <v>17</v>
      </c>
      <c r="B189" t="s">
        <v>81</v>
      </c>
      <c r="C189" t="s">
        <v>82</v>
      </c>
      <c r="D189" s="1">
        <v>45670</v>
      </c>
      <c r="E189" t="s">
        <v>52</v>
      </c>
      <c r="F189" s="1">
        <v>45750</v>
      </c>
      <c r="G189" s="2">
        <f>IF(Table1[[#This Row],[Deal Status]]="Completed", Table1[[#This Row],[Completion/Termination Date]]-Table1[[#This Row],[Announce Date]], "")</f>
        <v>80</v>
      </c>
      <c r="H189" t="s">
        <v>83</v>
      </c>
      <c r="I189" t="s">
        <v>84</v>
      </c>
      <c r="J189" t="s">
        <v>1295</v>
      </c>
      <c r="K189" t="s">
        <v>23</v>
      </c>
      <c r="M189" t="s">
        <v>23</v>
      </c>
      <c r="N189" s="2">
        <v>14278.69</v>
      </c>
      <c r="O189" s="2">
        <v>14278.69</v>
      </c>
      <c r="P189" s="2" t="s">
        <v>24</v>
      </c>
      <c r="Q189" s="2" t="s">
        <v>24</v>
      </c>
      <c r="R189" s="2" t="s">
        <v>24</v>
      </c>
      <c r="S189" t="s">
        <v>948</v>
      </c>
      <c r="T189" t="s">
        <v>948</v>
      </c>
      <c r="U189" t="s">
        <v>954</v>
      </c>
      <c r="V189" t="s">
        <v>25</v>
      </c>
      <c r="W189" t="s">
        <v>25</v>
      </c>
      <c r="X189">
        <v>55.83</v>
      </c>
    </row>
    <row r="190" spans="1:24" x14ac:dyDescent="0.25">
      <c r="A190" t="s">
        <v>17</v>
      </c>
      <c r="B190" t="s">
        <v>747</v>
      </c>
      <c r="C190" t="s">
        <v>748</v>
      </c>
      <c r="D190" s="1">
        <v>45922</v>
      </c>
      <c r="E190" t="s">
        <v>52</v>
      </c>
      <c r="F190" s="1">
        <v>46002</v>
      </c>
      <c r="G190" s="2">
        <f>IF(Table1[[#This Row],[Deal Status]]="Completed", Table1[[#This Row],[Completion/Termination Date]]-Table1[[#This Row],[Announce Date]], "")</f>
        <v>80</v>
      </c>
      <c r="H190" t="s">
        <v>749</v>
      </c>
      <c r="I190" t="s">
        <v>750</v>
      </c>
      <c r="J190" t="s">
        <v>1296</v>
      </c>
      <c r="K190" t="s">
        <v>23</v>
      </c>
      <c r="M190" t="s">
        <v>23</v>
      </c>
      <c r="N190" s="2">
        <v>842.35</v>
      </c>
      <c r="O190" s="2">
        <v>1603.35</v>
      </c>
      <c r="P190" s="2">
        <v>2.82</v>
      </c>
      <c r="Q190" s="2" t="s">
        <v>24</v>
      </c>
      <c r="R190" s="2" t="s">
        <v>24</v>
      </c>
      <c r="S190" t="s">
        <v>937</v>
      </c>
      <c r="T190" t="s">
        <v>961</v>
      </c>
      <c r="U190" t="s">
        <v>962</v>
      </c>
      <c r="V190" t="s">
        <v>25</v>
      </c>
      <c r="W190" t="s">
        <v>25</v>
      </c>
      <c r="X190">
        <v>33.299999999999997</v>
      </c>
    </row>
    <row r="191" spans="1:24" x14ac:dyDescent="0.25">
      <c r="A191" t="s">
        <v>17</v>
      </c>
      <c r="B191" t="s">
        <v>479</v>
      </c>
      <c r="C191" t="s">
        <v>480</v>
      </c>
      <c r="D191" s="1">
        <v>45848</v>
      </c>
      <c r="E191" t="s">
        <v>52</v>
      </c>
      <c r="F191" s="1">
        <v>45926</v>
      </c>
      <c r="G191" s="2">
        <f>IF(Table1[[#This Row],[Deal Status]]="Completed", Table1[[#This Row],[Completion/Termination Date]]-Table1[[#This Row],[Announce Date]], "")</f>
        <v>78</v>
      </c>
      <c r="H191" t="s">
        <v>481</v>
      </c>
      <c r="I191" t="s">
        <v>482</v>
      </c>
      <c r="J191" t="s">
        <v>1295</v>
      </c>
      <c r="K191" t="s">
        <v>23</v>
      </c>
      <c r="M191" t="s">
        <v>23</v>
      </c>
      <c r="N191" s="2">
        <v>1987.46</v>
      </c>
      <c r="O191" s="2">
        <v>2656.46</v>
      </c>
      <c r="P191" s="2">
        <v>14.21</v>
      </c>
      <c r="Q191" s="2">
        <v>73.543400000000005</v>
      </c>
      <c r="R191" s="2">
        <v>105.062</v>
      </c>
      <c r="S191" t="s">
        <v>932</v>
      </c>
      <c r="T191" t="s">
        <v>933</v>
      </c>
      <c r="U191" t="s">
        <v>984</v>
      </c>
      <c r="V191" t="s">
        <v>25</v>
      </c>
      <c r="W191" t="s">
        <v>483</v>
      </c>
      <c r="X191">
        <v>41.88</v>
      </c>
    </row>
    <row r="192" spans="1:24" x14ac:dyDescent="0.25">
      <c r="A192" t="s">
        <v>17</v>
      </c>
      <c r="B192" t="s">
        <v>666</v>
      </c>
      <c r="C192" t="s">
        <v>111</v>
      </c>
      <c r="D192" s="1">
        <v>45922</v>
      </c>
      <c r="E192" t="s">
        <v>52</v>
      </c>
      <c r="F192" s="1">
        <v>46000</v>
      </c>
      <c r="G192" s="2">
        <f>IF(Table1[[#This Row],[Deal Status]]="Completed", Table1[[#This Row],[Completion/Termination Date]]-Table1[[#This Row],[Announce Date]], "")</f>
        <v>78</v>
      </c>
      <c r="H192" t="s">
        <v>667</v>
      </c>
      <c r="I192" t="s">
        <v>113</v>
      </c>
      <c r="J192" t="s">
        <v>1296</v>
      </c>
      <c r="K192" t="s">
        <v>23</v>
      </c>
      <c r="M192" t="s">
        <v>23</v>
      </c>
      <c r="N192" s="2">
        <v>1118.48</v>
      </c>
      <c r="O192" s="2">
        <v>1283.49</v>
      </c>
      <c r="P192" s="2" t="s">
        <v>24</v>
      </c>
      <c r="Q192" s="2" t="s">
        <v>24</v>
      </c>
      <c r="R192" s="2" t="s">
        <v>24</v>
      </c>
      <c r="S192" t="s">
        <v>945</v>
      </c>
      <c r="T192" t="s">
        <v>946</v>
      </c>
      <c r="U192" t="s">
        <v>947</v>
      </c>
      <c r="V192" t="s">
        <v>25</v>
      </c>
      <c r="W192" t="s">
        <v>25</v>
      </c>
      <c r="X192">
        <v>50.73</v>
      </c>
    </row>
    <row r="193" spans="1:24" x14ac:dyDescent="0.25">
      <c r="A193" t="s">
        <v>17</v>
      </c>
      <c r="B193" t="s">
        <v>557</v>
      </c>
      <c r="C193" t="s">
        <v>558</v>
      </c>
      <c r="D193" s="1">
        <v>45811</v>
      </c>
      <c r="E193" t="s">
        <v>52</v>
      </c>
      <c r="F193" s="1">
        <v>45888</v>
      </c>
      <c r="G193" s="2">
        <f>IF(Table1[[#This Row],[Deal Status]]="Completed", Table1[[#This Row],[Completion/Termination Date]]-Table1[[#This Row],[Announce Date]], "")</f>
        <v>77</v>
      </c>
      <c r="H193" t="s">
        <v>559</v>
      </c>
      <c r="I193" t="s">
        <v>560</v>
      </c>
      <c r="J193" t="s">
        <v>1295</v>
      </c>
      <c r="K193" t="s">
        <v>38</v>
      </c>
      <c r="M193" t="s">
        <v>38</v>
      </c>
      <c r="N193" s="2">
        <v>1535.09</v>
      </c>
      <c r="O193" s="2">
        <v>2617.3000000000002</v>
      </c>
      <c r="P193" s="2">
        <v>5</v>
      </c>
      <c r="Q193" s="2" t="s">
        <v>24</v>
      </c>
      <c r="R193" s="2" t="s">
        <v>24</v>
      </c>
      <c r="S193" t="s">
        <v>942</v>
      </c>
      <c r="T193" t="s">
        <v>943</v>
      </c>
      <c r="U193" t="s">
        <v>944</v>
      </c>
      <c r="V193" t="s">
        <v>25</v>
      </c>
      <c r="W193" t="s">
        <v>25</v>
      </c>
      <c r="X193">
        <v>12.18</v>
      </c>
    </row>
    <row r="194" spans="1:24" x14ac:dyDescent="0.25">
      <c r="A194" t="s">
        <v>17</v>
      </c>
      <c r="B194" t="s">
        <v>743</v>
      </c>
      <c r="C194" t="s">
        <v>744</v>
      </c>
      <c r="D194" s="1">
        <v>45783</v>
      </c>
      <c r="E194" t="s">
        <v>52</v>
      </c>
      <c r="F194" s="1">
        <v>45860</v>
      </c>
      <c r="G194" s="2">
        <f>IF(Table1[[#This Row],[Deal Status]]="Completed", Table1[[#This Row],[Completion/Termination Date]]-Table1[[#This Row],[Announce Date]], "")</f>
        <v>77</v>
      </c>
      <c r="H194" t="s">
        <v>745</v>
      </c>
      <c r="I194" t="s">
        <v>746</v>
      </c>
      <c r="J194" t="s">
        <v>1295</v>
      </c>
      <c r="K194" t="s">
        <v>23</v>
      </c>
      <c r="M194" t="s">
        <v>23</v>
      </c>
      <c r="N194" s="2">
        <v>845.95</v>
      </c>
      <c r="O194" s="2">
        <v>765.01</v>
      </c>
      <c r="P194" s="2">
        <v>30.59</v>
      </c>
      <c r="Q194" s="2" t="s">
        <v>24</v>
      </c>
      <c r="R194" s="2" t="s">
        <v>24</v>
      </c>
      <c r="S194" t="s">
        <v>929</v>
      </c>
      <c r="T194" t="s">
        <v>955</v>
      </c>
      <c r="U194" t="s">
        <v>992</v>
      </c>
      <c r="V194" t="s">
        <v>25</v>
      </c>
      <c r="W194" t="s">
        <v>25</v>
      </c>
      <c r="X194">
        <v>62.48</v>
      </c>
    </row>
    <row r="195" spans="1:24" x14ac:dyDescent="0.25">
      <c r="A195" t="s">
        <v>17</v>
      </c>
      <c r="B195" t="s">
        <v>890</v>
      </c>
      <c r="D195" s="1">
        <v>45965</v>
      </c>
      <c r="E195" t="s">
        <v>52</v>
      </c>
      <c r="F195" s="1">
        <v>46042</v>
      </c>
      <c r="G195" s="2">
        <f>IF(Table1[[#This Row],[Deal Status]]="Completed", Table1[[#This Row],[Completion/Termination Date]]-Table1[[#This Row],[Announce Date]], "")</f>
        <v>77</v>
      </c>
      <c r="H195" t="s">
        <v>891</v>
      </c>
      <c r="I195" t="s">
        <v>892</v>
      </c>
      <c r="J195" t="s">
        <v>1296</v>
      </c>
      <c r="K195" t="s">
        <v>23</v>
      </c>
      <c r="M195" t="s">
        <v>23</v>
      </c>
      <c r="N195" s="2">
        <v>321.87</v>
      </c>
      <c r="O195" s="2">
        <v>738.12</v>
      </c>
      <c r="P195" s="2">
        <v>12.3</v>
      </c>
      <c r="Q195" s="2" t="s">
        <v>24</v>
      </c>
      <c r="R195" s="2" t="s">
        <v>24</v>
      </c>
      <c r="S195" t="s">
        <v>937</v>
      </c>
      <c r="T195" t="s">
        <v>938</v>
      </c>
      <c r="U195" t="s">
        <v>939</v>
      </c>
      <c r="V195" t="s">
        <v>25</v>
      </c>
      <c r="W195" t="s">
        <v>25</v>
      </c>
      <c r="X195">
        <v>31.36</v>
      </c>
    </row>
    <row r="196" spans="1:24" x14ac:dyDescent="0.25">
      <c r="A196" t="s">
        <v>17</v>
      </c>
      <c r="B196" t="s">
        <v>635</v>
      </c>
      <c r="D196" s="1">
        <v>45910</v>
      </c>
      <c r="E196" t="s">
        <v>52</v>
      </c>
      <c r="F196" s="1">
        <v>45986</v>
      </c>
      <c r="G196" s="2">
        <f>IF(Table1[[#This Row],[Deal Status]]="Completed", Table1[[#This Row],[Completion/Termination Date]]-Table1[[#This Row],[Announce Date]], "")</f>
        <v>76</v>
      </c>
      <c r="H196" t="s">
        <v>636</v>
      </c>
      <c r="I196" t="s">
        <v>637</v>
      </c>
      <c r="J196" t="s">
        <v>1295</v>
      </c>
      <c r="K196" t="s">
        <v>23</v>
      </c>
      <c r="M196" t="s">
        <v>23</v>
      </c>
      <c r="N196" s="2">
        <v>1227.04</v>
      </c>
      <c r="O196" s="2">
        <v>1227.04</v>
      </c>
      <c r="P196" s="2">
        <v>60.06</v>
      </c>
      <c r="Q196" s="2" t="s">
        <v>24</v>
      </c>
      <c r="R196" s="2">
        <v>40.1</v>
      </c>
      <c r="S196" t="s">
        <v>945</v>
      </c>
      <c r="T196" t="s">
        <v>946</v>
      </c>
      <c r="U196" t="s">
        <v>947</v>
      </c>
      <c r="V196" t="s">
        <v>25</v>
      </c>
      <c r="W196" t="s">
        <v>606</v>
      </c>
      <c r="X196">
        <v>87.84</v>
      </c>
    </row>
    <row r="197" spans="1:24" x14ac:dyDescent="0.25">
      <c r="A197" t="s">
        <v>17</v>
      </c>
      <c r="B197" t="s">
        <v>769</v>
      </c>
      <c r="C197" t="s">
        <v>770</v>
      </c>
      <c r="D197" s="1">
        <v>45695</v>
      </c>
      <c r="E197" t="s">
        <v>52</v>
      </c>
      <c r="F197" s="1">
        <v>45771</v>
      </c>
      <c r="G197" s="2">
        <f>IF(Table1[[#This Row],[Deal Status]]="Completed", Table1[[#This Row],[Completion/Termination Date]]-Table1[[#This Row],[Announce Date]], "")</f>
        <v>76</v>
      </c>
      <c r="H197" t="s">
        <v>771</v>
      </c>
      <c r="I197" t="s">
        <v>772</v>
      </c>
      <c r="J197" t="s">
        <v>1296</v>
      </c>
      <c r="K197" t="s">
        <v>23</v>
      </c>
      <c r="M197" t="s">
        <v>23</v>
      </c>
      <c r="N197" s="2">
        <v>791.7</v>
      </c>
      <c r="O197" s="2">
        <v>881.16</v>
      </c>
      <c r="P197" s="2">
        <v>8.43</v>
      </c>
      <c r="Q197" s="2">
        <v>34.4</v>
      </c>
      <c r="R197" s="2" t="s">
        <v>24</v>
      </c>
      <c r="S197" t="s">
        <v>945</v>
      </c>
      <c r="T197" t="s">
        <v>946</v>
      </c>
      <c r="U197" t="s">
        <v>986</v>
      </c>
      <c r="V197" t="s">
        <v>71</v>
      </c>
      <c r="W197" t="s">
        <v>25</v>
      </c>
      <c r="X197">
        <v>69.66</v>
      </c>
    </row>
    <row r="198" spans="1:24" x14ac:dyDescent="0.25">
      <c r="A198" t="s">
        <v>17</v>
      </c>
      <c r="B198" t="s">
        <v>553</v>
      </c>
      <c r="C198" t="s">
        <v>554</v>
      </c>
      <c r="D198" s="1">
        <v>45880</v>
      </c>
      <c r="E198" t="s">
        <v>52</v>
      </c>
      <c r="F198" s="1">
        <v>45954</v>
      </c>
      <c r="G198" s="2">
        <f>IF(Table1[[#This Row],[Deal Status]]="Completed", Table1[[#This Row],[Completion/Termination Date]]-Table1[[#This Row],[Announce Date]], "")</f>
        <v>74</v>
      </c>
      <c r="H198" t="s">
        <v>555</v>
      </c>
      <c r="I198" t="s">
        <v>556</v>
      </c>
      <c r="J198" t="s">
        <v>1296</v>
      </c>
      <c r="K198" t="s">
        <v>23</v>
      </c>
      <c r="M198" t="s">
        <v>23</v>
      </c>
      <c r="N198" s="2">
        <v>1567.12</v>
      </c>
      <c r="O198" s="2">
        <v>1905.89</v>
      </c>
      <c r="P198" s="2">
        <v>30.31</v>
      </c>
      <c r="Q198" s="2">
        <v>47.7</v>
      </c>
      <c r="R198" s="2">
        <v>98.6</v>
      </c>
      <c r="S198" t="s">
        <v>945</v>
      </c>
      <c r="T198" t="s">
        <v>946</v>
      </c>
      <c r="U198" t="s">
        <v>947</v>
      </c>
      <c r="V198" t="s">
        <v>25</v>
      </c>
      <c r="W198" t="s">
        <v>25</v>
      </c>
      <c r="X198">
        <v>22.96</v>
      </c>
    </row>
    <row r="199" spans="1:24" x14ac:dyDescent="0.25">
      <c r="A199" t="s">
        <v>17</v>
      </c>
      <c r="B199" t="s">
        <v>406</v>
      </c>
      <c r="C199" t="s">
        <v>407</v>
      </c>
      <c r="D199" s="1">
        <v>46055</v>
      </c>
      <c r="E199" t="s">
        <v>52</v>
      </c>
      <c r="F199" s="1">
        <v>46128</v>
      </c>
      <c r="G199" s="2">
        <f>IF(Table1[[#This Row],[Deal Status]]="Completed", Table1[[#This Row],[Completion/Termination Date]]-Table1[[#This Row],[Announce Date]], "")</f>
        <v>73</v>
      </c>
      <c r="H199" t="s">
        <v>408</v>
      </c>
      <c r="I199" t="s">
        <v>409</v>
      </c>
      <c r="J199" t="s">
        <v>1295</v>
      </c>
      <c r="K199" t="s">
        <v>30</v>
      </c>
      <c r="M199" t="s">
        <v>38</v>
      </c>
      <c r="N199" s="2">
        <v>2586.39</v>
      </c>
      <c r="O199" s="2">
        <v>2343.3200000000002</v>
      </c>
      <c r="P199" s="2" t="s">
        <v>24</v>
      </c>
      <c r="Q199" s="2" t="s">
        <v>24</v>
      </c>
      <c r="R199" s="2" t="s">
        <v>24</v>
      </c>
      <c r="S199" t="s">
        <v>951</v>
      </c>
      <c r="T199" t="s">
        <v>951</v>
      </c>
      <c r="U199" t="s">
        <v>952</v>
      </c>
      <c r="V199" t="s">
        <v>71</v>
      </c>
      <c r="W199" t="s">
        <v>410</v>
      </c>
      <c r="X199">
        <v>6.8</v>
      </c>
    </row>
    <row r="200" spans="1:24" x14ac:dyDescent="0.25">
      <c r="A200" t="s">
        <v>17</v>
      </c>
      <c r="B200" t="s">
        <v>688</v>
      </c>
      <c r="C200" t="s">
        <v>689</v>
      </c>
      <c r="D200" s="1">
        <v>45802</v>
      </c>
      <c r="E200" t="s">
        <v>52</v>
      </c>
      <c r="F200" s="1">
        <v>45873</v>
      </c>
      <c r="G200" s="2">
        <f>IF(Table1[[#This Row],[Deal Status]]="Completed", Table1[[#This Row],[Completion/Termination Date]]-Table1[[#This Row],[Announce Date]], "")</f>
        <v>71</v>
      </c>
      <c r="H200" t="s">
        <v>690</v>
      </c>
      <c r="I200" t="s">
        <v>691</v>
      </c>
      <c r="J200" t="s">
        <v>1295</v>
      </c>
      <c r="K200" t="s">
        <v>23</v>
      </c>
      <c r="M200" t="s">
        <v>23</v>
      </c>
      <c r="N200" s="2">
        <v>1023.55</v>
      </c>
      <c r="O200" s="2">
        <v>1890.95</v>
      </c>
      <c r="P200" s="2" t="s">
        <v>24</v>
      </c>
      <c r="Q200" s="2" t="s">
        <v>24</v>
      </c>
      <c r="R200" s="2" t="s">
        <v>24</v>
      </c>
      <c r="S200" t="s">
        <v>945</v>
      </c>
      <c r="T200" t="s">
        <v>946</v>
      </c>
      <c r="U200" t="s">
        <v>947</v>
      </c>
      <c r="V200" t="s">
        <v>25</v>
      </c>
      <c r="W200" t="s">
        <v>692</v>
      </c>
      <c r="X200">
        <v>32.479999999999997</v>
      </c>
    </row>
    <row r="201" spans="1:24" x14ac:dyDescent="0.25">
      <c r="A201" t="s">
        <v>17</v>
      </c>
      <c r="B201" t="s">
        <v>502</v>
      </c>
      <c r="C201" t="s">
        <v>111</v>
      </c>
      <c r="D201" s="1">
        <v>45841</v>
      </c>
      <c r="E201" t="s">
        <v>52</v>
      </c>
      <c r="F201" s="1">
        <v>45912</v>
      </c>
      <c r="G201" s="2">
        <f>IF(Table1[[#This Row],[Deal Status]]="Completed", Table1[[#This Row],[Completion/Termination Date]]-Table1[[#This Row],[Announce Date]], "")</f>
        <v>71</v>
      </c>
      <c r="H201" t="s">
        <v>503</v>
      </c>
      <c r="I201" t="s">
        <v>113</v>
      </c>
      <c r="J201" t="s">
        <v>1296</v>
      </c>
      <c r="K201" t="s">
        <v>23</v>
      </c>
      <c r="M201" t="s">
        <v>23</v>
      </c>
      <c r="N201" s="2">
        <v>1827.63</v>
      </c>
      <c r="O201" s="2">
        <v>1482.42</v>
      </c>
      <c r="P201" s="2" t="s">
        <v>24</v>
      </c>
      <c r="Q201" s="2" t="s">
        <v>24</v>
      </c>
      <c r="R201" s="2" t="s">
        <v>24</v>
      </c>
      <c r="S201" t="s">
        <v>945</v>
      </c>
      <c r="T201" t="s">
        <v>946</v>
      </c>
      <c r="U201" t="s">
        <v>947</v>
      </c>
      <c r="V201" t="s">
        <v>25</v>
      </c>
      <c r="W201" t="s">
        <v>25</v>
      </c>
      <c r="X201">
        <v>18.079999999999998</v>
      </c>
    </row>
    <row r="202" spans="1:24" x14ac:dyDescent="0.25">
      <c r="A202" t="s">
        <v>17</v>
      </c>
      <c r="B202" t="s">
        <v>883</v>
      </c>
      <c r="D202" s="1">
        <v>46014</v>
      </c>
      <c r="E202" t="s">
        <v>52</v>
      </c>
      <c r="F202" s="1">
        <v>46085</v>
      </c>
      <c r="G202" s="2">
        <f>IF(Table1[[#This Row],[Deal Status]]="Completed", Table1[[#This Row],[Completion/Termination Date]]-Table1[[#This Row],[Announce Date]], "")</f>
        <v>71</v>
      </c>
      <c r="H202" t="s">
        <v>884</v>
      </c>
      <c r="I202" t="s">
        <v>885</v>
      </c>
      <c r="J202" t="s">
        <v>1296</v>
      </c>
      <c r="K202" t="s">
        <v>23</v>
      </c>
      <c r="M202" t="s">
        <v>23</v>
      </c>
      <c r="N202" s="2">
        <v>394.79</v>
      </c>
      <c r="O202" s="2">
        <v>633.30999999999995</v>
      </c>
      <c r="P202" s="2">
        <v>7</v>
      </c>
      <c r="Q202" s="2">
        <v>20</v>
      </c>
      <c r="R202" s="2">
        <v>30</v>
      </c>
      <c r="S202" t="s">
        <v>929</v>
      </c>
      <c r="T202" t="s">
        <v>930</v>
      </c>
      <c r="U202" t="s">
        <v>976</v>
      </c>
      <c r="V202" t="s">
        <v>71</v>
      </c>
      <c r="W202" t="s">
        <v>71</v>
      </c>
      <c r="X202">
        <v>29.65</v>
      </c>
    </row>
    <row r="203" spans="1:24" x14ac:dyDescent="0.25">
      <c r="A203" t="s">
        <v>17</v>
      </c>
      <c r="B203" t="s">
        <v>577</v>
      </c>
      <c r="C203" t="s">
        <v>578</v>
      </c>
      <c r="D203" s="1">
        <v>45875</v>
      </c>
      <c r="E203" t="s">
        <v>52</v>
      </c>
      <c r="F203" s="1">
        <v>45945</v>
      </c>
      <c r="G203" s="2">
        <f>IF(Table1[[#This Row],[Deal Status]]="Completed", Table1[[#This Row],[Completion/Termination Date]]-Table1[[#This Row],[Announce Date]], "")</f>
        <v>70</v>
      </c>
      <c r="H203" t="s">
        <v>579</v>
      </c>
      <c r="I203" t="s">
        <v>580</v>
      </c>
      <c r="J203" t="s">
        <v>1295</v>
      </c>
      <c r="K203" t="s">
        <v>80</v>
      </c>
      <c r="M203" t="s">
        <v>38</v>
      </c>
      <c r="N203" s="2">
        <v>1482.61</v>
      </c>
      <c r="O203" s="2">
        <v>1915.77</v>
      </c>
      <c r="P203" s="2">
        <v>10.3</v>
      </c>
      <c r="Q203" s="2" t="s">
        <v>24</v>
      </c>
      <c r="R203" s="2" t="s">
        <v>24</v>
      </c>
      <c r="S203" t="s">
        <v>942</v>
      </c>
      <c r="T203" t="s">
        <v>943</v>
      </c>
      <c r="U203" t="s">
        <v>975</v>
      </c>
      <c r="V203" t="s">
        <v>25</v>
      </c>
      <c r="W203" t="s">
        <v>25</v>
      </c>
      <c r="X203">
        <v>16.170000000000002</v>
      </c>
    </row>
    <row r="204" spans="1:24" x14ac:dyDescent="0.25">
      <c r="A204" t="s">
        <v>17</v>
      </c>
      <c r="B204" t="s">
        <v>763</v>
      </c>
      <c r="C204" t="s">
        <v>764</v>
      </c>
      <c r="D204" s="1">
        <v>45694</v>
      </c>
      <c r="E204" t="s">
        <v>52</v>
      </c>
      <c r="F204" s="1">
        <v>45763</v>
      </c>
      <c r="G204" s="2">
        <f>IF(Table1[[#This Row],[Deal Status]]="Completed", Table1[[#This Row],[Completion/Termination Date]]-Table1[[#This Row],[Announce Date]], "")</f>
        <v>69</v>
      </c>
      <c r="H204" t="s">
        <v>765</v>
      </c>
      <c r="I204" t="s">
        <v>766</v>
      </c>
      <c r="J204" t="s">
        <v>1296</v>
      </c>
      <c r="K204" t="s">
        <v>23</v>
      </c>
      <c r="M204" t="s">
        <v>23</v>
      </c>
      <c r="N204" s="2">
        <v>803.98</v>
      </c>
      <c r="O204" s="2">
        <v>803.98</v>
      </c>
      <c r="P204" s="2">
        <v>17.52</v>
      </c>
      <c r="Q204" s="2">
        <v>60</v>
      </c>
      <c r="R204" s="2">
        <v>70</v>
      </c>
      <c r="S204" t="s">
        <v>924</v>
      </c>
      <c r="T204" t="s">
        <v>924</v>
      </c>
      <c r="U204" t="s">
        <v>925</v>
      </c>
      <c r="V204" t="s">
        <v>25</v>
      </c>
      <c r="W204" t="s">
        <v>25</v>
      </c>
      <c r="X204">
        <v>29.05</v>
      </c>
    </row>
    <row r="205" spans="1:24" x14ac:dyDescent="0.25">
      <c r="A205" t="s">
        <v>17</v>
      </c>
      <c r="B205" t="s">
        <v>390</v>
      </c>
      <c r="C205" t="s">
        <v>391</v>
      </c>
      <c r="D205" s="1">
        <v>45695</v>
      </c>
      <c r="E205" t="s">
        <v>52</v>
      </c>
      <c r="F205" s="1">
        <v>45763</v>
      </c>
      <c r="G205" s="2">
        <f>IF(Table1[[#This Row],[Deal Status]]="Completed", Table1[[#This Row],[Completion/Termination Date]]-Table1[[#This Row],[Announce Date]], "")</f>
        <v>68</v>
      </c>
      <c r="H205" t="s">
        <v>392</v>
      </c>
      <c r="I205" t="s">
        <v>393</v>
      </c>
      <c r="J205" t="s">
        <v>1296</v>
      </c>
      <c r="K205" t="s">
        <v>23</v>
      </c>
      <c r="M205" t="s">
        <v>23</v>
      </c>
      <c r="N205" s="2">
        <v>3157.77</v>
      </c>
      <c r="O205" s="2">
        <v>4217.8100000000004</v>
      </c>
      <c r="P205" s="2" t="s">
        <v>24</v>
      </c>
      <c r="Q205" s="2" t="s">
        <v>24</v>
      </c>
      <c r="R205" s="2" t="s">
        <v>24</v>
      </c>
      <c r="S205" t="s">
        <v>945</v>
      </c>
      <c r="T205" t="s">
        <v>946</v>
      </c>
      <c r="U205" t="s">
        <v>947</v>
      </c>
      <c r="V205" t="s">
        <v>25</v>
      </c>
      <c r="W205" t="s">
        <v>25</v>
      </c>
      <c r="X205">
        <v>27.62</v>
      </c>
    </row>
    <row r="206" spans="1:24" x14ac:dyDescent="0.25">
      <c r="A206" t="s">
        <v>17</v>
      </c>
      <c r="B206" t="s">
        <v>904</v>
      </c>
      <c r="C206" t="s">
        <v>905</v>
      </c>
      <c r="D206" s="1">
        <v>46108</v>
      </c>
      <c r="E206" t="s">
        <v>52</v>
      </c>
      <c r="F206" s="1">
        <v>46176</v>
      </c>
      <c r="G206" s="2">
        <f>IF(Table1[[#This Row],[Deal Status]]="Completed", Table1[[#This Row],[Completion/Termination Date]]-Table1[[#This Row],[Announce Date]], "")</f>
        <v>68</v>
      </c>
      <c r="H206" t="s">
        <v>906</v>
      </c>
      <c r="I206" t="s">
        <v>907</v>
      </c>
      <c r="J206" t="s">
        <v>1296</v>
      </c>
      <c r="K206" t="s">
        <v>38</v>
      </c>
      <c r="M206" t="s">
        <v>38</v>
      </c>
      <c r="N206" s="2">
        <v>2.97</v>
      </c>
      <c r="O206" s="2">
        <v>801.47</v>
      </c>
      <c r="P206" s="2">
        <v>13.94</v>
      </c>
      <c r="Q206" s="2" t="s">
        <v>24</v>
      </c>
      <c r="R206" s="2" t="s">
        <v>24</v>
      </c>
      <c r="S206" t="s">
        <v>940</v>
      </c>
      <c r="T206" t="s">
        <v>940</v>
      </c>
      <c r="U206" t="s">
        <v>989</v>
      </c>
      <c r="V206" t="s">
        <v>71</v>
      </c>
      <c r="W206" t="s">
        <v>71</v>
      </c>
      <c r="X206" t="s">
        <v>24</v>
      </c>
    </row>
    <row r="207" spans="1:24" x14ac:dyDescent="0.25">
      <c r="A207" t="s">
        <v>17</v>
      </c>
      <c r="B207" t="s">
        <v>301</v>
      </c>
      <c r="C207" t="s">
        <v>302</v>
      </c>
      <c r="D207" s="1">
        <v>45838</v>
      </c>
      <c r="E207" t="s">
        <v>52</v>
      </c>
      <c r="F207" s="1">
        <v>45904</v>
      </c>
      <c r="G207" s="2">
        <f>IF(Table1[[#This Row],[Deal Status]]="Completed", Table1[[#This Row],[Completion/Termination Date]]-Table1[[#This Row],[Announce Date]], "")</f>
        <v>66</v>
      </c>
      <c r="H207" t="s">
        <v>303</v>
      </c>
      <c r="I207" t="s">
        <v>304</v>
      </c>
      <c r="J207" t="s">
        <v>1295</v>
      </c>
      <c r="K207" t="s">
        <v>23</v>
      </c>
      <c r="L207" t="s">
        <v>919</v>
      </c>
      <c r="M207" t="s">
        <v>996</v>
      </c>
      <c r="N207" s="2">
        <v>4234.24</v>
      </c>
      <c r="O207" s="2">
        <v>4234.24</v>
      </c>
      <c r="P207" s="2">
        <v>8.39</v>
      </c>
      <c r="Q207" s="2">
        <v>14.75</v>
      </c>
      <c r="R207" s="2">
        <v>230</v>
      </c>
      <c r="S207" t="s">
        <v>937</v>
      </c>
      <c r="T207" t="s">
        <v>961</v>
      </c>
      <c r="U207" t="s">
        <v>962</v>
      </c>
      <c r="V207" t="s">
        <v>25</v>
      </c>
      <c r="W207" t="s">
        <v>25</v>
      </c>
      <c r="X207">
        <v>31.3</v>
      </c>
    </row>
    <row r="208" spans="1:24" x14ac:dyDescent="0.25">
      <c r="A208" t="s">
        <v>17</v>
      </c>
      <c r="B208" t="s">
        <v>638</v>
      </c>
      <c r="D208" s="1">
        <v>45936</v>
      </c>
      <c r="E208" t="s">
        <v>52</v>
      </c>
      <c r="F208" s="1">
        <v>46002</v>
      </c>
      <c r="G208" s="2">
        <f>IF(Table1[[#This Row],[Deal Status]]="Completed", Table1[[#This Row],[Completion/Termination Date]]-Table1[[#This Row],[Announce Date]], "")</f>
        <v>66</v>
      </c>
      <c r="H208" t="s">
        <v>639</v>
      </c>
      <c r="I208" t="s">
        <v>640</v>
      </c>
      <c r="J208" t="s">
        <v>1296</v>
      </c>
      <c r="K208" t="s">
        <v>23</v>
      </c>
      <c r="M208" t="s">
        <v>23</v>
      </c>
      <c r="N208" s="2">
        <v>1223.44</v>
      </c>
      <c r="O208" s="2">
        <v>929.05</v>
      </c>
      <c r="P208" s="2">
        <v>18.87</v>
      </c>
      <c r="Q208" s="2">
        <v>38.9</v>
      </c>
      <c r="R208" s="2" t="s">
        <v>24</v>
      </c>
      <c r="S208" t="s">
        <v>929</v>
      </c>
      <c r="T208" t="s">
        <v>930</v>
      </c>
      <c r="U208" t="s">
        <v>976</v>
      </c>
      <c r="V208" t="s">
        <v>25</v>
      </c>
      <c r="W208" t="s">
        <v>25</v>
      </c>
      <c r="X208">
        <v>18.57</v>
      </c>
    </row>
    <row r="209" spans="1:24" x14ac:dyDescent="0.25">
      <c r="A209" t="s">
        <v>17</v>
      </c>
      <c r="B209" t="s">
        <v>297</v>
      </c>
      <c r="C209" t="s">
        <v>298</v>
      </c>
      <c r="D209" s="1">
        <v>45726</v>
      </c>
      <c r="E209" t="s">
        <v>52</v>
      </c>
      <c r="F209" s="1">
        <v>45791</v>
      </c>
      <c r="G209" s="2">
        <f>IF(Table1[[#This Row],[Deal Status]]="Completed", Table1[[#This Row],[Completion/Termination Date]]-Table1[[#This Row],[Announce Date]], "")</f>
        <v>65</v>
      </c>
      <c r="H209" t="s">
        <v>299</v>
      </c>
      <c r="I209" t="s">
        <v>300</v>
      </c>
      <c r="J209" t="s">
        <v>1295</v>
      </c>
      <c r="K209" t="s">
        <v>38</v>
      </c>
      <c r="M209" t="s">
        <v>38</v>
      </c>
      <c r="N209" s="2">
        <v>4312.8999999999996</v>
      </c>
      <c r="O209" s="2">
        <v>6423.07</v>
      </c>
      <c r="P209" s="2">
        <v>1.58</v>
      </c>
      <c r="Q209" s="2" t="s">
        <v>24</v>
      </c>
      <c r="R209" s="2" t="s">
        <v>24</v>
      </c>
      <c r="S209" t="s">
        <v>942</v>
      </c>
      <c r="T209" t="s">
        <v>943</v>
      </c>
      <c r="U209" t="s">
        <v>944</v>
      </c>
      <c r="V209" t="s">
        <v>71</v>
      </c>
      <c r="W209" t="s">
        <v>71</v>
      </c>
      <c r="X209">
        <v>39.25</v>
      </c>
    </row>
    <row r="210" spans="1:24" x14ac:dyDescent="0.25">
      <c r="A210" t="s">
        <v>17</v>
      </c>
      <c r="B210" t="s">
        <v>240</v>
      </c>
      <c r="C210" t="s">
        <v>241</v>
      </c>
      <c r="D210" s="1">
        <v>46076</v>
      </c>
      <c r="E210" t="s">
        <v>52</v>
      </c>
      <c r="F210" s="1">
        <v>46141</v>
      </c>
      <c r="G210" s="2">
        <f>IF(Table1[[#This Row],[Deal Status]]="Completed", Table1[[#This Row],[Completion/Termination Date]]-Table1[[#This Row],[Announce Date]], "")</f>
        <v>65</v>
      </c>
      <c r="H210" t="s">
        <v>242</v>
      </c>
      <c r="I210" t="s">
        <v>243</v>
      </c>
      <c r="J210" t="s">
        <v>1295</v>
      </c>
      <c r="K210" t="s">
        <v>23</v>
      </c>
      <c r="L210" t="s">
        <v>919</v>
      </c>
      <c r="M210" t="s">
        <v>996</v>
      </c>
      <c r="N210" s="2">
        <v>5884.92</v>
      </c>
      <c r="O210" s="2">
        <v>5360.74</v>
      </c>
      <c r="P210" s="2" t="s">
        <v>24</v>
      </c>
      <c r="Q210" s="2">
        <v>260</v>
      </c>
      <c r="R210" s="2" t="s">
        <v>24</v>
      </c>
      <c r="S210" t="s">
        <v>948</v>
      </c>
      <c r="T210" t="s">
        <v>948</v>
      </c>
      <c r="U210" t="s">
        <v>954</v>
      </c>
      <c r="V210" t="s">
        <v>25</v>
      </c>
      <c r="W210" t="s">
        <v>25</v>
      </c>
      <c r="X210">
        <v>68.41</v>
      </c>
    </row>
    <row r="211" spans="1:24" x14ac:dyDescent="0.25">
      <c r="A211" t="s">
        <v>17</v>
      </c>
      <c r="B211" t="s">
        <v>370</v>
      </c>
      <c r="C211" t="s">
        <v>371</v>
      </c>
      <c r="D211" s="1">
        <v>45775</v>
      </c>
      <c r="E211" t="s">
        <v>52</v>
      </c>
      <c r="F211" s="1">
        <v>45840</v>
      </c>
      <c r="G211" s="2">
        <f>IF(Table1[[#This Row],[Deal Status]]="Completed", Table1[[#This Row],[Completion/Termination Date]]-Table1[[#This Row],[Announce Date]], "")</f>
        <v>65</v>
      </c>
      <c r="H211" t="s">
        <v>372</v>
      </c>
      <c r="I211" t="s">
        <v>373</v>
      </c>
      <c r="J211" t="s">
        <v>1295</v>
      </c>
      <c r="K211" t="s">
        <v>23</v>
      </c>
      <c r="M211" t="s">
        <v>23</v>
      </c>
      <c r="N211" s="2">
        <v>3524.26</v>
      </c>
      <c r="O211" s="2">
        <v>3070.26</v>
      </c>
      <c r="P211" s="2" t="s">
        <v>24</v>
      </c>
      <c r="Q211" s="2" t="s">
        <v>24</v>
      </c>
      <c r="R211" s="2" t="s">
        <v>24</v>
      </c>
      <c r="S211" t="s">
        <v>948</v>
      </c>
      <c r="T211" t="s">
        <v>948</v>
      </c>
      <c r="U211" t="s">
        <v>954</v>
      </c>
      <c r="V211" t="s">
        <v>25</v>
      </c>
      <c r="W211" t="s">
        <v>374</v>
      </c>
      <c r="X211">
        <v>17.21</v>
      </c>
    </row>
    <row r="212" spans="1:24" x14ac:dyDescent="0.25">
      <c r="A212" t="s">
        <v>17</v>
      </c>
      <c r="B212" t="s">
        <v>427</v>
      </c>
      <c r="C212" t="s">
        <v>428</v>
      </c>
      <c r="D212" s="1">
        <v>45922</v>
      </c>
      <c r="E212" t="s">
        <v>52</v>
      </c>
      <c r="F212" s="1">
        <v>45987</v>
      </c>
      <c r="G212" s="2">
        <f>IF(Table1[[#This Row],[Deal Status]]="Completed", Table1[[#This Row],[Completion/Termination Date]]-Table1[[#This Row],[Announce Date]], "")</f>
        <v>65</v>
      </c>
      <c r="H212" t="s">
        <v>429</v>
      </c>
      <c r="I212" t="s">
        <v>430</v>
      </c>
      <c r="J212" t="s">
        <v>1296</v>
      </c>
      <c r="K212" t="s">
        <v>23</v>
      </c>
      <c r="M212" t="s">
        <v>23</v>
      </c>
      <c r="N212" s="2">
        <v>2332.0300000000002</v>
      </c>
      <c r="O212" s="2">
        <v>2539.6799999999998</v>
      </c>
      <c r="P212" s="2">
        <v>20.12</v>
      </c>
      <c r="Q212" s="2" t="s">
        <v>24</v>
      </c>
      <c r="R212" s="2" t="s">
        <v>24</v>
      </c>
      <c r="S212" t="s">
        <v>948</v>
      </c>
      <c r="T212" t="s">
        <v>948</v>
      </c>
      <c r="U212" t="s">
        <v>980</v>
      </c>
      <c r="V212" t="s">
        <v>25</v>
      </c>
      <c r="W212" t="s">
        <v>25</v>
      </c>
      <c r="X212">
        <v>7.66</v>
      </c>
    </row>
    <row r="213" spans="1:24" x14ac:dyDescent="0.25">
      <c r="A213" t="s">
        <v>17</v>
      </c>
      <c r="B213" t="s">
        <v>867</v>
      </c>
      <c r="C213" t="s">
        <v>868</v>
      </c>
      <c r="D213" s="1">
        <v>45902</v>
      </c>
      <c r="E213" t="s">
        <v>52</v>
      </c>
      <c r="F213" s="1">
        <v>45965</v>
      </c>
      <c r="G213" s="2">
        <f>IF(Table1[[#This Row],[Deal Status]]="Completed", Table1[[#This Row],[Completion/Termination Date]]-Table1[[#This Row],[Announce Date]], "")</f>
        <v>63</v>
      </c>
      <c r="H213" t="s">
        <v>869</v>
      </c>
      <c r="I213" t="s">
        <v>870</v>
      </c>
      <c r="J213" t="s">
        <v>1295</v>
      </c>
      <c r="K213" t="s">
        <v>80</v>
      </c>
      <c r="M213" t="s">
        <v>38</v>
      </c>
      <c r="N213" s="2">
        <v>479.39</v>
      </c>
      <c r="O213" s="2">
        <v>1888.39</v>
      </c>
      <c r="P213" s="2">
        <v>5.0999999999999996</v>
      </c>
      <c r="Q213" s="2" t="s">
        <v>24</v>
      </c>
      <c r="R213" s="2" t="s">
        <v>24</v>
      </c>
      <c r="S213" t="s">
        <v>945</v>
      </c>
      <c r="T213" t="s">
        <v>946</v>
      </c>
      <c r="U213" t="s">
        <v>986</v>
      </c>
      <c r="V213" t="s">
        <v>25</v>
      </c>
      <c r="W213" t="s">
        <v>71</v>
      </c>
      <c r="X213" t="s">
        <v>24</v>
      </c>
    </row>
    <row r="214" spans="1:24" x14ac:dyDescent="0.25">
      <c r="A214" t="s">
        <v>17</v>
      </c>
      <c r="B214" t="s">
        <v>292</v>
      </c>
      <c r="C214" t="s">
        <v>293</v>
      </c>
      <c r="D214" s="1">
        <v>45939</v>
      </c>
      <c r="E214" t="s">
        <v>52</v>
      </c>
      <c r="F214" s="1">
        <v>46001</v>
      </c>
      <c r="G214" s="2">
        <f>IF(Table1[[#This Row],[Deal Status]]="Completed", Table1[[#This Row],[Completion/Termination Date]]-Table1[[#This Row],[Announce Date]], "")</f>
        <v>62</v>
      </c>
      <c r="H214" t="s">
        <v>294</v>
      </c>
      <c r="I214" t="s">
        <v>295</v>
      </c>
      <c r="J214" t="s">
        <v>1295</v>
      </c>
      <c r="K214" t="s">
        <v>23</v>
      </c>
      <c r="M214" t="s">
        <v>23</v>
      </c>
      <c r="N214" s="2">
        <v>4457.46</v>
      </c>
      <c r="O214" s="2">
        <v>4457.46</v>
      </c>
      <c r="P214" s="2" t="s">
        <v>24</v>
      </c>
      <c r="Q214" s="2" t="s">
        <v>24</v>
      </c>
      <c r="R214" s="2" t="s">
        <v>24</v>
      </c>
      <c r="S214" t="s">
        <v>948</v>
      </c>
      <c r="T214" t="s">
        <v>948</v>
      </c>
      <c r="U214" t="s">
        <v>954</v>
      </c>
      <c r="V214" t="s">
        <v>25</v>
      </c>
      <c r="W214" t="s">
        <v>296</v>
      </c>
      <c r="X214">
        <v>17.93</v>
      </c>
    </row>
    <row r="215" spans="1:24" x14ac:dyDescent="0.25">
      <c r="A215" t="s">
        <v>17</v>
      </c>
      <c r="B215" t="s">
        <v>498</v>
      </c>
      <c r="C215" t="s">
        <v>499</v>
      </c>
      <c r="D215" s="1">
        <v>46132</v>
      </c>
      <c r="E215" t="s">
        <v>52</v>
      </c>
      <c r="F215" s="1">
        <v>46191</v>
      </c>
      <c r="G215" s="2">
        <f>IF(Table1[[#This Row],[Deal Status]]="Completed", Table1[[#This Row],[Completion/Termination Date]]-Table1[[#This Row],[Announce Date]], "")</f>
        <v>59</v>
      </c>
      <c r="H215" t="s">
        <v>500</v>
      </c>
      <c r="I215" t="s">
        <v>501</v>
      </c>
      <c r="J215" t="s">
        <v>1295</v>
      </c>
      <c r="K215" t="s">
        <v>38</v>
      </c>
      <c r="M215" t="s">
        <v>38</v>
      </c>
      <c r="N215" s="2">
        <v>1935.3</v>
      </c>
      <c r="O215" s="2">
        <v>1935.3</v>
      </c>
      <c r="P215" s="2" t="s">
        <v>24</v>
      </c>
      <c r="Q215" s="2" t="s">
        <v>24</v>
      </c>
      <c r="R215" s="2" t="s">
        <v>24</v>
      </c>
      <c r="S215" t="s">
        <v>951</v>
      </c>
      <c r="T215" t="s">
        <v>951</v>
      </c>
      <c r="U215" t="s">
        <v>952</v>
      </c>
      <c r="V215" t="s">
        <v>71</v>
      </c>
      <c r="W215" t="s">
        <v>71</v>
      </c>
      <c r="X215">
        <v>74.349999999999994</v>
      </c>
    </row>
    <row r="216" spans="1:24" x14ac:dyDescent="0.25">
      <c r="A216" t="s">
        <v>17</v>
      </c>
      <c r="B216" t="s">
        <v>702</v>
      </c>
      <c r="C216" t="s">
        <v>255</v>
      </c>
      <c r="D216" s="1">
        <v>46029</v>
      </c>
      <c r="E216" t="s">
        <v>52</v>
      </c>
      <c r="F216" s="1">
        <v>46086</v>
      </c>
      <c r="G216" s="2">
        <f>IF(Table1[[#This Row],[Deal Status]]="Completed", Table1[[#This Row],[Completion/Termination Date]]-Table1[[#This Row],[Announce Date]], "")</f>
        <v>57</v>
      </c>
      <c r="H216" t="s">
        <v>703</v>
      </c>
      <c r="I216" t="s">
        <v>257</v>
      </c>
      <c r="J216" t="s">
        <v>1295</v>
      </c>
      <c r="K216" t="s">
        <v>23</v>
      </c>
      <c r="M216" t="s">
        <v>23</v>
      </c>
      <c r="N216" s="2">
        <v>999.02</v>
      </c>
      <c r="O216" s="2">
        <v>816.41</v>
      </c>
      <c r="P216" s="2" t="s">
        <v>24</v>
      </c>
      <c r="Q216" s="2">
        <v>44</v>
      </c>
      <c r="R216" s="2" t="s">
        <v>24</v>
      </c>
      <c r="S216" t="s">
        <v>948</v>
      </c>
      <c r="T216" t="s">
        <v>948</v>
      </c>
      <c r="U216" t="s">
        <v>954</v>
      </c>
      <c r="V216" t="s">
        <v>25</v>
      </c>
      <c r="W216" t="s">
        <v>25</v>
      </c>
      <c r="X216">
        <v>61.49</v>
      </c>
    </row>
    <row r="217" spans="1:24" x14ac:dyDescent="0.25">
      <c r="A217" t="s">
        <v>17</v>
      </c>
      <c r="B217" t="s">
        <v>767</v>
      </c>
      <c r="C217" t="s">
        <v>130</v>
      </c>
      <c r="D217" s="1">
        <v>45777</v>
      </c>
      <c r="E217" t="s">
        <v>52</v>
      </c>
      <c r="F217" s="1">
        <v>45834</v>
      </c>
      <c r="G217" s="2">
        <f>IF(Table1[[#This Row],[Deal Status]]="Completed", Table1[[#This Row],[Completion/Termination Date]]-Table1[[#This Row],[Announce Date]], "")</f>
        <v>57</v>
      </c>
      <c r="H217" t="s">
        <v>768</v>
      </c>
      <c r="I217" t="s">
        <v>132</v>
      </c>
      <c r="J217" t="s">
        <v>1295</v>
      </c>
      <c r="K217" t="s">
        <v>23</v>
      </c>
      <c r="L217" t="s">
        <v>919</v>
      </c>
      <c r="M217" t="s">
        <v>996</v>
      </c>
      <c r="N217" s="2">
        <v>800</v>
      </c>
      <c r="O217" s="2">
        <v>800</v>
      </c>
      <c r="P217" s="2" t="s">
        <v>24</v>
      </c>
      <c r="Q217" s="2" t="s">
        <v>24</v>
      </c>
      <c r="R217" s="2" t="s">
        <v>24</v>
      </c>
      <c r="S217" t="s">
        <v>948</v>
      </c>
      <c r="T217" t="s">
        <v>948</v>
      </c>
      <c r="U217" t="s">
        <v>954</v>
      </c>
      <c r="V217" t="s">
        <v>25</v>
      </c>
      <c r="W217" t="s">
        <v>25</v>
      </c>
      <c r="X217" t="s">
        <v>24</v>
      </c>
    </row>
    <row r="218" spans="1:24" x14ac:dyDescent="0.25">
      <c r="A218" t="s">
        <v>17</v>
      </c>
      <c r="B218" t="s">
        <v>217</v>
      </c>
      <c r="C218" t="s">
        <v>218</v>
      </c>
      <c r="D218" s="1">
        <v>45975</v>
      </c>
      <c r="E218" t="s">
        <v>52</v>
      </c>
      <c r="F218" s="1">
        <v>46030</v>
      </c>
      <c r="G218" s="2">
        <f>IF(Table1[[#This Row],[Deal Status]]="Completed", Table1[[#This Row],[Completion/Termination Date]]-Table1[[#This Row],[Announce Date]], "")</f>
        <v>55</v>
      </c>
      <c r="H218" t="s">
        <v>219</v>
      </c>
      <c r="I218" t="s">
        <v>220</v>
      </c>
      <c r="J218" t="s">
        <v>1295</v>
      </c>
      <c r="K218" t="s">
        <v>23</v>
      </c>
      <c r="L218" t="s">
        <v>919</v>
      </c>
      <c r="M218" t="s">
        <v>996</v>
      </c>
      <c r="N218" s="2">
        <v>6963.82</v>
      </c>
      <c r="O218" s="2">
        <v>6672.15</v>
      </c>
      <c r="P218" s="2" t="s">
        <v>24</v>
      </c>
      <c r="Q218" s="2" t="s">
        <v>24</v>
      </c>
      <c r="R218" s="2" t="s">
        <v>24</v>
      </c>
      <c r="S218" t="s">
        <v>948</v>
      </c>
      <c r="T218" t="s">
        <v>948</v>
      </c>
      <c r="U218" t="s">
        <v>954</v>
      </c>
      <c r="V218" t="s">
        <v>25</v>
      </c>
      <c r="W218" t="s">
        <v>25</v>
      </c>
      <c r="X218">
        <v>116.01</v>
      </c>
    </row>
    <row r="219" spans="1:24" x14ac:dyDescent="0.25">
      <c r="A219" t="s">
        <v>17</v>
      </c>
      <c r="B219" t="s">
        <v>781</v>
      </c>
      <c r="C219" t="s">
        <v>782</v>
      </c>
      <c r="D219" s="1">
        <v>45958</v>
      </c>
      <c r="E219" t="s">
        <v>52</v>
      </c>
      <c r="F219" s="1">
        <v>46013</v>
      </c>
      <c r="G219" s="2">
        <f>IF(Table1[[#This Row],[Deal Status]]="Completed", Table1[[#This Row],[Completion/Termination Date]]-Table1[[#This Row],[Announce Date]], "")</f>
        <v>55</v>
      </c>
      <c r="H219" t="s">
        <v>783</v>
      </c>
      <c r="I219" t="s">
        <v>784</v>
      </c>
      <c r="J219" t="s">
        <v>1295</v>
      </c>
      <c r="K219" t="s">
        <v>23</v>
      </c>
      <c r="M219" t="s">
        <v>23</v>
      </c>
      <c r="N219" s="2">
        <v>777.89</v>
      </c>
      <c r="O219" s="2">
        <v>948.37</v>
      </c>
      <c r="P219" s="2">
        <v>6.78</v>
      </c>
      <c r="Q219" s="2" t="s">
        <v>24</v>
      </c>
      <c r="R219" s="2" t="s">
        <v>24</v>
      </c>
      <c r="S219" t="s">
        <v>942</v>
      </c>
      <c r="T219" t="s">
        <v>991</v>
      </c>
      <c r="U219" t="s">
        <v>991</v>
      </c>
      <c r="V219" t="s">
        <v>71</v>
      </c>
      <c r="W219" t="s">
        <v>71</v>
      </c>
      <c r="X219">
        <v>9.8000000000000007</v>
      </c>
    </row>
    <row r="220" spans="1:24" x14ac:dyDescent="0.25">
      <c r="A220" t="s">
        <v>17</v>
      </c>
      <c r="B220" t="s">
        <v>221</v>
      </c>
      <c r="C220" t="s">
        <v>222</v>
      </c>
      <c r="D220" s="1">
        <v>45922</v>
      </c>
      <c r="E220" t="s">
        <v>52</v>
      </c>
      <c r="F220" s="1">
        <v>45975</v>
      </c>
      <c r="G220" s="2">
        <f>IF(Table1[[#This Row],[Deal Status]]="Completed", Table1[[#This Row],[Completion/Termination Date]]-Table1[[#This Row],[Announce Date]], "")</f>
        <v>53</v>
      </c>
      <c r="H220" t="s">
        <v>223</v>
      </c>
      <c r="I220" t="s">
        <v>224</v>
      </c>
      <c r="J220" t="s">
        <v>1295</v>
      </c>
      <c r="K220" t="s">
        <v>23</v>
      </c>
      <c r="L220" t="s">
        <v>919</v>
      </c>
      <c r="M220" t="s">
        <v>996</v>
      </c>
      <c r="N220" s="2">
        <v>6891.64</v>
      </c>
      <c r="O220" s="2">
        <v>6539.2</v>
      </c>
      <c r="P220" s="2" t="s">
        <v>24</v>
      </c>
      <c r="Q220" s="2">
        <v>265</v>
      </c>
      <c r="R220" s="2" t="s">
        <v>24</v>
      </c>
      <c r="S220" t="s">
        <v>948</v>
      </c>
      <c r="T220" t="s">
        <v>948</v>
      </c>
      <c r="U220" t="s">
        <v>954</v>
      </c>
      <c r="V220" t="s">
        <v>25</v>
      </c>
      <c r="W220" t="s">
        <v>25</v>
      </c>
      <c r="X220">
        <v>13.97</v>
      </c>
    </row>
    <row r="221" spans="1:24" x14ac:dyDescent="0.25">
      <c r="A221" t="s">
        <v>17</v>
      </c>
      <c r="B221" t="s">
        <v>658</v>
      </c>
      <c r="C221" t="s">
        <v>659</v>
      </c>
      <c r="D221" s="1">
        <v>46064</v>
      </c>
      <c r="E221" t="s">
        <v>52</v>
      </c>
      <c r="F221" s="1">
        <v>46114</v>
      </c>
      <c r="G221" s="2">
        <f>IF(Table1[[#This Row],[Deal Status]]="Completed", Table1[[#This Row],[Completion/Termination Date]]-Table1[[#This Row],[Announce Date]], "")</f>
        <v>50</v>
      </c>
      <c r="H221" t="s">
        <v>660</v>
      </c>
      <c r="I221" t="s">
        <v>661</v>
      </c>
      <c r="J221" t="s">
        <v>1295</v>
      </c>
      <c r="K221" t="s">
        <v>23</v>
      </c>
      <c r="L221" t="s">
        <v>919</v>
      </c>
      <c r="M221" t="s">
        <v>996</v>
      </c>
      <c r="N221" s="2">
        <v>1155.99</v>
      </c>
      <c r="O221" s="2">
        <v>1628.07</v>
      </c>
      <c r="P221" s="2">
        <v>7.34</v>
      </c>
      <c r="Q221" s="2" t="s">
        <v>24</v>
      </c>
      <c r="R221" s="2" t="s">
        <v>24</v>
      </c>
      <c r="S221" t="s">
        <v>929</v>
      </c>
      <c r="T221" t="s">
        <v>930</v>
      </c>
      <c r="U221" t="s">
        <v>953</v>
      </c>
      <c r="V221" t="s">
        <v>25</v>
      </c>
      <c r="W221" t="s">
        <v>25</v>
      </c>
      <c r="X221">
        <v>12.47</v>
      </c>
    </row>
    <row r="222" spans="1:24" x14ac:dyDescent="0.25">
      <c r="A222" t="s">
        <v>17</v>
      </c>
      <c r="B222" t="s">
        <v>629</v>
      </c>
      <c r="C222" t="s">
        <v>130</v>
      </c>
      <c r="D222" s="1">
        <v>45909</v>
      </c>
      <c r="E222" t="s">
        <v>52</v>
      </c>
      <c r="F222" s="1">
        <v>45959</v>
      </c>
      <c r="G222" s="2">
        <f>IF(Table1[[#This Row],[Deal Status]]="Completed", Table1[[#This Row],[Completion/Termination Date]]-Table1[[#This Row],[Announce Date]], "")</f>
        <v>50</v>
      </c>
      <c r="H222" t="s">
        <v>630</v>
      </c>
      <c r="I222" t="s">
        <v>132</v>
      </c>
      <c r="J222" t="s">
        <v>1295</v>
      </c>
      <c r="K222" t="s">
        <v>23</v>
      </c>
      <c r="L222" t="s">
        <v>919</v>
      </c>
      <c r="M222" t="s">
        <v>996</v>
      </c>
      <c r="N222" s="2">
        <v>1278.07</v>
      </c>
      <c r="O222" s="2">
        <v>1038.98</v>
      </c>
      <c r="P222" s="2" t="s">
        <v>24</v>
      </c>
      <c r="Q222" s="2" t="s">
        <v>24</v>
      </c>
      <c r="R222" s="2" t="s">
        <v>24</v>
      </c>
      <c r="S222" t="s">
        <v>948</v>
      </c>
      <c r="T222" t="s">
        <v>948</v>
      </c>
      <c r="U222" t="s">
        <v>954</v>
      </c>
      <c r="V222" t="s">
        <v>25</v>
      </c>
      <c r="W222" t="s">
        <v>25</v>
      </c>
      <c r="X222">
        <v>104.32</v>
      </c>
    </row>
    <row r="223" spans="1:24" x14ac:dyDescent="0.25">
      <c r="A223" t="s">
        <v>17</v>
      </c>
      <c r="B223" t="s">
        <v>167</v>
      </c>
      <c r="C223" t="s">
        <v>168</v>
      </c>
      <c r="D223" s="1">
        <v>45810</v>
      </c>
      <c r="E223" t="s">
        <v>52</v>
      </c>
      <c r="F223" s="1">
        <v>45859</v>
      </c>
      <c r="G223" s="2">
        <f>IF(Table1[[#This Row],[Deal Status]]="Completed", Table1[[#This Row],[Completion/Termination Date]]-Table1[[#This Row],[Announce Date]], "")</f>
        <v>49</v>
      </c>
      <c r="H223" t="s">
        <v>169</v>
      </c>
      <c r="I223" t="s">
        <v>170</v>
      </c>
      <c r="J223" t="s">
        <v>1295</v>
      </c>
      <c r="K223" t="s">
        <v>23</v>
      </c>
      <c r="L223" t="s">
        <v>919</v>
      </c>
      <c r="M223" t="s">
        <v>996</v>
      </c>
      <c r="N223" s="2">
        <v>8589.7099999999991</v>
      </c>
      <c r="O223" s="2">
        <v>8335.34</v>
      </c>
      <c r="P223" s="2" t="s">
        <v>24</v>
      </c>
      <c r="Q223" s="2" t="s">
        <v>24</v>
      </c>
      <c r="R223" s="2" t="s">
        <v>24</v>
      </c>
      <c r="S223" t="s">
        <v>948</v>
      </c>
      <c r="T223" t="s">
        <v>948</v>
      </c>
      <c r="U223" t="s">
        <v>954</v>
      </c>
      <c r="V223" t="s">
        <v>25</v>
      </c>
      <c r="W223" t="s">
        <v>25</v>
      </c>
      <c r="X223">
        <v>28.54</v>
      </c>
    </row>
    <row r="224" spans="1:24" x14ac:dyDescent="0.25">
      <c r="A224" t="s">
        <v>17</v>
      </c>
      <c r="B224" t="s">
        <v>913</v>
      </c>
      <c r="C224" t="s">
        <v>914</v>
      </c>
      <c r="D224" s="1">
        <v>46087</v>
      </c>
      <c r="E224" t="s">
        <v>52</v>
      </c>
      <c r="F224" s="1">
        <v>46136</v>
      </c>
      <c r="G224" s="2">
        <f>IF(Table1[[#This Row],[Deal Status]]="Completed", Table1[[#This Row],[Completion/Termination Date]]-Table1[[#This Row],[Announce Date]], "")</f>
        <v>49</v>
      </c>
      <c r="H224" t="s">
        <v>915</v>
      </c>
      <c r="I224" t="s">
        <v>916</v>
      </c>
      <c r="J224" t="s">
        <v>1295</v>
      </c>
      <c r="K224" t="s">
        <v>23</v>
      </c>
      <c r="L224" t="s">
        <v>919</v>
      </c>
      <c r="M224" t="s">
        <v>996</v>
      </c>
      <c r="N224" s="2" t="s">
        <v>912</v>
      </c>
      <c r="O224" s="2">
        <v>2016.41</v>
      </c>
      <c r="P224" s="2" t="s">
        <v>24</v>
      </c>
      <c r="Q224" s="2" t="s">
        <v>24</v>
      </c>
      <c r="R224" s="2" t="s">
        <v>24</v>
      </c>
      <c r="S224" t="s">
        <v>948</v>
      </c>
      <c r="T224" t="s">
        <v>948</v>
      </c>
      <c r="U224" t="s">
        <v>954</v>
      </c>
      <c r="V224" t="s">
        <v>25</v>
      </c>
      <c r="W224" t="s">
        <v>423</v>
      </c>
      <c r="X224">
        <v>88.72</v>
      </c>
    </row>
    <row r="225" spans="1:24" x14ac:dyDescent="0.25">
      <c r="A225" t="s">
        <v>17</v>
      </c>
      <c r="B225" t="s">
        <v>508</v>
      </c>
      <c r="C225" t="s">
        <v>168</v>
      </c>
      <c r="D225" s="1">
        <v>46015</v>
      </c>
      <c r="E225" t="s">
        <v>52</v>
      </c>
      <c r="F225" s="1">
        <v>46064</v>
      </c>
      <c r="G225" s="2">
        <f>IF(Table1[[#This Row],[Deal Status]]="Completed", Table1[[#This Row],[Completion/Termination Date]]-Table1[[#This Row],[Announce Date]], "")</f>
        <v>49</v>
      </c>
      <c r="H225" t="s">
        <v>509</v>
      </c>
      <c r="I225" t="s">
        <v>170</v>
      </c>
      <c r="J225" t="s">
        <v>1295</v>
      </c>
      <c r="K225" t="s">
        <v>23</v>
      </c>
      <c r="L225" t="s">
        <v>919</v>
      </c>
      <c r="M225" t="s">
        <v>996</v>
      </c>
      <c r="N225" s="2">
        <v>1820.13</v>
      </c>
      <c r="O225" s="2">
        <v>1820.13</v>
      </c>
      <c r="P225" s="2">
        <v>293.24</v>
      </c>
      <c r="Q225" s="2">
        <v>77.849500000000006</v>
      </c>
      <c r="R225" s="2">
        <v>116.774</v>
      </c>
      <c r="S225" t="s">
        <v>948</v>
      </c>
      <c r="T225" t="s">
        <v>948</v>
      </c>
      <c r="U225" t="s">
        <v>954</v>
      </c>
      <c r="V225" t="s">
        <v>25</v>
      </c>
      <c r="W225" t="s">
        <v>25</v>
      </c>
      <c r="X225">
        <v>41.2</v>
      </c>
    </row>
    <row r="226" spans="1:24" x14ac:dyDescent="0.25">
      <c r="A226" t="s">
        <v>17</v>
      </c>
      <c r="B226" t="s">
        <v>789</v>
      </c>
      <c r="C226" t="s">
        <v>790</v>
      </c>
      <c r="D226" s="1">
        <v>45721</v>
      </c>
      <c r="E226" t="s">
        <v>52</v>
      </c>
      <c r="F226" s="1">
        <v>45769</v>
      </c>
      <c r="G226" s="2">
        <f>IF(Table1[[#This Row],[Deal Status]]="Completed", Table1[[#This Row],[Completion/Termination Date]]-Table1[[#This Row],[Announce Date]], "")</f>
        <v>48</v>
      </c>
      <c r="H226" t="s">
        <v>791</v>
      </c>
      <c r="I226" t="s">
        <v>792</v>
      </c>
      <c r="J226" t="s">
        <v>1295</v>
      </c>
      <c r="K226" t="s">
        <v>23</v>
      </c>
      <c r="L226" t="s">
        <v>919</v>
      </c>
      <c r="M226" t="s">
        <v>996</v>
      </c>
      <c r="N226" s="2">
        <v>768.95</v>
      </c>
      <c r="O226" s="2">
        <v>634.07000000000005</v>
      </c>
      <c r="P226" s="2" t="s">
        <v>24</v>
      </c>
      <c r="Q226" s="2" t="s">
        <v>24</v>
      </c>
      <c r="R226" s="2" t="s">
        <v>24</v>
      </c>
      <c r="S226" t="s">
        <v>948</v>
      </c>
      <c r="T226" t="s">
        <v>948</v>
      </c>
      <c r="U226" t="s">
        <v>954</v>
      </c>
      <c r="V226" t="s">
        <v>25</v>
      </c>
      <c r="W226" t="s">
        <v>25</v>
      </c>
      <c r="X226">
        <v>85.31</v>
      </c>
    </row>
    <row r="227" spans="1:24" x14ac:dyDescent="0.25">
      <c r="A227" t="s">
        <v>17</v>
      </c>
      <c r="B227" t="s">
        <v>207</v>
      </c>
      <c r="C227" t="s">
        <v>208</v>
      </c>
      <c r="D227" s="1">
        <v>45684</v>
      </c>
      <c r="E227" t="s">
        <v>52</v>
      </c>
      <c r="F227" s="1">
        <v>45729</v>
      </c>
      <c r="G227" s="2">
        <f>IF(Table1[[#This Row],[Deal Status]]="Completed", Table1[[#This Row],[Completion/Termination Date]]-Table1[[#This Row],[Announce Date]], "")</f>
        <v>45</v>
      </c>
      <c r="H227" t="s">
        <v>209</v>
      </c>
      <c r="I227" t="s">
        <v>210</v>
      </c>
      <c r="J227" t="s">
        <v>1295</v>
      </c>
      <c r="K227" t="s">
        <v>23</v>
      </c>
      <c r="L227" t="s">
        <v>919</v>
      </c>
      <c r="M227" t="s">
        <v>996</v>
      </c>
      <c r="N227" s="2">
        <v>7196.74</v>
      </c>
      <c r="O227" s="2">
        <v>7196.74</v>
      </c>
      <c r="P227" s="2">
        <v>39.549999999999997</v>
      </c>
      <c r="Q227" s="2" t="s">
        <v>24</v>
      </c>
      <c r="R227" s="2" t="s">
        <v>24</v>
      </c>
      <c r="S227" t="s">
        <v>945</v>
      </c>
      <c r="T227" t="s">
        <v>946</v>
      </c>
      <c r="U227" t="s">
        <v>947</v>
      </c>
      <c r="V227" t="s">
        <v>25</v>
      </c>
      <c r="W227" t="s">
        <v>25</v>
      </c>
      <c r="X227">
        <v>5.27</v>
      </c>
    </row>
    <row r="228" spans="1:24" x14ac:dyDescent="0.25">
      <c r="A228" t="s">
        <v>17</v>
      </c>
      <c r="B228" t="s">
        <v>262</v>
      </c>
      <c r="C228" t="s">
        <v>263</v>
      </c>
      <c r="D228" s="1">
        <v>46112</v>
      </c>
      <c r="E228" t="s">
        <v>52</v>
      </c>
      <c r="F228" s="1">
        <v>46157</v>
      </c>
      <c r="G228" s="2">
        <f>IF(Table1[[#This Row],[Deal Status]]="Completed", Table1[[#This Row],[Completion/Termination Date]]-Table1[[#This Row],[Announce Date]], "")</f>
        <v>45</v>
      </c>
      <c r="H228" t="s">
        <v>264</v>
      </c>
      <c r="I228" t="s">
        <v>265</v>
      </c>
      <c r="J228" t="s">
        <v>1295</v>
      </c>
      <c r="K228" t="s">
        <v>23</v>
      </c>
      <c r="L228" t="s">
        <v>919</v>
      </c>
      <c r="M228" t="s">
        <v>996</v>
      </c>
      <c r="N228" s="2">
        <v>5241.03</v>
      </c>
      <c r="O228" s="2">
        <v>5249.15</v>
      </c>
      <c r="P228" s="2">
        <v>77.78</v>
      </c>
      <c r="Q228" s="2" t="s">
        <v>24</v>
      </c>
      <c r="R228" s="2" t="s">
        <v>24</v>
      </c>
      <c r="S228" t="s">
        <v>948</v>
      </c>
      <c r="T228" t="s">
        <v>948</v>
      </c>
      <c r="U228" t="s">
        <v>954</v>
      </c>
      <c r="V228" t="s">
        <v>25</v>
      </c>
      <c r="W228" t="s">
        <v>25</v>
      </c>
      <c r="X228">
        <v>120.69</v>
      </c>
    </row>
    <row r="229" spans="1:24" x14ac:dyDescent="0.25">
      <c r="A229" t="s">
        <v>17</v>
      </c>
      <c r="B229" t="s">
        <v>280</v>
      </c>
      <c r="C229" t="s">
        <v>281</v>
      </c>
      <c r="D229" s="1">
        <v>45663</v>
      </c>
      <c r="E229" t="s">
        <v>52</v>
      </c>
      <c r="F229" s="1">
        <v>45708</v>
      </c>
      <c r="G229" s="2">
        <f>IF(Table1[[#This Row],[Deal Status]]="Completed", Table1[[#This Row],[Completion/Termination Date]]-Table1[[#This Row],[Announce Date]], "")</f>
        <v>45</v>
      </c>
      <c r="H229" t="s">
        <v>282</v>
      </c>
      <c r="I229" t="s">
        <v>283</v>
      </c>
      <c r="J229" t="s">
        <v>1295</v>
      </c>
      <c r="K229" t="s">
        <v>23</v>
      </c>
      <c r="L229" t="s">
        <v>919</v>
      </c>
      <c r="M229" t="s">
        <v>996</v>
      </c>
      <c r="N229" s="2">
        <v>4683.53</v>
      </c>
      <c r="O229" s="2">
        <v>4604.72</v>
      </c>
      <c r="P229" s="2" t="s">
        <v>24</v>
      </c>
      <c r="Q229" s="2">
        <v>163</v>
      </c>
      <c r="R229" s="2" t="s">
        <v>24</v>
      </c>
      <c r="S229" t="s">
        <v>948</v>
      </c>
      <c r="T229" t="s">
        <v>948</v>
      </c>
      <c r="U229" t="s">
        <v>949</v>
      </c>
      <c r="V229" t="s">
        <v>25</v>
      </c>
      <c r="W229" t="s">
        <v>25</v>
      </c>
      <c r="X229">
        <v>48.5</v>
      </c>
    </row>
    <row r="230" spans="1:24" x14ac:dyDescent="0.25">
      <c r="A230" t="s">
        <v>17</v>
      </c>
      <c r="B230" t="s">
        <v>879</v>
      </c>
      <c r="C230" t="s">
        <v>880</v>
      </c>
      <c r="D230" s="1">
        <v>45789</v>
      </c>
      <c r="E230" t="s">
        <v>52</v>
      </c>
      <c r="F230" s="1">
        <v>45834</v>
      </c>
      <c r="G230" s="2">
        <f>IF(Table1[[#This Row],[Deal Status]]="Completed", Table1[[#This Row],[Completion/Termination Date]]-Table1[[#This Row],[Announce Date]], "")</f>
        <v>45</v>
      </c>
      <c r="H230" t="s">
        <v>881</v>
      </c>
      <c r="I230" t="s">
        <v>882</v>
      </c>
      <c r="J230" t="s">
        <v>1295</v>
      </c>
      <c r="K230" t="s">
        <v>23</v>
      </c>
      <c r="L230" t="s">
        <v>919</v>
      </c>
      <c r="M230" t="s">
        <v>996</v>
      </c>
      <c r="N230" s="2">
        <v>411.79</v>
      </c>
      <c r="O230" s="2">
        <v>548.98</v>
      </c>
      <c r="P230" s="2">
        <v>15.76</v>
      </c>
      <c r="Q230" s="2" t="s">
        <v>24</v>
      </c>
      <c r="R230" s="2" t="s">
        <v>24</v>
      </c>
      <c r="S230" t="s">
        <v>937</v>
      </c>
      <c r="T230" t="s">
        <v>964</v>
      </c>
      <c r="U230" t="s">
        <v>971</v>
      </c>
      <c r="V230" t="s">
        <v>25</v>
      </c>
      <c r="W230" t="s">
        <v>25</v>
      </c>
      <c r="X230">
        <v>87.37</v>
      </c>
    </row>
    <row r="231" spans="1:24" x14ac:dyDescent="0.25">
      <c r="A231" t="s">
        <v>17</v>
      </c>
      <c r="B231" t="s">
        <v>454</v>
      </c>
      <c r="C231" t="s">
        <v>455</v>
      </c>
      <c r="D231" s="1">
        <v>45917</v>
      </c>
      <c r="E231" t="s">
        <v>52</v>
      </c>
      <c r="F231" s="1">
        <v>45961</v>
      </c>
      <c r="G231" s="2">
        <f>IF(Table1[[#This Row],[Deal Status]]="Completed", Table1[[#This Row],[Completion/Termination Date]]-Table1[[#This Row],[Announce Date]], "")</f>
        <v>44</v>
      </c>
      <c r="H231" t="s">
        <v>456</v>
      </c>
      <c r="I231" t="s">
        <v>457</v>
      </c>
      <c r="J231" t="s">
        <v>1295</v>
      </c>
      <c r="K231" t="s">
        <v>23</v>
      </c>
      <c r="L231" t="s">
        <v>919</v>
      </c>
      <c r="M231" t="s">
        <v>996</v>
      </c>
      <c r="N231" s="2">
        <v>2150.4699999999998</v>
      </c>
      <c r="O231" s="2">
        <v>1626.92</v>
      </c>
      <c r="P231" s="2" t="s">
        <v>24</v>
      </c>
      <c r="Q231" s="2">
        <v>79.900000000000006</v>
      </c>
      <c r="R231" s="2">
        <v>79.900000000000006</v>
      </c>
      <c r="S231" t="s">
        <v>948</v>
      </c>
      <c r="T231" t="s">
        <v>948</v>
      </c>
      <c r="U231" t="s">
        <v>954</v>
      </c>
      <c r="V231" t="s">
        <v>25</v>
      </c>
      <c r="W231" t="s">
        <v>25</v>
      </c>
      <c r="X231">
        <v>63.56</v>
      </c>
    </row>
    <row r="232" spans="1:24" x14ac:dyDescent="0.25">
      <c r="A232" t="s">
        <v>17</v>
      </c>
      <c r="B232" t="s">
        <v>602</v>
      </c>
      <c r="C232" t="s">
        <v>603</v>
      </c>
      <c r="D232" s="1">
        <v>46141</v>
      </c>
      <c r="E232" t="s">
        <v>52</v>
      </c>
      <c r="F232" s="1">
        <v>46185</v>
      </c>
      <c r="G232" s="2">
        <f>IF(Table1[[#This Row],[Deal Status]]="Completed", Table1[[#This Row],[Completion/Termination Date]]-Table1[[#This Row],[Announce Date]], "")</f>
        <v>44</v>
      </c>
      <c r="H232" t="s">
        <v>604</v>
      </c>
      <c r="I232" t="s">
        <v>605</v>
      </c>
      <c r="J232" t="s">
        <v>1295</v>
      </c>
      <c r="K232" t="s">
        <v>23</v>
      </c>
      <c r="L232" t="s">
        <v>919</v>
      </c>
      <c r="M232" t="s">
        <v>996</v>
      </c>
      <c r="N232" s="2">
        <v>1383.01</v>
      </c>
      <c r="O232" s="2">
        <v>1223.43</v>
      </c>
      <c r="P232" s="2" t="s">
        <v>24</v>
      </c>
      <c r="Q232" s="2" t="s">
        <v>24</v>
      </c>
      <c r="R232" s="2" t="s">
        <v>24</v>
      </c>
      <c r="S232" t="s">
        <v>948</v>
      </c>
      <c r="T232" t="s">
        <v>948</v>
      </c>
      <c r="U232" t="s">
        <v>954</v>
      </c>
      <c r="V232" t="s">
        <v>25</v>
      </c>
      <c r="W232" t="s">
        <v>606</v>
      </c>
      <c r="X232">
        <v>36.200000000000003</v>
      </c>
    </row>
    <row r="233" spans="1:24" x14ac:dyDescent="0.25">
      <c r="A233" t="s">
        <v>17</v>
      </c>
      <c r="B233" t="s">
        <v>859</v>
      </c>
      <c r="C233" t="s">
        <v>860</v>
      </c>
      <c r="D233" s="1">
        <v>45910</v>
      </c>
      <c r="E233" t="s">
        <v>52</v>
      </c>
      <c r="F233" s="1">
        <v>45954</v>
      </c>
      <c r="G233" s="2">
        <f>IF(Table1[[#This Row],[Deal Status]]="Completed", Table1[[#This Row],[Completion/Termination Date]]-Table1[[#This Row],[Announce Date]], "")</f>
        <v>44</v>
      </c>
      <c r="H233" t="s">
        <v>861</v>
      </c>
      <c r="I233" t="s">
        <v>862</v>
      </c>
      <c r="J233" t="s">
        <v>1295</v>
      </c>
      <c r="K233" t="s">
        <v>23</v>
      </c>
      <c r="L233" t="s">
        <v>919</v>
      </c>
      <c r="M233" t="s">
        <v>996</v>
      </c>
      <c r="N233" s="2">
        <v>518.05999999999995</v>
      </c>
      <c r="O233" s="2">
        <v>649.54</v>
      </c>
      <c r="P233" s="2">
        <v>10.46</v>
      </c>
      <c r="Q233" s="2">
        <v>19.8</v>
      </c>
      <c r="R233" s="2" t="s">
        <v>24</v>
      </c>
      <c r="S233" t="s">
        <v>937</v>
      </c>
      <c r="T233" t="s">
        <v>938</v>
      </c>
      <c r="U233" t="s">
        <v>939</v>
      </c>
      <c r="V233" t="s">
        <v>25</v>
      </c>
      <c r="W233" t="s">
        <v>25</v>
      </c>
      <c r="X233">
        <v>35.28</v>
      </c>
    </row>
    <row r="234" spans="1:24" x14ac:dyDescent="0.25">
      <c r="A234" t="s">
        <v>17</v>
      </c>
      <c r="B234" t="s">
        <v>382</v>
      </c>
      <c r="C234" t="s">
        <v>383</v>
      </c>
      <c r="D234" s="1">
        <v>46118</v>
      </c>
      <c r="E234" t="s">
        <v>52</v>
      </c>
      <c r="F234" s="1">
        <v>46161</v>
      </c>
      <c r="G234" s="2">
        <f>IF(Table1[[#This Row],[Deal Status]]="Completed", Table1[[#This Row],[Completion/Termination Date]]-Table1[[#This Row],[Announce Date]], "")</f>
        <v>43</v>
      </c>
      <c r="H234" t="s">
        <v>384</v>
      </c>
      <c r="I234" t="s">
        <v>385</v>
      </c>
      <c r="J234" t="s">
        <v>1295</v>
      </c>
      <c r="K234" t="s">
        <v>23</v>
      </c>
      <c r="L234" t="s">
        <v>919</v>
      </c>
      <c r="M234" t="s">
        <v>996</v>
      </c>
      <c r="N234" s="2">
        <v>3333.21</v>
      </c>
      <c r="O234" s="2">
        <v>2900</v>
      </c>
      <c r="P234" s="2">
        <v>236.08</v>
      </c>
      <c r="Q234" s="2" t="s">
        <v>24</v>
      </c>
      <c r="R234" s="2" t="s">
        <v>24</v>
      </c>
      <c r="S234" t="s">
        <v>948</v>
      </c>
      <c r="T234" t="s">
        <v>948</v>
      </c>
      <c r="U234" t="s">
        <v>954</v>
      </c>
      <c r="V234" t="s">
        <v>25</v>
      </c>
      <c r="W234" t="s">
        <v>25</v>
      </c>
      <c r="X234" t="s">
        <v>24</v>
      </c>
    </row>
    <row r="235" spans="1:24" x14ac:dyDescent="0.25">
      <c r="A235" t="s">
        <v>17</v>
      </c>
      <c r="B235" t="s">
        <v>547</v>
      </c>
      <c r="C235" t="s">
        <v>163</v>
      </c>
      <c r="D235" s="1">
        <v>46042</v>
      </c>
      <c r="E235" t="s">
        <v>52</v>
      </c>
      <c r="F235" s="1">
        <v>46085</v>
      </c>
      <c r="G235" s="2">
        <f>IF(Table1[[#This Row],[Deal Status]]="Completed", Table1[[#This Row],[Completion/Termination Date]]-Table1[[#This Row],[Announce Date]], "")</f>
        <v>43</v>
      </c>
      <c r="H235" t="s">
        <v>548</v>
      </c>
      <c r="I235" t="s">
        <v>165</v>
      </c>
      <c r="J235" t="s">
        <v>1295</v>
      </c>
      <c r="K235" t="s">
        <v>23</v>
      </c>
      <c r="L235" t="s">
        <v>919</v>
      </c>
      <c r="M235" t="s">
        <v>996</v>
      </c>
      <c r="N235" s="2">
        <v>1607.23</v>
      </c>
      <c r="O235" s="2">
        <v>1452.48</v>
      </c>
      <c r="P235" s="2" t="s">
        <v>24</v>
      </c>
      <c r="Q235" s="2">
        <v>78.400000000000006</v>
      </c>
      <c r="R235" s="2" t="s">
        <v>24</v>
      </c>
      <c r="S235" t="s">
        <v>948</v>
      </c>
      <c r="T235" t="s">
        <v>948</v>
      </c>
      <c r="U235" t="s">
        <v>954</v>
      </c>
      <c r="V235" t="s">
        <v>25</v>
      </c>
      <c r="W235" t="s">
        <v>25</v>
      </c>
      <c r="X235">
        <v>72.03</v>
      </c>
    </row>
    <row r="236" spans="1:24" x14ac:dyDescent="0.25">
      <c r="A236" t="s">
        <v>17</v>
      </c>
      <c r="B236" t="s">
        <v>248</v>
      </c>
      <c r="C236" t="s">
        <v>218</v>
      </c>
      <c r="D236" s="1">
        <v>46106</v>
      </c>
      <c r="E236" t="s">
        <v>52</v>
      </c>
      <c r="F236" s="1">
        <v>46148</v>
      </c>
      <c r="G236" s="2">
        <f>IF(Table1[[#This Row],[Deal Status]]="Completed", Table1[[#This Row],[Completion/Termination Date]]-Table1[[#This Row],[Announce Date]], "")</f>
        <v>42</v>
      </c>
      <c r="H236" t="s">
        <v>249</v>
      </c>
      <c r="I236" t="s">
        <v>220</v>
      </c>
      <c r="J236" t="s">
        <v>1295</v>
      </c>
      <c r="K236" t="s">
        <v>23</v>
      </c>
      <c r="L236" t="s">
        <v>919</v>
      </c>
      <c r="M236" t="s">
        <v>996</v>
      </c>
      <c r="N236" s="2">
        <v>5764.67</v>
      </c>
      <c r="O236" s="2">
        <v>5470.06</v>
      </c>
      <c r="P236" s="2" t="s">
        <v>24</v>
      </c>
      <c r="Q236" s="2">
        <v>235</v>
      </c>
      <c r="R236" s="2">
        <v>270</v>
      </c>
      <c r="S236" t="s">
        <v>948</v>
      </c>
      <c r="T236" t="s">
        <v>948</v>
      </c>
      <c r="U236" t="s">
        <v>954</v>
      </c>
      <c r="V236" t="s">
        <v>25</v>
      </c>
      <c r="W236" t="s">
        <v>25</v>
      </c>
      <c r="X236">
        <v>17.8</v>
      </c>
    </row>
    <row r="237" spans="1:24" x14ac:dyDescent="0.25">
      <c r="A237" t="s">
        <v>17</v>
      </c>
      <c r="B237" t="s">
        <v>717</v>
      </c>
      <c r="C237" t="s">
        <v>255</v>
      </c>
      <c r="D237" s="1">
        <v>45825</v>
      </c>
      <c r="E237" t="s">
        <v>52</v>
      </c>
      <c r="F237" s="1">
        <v>45866</v>
      </c>
      <c r="G237" s="2">
        <f>IF(Table1[[#This Row],[Deal Status]]="Completed", Table1[[#This Row],[Completion/Termination Date]]-Table1[[#This Row],[Announce Date]], "")</f>
        <v>41</v>
      </c>
      <c r="H237" t="s">
        <v>718</v>
      </c>
      <c r="I237" t="s">
        <v>257</v>
      </c>
      <c r="J237" t="s">
        <v>1295</v>
      </c>
      <c r="K237" t="s">
        <v>23</v>
      </c>
      <c r="L237" t="s">
        <v>919</v>
      </c>
      <c r="M237" t="s">
        <v>996</v>
      </c>
      <c r="N237" s="2">
        <v>936</v>
      </c>
      <c r="O237" s="2">
        <v>507.56</v>
      </c>
      <c r="P237" s="2" t="s">
        <v>24</v>
      </c>
      <c r="Q237" s="2" t="s">
        <v>24</v>
      </c>
      <c r="R237" s="2" t="s">
        <v>24</v>
      </c>
      <c r="S237" t="s">
        <v>948</v>
      </c>
      <c r="T237" t="s">
        <v>948</v>
      </c>
      <c r="U237" t="s">
        <v>954</v>
      </c>
      <c r="V237" t="s">
        <v>25</v>
      </c>
      <c r="W237" t="s">
        <v>25</v>
      </c>
      <c r="X237">
        <v>101.91</v>
      </c>
    </row>
    <row r="239" spans="1:24" x14ac:dyDescent="0.25">
      <c r="A239" s="94" t="s">
        <v>1287</v>
      </c>
    </row>
  </sheetData>
  <hyperlinks>
    <hyperlink ref="A239" r:id="rId1" location="disclaimer" tooltip="Churchill Capital disclaimer" xr:uid="{FCC1F499-4885-4FBE-B07E-897711526347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5F80-A17C-4EF1-8B37-7F8D538AFFAC}">
  <dimension ref="B1:U200"/>
  <sheetViews>
    <sheetView showGridLines="0" topLeftCell="A4" workbookViewId="0"/>
  </sheetViews>
  <sheetFormatPr defaultRowHeight="15" x14ac:dyDescent="0.25"/>
  <cols>
    <col min="2" max="2" width="8.42578125" customWidth="1"/>
    <col min="3" max="3" width="10.28515625" customWidth="1"/>
    <col min="4" max="4" width="17.140625" style="4" customWidth="1"/>
    <col min="5" max="5" width="14" style="4" customWidth="1"/>
    <col min="6" max="7" width="14" style="2" customWidth="1"/>
    <col min="8" max="8" width="16" style="5" customWidth="1"/>
    <col min="9" max="9" width="15" style="5" customWidth="1"/>
    <col min="10" max="10" width="15.140625" bestFit="1" customWidth="1"/>
    <col min="11" max="11" width="22.140625" bestFit="1" customWidth="1"/>
    <col min="12" max="12" width="22.140625" customWidth="1"/>
    <col min="14" max="14" width="13.7109375" customWidth="1"/>
    <col min="15" max="15" width="20.42578125" bestFit="1" customWidth="1"/>
    <col min="16" max="16" width="24.28515625" customWidth="1"/>
    <col min="18" max="18" width="13.42578125" bestFit="1" customWidth="1"/>
    <col min="19" max="19" width="17.28515625" bestFit="1" customWidth="1"/>
    <col min="20" max="20" width="16.28515625" bestFit="1" customWidth="1"/>
    <col min="21" max="21" width="13.42578125" bestFit="1" customWidth="1"/>
  </cols>
  <sheetData>
    <row r="1" spans="2:16" x14ac:dyDescent="0.25">
      <c r="D1"/>
    </row>
    <row r="2" spans="2:16" x14ac:dyDescent="0.25">
      <c r="B2" t="s">
        <v>1007</v>
      </c>
      <c r="C2" t="s">
        <v>1008</v>
      </c>
      <c r="D2" t="s">
        <v>1009</v>
      </c>
      <c r="E2" t="s">
        <v>1010</v>
      </c>
      <c r="F2" t="s">
        <v>1011</v>
      </c>
      <c r="G2" t="s">
        <v>1012</v>
      </c>
      <c r="H2" t="s">
        <v>1013</v>
      </c>
      <c r="I2" t="s">
        <v>1014</v>
      </c>
      <c r="J2" t="s">
        <v>1015</v>
      </c>
      <c r="K2" t="s">
        <v>921</v>
      </c>
      <c r="L2" t="s">
        <v>922</v>
      </c>
      <c r="M2" t="s">
        <v>1016</v>
      </c>
      <c r="N2" t="s">
        <v>1017</v>
      </c>
      <c r="O2" t="s">
        <v>1018</v>
      </c>
      <c r="P2" t="s">
        <v>1019</v>
      </c>
    </row>
    <row r="3" spans="2:16" x14ac:dyDescent="0.25">
      <c r="B3" t="s">
        <v>93</v>
      </c>
      <c r="C3" s="4">
        <v>46195</v>
      </c>
      <c r="D3" s="6">
        <v>46273</v>
      </c>
      <c r="F3" s="2">
        <f>IF(Table13[[#This Row],[Day Ann.]]="", "", Table13[[#This Row],[Initial Close Est.]]-Table13[[#This Row],[Day Ann.]])</f>
        <v>78</v>
      </c>
      <c r="G3" s="2" t="str">
        <f>IF(Table13[[#This Row],[Actual Close]]="", "",Table13[[#This Row],[Actual Close]]-Table13[[#This Row],[Day Ann.]])</f>
        <v/>
      </c>
      <c r="H3" s="5" t="str">
        <f t="shared" ref="H3:H34" si="0">IF(E3="","",E3-D3)</f>
        <v/>
      </c>
      <c r="I3" s="5" t="str">
        <f t="shared" ref="I3:I34" si="1">IF(H3="", "",ABS(H3))</f>
        <v/>
      </c>
      <c r="J3" t="str">
        <f t="shared" ref="J3:J34" si="2">(B3&amp;" Equity")</f>
        <v>APGE US Equity</v>
      </c>
      <c r="K3" t="str" cm="1">
        <f t="array" ref="K3">IFERROR(_xlfn.LET(_xlpm.t,TRIM(Table13[[#This Row],[TICKER]]),_xlpm.k,IF(ISNUMBER(SEARCH(" ",_xlpm.t)),_xlpm.t,_xlpm.t&amp;" US"),_xlfn.XLOOKUP(_xlpm.k,TRIM(Table1[Target Ticker]),Table1[Target Industry Sector])),"")</f>
        <v>Health Care</v>
      </c>
      <c r="L3" t="str" cm="1">
        <f t="array" ref="L3">IFERROR(_xlfn.LET(_xlpm.t,TRIM(Table13[[#This Row],[TICKER]]),_xlpm.k,IF(ISNUMBER(SEARCH(" ",_xlpm.t)),_xlpm.t,_xlpm.t&amp;" US"),_xlfn.XLOOKUP(_xlpm.k,TRIM(Table1[Target Ticker]),Table1[Target Industry Group])),"")</f>
        <v>Health Care</v>
      </c>
      <c r="M3">
        <f>_xll.BDP($J3, "LAST_PRICE")</f>
        <v>132.66</v>
      </c>
      <c r="O3" t="str">
        <f>IF(Table13[[#This Row],[Cash/Tender/Stock/Mix]]= "Mix", "Stock", Table13[[#This Row],[Cash/Tender/Stock/Mix]])</f>
        <v>Cash</v>
      </c>
      <c r="P3" t="s">
        <v>23</v>
      </c>
    </row>
    <row r="4" spans="2:16" x14ac:dyDescent="0.25">
      <c r="B4" t="s">
        <v>197</v>
      </c>
      <c r="C4" s="4">
        <v>46195</v>
      </c>
      <c r="D4" s="6">
        <v>46391</v>
      </c>
      <c r="F4" s="2">
        <f>IF(Table13[[#This Row],[Day Ann.]]="", "", Table13[[#This Row],[Initial Close Est.]]-Table13[[#This Row],[Day Ann.]])</f>
        <v>196</v>
      </c>
      <c r="G4" s="2" t="str">
        <f>IF(Table13[[#This Row],[Actual Close]]="", "",Table13[[#This Row],[Actual Close]]-Table13[[#This Row],[Day Ann.]])</f>
        <v/>
      </c>
      <c r="H4" s="5" t="str">
        <f t="shared" si="0"/>
        <v/>
      </c>
      <c r="I4" s="5" t="str">
        <f t="shared" si="1"/>
        <v/>
      </c>
      <c r="J4" t="str">
        <f t="shared" si="2"/>
        <v>ACA US Equity</v>
      </c>
      <c r="K4" t="str" cm="1">
        <f t="array" ref="K4">IFERROR(_xlfn.LET(_xlpm.t,TRIM(Table13[[#This Row],[TICKER]]),_xlpm.k,IF(ISNUMBER(SEARCH(" ",_xlpm.t)),_xlpm.t,_xlpm.t&amp;" US"),_xlfn.XLOOKUP(_xlpm.k,TRIM(Table1[Target Ticker]),Table1[Target Industry Sector])),"")</f>
        <v>Industrials</v>
      </c>
      <c r="L4" t="str" cm="1">
        <f t="array" ref="L4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4">
        <f>_xll.BDP($J4, "LAST_PRICE")</f>
        <v>144.31</v>
      </c>
      <c r="O4" t="str">
        <f>IF(Table13[[#This Row],[Cash/Tender/Stock/Mix]]= "Mix", "Stock", Table13[[#This Row],[Cash/Tender/Stock/Mix]])</f>
        <v>Cash</v>
      </c>
      <c r="P4" t="s">
        <v>23</v>
      </c>
    </row>
    <row r="5" spans="2:16" x14ac:dyDescent="0.25">
      <c r="B5" t="s">
        <v>415</v>
      </c>
      <c r="C5" s="4">
        <v>46189</v>
      </c>
      <c r="D5" s="6">
        <v>46447</v>
      </c>
      <c r="F5" s="2">
        <f>IF(Table13[[#This Row],[Day Ann.]]="", "", Table13[[#This Row],[Initial Close Est.]]-Table13[[#This Row],[Day Ann.]])</f>
        <v>258</v>
      </c>
      <c r="G5" s="2" t="str">
        <f>IF(Table13[[#This Row],[Actual Close]]="", "",Table13[[#This Row],[Actual Close]]-Table13[[#This Row],[Day Ann.]])</f>
        <v/>
      </c>
      <c r="H5" s="5" t="str">
        <f t="shared" si="0"/>
        <v/>
      </c>
      <c r="I5" s="5" t="str">
        <f t="shared" si="1"/>
        <v/>
      </c>
      <c r="J5" t="str">
        <f t="shared" si="2"/>
        <v>HUN US Equity</v>
      </c>
      <c r="K5" t="str" cm="1">
        <f t="array" ref="K5">IFERROR(_xlfn.LET(_xlpm.t,TRIM(Table13[[#This Row],[TICKER]]),_xlpm.k,IF(ISNUMBER(SEARCH(" ",_xlpm.t)),_xlpm.t,_xlpm.t&amp;" US"),_xlfn.XLOOKUP(_xlpm.k,TRIM(Table1[Target Ticker]),Table1[Target Industry Sector])),"")</f>
        <v>Materials</v>
      </c>
      <c r="L5" t="str" cm="1">
        <f t="array" ref="L5">IFERROR(_xlfn.LET(_xlpm.t,TRIM(Table13[[#This Row],[TICKER]]),_xlpm.k,IF(ISNUMBER(SEARCH(" ",_xlpm.t)),_xlpm.t,_xlpm.t&amp;" US"),_xlfn.XLOOKUP(_xlpm.k,TRIM(Table1[Target Ticker]),Table1[Target Industry Group])),"")</f>
        <v>Materials</v>
      </c>
      <c r="M5">
        <f>_xll.BDP($J5, "LAST_PRICE")</f>
        <v>11.4</v>
      </c>
      <c r="O5" t="str">
        <f>IF(Table13[[#This Row],[Cash/Tender/Stock/Mix]]= "Mix", "Stock", Table13[[#This Row],[Cash/Tender/Stock/Mix]])</f>
        <v>Stock</v>
      </c>
      <c r="P5" t="s">
        <v>38</v>
      </c>
    </row>
    <row r="6" spans="2:16" x14ac:dyDescent="0.25">
      <c r="B6" t="s">
        <v>55</v>
      </c>
      <c r="C6" s="4">
        <v>46188</v>
      </c>
      <c r="D6" s="6">
        <v>46447</v>
      </c>
      <c r="F6" s="2">
        <f>IF(Table13[[#This Row],[Day Ann.]]="", "", Table13[[#This Row],[Initial Close Est.]]-Table13[[#This Row],[Day Ann.]])</f>
        <v>259</v>
      </c>
      <c r="G6" s="2" t="str">
        <f>IF(Table13[[#This Row],[Actual Close]]="", "",Table13[[#This Row],[Actual Close]]-Table13[[#This Row],[Day Ann.]])</f>
        <v/>
      </c>
      <c r="H6" s="5" t="str">
        <f t="shared" si="0"/>
        <v/>
      </c>
      <c r="I6" s="5" t="str">
        <f t="shared" si="1"/>
        <v/>
      </c>
      <c r="J6" t="str">
        <f t="shared" si="2"/>
        <v>ROKU US Equity</v>
      </c>
      <c r="K6" t="str" cm="1">
        <f t="array" ref="K6">IFERROR(_xlfn.LET(_xlpm.t,TRIM(Table13[[#This Row],[TICKER]]),_xlpm.k,IF(ISNUMBER(SEARCH(" ",_xlpm.t)),_xlpm.t,_xlpm.t&amp;" US"),_xlfn.XLOOKUP(_xlpm.k,TRIM(Table1[Target Ticker]),Table1[Target Industry Sector])),"")</f>
        <v>Communications</v>
      </c>
      <c r="L6" t="str" cm="1">
        <f t="array" ref="L6">IFERROR(_xlfn.LET(_xlpm.t,TRIM(Table13[[#This Row],[TICKER]]),_xlpm.k,IF(ISNUMBER(SEARCH(" ",_xlpm.t)),_xlpm.t,_xlpm.t&amp;" US"),_xlfn.XLOOKUP(_xlpm.k,TRIM(Table1[Target Ticker]),Table1[Target Industry Group])),"")</f>
        <v>Media</v>
      </c>
      <c r="M6">
        <f>_xll.BDP($J6, "LAST_PRICE")</f>
        <v>134.66</v>
      </c>
      <c r="O6" t="str">
        <f>IF(Table13[[#This Row],[Cash/Tender/Stock/Mix]]= "Mix", "Stock", Table13[[#This Row],[Cash/Tender/Stock/Mix]])</f>
        <v>Stock</v>
      </c>
      <c r="P6" t="s">
        <v>38</v>
      </c>
    </row>
    <row r="7" spans="2:16" x14ac:dyDescent="0.25">
      <c r="B7" t="s">
        <v>411</v>
      </c>
      <c r="C7" s="4">
        <v>46188</v>
      </c>
      <c r="D7" s="6">
        <v>46522</v>
      </c>
      <c r="F7" s="2">
        <f>IF(Table13[[#This Row],[Day Ann.]]="", "", Table13[[#This Row],[Initial Close Est.]]-Table13[[#This Row],[Day Ann.]])</f>
        <v>334</v>
      </c>
      <c r="G7" s="2" t="str">
        <f>IF(Table13[[#This Row],[Actual Close]]="", "",Table13[[#This Row],[Actual Close]]-Table13[[#This Row],[Day Ann.]])</f>
        <v/>
      </c>
      <c r="H7" s="5" t="str">
        <f t="shared" si="0"/>
        <v/>
      </c>
      <c r="I7" s="5" t="str">
        <f t="shared" si="1"/>
        <v/>
      </c>
      <c r="J7" t="str">
        <f t="shared" si="2"/>
        <v>PAYO US Equity</v>
      </c>
      <c r="K7" t="str" cm="1">
        <f t="array" ref="K7">IFERROR(_xlfn.LET(_xlpm.t,TRIM(Table13[[#This Row],[TICKER]]),_xlpm.k,IF(ISNUMBER(SEARCH(" ",_xlpm.t)),_xlpm.t,_xlpm.t&amp;" US"),_xlfn.XLOOKUP(_xlpm.k,TRIM(Table1[Target Ticker]),Table1[Target Industry Sector])),"")</f>
        <v>Financials</v>
      </c>
      <c r="L7" t="str" cm="1">
        <f t="array" ref="L7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7">
        <f>_xll.BDP($J7, "LAST_PRICE")</f>
        <v>7.0449999999999999</v>
      </c>
      <c r="O7" t="str">
        <f>IF(Table13[[#This Row],[Cash/Tender/Stock/Mix]]= "Mix", "Stock", Table13[[#This Row],[Cash/Tender/Stock/Mix]])</f>
        <v>Cash</v>
      </c>
      <c r="P7" t="s">
        <v>23</v>
      </c>
    </row>
    <row r="8" spans="2:16" x14ac:dyDescent="0.25">
      <c r="B8" t="s">
        <v>162</v>
      </c>
      <c r="C8" s="4">
        <v>46181</v>
      </c>
      <c r="D8" s="6">
        <v>46217</v>
      </c>
      <c r="F8" s="2">
        <f>IF(Table13[[#This Row],[Day Ann.]]="", "", Table13[[#This Row],[Initial Close Est.]]-Table13[[#This Row],[Day Ann.]])</f>
        <v>36</v>
      </c>
      <c r="G8" s="2" t="str">
        <f>IF(Table13[[#This Row],[Actual Close]]="", "",Table13[[#This Row],[Actual Close]]-Table13[[#This Row],[Day Ann.]])</f>
        <v/>
      </c>
      <c r="H8" s="5" t="str">
        <f t="shared" si="0"/>
        <v/>
      </c>
      <c r="I8" s="5" t="str">
        <f t="shared" si="1"/>
        <v/>
      </c>
      <c r="J8" t="str">
        <f t="shared" si="2"/>
        <v>NUVL US Equity</v>
      </c>
      <c r="K8" t="str" cm="1">
        <f t="array" ref="K8">IFERROR(_xlfn.LET(_xlpm.t,TRIM(Table13[[#This Row],[TICKER]]),_xlpm.k,IF(ISNUMBER(SEARCH(" ",_xlpm.t)),_xlpm.t,_xlpm.t&amp;" US"),_xlfn.XLOOKUP(_xlpm.k,TRIM(Table1[Target Ticker]),Table1[Target Industry Sector])),"")</f>
        <v>Health Care</v>
      </c>
      <c r="L8" t="str" cm="1">
        <f t="array" ref="L8">IFERROR(_xlfn.LET(_xlpm.t,TRIM(Table13[[#This Row],[TICKER]]),_xlpm.k,IF(ISNUMBER(SEARCH(" ",_xlpm.t)),_xlpm.t,_xlpm.t&amp;" US"),_xlfn.XLOOKUP(_xlpm.k,TRIM(Table1[Target Ticker]),Table1[Target Industry Group])),"")</f>
        <v>Health Care</v>
      </c>
      <c r="M8">
        <f>_xll.BDP($J8, "LAST_PRICE")</f>
        <v>123.59</v>
      </c>
      <c r="O8" t="str">
        <f>IF(Table13[[#This Row],[Cash/Tender/Stock/Mix]]= "Mix", "Stock", Table13[[#This Row],[Cash/Tender/Stock/Mix]])</f>
        <v>Tender</v>
      </c>
      <c r="P8" t="s">
        <v>1029</v>
      </c>
    </row>
    <row r="9" spans="2:16" x14ac:dyDescent="0.25">
      <c r="B9" t="s">
        <v>1020</v>
      </c>
      <c r="C9" s="4">
        <v>46174</v>
      </c>
      <c r="D9" s="6">
        <v>46339</v>
      </c>
      <c r="F9" s="2">
        <f>IF(Table13[[#This Row],[Day Ann.]]="", "", Table13[[#This Row],[Initial Close Est.]]-Table13[[#This Row],[Day Ann.]])</f>
        <v>165</v>
      </c>
      <c r="G9" s="2" t="str">
        <f>IF(Table13[[#This Row],[Actual Close]]="", "",Table13[[#This Row],[Actual Close]]-Table13[[#This Row],[Day Ann.]])</f>
        <v/>
      </c>
      <c r="H9" s="5" t="str">
        <f t="shared" si="0"/>
        <v/>
      </c>
      <c r="I9" s="5" t="str">
        <f t="shared" si="1"/>
        <v/>
      </c>
      <c r="J9" t="str">
        <f t="shared" si="2"/>
        <v>TMHC Equity</v>
      </c>
      <c r="K9" t="str" cm="1">
        <f t="array" ref="K9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9" t="str" cm="1">
        <f t="array" ref="L9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9">
        <f>_xll.BDP($J9, "LAST_PRICE")</f>
        <v>71.944999999999993</v>
      </c>
      <c r="O9" t="str">
        <f>IF(Table13[[#This Row],[Cash/Tender/Stock/Mix]]= "Mix", "Stock", Table13[[#This Row],[Cash/Tender/Stock/Mix]])</f>
        <v>Cash</v>
      </c>
      <c r="P9" t="s">
        <v>23</v>
      </c>
    </row>
    <row r="10" spans="2:16" x14ac:dyDescent="0.25">
      <c r="B10" t="s">
        <v>1021</v>
      </c>
      <c r="C10" s="4">
        <v>46170</v>
      </c>
      <c r="D10" s="6">
        <v>46500</v>
      </c>
      <c r="F10" s="2">
        <f>IF(Table13[[#This Row],[Day Ann.]]="", "", Table13[[#This Row],[Initial Close Est.]]-Table13[[#This Row],[Day Ann.]])</f>
        <v>330</v>
      </c>
      <c r="G10" s="2" t="str">
        <f>IF(Table13[[#This Row],[Actual Close]]="", "",Table13[[#This Row],[Actual Close]]-Table13[[#This Row],[Day Ann.]])</f>
        <v/>
      </c>
      <c r="H10" s="5" t="str">
        <f t="shared" si="0"/>
        <v/>
      </c>
      <c r="I10" s="5" t="str">
        <f t="shared" si="1"/>
        <v/>
      </c>
      <c r="J10" t="str">
        <f t="shared" si="2"/>
        <v>CZR Equity</v>
      </c>
      <c r="K10" t="str" cm="1">
        <f t="array" ref="K10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0" t="str" cm="1">
        <f t="array" ref="L10">IFERROR(_xlfn.LET(_xlpm.t,TRIM(Table13[[#This Row],[TICKER]]),_xlpm.k,IF(ISNUMBER(SEARCH(" ",_xlpm.t)),_xlpm.t,_xlpm.t&amp;" US"),_xlfn.XLOOKUP(_xlpm.k,TRIM(Table1[Target Ticker]),Table1[Target Industry Group])),"")</f>
        <v>Consumer Discretionary Services</v>
      </c>
      <c r="M10">
        <f>_xll.BDP($J10, "LAST_PRICE")</f>
        <v>30.625</v>
      </c>
      <c r="O10" t="str">
        <f>IF(Table13[[#This Row],[Cash/Tender/Stock/Mix]]= "Mix", "Stock", Table13[[#This Row],[Cash/Tender/Stock/Mix]])</f>
        <v>Cash</v>
      </c>
      <c r="P10" t="s">
        <v>23</v>
      </c>
    </row>
    <row r="11" spans="2:16" x14ac:dyDescent="0.25">
      <c r="B11" t="s">
        <v>809</v>
      </c>
      <c r="C11" s="4">
        <v>46161</v>
      </c>
      <c r="D11" s="6">
        <v>46241</v>
      </c>
      <c r="F11" s="2">
        <f>IF(Table13[[#This Row],[Day Ann.]]="", "", Table13[[#This Row],[Initial Close Est.]]-Table13[[#This Row],[Day Ann.]])</f>
        <v>80</v>
      </c>
      <c r="G11" s="2" t="str">
        <f>IF(Table13[[#This Row],[Actual Close]]="", "",Table13[[#This Row],[Actual Close]]-Table13[[#This Row],[Day Ann.]])</f>
        <v/>
      </c>
      <c r="H11" s="5" t="str">
        <f t="shared" si="0"/>
        <v/>
      </c>
      <c r="I11" s="5" t="str">
        <f t="shared" si="1"/>
        <v/>
      </c>
      <c r="J11" t="str">
        <f t="shared" si="2"/>
        <v>ISC CN Equity</v>
      </c>
      <c r="K11" t="str" cm="1">
        <f t="array" ref="K11">IFERROR(_xlfn.LET(_xlpm.t,TRIM(Table13[[#This Row],[TICKER]]),_xlpm.k,IF(ISNUMBER(SEARCH(" ",_xlpm.t)),_xlpm.t,_xlpm.t&amp;" US"),_xlfn.XLOOKUP(_xlpm.k,TRIM(Table1[Target Ticker]),Table1[Target Industry Sector])),"")</f>
        <v>Industrials</v>
      </c>
      <c r="L11" t="str" cm="1">
        <f t="array" ref="L11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1">
        <f>_xll.BDP($J11, "LAST_PRICE")</f>
        <v>50.96</v>
      </c>
      <c r="O11" t="str">
        <f>IF(Table13[[#This Row],[Cash/Tender/Stock/Mix]]= "Mix", "Stock", Table13[[#This Row],[Cash/Tender/Stock/Mix]])</f>
        <v>Cash</v>
      </c>
      <c r="P11" t="s">
        <v>23</v>
      </c>
    </row>
    <row r="12" spans="2:16" x14ac:dyDescent="0.25">
      <c r="B12" t="s">
        <v>1022</v>
      </c>
      <c r="C12" s="4">
        <v>46160</v>
      </c>
      <c r="D12" s="6">
        <v>46631</v>
      </c>
      <c r="F12" s="2">
        <f>IF(Table13[[#This Row],[Day Ann.]]="", "", Table13[[#This Row],[Initial Close Est.]]-Table13[[#This Row],[Day Ann.]])</f>
        <v>471</v>
      </c>
      <c r="G12" s="2" t="str">
        <f>IF(Table13[[#This Row],[Actual Close]]="", "",Table13[[#This Row],[Actual Close]]-Table13[[#This Row],[Day Ann.]])</f>
        <v/>
      </c>
      <c r="H12" s="5" t="str">
        <f t="shared" si="0"/>
        <v/>
      </c>
      <c r="I12" s="5" t="str">
        <f t="shared" si="1"/>
        <v/>
      </c>
      <c r="J12" t="str">
        <f t="shared" si="2"/>
        <v>D Equity</v>
      </c>
      <c r="K12" t="str" cm="1">
        <f t="array" ref="K12">IFERROR(_xlfn.LET(_xlpm.t,TRIM(Table13[[#This Row],[TICKER]]),_xlpm.k,IF(ISNUMBER(SEARCH(" ",_xlpm.t)),_xlpm.t,_xlpm.t&amp;" US"),_xlfn.XLOOKUP(_xlpm.k,TRIM(Table1[Target Ticker]),Table1[Target Industry Sector])),"")</f>
        <v>Utilities</v>
      </c>
      <c r="L12" t="str" cm="1">
        <f t="array" ref="L12">IFERROR(_xlfn.LET(_xlpm.t,TRIM(Table13[[#This Row],[TICKER]]),_xlpm.k,IF(ISNUMBER(SEARCH(" ",_xlpm.t)),_xlpm.t,_xlpm.t&amp;" US"),_xlfn.XLOOKUP(_xlpm.k,TRIM(Table1[Target Ticker]),Table1[Target Industry Group])),"")</f>
        <v>Utilities</v>
      </c>
      <c r="M12">
        <f>_xll.BDP($J12, "LAST_PRICE")</f>
        <v>69.260000000000005</v>
      </c>
      <c r="O12" t="str">
        <f>IF(Table13[[#This Row],[Cash/Tender/Stock/Mix]]= "Mix", "Stock", Table13[[#This Row],[Cash/Tender/Stock/Mix]])</f>
        <v>Stock</v>
      </c>
      <c r="P12" t="s">
        <v>38</v>
      </c>
    </row>
    <row r="13" spans="2:16" x14ac:dyDescent="0.25">
      <c r="B13" t="s">
        <v>1023</v>
      </c>
      <c r="C13" s="4">
        <v>46160</v>
      </c>
      <c r="D13" s="6">
        <v>46299</v>
      </c>
      <c r="F13" s="2">
        <f>IF(Table13[[#This Row],[Day Ann.]]="", "", Table13[[#This Row],[Initial Close Est.]]-Table13[[#This Row],[Day Ann.]])</f>
        <v>139</v>
      </c>
      <c r="G13" s="2" t="str">
        <f>IF(Table13[[#This Row],[Actual Close]]="", "",Table13[[#This Row],[Actual Close]]-Table13[[#This Row],[Day Ann.]])</f>
        <v/>
      </c>
      <c r="H13" s="5" t="str">
        <f t="shared" si="0"/>
        <v/>
      </c>
      <c r="I13" s="5" t="str">
        <f t="shared" si="1"/>
        <v/>
      </c>
      <c r="J13" t="str">
        <f t="shared" si="2"/>
        <v>RAMP Equity</v>
      </c>
      <c r="K13" t="str" cm="1">
        <f t="array" ref="K13">IFERROR(_xlfn.LET(_xlpm.t,TRIM(Table13[[#This Row],[TICKER]]),_xlpm.k,IF(ISNUMBER(SEARCH(" ",_xlpm.t)),_xlpm.t,_xlpm.t&amp;" US"),_xlfn.XLOOKUP(_xlpm.k,TRIM(Table1[Target Ticker]),Table1[Target Industry Sector])),"")</f>
        <v>Technology</v>
      </c>
      <c r="L13" t="str" cm="1">
        <f t="array" ref="L13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3">
        <f>_xll.BDP($J13, "LAST_PRICE")</f>
        <v>37.409999999999997</v>
      </c>
      <c r="O13" t="str">
        <f>IF(Table13[[#This Row],[Cash/Tender/Stock/Mix]]= "Mix", "Stock", Table13[[#This Row],[Cash/Tender/Stock/Mix]])</f>
        <v>Cash</v>
      </c>
      <c r="P13" t="s">
        <v>23</v>
      </c>
    </row>
    <row r="14" spans="2:16" x14ac:dyDescent="0.25">
      <c r="B14" t="s">
        <v>276</v>
      </c>
      <c r="C14" s="4">
        <v>46155</v>
      </c>
      <c r="D14" s="6">
        <v>46266</v>
      </c>
      <c r="F14" s="2">
        <f>IF(Table13[[#This Row],[Day Ann.]]="", "", Table13[[#This Row],[Initial Close Est.]]-Table13[[#This Row],[Day Ann.]])</f>
        <v>111</v>
      </c>
      <c r="G14" s="2" t="str">
        <f>IF(Table13[[#This Row],[Actual Close]]="", "",Table13[[#This Row],[Actual Close]]-Table13[[#This Row],[Day Ann.]])</f>
        <v/>
      </c>
      <c r="H14" s="5" t="str">
        <f t="shared" si="0"/>
        <v/>
      </c>
      <c r="I14" s="5" t="str">
        <f t="shared" si="1"/>
        <v/>
      </c>
      <c r="J14" t="str">
        <f t="shared" si="2"/>
        <v>OLA CN Equity</v>
      </c>
      <c r="K14" t="str" cm="1">
        <f t="array" ref="K14">IFERROR(_xlfn.LET(_xlpm.t,TRIM(Table13[[#This Row],[TICKER]]),_xlpm.k,IF(ISNUMBER(SEARCH(" ",_xlpm.t)),_xlpm.t,_xlpm.t&amp;" US"),_xlfn.XLOOKUP(_xlpm.k,TRIM(Table1[Target Ticker]),Table1[Target Industry Sector])),"")</f>
        <v>Materials</v>
      </c>
      <c r="L14" t="str" cm="1">
        <f t="array" ref="L14">IFERROR(_xlfn.LET(_xlpm.t,TRIM(Table13[[#This Row],[TICKER]]),_xlpm.k,IF(ISNUMBER(SEARCH(" ",_xlpm.t)),_xlpm.t,_xlpm.t&amp;" US"),_xlfn.XLOOKUP(_xlpm.k,TRIM(Table1[Target Ticker]),Table1[Target Industry Group])),"")</f>
        <v>Materials</v>
      </c>
      <c r="M14">
        <f>_xll.BDP($J14, "LAST_PRICE")</f>
        <v>13.62</v>
      </c>
      <c r="O14" t="str">
        <f>IF(Table13[[#This Row],[Cash/Tender/Stock/Mix]]= "Mix", "Stock", Table13[[#This Row],[Cash/Tender/Stock/Mix]])</f>
        <v>Stock</v>
      </c>
      <c r="P14" t="s">
        <v>38</v>
      </c>
    </row>
    <row r="15" spans="2:16" x14ac:dyDescent="0.25">
      <c r="B15" t="s">
        <v>1024</v>
      </c>
      <c r="C15" s="4">
        <v>46149</v>
      </c>
      <c r="D15" s="6">
        <v>46224</v>
      </c>
      <c r="F15" s="2">
        <f>IF(Table13[[#This Row],[Day Ann.]]="", "", Table13[[#This Row],[Initial Close Est.]]-Table13[[#This Row],[Day Ann.]])</f>
        <v>75</v>
      </c>
      <c r="G15" s="2" t="str">
        <f>IF(Table13[[#This Row],[Actual Close]]="", "",Table13[[#This Row],[Actual Close]]-Table13[[#This Row],[Day Ann.]])</f>
        <v/>
      </c>
      <c r="H15" s="5" t="str">
        <f t="shared" si="0"/>
        <v/>
      </c>
      <c r="I15" s="5" t="str">
        <f t="shared" si="1"/>
        <v/>
      </c>
      <c r="J15" t="str">
        <f t="shared" si="2"/>
        <v>CPRX Equity</v>
      </c>
      <c r="K15" t="str" cm="1">
        <f t="array" ref="K15">IFERROR(_xlfn.LET(_xlpm.t,TRIM(Table13[[#This Row],[TICKER]]),_xlpm.k,IF(ISNUMBER(SEARCH(" ",_xlpm.t)),_xlpm.t,_xlpm.t&amp;" US"),_xlfn.XLOOKUP(_xlpm.k,TRIM(Table1[Target Ticker]),Table1[Target Industry Sector])),"")</f>
        <v>Health Care</v>
      </c>
      <c r="L15" t="str" cm="1">
        <f t="array" ref="L15">IFERROR(_xlfn.LET(_xlpm.t,TRIM(Table13[[#This Row],[TICKER]]),_xlpm.k,IF(ISNUMBER(SEARCH(" ",_xlpm.t)),_xlpm.t,_xlpm.t&amp;" US"),_xlfn.XLOOKUP(_xlpm.k,TRIM(Table1[Target Ticker]),Table1[Target Industry Group])),"")</f>
        <v>Health Care</v>
      </c>
      <c r="M15">
        <f>_xll.BDP($J15, "LAST_PRICE")</f>
        <v>31.425000000000001</v>
      </c>
      <c r="O15" t="str">
        <f>IF(Table13[[#This Row],[Cash/Tender/Stock/Mix]]= "Mix", "Stock", Table13[[#This Row],[Cash/Tender/Stock/Mix]])</f>
        <v>Cash</v>
      </c>
      <c r="P15" t="s">
        <v>23</v>
      </c>
    </row>
    <row r="16" spans="2:16" x14ac:dyDescent="0.25">
      <c r="B16" t="s">
        <v>1025</v>
      </c>
      <c r="C16" s="4">
        <v>46149</v>
      </c>
      <c r="D16" s="6">
        <v>46248</v>
      </c>
      <c r="F16" s="2">
        <f>IF(Table13[[#This Row],[Day Ann.]]="", "", Table13[[#This Row],[Initial Close Est.]]-Table13[[#This Row],[Day Ann.]])</f>
        <v>99</v>
      </c>
      <c r="G16" s="2" t="str">
        <f>IF(Table13[[#This Row],[Actual Close]]="", "",Table13[[#This Row],[Actual Close]]-Table13[[#This Row],[Day Ann.]])</f>
        <v/>
      </c>
      <c r="H16" s="5" t="str">
        <f t="shared" si="0"/>
        <v/>
      </c>
      <c r="I16" s="5" t="str">
        <f t="shared" si="1"/>
        <v/>
      </c>
      <c r="J16" t="str">
        <f t="shared" si="2"/>
        <v>CCRN Equity</v>
      </c>
      <c r="K16" t="str" cm="1">
        <f t="array" ref="K16">IFERROR(_xlfn.LET(_xlpm.t,TRIM(Table13[[#This Row],[TICKER]]),_xlpm.k,IF(ISNUMBER(SEARCH(" ",_xlpm.t)),_xlpm.t,_xlpm.t&amp;" US"),_xlfn.XLOOKUP(_xlpm.k,TRIM(Table1[Target Ticker]),Table1[Target Industry Sector])),"")</f>
        <v/>
      </c>
      <c r="L16" t="str" cm="1">
        <f t="array" ref="L16">IFERROR(_xlfn.LET(_xlpm.t,TRIM(Table13[[#This Row],[TICKER]]),_xlpm.k,IF(ISNUMBER(SEARCH(" ",_xlpm.t)),_xlpm.t,_xlpm.t&amp;" US"),_xlfn.XLOOKUP(_xlpm.k,TRIM(Table1[Target Ticker]),Table1[Target Industry Group])),"")</f>
        <v/>
      </c>
      <c r="M16">
        <f>_xll.BDP($J16, "LAST_PRICE")</f>
        <v>13.19</v>
      </c>
      <c r="O16" t="str">
        <f>IF(Table13[[#This Row],[Cash/Tender/Stock/Mix]]= "Mix", "Stock", Table13[[#This Row],[Cash/Tender/Stock/Mix]])</f>
        <v>Cash</v>
      </c>
      <c r="P16" t="s">
        <v>23</v>
      </c>
    </row>
    <row r="17" spans="2:20" x14ac:dyDescent="0.25">
      <c r="B17" t="s">
        <v>1026</v>
      </c>
      <c r="C17" s="4">
        <v>46146</v>
      </c>
      <c r="D17" s="6">
        <v>46237</v>
      </c>
      <c r="F17" s="2">
        <f>IF(Table13[[#This Row],[Day Ann.]]="", "", Table13[[#This Row],[Initial Close Est.]]-Table13[[#This Row],[Day Ann.]])</f>
        <v>91</v>
      </c>
      <c r="G17" s="2" t="str">
        <f>IF(Table13[[#This Row],[Actual Close]]="", "",Table13[[#This Row],[Actual Close]]-Table13[[#This Row],[Day Ann.]])</f>
        <v/>
      </c>
      <c r="H17" s="5" t="str">
        <f t="shared" si="0"/>
        <v/>
      </c>
      <c r="I17" s="5" t="str">
        <f t="shared" si="1"/>
        <v/>
      </c>
      <c r="J17" t="str">
        <f t="shared" si="2"/>
        <v>GBTG Equity</v>
      </c>
      <c r="K17" t="str" cm="1">
        <f t="array" ref="K17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7" t="str" cm="1">
        <f t="array" ref="L17">IFERROR(_xlfn.LET(_xlpm.t,TRIM(Table13[[#This Row],[TICKER]]),_xlpm.k,IF(ISNUMBER(SEARCH(" ",_xlpm.t)),_xlpm.t,_xlpm.t&amp;" US"),_xlfn.XLOOKUP(_xlpm.k,TRIM(Table1[Target Ticker]),Table1[Target Industry Group])),"")</f>
        <v>Consumer Discretionary Services</v>
      </c>
      <c r="M17">
        <f>_xll.BDP($J17, "LAST_PRICE")</f>
        <v>9.3800000000000008</v>
      </c>
      <c r="O17" t="str">
        <f>IF(Table13[[#This Row],[Cash/Tender/Stock/Mix]]= "Mix", "Stock", Table13[[#This Row],[Cash/Tender/Stock/Mix]])</f>
        <v>Cash</v>
      </c>
      <c r="P17" t="s">
        <v>23</v>
      </c>
    </row>
    <row r="18" spans="2:20" x14ac:dyDescent="0.25">
      <c r="B18" t="s">
        <v>1027</v>
      </c>
      <c r="C18" s="4">
        <v>46143</v>
      </c>
      <c r="D18" s="6">
        <v>46235</v>
      </c>
      <c r="F18" s="2">
        <f>IF(Table13[[#This Row],[Day Ann.]]="", "", Table13[[#This Row],[Initial Close Est.]]-Table13[[#This Row],[Day Ann.]])</f>
        <v>92</v>
      </c>
      <c r="G18" s="2" t="str">
        <f>IF(Table13[[#This Row],[Actual Close]]="", "",Table13[[#This Row],[Actual Close]]-Table13[[#This Row],[Day Ann.]])</f>
        <v/>
      </c>
      <c r="H18" s="5" t="str">
        <f t="shared" si="0"/>
        <v/>
      </c>
      <c r="I18" s="5" t="str">
        <f t="shared" si="1"/>
        <v/>
      </c>
      <c r="J18" t="str">
        <f t="shared" si="2"/>
        <v>ESPR Equity</v>
      </c>
      <c r="K18" t="str" cm="1">
        <f t="array" ref="K18">IFERROR(_xlfn.LET(_xlpm.t,TRIM(Table13[[#This Row],[TICKER]]),_xlpm.k,IF(ISNUMBER(SEARCH(" ",_xlpm.t)),_xlpm.t,_xlpm.t&amp;" US"),_xlfn.XLOOKUP(_xlpm.k,TRIM(Table1[Target Ticker]),Table1[Target Industry Sector])),"")</f>
        <v>Health Care</v>
      </c>
      <c r="L18" t="str" cm="1">
        <f t="array" ref="L18">IFERROR(_xlfn.LET(_xlpm.t,TRIM(Table13[[#This Row],[TICKER]]),_xlpm.k,IF(ISNUMBER(SEARCH(" ",_xlpm.t)),_xlpm.t,_xlpm.t&amp;" US"),_xlfn.XLOOKUP(_xlpm.k,TRIM(Table1[Target Ticker]),Table1[Target Industry Group])),"")</f>
        <v>Health Care</v>
      </c>
      <c r="M18">
        <f>_xll.BDP($J18, "LAST_PRICE")</f>
        <v>3.1549999999999998</v>
      </c>
      <c r="O18" t="str">
        <f>IF(Table13[[#This Row],[Cash/Tender/Stock/Mix]]= "Mix", "Stock", Table13[[#This Row],[Cash/Tender/Stock/Mix]])</f>
        <v>Cash</v>
      </c>
      <c r="P18" t="s">
        <v>23</v>
      </c>
    </row>
    <row r="19" spans="2:20" x14ac:dyDescent="0.25">
      <c r="B19" t="s">
        <v>1028</v>
      </c>
      <c r="C19" s="4">
        <v>46141</v>
      </c>
      <c r="D19" s="6">
        <v>46209</v>
      </c>
      <c r="F19" s="2">
        <f>IF(Table13[[#This Row],[Day Ann.]]="", "", Table13[[#This Row],[Initial Close Est.]]-Table13[[#This Row],[Day Ann.]])</f>
        <v>68</v>
      </c>
      <c r="G19" s="2" t="str">
        <f>IF(Table13[[#This Row],[Actual Close]]="", "",Table13[[#This Row],[Actual Close]]-Table13[[#This Row],[Day Ann.]])</f>
        <v/>
      </c>
      <c r="H19" s="5" t="str">
        <f t="shared" si="0"/>
        <v/>
      </c>
      <c r="I19" s="5" t="str">
        <f t="shared" si="1"/>
        <v/>
      </c>
      <c r="J19" t="str">
        <f t="shared" si="2"/>
        <v>KALV Equity</v>
      </c>
      <c r="K19" t="str" cm="1">
        <f t="array" ref="K19">IFERROR(_xlfn.LET(_xlpm.t,TRIM(Table13[[#This Row],[TICKER]]),_xlpm.k,IF(ISNUMBER(SEARCH(" ",_xlpm.t)),_xlpm.t,_xlpm.t&amp;" US"),_xlfn.XLOOKUP(_xlpm.k,TRIM(Table1[Target Ticker]),Table1[Target Industry Sector])),"")</f>
        <v>Health Care</v>
      </c>
      <c r="L19" t="str" cm="1">
        <f t="array" ref="L19">IFERROR(_xlfn.LET(_xlpm.t,TRIM(Table13[[#This Row],[TICKER]]),_xlpm.k,IF(ISNUMBER(SEARCH(" ",_xlpm.t)),_xlpm.t,_xlpm.t&amp;" US"),_xlfn.XLOOKUP(_xlpm.k,TRIM(Table1[Target Ticker]),Table1[Target Industry Group])),"")</f>
        <v>Health Care</v>
      </c>
      <c r="M19" t="str">
        <f>_xll.BDP($J19, "LAST_PRICE")</f>
        <v>#N/A Real Time</v>
      </c>
      <c r="O19" t="str">
        <f>IF(Table13[[#This Row],[Cash/Tender/Stock/Mix]]= "Mix", "Stock", Table13[[#This Row],[Cash/Tender/Stock/Mix]])</f>
        <v>Tender</v>
      </c>
      <c r="P19" t="s">
        <v>1029</v>
      </c>
    </row>
    <row r="20" spans="2:20" x14ac:dyDescent="0.25">
      <c r="B20" t="s">
        <v>1030</v>
      </c>
      <c r="C20" s="4">
        <v>46139</v>
      </c>
      <c r="D20" s="6" t="s">
        <v>1031</v>
      </c>
      <c r="F20" s="2">
        <f>IF(Table13[[#This Row],[Day Ann.]]="", "", Table13[[#This Row],[Initial Close Est.]]-Table13[[#This Row],[Day Ann.]])</f>
        <v>294</v>
      </c>
      <c r="G20" s="2" t="str">
        <f>IF(Table13[[#This Row],[Actual Close]]="", "",Table13[[#This Row],[Actual Close]]-Table13[[#This Row],[Day Ann.]])</f>
        <v/>
      </c>
      <c r="H20" s="5" t="str">
        <f t="shared" si="0"/>
        <v/>
      </c>
      <c r="I20" s="5" t="str">
        <f t="shared" si="1"/>
        <v/>
      </c>
      <c r="J20" t="str">
        <f t="shared" si="2"/>
        <v>OGN  Equity</v>
      </c>
      <c r="K20" t="str" cm="1">
        <f t="array" ref="K20">IFERROR(_xlfn.LET(_xlpm.t,TRIM(Table13[[#This Row],[TICKER]]),_xlpm.k,IF(ISNUMBER(SEARCH(" ",_xlpm.t)),_xlpm.t,_xlpm.t&amp;" US"),_xlfn.XLOOKUP(_xlpm.k,TRIM(Table1[Target Ticker]),Table1[Target Industry Sector])),"")</f>
        <v>Health Care</v>
      </c>
      <c r="L20" t="str" cm="1">
        <f t="array" ref="L20">IFERROR(_xlfn.LET(_xlpm.t,TRIM(Table13[[#This Row],[TICKER]]),_xlpm.k,IF(ISNUMBER(SEARCH(" ",_xlpm.t)),_xlpm.t,_xlpm.t&amp;" US"),_xlfn.XLOOKUP(_xlpm.k,TRIM(Table1[Target Ticker]),Table1[Target Industry Group])),"")</f>
        <v>Health Care</v>
      </c>
      <c r="M20">
        <f>_xll.BDP($J20, "LAST_PRICE")</f>
        <v>13.47</v>
      </c>
      <c r="O20" t="str">
        <f>IF(Table13[[#This Row],[Cash/Tender/Stock/Mix]]= "Mix", "Stock", Table13[[#This Row],[Cash/Tender/Stock/Mix]])</f>
        <v>Cash</v>
      </c>
      <c r="P20" t="s">
        <v>23</v>
      </c>
    </row>
    <row r="21" spans="2:20" x14ac:dyDescent="0.25">
      <c r="B21" t="s">
        <v>1032</v>
      </c>
      <c r="C21" s="4">
        <v>46139</v>
      </c>
      <c r="D21" s="6" t="s">
        <v>1033</v>
      </c>
      <c r="F21" s="2">
        <f>IF(Table13[[#This Row],[Day Ann.]]="", "", Table13[[#This Row],[Initial Close Est.]]-Table13[[#This Row],[Day Ann.]])</f>
        <v>84</v>
      </c>
      <c r="G21" s="2" t="str">
        <f>IF(Table13[[#This Row],[Actual Close]]="", "",Table13[[#This Row],[Actual Close]]-Table13[[#This Row],[Day Ann.]])</f>
        <v/>
      </c>
      <c r="H21" s="5" t="str">
        <f t="shared" si="0"/>
        <v/>
      </c>
      <c r="I21" s="5" t="str">
        <f t="shared" si="1"/>
        <v/>
      </c>
      <c r="J21" t="str">
        <f t="shared" si="2"/>
        <v>XOMA Equity</v>
      </c>
      <c r="K21" t="str" cm="1">
        <f t="array" ref="K21">IFERROR(_xlfn.LET(_xlpm.t,TRIM(Table13[[#This Row],[TICKER]]),_xlpm.k,IF(ISNUMBER(SEARCH(" ",_xlpm.t)),_xlpm.t,_xlpm.t&amp;" US"),_xlfn.XLOOKUP(_xlpm.k,TRIM(Table1[Target Ticker]),Table1[Target Industry Sector])),"")</f>
        <v>Health Care</v>
      </c>
      <c r="L21" t="str" cm="1">
        <f t="array" ref="L21">IFERROR(_xlfn.LET(_xlpm.t,TRIM(Table13[[#This Row],[TICKER]]),_xlpm.k,IF(ISNUMBER(SEARCH(" ",_xlpm.t)),_xlpm.t,_xlpm.t&amp;" US"),_xlfn.XLOOKUP(_xlpm.k,TRIM(Table1[Target Ticker]),Table1[Target Industry Group])),"")</f>
        <v>Health Care</v>
      </c>
      <c r="M21">
        <f>_xll.BDP($J21, "LAST_PRICE")</f>
        <v>42.05</v>
      </c>
      <c r="O21" t="str">
        <f>IF(Table13[[#This Row],[Cash/Tender/Stock/Mix]]= "Mix", "Stock", Table13[[#This Row],[Cash/Tender/Stock/Mix]])</f>
        <v>Cash</v>
      </c>
      <c r="P21" t="s">
        <v>23</v>
      </c>
    </row>
    <row r="22" spans="2:20" x14ac:dyDescent="0.25">
      <c r="B22" t="s">
        <v>1034</v>
      </c>
      <c r="C22" s="4">
        <v>46139</v>
      </c>
      <c r="D22" s="6" t="s">
        <v>1035</v>
      </c>
      <c r="F22" s="2">
        <f>IF(Table13[[#This Row],[Day Ann.]]="", "", Table13[[#This Row],[Initial Close Est.]]-Table13[[#This Row],[Day Ann.]])</f>
        <v>212</v>
      </c>
      <c r="G22" s="2" t="str">
        <f>IF(Table13[[#This Row],[Actual Close]]="", "",Table13[[#This Row],[Actual Close]]-Table13[[#This Row],[Day Ann.]])</f>
        <v/>
      </c>
      <c r="H22" s="5" t="str">
        <f t="shared" si="0"/>
        <v/>
      </c>
      <c r="I22" s="5" t="str">
        <f t="shared" si="1"/>
        <v/>
      </c>
      <c r="J22" t="str">
        <f t="shared" si="2"/>
        <v>ARX Equity</v>
      </c>
      <c r="K22" t="str" cm="1">
        <f t="array" ref="K22">IFERROR(_xlfn.LET(_xlpm.t,TRIM(Table13[[#This Row],[TICKER]]),_xlpm.k,IF(ISNUMBER(SEARCH(" ",_xlpm.t)),_xlpm.t,_xlpm.t&amp;" US"),_xlfn.XLOOKUP(_xlpm.k,TRIM(Table1[Target Ticker]),Table1[Target Industry Sector])),"")</f>
        <v/>
      </c>
      <c r="L22" t="str" cm="1">
        <f t="array" ref="L22">IFERROR(_xlfn.LET(_xlpm.t,TRIM(Table13[[#This Row],[TICKER]]),_xlpm.k,IF(ISNUMBER(SEARCH(" ",_xlpm.t)),_xlpm.t,_xlpm.t&amp;" US"),_xlfn.XLOOKUP(_xlpm.k,TRIM(Table1[Target Ticker]),Table1[Target Industry Group])),"")</f>
        <v/>
      </c>
      <c r="M22">
        <f>_xll.BDP($J22, "LAST_PRICE")</f>
        <v>13.14</v>
      </c>
      <c r="O22" t="str">
        <f>IF(Table13[[#This Row],[Cash/Tender/Stock/Mix]]= "Mix", "Stock", Table13[[#This Row],[Cash/Tender/Stock/Mix]])</f>
        <v>Cash</v>
      </c>
      <c r="P22" t="s">
        <v>23</v>
      </c>
    </row>
    <row r="23" spans="2:20" x14ac:dyDescent="0.25">
      <c r="B23" t="s">
        <v>1036</v>
      </c>
      <c r="C23" s="4">
        <v>46132</v>
      </c>
      <c r="D23" s="4">
        <v>46212</v>
      </c>
      <c r="F23" s="2">
        <f>IF(Table13[[#This Row],[Day Ann.]]="", "", Table13[[#This Row],[Initial Close Est.]]-Table13[[#This Row],[Day Ann.]])</f>
        <v>80</v>
      </c>
      <c r="G23" s="2" t="str">
        <f>IF(Table13[[#This Row],[Actual Close]]="", "",Table13[[#This Row],[Actual Close]]-Table13[[#This Row],[Day Ann.]])</f>
        <v/>
      </c>
      <c r="H23" s="5" t="str">
        <f t="shared" si="0"/>
        <v/>
      </c>
      <c r="I23" s="5" t="str">
        <f t="shared" si="1"/>
        <v/>
      </c>
      <c r="J23" t="str">
        <f t="shared" si="2"/>
        <v>SILA Equity</v>
      </c>
      <c r="K23" t="str" cm="1">
        <f t="array" ref="K23">IFERROR(_xlfn.LET(_xlpm.t,TRIM(Table13[[#This Row],[TICKER]]),_xlpm.k,IF(ISNUMBER(SEARCH(" ",_xlpm.t)),_xlpm.t,_xlpm.t&amp;" US"),_xlfn.XLOOKUP(_xlpm.k,TRIM(Table1[Target Ticker]),Table1[Target Industry Sector])),"")</f>
        <v>Real Estate</v>
      </c>
      <c r="L23" t="str" cm="1">
        <f t="array" ref="L23">IFERROR(_xlfn.LET(_xlpm.t,TRIM(Table13[[#This Row],[TICKER]]),_xlpm.k,IF(ISNUMBER(SEARCH(" ",_xlpm.t)),_xlpm.t,_xlpm.t&amp;" US"),_xlfn.XLOOKUP(_xlpm.k,TRIM(Table1[Target Ticker]),Table1[Target Industry Group])),"")</f>
        <v>Real Estate</v>
      </c>
      <c r="M23">
        <f>_xll.BDP($J23, "LAST_PRICE")</f>
        <v>30.344999999999999</v>
      </c>
      <c r="O23" t="str">
        <f>IF(Table13[[#This Row],[Cash/Tender/Stock/Mix]]= "Mix", "Stock", Table13[[#This Row],[Cash/Tender/Stock/Mix]])</f>
        <v>Cash</v>
      </c>
      <c r="P23" t="s">
        <v>23</v>
      </c>
    </row>
    <row r="24" spans="2:20" x14ac:dyDescent="0.25">
      <c r="B24" t="s">
        <v>1037</v>
      </c>
      <c r="C24" s="4">
        <v>46132</v>
      </c>
      <c r="D24" s="4">
        <v>46241</v>
      </c>
      <c r="F24" s="2">
        <f>IF(Table13[[#This Row],[Day Ann.]]="", "", Table13[[#This Row],[Initial Close Est.]]-Table13[[#This Row],[Day Ann.]])</f>
        <v>109</v>
      </c>
      <c r="G24" s="2" t="str">
        <f>IF(Table13[[#This Row],[Actual Close]]="", "",Table13[[#This Row],[Actual Close]]-Table13[[#This Row],[Day Ann.]])</f>
        <v/>
      </c>
      <c r="H24" s="5" t="str">
        <f t="shared" si="0"/>
        <v/>
      </c>
      <c r="I24" s="5" t="str">
        <f t="shared" si="1"/>
        <v/>
      </c>
      <c r="J24" t="str">
        <f t="shared" si="2"/>
        <v>BLD Equity</v>
      </c>
      <c r="K24" t="str" cm="1">
        <f t="array" ref="K24">IFERROR(_xlfn.LET(_xlpm.t,TRIM(Table13[[#This Row],[TICKER]]),_xlpm.k,IF(ISNUMBER(SEARCH(" ",_xlpm.t)),_xlpm.t,_xlpm.t&amp;" US"),_xlfn.XLOOKUP(_xlpm.k,TRIM(Table1[Target Ticker]),Table1[Target Industry Sector])),"")</f>
        <v>Industrials</v>
      </c>
      <c r="L24" t="str" cm="1">
        <f t="array" ref="L24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24">
        <f>_xll.BDP($J24, "LAST_PRICE")</f>
        <v>419.99</v>
      </c>
      <c r="O24" t="str">
        <f>IF(Table13[[#This Row],[Cash/Tender/Stock/Mix]]= "Mix", "Stock", Table13[[#This Row],[Cash/Tender/Stock/Mix]])</f>
        <v>Stock</v>
      </c>
      <c r="P24" t="s">
        <v>1038</v>
      </c>
    </row>
    <row r="25" spans="2:20" x14ac:dyDescent="0.25">
      <c r="B25" t="s">
        <v>1039</v>
      </c>
      <c r="C25" s="4">
        <v>46132</v>
      </c>
      <c r="D25" s="4">
        <v>46212</v>
      </c>
      <c r="E25" s="4">
        <v>46191</v>
      </c>
      <c r="F25" s="2">
        <f>IF(Table13[[#This Row],[Day Ann.]]="", "", Table13[[#This Row],[Initial Close Est.]]-Table13[[#This Row],[Day Ann.]])</f>
        <v>80</v>
      </c>
      <c r="G25" s="2">
        <f>IF(Table13[[#This Row],[Actual Close]]="", "",Table13[[#This Row],[Actual Close]]-Table13[[#This Row],[Day Ann.]])</f>
        <v>59</v>
      </c>
      <c r="H25" s="5">
        <f t="shared" si="0"/>
        <v>-21</v>
      </c>
      <c r="I25" s="5">
        <f t="shared" si="1"/>
        <v>21</v>
      </c>
      <c r="J25" t="str">
        <f t="shared" si="2"/>
        <v>RUP CN  Equity</v>
      </c>
      <c r="K25" t="str" cm="1">
        <f t="array" ref="K25">IFERROR(_xlfn.LET(_xlpm.t,TRIM(Table13[[#This Row],[TICKER]]),_xlpm.k,IF(ISNUMBER(SEARCH(" ",_xlpm.t)),_xlpm.t,_xlpm.t&amp;" US"),_xlfn.XLOOKUP(_xlpm.k,TRIM(Table1[Target Ticker]),Table1[Target Industry Sector])),"")</f>
        <v>Materials</v>
      </c>
      <c r="L25" t="str" cm="1">
        <f t="array" ref="L25">IFERROR(_xlfn.LET(_xlpm.t,TRIM(Table13[[#This Row],[TICKER]]),_xlpm.k,IF(ISNUMBER(SEARCH(" ",_xlpm.t)),_xlpm.t,_xlpm.t&amp;" US"),_xlfn.XLOOKUP(_xlpm.k,TRIM(Table1[Target Ticker]),Table1[Target Industry Group])),"")</f>
        <v>Materials</v>
      </c>
      <c r="M25" t="str">
        <f>_xll.BDP($J25, "LAST_PRICE")</f>
        <v>#N/A Real Time</v>
      </c>
      <c r="O25" t="str">
        <f>IF(Table13[[#This Row],[Cash/Tender/Stock/Mix]]= "Mix", "Stock", Table13[[#This Row],[Cash/Tender/Stock/Mix]])</f>
        <v>Stock</v>
      </c>
      <c r="P25" t="s">
        <v>38</v>
      </c>
    </row>
    <row r="26" spans="2:20" x14ac:dyDescent="0.25">
      <c r="B26" t="s">
        <v>346</v>
      </c>
      <c r="C26" s="4">
        <v>46128</v>
      </c>
      <c r="D26" s="4">
        <v>46218</v>
      </c>
      <c r="F26" s="2">
        <f>IF(Table13[[#This Row],[Day Ann.]]="", "", Table13[[#This Row],[Initial Close Est.]]-Table13[[#This Row],[Day Ann.]])</f>
        <v>90</v>
      </c>
      <c r="G26" s="2" t="str">
        <f>IF(Table13[[#This Row],[Actual Close]]="", "",Table13[[#This Row],[Actual Close]]-Table13[[#This Row],[Day Ann.]])</f>
        <v/>
      </c>
      <c r="H26" s="5" t="str">
        <f t="shared" si="0"/>
        <v/>
      </c>
      <c r="I26" s="5" t="str">
        <f t="shared" si="1"/>
        <v/>
      </c>
      <c r="J26" t="str">
        <f t="shared" si="2"/>
        <v>FCR-U CN Equity</v>
      </c>
      <c r="K26" t="str" cm="1">
        <f t="array" ref="K26">IFERROR(_xlfn.LET(_xlpm.t,TRIM(Table13[[#This Row],[TICKER]]),_xlpm.k,IF(ISNUMBER(SEARCH(" ",_xlpm.t)),_xlpm.t,_xlpm.t&amp;" US"),_xlfn.XLOOKUP(_xlpm.k,TRIM(Table1[Target Ticker]),Table1[Target Industry Sector])),"")</f>
        <v>Real Estate</v>
      </c>
      <c r="L26" t="str" cm="1">
        <f t="array" ref="L26">IFERROR(_xlfn.LET(_xlpm.t,TRIM(Table13[[#This Row],[TICKER]]),_xlpm.k,IF(ISNUMBER(SEARCH(" ",_xlpm.t)),_xlpm.t,_xlpm.t&amp;" US"),_xlfn.XLOOKUP(_xlpm.k,TRIM(Table1[Target Ticker]),Table1[Target Industry Group])),"")</f>
        <v>Real Estate</v>
      </c>
      <c r="M26">
        <f>_xll.BDP($J26, "LAST_PRICE")</f>
        <v>23.02</v>
      </c>
      <c r="O26" t="str">
        <f>IF(Table13[[#This Row],[Cash/Tender/Stock/Mix]]= "Mix", "Stock", Table13[[#This Row],[Cash/Tender/Stock/Mix]])</f>
        <v>Stock</v>
      </c>
      <c r="P26" t="s">
        <v>1038</v>
      </c>
      <c r="R26" s="7" t="s">
        <v>1040</v>
      </c>
      <c r="S26" s="7" t="s">
        <v>1041</v>
      </c>
      <c r="T26" s="7" t="s">
        <v>1042</v>
      </c>
    </row>
    <row r="27" spans="2:20" ht="15.75" thickBot="1" x14ac:dyDescent="0.3">
      <c r="B27" t="s">
        <v>1043</v>
      </c>
      <c r="C27" s="4">
        <v>46126</v>
      </c>
      <c r="D27" s="4">
        <v>46204</v>
      </c>
      <c r="F27" s="2">
        <f>IF(Table13[[#This Row],[Day Ann.]]="", "", Table13[[#This Row],[Initial Close Est.]]-Table13[[#This Row],[Day Ann.]])</f>
        <v>78</v>
      </c>
      <c r="G27" s="2" t="str">
        <f>IF(Table13[[#This Row],[Actual Close]]="", "",Table13[[#This Row],[Actual Close]]-Table13[[#This Row],[Day Ann.]])</f>
        <v/>
      </c>
      <c r="H27" s="5" t="str">
        <f t="shared" si="0"/>
        <v/>
      </c>
      <c r="I27" s="5" t="str">
        <f t="shared" si="1"/>
        <v/>
      </c>
      <c r="J27" t="str">
        <f t="shared" si="2"/>
        <v>AVNS Equity</v>
      </c>
      <c r="K27" t="str" cm="1">
        <f t="array" ref="K27">IFERROR(_xlfn.LET(_xlpm.t,TRIM(Table13[[#This Row],[TICKER]]),_xlpm.k,IF(ISNUMBER(SEARCH(" ",_xlpm.t)),_xlpm.t,_xlpm.t&amp;" US"),_xlfn.XLOOKUP(_xlpm.k,TRIM(Table1[Target Ticker]),Table1[Target Industry Sector])),"")</f>
        <v>Health Care</v>
      </c>
      <c r="L27" t="str" cm="1">
        <f t="array" ref="L27">IFERROR(_xlfn.LET(_xlpm.t,TRIM(Table13[[#This Row],[TICKER]]),_xlpm.k,IF(ISNUMBER(SEARCH(" ",_xlpm.t)),_xlpm.t,_xlpm.t&amp;" US"),_xlfn.XLOOKUP(_xlpm.k,TRIM(Table1[Target Ticker]),Table1[Target Industry Group])),"")</f>
        <v>Health Care</v>
      </c>
      <c r="M27">
        <f>_xll.BDP($J27, "LAST_PRICE")</f>
        <v>24.905000000000001</v>
      </c>
      <c r="O27" t="str">
        <f>IF(Table13[[#This Row],[Cash/Tender/Stock/Mix]]= "Mix", "Stock", Table13[[#This Row],[Cash/Tender/Stock/Mix]])</f>
        <v>Cash</v>
      </c>
      <c r="P27" t="s">
        <v>23</v>
      </c>
      <c r="R27" s="8" cm="1">
        <f t="array" ref="R27">MEDIAN(IF(Table13[Abs. Days Err.]&lt;&gt;"",Table13[Abs. Days Err.]))</f>
        <v>23</v>
      </c>
      <c r="S27" s="8">
        <f>AVERAGEIF(Table13[Abs. Days Err.],"&lt;&gt;")</f>
        <v>33.728682170542633</v>
      </c>
      <c r="T27" s="9">
        <f>AVERAGEIF(Table13[Days Err. (late)],"&lt;&gt;")</f>
        <v>-11.821705426356589</v>
      </c>
    </row>
    <row r="28" spans="2:20" x14ac:dyDescent="0.25">
      <c r="B28" t="s">
        <v>1044</v>
      </c>
      <c r="C28" s="4">
        <v>46126</v>
      </c>
      <c r="D28" s="4">
        <v>46614</v>
      </c>
      <c r="F28" s="2">
        <f>IF(Table13[[#This Row],[Day Ann.]]="", "", Table13[[#This Row],[Initial Close Est.]]-Table13[[#This Row],[Day Ann.]])</f>
        <v>488</v>
      </c>
      <c r="G28" s="2" t="str">
        <f>IF(Table13[[#This Row],[Actual Close]]="", "",Table13[[#This Row],[Actual Close]]-Table13[[#This Row],[Day Ann.]])</f>
        <v/>
      </c>
      <c r="H28" s="5" t="str">
        <f t="shared" si="0"/>
        <v/>
      </c>
      <c r="I28" s="5" t="str">
        <f t="shared" si="1"/>
        <v/>
      </c>
      <c r="J28" t="str">
        <f t="shared" si="2"/>
        <v>GSAT Equity</v>
      </c>
      <c r="K28" t="str" cm="1">
        <f t="array" ref="K28">IFERROR(_xlfn.LET(_xlpm.t,TRIM(Table13[[#This Row],[TICKER]]),_xlpm.k,IF(ISNUMBER(SEARCH(" ",_xlpm.t)),_xlpm.t,_xlpm.t&amp;" US"),_xlfn.XLOOKUP(_xlpm.k,TRIM(Table1[Target Ticker]),Table1[Target Industry Sector])),"")</f>
        <v>Communications</v>
      </c>
      <c r="L28" t="str" cm="1">
        <f t="array" ref="L28">IFERROR(_xlfn.LET(_xlpm.t,TRIM(Table13[[#This Row],[TICKER]]),_xlpm.k,IF(ISNUMBER(SEARCH(" ",_xlpm.t)),_xlpm.t,_xlpm.t&amp;" US"),_xlfn.XLOOKUP(_xlpm.k,TRIM(Table1[Target Ticker]),Table1[Target Industry Group])),"")</f>
        <v>Telecommunications</v>
      </c>
      <c r="M28">
        <f>_xll.BDP($J28, "LAST_PRICE")</f>
        <v>79.625</v>
      </c>
      <c r="O28" t="str">
        <f>IF(Table13[[#This Row],[Cash/Tender/Stock/Mix]]= "Mix", "Stock", Table13[[#This Row],[Cash/Tender/Stock/Mix]])</f>
        <v>Stock</v>
      </c>
      <c r="P28" t="s">
        <v>1038</v>
      </c>
    </row>
    <row r="29" spans="2:20" x14ac:dyDescent="0.25">
      <c r="B29" t="s">
        <v>334</v>
      </c>
      <c r="C29" s="4">
        <v>46125</v>
      </c>
      <c r="D29" s="4">
        <v>46341</v>
      </c>
      <c r="F29" s="2">
        <f>IF(Table13[[#This Row],[Day Ann.]]="", "", Table13[[#This Row],[Initial Close Est.]]-Table13[[#This Row],[Day Ann.]])</f>
        <v>216</v>
      </c>
      <c r="G29" s="2" t="str">
        <f>IF(Table13[[#This Row],[Actual Close]]="", "",Table13[[#This Row],[Actual Close]]-Table13[[#This Row],[Day Ann.]])</f>
        <v/>
      </c>
      <c r="H29" s="5" t="str">
        <f t="shared" si="0"/>
        <v/>
      </c>
      <c r="I29" s="5" t="str">
        <f t="shared" si="1"/>
        <v/>
      </c>
      <c r="J29" t="str">
        <f t="shared" si="2"/>
        <v>SES CN Equity</v>
      </c>
      <c r="K29" t="str" cm="1">
        <f t="array" ref="K29">IFERROR(_xlfn.LET(_xlpm.t,TRIM(Table13[[#This Row],[TICKER]]),_xlpm.k,IF(ISNUMBER(SEARCH(" ",_xlpm.t)),_xlpm.t,_xlpm.t&amp;" US"),_xlfn.XLOOKUP(_xlpm.k,TRIM(Table1[Target Ticker]),Table1[Target Industry Sector])),"")</f>
        <v>Industrials</v>
      </c>
      <c r="L29" t="str" cm="1">
        <f t="array" ref="L29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29">
        <f>_xll.BDP($J29, "LAST_PRICE")</f>
        <v>22.725000000000001</v>
      </c>
      <c r="O29" t="str">
        <f>IF(Table13[[#This Row],[Cash/Tender/Stock/Mix]]= "Mix", "Stock", Table13[[#This Row],[Cash/Tender/Stock/Mix]])</f>
        <v>Stock</v>
      </c>
      <c r="P29" t="s">
        <v>1038</v>
      </c>
    </row>
    <row r="30" spans="2:20" x14ac:dyDescent="0.25">
      <c r="B30" t="s">
        <v>1045</v>
      </c>
      <c r="C30" s="4">
        <v>46125</v>
      </c>
      <c r="D30" s="4">
        <v>46371</v>
      </c>
      <c r="F30" s="2">
        <f>IF(Table13[[#This Row],[Day Ann.]]="", "", Table13[[#This Row],[Initial Close Est.]]-Table13[[#This Row],[Day Ann.]])</f>
        <v>246</v>
      </c>
      <c r="G30" s="2" t="str">
        <f>IF(Table13[[#This Row],[Actual Close]]="", "",Table13[[#This Row],[Actual Close]]-Table13[[#This Row],[Day Ann.]])</f>
        <v/>
      </c>
      <c r="H30" s="5" t="str">
        <f t="shared" si="0"/>
        <v/>
      </c>
      <c r="I30" s="5" t="str">
        <f t="shared" si="1"/>
        <v/>
      </c>
      <c r="J30" t="str">
        <f t="shared" si="2"/>
        <v>LEG Equity</v>
      </c>
      <c r="K30" t="str" cm="1">
        <f t="array" ref="K30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30" t="str" cm="1">
        <f t="array" ref="L30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30">
        <f>_xll.BDP($J30, "LAST_PRICE")</f>
        <v>11.51</v>
      </c>
      <c r="O30" t="str">
        <f>IF(Table13[[#This Row],[Cash/Tender/Stock/Mix]]= "Mix", "Stock", Table13[[#This Row],[Cash/Tender/Stock/Mix]])</f>
        <v>Stock</v>
      </c>
      <c r="P30" t="s">
        <v>38</v>
      </c>
    </row>
    <row r="31" spans="2:20" x14ac:dyDescent="0.25">
      <c r="B31" t="s">
        <v>1046</v>
      </c>
      <c r="C31" s="4">
        <v>46121</v>
      </c>
      <c r="D31" s="4">
        <v>46221</v>
      </c>
      <c r="F31" s="2">
        <f>IF(Table13[[#This Row],[Day Ann.]]="", "", Table13[[#This Row],[Initial Close Est.]]-Table13[[#This Row],[Day Ann.]])</f>
        <v>100</v>
      </c>
      <c r="G31" s="2" t="str">
        <f>IF(Table13[[#This Row],[Actual Close]]="", "",Table13[[#This Row],[Actual Close]]-Table13[[#This Row],[Day Ann.]])</f>
        <v/>
      </c>
      <c r="H31" s="5" t="str">
        <f t="shared" si="0"/>
        <v/>
      </c>
      <c r="I31" s="5" t="str">
        <f t="shared" si="1"/>
        <v/>
      </c>
      <c r="J31" t="str">
        <f t="shared" si="2"/>
        <v>WSR Equity</v>
      </c>
      <c r="K31" t="str" cm="1">
        <f t="array" ref="K31">IFERROR(_xlfn.LET(_xlpm.t,TRIM(Table13[[#This Row],[TICKER]]),_xlpm.k,IF(ISNUMBER(SEARCH(" ",_xlpm.t)),_xlpm.t,_xlpm.t&amp;" US"),_xlfn.XLOOKUP(_xlpm.k,TRIM(Table1[Target Ticker]),Table1[Target Industry Sector])),"")</f>
        <v>Real Estate</v>
      </c>
      <c r="L31" t="str" cm="1">
        <f t="array" ref="L31">IFERROR(_xlfn.LET(_xlpm.t,TRIM(Table13[[#This Row],[TICKER]]),_xlpm.k,IF(ISNUMBER(SEARCH(" ",_xlpm.t)),_xlpm.t,_xlpm.t&amp;" US"),_xlfn.XLOOKUP(_xlpm.k,TRIM(Table1[Target Ticker]),Table1[Target Industry Group])),"")</f>
        <v>Real Estate</v>
      </c>
      <c r="M31">
        <f>_xll.BDP($J31, "LAST_PRICE")</f>
        <v>18.954999999999998</v>
      </c>
      <c r="O31" t="str">
        <f>IF(Table13[[#This Row],[Cash/Tender/Stock/Mix]]= "Mix", "Stock", Table13[[#This Row],[Cash/Tender/Stock/Mix]])</f>
        <v>Cash</v>
      </c>
      <c r="P31" t="s">
        <v>23</v>
      </c>
    </row>
    <row r="32" spans="2:20" x14ac:dyDescent="0.25">
      <c r="B32" t="s">
        <v>504</v>
      </c>
      <c r="C32" s="4">
        <v>46121</v>
      </c>
      <c r="D32" s="4">
        <v>46202</v>
      </c>
      <c r="F32" s="2">
        <f>IF(Table13[[#This Row],[Day Ann.]]="", "", Table13[[#This Row],[Initial Close Est.]]-Table13[[#This Row],[Day Ann.]])</f>
        <v>81</v>
      </c>
      <c r="G32" s="2" t="str">
        <f>IF(Table13[[#This Row],[Actual Close]]="", "",Table13[[#This Row],[Actual Close]]-Table13[[#This Row],[Day Ann.]])</f>
        <v/>
      </c>
      <c r="H32" s="5" t="str">
        <f t="shared" si="0"/>
        <v/>
      </c>
      <c r="I32" s="5" t="str">
        <f t="shared" si="1"/>
        <v/>
      </c>
      <c r="J32" t="str">
        <f t="shared" si="2"/>
        <v>GTWO CN Equity</v>
      </c>
      <c r="K32" t="str" cm="1">
        <f t="array" ref="K32">IFERROR(_xlfn.LET(_xlpm.t,TRIM(Table13[[#This Row],[TICKER]]),_xlpm.k,IF(ISNUMBER(SEARCH(" ",_xlpm.t)),_xlpm.t,_xlpm.t&amp;" US"),_xlfn.XLOOKUP(_xlpm.k,TRIM(Table1[Target Ticker]),Table1[Target Industry Sector])),"")</f>
        <v>Materials</v>
      </c>
      <c r="L32" t="str" cm="1">
        <f t="array" ref="L32">IFERROR(_xlfn.LET(_xlpm.t,TRIM(Table13[[#This Row],[TICKER]]),_xlpm.k,IF(ISNUMBER(SEARCH(" ",_xlpm.t)),_xlpm.t,_xlpm.t&amp;" US"),_xlfn.XLOOKUP(_xlpm.k,TRIM(Table1[Target Ticker]),Table1[Target Industry Group])),"")</f>
        <v>Materials</v>
      </c>
      <c r="M32">
        <f>_xll.BDP($J32, "LAST_PRICE")</f>
        <v>8.77</v>
      </c>
      <c r="O32" t="str">
        <f>IF(Table13[[#This Row],[Cash/Tender/Stock/Mix]]= "Mix", "Stock", Table13[[#This Row],[Cash/Tender/Stock/Mix]])</f>
        <v>Stock</v>
      </c>
      <c r="P32" t="s">
        <v>38</v>
      </c>
    </row>
    <row r="33" spans="2:21" x14ac:dyDescent="0.25">
      <c r="B33" t="s">
        <v>1047</v>
      </c>
      <c r="C33" s="4">
        <v>46120</v>
      </c>
      <c r="D33" s="4">
        <v>46188</v>
      </c>
      <c r="F33" s="2">
        <f>IF(Table13[[#This Row],[Day Ann.]]="", "", Table13[[#This Row],[Initial Close Est.]]-Table13[[#This Row],[Day Ann.]])</f>
        <v>68</v>
      </c>
      <c r="G33" s="2" t="str">
        <f>IF(Table13[[#This Row],[Actual Close]]="", "",Table13[[#This Row],[Actual Close]]-Table13[[#This Row],[Day Ann.]])</f>
        <v/>
      </c>
      <c r="H33" s="5" t="str">
        <f t="shared" si="0"/>
        <v/>
      </c>
      <c r="I33" s="5" t="str">
        <f t="shared" si="1"/>
        <v/>
      </c>
      <c r="J33" t="str">
        <f t="shared" si="2"/>
        <v>BLN CN  Equity</v>
      </c>
      <c r="K33" t="str" cm="1">
        <f t="array" ref="K33">IFERROR(_xlfn.LET(_xlpm.t,TRIM(Table13[[#This Row],[TICKER]]),_xlpm.k,IF(ISNUMBER(SEARCH(" ",_xlpm.t)),_xlpm.t,_xlpm.t&amp;" US"),_xlfn.XLOOKUP(_xlpm.k,TRIM(Table1[Target Ticker]),Table1[Target Industry Sector])),"")</f>
        <v>Technology</v>
      </c>
      <c r="L33" t="str" cm="1">
        <f t="array" ref="L33">IFERROR(_xlfn.LET(_xlpm.t,TRIM(Table13[[#This Row],[TICKER]]),_xlpm.k,IF(ISNUMBER(SEARCH(" ",_xlpm.t)),_xlpm.t,_xlpm.t&amp;" US"),_xlfn.XLOOKUP(_xlpm.k,TRIM(Table1[Target Ticker]),Table1[Target Industry Group])),"")</f>
        <v>Tech Hardware &amp; Semiconductors</v>
      </c>
      <c r="M33">
        <f>_xll.BDP($J33, "LAST_PRICE")</f>
        <v>9.0500000000000007</v>
      </c>
      <c r="O33" t="str">
        <f>IF(Table13[[#This Row],[Cash/Tender/Stock/Mix]]= "Mix", "Stock", Table13[[#This Row],[Cash/Tender/Stock/Mix]])</f>
        <v>Cash</v>
      </c>
      <c r="P33" t="s">
        <v>23</v>
      </c>
    </row>
    <row r="34" spans="2:21" x14ac:dyDescent="0.25">
      <c r="B34" t="s">
        <v>1048</v>
      </c>
      <c r="C34" s="4">
        <v>46118</v>
      </c>
      <c r="D34" s="4">
        <v>46183</v>
      </c>
      <c r="E34" s="4">
        <v>46160</v>
      </c>
      <c r="F34" s="2">
        <f>IF(Table13[[#This Row],[Day Ann.]]="", "", Table13[[#This Row],[Initial Close Est.]]-Table13[[#This Row],[Day Ann.]])</f>
        <v>65</v>
      </c>
      <c r="G34" s="2">
        <f>IF(Table13[[#This Row],[Actual Close]]="", "",Table13[[#This Row],[Actual Close]]-Table13[[#This Row],[Day Ann.]])</f>
        <v>42</v>
      </c>
      <c r="H34" s="5">
        <f t="shared" si="0"/>
        <v>-23</v>
      </c>
      <c r="I34" s="5">
        <f t="shared" si="1"/>
        <v>23</v>
      </c>
      <c r="J34" t="str">
        <f t="shared" si="2"/>
        <v>SLNO Equity</v>
      </c>
      <c r="K34" t="str" cm="1">
        <f t="array" ref="K34">IFERROR(_xlfn.LET(_xlpm.t,TRIM(Table13[[#This Row],[TICKER]]),_xlpm.k,IF(ISNUMBER(SEARCH(" ",_xlpm.t)),_xlpm.t,_xlpm.t&amp;" US"),_xlfn.XLOOKUP(_xlpm.k,TRIM(Table1[Target Ticker]),Table1[Target Industry Sector])),"")</f>
        <v>Health Care</v>
      </c>
      <c r="L34" t="str" cm="1">
        <f t="array" ref="L34">IFERROR(_xlfn.LET(_xlpm.t,TRIM(Table13[[#This Row],[TICKER]]),_xlpm.k,IF(ISNUMBER(SEARCH(" ",_xlpm.t)),_xlpm.t,_xlpm.t&amp;" US"),_xlfn.XLOOKUP(_xlpm.k,TRIM(Table1[Target Ticker]),Table1[Target Industry Group])),"")</f>
        <v>Health Care</v>
      </c>
      <c r="M34" t="str">
        <f>_xll.BDP($J34, "LAST_PRICE")</f>
        <v>#N/A Real Time</v>
      </c>
      <c r="O34" t="str">
        <f>IF(Table13[[#This Row],[Cash/Tender/Stock/Mix]]= "Mix", "Stock", Table13[[#This Row],[Cash/Tender/Stock/Mix]])</f>
        <v>Cash</v>
      </c>
      <c r="P34" t="s">
        <v>23</v>
      </c>
    </row>
    <row r="35" spans="2:21" x14ac:dyDescent="0.25">
      <c r="B35" t="s">
        <v>1049</v>
      </c>
      <c r="C35" s="4">
        <v>46112</v>
      </c>
      <c r="D35" s="4">
        <v>46211</v>
      </c>
      <c r="F35" s="2">
        <f>IF(Table13[[#This Row],[Day Ann.]]="", "", Table13[[#This Row],[Initial Close Est.]]-Table13[[#This Row],[Day Ann.]])</f>
        <v>99</v>
      </c>
      <c r="G35" s="2" t="str">
        <f>IF(Table13[[#This Row],[Actual Close]]="", "",Table13[[#This Row],[Actual Close]]-Table13[[#This Row],[Day Ann.]])</f>
        <v/>
      </c>
      <c r="H35" s="5" t="str">
        <f t="shared" ref="H35:H66" si="3">IF(E35="","",E35-D35)</f>
        <v/>
      </c>
      <c r="I35" s="5" t="str">
        <f t="shared" ref="I35:I66" si="4">IF(H35="", "",ABS(H35))</f>
        <v/>
      </c>
      <c r="J35" t="str">
        <f t="shared" ref="J35:J66" si="5">(B35&amp;" Equity")</f>
        <v>CNTA Equity</v>
      </c>
      <c r="K35" t="str" cm="1">
        <f t="array" ref="K35">IFERROR(_xlfn.LET(_xlpm.t,TRIM(Table13[[#This Row],[TICKER]]),_xlpm.k,IF(ISNUMBER(SEARCH(" ",_xlpm.t)),_xlpm.t,_xlpm.t&amp;" US"),_xlfn.XLOOKUP(_xlpm.k,TRIM(Table1[Target Ticker]),Table1[Target Industry Sector])),"")</f>
        <v>Health Care</v>
      </c>
      <c r="L35" t="str" cm="1">
        <f t="array" ref="L35">IFERROR(_xlfn.LET(_xlpm.t,TRIM(Table13[[#This Row],[TICKER]]),_xlpm.k,IF(ISNUMBER(SEARCH(" ",_xlpm.t)),_xlpm.t,_xlpm.t&amp;" US"),_xlfn.XLOOKUP(_xlpm.k,TRIM(Table1[Target Ticker]),Table1[Target Industry Group])),"")</f>
        <v>Health Care</v>
      </c>
      <c r="M35" t="str">
        <f>_xll.BDP($J35, "LAST_PRICE")</f>
        <v>#N/A Real Time</v>
      </c>
      <c r="O35" t="str">
        <f>IF(Table13[[#This Row],[Cash/Tender/Stock/Mix]]= "Mix", "Stock", Table13[[#This Row],[Cash/Tender/Stock/Mix]])</f>
        <v>Cash</v>
      </c>
      <c r="P35" t="s">
        <v>23</v>
      </c>
    </row>
    <row r="36" spans="2:21" x14ac:dyDescent="0.25">
      <c r="B36" t="s">
        <v>1050</v>
      </c>
      <c r="C36" s="4">
        <v>46112</v>
      </c>
      <c r="D36" s="4">
        <v>46188</v>
      </c>
      <c r="E36" s="4">
        <v>46156</v>
      </c>
      <c r="F36" s="2">
        <f>IF(Table13[[#This Row],[Day Ann.]]="", "", Table13[[#This Row],[Initial Close Est.]]-Table13[[#This Row],[Day Ann.]])</f>
        <v>76</v>
      </c>
      <c r="G36" s="2">
        <f>IF(Table13[[#This Row],[Actual Close]]="", "",Table13[[#This Row],[Actual Close]]-Table13[[#This Row],[Day Ann.]])</f>
        <v>44</v>
      </c>
      <c r="H36" s="5">
        <f t="shared" si="3"/>
        <v>-32</v>
      </c>
      <c r="I36" s="5">
        <f t="shared" si="4"/>
        <v>32</v>
      </c>
      <c r="J36" t="str">
        <f t="shared" si="5"/>
        <v>APLS Equity</v>
      </c>
      <c r="K36" t="str" cm="1">
        <f t="array" ref="K36">IFERROR(_xlfn.LET(_xlpm.t,TRIM(Table13[[#This Row],[TICKER]]),_xlpm.k,IF(ISNUMBER(SEARCH(" ",_xlpm.t)),_xlpm.t,_xlpm.t&amp;" US"),_xlfn.XLOOKUP(_xlpm.k,TRIM(Table1[Target Ticker]),Table1[Target Industry Sector])),"")</f>
        <v>Health Care</v>
      </c>
      <c r="L36" t="str" cm="1">
        <f t="array" ref="L36">IFERROR(_xlfn.LET(_xlpm.t,TRIM(Table13[[#This Row],[TICKER]]),_xlpm.k,IF(ISNUMBER(SEARCH(" ",_xlpm.t)),_xlpm.t,_xlpm.t&amp;" US"),_xlfn.XLOOKUP(_xlpm.k,TRIM(Table1[Target Ticker]),Table1[Target Industry Group])),"")</f>
        <v>Health Care</v>
      </c>
      <c r="M36" t="str">
        <f>_xll.BDP($J36, "LAST_PRICE")</f>
        <v>#N/A Real Time</v>
      </c>
      <c r="O36" t="str">
        <f>IF(Table13[[#This Row],[Cash/Tender/Stock/Mix]]= "Mix", "Stock", Table13[[#This Row],[Cash/Tender/Stock/Mix]])</f>
        <v>Tender</v>
      </c>
      <c r="P36" t="s">
        <v>1029</v>
      </c>
    </row>
    <row r="37" spans="2:21" x14ac:dyDescent="0.25">
      <c r="B37" t="s">
        <v>1051</v>
      </c>
      <c r="C37" s="4">
        <v>46108</v>
      </c>
      <c r="D37" s="4">
        <v>46218</v>
      </c>
      <c r="F37" s="2">
        <f>IF(Table13[[#This Row],[Day Ann.]]="", "", Table13[[#This Row],[Initial Close Est.]]-Table13[[#This Row],[Day Ann.]])</f>
        <v>110</v>
      </c>
      <c r="G37" s="2" t="str">
        <f>IF(Table13[[#This Row],[Actual Close]]="", "",Table13[[#This Row],[Actual Close]]-Table13[[#This Row],[Day Ann.]])</f>
        <v/>
      </c>
      <c r="H37" s="5" t="str">
        <f t="shared" si="3"/>
        <v/>
      </c>
      <c r="I37" s="5" t="str">
        <f t="shared" si="4"/>
        <v/>
      </c>
      <c r="J37" t="str">
        <f t="shared" si="5"/>
        <v>TWO Equity</v>
      </c>
      <c r="K37" t="str" cm="1">
        <f t="array" ref="K37">IFERROR(_xlfn.LET(_xlpm.t,TRIM(Table13[[#This Row],[TICKER]]),_xlpm.k,IF(ISNUMBER(SEARCH(" ",_xlpm.t)),_xlpm.t,_xlpm.t&amp;" US"),_xlfn.XLOOKUP(_xlpm.k,TRIM(Table1[Target Ticker]),Table1[Target Industry Sector])),"")</f>
        <v>Financials</v>
      </c>
      <c r="L37" t="str" cm="1">
        <f t="array" ref="L37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37">
        <f>_xll.BDP($J37, "LAST_PRICE")</f>
        <v>12.37</v>
      </c>
      <c r="O37" t="str">
        <f>IF(Table13[[#This Row],[Cash/Tender/Stock/Mix]]= "Mix", "Stock", Table13[[#This Row],[Cash/Tender/Stock/Mix]])</f>
        <v>Cash</v>
      </c>
      <c r="P37" t="s">
        <v>23</v>
      </c>
    </row>
    <row r="38" spans="2:21" x14ac:dyDescent="0.25">
      <c r="B38" t="s">
        <v>1052</v>
      </c>
      <c r="C38" s="4">
        <v>46107</v>
      </c>
      <c r="D38" s="4">
        <v>46272</v>
      </c>
      <c r="F38" s="2">
        <f>IF(Table13[[#This Row],[Day Ann.]]="", "", Table13[[#This Row],[Initial Close Est.]]-Table13[[#This Row],[Day Ann.]])</f>
        <v>165</v>
      </c>
      <c r="G38" s="2" t="str">
        <f>IF(Table13[[#This Row],[Actual Close]]="", "",Table13[[#This Row],[Actual Close]]-Table13[[#This Row],[Day Ann.]])</f>
        <v/>
      </c>
      <c r="H38" s="5" t="str">
        <f t="shared" si="3"/>
        <v/>
      </c>
      <c r="I38" s="5" t="str">
        <f t="shared" si="4"/>
        <v/>
      </c>
      <c r="J38" t="str">
        <f t="shared" si="5"/>
        <v>OLPX Equity</v>
      </c>
      <c r="K38" t="str" cm="1">
        <f t="array" ref="K38">IFERROR(_xlfn.LET(_xlpm.t,TRIM(Table13[[#This Row],[TICKER]]),_xlpm.k,IF(ISNUMBER(SEARCH(" ",_xlpm.t)),_xlpm.t,_xlpm.t&amp;" US"),_xlfn.XLOOKUP(_xlpm.k,TRIM(Table1[Target Ticker]),Table1[Target Industry Sector])),"")</f>
        <v>Consumer Staples</v>
      </c>
      <c r="L38" t="str" cm="1">
        <f t="array" ref="L38">IFERROR(_xlfn.LET(_xlpm.t,TRIM(Table13[[#This Row],[TICKER]]),_xlpm.k,IF(ISNUMBER(SEARCH(" ",_xlpm.t)),_xlpm.t,_xlpm.t&amp;" US"),_xlfn.XLOOKUP(_xlpm.k,TRIM(Table1[Target Ticker]),Table1[Target Industry Group])),"")</f>
        <v>Consumer Staple Products</v>
      </c>
      <c r="M38">
        <f>_xll.BDP($J38, "LAST_PRICE")</f>
        <v>2.0550000000000002</v>
      </c>
      <c r="O38" t="str">
        <f>IF(Table13[[#This Row],[Cash/Tender/Stock/Mix]]= "Mix", "Stock", Table13[[#This Row],[Cash/Tender/Stock/Mix]])</f>
        <v>Cash</v>
      </c>
      <c r="P38" t="s">
        <v>23</v>
      </c>
    </row>
    <row r="39" spans="2:21" x14ac:dyDescent="0.25">
      <c r="B39" t="s">
        <v>1053</v>
      </c>
      <c r="C39" s="4">
        <v>46107</v>
      </c>
      <c r="D39" s="4">
        <v>46371</v>
      </c>
      <c r="F39" s="2">
        <f>IF(Table13[[#This Row],[Day Ann.]]="", "", Table13[[#This Row],[Initial Close Est.]]-Table13[[#This Row],[Day Ann.]])</f>
        <v>264</v>
      </c>
      <c r="G39" s="2" t="str">
        <f>IF(Table13[[#This Row],[Actual Close]]="", "",Table13[[#This Row],[Actual Close]]-Table13[[#This Row],[Day Ann.]])</f>
        <v/>
      </c>
      <c r="H39" s="5" t="str">
        <f t="shared" si="3"/>
        <v/>
      </c>
      <c r="I39" s="5" t="str">
        <f t="shared" si="4"/>
        <v/>
      </c>
      <c r="J39" t="str">
        <f t="shared" si="5"/>
        <v>CRBG Equity</v>
      </c>
      <c r="K39" t="str" cm="1">
        <f t="array" ref="K39">IFERROR(_xlfn.LET(_xlpm.t,TRIM(Table13[[#This Row],[TICKER]]),_xlpm.k,IF(ISNUMBER(SEARCH(" ",_xlpm.t)),_xlpm.t,_xlpm.t&amp;" US"),_xlfn.XLOOKUP(_xlpm.k,TRIM(Table1[Target Ticker]),Table1[Target Industry Sector])),"")</f>
        <v/>
      </c>
      <c r="L39" t="str" cm="1">
        <f t="array" ref="L39">IFERROR(_xlfn.LET(_xlpm.t,TRIM(Table13[[#This Row],[TICKER]]),_xlpm.k,IF(ISNUMBER(SEARCH(" ",_xlpm.t)),_xlpm.t,_xlpm.t&amp;" US"),_xlfn.XLOOKUP(_xlpm.k,TRIM(Table1[Target Ticker]),Table1[Target Industry Group])),"")</f>
        <v/>
      </c>
      <c r="M39">
        <f>_xll.BDP($J39, "LAST_PRICE")</f>
        <v>28.015000000000001</v>
      </c>
      <c r="O39" t="str">
        <f>IF(Table13[[#This Row],[Cash/Tender/Stock/Mix]]= "Mix", "Stock", Table13[[#This Row],[Cash/Tender/Stock/Mix]])</f>
        <v>Stock</v>
      </c>
      <c r="P39" t="s">
        <v>38</v>
      </c>
    </row>
    <row r="40" spans="2:21" x14ac:dyDescent="0.25">
      <c r="B40" t="s">
        <v>1054</v>
      </c>
      <c r="C40" s="4">
        <v>46106</v>
      </c>
      <c r="D40" s="4">
        <v>46150</v>
      </c>
      <c r="E40" s="4">
        <v>46148</v>
      </c>
      <c r="F40" s="2">
        <f>IF(Table13[[#This Row],[Day Ann.]]="", "", Table13[[#This Row],[Initial Close Est.]]-Table13[[#This Row],[Day Ann.]])</f>
        <v>44</v>
      </c>
      <c r="G40" s="2">
        <f>IF(Table13[[#This Row],[Actual Close]]="", "",Table13[[#This Row],[Actual Close]]-Table13[[#This Row],[Day Ann.]])</f>
        <v>42</v>
      </c>
      <c r="H40" s="5">
        <f t="shared" si="3"/>
        <v>-2</v>
      </c>
      <c r="I40" s="5">
        <f t="shared" si="4"/>
        <v>2</v>
      </c>
      <c r="J40" t="str">
        <f t="shared" si="5"/>
        <v>TERN Equity</v>
      </c>
      <c r="K40" t="str" cm="1">
        <f t="array" ref="K40">IFERROR(_xlfn.LET(_xlpm.t,TRIM(Table13[[#This Row],[TICKER]]),_xlpm.k,IF(ISNUMBER(SEARCH(" ",_xlpm.t)),_xlpm.t,_xlpm.t&amp;" US"),_xlfn.XLOOKUP(_xlpm.k,TRIM(Table1[Target Ticker]),Table1[Target Industry Sector])),"")</f>
        <v>Health Care</v>
      </c>
      <c r="L40" t="str" cm="1">
        <f t="array" ref="L40">IFERROR(_xlfn.LET(_xlpm.t,TRIM(Table13[[#This Row],[TICKER]]),_xlpm.k,IF(ISNUMBER(SEARCH(" ",_xlpm.t)),_xlpm.t,_xlpm.t&amp;" US"),_xlfn.XLOOKUP(_xlpm.k,TRIM(Table1[Target Ticker]),Table1[Target Industry Group])),"")</f>
        <v>Health Care</v>
      </c>
      <c r="M40" t="str">
        <f>_xll.BDP($J40, "LAST_PRICE")</f>
        <v>#N/A Real Time</v>
      </c>
      <c r="O40" t="str">
        <f>IF(Table13[[#This Row],[Cash/Tender/Stock/Mix]]= "Mix", "Stock", Table13[[#This Row],[Cash/Tender/Stock/Mix]])</f>
        <v>Cash</v>
      </c>
      <c r="P40" t="s">
        <v>23</v>
      </c>
    </row>
    <row r="41" spans="2:21" x14ac:dyDescent="0.25">
      <c r="B41" t="s">
        <v>424</v>
      </c>
      <c r="C41" s="4">
        <v>46106</v>
      </c>
      <c r="D41" s="4">
        <v>46266</v>
      </c>
      <c r="F41" s="2">
        <f>IF(Table13[[#This Row],[Day Ann.]]="", "", Table13[[#This Row],[Initial Close Est.]]-Table13[[#This Row],[Day Ann.]])</f>
        <v>160</v>
      </c>
      <c r="G41" s="2" t="str">
        <f>IF(Table13[[#This Row],[Actual Close]]="", "",Table13[[#This Row],[Actual Close]]-Table13[[#This Row],[Day Ann.]])</f>
        <v/>
      </c>
      <c r="H41" s="5" t="str">
        <f t="shared" si="3"/>
        <v/>
      </c>
      <c r="I41" s="5" t="str">
        <f t="shared" si="4"/>
        <v/>
      </c>
      <c r="J41" t="str">
        <f t="shared" si="5"/>
        <v>BLX CN Equity</v>
      </c>
      <c r="K41" t="str" cm="1">
        <f t="array" ref="K41">IFERROR(_xlfn.LET(_xlpm.t,TRIM(Table13[[#This Row],[TICKER]]),_xlpm.k,IF(ISNUMBER(SEARCH(" ",_xlpm.t)),_xlpm.t,_xlpm.t&amp;" US"),_xlfn.XLOOKUP(_xlpm.k,TRIM(Table1[Target Ticker]),Table1[Target Industry Sector])),"")</f>
        <v>Utilities</v>
      </c>
      <c r="L41" t="str" cm="1">
        <f t="array" ref="L41">IFERROR(_xlfn.LET(_xlpm.t,TRIM(Table13[[#This Row],[TICKER]]),_xlpm.k,IF(ISNUMBER(SEARCH(" ",_xlpm.t)),_xlpm.t,_xlpm.t&amp;" US"),_xlfn.XLOOKUP(_xlpm.k,TRIM(Table1[Target Ticker]),Table1[Target Industry Group])),"")</f>
        <v>Utilities</v>
      </c>
      <c r="M41">
        <f>_xll.BDP($J41, "LAST_PRICE")</f>
        <v>37</v>
      </c>
      <c r="O41" t="str">
        <f>IF(Table13[[#This Row],[Cash/Tender/Stock/Mix]]= "Mix", "Stock", Table13[[#This Row],[Cash/Tender/Stock/Mix]])</f>
        <v>Cash</v>
      </c>
      <c r="P41" t="s">
        <v>23</v>
      </c>
    </row>
    <row r="42" spans="2:21" x14ac:dyDescent="0.25">
      <c r="B42" t="s">
        <v>1055</v>
      </c>
      <c r="C42" s="4">
        <v>46100</v>
      </c>
      <c r="D42" s="4">
        <v>46227</v>
      </c>
      <c r="F42" s="2">
        <f>IF(Table13[[#This Row],[Day Ann.]]="", "", Table13[[#This Row],[Initial Close Est.]]-Table13[[#This Row],[Day Ann.]])</f>
        <v>127</v>
      </c>
      <c r="G42" s="2" t="str">
        <f>IF(Table13[[#This Row],[Actual Close]]="", "",Table13[[#This Row],[Actual Close]]-Table13[[#This Row],[Day Ann.]])</f>
        <v/>
      </c>
      <c r="H42" s="5" t="str">
        <f t="shared" si="3"/>
        <v/>
      </c>
      <c r="I42" s="5" t="str">
        <f t="shared" si="4"/>
        <v/>
      </c>
      <c r="J42" t="str">
        <f t="shared" si="5"/>
        <v>TALK Equity</v>
      </c>
      <c r="K42" t="str" cm="1">
        <f t="array" ref="K42">IFERROR(_xlfn.LET(_xlpm.t,TRIM(Table13[[#This Row],[TICKER]]),_xlpm.k,IF(ISNUMBER(SEARCH(" ",_xlpm.t)),_xlpm.t,_xlpm.t&amp;" US"),_xlfn.XLOOKUP(_xlpm.k,TRIM(Table1[Target Ticker]),Table1[Target Industry Sector])),"")</f>
        <v>Technology</v>
      </c>
      <c r="L42" t="str" cm="1">
        <f t="array" ref="L42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42">
        <f>_xll.BDP($J42, "LAST_PRICE")</f>
        <v>5.1950000000000003</v>
      </c>
      <c r="O42" t="str">
        <f>IF(Table13[[#This Row],[Cash/Tender/Stock/Mix]]= "Mix", "Stock", Table13[[#This Row],[Cash/Tender/Stock/Mix]])</f>
        <v>Cash</v>
      </c>
      <c r="P42" t="s">
        <v>23</v>
      </c>
    </row>
    <row r="43" spans="2:21" x14ac:dyDescent="0.25">
      <c r="B43" t="s">
        <v>1056</v>
      </c>
      <c r="C43" s="4">
        <v>46097</v>
      </c>
      <c r="D43" s="4">
        <v>46187</v>
      </c>
      <c r="F43" s="2">
        <f>IF(Table13[[#This Row],[Day Ann.]]="", "", Table13[[#This Row],[Initial Close Est.]]-Table13[[#This Row],[Day Ann.]])</f>
        <v>90</v>
      </c>
      <c r="G43" s="2" t="str">
        <f>IF(Table13[[#This Row],[Actual Close]]="", "",Table13[[#This Row],[Actual Close]]-Table13[[#This Row],[Day Ann.]])</f>
        <v/>
      </c>
      <c r="H43" s="5" t="str">
        <f t="shared" si="3"/>
        <v/>
      </c>
      <c r="I43" s="5" t="str">
        <f t="shared" si="4"/>
        <v/>
      </c>
      <c r="J43" t="str">
        <f t="shared" si="5"/>
        <v>NSA Equity</v>
      </c>
      <c r="K43" t="str" cm="1">
        <f t="array" ref="K43">IFERROR(_xlfn.LET(_xlpm.t,TRIM(Table13[[#This Row],[TICKER]]),_xlpm.k,IF(ISNUMBER(SEARCH(" ",_xlpm.t)),_xlpm.t,_xlpm.t&amp;" US"),_xlfn.XLOOKUP(_xlpm.k,TRIM(Table1[Target Ticker]),Table1[Target Industry Sector])),"")</f>
        <v>Real Estate</v>
      </c>
      <c r="L43" t="str" cm="1">
        <f t="array" ref="L43">IFERROR(_xlfn.LET(_xlpm.t,TRIM(Table13[[#This Row],[TICKER]]),_xlpm.k,IF(ISNUMBER(SEARCH(" ",_xlpm.t)),_xlpm.t,_xlpm.t&amp;" US"),_xlfn.XLOOKUP(_xlpm.k,TRIM(Table1[Target Ticker]),Table1[Target Industry Group])),"")</f>
        <v>Real Estate</v>
      </c>
      <c r="M43">
        <f>_xll.BDP($J43, "LAST_PRICE")</f>
        <v>44.37</v>
      </c>
      <c r="O43" t="str">
        <f>IF(Table13[[#This Row],[Cash/Tender/Stock/Mix]]= "Mix", "Stock", Table13[[#This Row],[Cash/Tender/Stock/Mix]])</f>
        <v>Stock</v>
      </c>
      <c r="P43" t="s">
        <v>38</v>
      </c>
    </row>
    <row r="44" spans="2:21" x14ac:dyDescent="0.25">
      <c r="B44" t="s">
        <v>1057</v>
      </c>
      <c r="C44" s="4">
        <v>46092</v>
      </c>
      <c r="D44" s="4">
        <v>46337</v>
      </c>
      <c r="F44" s="2">
        <f>IF(Table13[[#This Row],[Day Ann.]]="", "", Table13[[#This Row],[Initial Close Est.]]-Table13[[#This Row],[Day Ann.]])</f>
        <v>245</v>
      </c>
      <c r="G44" s="2" t="str">
        <f>IF(Table13[[#This Row],[Actual Close]]="", "",Table13[[#This Row],[Actual Close]]-Table13[[#This Row],[Day Ann.]])</f>
        <v/>
      </c>
      <c r="H44" s="5" t="str">
        <f t="shared" si="3"/>
        <v/>
      </c>
      <c r="I44" s="5" t="str">
        <f t="shared" si="4"/>
        <v/>
      </c>
      <c r="J44" t="str">
        <f t="shared" si="5"/>
        <v>UNF Equity</v>
      </c>
      <c r="K44" t="str" cm="1">
        <f t="array" ref="K44">IFERROR(_xlfn.LET(_xlpm.t,TRIM(Table13[[#This Row],[TICKER]]),_xlpm.k,IF(ISNUMBER(SEARCH(" ",_xlpm.t)),_xlpm.t,_xlpm.t&amp;" US"),_xlfn.XLOOKUP(_xlpm.k,TRIM(Table1[Target Ticker]),Table1[Target Industry Sector])),"")</f>
        <v>Industrials</v>
      </c>
      <c r="L44" t="str" cm="1">
        <f t="array" ref="L44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44">
        <f>_xll.BDP($J44, "LAST_PRICE")</f>
        <v>262.38499999999999</v>
      </c>
      <c r="O44" t="str">
        <f>IF(Table13[[#This Row],[Cash/Tender/Stock/Mix]]= "Mix", "Stock", Table13[[#This Row],[Cash/Tender/Stock/Mix]])</f>
        <v>Stock</v>
      </c>
      <c r="P44" t="s">
        <v>1038</v>
      </c>
      <c r="T44" s="10"/>
    </row>
    <row r="45" spans="2:21" x14ac:dyDescent="0.25">
      <c r="B45" t="s">
        <v>1058</v>
      </c>
      <c r="C45" s="4">
        <v>46071</v>
      </c>
      <c r="D45" s="4">
        <v>46149</v>
      </c>
      <c r="E45" s="4">
        <v>46160</v>
      </c>
      <c r="F45" s="2">
        <f>IF(Table13[[#This Row],[Day Ann.]]="", "", Table13[[#This Row],[Initial Close Est.]]-Table13[[#This Row],[Day Ann.]])</f>
        <v>78</v>
      </c>
      <c r="G45" s="2">
        <f>IF(Table13[[#This Row],[Actual Close]]="", "",Table13[[#This Row],[Actual Close]]-Table13[[#This Row],[Day Ann.]])</f>
        <v>89</v>
      </c>
      <c r="H45" s="5">
        <f t="shared" si="3"/>
        <v>11</v>
      </c>
      <c r="I45" s="5">
        <f t="shared" si="4"/>
        <v>11</v>
      </c>
      <c r="J45" t="str">
        <f t="shared" si="5"/>
        <v>MCW Equity</v>
      </c>
      <c r="K45" t="str" cm="1">
        <f t="array" ref="K45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45" t="str" cm="1">
        <f t="array" ref="L45">IFERROR(_xlfn.LET(_xlpm.t,TRIM(Table13[[#This Row],[TICKER]]),_xlpm.k,IF(ISNUMBER(SEARCH(" ",_xlpm.t)),_xlpm.t,_xlpm.t&amp;" US"),_xlfn.XLOOKUP(_xlpm.k,TRIM(Table1[Target Ticker]),Table1[Target Industry Group])),"")</f>
        <v>Retail &amp; Whsle - Discretionary</v>
      </c>
      <c r="M45" t="str">
        <f>_xll.BDP($J45, "LAST_PRICE")</f>
        <v>#N/A Real Time</v>
      </c>
      <c r="O45" t="str">
        <f>IF(Table13[[#This Row],[Cash/Tender/Stock/Mix]]= "Mix", "Stock", Table13[[#This Row],[Cash/Tender/Stock/Mix]])</f>
        <v>Cash</v>
      </c>
      <c r="P45" t="s">
        <v>23</v>
      </c>
      <c r="T45" s="10"/>
    </row>
    <row r="46" spans="2:21" x14ac:dyDescent="0.25">
      <c r="B46" t="s">
        <v>1059</v>
      </c>
      <c r="C46" s="4">
        <v>46066</v>
      </c>
      <c r="D46" s="4">
        <v>46143</v>
      </c>
      <c r="E46" s="4">
        <v>46155</v>
      </c>
      <c r="F46" s="2">
        <f>IF(Table13[[#This Row],[Day Ann.]]="", "", Table13[[#This Row],[Initial Close Est.]]-Table13[[#This Row],[Day Ann.]])</f>
        <v>77</v>
      </c>
      <c r="G46" s="2">
        <f>IF(Table13[[#This Row],[Actual Close]]="", "",Table13[[#This Row],[Actual Close]]-Table13[[#This Row],[Day Ann.]])</f>
        <v>89</v>
      </c>
      <c r="H46" s="5">
        <f t="shared" si="3"/>
        <v>12</v>
      </c>
      <c r="I46" s="5">
        <f t="shared" si="4"/>
        <v>12</v>
      </c>
      <c r="J46" t="str">
        <f t="shared" si="5"/>
        <v>TPH Equity</v>
      </c>
      <c r="K46" t="str" cm="1">
        <f t="array" ref="K46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46" t="str" cm="1">
        <f t="array" ref="L46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46" t="str">
        <f>_xll.BDP($J46, "LAST_PRICE")</f>
        <v>#N/A Real Time</v>
      </c>
      <c r="O46" t="str">
        <f>IF(Table13[[#This Row],[Cash/Tender/Stock/Mix]]= "Mix", "Stock", Table13[[#This Row],[Cash/Tender/Stock/Mix]])</f>
        <v>Cash</v>
      </c>
      <c r="P46" t="s">
        <v>23</v>
      </c>
    </row>
    <row r="47" spans="2:21" x14ac:dyDescent="0.25">
      <c r="B47" t="s">
        <v>1060</v>
      </c>
      <c r="C47" s="4">
        <v>46064</v>
      </c>
      <c r="D47" s="4">
        <v>46117</v>
      </c>
      <c r="E47" s="4">
        <v>46114</v>
      </c>
      <c r="F47" s="2">
        <f>IF(Table13[[#This Row],[Day Ann.]]="", "", Table13[[#This Row],[Initial Close Est.]]-Table13[[#This Row],[Day Ann.]])</f>
        <v>53</v>
      </c>
      <c r="G47" s="2">
        <f>IF(Table13[[#This Row],[Actual Close]]="", "",Table13[[#This Row],[Actual Close]]-Table13[[#This Row],[Day Ann.]])</f>
        <v>50</v>
      </c>
      <c r="H47" s="5">
        <f t="shared" si="3"/>
        <v>-3</v>
      </c>
      <c r="I47" s="5">
        <f t="shared" si="4"/>
        <v>3</v>
      </c>
      <c r="J47" t="str">
        <f t="shared" si="5"/>
        <v>GLDD Equity</v>
      </c>
      <c r="K47" t="str" cm="1">
        <f t="array" ref="K47">IFERROR(_xlfn.LET(_xlpm.t,TRIM(Table13[[#This Row],[TICKER]]),_xlpm.k,IF(ISNUMBER(SEARCH(" ",_xlpm.t)),_xlpm.t,_xlpm.t&amp;" US"),_xlfn.XLOOKUP(_xlpm.k,TRIM(Table1[Target Ticker]),Table1[Target Industry Sector])),"")</f>
        <v>Industrials</v>
      </c>
      <c r="L47" t="str" cm="1">
        <f t="array" ref="L47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47" t="str">
        <f>_xll.BDP($J47, "LAST_PRICE")</f>
        <v>#N/A Real Time</v>
      </c>
      <c r="O47" t="str">
        <f>IF(Table13[[#This Row],[Cash/Tender/Stock/Mix]]= "Mix", "Stock", Table13[[#This Row],[Cash/Tender/Stock/Mix]])</f>
        <v>Cash</v>
      </c>
      <c r="P47" t="s">
        <v>23</v>
      </c>
      <c r="T47" s="10"/>
      <c r="U47" s="10"/>
    </row>
    <row r="48" spans="2:21" x14ac:dyDescent="0.25">
      <c r="B48" t="s">
        <v>1061</v>
      </c>
      <c r="C48" s="4">
        <v>46062</v>
      </c>
      <c r="D48" s="4">
        <v>46212</v>
      </c>
      <c r="F48" s="2">
        <f>IF(Table13[[#This Row],[Day Ann.]]="", "", Table13[[#This Row],[Initial Close Est.]]-Table13[[#This Row],[Day Ann.]])</f>
        <v>150</v>
      </c>
      <c r="G48" s="2" t="str">
        <f>IF(Table13[[#This Row],[Actual Close]]="", "",Table13[[#This Row],[Actual Close]]-Table13[[#This Row],[Day Ann.]])</f>
        <v/>
      </c>
      <c r="H48" s="5" t="str">
        <f t="shared" si="3"/>
        <v/>
      </c>
      <c r="I48" s="5" t="str">
        <f t="shared" si="4"/>
        <v/>
      </c>
      <c r="J48" t="str">
        <f t="shared" si="5"/>
        <v>VAL Equity</v>
      </c>
      <c r="K48" t="str" cm="1">
        <f t="array" ref="K48">IFERROR(_xlfn.LET(_xlpm.t,TRIM(Table13[[#This Row],[TICKER]]),_xlpm.k,IF(ISNUMBER(SEARCH(" ",_xlpm.t)),_xlpm.t,_xlpm.t&amp;" US"),_xlfn.XLOOKUP(_xlpm.k,TRIM(Table1[Target Ticker]),Table1[Target Industry Sector])),"")</f>
        <v>Energy</v>
      </c>
      <c r="L48" t="str" cm="1">
        <f t="array" ref="L48">IFERROR(_xlfn.LET(_xlpm.t,TRIM(Table13[[#This Row],[TICKER]]),_xlpm.k,IF(ISNUMBER(SEARCH(" ",_xlpm.t)),_xlpm.t,_xlpm.t&amp;" US"),_xlfn.XLOOKUP(_xlpm.k,TRIM(Table1[Target Ticker]),Table1[Target Industry Group])),"")</f>
        <v>Oil &amp; Gas</v>
      </c>
      <c r="M48">
        <f>_xll.BDP($J48, "LAST_PRICE")</f>
        <v>76.430000000000007</v>
      </c>
      <c r="O48" t="str">
        <f>IF(Table13[[#This Row],[Cash/Tender/Stock/Mix]]= "Mix", "Stock", Table13[[#This Row],[Cash/Tender/Stock/Mix]])</f>
        <v>Stock</v>
      </c>
      <c r="P48" t="s">
        <v>38</v>
      </c>
      <c r="T48" s="10"/>
      <c r="U48" s="10"/>
    </row>
    <row r="49" spans="2:19" x14ac:dyDescent="0.25">
      <c r="B49" t="s">
        <v>1062</v>
      </c>
      <c r="C49" s="4">
        <v>46062</v>
      </c>
      <c r="D49" s="4">
        <v>46268</v>
      </c>
      <c r="F49" s="2">
        <f>IF(Table13[[#This Row],[Day Ann.]]="", "", Table13[[#This Row],[Initial Close Est.]]-Table13[[#This Row],[Day Ann.]])</f>
        <v>206</v>
      </c>
      <c r="G49" s="2" t="str">
        <f>IF(Table13[[#This Row],[Actual Close]]="", "",Table13[[#This Row],[Actual Close]]-Table13[[#This Row],[Day Ann.]])</f>
        <v/>
      </c>
      <c r="H49" s="5" t="str">
        <f t="shared" si="3"/>
        <v/>
      </c>
      <c r="I49" s="5" t="str">
        <f t="shared" si="4"/>
        <v/>
      </c>
      <c r="J49" t="str">
        <f t="shared" si="5"/>
        <v>CCO Equity</v>
      </c>
      <c r="K49" t="str" cm="1">
        <f t="array" ref="K49">IFERROR(_xlfn.LET(_xlpm.t,TRIM(Table13[[#This Row],[TICKER]]),_xlpm.k,IF(ISNUMBER(SEARCH(" ",_xlpm.t)),_xlpm.t,_xlpm.t&amp;" US"),_xlfn.XLOOKUP(_xlpm.k,TRIM(Table1[Target Ticker]),Table1[Target Industry Sector])),"")</f>
        <v>Communications</v>
      </c>
      <c r="L49" t="str" cm="1">
        <f t="array" ref="L49">IFERROR(_xlfn.LET(_xlpm.t,TRIM(Table13[[#This Row],[TICKER]]),_xlpm.k,IF(ISNUMBER(SEARCH(" ",_xlpm.t)),_xlpm.t,_xlpm.t&amp;" US"),_xlfn.XLOOKUP(_xlpm.k,TRIM(Table1[Target Ticker]),Table1[Target Industry Group])),"")</f>
        <v>Media</v>
      </c>
      <c r="M49">
        <f>_xll.BDP($J49, "LAST_PRICE")</f>
        <v>2.4049999999999998</v>
      </c>
      <c r="O49" t="str">
        <f>IF(Table13[[#This Row],[Cash/Tender/Stock/Mix]]= "Mix", "Stock", Table13[[#This Row],[Cash/Tender/Stock/Mix]])</f>
        <v>Cash</v>
      </c>
      <c r="P49" t="s">
        <v>23</v>
      </c>
    </row>
    <row r="50" spans="2:19" x14ac:dyDescent="0.25">
      <c r="B50" t="s">
        <v>1063</v>
      </c>
      <c r="C50" s="4">
        <v>46059</v>
      </c>
      <c r="D50" s="4">
        <v>46174</v>
      </c>
      <c r="E50" s="4">
        <v>46146</v>
      </c>
      <c r="F50" s="2">
        <f>IF(Table13[[#This Row],[Day Ann.]]="", "", Table13[[#This Row],[Initial Close Est.]]-Table13[[#This Row],[Day Ann.]])</f>
        <v>115</v>
      </c>
      <c r="G50" s="2">
        <f>IF(Table13[[#This Row],[Actual Close]]="", "",Table13[[#This Row],[Actual Close]]-Table13[[#This Row],[Day Ann.]])</f>
        <v>87</v>
      </c>
      <c r="H50" s="5">
        <f t="shared" si="3"/>
        <v>-28</v>
      </c>
      <c r="I50" s="5">
        <f t="shared" si="4"/>
        <v>28</v>
      </c>
      <c r="J50" t="str">
        <f t="shared" si="5"/>
        <v>STKL Equity</v>
      </c>
      <c r="K50" t="str" cm="1">
        <f t="array" ref="K50">IFERROR(_xlfn.LET(_xlpm.t,TRIM(Table13[[#This Row],[TICKER]]),_xlpm.k,IF(ISNUMBER(SEARCH(" ",_xlpm.t)),_xlpm.t,_xlpm.t&amp;" US"),_xlfn.XLOOKUP(_xlpm.k,TRIM(Table1[Target Ticker]),Table1[Target Industry Sector])),"")</f>
        <v/>
      </c>
      <c r="L50" t="str" cm="1">
        <f t="array" ref="L50">IFERROR(_xlfn.LET(_xlpm.t,TRIM(Table13[[#This Row],[TICKER]]),_xlpm.k,IF(ISNUMBER(SEARCH(" ",_xlpm.t)),_xlpm.t,_xlpm.t&amp;" US"),_xlfn.XLOOKUP(_xlpm.k,TRIM(Table1[Target Ticker]),Table1[Target Industry Group])),"")</f>
        <v/>
      </c>
      <c r="M50" t="str">
        <f>_xll.BDP($J50, "LAST_PRICE")</f>
        <v>#N/A Real Time</v>
      </c>
      <c r="O50" t="str">
        <f>IF(Table13[[#This Row],[Cash/Tender/Stock/Mix]]= "Mix", "Stock", Table13[[#This Row],[Cash/Tender/Stock/Mix]])</f>
        <v>Cash</v>
      </c>
      <c r="P50" t="s">
        <v>23</v>
      </c>
    </row>
    <row r="51" spans="2:19" x14ac:dyDescent="0.25">
      <c r="B51" t="s">
        <v>1064</v>
      </c>
      <c r="C51" s="4">
        <v>46057</v>
      </c>
      <c r="D51" s="4">
        <v>46068</v>
      </c>
      <c r="F51" s="2">
        <f>IF(Table13[[#This Row],[Day Ann.]]="", "", Table13[[#This Row],[Initial Close Est.]]-Table13[[#This Row],[Day Ann.]])</f>
        <v>11</v>
      </c>
      <c r="G51" s="2" t="str">
        <f>IF(Table13[[#This Row],[Actual Close]]="", "",Table13[[#This Row],[Actual Close]]-Table13[[#This Row],[Day Ann.]])</f>
        <v/>
      </c>
      <c r="H51" s="5" t="str">
        <f t="shared" si="3"/>
        <v/>
      </c>
      <c r="I51" s="5" t="str">
        <f t="shared" si="4"/>
        <v/>
      </c>
      <c r="J51" t="str">
        <f t="shared" si="5"/>
        <v>SLAB Equity</v>
      </c>
      <c r="K51" t="str" cm="1">
        <f t="array" ref="K51">IFERROR(_xlfn.LET(_xlpm.t,TRIM(Table13[[#This Row],[TICKER]]),_xlpm.k,IF(ISNUMBER(SEARCH(" ",_xlpm.t)),_xlpm.t,_xlpm.t&amp;" US"),_xlfn.XLOOKUP(_xlpm.k,TRIM(Table1[Target Ticker]),Table1[Target Industry Sector])),"")</f>
        <v>Technology</v>
      </c>
      <c r="L51" t="str" cm="1">
        <f t="array" ref="L51">IFERROR(_xlfn.LET(_xlpm.t,TRIM(Table13[[#This Row],[TICKER]]),_xlpm.k,IF(ISNUMBER(SEARCH(" ",_xlpm.t)),_xlpm.t,_xlpm.t&amp;" US"),_xlfn.XLOOKUP(_xlpm.k,TRIM(Table1[Target Ticker]),Table1[Target Industry Group])),"")</f>
        <v>Tech Hardware &amp; Semiconductors</v>
      </c>
      <c r="M51">
        <f>_xll.BDP($J51, "LAST_PRICE")</f>
        <v>217.83</v>
      </c>
      <c r="O51" t="str">
        <f>IF(Table13[[#This Row],[Cash/Tender/Stock/Mix]]= "Mix", "Stock", Table13[[#This Row],[Cash/Tender/Stock/Mix]])</f>
        <v>Cash</v>
      </c>
      <c r="P51" t="s">
        <v>23</v>
      </c>
    </row>
    <row r="52" spans="2:19" x14ac:dyDescent="0.25">
      <c r="B52" t="s">
        <v>1065</v>
      </c>
      <c r="C52" s="4">
        <v>46056</v>
      </c>
      <c r="D52" s="4">
        <v>46235</v>
      </c>
      <c r="F52" s="2">
        <f>IF(Table13[[#This Row],[Day Ann.]]="", "", Table13[[#This Row],[Initial Close Est.]]-Table13[[#This Row],[Day Ann.]])</f>
        <v>179</v>
      </c>
      <c r="G52" s="2" t="str">
        <f>IF(Table13[[#This Row],[Actual Close]]="", "",Table13[[#This Row],[Actual Close]]-Table13[[#This Row],[Day Ann.]])</f>
        <v/>
      </c>
      <c r="H52" s="5" t="str">
        <f t="shared" si="3"/>
        <v/>
      </c>
      <c r="I52" s="5" t="str">
        <f t="shared" si="4"/>
        <v/>
      </c>
      <c r="J52" t="str">
        <f t="shared" si="5"/>
        <v>WBS Equity</v>
      </c>
      <c r="K52" t="str" cm="1">
        <f t="array" ref="K52">IFERROR(_xlfn.LET(_xlpm.t,TRIM(Table13[[#This Row],[TICKER]]),_xlpm.k,IF(ISNUMBER(SEARCH(" ",_xlpm.t)),_xlpm.t,_xlpm.t&amp;" US"),_xlfn.XLOOKUP(_xlpm.k,TRIM(Table1[Target Ticker]),Table1[Target Industry Sector])),"")</f>
        <v>Financials</v>
      </c>
      <c r="L52" t="str" cm="1">
        <f t="array" ref="L52">IFERROR(_xlfn.LET(_xlpm.t,TRIM(Table13[[#This Row],[TICKER]]),_xlpm.k,IF(ISNUMBER(SEARCH(" ",_xlpm.t)),_xlpm.t,_xlpm.t&amp;" US"),_xlfn.XLOOKUP(_xlpm.k,TRIM(Table1[Target Ticker]),Table1[Target Industry Group])),"")</f>
        <v>Banking</v>
      </c>
      <c r="M52">
        <f>_xll.BDP($J52, "LAST_PRICE")</f>
        <v>75.540000000000006</v>
      </c>
      <c r="O52" t="str">
        <f>IF(Table13[[#This Row],[Cash/Tender/Stock/Mix]]= "Mix", "Stock", Table13[[#This Row],[Cash/Tender/Stock/Mix]])</f>
        <v>Stock</v>
      </c>
      <c r="P52" t="s">
        <v>1038</v>
      </c>
    </row>
    <row r="53" spans="2:19" x14ac:dyDescent="0.25">
      <c r="B53" t="s">
        <v>1066</v>
      </c>
      <c r="C53" s="4">
        <v>46055</v>
      </c>
      <c r="D53" s="4">
        <v>46162</v>
      </c>
      <c r="E53" s="4">
        <v>46149</v>
      </c>
      <c r="F53" s="2">
        <f>IF(Table13[[#This Row],[Day Ann.]]="", "", Table13[[#This Row],[Initial Close Est.]]-Table13[[#This Row],[Day Ann.]])</f>
        <v>107</v>
      </c>
      <c r="G53" s="2">
        <f>IF(Table13[[#This Row],[Actual Close]]="", "",Table13[[#This Row],[Actual Close]]-Table13[[#This Row],[Day Ann.]])</f>
        <v>94</v>
      </c>
      <c r="H53" s="5">
        <f t="shared" si="3"/>
        <v>-13</v>
      </c>
      <c r="I53" s="5">
        <f t="shared" si="4"/>
        <v>13</v>
      </c>
      <c r="J53" t="str">
        <f t="shared" si="5"/>
        <v>CTRA Equity</v>
      </c>
      <c r="K53" t="str" cm="1">
        <f t="array" ref="K53">IFERROR(_xlfn.LET(_xlpm.t,TRIM(Table13[[#This Row],[TICKER]]),_xlpm.k,IF(ISNUMBER(SEARCH(" ",_xlpm.t)),_xlpm.t,_xlpm.t&amp;" US"),_xlfn.XLOOKUP(_xlpm.k,TRIM(Table1[Target Ticker]),Table1[Target Industry Sector])),"")</f>
        <v>Energy</v>
      </c>
      <c r="L53" t="str" cm="1">
        <f t="array" ref="L53">IFERROR(_xlfn.LET(_xlpm.t,TRIM(Table13[[#This Row],[TICKER]]),_xlpm.k,IF(ISNUMBER(SEARCH(" ",_xlpm.t)),_xlpm.t,_xlpm.t&amp;" US"),_xlfn.XLOOKUP(_xlpm.k,TRIM(Table1[Target Ticker]),Table1[Target Industry Group])),"")</f>
        <v>Oil &amp; Gas</v>
      </c>
      <c r="M53" t="str">
        <f>_xll.BDP($J53, "LAST_PRICE")</f>
        <v>#N/A Real Time</v>
      </c>
      <c r="O53" t="str">
        <f>IF(Table13[[#This Row],[Cash/Tender/Stock/Mix]]= "Mix", "Stock", Table13[[#This Row],[Cash/Tender/Stock/Mix]])</f>
        <v>Stock</v>
      </c>
      <c r="P53" t="s">
        <v>1038</v>
      </c>
      <c r="S53" s="5"/>
    </row>
    <row r="54" spans="2:19" x14ac:dyDescent="0.25">
      <c r="B54" t="s">
        <v>1067</v>
      </c>
      <c r="C54" s="4">
        <v>46055</v>
      </c>
      <c r="D54" s="4">
        <v>46204</v>
      </c>
      <c r="F54" s="2">
        <f>IF(Table13[[#This Row],[Day Ann.]]="", "", Table13[[#This Row],[Initial Close Est.]]-Table13[[#This Row],[Day Ann.]])</f>
        <v>149</v>
      </c>
      <c r="G54" s="2" t="str">
        <f>IF(Table13[[#This Row],[Actual Close]]="", "",Table13[[#This Row],[Actual Close]]-Table13[[#This Row],[Day Ann.]])</f>
        <v/>
      </c>
      <c r="H54" s="5" t="str">
        <f t="shared" si="3"/>
        <v/>
      </c>
      <c r="I54" s="5" t="str">
        <f t="shared" si="4"/>
        <v/>
      </c>
      <c r="J54" t="str">
        <f t="shared" si="5"/>
        <v>NFBK Equity</v>
      </c>
      <c r="K54" t="str" cm="1">
        <f t="array" ref="K54">IFERROR(_xlfn.LET(_xlpm.t,TRIM(Table13[[#This Row],[TICKER]]),_xlpm.k,IF(ISNUMBER(SEARCH(" ",_xlpm.t)),_xlpm.t,_xlpm.t&amp;" US"),_xlfn.XLOOKUP(_xlpm.k,TRIM(Table1[Target Ticker]),Table1[Target Industry Sector])),"")</f>
        <v>Financials</v>
      </c>
      <c r="L54" t="str" cm="1">
        <f t="array" ref="L54">IFERROR(_xlfn.LET(_xlpm.t,TRIM(Table13[[#This Row],[TICKER]]),_xlpm.k,IF(ISNUMBER(SEARCH(" ",_xlpm.t)),_xlpm.t,_xlpm.t&amp;" US"),_xlfn.XLOOKUP(_xlpm.k,TRIM(Table1[Target Ticker]),Table1[Target Industry Group])),"")</f>
        <v>Banking</v>
      </c>
      <c r="M54">
        <f>_xll.BDP($J54, "LAST_PRICE")</f>
        <v>14.62</v>
      </c>
      <c r="O54" t="str">
        <f>IF(Table13[[#This Row],[Cash/Tender/Stock/Mix]]= "Mix", "Stock", Table13[[#This Row],[Cash/Tender/Stock/Mix]])</f>
        <v>Stock</v>
      </c>
      <c r="P54" t="s">
        <v>1038</v>
      </c>
    </row>
    <row r="55" spans="2:19" x14ac:dyDescent="0.25">
      <c r="B55" t="s">
        <v>1068</v>
      </c>
      <c r="C55" s="4">
        <v>46055</v>
      </c>
      <c r="D55" s="4">
        <v>46133</v>
      </c>
      <c r="E55" s="4">
        <v>46148</v>
      </c>
      <c r="F55" s="2">
        <f>IF(Table13[[#This Row],[Day Ann.]]="", "", Table13[[#This Row],[Initial Close Est.]]-Table13[[#This Row],[Day Ann.]])</f>
        <v>78</v>
      </c>
      <c r="G55" s="2">
        <f>IF(Table13[[#This Row],[Actual Close]]="", "",Table13[[#This Row],[Actual Close]]-Table13[[#This Row],[Day Ann.]])</f>
        <v>93</v>
      </c>
      <c r="H55" s="5">
        <f t="shared" si="3"/>
        <v>15</v>
      </c>
      <c r="I55" s="5">
        <f t="shared" si="4"/>
        <v>15</v>
      </c>
      <c r="J55" t="str">
        <f t="shared" si="5"/>
        <v>PKST Equity</v>
      </c>
      <c r="K55" t="str" cm="1">
        <f t="array" ref="K55">IFERROR(_xlfn.LET(_xlpm.t,TRIM(Table13[[#This Row],[TICKER]]),_xlpm.k,IF(ISNUMBER(SEARCH(" ",_xlpm.t)),_xlpm.t,_xlpm.t&amp;" US"),_xlfn.XLOOKUP(_xlpm.k,TRIM(Table1[Target Ticker]),Table1[Target Industry Sector])),"")</f>
        <v>Real Estate</v>
      </c>
      <c r="L55" t="str" cm="1">
        <f t="array" ref="L55">IFERROR(_xlfn.LET(_xlpm.t,TRIM(Table13[[#This Row],[TICKER]]),_xlpm.k,IF(ISNUMBER(SEARCH(" ",_xlpm.t)),_xlpm.t,_xlpm.t&amp;" US"),_xlfn.XLOOKUP(_xlpm.k,TRIM(Table1[Target Ticker]),Table1[Target Industry Group])),"")</f>
        <v>Real Estate</v>
      </c>
      <c r="M55" t="str">
        <f>_xll.BDP($J55, "LAST_PRICE")</f>
        <v>#N/A Real Time</v>
      </c>
      <c r="O55" t="str">
        <f>IF(Table13[[#This Row],[Cash/Tender/Stock/Mix]]= "Mix", "Stock", Table13[[#This Row],[Cash/Tender/Stock/Mix]])</f>
        <v>Cash</v>
      </c>
      <c r="P55" t="s">
        <v>23</v>
      </c>
    </row>
    <row r="56" spans="2:19" x14ac:dyDescent="0.25">
      <c r="B56" t="s">
        <v>406</v>
      </c>
      <c r="C56" s="4">
        <v>46055</v>
      </c>
      <c r="D56" s="4">
        <v>46174</v>
      </c>
      <c r="E56" s="4">
        <v>46128</v>
      </c>
      <c r="F56" s="2">
        <f>IF(Table13[[#This Row],[Day Ann.]]="", "", Table13[[#This Row],[Initial Close Est.]]-Table13[[#This Row],[Day Ann.]])</f>
        <v>119</v>
      </c>
      <c r="G56" s="2">
        <f>IF(Table13[[#This Row],[Actual Close]]="", "",Table13[[#This Row],[Actual Close]]-Table13[[#This Row],[Day Ann.]])</f>
        <v>73</v>
      </c>
      <c r="H56" s="5">
        <f t="shared" si="3"/>
        <v>-46</v>
      </c>
      <c r="I56" s="5">
        <f t="shared" si="4"/>
        <v>46</v>
      </c>
      <c r="J56" t="str">
        <f t="shared" si="5"/>
        <v>FOM CN Equity</v>
      </c>
      <c r="K56" t="str" cm="1">
        <f t="array" ref="K56">IFERROR(_xlfn.LET(_xlpm.t,TRIM(Table13[[#This Row],[TICKER]]),_xlpm.k,IF(ISNUMBER(SEARCH(" ",_xlpm.t)),_xlpm.t,_xlpm.t&amp;" US"),_xlfn.XLOOKUP(_xlpm.k,TRIM(Table1[Target Ticker]),Table1[Target Industry Sector])),"")</f>
        <v>Materials</v>
      </c>
      <c r="L56" t="str" cm="1">
        <f t="array" ref="L56">IFERROR(_xlfn.LET(_xlpm.t,TRIM(Table13[[#This Row],[TICKER]]),_xlpm.k,IF(ISNUMBER(SEARCH(" ",_xlpm.t)),_xlpm.t,_xlpm.t&amp;" US"),_xlfn.XLOOKUP(_xlpm.k,TRIM(Table1[Target Ticker]),Table1[Target Industry Group])),"")</f>
        <v>Materials</v>
      </c>
      <c r="M56" t="str">
        <f>_xll.BDP($J56, "LAST_PRICE")</f>
        <v>#N/A Real Time</v>
      </c>
      <c r="O56" t="str">
        <f>IF(Table13[[#This Row],[Cash/Tender/Stock/Mix]]= "Mix", "Stock", Table13[[#This Row],[Cash/Tender/Stock/Mix]])</f>
        <v>Stock</v>
      </c>
      <c r="P56" t="s">
        <v>1038</v>
      </c>
    </row>
    <row r="57" spans="2:19" x14ac:dyDescent="0.25">
      <c r="B57" t="s">
        <v>1069</v>
      </c>
      <c r="C57" s="4">
        <v>46050</v>
      </c>
      <c r="D57" s="4">
        <v>46174</v>
      </c>
      <c r="F57" s="2">
        <f>IF(Table13[[#This Row],[Day Ann.]]="", "", Table13[[#This Row],[Initial Close Est.]]-Table13[[#This Row],[Day Ann.]])</f>
        <v>124</v>
      </c>
      <c r="G57" s="2" t="str">
        <f>IF(Table13[[#This Row],[Actual Close]]="", "",Table13[[#This Row],[Actual Close]]-Table13[[#This Row],[Day Ann.]])</f>
        <v/>
      </c>
      <c r="H57" s="5" t="str">
        <f t="shared" si="3"/>
        <v/>
      </c>
      <c r="I57" s="5" t="str">
        <f t="shared" si="4"/>
        <v/>
      </c>
      <c r="J57" t="str">
        <f t="shared" si="5"/>
        <v>STEL Equity</v>
      </c>
      <c r="K57" t="str" cm="1">
        <f t="array" ref="K57">IFERROR(_xlfn.LET(_xlpm.t,TRIM(Table13[[#This Row],[TICKER]]),_xlpm.k,IF(ISNUMBER(SEARCH(" ",_xlpm.t)),_xlpm.t,_xlpm.t&amp;" US"),_xlfn.XLOOKUP(_xlpm.k,TRIM(Table1[Target Ticker]),Table1[Target Industry Sector])),"")</f>
        <v>Financials</v>
      </c>
      <c r="L57" t="str" cm="1">
        <f t="array" ref="L57">IFERROR(_xlfn.LET(_xlpm.t,TRIM(Table13[[#This Row],[TICKER]]),_xlpm.k,IF(ISNUMBER(SEARCH(" ",_xlpm.t)),_xlpm.t,_xlpm.t&amp;" US"),_xlfn.XLOOKUP(_xlpm.k,TRIM(Table1[Target Ticker]),Table1[Target Industry Group])),"")</f>
        <v>Banking</v>
      </c>
      <c r="M57">
        <f>_xll.BDP($J57, "LAST_PRICE")</f>
        <v>38.86</v>
      </c>
      <c r="O57" t="str">
        <f>IF(Table13[[#This Row],[Cash/Tender/Stock/Mix]]= "Mix", "Stock", Table13[[#This Row],[Cash/Tender/Stock/Mix]])</f>
        <v>Stock</v>
      </c>
      <c r="P57" t="s">
        <v>1038</v>
      </c>
    </row>
    <row r="58" spans="2:19" x14ac:dyDescent="0.25">
      <c r="B58" t="s">
        <v>1070</v>
      </c>
      <c r="C58" s="4">
        <v>46048</v>
      </c>
      <c r="D58" s="4">
        <v>46204</v>
      </c>
      <c r="F58" s="2">
        <f>IF(Table13[[#This Row],[Day Ann.]]="", "", Table13[[#This Row],[Initial Close Est.]]-Table13[[#This Row],[Day Ann.]])</f>
        <v>156</v>
      </c>
      <c r="G58" s="2" t="str">
        <f>IF(Table13[[#This Row],[Actual Close]]="", "",Table13[[#This Row],[Actual Close]]-Table13[[#This Row],[Day Ann.]])</f>
        <v/>
      </c>
      <c r="H58" s="5" t="str">
        <f t="shared" si="3"/>
        <v/>
      </c>
      <c r="I58" s="5" t="str">
        <f t="shared" si="4"/>
        <v/>
      </c>
      <c r="J58" t="str">
        <f t="shared" si="5"/>
        <v>SKYT Equity</v>
      </c>
      <c r="K58" t="str" cm="1">
        <f t="array" ref="K58">IFERROR(_xlfn.LET(_xlpm.t,TRIM(Table13[[#This Row],[TICKER]]),_xlpm.k,IF(ISNUMBER(SEARCH(" ",_xlpm.t)),_xlpm.t,_xlpm.t&amp;" US"),_xlfn.XLOOKUP(_xlpm.k,TRIM(Table1[Target Ticker]),Table1[Target Industry Sector])),"")</f>
        <v>Technology</v>
      </c>
      <c r="L58" t="str" cm="1">
        <f t="array" ref="L58">IFERROR(_xlfn.LET(_xlpm.t,TRIM(Table13[[#This Row],[TICKER]]),_xlpm.k,IF(ISNUMBER(SEARCH(" ",_xlpm.t)),_xlpm.t,_xlpm.t&amp;" US"),_xlfn.XLOOKUP(_xlpm.k,TRIM(Table1[Target Ticker]),Table1[Target Industry Group])),"")</f>
        <v>Tech Hardware &amp; Semiconductors</v>
      </c>
      <c r="M58">
        <f>_xll.BDP($J58, "LAST_PRICE")</f>
        <v>34.28</v>
      </c>
      <c r="O58" t="str">
        <f>IF(Table13[[#This Row],[Cash/Tender/Stock/Mix]]= "Mix", "Stock", Table13[[#This Row],[Cash/Tender/Stock/Mix]])</f>
        <v>Stock</v>
      </c>
      <c r="P58" t="s">
        <v>1038</v>
      </c>
    </row>
    <row r="59" spans="2:19" x14ac:dyDescent="0.25">
      <c r="B59" t="s">
        <v>325</v>
      </c>
      <c r="C59" s="4">
        <v>46048</v>
      </c>
      <c r="D59" s="4">
        <v>46143</v>
      </c>
      <c r="F59" s="2">
        <f>IF(Table13[[#This Row],[Day Ann.]]="", "", Table13[[#This Row],[Initial Close Est.]]-Table13[[#This Row],[Day Ann.]])</f>
        <v>95</v>
      </c>
      <c r="G59" s="2" t="str">
        <f>IF(Table13[[#This Row],[Actual Close]]="", "",Table13[[#This Row],[Actual Close]]-Table13[[#This Row],[Day Ann.]])</f>
        <v/>
      </c>
      <c r="H59" s="5" t="str">
        <f t="shared" si="3"/>
        <v/>
      </c>
      <c r="I59" s="5" t="str">
        <f t="shared" si="4"/>
        <v/>
      </c>
      <c r="J59" t="str">
        <f t="shared" si="5"/>
        <v>AAUC CN Equity</v>
      </c>
      <c r="K59" t="str" cm="1">
        <f t="array" ref="K59">IFERROR(_xlfn.LET(_xlpm.t,TRIM(Table13[[#This Row],[TICKER]]),_xlpm.k,IF(ISNUMBER(SEARCH(" ",_xlpm.t)),_xlpm.t,_xlpm.t&amp;" US"),_xlfn.XLOOKUP(_xlpm.k,TRIM(Table1[Target Ticker]),Table1[Target Industry Sector])),"")</f>
        <v>Materials</v>
      </c>
      <c r="L59" t="str" cm="1">
        <f t="array" ref="L59">IFERROR(_xlfn.LET(_xlpm.t,TRIM(Table13[[#This Row],[TICKER]]),_xlpm.k,IF(ISNUMBER(SEARCH(" ",_xlpm.t)),_xlpm.t,_xlpm.t&amp;" US"),_xlfn.XLOOKUP(_xlpm.k,TRIM(Table1[Target Ticker]),Table1[Target Industry Group])),"")</f>
        <v>Materials</v>
      </c>
      <c r="M59">
        <f>_xll.BDP($J59, "LAST_PRICE")</f>
        <v>32.450000000000003</v>
      </c>
      <c r="O59" t="str">
        <f>IF(Table13[[#This Row],[Cash/Tender/Stock/Mix]]= "Mix", "Stock", Table13[[#This Row],[Cash/Tender/Stock/Mix]])</f>
        <v>Stock</v>
      </c>
      <c r="P59" t="s">
        <v>38</v>
      </c>
    </row>
    <row r="60" spans="2:19" x14ac:dyDescent="0.25">
      <c r="B60" t="s">
        <v>1071</v>
      </c>
      <c r="C60" s="4">
        <v>46042</v>
      </c>
      <c r="D60" s="4">
        <v>46087</v>
      </c>
      <c r="E60" s="4">
        <v>46085</v>
      </c>
      <c r="F60" s="2">
        <f>IF(Table13[[#This Row],[Day Ann.]]="", "", Table13[[#This Row],[Initial Close Est.]]-Table13[[#This Row],[Day Ann.]])</f>
        <v>45</v>
      </c>
      <c r="G60" s="2">
        <f>IF(Table13[[#This Row],[Actual Close]]="", "",Table13[[#This Row],[Actual Close]]-Table13[[#This Row],[Day Ann.]])</f>
        <v>43</v>
      </c>
      <c r="H60" s="5">
        <f t="shared" si="3"/>
        <v>-2</v>
      </c>
      <c r="I60" s="5">
        <f t="shared" si="4"/>
        <v>2</v>
      </c>
      <c r="J60" t="str">
        <f t="shared" si="5"/>
        <v>RAPT Equity</v>
      </c>
      <c r="K60" t="str" cm="1">
        <f t="array" ref="K60">IFERROR(_xlfn.LET(_xlpm.t,TRIM(Table13[[#This Row],[TICKER]]),_xlpm.k,IF(ISNUMBER(SEARCH(" ",_xlpm.t)),_xlpm.t,_xlpm.t&amp;" US"),_xlfn.XLOOKUP(_xlpm.k,TRIM(Table1[Target Ticker]),Table1[Target Industry Sector])),"")</f>
        <v>Health Care</v>
      </c>
      <c r="L60" t="str" cm="1">
        <f t="array" ref="L60">IFERROR(_xlfn.LET(_xlpm.t,TRIM(Table13[[#This Row],[TICKER]]),_xlpm.k,IF(ISNUMBER(SEARCH(" ",_xlpm.t)),_xlpm.t,_xlpm.t&amp;" US"),_xlfn.XLOOKUP(_xlpm.k,TRIM(Table1[Target Ticker]),Table1[Target Industry Group])),"")</f>
        <v>Health Care</v>
      </c>
      <c r="M60" t="str">
        <f>_xll.BDP($J60, "LAST_PRICE")</f>
        <v>#N/A Real Time</v>
      </c>
      <c r="O60" t="str">
        <f>IF(Table13[[#This Row],[Cash/Tender/Stock/Mix]]= "Mix", "Stock", Table13[[#This Row],[Cash/Tender/Stock/Mix]])</f>
        <v>Tender</v>
      </c>
      <c r="P60" t="s">
        <v>1029</v>
      </c>
    </row>
    <row r="61" spans="2:19" x14ac:dyDescent="0.25">
      <c r="B61" t="s">
        <v>1072</v>
      </c>
      <c r="C61" s="4">
        <v>46037</v>
      </c>
      <c r="D61" s="4">
        <v>46310</v>
      </c>
      <c r="F61" s="2">
        <f>IF(Table13[[#This Row],[Day Ann.]]="", "", Table13[[#This Row],[Initial Close Est.]]-Table13[[#This Row],[Day Ann.]])</f>
        <v>273</v>
      </c>
      <c r="G61" s="2" t="str">
        <f>IF(Table13[[#This Row],[Actual Close]]="", "",Table13[[#This Row],[Actual Close]]-Table13[[#This Row],[Day Ann.]])</f>
        <v/>
      </c>
      <c r="H61" s="5" t="str">
        <f t="shared" si="3"/>
        <v/>
      </c>
      <c r="I61" s="5" t="str">
        <f t="shared" si="4"/>
        <v/>
      </c>
      <c r="J61" t="str">
        <f t="shared" si="5"/>
        <v>PEN Equity</v>
      </c>
      <c r="K61" t="str" cm="1">
        <f t="array" ref="K61">IFERROR(_xlfn.LET(_xlpm.t,TRIM(Table13[[#This Row],[TICKER]]),_xlpm.k,IF(ISNUMBER(SEARCH(" ",_xlpm.t)),_xlpm.t,_xlpm.t&amp;" US"),_xlfn.XLOOKUP(_xlpm.k,TRIM(Table1[Target Ticker]),Table1[Target Industry Sector])),"")</f>
        <v>Health Care</v>
      </c>
      <c r="L61" t="str" cm="1">
        <f t="array" ref="L61">IFERROR(_xlfn.LET(_xlpm.t,TRIM(Table13[[#This Row],[TICKER]]),_xlpm.k,IF(ISNUMBER(SEARCH(" ",_xlpm.t)),_xlpm.t,_xlpm.t&amp;" US"),_xlfn.XLOOKUP(_xlpm.k,TRIM(Table1[Target Ticker]),Table1[Target Industry Group])),"")</f>
        <v>Health Care</v>
      </c>
      <c r="M61">
        <f>_xll.BDP($J61, "LAST_PRICE")</f>
        <v>317.42</v>
      </c>
      <c r="O61" t="str">
        <f>IF(Table13[[#This Row],[Cash/Tender/Stock/Mix]]= "Mix", "Stock", Table13[[#This Row],[Cash/Tender/Stock/Mix]])</f>
        <v>Stock</v>
      </c>
      <c r="P61" t="s">
        <v>1038</v>
      </c>
    </row>
    <row r="62" spans="2:19" x14ac:dyDescent="0.25">
      <c r="B62" t="s">
        <v>1073</v>
      </c>
      <c r="C62" s="4">
        <v>46033</v>
      </c>
      <c r="D62" s="4">
        <v>46266</v>
      </c>
      <c r="E62" s="4">
        <v>46156</v>
      </c>
      <c r="F62" s="2">
        <f>IF(Table13[[#This Row],[Day Ann.]]="", "", Table13[[#This Row],[Initial Close Est.]]-Table13[[#This Row],[Day Ann.]])</f>
        <v>233</v>
      </c>
      <c r="G62" s="2">
        <f>IF(Table13[[#This Row],[Actual Close]]="", "",Table13[[#This Row],[Actual Close]]-Table13[[#This Row],[Day Ann.]])</f>
        <v>123</v>
      </c>
      <c r="H62" s="5">
        <f t="shared" si="3"/>
        <v>-110</v>
      </c>
      <c r="I62" s="5">
        <f t="shared" si="4"/>
        <v>110</v>
      </c>
      <c r="J62" t="str">
        <f t="shared" si="5"/>
        <v>SNCY Equity</v>
      </c>
      <c r="K62" t="str" cm="1">
        <f t="array" ref="K62">IFERROR(_xlfn.LET(_xlpm.t,TRIM(Table13[[#This Row],[TICKER]]),_xlpm.k,IF(ISNUMBER(SEARCH(" ",_xlpm.t)),_xlpm.t,_xlpm.t&amp;" US"),_xlfn.XLOOKUP(_xlpm.k,TRIM(Table1[Target Ticker]),Table1[Target Industry Sector])),"")</f>
        <v>Industrials</v>
      </c>
      <c r="L62" t="str" cm="1">
        <f t="array" ref="L62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62" t="str">
        <f>_xll.BDP($J62, "LAST_PRICE")</f>
        <v>#N/A Real Time</v>
      </c>
      <c r="O62" t="str">
        <f>IF(Table13[[#This Row],[Cash/Tender/Stock/Mix]]= "Mix", "Stock", Table13[[#This Row],[Cash/Tender/Stock/Mix]])</f>
        <v>Stock</v>
      </c>
      <c r="P62" t="s">
        <v>1038</v>
      </c>
    </row>
    <row r="63" spans="2:19" x14ac:dyDescent="0.25">
      <c r="B63" t="s">
        <v>1074</v>
      </c>
      <c r="C63" s="4">
        <v>46029</v>
      </c>
      <c r="D63" s="4">
        <v>46104</v>
      </c>
      <c r="E63" s="4">
        <v>46086</v>
      </c>
      <c r="F63" s="2">
        <f>IF(Table13[[#This Row],[Day Ann.]]="", "", Table13[[#This Row],[Initial Close Est.]]-Table13[[#This Row],[Day Ann.]])</f>
        <v>75</v>
      </c>
      <c r="G63" s="2">
        <f>IF(Table13[[#This Row],[Actual Close]]="", "",Table13[[#This Row],[Actual Close]]-Table13[[#This Row],[Day Ann.]])</f>
        <v>57</v>
      </c>
      <c r="H63" s="5">
        <f t="shared" si="3"/>
        <v>-18</v>
      </c>
      <c r="I63" s="5">
        <f t="shared" si="4"/>
        <v>18</v>
      </c>
      <c r="J63" t="str">
        <f t="shared" si="5"/>
        <v>VTYX Equity</v>
      </c>
      <c r="K63" t="str" cm="1">
        <f t="array" ref="K63">IFERROR(_xlfn.LET(_xlpm.t,TRIM(Table13[[#This Row],[TICKER]]),_xlpm.k,IF(ISNUMBER(SEARCH(" ",_xlpm.t)),_xlpm.t,_xlpm.t&amp;" US"),_xlfn.XLOOKUP(_xlpm.k,TRIM(Table1[Target Ticker]),Table1[Target Industry Sector])),"")</f>
        <v>Health Care</v>
      </c>
      <c r="L63" t="str" cm="1">
        <f t="array" ref="L63">IFERROR(_xlfn.LET(_xlpm.t,TRIM(Table13[[#This Row],[TICKER]]),_xlpm.k,IF(ISNUMBER(SEARCH(" ",_xlpm.t)),_xlpm.t,_xlpm.t&amp;" US"),_xlfn.XLOOKUP(_xlpm.k,TRIM(Table1[Target Ticker]),Table1[Target Industry Group])),"")</f>
        <v>Health Care</v>
      </c>
      <c r="M63" t="str">
        <f>_xll.BDP($J63, "LAST_PRICE")</f>
        <v>#N/A Real Time</v>
      </c>
      <c r="O63" t="str">
        <f>IF(Table13[[#This Row],[Cash/Tender/Stock/Mix]]= "Mix", "Stock", Table13[[#This Row],[Cash/Tender/Stock/Mix]])</f>
        <v>Cash</v>
      </c>
      <c r="P63" t="s">
        <v>23</v>
      </c>
    </row>
    <row r="64" spans="2:19" x14ac:dyDescent="0.25">
      <c r="B64" t="s">
        <v>1075</v>
      </c>
      <c r="C64" s="4">
        <v>46028</v>
      </c>
      <c r="D64" s="4">
        <v>46157</v>
      </c>
      <c r="E64" s="4">
        <v>46114</v>
      </c>
      <c r="F64" s="2">
        <f>IF(Table13[[#This Row],[Day Ann.]]="", "", Table13[[#This Row],[Initial Close Est.]]-Table13[[#This Row],[Day Ann.]])</f>
        <v>129</v>
      </c>
      <c r="G64" s="2">
        <f>IF(Table13[[#This Row],[Actual Close]]="", "",Table13[[#This Row],[Actual Close]]-Table13[[#This Row],[Day Ann.]])</f>
        <v>86</v>
      </c>
      <c r="H64" s="5">
        <f t="shared" si="3"/>
        <v>-43</v>
      </c>
      <c r="I64" s="5">
        <f t="shared" si="4"/>
        <v>43</v>
      </c>
      <c r="J64" t="str">
        <f t="shared" si="5"/>
        <v>OS Equity</v>
      </c>
      <c r="K64" t="str" cm="1">
        <f t="array" ref="K64">IFERROR(_xlfn.LET(_xlpm.t,TRIM(Table13[[#This Row],[TICKER]]),_xlpm.k,IF(ISNUMBER(SEARCH(" ",_xlpm.t)),_xlpm.t,_xlpm.t&amp;" US"),_xlfn.XLOOKUP(_xlpm.k,TRIM(Table1[Target Ticker]),Table1[Target Industry Sector])),"")</f>
        <v>Technology</v>
      </c>
      <c r="L64" t="str" cm="1">
        <f t="array" ref="L64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64" t="str">
        <f>_xll.BDP($J64, "LAST_PRICE")</f>
        <v>#N/A Real Time</v>
      </c>
      <c r="O64" t="str">
        <f>IF(Table13[[#This Row],[Cash/Tender/Stock/Mix]]= "Mix", "Stock", Table13[[#This Row],[Cash/Tender/Stock/Mix]])</f>
        <v>Cash</v>
      </c>
      <c r="P64" t="s">
        <v>23</v>
      </c>
    </row>
    <row r="65" spans="2:16" x14ac:dyDescent="0.25">
      <c r="B65" t="s">
        <v>855</v>
      </c>
      <c r="C65" s="4">
        <v>46027</v>
      </c>
      <c r="D65" s="4">
        <v>46235</v>
      </c>
      <c r="F65" s="2">
        <f>IF(Table13[[#This Row],[Day Ann.]]="", "", Table13[[#This Row],[Initial Close Est.]]-Table13[[#This Row],[Day Ann.]])</f>
        <v>208</v>
      </c>
      <c r="G65" s="2" t="str">
        <f>IF(Table13[[#This Row],[Actual Close]]="", "",Table13[[#This Row],[Actual Close]]-Table13[[#This Row],[Day Ann.]])</f>
        <v/>
      </c>
      <c r="H65" s="5" t="str">
        <f t="shared" si="3"/>
        <v/>
      </c>
      <c r="I65" s="5" t="str">
        <f t="shared" si="4"/>
        <v/>
      </c>
      <c r="J65" t="str">
        <f t="shared" si="5"/>
        <v>MI-U CN Equity</v>
      </c>
      <c r="K65" t="str" cm="1">
        <f t="array" ref="K65">IFERROR(_xlfn.LET(_xlpm.t,TRIM(Table13[[#This Row],[TICKER]]),_xlpm.k,IF(ISNUMBER(SEARCH(" ",_xlpm.t)),_xlpm.t,_xlpm.t&amp;" US"),_xlfn.XLOOKUP(_xlpm.k,TRIM(Table1[Target Ticker]),Table1[Target Industry Sector])),"")</f>
        <v>Real Estate</v>
      </c>
      <c r="L65" t="str" cm="1">
        <f t="array" ref="L65">IFERROR(_xlfn.LET(_xlpm.t,TRIM(Table13[[#This Row],[TICKER]]),_xlpm.k,IF(ISNUMBER(SEARCH(" ",_xlpm.t)),_xlpm.t,_xlpm.t&amp;" US"),_xlfn.XLOOKUP(_xlpm.k,TRIM(Table1[Target Ticker]),Table1[Target Industry Group])),"")</f>
        <v>Real Estate</v>
      </c>
      <c r="M65">
        <f>_xll.BDP($J65, "LAST_PRICE")</f>
        <v>17.47</v>
      </c>
      <c r="O65" t="str">
        <f>IF(Table13[[#This Row],[Cash/Tender/Stock/Mix]]= "Mix", "Stock", Table13[[#This Row],[Cash/Tender/Stock/Mix]])</f>
        <v>Cash</v>
      </c>
      <c r="P65" t="s">
        <v>23</v>
      </c>
    </row>
    <row r="66" spans="2:16" x14ac:dyDescent="0.25">
      <c r="B66" t="s">
        <v>1076</v>
      </c>
      <c r="C66" s="4">
        <v>46021</v>
      </c>
      <c r="D66" s="4">
        <v>46143</v>
      </c>
      <c r="E66" s="4">
        <v>46174</v>
      </c>
      <c r="F66" s="2">
        <f>IF(Table13[[#This Row],[Day Ann.]]="", "", Table13[[#This Row],[Initial Close Est.]]-Table13[[#This Row],[Day Ann.]])</f>
        <v>122</v>
      </c>
      <c r="G66" s="2">
        <f>IF(Table13[[#This Row],[Actual Close]]="", "",Table13[[#This Row],[Actual Close]]-Table13[[#This Row],[Day Ann.]])</f>
        <v>153</v>
      </c>
      <c r="H66" s="5">
        <f t="shared" si="3"/>
        <v>31</v>
      </c>
      <c r="I66" s="5">
        <f t="shared" si="4"/>
        <v>31</v>
      </c>
      <c r="J66" t="str">
        <f t="shared" si="5"/>
        <v>FFIC Equity</v>
      </c>
      <c r="K66" t="str" cm="1">
        <f t="array" ref="K66">IFERROR(_xlfn.LET(_xlpm.t,TRIM(Table13[[#This Row],[TICKER]]),_xlpm.k,IF(ISNUMBER(SEARCH(" ",_xlpm.t)),_xlpm.t,_xlpm.t&amp;" US"),_xlfn.XLOOKUP(_xlpm.k,TRIM(Table1[Target Ticker]),Table1[Target Industry Sector])),"")</f>
        <v>Financials</v>
      </c>
      <c r="L66" t="str" cm="1">
        <f t="array" ref="L66">IFERROR(_xlfn.LET(_xlpm.t,TRIM(Table13[[#This Row],[TICKER]]),_xlpm.k,IF(ISNUMBER(SEARCH(" ",_xlpm.t)),_xlpm.t,_xlpm.t&amp;" US"),_xlfn.XLOOKUP(_xlpm.k,TRIM(Table1[Target Ticker]),Table1[Target Industry Group])),"")</f>
        <v>Banking</v>
      </c>
      <c r="M66" t="str">
        <f>_xll.BDP($J66, "LAST_PRICE")</f>
        <v>#N/A Real Time</v>
      </c>
      <c r="O66" t="str">
        <f>IF(Table13[[#This Row],[Cash/Tender/Stock/Mix]]= "Mix", "Stock", Table13[[#This Row],[Cash/Tender/Stock/Mix]])</f>
        <v>Stock</v>
      </c>
      <c r="P66" t="s">
        <v>38</v>
      </c>
    </row>
    <row r="67" spans="2:16" x14ac:dyDescent="0.25">
      <c r="B67" t="s">
        <v>1077</v>
      </c>
      <c r="C67" s="4">
        <v>46021</v>
      </c>
      <c r="D67" s="4">
        <v>46127</v>
      </c>
      <c r="E67" s="4">
        <v>46113</v>
      </c>
      <c r="F67" s="2">
        <f>IF(Table13[[#This Row],[Day Ann.]]="", "", Table13[[#This Row],[Initial Close Est.]]-Table13[[#This Row],[Day Ann.]])</f>
        <v>106</v>
      </c>
      <c r="G67" s="2">
        <f>IF(Table13[[#This Row],[Actual Close]]="", "",Table13[[#This Row],[Actual Close]]-Table13[[#This Row],[Day Ann.]])</f>
        <v>92</v>
      </c>
      <c r="H67" s="5">
        <f t="shared" ref="H67:H98" si="6">IF(E67="","",E67-D67)</f>
        <v>-14</v>
      </c>
      <c r="I67" s="5">
        <f t="shared" ref="I67:I98" si="7">IF(H67="", "",ABS(H67))</f>
        <v>14</v>
      </c>
      <c r="J67" t="str">
        <f t="shared" ref="J67:J98" si="8">(B67&amp;" Equity")</f>
        <v>ONTF Equity</v>
      </c>
      <c r="K67" t="str" cm="1">
        <f t="array" ref="K67">IFERROR(_xlfn.LET(_xlpm.t,TRIM(Table13[[#This Row],[TICKER]]),_xlpm.k,IF(ISNUMBER(SEARCH(" ",_xlpm.t)),_xlpm.t,_xlpm.t&amp;" US"),_xlfn.XLOOKUP(_xlpm.k,TRIM(Table1[Target Ticker]),Table1[Target Industry Sector])),"")</f>
        <v/>
      </c>
      <c r="L67" t="str" cm="1">
        <f t="array" ref="L67">IFERROR(_xlfn.LET(_xlpm.t,TRIM(Table13[[#This Row],[TICKER]]),_xlpm.k,IF(ISNUMBER(SEARCH(" ",_xlpm.t)),_xlpm.t,_xlpm.t&amp;" US"),_xlfn.XLOOKUP(_xlpm.k,TRIM(Table1[Target Ticker]),Table1[Target Industry Group])),"")</f>
        <v/>
      </c>
      <c r="M67" t="str">
        <f>_xll.BDP($J67, "LAST_PRICE")</f>
        <v>#N/A Real Time</v>
      </c>
      <c r="O67" t="str">
        <f>IF(Table13[[#This Row],[Cash/Tender/Stock/Mix]]= "Mix", "Stock", Table13[[#This Row],[Cash/Tender/Stock/Mix]])</f>
        <v>Cash</v>
      </c>
      <c r="P67" t="s">
        <v>23</v>
      </c>
    </row>
    <row r="68" spans="2:16" x14ac:dyDescent="0.25">
      <c r="B68" t="s">
        <v>1078</v>
      </c>
      <c r="C68" s="4">
        <v>46020</v>
      </c>
      <c r="D68" s="4">
        <v>46235</v>
      </c>
      <c r="F68" s="2">
        <f>IF(Table13[[#This Row],[Day Ann.]]="", "", Table13[[#This Row],[Initial Close Est.]]-Table13[[#This Row],[Day Ann.]])</f>
        <v>215</v>
      </c>
      <c r="G68" s="2" t="str">
        <f>IF(Table13[[#This Row],[Actual Close]]="", "",Table13[[#This Row],[Actual Close]]-Table13[[#This Row],[Day Ann.]])</f>
        <v/>
      </c>
      <c r="H68" s="5" t="str">
        <f t="shared" si="6"/>
        <v/>
      </c>
      <c r="I68" s="5" t="str">
        <f t="shared" si="7"/>
        <v/>
      </c>
      <c r="J68" t="str">
        <f t="shared" si="8"/>
        <v>DBRG Equity</v>
      </c>
      <c r="K68" t="str" cm="1">
        <f t="array" ref="K68">IFERROR(_xlfn.LET(_xlpm.t,TRIM(Table13[[#This Row],[TICKER]]),_xlpm.k,IF(ISNUMBER(SEARCH(" ",_xlpm.t)),_xlpm.t,_xlpm.t&amp;" US"),_xlfn.XLOOKUP(_xlpm.k,TRIM(Table1[Target Ticker]),Table1[Target Industry Sector])),"")</f>
        <v>Financials</v>
      </c>
      <c r="L68" t="str" cm="1">
        <f t="array" ref="L68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68">
        <f>_xll.BDP($J68, "LAST_PRICE")</f>
        <v>15.725</v>
      </c>
      <c r="O68" t="str">
        <f>IF(Table13[[#This Row],[Cash/Tender/Stock/Mix]]= "Mix", "Stock", Table13[[#This Row],[Cash/Tender/Stock/Mix]])</f>
        <v>Cash</v>
      </c>
      <c r="P68" t="s">
        <v>23</v>
      </c>
    </row>
    <row r="69" spans="2:16" x14ac:dyDescent="0.25">
      <c r="B69" t="s">
        <v>1079</v>
      </c>
      <c r="C69" s="4">
        <v>46015</v>
      </c>
      <c r="D69" s="4">
        <v>46060</v>
      </c>
      <c r="E69" s="4">
        <v>46064</v>
      </c>
      <c r="F69" s="2">
        <f>IF(Table13[[#This Row],[Day Ann.]]="", "", Table13[[#This Row],[Initial Close Est.]]-Table13[[#This Row],[Day Ann.]])</f>
        <v>45</v>
      </c>
      <c r="G69" s="2">
        <f>IF(Table13[[#This Row],[Actual Close]]="", "",Table13[[#This Row],[Actual Close]]-Table13[[#This Row],[Day Ann.]])</f>
        <v>49</v>
      </c>
      <c r="H69" s="5">
        <f t="shared" si="6"/>
        <v>4</v>
      </c>
      <c r="I69" s="5">
        <f t="shared" si="7"/>
        <v>4</v>
      </c>
      <c r="J69" t="str">
        <f t="shared" si="8"/>
        <v>DVAX Equity</v>
      </c>
      <c r="K69" t="str" cm="1">
        <f t="array" ref="K69">IFERROR(_xlfn.LET(_xlpm.t,TRIM(Table13[[#This Row],[TICKER]]),_xlpm.k,IF(ISNUMBER(SEARCH(" ",_xlpm.t)),_xlpm.t,_xlpm.t&amp;" US"),_xlfn.XLOOKUP(_xlpm.k,TRIM(Table1[Target Ticker]),Table1[Target Industry Sector])),"")</f>
        <v>Health Care</v>
      </c>
      <c r="L69" t="str" cm="1">
        <f t="array" ref="L69">IFERROR(_xlfn.LET(_xlpm.t,TRIM(Table13[[#This Row],[TICKER]]),_xlpm.k,IF(ISNUMBER(SEARCH(" ",_xlpm.t)),_xlpm.t,_xlpm.t&amp;" US"),_xlfn.XLOOKUP(_xlpm.k,TRIM(Table1[Target Ticker]),Table1[Target Industry Group])),"")</f>
        <v>Health Care</v>
      </c>
      <c r="M69" t="str">
        <f>_xll.BDP($J69, "LAST_PRICE")</f>
        <v>#N/A Real Time</v>
      </c>
      <c r="O69" t="str">
        <f>IF(Table13[[#This Row],[Cash/Tender/Stock/Mix]]= "Mix", "Stock", Table13[[#This Row],[Cash/Tender/Stock/Mix]])</f>
        <v>Tender</v>
      </c>
      <c r="P69" t="s">
        <v>1029</v>
      </c>
    </row>
    <row r="70" spans="2:16" x14ac:dyDescent="0.25">
      <c r="B70" t="s">
        <v>1080</v>
      </c>
      <c r="C70" s="4">
        <v>46013</v>
      </c>
      <c r="D70" s="4">
        <v>46143</v>
      </c>
      <c r="F70" s="2">
        <f>IF(Table13[[#This Row],[Day Ann.]]="", "", Table13[[#This Row],[Initial Close Est.]]-Table13[[#This Row],[Day Ann.]])</f>
        <v>130</v>
      </c>
      <c r="G70" s="2" t="str">
        <f>IF(Table13[[#This Row],[Actual Close]]="", "",Table13[[#This Row],[Actual Close]]-Table13[[#This Row],[Day Ann.]])</f>
        <v/>
      </c>
      <c r="H70" s="5" t="str">
        <f t="shared" si="6"/>
        <v/>
      </c>
      <c r="I70" s="5" t="str">
        <f t="shared" si="7"/>
        <v/>
      </c>
      <c r="J70" t="str">
        <f t="shared" si="8"/>
        <v>CWAN Equity</v>
      </c>
      <c r="K70" t="str" cm="1">
        <f t="array" ref="K70">IFERROR(_xlfn.LET(_xlpm.t,TRIM(Table13[[#This Row],[TICKER]]),_xlpm.k,IF(ISNUMBER(SEARCH(" ",_xlpm.t)),_xlpm.t,_xlpm.t&amp;" US"),_xlfn.XLOOKUP(_xlpm.k,TRIM(Table1[Target Ticker]),Table1[Target Industry Sector])),"")</f>
        <v>Technology</v>
      </c>
      <c r="L70" t="str" cm="1">
        <f t="array" ref="L70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70" t="str">
        <f>_xll.BDP($J70, "LAST_PRICE")</f>
        <v>#N/A Real Time</v>
      </c>
      <c r="O70" t="str">
        <f>IF(Table13[[#This Row],[Cash/Tender/Stock/Mix]]= "Mix", "Stock", Table13[[#This Row],[Cash/Tender/Stock/Mix]])</f>
        <v>Cash</v>
      </c>
      <c r="P70" t="s">
        <v>23</v>
      </c>
    </row>
    <row r="71" spans="2:16" x14ac:dyDescent="0.25">
      <c r="B71" t="s">
        <v>1081</v>
      </c>
      <c r="C71" s="4">
        <v>46013</v>
      </c>
      <c r="D71" s="4">
        <v>46233</v>
      </c>
      <c r="F71" s="2">
        <f>IF(Table13[[#This Row],[Day Ann.]]="", "", Table13[[#This Row],[Initial Close Est.]]-Table13[[#This Row],[Day Ann.]])</f>
        <v>220</v>
      </c>
      <c r="G71" s="2" t="str">
        <f>IF(Table13[[#This Row],[Actual Close]]="", "",Table13[[#This Row],[Actual Close]]-Table13[[#This Row],[Day Ann.]])</f>
        <v/>
      </c>
      <c r="H71" s="5" t="str">
        <f t="shared" si="6"/>
        <v/>
      </c>
      <c r="I71" s="5" t="str">
        <f t="shared" si="7"/>
        <v/>
      </c>
      <c r="J71" t="str">
        <f t="shared" si="8"/>
        <v>JHG Equity</v>
      </c>
      <c r="K71" t="str" cm="1">
        <f t="array" ref="K71">IFERROR(_xlfn.LET(_xlpm.t,TRIM(Table13[[#This Row],[TICKER]]),_xlpm.k,IF(ISNUMBER(SEARCH(" ",_xlpm.t)),_xlpm.t,_xlpm.t&amp;" US"),_xlfn.XLOOKUP(_xlpm.k,TRIM(Table1[Target Ticker]),Table1[Target Industry Sector])),"")</f>
        <v>Financials</v>
      </c>
      <c r="L71" t="str" cm="1">
        <f t="array" ref="L71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71">
        <f>_xll.BDP($J71, "LAST_PRICE")</f>
        <v>51.94</v>
      </c>
      <c r="O71" t="str">
        <f>IF(Table13[[#This Row],[Cash/Tender/Stock/Mix]]= "Mix", "Stock", Table13[[#This Row],[Cash/Tender/Stock/Mix]])</f>
        <v>Cash</v>
      </c>
      <c r="P71" t="s">
        <v>23</v>
      </c>
    </row>
    <row r="72" spans="2:16" x14ac:dyDescent="0.25">
      <c r="B72" t="s">
        <v>1082</v>
      </c>
      <c r="C72" s="4">
        <v>46002</v>
      </c>
      <c r="D72" s="4">
        <v>46171</v>
      </c>
      <c r="E72" s="4">
        <v>46135</v>
      </c>
      <c r="F72" s="2">
        <f>IF(Table13[[#This Row],[Day Ann.]]="", "", Table13[[#This Row],[Initial Close Est.]]-Table13[[#This Row],[Day Ann.]])</f>
        <v>169</v>
      </c>
      <c r="G72" s="2">
        <f>IF(Table13[[#This Row],[Actual Close]]="", "",Table13[[#This Row],[Actual Close]]-Table13[[#This Row],[Day Ann.]])</f>
        <v>133</v>
      </c>
      <c r="H72" s="5">
        <f t="shared" si="6"/>
        <v>-36</v>
      </c>
      <c r="I72" s="5">
        <f t="shared" si="7"/>
        <v>36</v>
      </c>
      <c r="J72" t="str">
        <f t="shared" si="8"/>
        <v>DHIL Equity</v>
      </c>
      <c r="K72" t="str" cm="1">
        <f t="array" ref="K72">IFERROR(_xlfn.LET(_xlpm.t,TRIM(Table13[[#This Row],[TICKER]]),_xlpm.k,IF(ISNUMBER(SEARCH(" ",_xlpm.t)),_xlpm.t,_xlpm.t&amp;" US"),_xlfn.XLOOKUP(_xlpm.k,TRIM(Table1[Target Ticker]),Table1[Target Industry Sector])),"")</f>
        <v/>
      </c>
      <c r="L72" t="str" cm="1">
        <f t="array" ref="L72">IFERROR(_xlfn.LET(_xlpm.t,TRIM(Table13[[#This Row],[TICKER]]),_xlpm.k,IF(ISNUMBER(SEARCH(" ",_xlpm.t)),_xlpm.t,_xlpm.t&amp;" US"),_xlfn.XLOOKUP(_xlpm.k,TRIM(Table1[Target Ticker]),Table1[Target Industry Group])),"")</f>
        <v/>
      </c>
      <c r="M72" t="str">
        <f>_xll.BDP($J72, "LAST_PRICE")</f>
        <v>#N/A Real Time</v>
      </c>
      <c r="O72" t="str">
        <f>IF(Table13[[#This Row],[Cash/Tender/Stock/Mix]]= "Mix", "Stock", Table13[[#This Row],[Cash/Tender/Stock/Mix]])</f>
        <v>Cash</v>
      </c>
      <c r="P72" t="s">
        <v>23</v>
      </c>
    </row>
    <row r="73" spans="2:16" x14ac:dyDescent="0.25">
      <c r="B73" t="s">
        <v>1083</v>
      </c>
      <c r="C73" s="4">
        <v>45999</v>
      </c>
      <c r="D73" s="4">
        <v>46082</v>
      </c>
      <c r="E73" s="4">
        <v>46111</v>
      </c>
      <c r="F73" s="2">
        <f>IF(Table13[[#This Row],[Day Ann.]]="", "", Table13[[#This Row],[Initial Close Est.]]-Table13[[#This Row],[Day Ann.]])</f>
        <v>83</v>
      </c>
      <c r="G73" s="2">
        <f>IF(Table13[[#This Row],[Actual Close]]="", "",Table13[[#This Row],[Actual Close]]-Table13[[#This Row],[Day Ann.]])</f>
        <v>112</v>
      </c>
      <c r="H73" s="5">
        <f t="shared" si="6"/>
        <v>29</v>
      </c>
      <c r="I73" s="5">
        <f t="shared" si="7"/>
        <v>29</v>
      </c>
      <c r="J73" t="str">
        <f t="shared" si="8"/>
        <v>DVS Equity</v>
      </c>
      <c r="K73" t="str" cm="1">
        <f t="array" ref="K73">IFERROR(_xlfn.LET(_xlpm.t,TRIM(Table13[[#This Row],[TICKER]]),_xlpm.k,IF(ISNUMBER(SEARCH(" ",_xlpm.t)),_xlpm.t,_xlpm.t&amp;" US"),_xlfn.XLOOKUP(_xlpm.k,TRIM(Table1[Target Ticker]),Table1[Target Industry Sector])),"")</f>
        <v/>
      </c>
      <c r="L73" t="str" cm="1">
        <f t="array" ref="L73">IFERROR(_xlfn.LET(_xlpm.t,TRIM(Table13[[#This Row],[TICKER]]),_xlpm.k,IF(ISNUMBER(SEARCH(" ",_xlpm.t)),_xlpm.t,_xlpm.t&amp;" US"),_xlfn.XLOOKUP(_xlpm.k,TRIM(Table1[Target Ticker]),Table1[Target Industry Group])),"")</f>
        <v/>
      </c>
      <c r="M73" t="str">
        <f>_xll.BDP($J73, "LAST_PRICE")</f>
        <v>#N/A Real Time</v>
      </c>
      <c r="O73" t="str">
        <f>IF(Table13[[#This Row],[Cash/Tender/Stock/Mix]]= "Mix", "Stock", Table13[[#This Row],[Cash/Tender/Stock/Mix]])</f>
        <v>Stock</v>
      </c>
      <c r="P73" t="s">
        <v>38</v>
      </c>
    </row>
    <row r="74" spans="2:16" x14ac:dyDescent="0.25">
      <c r="B74" t="s">
        <v>1084</v>
      </c>
      <c r="C74" s="4">
        <v>45999</v>
      </c>
      <c r="D74" s="4">
        <v>46157</v>
      </c>
      <c r="E74" s="4">
        <v>46099</v>
      </c>
      <c r="F74" s="2">
        <f>IF(Table13[[#This Row],[Day Ann.]]="", "", Table13[[#This Row],[Initial Close Est.]]-Table13[[#This Row],[Day Ann.]])</f>
        <v>158</v>
      </c>
      <c r="G74" s="2">
        <f>IF(Table13[[#This Row],[Actual Close]]="", "",Table13[[#This Row],[Actual Close]]-Table13[[#This Row],[Day Ann.]])</f>
        <v>100</v>
      </c>
      <c r="H74" s="5">
        <f t="shared" si="6"/>
        <v>-58</v>
      </c>
      <c r="I74" s="5">
        <f t="shared" si="7"/>
        <v>58</v>
      </c>
      <c r="J74" t="str">
        <f t="shared" si="8"/>
        <v>CFLT Equity</v>
      </c>
      <c r="K74" t="str" cm="1">
        <f t="array" ref="K74">IFERROR(_xlfn.LET(_xlpm.t,TRIM(Table13[[#This Row],[TICKER]]),_xlpm.k,IF(ISNUMBER(SEARCH(" ",_xlpm.t)),_xlpm.t,_xlpm.t&amp;" US"),_xlfn.XLOOKUP(_xlpm.k,TRIM(Table1[Target Ticker]),Table1[Target Industry Sector])),"")</f>
        <v>Technology</v>
      </c>
      <c r="L74" t="str" cm="1">
        <f t="array" ref="L74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74" t="str">
        <f>_xll.BDP($J74, "LAST_PRICE")</f>
        <v>#N/A Real Time</v>
      </c>
      <c r="O74" t="str">
        <f>IF(Table13[[#This Row],[Cash/Tender/Stock/Mix]]= "Mix", "Stock", Table13[[#This Row],[Cash/Tender/Stock/Mix]])</f>
        <v>Cash</v>
      </c>
      <c r="P74" t="s">
        <v>23</v>
      </c>
    </row>
    <row r="75" spans="2:16" x14ac:dyDescent="0.25">
      <c r="B75" t="s">
        <v>1085</v>
      </c>
      <c r="C75" s="4">
        <v>45999</v>
      </c>
      <c r="D75" s="4">
        <v>46074</v>
      </c>
      <c r="E75" s="4">
        <v>46094</v>
      </c>
      <c r="F75" s="2">
        <f>IF(Table13[[#This Row],[Day Ann.]]="", "", Table13[[#This Row],[Initial Close Est.]]-Table13[[#This Row],[Day Ann.]])</f>
        <v>75</v>
      </c>
      <c r="G75" s="2">
        <f>IF(Table13[[#This Row],[Actual Close]]="", "",Table13[[#This Row],[Actual Close]]-Table13[[#This Row],[Day Ann.]])</f>
        <v>95</v>
      </c>
      <c r="H75" s="5">
        <f t="shared" si="6"/>
        <v>20</v>
      </c>
      <c r="I75" s="5">
        <f t="shared" si="7"/>
        <v>20</v>
      </c>
      <c r="J75" t="str">
        <f t="shared" si="8"/>
        <v>ALEX Equity</v>
      </c>
      <c r="K75" t="str" cm="1">
        <f t="array" ref="K75">IFERROR(_xlfn.LET(_xlpm.t,TRIM(Table13[[#This Row],[TICKER]]),_xlpm.k,IF(ISNUMBER(SEARCH(" ",_xlpm.t)),_xlpm.t,_xlpm.t&amp;" US"),_xlfn.XLOOKUP(_xlpm.k,TRIM(Table1[Target Ticker]),Table1[Target Industry Sector])),"")</f>
        <v>Real Estate</v>
      </c>
      <c r="L75" t="str" cm="1">
        <f t="array" ref="L75">IFERROR(_xlfn.LET(_xlpm.t,TRIM(Table13[[#This Row],[TICKER]]),_xlpm.k,IF(ISNUMBER(SEARCH(" ",_xlpm.t)),_xlpm.t,_xlpm.t&amp;" US"),_xlfn.XLOOKUP(_xlpm.k,TRIM(Table1[Target Ticker]),Table1[Target Industry Group])),"")</f>
        <v>Real Estate</v>
      </c>
      <c r="M75" t="str">
        <f>_xll.BDP($J75, "LAST_PRICE")</f>
        <v>#N/A Real Time</v>
      </c>
      <c r="O75" t="str">
        <f>IF(Table13[[#This Row],[Cash/Tender/Stock/Mix]]= "Mix", "Stock", Table13[[#This Row],[Cash/Tender/Stock/Mix]])</f>
        <v>Cash</v>
      </c>
      <c r="P75" t="s">
        <v>23</v>
      </c>
    </row>
    <row r="76" spans="2:16" x14ac:dyDescent="0.25">
      <c r="B76" t="s">
        <v>1086</v>
      </c>
      <c r="C76" s="4">
        <v>45981</v>
      </c>
      <c r="D76" s="4">
        <v>46143</v>
      </c>
      <c r="E76" s="4">
        <v>46105</v>
      </c>
      <c r="F76" s="2">
        <f>IF(Table13[[#This Row],[Day Ann.]]="", "", Table13[[#This Row],[Initial Close Est.]]-Table13[[#This Row],[Day Ann.]])</f>
        <v>162</v>
      </c>
      <c r="G76" s="2">
        <f>IF(Table13[[#This Row],[Actual Close]]="", "",Table13[[#This Row],[Actual Close]]-Table13[[#This Row],[Day Ann.]])</f>
        <v>124</v>
      </c>
      <c r="H76" s="5">
        <f t="shared" si="6"/>
        <v>-38</v>
      </c>
      <c r="I76" s="5">
        <f t="shared" si="7"/>
        <v>38</v>
      </c>
      <c r="J76" t="str">
        <f t="shared" si="8"/>
        <v>EXAS Equity</v>
      </c>
      <c r="K76" t="str" cm="1">
        <f t="array" ref="K76">IFERROR(_xlfn.LET(_xlpm.t,TRIM(Table13[[#This Row],[TICKER]]),_xlpm.k,IF(ISNUMBER(SEARCH(" ",_xlpm.t)),_xlpm.t,_xlpm.t&amp;" US"),_xlfn.XLOOKUP(_xlpm.k,TRIM(Table1[Target Ticker]),Table1[Target Industry Sector])),"")</f>
        <v>Health Care</v>
      </c>
      <c r="L76" t="str" cm="1">
        <f t="array" ref="L76">IFERROR(_xlfn.LET(_xlpm.t,TRIM(Table13[[#This Row],[TICKER]]),_xlpm.k,IF(ISNUMBER(SEARCH(" ",_xlpm.t)),_xlpm.t,_xlpm.t&amp;" US"),_xlfn.XLOOKUP(_xlpm.k,TRIM(Table1[Target Ticker]),Table1[Target Industry Group])),"")</f>
        <v>Health Care</v>
      </c>
      <c r="M76" t="str">
        <f>_xll.BDP($J76, "LAST_PRICE")</f>
        <v>#N/A Real Time</v>
      </c>
      <c r="O76" t="str">
        <f>IF(Table13[[#This Row],[Cash/Tender/Stock/Mix]]= "Mix", "Stock", Table13[[#This Row],[Cash/Tender/Stock/Mix]])</f>
        <v>Cash</v>
      </c>
      <c r="P76" t="s">
        <v>23</v>
      </c>
    </row>
    <row r="77" spans="2:16" x14ac:dyDescent="0.25">
      <c r="B77" t="s">
        <v>1087</v>
      </c>
      <c r="C77" s="4">
        <v>45980</v>
      </c>
      <c r="D77" s="4">
        <v>46113</v>
      </c>
      <c r="E77" s="4">
        <v>46140</v>
      </c>
      <c r="F77" s="2">
        <f>IF(Table13[[#This Row],[Day Ann.]]="", "", Table13[[#This Row],[Initial Close Est.]]-Table13[[#This Row],[Day Ann.]])</f>
        <v>133</v>
      </c>
      <c r="G77" s="2">
        <f>IF(Table13[[#This Row],[Actual Close]]="", "",Table13[[#This Row],[Actual Close]]-Table13[[#This Row],[Day Ann.]])</f>
        <v>160</v>
      </c>
      <c r="H77" s="5">
        <f t="shared" si="6"/>
        <v>27</v>
      </c>
      <c r="I77" s="5">
        <f t="shared" si="7"/>
        <v>27</v>
      </c>
      <c r="J77" t="str">
        <f t="shared" si="8"/>
        <v>SEMR Equity</v>
      </c>
      <c r="K77" t="str" cm="1">
        <f t="array" ref="K77">IFERROR(_xlfn.LET(_xlpm.t,TRIM(Table13[[#This Row],[TICKER]]),_xlpm.k,IF(ISNUMBER(SEARCH(" ",_xlpm.t)),_xlpm.t,_xlpm.t&amp;" US"),_xlfn.XLOOKUP(_xlpm.k,TRIM(Table1[Target Ticker]),Table1[Target Industry Sector])),"")</f>
        <v>Technology</v>
      </c>
      <c r="L77" t="str" cm="1">
        <f t="array" ref="L77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77" t="str">
        <f>_xll.BDP($J77, "LAST_PRICE")</f>
        <v>#N/A Real Time</v>
      </c>
      <c r="O77" t="str">
        <f>IF(Table13[[#This Row],[Cash/Tender/Stock/Mix]]= "Mix", "Stock", Table13[[#This Row],[Cash/Tender/Stock/Mix]])</f>
        <v>Cash</v>
      </c>
      <c r="P77" t="s">
        <v>23</v>
      </c>
    </row>
    <row r="78" spans="2:16" x14ac:dyDescent="0.25">
      <c r="B78" t="s">
        <v>1088</v>
      </c>
      <c r="C78" s="4">
        <v>45979</v>
      </c>
      <c r="D78" s="4">
        <v>46419</v>
      </c>
      <c r="F78" s="2">
        <f>IF(Table13[[#This Row],[Day Ann.]]="", "", Table13[[#This Row],[Initial Close Est.]]-Table13[[#This Row],[Day Ann.]])</f>
        <v>440</v>
      </c>
      <c r="G78" s="2" t="str">
        <f>IF(Table13[[#This Row],[Actual Close]]="", "",Table13[[#This Row],[Actual Close]]-Table13[[#This Row],[Day Ann.]])</f>
        <v/>
      </c>
      <c r="H78" s="5" t="str">
        <f t="shared" si="6"/>
        <v/>
      </c>
      <c r="I78" s="5" t="str">
        <f t="shared" si="7"/>
        <v/>
      </c>
      <c r="J78" t="str">
        <f t="shared" si="8"/>
        <v>AXTA Equity</v>
      </c>
      <c r="K78" t="str" cm="1">
        <f t="array" ref="K78">IFERROR(_xlfn.LET(_xlpm.t,TRIM(Table13[[#This Row],[TICKER]]),_xlpm.k,IF(ISNUMBER(SEARCH(" ",_xlpm.t)),_xlpm.t,_xlpm.t&amp;" US"),_xlfn.XLOOKUP(_xlpm.k,TRIM(Table1[Target Ticker]),Table1[Target Industry Sector])),"")</f>
        <v>Materials</v>
      </c>
      <c r="L78" t="str" cm="1">
        <f t="array" ref="L78">IFERROR(_xlfn.LET(_xlpm.t,TRIM(Table13[[#This Row],[TICKER]]),_xlpm.k,IF(ISNUMBER(SEARCH(" ",_xlpm.t)),_xlpm.t,_xlpm.t&amp;" US"),_xlfn.XLOOKUP(_xlpm.k,TRIM(Table1[Target Ticker]),Table1[Target Industry Group])),"")</f>
        <v>Materials</v>
      </c>
      <c r="M78">
        <f>_xll.BDP($J78, "LAST_PRICE")</f>
        <v>34.520000000000003</v>
      </c>
      <c r="O78" t="str">
        <f>IF(Table13[[#This Row],[Cash/Tender/Stock/Mix]]= "Mix", "Stock", Table13[[#This Row],[Cash/Tender/Stock/Mix]])</f>
        <v>Stock</v>
      </c>
      <c r="P78" t="s">
        <v>38</v>
      </c>
    </row>
    <row r="79" spans="2:16" x14ac:dyDescent="0.25">
      <c r="B79" t="s">
        <v>1089</v>
      </c>
      <c r="C79" s="4">
        <v>45978</v>
      </c>
      <c r="D79" s="4">
        <v>46157</v>
      </c>
      <c r="E79" s="4">
        <v>46121</v>
      </c>
      <c r="F79" s="2">
        <f>IF(Table13[[#This Row],[Day Ann.]]="", "", Table13[[#This Row],[Initial Close Est.]]-Table13[[#This Row],[Day Ann.]])</f>
        <v>179</v>
      </c>
      <c r="G79" s="2">
        <f>IF(Table13[[#This Row],[Actual Close]]="", "",Table13[[#This Row],[Actual Close]]-Table13[[#This Row],[Day Ann.]])</f>
        <v>143</v>
      </c>
      <c r="H79" s="5">
        <f t="shared" si="6"/>
        <v>-36</v>
      </c>
      <c r="I79" s="5">
        <f t="shared" si="7"/>
        <v>36</v>
      </c>
      <c r="J79" t="str">
        <f t="shared" si="8"/>
        <v>SEE Equity</v>
      </c>
      <c r="K79" t="str" cm="1">
        <f t="array" ref="K79">IFERROR(_xlfn.LET(_xlpm.t,TRIM(Table13[[#This Row],[TICKER]]),_xlpm.k,IF(ISNUMBER(SEARCH(" ",_xlpm.t)),_xlpm.t,_xlpm.t&amp;" US"),_xlfn.XLOOKUP(_xlpm.k,TRIM(Table1[Target Ticker]),Table1[Target Industry Sector])),"")</f>
        <v>Materials</v>
      </c>
      <c r="L79" t="str" cm="1">
        <f t="array" ref="L79">IFERROR(_xlfn.LET(_xlpm.t,TRIM(Table13[[#This Row],[TICKER]]),_xlpm.k,IF(ISNUMBER(SEARCH(" ",_xlpm.t)),_xlpm.t,_xlpm.t&amp;" US"),_xlfn.XLOOKUP(_xlpm.k,TRIM(Table1[Target Ticker]),Table1[Target Industry Group])),"")</f>
        <v>Materials</v>
      </c>
      <c r="M79" t="str">
        <f>_xll.BDP($J79, "LAST_PRICE")</f>
        <v>#N/A Real Time</v>
      </c>
      <c r="O79" t="str">
        <f>IF(Table13[[#This Row],[Cash/Tender/Stock/Mix]]= "Mix", "Stock", Table13[[#This Row],[Cash/Tender/Stock/Mix]])</f>
        <v>Cash</v>
      </c>
      <c r="P79" t="s">
        <v>23</v>
      </c>
    </row>
    <row r="80" spans="2:16" x14ac:dyDescent="0.25">
      <c r="B80" t="s">
        <v>1090</v>
      </c>
      <c r="C80" s="4">
        <v>45975</v>
      </c>
      <c r="D80" s="4">
        <v>46035</v>
      </c>
      <c r="E80" s="4">
        <v>46030</v>
      </c>
      <c r="F80" s="2">
        <f>IF(Table13[[#This Row],[Day Ann.]]="", "", Table13[[#This Row],[Initial Close Est.]]-Table13[[#This Row],[Day Ann.]])</f>
        <v>60</v>
      </c>
      <c r="G80" s="2">
        <f>IF(Table13[[#This Row],[Actual Close]]="", "",Table13[[#This Row],[Actual Close]]-Table13[[#This Row],[Day Ann.]])</f>
        <v>55</v>
      </c>
      <c r="H80" s="5">
        <f t="shared" si="6"/>
        <v>-5</v>
      </c>
      <c r="I80" s="5">
        <f t="shared" si="7"/>
        <v>5</v>
      </c>
      <c r="J80" t="str">
        <f t="shared" si="8"/>
        <v>CDTX Equity</v>
      </c>
      <c r="K80" t="str" cm="1">
        <f t="array" ref="K80">IFERROR(_xlfn.LET(_xlpm.t,TRIM(Table13[[#This Row],[TICKER]]),_xlpm.k,IF(ISNUMBER(SEARCH(" ",_xlpm.t)),_xlpm.t,_xlpm.t&amp;" US"),_xlfn.XLOOKUP(_xlpm.k,TRIM(Table1[Target Ticker]),Table1[Target Industry Sector])),"")</f>
        <v>Health Care</v>
      </c>
      <c r="L80" t="str" cm="1">
        <f t="array" ref="L80">IFERROR(_xlfn.LET(_xlpm.t,TRIM(Table13[[#This Row],[TICKER]]),_xlpm.k,IF(ISNUMBER(SEARCH(" ",_xlpm.t)),_xlpm.t,_xlpm.t&amp;" US"),_xlfn.XLOOKUP(_xlpm.k,TRIM(Table1[Target Ticker]),Table1[Target Industry Group])),"")</f>
        <v>Health Care</v>
      </c>
      <c r="M80" t="str">
        <f>_xll.BDP($J80, "LAST_PRICE")</f>
        <v>#N/A Real Time</v>
      </c>
      <c r="O80" t="str">
        <f>IF(Table13[[#This Row],[Cash/Tender/Stock/Mix]]= "Mix", "Stock", Table13[[#This Row],[Cash/Tender/Stock/Mix]])</f>
        <v>Cash</v>
      </c>
      <c r="P80" t="s">
        <v>23</v>
      </c>
    </row>
    <row r="81" spans="2:16" x14ac:dyDescent="0.25">
      <c r="B81" t="s">
        <v>1091</v>
      </c>
      <c r="C81" s="4">
        <v>45971</v>
      </c>
      <c r="D81" s="4">
        <v>46059</v>
      </c>
      <c r="E81" s="4">
        <v>46064</v>
      </c>
      <c r="F81" s="2">
        <f>IF(Table13[[#This Row],[Day Ann.]]="", "", Table13[[#This Row],[Initial Close Est.]]-Table13[[#This Row],[Day Ann.]])</f>
        <v>88</v>
      </c>
      <c r="G81" s="2">
        <f>IF(Table13[[#This Row],[Actual Close]]="", "",Table13[[#This Row],[Actual Close]]-Table13[[#This Row],[Day Ann.]])</f>
        <v>93</v>
      </c>
      <c r="H81" s="5">
        <f t="shared" si="6"/>
        <v>5</v>
      </c>
      <c r="I81" s="5">
        <f t="shared" si="7"/>
        <v>5</v>
      </c>
      <c r="J81" t="str">
        <f t="shared" si="8"/>
        <v>THS  Equity</v>
      </c>
      <c r="K81" t="str" cm="1">
        <f t="array" ref="K81">IFERROR(_xlfn.LET(_xlpm.t,TRIM(Table13[[#This Row],[TICKER]]),_xlpm.k,IF(ISNUMBER(SEARCH(" ",_xlpm.t)),_xlpm.t,_xlpm.t&amp;" US"),_xlfn.XLOOKUP(_xlpm.k,TRIM(Table1[Target Ticker]),Table1[Target Industry Sector])),"")</f>
        <v>Consumer Staples</v>
      </c>
      <c r="L81" t="str" cm="1">
        <f t="array" ref="L81">IFERROR(_xlfn.LET(_xlpm.t,TRIM(Table13[[#This Row],[TICKER]]),_xlpm.k,IF(ISNUMBER(SEARCH(" ",_xlpm.t)),_xlpm.t,_xlpm.t&amp;" US"),_xlfn.XLOOKUP(_xlpm.k,TRIM(Table1[Target Ticker]),Table1[Target Industry Group])),"")</f>
        <v>Consumer Staple Products</v>
      </c>
      <c r="M81" t="str">
        <f>_xll.BDP($J81, "LAST_PRICE")</f>
        <v>#N/A Real Time</v>
      </c>
      <c r="O81" t="str">
        <f>IF(Table13[[#This Row],[Cash/Tender/Stock/Mix]]= "Mix", "Stock", Table13[[#This Row],[Cash/Tender/Stock/Mix]])</f>
        <v>Cash</v>
      </c>
      <c r="P81" t="s">
        <v>23</v>
      </c>
    </row>
    <row r="82" spans="2:16" x14ac:dyDescent="0.25">
      <c r="B82" t="s">
        <v>1092</v>
      </c>
      <c r="C82" s="4">
        <v>45967</v>
      </c>
      <c r="D82" s="4">
        <v>46192</v>
      </c>
      <c r="F82" s="2">
        <f>IF(Table13[[#This Row],[Day Ann.]]="", "", Table13[[#This Row],[Initial Close Est.]]-Table13[[#This Row],[Day Ann.]])</f>
        <v>225</v>
      </c>
      <c r="G82" s="2" t="str">
        <f>IF(Table13[[#This Row],[Actual Close]]="", "",Table13[[#This Row],[Actual Close]]-Table13[[#This Row],[Day Ann.]])</f>
        <v/>
      </c>
      <c r="H82" s="5" t="str">
        <f t="shared" si="6"/>
        <v/>
      </c>
      <c r="I82" s="5" t="str">
        <f t="shared" si="7"/>
        <v/>
      </c>
      <c r="J82" t="str">
        <f t="shared" si="8"/>
        <v>BHF Equity</v>
      </c>
      <c r="K82" t="str" cm="1">
        <f t="array" ref="K82">IFERROR(_xlfn.LET(_xlpm.t,TRIM(Table13[[#This Row],[TICKER]]),_xlpm.k,IF(ISNUMBER(SEARCH(" ",_xlpm.t)),_xlpm.t,_xlpm.t&amp;" US"),_xlfn.XLOOKUP(_xlpm.k,TRIM(Table1[Target Ticker]),Table1[Target Industry Sector])),"")</f>
        <v>Financials</v>
      </c>
      <c r="L82" t="str" cm="1">
        <f t="array" ref="L82">IFERROR(_xlfn.LET(_xlpm.t,TRIM(Table13[[#This Row],[TICKER]]),_xlpm.k,IF(ISNUMBER(SEARCH(" ",_xlpm.t)),_xlpm.t,_xlpm.t&amp;" US"),_xlfn.XLOOKUP(_xlpm.k,TRIM(Table1[Target Ticker]),Table1[Target Industry Group])),"")</f>
        <v>Insurance</v>
      </c>
      <c r="M82">
        <f>_xll.BDP($J82, "LAST_PRICE")</f>
        <v>62.954999999999998</v>
      </c>
      <c r="O82" t="str">
        <f>IF(Table13[[#This Row],[Cash/Tender/Stock/Mix]]= "Mix", "Stock", Table13[[#This Row],[Cash/Tender/Stock/Mix]])</f>
        <v>Cash</v>
      </c>
      <c r="P82" t="s">
        <v>23</v>
      </c>
    </row>
    <row r="83" spans="2:16" x14ac:dyDescent="0.25">
      <c r="B83" t="s">
        <v>1093</v>
      </c>
      <c r="C83" s="4">
        <v>45967</v>
      </c>
      <c r="D83" s="4">
        <v>46218</v>
      </c>
      <c r="E83" s="4">
        <v>46143</v>
      </c>
      <c r="F83" s="2">
        <f>IF(Table13[[#This Row],[Day Ann.]]="", "", Table13[[#This Row],[Initial Close Est.]]-Table13[[#This Row],[Day Ann.]])</f>
        <v>251</v>
      </c>
      <c r="G83" s="2">
        <f>IF(Table13[[#This Row],[Actual Close]]="", "",Table13[[#This Row],[Actual Close]]-Table13[[#This Row],[Day Ann.]])</f>
        <v>176</v>
      </c>
      <c r="H83" s="5">
        <f t="shared" si="6"/>
        <v>-75</v>
      </c>
      <c r="I83" s="5">
        <f t="shared" si="7"/>
        <v>75</v>
      </c>
      <c r="J83" t="str">
        <f t="shared" si="8"/>
        <v>GDEN Equity</v>
      </c>
      <c r="K83" t="str" cm="1">
        <f t="array" ref="K83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83" t="str" cm="1">
        <f t="array" ref="L83">IFERROR(_xlfn.LET(_xlpm.t,TRIM(Table13[[#This Row],[TICKER]]),_xlpm.k,IF(ISNUMBER(SEARCH(" ",_xlpm.t)),_xlpm.t,_xlpm.t&amp;" US"),_xlfn.XLOOKUP(_xlpm.k,TRIM(Table1[Target Ticker]),Table1[Target Industry Group])),"")</f>
        <v>Consumer Discretionary Services</v>
      </c>
      <c r="M83" t="str">
        <f>_xll.BDP($J83, "LAST_PRICE")</f>
        <v>#N/A Real Time</v>
      </c>
      <c r="O83" t="str">
        <f>IF(Table13[[#This Row],[Cash/Tender/Stock/Mix]]= "Mix", "Stock", Table13[[#This Row],[Cash/Tender/Stock/Mix]])</f>
        <v>Stock</v>
      </c>
      <c r="P83" t="s">
        <v>1038</v>
      </c>
    </row>
    <row r="84" spans="2:16" x14ac:dyDescent="0.25">
      <c r="B84" t="s">
        <v>1094</v>
      </c>
      <c r="C84" s="4">
        <v>45967</v>
      </c>
      <c r="D84" s="4">
        <v>46127</v>
      </c>
      <c r="E84" s="4">
        <v>46083</v>
      </c>
      <c r="F84" s="2">
        <f>IF(Table13[[#This Row],[Day Ann.]]="", "", Table13[[#This Row],[Initial Close Est.]]-Table13[[#This Row],[Day Ann.]])</f>
        <v>160</v>
      </c>
      <c r="G84" s="2">
        <f>IF(Table13[[#This Row],[Actual Close]]="", "",Table13[[#This Row],[Actual Close]]-Table13[[#This Row],[Day Ann.]])</f>
        <v>116</v>
      </c>
      <c r="H84" s="5">
        <f t="shared" si="6"/>
        <v>-44</v>
      </c>
      <c r="I84" s="5">
        <f t="shared" si="7"/>
        <v>44</v>
      </c>
      <c r="J84" t="str">
        <f t="shared" si="8"/>
        <v>FRGE Equity</v>
      </c>
      <c r="K84" t="str" cm="1">
        <f t="array" ref="K84">IFERROR(_xlfn.LET(_xlpm.t,TRIM(Table13[[#This Row],[TICKER]]),_xlpm.k,IF(ISNUMBER(SEARCH(" ",_xlpm.t)),_xlpm.t,_xlpm.t&amp;" US"),_xlfn.XLOOKUP(_xlpm.k,TRIM(Table1[Target Ticker]),Table1[Target Industry Sector])),"")</f>
        <v>Financials</v>
      </c>
      <c r="L84" t="str" cm="1">
        <f t="array" ref="L84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84" t="str">
        <f>_xll.BDP($J84, "LAST_PRICE")</f>
        <v>#N/A Real Time</v>
      </c>
      <c r="O84" t="str">
        <f>IF(Table13[[#This Row],[Cash/Tender/Stock/Mix]]= "Mix", "Stock", Table13[[#This Row],[Cash/Tender/Stock/Mix]])</f>
        <v>Cash</v>
      </c>
      <c r="P84" t="s">
        <v>23</v>
      </c>
    </row>
    <row r="85" spans="2:16" x14ac:dyDescent="0.25">
      <c r="B85" t="s">
        <v>446</v>
      </c>
      <c r="C85" s="4">
        <v>45965</v>
      </c>
      <c r="D85" s="4">
        <v>46086</v>
      </c>
      <c r="E85" s="4">
        <v>46058</v>
      </c>
      <c r="F85" s="2">
        <f>IF(Table13[[#This Row],[Day Ann.]]="", "", Table13[[#This Row],[Initial Close Est.]]-Table13[[#This Row],[Day Ann.]])</f>
        <v>121</v>
      </c>
      <c r="G85" s="2">
        <f>IF(Table13[[#This Row],[Actual Close]]="", "",Table13[[#This Row],[Actual Close]]-Table13[[#This Row],[Day Ann.]])</f>
        <v>93</v>
      </c>
      <c r="H85" s="5">
        <f t="shared" si="6"/>
        <v>-28</v>
      </c>
      <c r="I85" s="5">
        <f t="shared" si="7"/>
        <v>28</v>
      </c>
      <c r="J85" t="str">
        <f t="shared" si="8"/>
        <v>NVA CN Equity</v>
      </c>
      <c r="K85" t="str" cm="1">
        <f t="array" ref="K85">IFERROR(_xlfn.LET(_xlpm.t,TRIM(Table13[[#This Row],[TICKER]]),_xlpm.k,IF(ISNUMBER(SEARCH(" ",_xlpm.t)),_xlpm.t,_xlpm.t&amp;" US"),_xlfn.XLOOKUP(_xlpm.k,TRIM(Table1[Target Ticker]),Table1[Target Industry Sector])),"")</f>
        <v>Energy</v>
      </c>
      <c r="L85" t="str" cm="1">
        <f t="array" ref="L85">IFERROR(_xlfn.LET(_xlpm.t,TRIM(Table13[[#This Row],[TICKER]]),_xlpm.k,IF(ISNUMBER(SEARCH(" ",_xlpm.t)),_xlpm.t,_xlpm.t&amp;" US"),_xlfn.XLOOKUP(_xlpm.k,TRIM(Table1[Target Ticker]),Table1[Target Industry Group])),"")</f>
        <v>Oil &amp; Gas</v>
      </c>
      <c r="M85" t="str">
        <f>_xll.BDP($J85, "LAST_PRICE")</f>
        <v>#N/A Real Time</v>
      </c>
      <c r="O85" t="str">
        <f>IF(Table13[[#This Row],[Cash/Tender/Stock/Mix]]= "Mix", "Stock", Table13[[#This Row],[Cash/Tender/Stock/Mix]])</f>
        <v>Stock</v>
      </c>
      <c r="P85" t="s">
        <v>1038</v>
      </c>
    </row>
    <row r="86" spans="2:16" x14ac:dyDescent="0.25">
      <c r="B86" t="s">
        <v>1095</v>
      </c>
      <c r="C86" s="4">
        <v>45964</v>
      </c>
      <c r="D86" s="4">
        <v>46279</v>
      </c>
      <c r="F86" s="2">
        <f>IF(Table13[[#This Row],[Day Ann.]]="", "", Table13[[#This Row],[Initial Close Est.]]-Table13[[#This Row],[Day Ann.]])</f>
        <v>315</v>
      </c>
      <c r="G86" s="2" t="str">
        <f>IF(Table13[[#This Row],[Actual Close]]="", "",Table13[[#This Row],[Actual Close]]-Table13[[#This Row],[Day Ann.]])</f>
        <v/>
      </c>
      <c r="H86" s="5" t="str">
        <f t="shared" si="6"/>
        <v/>
      </c>
      <c r="I86" s="5" t="str">
        <f t="shared" si="7"/>
        <v/>
      </c>
      <c r="J86" t="str">
        <f t="shared" si="8"/>
        <v>KVUE Equity</v>
      </c>
      <c r="K86" t="str" cm="1">
        <f t="array" ref="K86">IFERROR(_xlfn.LET(_xlpm.t,TRIM(Table13[[#This Row],[TICKER]]),_xlpm.k,IF(ISNUMBER(SEARCH(" ",_xlpm.t)),_xlpm.t,_xlpm.t&amp;" US"),_xlfn.XLOOKUP(_xlpm.k,TRIM(Table1[Target Ticker]),Table1[Target Industry Sector])),"")</f>
        <v>Consumer Staples</v>
      </c>
      <c r="L86" t="str" cm="1">
        <f t="array" ref="L86">IFERROR(_xlfn.LET(_xlpm.t,TRIM(Table13[[#This Row],[TICKER]]),_xlpm.k,IF(ISNUMBER(SEARCH(" ",_xlpm.t)),_xlpm.t,_xlpm.t&amp;" US"),_xlfn.XLOOKUP(_xlpm.k,TRIM(Table1[Target Ticker]),Table1[Target Industry Group])),"")</f>
        <v>Consumer Staple Products</v>
      </c>
      <c r="M86">
        <f>_xll.BDP($J86, "LAST_PRICE")</f>
        <v>18.905000000000001</v>
      </c>
      <c r="O86" t="str">
        <f>IF(Table13[[#This Row],[Cash/Tender/Stock/Mix]]= "Mix", "Stock", Table13[[#This Row],[Cash/Tender/Stock/Mix]])</f>
        <v>Stock</v>
      </c>
      <c r="P86" t="s">
        <v>1038</v>
      </c>
    </row>
    <row r="87" spans="2:16" x14ac:dyDescent="0.25">
      <c r="B87" t="s">
        <v>1096</v>
      </c>
      <c r="C87" s="4">
        <v>45964</v>
      </c>
      <c r="D87" s="4">
        <v>46157</v>
      </c>
      <c r="E87" s="4">
        <v>46105</v>
      </c>
      <c r="F87" s="2">
        <f>IF(Table13[[#This Row],[Day Ann.]]="", "", Table13[[#This Row],[Initial Close Est.]]-Table13[[#This Row],[Day Ann.]])</f>
        <v>193</v>
      </c>
      <c r="G87" s="2">
        <f>IF(Table13[[#This Row],[Actual Close]]="", "",Table13[[#This Row],[Actual Close]]-Table13[[#This Row],[Day Ann.]])</f>
        <v>141</v>
      </c>
      <c r="H87" s="5">
        <f t="shared" si="6"/>
        <v>-52</v>
      </c>
      <c r="I87" s="5">
        <f t="shared" si="7"/>
        <v>52</v>
      </c>
      <c r="J87" t="str">
        <f t="shared" si="8"/>
        <v>NGD Equity</v>
      </c>
      <c r="K87" t="str" cm="1">
        <f t="array" ref="K87">IFERROR(_xlfn.LET(_xlpm.t,TRIM(Table13[[#This Row],[TICKER]]),_xlpm.k,IF(ISNUMBER(SEARCH(" ",_xlpm.t)),_xlpm.t,_xlpm.t&amp;" US"),_xlfn.XLOOKUP(_xlpm.k,TRIM(Table1[Target Ticker]),Table1[Target Industry Sector])),"")</f>
        <v/>
      </c>
      <c r="L87" t="str" cm="1">
        <f t="array" ref="L87">IFERROR(_xlfn.LET(_xlpm.t,TRIM(Table13[[#This Row],[TICKER]]),_xlpm.k,IF(ISNUMBER(SEARCH(" ",_xlpm.t)),_xlpm.t,_xlpm.t&amp;" US"),_xlfn.XLOOKUP(_xlpm.k,TRIM(Table1[Target Ticker]),Table1[Target Industry Group])),"")</f>
        <v/>
      </c>
      <c r="M87" t="str">
        <f>_xll.BDP($J87, "LAST_PRICE")</f>
        <v>#N/A Real Time</v>
      </c>
      <c r="O87" t="str">
        <f>IF(Table13[[#This Row],[Cash/Tender/Stock/Mix]]= "Mix", "Stock", Table13[[#This Row],[Cash/Tender/Stock/Mix]])</f>
        <v>Stock</v>
      </c>
      <c r="P87" t="s">
        <v>38</v>
      </c>
    </row>
    <row r="88" spans="2:16" x14ac:dyDescent="0.25">
      <c r="B88" t="s">
        <v>1097</v>
      </c>
      <c r="C88" s="4">
        <v>45964</v>
      </c>
      <c r="D88" s="4">
        <v>46087</v>
      </c>
      <c r="E88" s="4">
        <v>46052</v>
      </c>
      <c r="F88" s="2">
        <f>IF(Table13[[#This Row],[Day Ann.]]="", "", Table13[[#This Row],[Initial Close Est.]]-Table13[[#This Row],[Day Ann.]])</f>
        <v>123</v>
      </c>
      <c r="G88" s="2">
        <f>IF(Table13[[#This Row],[Actual Close]]="", "",Table13[[#This Row],[Actual Close]]-Table13[[#This Row],[Day Ann.]])</f>
        <v>88</v>
      </c>
      <c r="H88" s="5">
        <f t="shared" si="6"/>
        <v>-35</v>
      </c>
      <c r="I88" s="5">
        <f t="shared" si="7"/>
        <v>35</v>
      </c>
      <c r="J88" t="str">
        <f t="shared" si="8"/>
        <v>CIVI Equity</v>
      </c>
      <c r="K88" t="str" cm="1">
        <f t="array" ref="K88">IFERROR(_xlfn.LET(_xlpm.t,TRIM(Table13[[#This Row],[TICKER]]),_xlpm.k,IF(ISNUMBER(SEARCH(" ",_xlpm.t)),_xlpm.t,_xlpm.t&amp;" US"),_xlfn.XLOOKUP(_xlpm.k,TRIM(Table1[Target Ticker]),Table1[Target Industry Sector])),"")</f>
        <v>Energy</v>
      </c>
      <c r="L88" t="str" cm="1">
        <f t="array" ref="L88">IFERROR(_xlfn.LET(_xlpm.t,TRIM(Table13[[#This Row],[TICKER]]),_xlpm.k,IF(ISNUMBER(SEARCH(" ",_xlpm.t)),_xlpm.t,_xlpm.t&amp;" US"),_xlfn.XLOOKUP(_xlpm.k,TRIM(Table1[Target Ticker]),Table1[Target Industry Group])),"")</f>
        <v>Oil &amp; Gas</v>
      </c>
      <c r="M88" t="str">
        <f>_xll.BDP($J88, "LAST_PRICE")</f>
        <v>#N/A Real Time</v>
      </c>
      <c r="O88" t="str">
        <f>IF(Table13[[#This Row],[Cash/Tender/Stock/Mix]]= "Mix", "Stock", Table13[[#This Row],[Cash/Tender/Stock/Mix]])</f>
        <v>Stock</v>
      </c>
      <c r="P88" t="s">
        <v>38</v>
      </c>
    </row>
    <row r="89" spans="2:16" x14ac:dyDescent="0.25">
      <c r="B89" t="s">
        <v>1098</v>
      </c>
      <c r="C89" s="4">
        <v>45964</v>
      </c>
      <c r="D89" s="4">
        <v>45964</v>
      </c>
      <c r="E89" s="4">
        <v>46042</v>
      </c>
      <c r="F89" s="2">
        <f>IF(Table13[[#This Row],[Day Ann.]]="", "", Table13[[#This Row],[Initial Close Est.]]-Table13[[#This Row],[Day Ann.]])</f>
        <v>0</v>
      </c>
      <c r="G89" s="2">
        <f>IF(Table13[[#This Row],[Actual Close]]="", "",Table13[[#This Row],[Actual Close]]-Table13[[#This Row],[Day Ann.]])</f>
        <v>78</v>
      </c>
      <c r="H89" s="5">
        <f t="shared" si="6"/>
        <v>78</v>
      </c>
      <c r="I89" s="5">
        <f t="shared" si="7"/>
        <v>78</v>
      </c>
      <c r="J89" t="str">
        <f t="shared" si="8"/>
        <v>DENN Equity</v>
      </c>
      <c r="K89" t="str" cm="1">
        <f t="array" ref="K89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89" t="str" cm="1">
        <f t="array" ref="L89">IFERROR(_xlfn.LET(_xlpm.t,TRIM(Table13[[#This Row],[TICKER]]),_xlpm.k,IF(ISNUMBER(SEARCH(" ",_xlpm.t)),_xlpm.t,_xlpm.t&amp;" US"),_xlfn.XLOOKUP(_xlpm.k,TRIM(Table1[Target Ticker]),Table1[Target Industry Group])),"")</f>
        <v>Consumer Discretionary Services</v>
      </c>
      <c r="M89" t="str">
        <f>_xll.BDP($J89, "LAST_PRICE")</f>
        <v>#N/A Real Time</v>
      </c>
      <c r="O89" t="str">
        <f>IF(Table13[[#This Row],[Cash/Tender/Stock/Mix]]= "Mix", "Stock", Table13[[#This Row],[Cash/Tender/Stock/Mix]])</f>
        <v>Cash</v>
      </c>
      <c r="P89" t="s">
        <v>23</v>
      </c>
    </row>
    <row r="90" spans="2:16" x14ac:dyDescent="0.25">
      <c r="B90" t="s">
        <v>1099</v>
      </c>
      <c r="C90" s="4">
        <v>45961</v>
      </c>
      <c r="D90" s="4">
        <v>46082</v>
      </c>
      <c r="E90" s="4">
        <v>46045</v>
      </c>
      <c r="F90" s="2">
        <f>IF(Table13[[#This Row],[Day Ann.]]="", "", Table13[[#This Row],[Initial Close Est.]]-Table13[[#This Row],[Day Ann.]])</f>
        <v>121</v>
      </c>
      <c r="G90" s="2">
        <f>IF(Table13[[#This Row],[Actual Close]]="", "",Table13[[#This Row],[Actual Close]]-Table13[[#This Row],[Day Ann.]])</f>
        <v>84</v>
      </c>
      <c r="H90" s="5">
        <f t="shared" si="6"/>
        <v>-37</v>
      </c>
      <c r="I90" s="5">
        <f t="shared" si="7"/>
        <v>37</v>
      </c>
      <c r="J90" t="str">
        <f t="shared" si="8"/>
        <v>PRB CN Equity</v>
      </c>
      <c r="K90" t="str" cm="1">
        <f t="array" ref="K90">IFERROR(_xlfn.LET(_xlpm.t,TRIM(Table13[[#This Row],[TICKER]]),_xlpm.k,IF(ISNUMBER(SEARCH(" ",_xlpm.t)),_xlpm.t,_xlpm.t&amp;" US"),_xlfn.XLOOKUP(_xlpm.k,TRIM(Table1[Target Ticker]),Table1[Target Industry Sector])),"")</f>
        <v/>
      </c>
      <c r="L90" t="str" cm="1">
        <f t="array" ref="L90">IFERROR(_xlfn.LET(_xlpm.t,TRIM(Table13[[#This Row],[TICKER]]),_xlpm.k,IF(ISNUMBER(SEARCH(" ",_xlpm.t)),_xlpm.t,_xlpm.t&amp;" US"),_xlfn.XLOOKUP(_xlpm.k,TRIM(Table1[Target Ticker]),Table1[Target Industry Group])),"")</f>
        <v/>
      </c>
      <c r="M90" t="str">
        <f>_xll.BDP($J90, "LAST_PRICE")</f>
        <v>#N/A Real Time</v>
      </c>
      <c r="O90" t="str">
        <f>IF(Table13[[#This Row],[Cash/Tender/Stock/Mix]]= "Mix", "Stock", Table13[[#This Row],[Cash/Tender/Stock/Mix]])</f>
        <v>Cash</v>
      </c>
      <c r="P90" t="s">
        <v>23</v>
      </c>
    </row>
    <row r="91" spans="2:16" x14ac:dyDescent="0.25">
      <c r="B91" t="s">
        <v>1100</v>
      </c>
      <c r="C91" s="4">
        <v>45960</v>
      </c>
      <c r="D91" s="4">
        <v>46080</v>
      </c>
      <c r="E91" s="4">
        <v>46055</v>
      </c>
      <c r="F91" s="2">
        <f>IF(Table13[[#This Row],[Day Ann.]]="", "", Table13[[#This Row],[Initial Close Est.]]-Table13[[#This Row],[Day Ann.]])</f>
        <v>120</v>
      </c>
      <c r="G91" s="2">
        <f>IF(Table13[[#This Row],[Actual Close]]="", "",Table13[[#This Row],[Actual Close]]-Table13[[#This Row],[Day Ann.]])</f>
        <v>95</v>
      </c>
      <c r="H91" s="5">
        <f t="shared" si="6"/>
        <v>-25</v>
      </c>
      <c r="I91" s="5">
        <f t="shared" si="7"/>
        <v>25</v>
      </c>
      <c r="J91" t="str">
        <f t="shared" si="8"/>
        <v>REVG Equity</v>
      </c>
      <c r="K91" t="str" cm="1">
        <f t="array" ref="K91">IFERROR(_xlfn.LET(_xlpm.t,TRIM(Table13[[#This Row],[TICKER]]),_xlpm.k,IF(ISNUMBER(SEARCH(" ",_xlpm.t)),_xlpm.t,_xlpm.t&amp;" US"),_xlfn.XLOOKUP(_xlpm.k,TRIM(Table1[Target Ticker]),Table1[Target Industry Sector])),"")</f>
        <v>Industrials</v>
      </c>
      <c r="L91" t="str" cm="1">
        <f t="array" ref="L91">IFERROR(_xlfn.LET(_xlpm.t,TRIM(Table13[[#This Row],[TICKER]]),_xlpm.k,IF(ISNUMBER(SEARCH(" ",_xlpm.t)),_xlpm.t,_xlpm.t&amp;" US"),_xlfn.XLOOKUP(_xlpm.k,TRIM(Table1[Target Ticker]),Table1[Target Industry Group])),"")</f>
        <v>Industrial Products</v>
      </c>
      <c r="M91" t="str">
        <f>_xll.BDP($J91, "LAST_PRICE")</f>
        <v>#N/A Real Time</v>
      </c>
      <c r="O91" t="str">
        <f>IF(Table13[[#This Row],[Cash/Tender/Stock/Mix]]= "Mix", "Stock", Table13[[#This Row],[Cash/Tender/Stock/Mix]])</f>
        <v>Stock</v>
      </c>
      <c r="P91" t="s">
        <v>1038</v>
      </c>
    </row>
    <row r="92" spans="2:16" x14ac:dyDescent="0.25">
      <c r="B92" t="s">
        <v>1101</v>
      </c>
      <c r="C92" s="4">
        <v>45959</v>
      </c>
      <c r="D92" s="4">
        <v>46178</v>
      </c>
      <c r="E92" s="4">
        <v>46155</v>
      </c>
      <c r="F92" s="2">
        <f>IF(Table13[[#This Row],[Day Ann.]]="", "", Table13[[#This Row],[Initial Close Est.]]-Table13[[#This Row],[Day Ann.]])</f>
        <v>219</v>
      </c>
      <c r="G92" s="2">
        <f>IF(Table13[[#This Row],[Actual Close]]="", "",Table13[[#This Row],[Actual Close]]-Table13[[#This Row],[Day Ann.]])</f>
        <v>196</v>
      </c>
      <c r="H92" s="5">
        <f t="shared" si="6"/>
        <v>-23</v>
      </c>
      <c r="I92" s="5">
        <f t="shared" si="7"/>
        <v>23</v>
      </c>
      <c r="J92" t="str">
        <f t="shared" si="8"/>
        <v>CSGS Equity</v>
      </c>
      <c r="K92" t="str" cm="1">
        <f t="array" ref="K92">IFERROR(_xlfn.LET(_xlpm.t,TRIM(Table13[[#This Row],[TICKER]]),_xlpm.k,IF(ISNUMBER(SEARCH(" ",_xlpm.t)),_xlpm.t,_xlpm.t&amp;" US"),_xlfn.XLOOKUP(_xlpm.k,TRIM(Table1[Target Ticker]),Table1[Target Industry Sector])),"")</f>
        <v>Industrials</v>
      </c>
      <c r="L92" t="str" cm="1">
        <f t="array" ref="L92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92" t="str">
        <f>_xll.BDP($J92, "LAST_PRICE")</f>
        <v>#N/A Real Time</v>
      </c>
      <c r="O92" t="str">
        <f>IF(Table13[[#This Row],[Cash/Tender/Stock/Mix]]= "Mix", "Stock", Table13[[#This Row],[Cash/Tender/Stock/Mix]])</f>
        <v>Cash</v>
      </c>
      <c r="P92" t="s">
        <v>23</v>
      </c>
    </row>
    <row r="93" spans="2:16" x14ac:dyDescent="0.25">
      <c r="B93" t="s">
        <v>1102</v>
      </c>
      <c r="C93" s="4">
        <v>45959</v>
      </c>
      <c r="D93" s="4">
        <v>46049</v>
      </c>
      <c r="E93" s="4">
        <v>46055</v>
      </c>
      <c r="F93" s="2">
        <f>IF(Table13[[#This Row],[Day Ann.]]="", "", Table13[[#This Row],[Initial Close Est.]]-Table13[[#This Row],[Day Ann.]])</f>
        <v>90</v>
      </c>
      <c r="G93" s="2">
        <f>IF(Table13[[#This Row],[Actual Close]]="", "",Table13[[#This Row],[Actual Close]]-Table13[[#This Row],[Day Ann.]])</f>
        <v>96</v>
      </c>
      <c r="H93" s="5">
        <f t="shared" si="6"/>
        <v>6</v>
      </c>
      <c r="I93" s="5">
        <f t="shared" si="7"/>
        <v>6</v>
      </c>
      <c r="J93" t="str">
        <f t="shared" si="8"/>
        <v>JAMF Equity</v>
      </c>
      <c r="K93" t="str" cm="1">
        <f t="array" ref="K93">IFERROR(_xlfn.LET(_xlpm.t,TRIM(Table13[[#This Row],[TICKER]]),_xlpm.k,IF(ISNUMBER(SEARCH(" ",_xlpm.t)),_xlpm.t,_xlpm.t&amp;" US"),_xlfn.XLOOKUP(_xlpm.k,TRIM(Table1[Target Ticker]),Table1[Target Industry Sector])),"")</f>
        <v>Technology</v>
      </c>
      <c r="L93" t="str" cm="1">
        <f t="array" ref="L93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93" t="str">
        <f>_xll.BDP($J93, "LAST_PRICE")</f>
        <v>#N/A Real Time</v>
      </c>
      <c r="O93" t="str">
        <f>IF(Table13[[#This Row],[Cash/Tender/Stock/Mix]]= "Mix", "Stock", Table13[[#This Row],[Cash/Tender/Stock/Mix]])</f>
        <v>Cash</v>
      </c>
      <c r="P93" t="s">
        <v>23</v>
      </c>
    </row>
    <row r="94" spans="2:16" x14ac:dyDescent="0.25">
      <c r="B94" t="s">
        <v>1103</v>
      </c>
      <c r="C94" s="4">
        <v>45958</v>
      </c>
      <c r="D94" s="4">
        <v>46420</v>
      </c>
      <c r="F94" s="2">
        <f>IF(Table13[[#This Row],[Day Ann.]]="", "", Table13[[#This Row],[Initial Close Est.]]-Table13[[#This Row],[Day Ann.]])</f>
        <v>462</v>
      </c>
      <c r="G94" s="2" t="str">
        <f>IF(Table13[[#This Row],[Actual Close]]="", "",Table13[[#This Row],[Actual Close]]-Table13[[#This Row],[Day Ann.]])</f>
        <v/>
      </c>
      <c r="H94" s="5" t="str">
        <f t="shared" si="6"/>
        <v/>
      </c>
      <c r="I94" s="5" t="str">
        <f t="shared" si="7"/>
        <v/>
      </c>
      <c r="J94" t="str">
        <f t="shared" si="8"/>
        <v>QRVO Equity</v>
      </c>
      <c r="K94" t="str" cm="1">
        <f t="array" ref="K94">IFERROR(_xlfn.LET(_xlpm.t,TRIM(Table13[[#This Row],[TICKER]]),_xlpm.k,IF(ISNUMBER(SEARCH(" ",_xlpm.t)),_xlpm.t,_xlpm.t&amp;" US"),_xlfn.XLOOKUP(_xlpm.k,TRIM(Table1[Target Ticker]),Table1[Target Industry Sector])),"")</f>
        <v>Technology</v>
      </c>
      <c r="L94" t="str" cm="1">
        <f t="array" ref="L94">IFERROR(_xlfn.LET(_xlpm.t,TRIM(Table13[[#This Row],[TICKER]]),_xlpm.k,IF(ISNUMBER(SEARCH(" ",_xlpm.t)),_xlpm.t,_xlpm.t&amp;" US"),_xlfn.XLOOKUP(_xlpm.k,TRIM(Table1[Target Ticker]),Table1[Target Industry Group])),"")</f>
        <v>Tech Hardware &amp; Semiconductors</v>
      </c>
      <c r="M94">
        <f>_xll.BDP($J94, "LAST_PRICE")</f>
        <v>96.53</v>
      </c>
      <c r="O94" t="str">
        <f>IF(Table13[[#This Row],[Cash/Tender/Stock/Mix]]= "Mix", "Stock", Table13[[#This Row],[Cash/Tender/Stock/Mix]])</f>
        <v>Stock</v>
      </c>
      <c r="P94" t="s">
        <v>1038</v>
      </c>
    </row>
    <row r="95" spans="2:16" x14ac:dyDescent="0.25">
      <c r="B95" t="s">
        <v>1104</v>
      </c>
      <c r="C95" s="4">
        <v>45958</v>
      </c>
      <c r="D95" s="4">
        <v>46079</v>
      </c>
      <c r="E95" s="4">
        <v>46070</v>
      </c>
      <c r="F95" s="2">
        <f>IF(Table13[[#This Row],[Day Ann.]]="", "", Table13[[#This Row],[Initial Close Est.]]-Table13[[#This Row],[Day Ann.]])</f>
        <v>121</v>
      </c>
      <c r="G95" s="2">
        <f>IF(Table13[[#This Row],[Actual Close]]="", "",Table13[[#This Row],[Actual Close]]-Table13[[#This Row],[Day Ann.]])</f>
        <v>112</v>
      </c>
      <c r="H95" s="5">
        <f t="shared" si="6"/>
        <v>-9</v>
      </c>
      <c r="I95" s="5">
        <f t="shared" si="7"/>
        <v>9</v>
      </c>
      <c r="J95" t="str">
        <f t="shared" si="8"/>
        <v>ZEUS Equity</v>
      </c>
      <c r="K95" t="str" cm="1">
        <f t="array" ref="K95">IFERROR(_xlfn.LET(_xlpm.t,TRIM(Table13[[#This Row],[TICKER]]),_xlpm.k,IF(ISNUMBER(SEARCH(" ",_xlpm.t)),_xlpm.t,_xlpm.t&amp;" US"),_xlfn.XLOOKUP(_xlpm.k,TRIM(Table1[Target Ticker]),Table1[Target Industry Sector])),"")</f>
        <v>Materials</v>
      </c>
      <c r="L95" t="str" cm="1">
        <f t="array" ref="L95">IFERROR(_xlfn.LET(_xlpm.t,TRIM(Table13[[#This Row],[TICKER]]),_xlpm.k,IF(ISNUMBER(SEARCH(" ",_xlpm.t)),_xlpm.t,_xlpm.t&amp;" US"),_xlfn.XLOOKUP(_xlpm.k,TRIM(Table1[Target Ticker]),Table1[Target Industry Group])),"")</f>
        <v>Materials</v>
      </c>
      <c r="M95" t="str">
        <f>_xll.BDP($J95, "LAST_PRICE")</f>
        <v>#N/A Real Time</v>
      </c>
      <c r="O95" t="str">
        <f>IF(Table13[[#This Row],[Cash/Tender/Stock/Mix]]= "Mix", "Stock", Table13[[#This Row],[Cash/Tender/Stock/Mix]])</f>
        <v>Stock</v>
      </c>
      <c r="P95" t="s">
        <v>38</v>
      </c>
    </row>
    <row r="96" spans="2:16" x14ac:dyDescent="0.25">
      <c r="B96" t="s">
        <v>1105</v>
      </c>
      <c r="C96" s="4">
        <v>45957</v>
      </c>
      <c r="D96" s="4">
        <v>46113</v>
      </c>
      <c r="F96" s="2">
        <f>IF(Table13[[#This Row],[Day Ann.]]="", "", Table13[[#This Row],[Initial Close Est.]]-Table13[[#This Row],[Day Ann.]])</f>
        <v>156</v>
      </c>
      <c r="G96" s="2" t="str">
        <f>IF(Table13[[#This Row],[Actual Close]]="", "",Table13[[#This Row],[Actual Close]]-Table13[[#This Row],[Day Ann.]])</f>
        <v/>
      </c>
      <c r="H96" s="5" t="str">
        <f t="shared" si="6"/>
        <v/>
      </c>
      <c r="I96" s="5" t="str">
        <f t="shared" si="7"/>
        <v/>
      </c>
      <c r="J96" t="str">
        <f t="shared" si="8"/>
        <v>RNA Equity</v>
      </c>
      <c r="K96" t="str" cm="1">
        <f t="array" ref="K96">IFERROR(_xlfn.LET(_xlpm.t,TRIM(Table13[[#This Row],[TICKER]]),_xlpm.k,IF(ISNUMBER(SEARCH(" ",_xlpm.t)),_xlpm.t,_xlpm.t&amp;" US"),_xlfn.XLOOKUP(_xlpm.k,TRIM(Table1[Target Ticker]),Table1[Target Industry Sector])),"")</f>
        <v/>
      </c>
      <c r="L96" t="str" cm="1">
        <f t="array" ref="L96">IFERROR(_xlfn.LET(_xlpm.t,TRIM(Table13[[#This Row],[TICKER]]),_xlpm.k,IF(ISNUMBER(SEARCH(" ",_xlpm.t)),_xlpm.t,_xlpm.t&amp;" US"),_xlfn.XLOOKUP(_xlpm.k,TRIM(Table1[Target Ticker]),Table1[Target Industry Group])),"")</f>
        <v/>
      </c>
      <c r="M96">
        <f>_xll.BDP($J96, "LAST_PRICE")</f>
        <v>12.865</v>
      </c>
      <c r="O96" t="str">
        <f>IF(Table13[[#This Row],[Cash/Tender/Stock/Mix]]= "Mix", "Stock", Table13[[#This Row],[Cash/Tender/Stock/Mix]])</f>
        <v>Cash</v>
      </c>
      <c r="P96" t="s">
        <v>23</v>
      </c>
    </row>
    <row r="97" spans="2:16" x14ac:dyDescent="0.25">
      <c r="B97" t="s">
        <v>1106</v>
      </c>
      <c r="C97" s="4">
        <v>45957</v>
      </c>
      <c r="D97" s="4">
        <v>46419</v>
      </c>
      <c r="F97" s="2">
        <f>IF(Table13[[#This Row],[Day Ann.]]="", "", Table13[[#This Row],[Initial Close Est.]]-Table13[[#This Row],[Day Ann.]])</f>
        <v>462</v>
      </c>
      <c r="G97" s="2" t="str">
        <f>IF(Table13[[#This Row],[Actual Close]]="", "",Table13[[#This Row],[Actual Close]]-Table13[[#This Row],[Day Ann.]])</f>
        <v/>
      </c>
      <c r="H97" s="5" t="str">
        <f t="shared" si="6"/>
        <v/>
      </c>
      <c r="I97" s="5" t="str">
        <f t="shared" si="7"/>
        <v/>
      </c>
      <c r="J97" t="str">
        <f t="shared" si="8"/>
        <v>WTRG Equity</v>
      </c>
      <c r="K97" t="str" cm="1">
        <f t="array" ref="K97">IFERROR(_xlfn.LET(_xlpm.t,TRIM(Table13[[#This Row],[TICKER]]),_xlpm.k,IF(ISNUMBER(SEARCH(" ",_xlpm.t)),_xlpm.t,_xlpm.t&amp;" US"),_xlfn.XLOOKUP(_xlpm.k,TRIM(Table1[Target Ticker]),Table1[Target Industry Sector])),"")</f>
        <v>Utilities</v>
      </c>
      <c r="L97" t="str" cm="1">
        <f t="array" ref="L97">IFERROR(_xlfn.LET(_xlpm.t,TRIM(Table13[[#This Row],[TICKER]]),_xlpm.k,IF(ISNUMBER(SEARCH(" ",_xlpm.t)),_xlpm.t,_xlpm.t&amp;" US"),_xlfn.XLOOKUP(_xlpm.k,TRIM(Table1[Target Ticker]),Table1[Target Industry Group])),"")</f>
        <v>Utilities</v>
      </c>
      <c r="M97">
        <f>_xll.BDP($J97, "LAST_PRICE")</f>
        <v>37.787999999999997</v>
      </c>
      <c r="O97" t="str">
        <f>IF(Table13[[#This Row],[Cash/Tender/Stock/Mix]]= "Mix", "Stock", Table13[[#This Row],[Cash/Tender/Stock/Mix]])</f>
        <v>Stock</v>
      </c>
      <c r="P97" t="s">
        <v>38</v>
      </c>
    </row>
    <row r="98" spans="2:16" x14ac:dyDescent="0.25">
      <c r="B98" t="s">
        <v>1107</v>
      </c>
      <c r="C98" s="4">
        <v>45957</v>
      </c>
      <c r="D98" s="4">
        <v>46113</v>
      </c>
      <c r="E98" s="4">
        <v>46113</v>
      </c>
      <c r="F98" s="2">
        <f>IF(Table13[[#This Row],[Day Ann.]]="", "", Table13[[#This Row],[Initial Close Est.]]-Table13[[#This Row],[Day Ann.]])</f>
        <v>156</v>
      </c>
      <c r="G98" s="2">
        <f>IF(Table13[[#This Row],[Actual Close]]="", "",Table13[[#This Row],[Actual Close]]-Table13[[#This Row],[Day Ann.]])</f>
        <v>156</v>
      </c>
      <c r="H98" s="5">
        <f t="shared" si="6"/>
        <v>0</v>
      </c>
      <c r="I98" s="5">
        <f t="shared" si="7"/>
        <v>0</v>
      </c>
      <c r="J98" t="str">
        <f t="shared" si="8"/>
        <v>FFWM Equity</v>
      </c>
      <c r="K98" t="str" cm="1">
        <f t="array" ref="K98">IFERROR(_xlfn.LET(_xlpm.t,TRIM(Table13[[#This Row],[TICKER]]),_xlpm.k,IF(ISNUMBER(SEARCH(" ",_xlpm.t)),_xlpm.t,_xlpm.t&amp;" US"),_xlfn.XLOOKUP(_xlpm.k,TRIM(Table1[Target Ticker]),Table1[Target Industry Sector])),"")</f>
        <v>Financials</v>
      </c>
      <c r="L98" t="str" cm="1">
        <f t="array" ref="L98">IFERROR(_xlfn.LET(_xlpm.t,TRIM(Table13[[#This Row],[TICKER]]),_xlpm.k,IF(ISNUMBER(SEARCH(" ",_xlpm.t)),_xlpm.t,_xlpm.t&amp;" US"),_xlfn.XLOOKUP(_xlpm.k,TRIM(Table1[Target Ticker]),Table1[Target Industry Group])),"")</f>
        <v>Banking</v>
      </c>
      <c r="M98" t="str">
        <f>_xll.BDP($J98, "LAST_PRICE")</f>
        <v>#N/A Real Time</v>
      </c>
      <c r="O98" t="str">
        <f>IF(Table13[[#This Row],[Cash/Tender/Stock/Mix]]= "Mix", "Stock", Table13[[#This Row],[Cash/Tender/Stock/Mix]])</f>
        <v>Stock</v>
      </c>
      <c r="P98" t="s">
        <v>38</v>
      </c>
    </row>
    <row r="99" spans="2:16" x14ac:dyDescent="0.25">
      <c r="B99" t="s">
        <v>1108</v>
      </c>
      <c r="C99" s="4">
        <v>45957</v>
      </c>
      <c r="D99" s="4">
        <v>46082</v>
      </c>
      <c r="E99" s="4">
        <v>46055</v>
      </c>
      <c r="F99" s="2">
        <f>IF(Table13[[#This Row],[Day Ann.]]="", "", Table13[[#This Row],[Initial Close Est.]]-Table13[[#This Row],[Day Ann.]])</f>
        <v>125</v>
      </c>
      <c r="G99" s="2">
        <f>IF(Table13[[#This Row],[Actual Close]]="", "",Table13[[#This Row],[Actual Close]]-Table13[[#This Row],[Day Ann.]])</f>
        <v>98</v>
      </c>
      <c r="H99" s="5">
        <f t="shared" ref="H99:H130" si="9">IF(E99="","",E99-D99)</f>
        <v>-27</v>
      </c>
      <c r="I99" s="5">
        <f t="shared" ref="I99:I130" si="10">IF(H99="", "",ABS(H99))</f>
        <v>27</v>
      </c>
      <c r="J99" t="str">
        <f t="shared" ref="J99:J130" si="11">(B99&amp;" Equity")</f>
        <v>CADE Equity</v>
      </c>
      <c r="K99" t="str" cm="1">
        <f t="array" ref="K99">IFERROR(_xlfn.LET(_xlpm.t,TRIM(Table13[[#This Row],[TICKER]]),_xlpm.k,IF(ISNUMBER(SEARCH(" ",_xlpm.t)),_xlpm.t,_xlpm.t&amp;" US"),_xlfn.XLOOKUP(_xlpm.k,TRIM(Table1[Target Ticker]),Table1[Target Industry Sector])),"")</f>
        <v>Financials</v>
      </c>
      <c r="L99" t="str" cm="1">
        <f t="array" ref="L99">IFERROR(_xlfn.LET(_xlpm.t,TRIM(Table13[[#This Row],[TICKER]]),_xlpm.k,IF(ISNUMBER(SEARCH(" ",_xlpm.t)),_xlpm.t,_xlpm.t&amp;" US"),_xlfn.XLOOKUP(_xlpm.k,TRIM(Table1[Target Ticker]),Table1[Target Industry Group])),"")</f>
        <v>Banking</v>
      </c>
      <c r="M99" t="str">
        <f>_xll.BDP($J99, "LAST_PRICE")</f>
        <v>#N/A Real Time</v>
      </c>
      <c r="O99" t="str">
        <f>IF(Table13[[#This Row],[Cash/Tender/Stock/Mix]]= "Mix", "Stock", Table13[[#This Row],[Cash/Tender/Stock/Mix]])</f>
        <v>Stock</v>
      </c>
      <c r="P99" t="s">
        <v>38</v>
      </c>
    </row>
    <row r="100" spans="2:16" x14ac:dyDescent="0.25">
      <c r="B100" t="s">
        <v>1109</v>
      </c>
      <c r="C100" s="4">
        <v>45954</v>
      </c>
      <c r="D100" s="4">
        <v>46041</v>
      </c>
      <c r="E100" s="4">
        <v>46050</v>
      </c>
      <c r="F100" s="2">
        <f>IF(Table13[[#This Row],[Day Ann.]]="", "", Table13[[#This Row],[Initial Close Est.]]-Table13[[#This Row],[Day Ann.]])</f>
        <v>87</v>
      </c>
      <c r="G100" s="2">
        <f>IF(Table13[[#This Row],[Actual Close]]="", "",Table13[[#This Row],[Actual Close]]-Table13[[#This Row],[Day Ann.]])</f>
        <v>96</v>
      </c>
      <c r="H100" s="5">
        <f t="shared" si="9"/>
        <v>9</v>
      </c>
      <c r="I100" s="5">
        <f t="shared" si="10"/>
        <v>9</v>
      </c>
      <c r="J100" t="str">
        <f t="shared" si="11"/>
        <v>PLYM Equity</v>
      </c>
      <c r="K100" t="str" cm="1">
        <f t="array" ref="K100">IFERROR(_xlfn.LET(_xlpm.t,TRIM(Table13[[#This Row],[TICKER]]),_xlpm.k,IF(ISNUMBER(SEARCH(" ",_xlpm.t)),_xlpm.t,_xlpm.t&amp;" US"),_xlfn.XLOOKUP(_xlpm.k,TRIM(Table1[Target Ticker]),Table1[Target Industry Sector])),"")</f>
        <v>Real Estate</v>
      </c>
      <c r="L100" t="str" cm="1">
        <f t="array" ref="L100">IFERROR(_xlfn.LET(_xlpm.t,TRIM(Table13[[#This Row],[TICKER]]),_xlpm.k,IF(ISNUMBER(SEARCH(" ",_xlpm.t)),_xlpm.t,_xlpm.t&amp;" US"),_xlfn.XLOOKUP(_xlpm.k,TRIM(Table1[Target Ticker]),Table1[Target Industry Group])),"")</f>
        <v>Real Estate</v>
      </c>
      <c r="M100" t="str">
        <f>_xll.BDP($J100, "LAST_PRICE")</f>
        <v>#N/A Real Time</v>
      </c>
      <c r="O100" t="str">
        <f>IF(Table13[[#This Row],[Cash/Tender/Stock/Mix]]= "Mix", "Stock", Table13[[#This Row],[Cash/Tender/Stock/Mix]])</f>
        <v>Cash</v>
      </c>
      <c r="P100" t="s">
        <v>23</v>
      </c>
    </row>
    <row r="101" spans="2:16" x14ac:dyDescent="0.25">
      <c r="B101" t="s">
        <v>1110</v>
      </c>
      <c r="C101" s="4">
        <v>45953</v>
      </c>
      <c r="D101" s="4">
        <v>46113</v>
      </c>
      <c r="E101" s="4">
        <v>46070</v>
      </c>
      <c r="F101" s="2">
        <f>IF(Table13[[#This Row],[Day Ann.]]="", "", Table13[[#This Row],[Initial Close Est.]]-Table13[[#This Row],[Day Ann.]])</f>
        <v>160</v>
      </c>
      <c r="G101" s="2">
        <f>IF(Table13[[#This Row],[Actual Close]]="", "",Table13[[#This Row],[Actual Close]]-Table13[[#This Row],[Day Ann.]])</f>
        <v>117</v>
      </c>
      <c r="H101" s="5">
        <f t="shared" si="9"/>
        <v>-43</v>
      </c>
      <c r="I101" s="5">
        <f t="shared" si="10"/>
        <v>43</v>
      </c>
      <c r="J101" t="str">
        <f t="shared" si="11"/>
        <v>MOFG Equity</v>
      </c>
      <c r="K101" t="str" cm="1">
        <f t="array" ref="K101">IFERROR(_xlfn.LET(_xlpm.t,TRIM(Table13[[#This Row],[TICKER]]),_xlpm.k,IF(ISNUMBER(SEARCH(" ",_xlpm.t)),_xlpm.t,_xlpm.t&amp;" US"),_xlfn.XLOOKUP(_xlpm.k,TRIM(Table1[Target Ticker]),Table1[Target Industry Sector])),"")</f>
        <v>Financials</v>
      </c>
      <c r="L101" t="str" cm="1">
        <f t="array" ref="L101">IFERROR(_xlfn.LET(_xlpm.t,TRIM(Table13[[#This Row],[TICKER]]),_xlpm.k,IF(ISNUMBER(SEARCH(" ",_xlpm.t)),_xlpm.t,_xlpm.t&amp;" US"),_xlfn.XLOOKUP(_xlpm.k,TRIM(Table1[Target Ticker]),Table1[Target Industry Group])),"")</f>
        <v>Banking</v>
      </c>
      <c r="M101" t="str">
        <f>_xll.BDP($J101, "LAST_PRICE")</f>
        <v>#N/A Real Time</v>
      </c>
      <c r="O101" t="str">
        <f>IF(Table13[[#This Row],[Cash/Tender/Stock/Mix]]= "Mix", "Stock", Table13[[#This Row],[Cash/Tender/Stock/Mix]])</f>
        <v>Stock</v>
      </c>
      <c r="P101" t="s">
        <v>38</v>
      </c>
    </row>
    <row r="102" spans="2:16" x14ac:dyDescent="0.25">
      <c r="B102" t="s">
        <v>1111</v>
      </c>
      <c r="C102" s="4">
        <v>45952</v>
      </c>
      <c r="D102" s="4">
        <v>46063</v>
      </c>
      <c r="E102" s="4">
        <v>46065</v>
      </c>
      <c r="F102" s="2">
        <f>IF(Table13[[#This Row],[Day Ann.]]="", "", Table13[[#This Row],[Initial Close Est.]]-Table13[[#This Row],[Day Ann.]])</f>
        <v>111</v>
      </c>
      <c r="G102" s="2">
        <f>IF(Table13[[#This Row],[Actual Close]]="", "",Table13[[#This Row],[Actual Close]]-Table13[[#This Row],[Day Ann.]])</f>
        <v>113</v>
      </c>
      <c r="H102" s="5">
        <f t="shared" si="9"/>
        <v>2</v>
      </c>
      <c r="I102" s="5">
        <f t="shared" si="10"/>
        <v>2</v>
      </c>
      <c r="J102" t="str">
        <f t="shared" si="11"/>
        <v>AVDL Equity</v>
      </c>
      <c r="K102" t="str" cm="1">
        <f t="array" ref="K102">IFERROR(_xlfn.LET(_xlpm.t,TRIM(Table13[[#This Row],[TICKER]]),_xlpm.k,IF(ISNUMBER(SEARCH(" ",_xlpm.t)),_xlpm.t,_xlpm.t&amp;" US"),_xlfn.XLOOKUP(_xlpm.k,TRIM(Table1[Target Ticker]),Table1[Target Industry Sector])),"")</f>
        <v>Health Care</v>
      </c>
      <c r="L102" t="str" cm="1">
        <f t="array" ref="L102">IFERROR(_xlfn.LET(_xlpm.t,TRIM(Table13[[#This Row],[TICKER]]),_xlpm.k,IF(ISNUMBER(SEARCH(" ",_xlpm.t)),_xlpm.t,_xlpm.t&amp;" US"),_xlfn.XLOOKUP(_xlpm.k,TRIM(Table1[Target Ticker]),Table1[Target Industry Group])),"")</f>
        <v>Health Care</v>
      </c>
      <c r="M102" t="str">
        <f>_xll.BDP($J102, "LAST_PRICE")</f>
        <v>#N/A Real Time</v>
      </c>
      <c r="O102" t="str">
        <f>IF(Table13[[#This Row],[Cash/Tender/Stock/Mix]]= "Mix", "Stock", Table13[[#This Row],[Cash/Tender/Stock/Mix]])</f>
        <v>Cash</v>
      </c>
      <c r="P102" t="s">
        <v>23</v>
      </c>
    </row>
    <row r="103" spans="2:16" x14ac:dyDescent="0.25">
      <c r="B103" t="s">
        <v>1112</v>
      </c>
      <c r="C103" s="4">
        <v>45951</v>
      </c>
      <c r="D103" s="4">
        <v>46093</v>
      </c>
      <c r="E103" s="4">
        <v>46120</v>
      </c>
      <c r="F103" s="2">
        <f>IF(Table13[[#This Row],[Day Ann.]]="", "", Table13[[#This Row],[Initial Close Est.]]-Table13[[#This Row],[Day Ann.]])</f>
        <v>142</v>
      </c>
      <c r="G103" s="2">
        <f>IF(Table13[[#This Row],[Actual Close]]="", "",Table13[[#This Row],[Actual Close]]-Table13[[#This Row],[Day Ann.]])</f>
        <v>169</v>
      </c>
      <c r="H103" s="5">
        <f t="shared" si="9"/>
        <v>27</v>
      </c>
      <c r="I103" s="5">
        <f t="shared" si="10"/>
        <v>27</v>
      </c>
      <c r="J103" t="str">
        <f t="shared" si="11"/>
        <v>HOLX Equity</v>
      </c>
      <c r="K103" t="str" cm="1">
        <f t="array" ref="K103">IFERROR(_xlfn.LET(_xlpm.t,TRIM(Table13[[#This Row],[TICKER]]),_xlpm.k,IF(ISNUMBER(SEARCH(" ",_xlpm.t)),_xlpm.t,_xlpm.t&amp;" US"),_xlfn.XLOOKUP(_xlpm.k,TRIM(Table1[Target Ticker]),Table1[Target Industry Sector])),"")</f>
        <v>Health Care</v>
      </c>
      <c r="L103" t="str" cm="1">
        <f t="array" ref="L103">IFERROR(_xlfn.LET(_xlpm.t,TRIM(Table13[[#This Row],[TICKER]]),_xlpm.k,IF(ISNUMBER(SEARCH(" ",_xlpm.t)),_xlpm.t,_xlpm.t&amp;" US"),_xlfn.XLOOKUP(_xlpm.k,TRIM(Table1[Target Ticker]),Table1[Target Industry Group])),"")</f>
        <v>Health Care</v>
      </c>
      <c r="M103" t="str">
        <f>_xll.BDP($J103, "LAST_PRICE")</f>
        <v>#N/A Real Time</v>
      </c>
      <c r="O103" t="str">
        <f>IF(Table13[[#This Row],[Cash/Tender/Stock/Mix]]= "Mix", "Stock", Table13[[#This Row],[Cash/Tender/Stock/Mix]])</f>
        <v>Cash</v>
      </c>
      <c r="P103" t="s">
        <v>23</v>
      </c>
    </row>
    <row r="104" spans="2:16" x14ac:dyDescent="0.25">
      <c r="B104" t="s">
        <v>1113</v>
      </c>
      <c r="C104" s="4">
        <v>45945</v>
      </c>
      <c r="D104" s="4">
        <v>46066</v>
      </c>
      <c r="E104" s="4">
        <v>46063</v>
      </c>
      <c r="F104" s="2">
        <f>IF(Table13[[#This Row],[Day Ann.]]="", "", Table13[[#This Row],[Initial Close Est.]]-Table13[[#This Row],[Day Ann.]])</f>
        <v>121</v>
      </c>
      <c r="G104" s="2">
        <f>IF(Table13[[#This Row],[Actual Close]]="", "",Table13[[#This Row],[Actual Close]]-Table13[[#This Row],[Day Ann.]])</f>
        <v>118</v>
      </c>
      <c r="H104" s="5">
        <f t="shared" si="9"/>
        <v>-3</v>
      </c>
      <c r="I104" s="5">
        <f t="shared" si="10"/>
        <v>3</v>
      </c>
      <c r="J104" t="str">
        <f t="shared" si="11"/>
        <v>HI Equity</v>
      </c>
      <c r="K104" t="str" cm="1">
        <f t="array" ref="K104">IFERROR(_xlfn.LET(_xlpm.t,TRIM(Table13[[#This Row],[TICKER]]),_xlpm.k,IF(ISNUMBER(SEARCH(" ",_xlpm.t)),_xlpm.t,_xlpm.t&amp;" US"),_xlfn.XLOOKUP(_xlpm.k,TRIM(Table1[Target Ticker]),Table1[Target Industry Sector])),"")</f>
        <v>Industrials</v>
      </c>
      <c r="L104" t="str" cm="1">
        <f t="array" ref="L104">IFERROR(_xlfn.LET(_xlpm.t,TRIM(Table13[[#This Row],[TICKER]]),_xlpm.k,IF(ISNUMBER(SEARCH(" ",_xlpm.t)),_xlpm.t,_xlpm.t&amp;" US"),_xlfn.XLOOKUP(_xlpm.k,TRIM(Table1[Target Ticker]),Table1[Target Industry Group])),"")</f>
        <v>Industrial Products</v>
      </c>
      <c r="M104" t="str">
        <f>_xll.BDP($J104, "LAST_PRICE")</f>
        <v>#N/A Real Time</v>
      </c>
      <c r="O104" t="str">
        <f>IF(Table13[[#This Row],[Cash/Tender/Stock/Mix]]= "Mix", "Stock", Table13[[#This Row],[Cash/Tender/Stock/Mix]])</f>
        <v>Cash</v>
      </c>
      <c r="P104" t="s">
        <v>23</v>
      </c>
    </row>
    <row r="105" spans="2:16" x14ac:dyDescent="0.25">
      <c r="B105" t="s">
        <v>1114</v>
      </c>
      <c r="C105" s="4">
        <v>45944</v>
      </c>
      <c r="D105" s="4">
        <v>46082</v>
      </c>
      <c r="E105" s="4">
        <v>46056</v>
      </c>
      <c r="F105" s="2">
        <f>IF(Table13[[#This Row],[Day Ann.]]="", "", Table13[[#This Row],[Initial Close Est.]]-Table13[[#This Row],[Day Ann.]])</f>
        <v>138</v>
      </c>
      <c r="G105" s="2">
        <f>IF(Table13[[#This Row],[Actual Close]]="", "",Table13[[#This Row],[Actual Close]]-Table13[[#This Row],[Day Ann.]])</f>
        <v>112</v>
      </c>
      <c r="H105" s="5">
        <f t="shared" si="9"/>
        <v>-26</v>
      </c>
      <c r="I105" s="5">
        <f t="shared" si="10"/>
        <v>26</v>
      </c>
      <c r="J105" t="str">
        <f t="shared" si="11"/>
        <v>PCH Equity</v>
      </c>
      <c r="K105" t="str" cm="1">
        <f t="array" ref="K105">IFERROR(_xlfn.LET(_xlpm.t,TRIM(Table13[[#This Row],[TICKER]]),_xlpm.k,IF(ISNUMBER(SEARCH(" ",_xlpm.t)),_xlpm.t,_xlpm.t&amp;" US"),_xlfn.XLOOKUP(_xlpm.k,TRIM(Table1[Target Ticker]),Table1[Target Industry Sector])),"")</f>
        <v>Real Estate</v>
      </c>
      <c r="L105" t="str" cm="1">
        <f t="array" ref="L105">IFERROR(_xlfn.LET(_xlpm.t,TRIM(Table13[[#This Row],[TICKER]]),_xlpm.k,IF(ISNUMBER(SEARCH(" ",_xlpm.t)),_xlpm.t,_xlpm.t&amp;" US"),_xlfn.XLOOKUP(_xlpm.k,TRIM(Table1[Target Ticker]),Table1[Target Industry Group])),"")</f>
        <v>Real Estate</v>
      </c>
      <c r="M105" t="str">
        <f>_xll.BDP($J105, "LAST_PRICE")</f>
        <v>#N/A Real Time</v>
      </c>
      <c r="O105" t="str">
        <f>IF(Table13[[#This Row],[Cash/Tender/Stock/Mix]]= "Mix", "Stock", Table13[[#This Row],[Cash/Tender/Stock/Mix]])</f>
        <v>Stock</v>
      </c>
      <c r="P105" t="s">
        <v>1038</v>
      </c>
    </row>
    <row r="106" spans="2:16" x14ac:dyDescent="0.25">
      <c r="B106" t="s">
        <v>1115</v>
      </c>
      <c r="C106" s="4">
        <v>45944</v>
      </c>
      <c r="D106" s="4">
        <v>46064</v>
      </c>
      <c r="E106" s="4">
        <v>46048</v>
      </c>
      <c r="F106" s="2">
        <f>IF(Table13[[#This Row],[Day Ann.]]="", "", Table13[[#This Row],[Initial Close Est.]]-Table13[[#This Row],[Day Ann.]])</f>
        <v>120</v>
      </c>
      <c r="G106" s="2">
        <f>IF(Table13[[#This Row],[Actual Close]]="", "",Table13[[#This Row],[Actual Close]]-Table13[[#This Row],[Day Ann.]])</f>
        <v>104</v>
      </c>
      <c r="H106" s="5">
        <f t="shared" si="9"/>
        <v>-16</v>
      </c>
      <c r="I106" s="5">
        <f t="shared" si="10"/>
        <v>16</v>
      </c>
      <c r="J106" t="str">
        <f t="shared" si="11"/>
        <v>ATXS Equity</v>
      </c>
      <c r="K106" t="str" cm="1">
        <f t="array" ref="K106">IFERROR(_xlfn.LET(_xlpm.t,TRIM(Table13[[#This Row],[TICKER]]),_xlpm.k,IF(ISNUMBER(SEARCH(" ",_xlpm.t)),_xlpm.t,_xlpm.t&amp;" US"),_xlfn.XLOOKUP(_xlpm.k,TRIM(Table1[Target Ticker]),Table1[Target Industry Sector])),"")</f>
        <v/>
      </c>
      <c r="L106" t="str" cm="1">
        <f t="array" ref="L106">IFERROR(_xlfn.LET(_xlpm.t,TRIM(Table13[[#This Row],[TICKER]]),_xlpm.k,IF(ISNUMBER(SEARCH(" ",_xlpm.t)),_xlpm.t,_xlpm.t&amp;" US"),_xlfn.XLOOKUP(_xlpm.k,TRIM(Table1[Target Ticker]),Table1[Target Industry Group])),"")</f>
        <v/>
      </c>
      <c r="M106" t="str">
        <f>_xll.BDP($J106, "LAST_PRICE")</f>
        <v>#N/A Real Time</v>
      </c>
      <c r="O106" t="str">
        <f>IF(Table13[[#This Row],[Cash/Tender/Stock/Mix]]= "Mix", "Stock", Table13[[#This Row],[Cash/Tender/Stock/Mix]])</f>
        <v>Stock</v>
      </c>
      <c r="P106" t="s">
        <v>1038</v>
      </c>
    </row>
    <row r="107" spans="2:16" x14ac:dyDescent="0.25">
      <c r="B107" t="s">
        <v>1116</v>
      </c>
      <c r="C107" s="4">
        <v>45939</v>
      </c>
      <c r="D107" s="4">
        <v>46023</v>
      </c>
      <c r="E107" s="4">
        <v>46001</v>
      </c>
      <c r="F107" s="2">
        <f>IF(Table13[[#This Row],[Day Ann.]]="", "", Table13[[#This Row],[Initial Close Est.]]-Table13[[#This Row],[Day Ann.]])</f>
        <v>84</v>
      </c>
      <c r="G107" s="2">
        <f>IF(Table13[[#This Row],[Actual Close]]="", "",Table13[[#This Row],[Actual Close]]-Table13[[#This Row],[Day Ann.]])</f>
        <v>62</v>
      </c>
      <c r="H107" s="5">
        <f t="shared" si="9"/>
        <v>-22</v>
      </c>
      <c r="I107" s="5">
        <f t="shared" si="10"/>
        <v>22</v>
      </c>
      <c r="J107" t="str">
        <f t="shared" si="11"/>
        <v>AKRO Equity</v>
      </c>
      <c r="K107" t="str" cm="1">
        <f t="array" ref="K107">IFERROR(_xlfn.LET(_xlpm.t,TRIM(Table13[[#This Row],[TICKER]]),_xlpm.k,IF(ISNUMBER(SEARCH(" ",_xlpm.t)),_xlpm.t,_xlpm.t&amp;" US"),_xlfn.XLOOKUP(_xlpm.k,TRIM(Table1[Target Ticker]),Table1[Target Industry Sector])),"")</f>
        <v>Health Care</v>
      </c>
      <c r="L107" t="str" cm="1">
        <f t="array" ref="L107">IFERROR(_xlfn.LET(_xlpm.t,TRIM(Table13[[#This Row],[TICKER]]),_xlpm.k,IF(ISNUMBER(SEARCH(" ",_xlpm.t)),_xlpm.t,_xlpm.t&amp;" US"),_xlfn.XLOOKUP(_xlpm.k,TRIM(Table1[Target Ticker]),Table1[Target Industry Group])),"")</f>
        <v>Health Care</v>
      </c>
      <c r="M107" t="str">
        <f>_xll.BDP($J107, "LAST_PRICE")</f>
        <v>#N/A Real Time</v>
      </c>
      <c r="O107" t="str">
        <f>IF(Table13[[#This Row],[Cash/Tender/Stock/Mix]]= "Mix", "Stock", Table13[[#This Row],[Cash/Tender/Stock/Mix]])</f>
        <v>Cash</v>
      </c>
      <c r="P107" t="s">
        <v>23</v>
      </c>
    </row>
    <row r="108" spans="2:16" x14ac:dyDescent="0.25">
      <c r="B108" t="s">
        <v>1117</v>
      </c>
      <c r="C108" s="4">
        <v>45936</v>
      </c>
      <c r="D108" s="4">
        <v>46082</v>
      </c>
      <c r="E108" s="4">
        <v>46055</v>
      </c>
      <c r="F108" s="2">
        <f>IF(Table13[[#This Row],[Day Ann.]]="", "", Table13[[#This Row],[Initial Close Est.]]-Table13[[#This Row],[Day Ann.]])</f>
        <v>146</v>
      </c>
      <c r="G108" s="2">
        <f>IF(Table13[[#This Row],[Actual Close]]="", "",Table13[[#This Row],[Actual Close]]-Table13[[#This Row],[Day Ann.]])</f>
        <v>119</v>
      </c>
      <c r="H108" s="5">
        <f t="shared" si="9"/>
        <v>-27</v>
      </c>
      <c r="I108" s="5">
        <f t="shared" si="10"/>
        <v>27</v>
      </c>
      <c r="J108" t="str">
        <f t="shared" si="11"/>
        <v>CMA Equity</v>
      </c>
      <c r="K108" t="str" cm="1">
        <f t="array" ref="K108">IFERROR(_xlfn.LET(_xlpm.t,TRIM(Table13[[#This Row],[TICKER]]),_xlpm.k,IF(ISNUMBER(SEARCH(" ",_xlpm.t)),_xlpm.t,_xlpm.t&amp;" US"),_xlfn.XLOOKUP(_xlpm.k,TRIM(Table1[Target Ticker]),Table1[Target Industry Sector])),"")</f>
        <v>Financials</v>
      </c>
      <c r="L108" t="str" cm="1">
        <f t="array" ref="L108">IFERROR(_xlfn.LET(_xlpm.t,TRIM(Table13[[#This Row],[TICKER]]),_xlpm.k,IF(ISNUMBER(SEARCH(" ",_xlpm.t)),_xlpm.t,_xlpm.t&amp;" US"),_xlfn.XLOOKUP(_xlpm.k,TRIM(Table1[Target Ticker]),Table1[Target Industry Group])),"")</f>
        <v>Banking</v>
      </c>
      <c r="M108" t="str">
        <f>_xll.BDP($J108, "LAST_PRICE")</f>
        <v>#N/A Real Time</v>
      </c>
      <c r="O108" t="str">
        <f>IF(Table13[[#This Row],[Cash/Tender/Stock/Mix]]= "Mix", "Stock", Table13[[#This Row],[Cash/Tender/Stock/Mix]])</f>
        <v>Stock</v>
      </c>
      <c r="P108" t="s">
        <v>38</v>
      </c>
    </row>
    <row r="109" spans="2:16" x14ac:dyDescent="0.25">
      <c r="B109" t="s">
        <v>1118</v>
      </c>
      <c r="C109" s="4">
        <v>45936</v>
      </c>
      <c r="D109" s="4">
        <v>46014</v>
      </c>
      <c r="E109" s="4">
        <v>46002</v>
      </c>
      <c r="F109" s="2">
        <f>IF(Table13[[#This Row],[Day Ann.]]="", "", Table13[[#This Row],[Initial Close Est.]]-Table13[[#This Row],[Day Ann.]])</f>
        <v>78</v>
      </c>
      <c r="G109" s="2">
        <f>IF(Table13[[#This Row],[Actual Close]]="", "",Table13[[#This Row],[Actual Close]]-Table13[[#This Row],[Day Ann.]])</f>
        <v>66</v>
      </c>
      <c r="H109" s="5">
        <f t="shared" si="9"/>
        <v>-12</v>
      </c>
      <c r="I109" s="5">
        <f t="shared" si="10"/>
        <v>12</v>
      </c>
      <c r="J109" t="str">
        <f t="shared" si="11"/>
        <v>HSII Equity</v>
      </c>
      <c r="K109" t="str" cm="1">
        <f t="array" ref="K109">IFERROR(_xlfn.LET(_xlpm.t,TRIM(Table13[[#This Row],[TICKER]]),_xlpm.k,IF(ISNUMBER(SEARCH(" ",_xlpm.t)),_xlpm.t,_xlpm.t&amp;" US"),_xlfn.XLOOKUP(_xlpm.k,TRIM(Table1[Target Ticker]),Table1[Target Industry Sector])),"")</f>
        <v>Industrials</v>
      </c>
      <c r="L109" t="str" cm="1">
        <f t="array" ref="L109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09" t="str">
        <f>_xll.BDP($J109, "LAST_PRICE")</f>
        <v>#N/A Real Time</v>
      </c>
      <c r="O109" t="str">
        <f>IF(Table13[[#This Row],[Cash/Tender/Stock/Mix]]= "Mix", "Stock", Table13[[#This Row],[Cash/Tender/Stock/Mix]])</f>
        <v>Cash</v>
      </c>
      <c r="P109" t="s">
        <v>23</v>
      </c>
    </row>
    <row r="110" spans="2:16" x14ac:dyDescent="0.25">
      <c r="B110" t="s">
        <v>1119</v>
      </c>
      <c r="C110" s="4">
        <v>45931</v>
      </c>
      <c r="D110" s="4">
        <v>46280</v>
      </c>
      <c r="F110" s="2">
        <f>IF(Table13[[#This Row],[Day Ann.]]="", "", Table13[[#This Row],[Initial Close Est.]]-Table13[[#This Row],[Day Ann.]])</f>
        <v>349</v>
      </c>
      <c r="G110" s="2" t="str">
        <f>IF(Table13[[#This Row],[Actual Close]]="", "",Table13[[#This Row],[Actual Close]]-Table13[[#This Row],[Day Ann.]])</f>
        <v/>
      </c>
      <c r="H110" s="5" t="str">
        <f t="shared" si="9"/>
        <v/>
      </c>
      <c r="I110" s="5" t="str">
        <f t="shared" si="10"/>
        <v/>
      </c>
      <c r="J110" t="str">
        <f t="shared" si="11"/>
        <v>VECO Equity</v>
      </c>
      <c r="K110" t="str" cm="1">
        <f t="array" ref="K110">IFERROR(_xlfn.LET(_xlpm.t,TRIM(Table13[[#This Row],[TICKER]]),_xlpm.k,IF(ISNUMBER(SEARCH(" ",_xlpm.t)),_xlpm.t,_xlpm.t&amp;" US"),_xlfn.XLOOKUP(_xlpm.k,TRIM(Table1[Target Ticker]),Table1[Target Industry Sector])),"")</f>
        <v>Technology</v>
      </c>
      <c r="L110" t="str" cm="1">
        <f t="array" ref="L110">IFERROR(_xlfn.LET(_xlpm.t,TRIM(Table13[[#This Row],[TICKER]]),_xlpm.k,IF(ISNUMBER(SEARCH(" ",_xlpm.t)),_xlpm.t,_xlpm.t&amp;" US"),_xlfn.XLOOKUP(_xlpm.k,TRIM(Table1[Target Ticker]),Table1[Target Industry Group])),"")</f>
        <v>Tech Hardware &amp; Semiconductors</v>
      </c>
      <c r="M110">
        <f>_xll.BDP($J110, "LAST_PRICE")</f>
        <v>72.734999999999999</v>
      </c>
      <c r="O110" t="str">
        <f>IF(Table13[[#This Row],[Cash/Tender/Stock/Mix]]= "Mix", "Stock", Table13[[#This Row],[Cash/Tender/Stock/Mix]])</f>
        <v>Stock</v>
      </c>
      <c r="P110" t="s">
        <v>38</v>
      </c>
    </row>
    <row r="111" spans="2:16" x14ac:dyDescent="0.25">
      <c r="B111" t="s">
        <v>1120</v>
      </c>
      <c r="C111" s="4">
        <v>45929</v>
      </c>
      <c r="D111" s="4">
        <v>46143</v>
      </c>
      <c r="F111" s="2">
        <f>IF(Table13[[#This Row],[Day Ann.]]="", "", Table13[[#This Row],[Initial Close Est.]]-Table13[[#This Row],[Day Ann.]])</f>
        <v>214</v>
      </c>
      <c r="G111" s="2" t="str">
        <f>IF(Table13[[#This Row],[Actual Close]]="", "",Table13[[#This Row],[Actual Close]]-Table13[[#This Row],[Day Ann.]])</f>
        <v/>
      </c>
      <c r="H111" s="5" t="str">
        <f t="shared" si="9"/>
        <v/>
      </c>
      <c r="I111" s="5" t="str">
        <f t="shared" si="10"/>
        <v/>
      </c>
      <c r="J111" t="str">
        <f t="shared" si="11"/>
        <v>EA Equity</v>
      </c>
      <c r="K111" t="str" cm="1">
        <f t="array" ref="K111">IFERROR(_xlfn.LET(_xlpm.t,TRIM(Table13[[#This Row],[TICKER]]),_xlpm.k,IF(ISNUMBER(SEARCH(" ",_xlpm.t)),_xlpm.t,_xlpm.t&amp;" US"),_xlfn.XLOOKUP(_xlpm.k,TRIM(Table1[Target Ticker]),Table1[Target Industry Sector])),"")</f>
        <v>Communications</v>
      </c>
      <c r="L111" t="str" cm="1">
        <f t="array" ref="L111">IFERROR(_xlfn.LET(_xlpm.t,TRIM(Table13[[#This Row],[TICKER]]),_xlpm.k,IF(ISNUMBER(SEARCH(" ",_xlpm.t)),_xlpm.t,_xlpm.t&amp;" US"),_xlfn.XLOOKUP(_xlpm.k,TRIM(Table1[Target Ticker]),Table1[Target Industry Group])),"")</f>
        <v>Media</v>
      </c>
      <c r="M111">
        <f>_xll.BDP($J111, "LAST_PRICE")</f>
        <v>204.66499999999999</v>
      </c>
      <c r="O111" t="str">
        <f>IF(Table13[[#This Row],[Cash/Tender/Stock/Mix]]= "Mix", "Stock", Table13[[#This Row],[Cash/Tender/Stock/Mix]])</f>
        <v>Cash</v>
      </c>
      <c r="P111" t="s">
        <v>23</v>
      </c>
    </row>
    <row r="112" spans="2:16" x14ac:dyDescent="0.25">
      <c r="B112" t="s">
        <v>1121</v>
      </c>
      <c r="C112" s="4">
        <v>45929</v>
      </c>
      <c r="D112" s="4">
        <v>46025</v>
      </c>
      <c r="E112" s="4">
        <v>46003</v>
      </c>
      <c r="F112" s="2">
        <f>IF(Table13[[#This Row],[Day Ann.]]="", "", Table13[[#This Row],[Initial Close Est.]]-Table13[[#This Row],[Day Ann.]])</f>
        <v>96</v>
      </c>
      <c r="G112" s="2">
        <f>IF(Table13[[#This Row],[Actual Close]]="", "",Table13[[#This Row],[Actual Close]]-Table13[[#This Row],[Day Ann.]])</f>
        <v>74</v>
      </c>
      <c r="H112" s="5">
        <f t="shared" si="9"/>
        <v>-22</v>
      </c>
      <c r="I112" s="5">
        <f t="shared" si="10"/>
        <v>22</v>
      </c>
      <c r="J112" t="str">
        <f t="shared" si="11"/>
        <v>MRUS Equity</v>
      </c>
      <c r="K112" t="str" cm="1">
        <f t="array" ref="K112">IFERROR(_xlfn.LET(_xlpm.t,TRIM(Table13[[#This Row],[TICKER]]),_xlpm.k,IF(ISNUMBER(SEARCH(" ",_xlpm.t)),_xlpm.t,_xlpm.t&amp;" US"),_xlfn.XLOOKUP(_xlpm.k,TRIM(Table1[Target Ticker]),Table1[Target Industry Sector])),"")</f>
        <v/>
      </c>
      <c r="L112" t="str" cm="1">
        <f t="array" ref="L112">IFERROR(_xlfn.LET(_xlpm.t,TRIM(Table13[[#This Row],[TICKER]]),_xlpm.k,IF(ISNUMBER(SEARCH(" ",_xlpm.t)),_xlpm.t,_xlpm.t&amp;" US"),_xlfn.XLOOKUP(_xlpm.k,TRIM(Table1[Target Ticker]),Table1[Target Industry Group])),"")</f>
        <v/>
      </c>
      <c r="M112" t="str">
        <f>_xll.BDP($J112, "LAST_PRICE")</f>
        <v>#N/A Real Time</v>
      </c>
      <c r="O112" t="str">
        <f>IF(Table13[[#This Row],[Cash/Tender/Stock/Mix]]= "Mix", "Stock", Table13[[#This Row],[Cash/Tender/Stock/Mix]])</f>
        <v>Tender</v>
      </c>
      <c r="P112" t="s">
        <v>1029</v>
      </c>
    </row>
    <row r="113" spans="2:16" x14ac:dyDescent="0.25">
      <c r="B113" t="s">
        <v>549</v>
      </c>
      <c r="C113" s="4">
        <v>45926</v>
      </c>
      <c r="D113" s="4">
        <v>46052</v>
      </c>
      <c r="E113" s="4">
        <v>46041</v>
      </c>
      <c r="F113" s="2">
        <f>IF(Table13[[#This Row],[Day Ann.]]="", "", Table13[[#This Row],[Initial Close Est.]]-Table13[[#This Row],[Day Ann.]])</f>
        <v>126</v>
      </c>
      <c r="G113" s="2">
        <f>IF(Table13[[#This Row],[Actual Close]]="", "",Table13[[#This Row],[Actual Close]]-Table13[[#This Row],[Day Ann.]])</f>
        <v>115</v>
      </c>
      <c r="H113" s="5">
        <f t="shared" si="9"/>
        <v>-11</v>
      </c>
      <c r="I113" s="5">
        <f t="shared" si="10"/>
        <v>11</v>
      </c>
      <c r="J113" t="str">
        <f t="shared" si="11"/>
        <v>DNTL CN Equity</v>
      </c>
      <c r="K113" t="str" cm="1">
        <f t="array" ref="K113">IFERROR(_xlfn.LET(_xlpm.t,TRIM(Table13[[#This Row],[TICKER]]),_xlpm.k,IF(ISNUMBER(SEARCH(" ",_xlpm.t)),_xlpm.t,_xlpm.t&amp;" US"),_xlfn.XLOOKUP(_xlpm.k,TRIM(Table1[Target Ticker]),Table1[Target Industry Sector])),"")</f>
        <v>Health Care</v>
      </c>
      <c r="L113" t="str" cm="1">
        <f t="array" ref="L113">IFERROR(_xlfn.LET(_xlpm.t,TRIM(Table13[[#This Row],[TICKER]]),_xlpm.k,IF(ISNUMBER(SEARCH(" ",_xlpm.t)),_xlpm.t,_xlpm.t&amp;" US"),_xlfn.XLOOKUP(_xlpm.k,TRIM(Table1[Target Ticker]),Table1[Target Industry Group])),"")</f>
        <v>Health Care</v>
      </c>
      <c r="M113" t="str">
        <f>_xll.BDP($J113, "LAST_PRICE")</f>
        <v>#N/A Real Time</v>
      </c>
      <c r="O113" t="str">
        <f>IF(Table13[[#This Row],[Cash/Tender/Stock/Mix]]= "Mix", "Stock", Table13[[#This Row],[Cash/Tender/Stock/Mix]])</f>
        <v>Cash</v>
      </c>
      <c r="P113" t="s">
        <v>23</v>
      </c>
    </row>
    <row r="114" spans="2:16" x14ac:dyDescent="0.25">
      <c r="B114" t="s">
        <v>1122</v>
      </c>
      <c r="C114" s="4">
        <v>45924</v>
      </c>
      <c r="D114" s="4">
        <v>45999</v>
      </c>
      <c r="E114" s="4">
        <v>46015</v>
      </c>
      <c r="F114" s="2">
        <f>IF(Table13[[#This Row],[Day Ann.]]="", "", Table13[[#This Row],[Initial Close Est.]]-Table13[[#This Row],[Day Ann.]])</f>
        <v>75</v>
      </c>
      <c r="G114" s="2">
        <f>IF(Table13[[#This Row],[Actual Close]]="", "",Table13[[#This Row],[Actual Close]]-Table13[[#This Row],[Day Ann.]])</f>
        <v>91</v>
      </c>
      <c r="H114" s="5">
        <f t="shared" si="9"/>
        <v>16</v>
      </c>
      <c r="I114" s="5">
        <f t="shared" si="10"/>
        <v>16</v>
      </c>
      <c r="J114" t="str">
        <f t="shared" si="11"/>
        <v>IAS Equity</v>
      </c>
      <c r="K114" t="str" cm="1">
        <f t="array" ref="K114">IFERROR(_xlfn.LET(_xlpm.t,TRIM(Table13[[#This Row],[TICKER]]),_xlpm.k,IF(ISNUMBER(SEARCH(" ",_xlpm.t)),_xlpm.t,_xlpm.t&amp;" US"),_xlfn.XLOOKUP(_xlpm.k,TRIM(Table1[Target Ticker]),Table1[Target Industry Sector])),"")</f>
        <v>Technology</v>
      </c>
      <c r="L114" t="str" cm="1">
        <f t="array" ref="L114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14" t="str">
        <f>_xll.BDP($J114, "LAST_PRICE")</f>
        <v>#N/A Real Time</v>
      </c>
      <c r="O114" t="str">
        <f>IF(Table13[[#This Row],[Cash/Tender/Stock/Mix]]= "Mix", "Stock", Table13[[#This Row],[Cash/Tender/Stock/Mix]])</f>
        <v>Cash</v>
      </c>
      <c r="P114" t="s">
        <v>23</v>
      </c>
    </row>
    <row r="115" spans="2:16" x14ac:dyDescent="0.25">
      <c r="B115" t="s">
        <v>1123</v>
      </c>
      <c r="C115" s="4">
        <v>45922</v>
      </c>
      <c r="D115" s="4">
        <v>46237</v>
      </c>
      <c r="E115" s="4">
        <v>46031</v>
      </c>
      <c r="F115" s="2">
        <f>IF(Table13[[#This Row],[Day Ann.]]="", "", Table13[[#This Row],[Initial Close Est.]]-Table13[[#This Row],[Day Ann.]])</f>
        <v>315</v>
      </c>
      <c r="G115" s="2">
        <f>IF(Table13[[#This Row],[Actual Close]]="", "",Table13[[#This Row],[Actual Close]]-Table13[[#This Row],[Day Ann.]])</f>
        <v>109</v>
      </c>
      <c r="H115" s="5">
        <f t="shared" si="9"/>
        <v>-206</v>
      </c>
      <c r="I115" s="5">
        <f t="shared" si="10"/>
        <v>206</v>
      </c>
      <c r="J115" t="str">
        <f t="shared" si="11"/>
        <v>HOUS Equity</v>
      </c>
      <c r="K115" t="str" cm="1">
        <f t="array" ref="K115">IFERROR(_xlfn.LET(_xlpm.t,TRIM(Table13[[#This Row],[TICKER]]),_xlpm.k,IF(ISNUMBER(SEARCH(" ",_xlpm.t)),_xlpm.t,_xlpm.t&amp;" US"),_xlfn.XLOOKUP(_xlpm.k,TRIM(Table1[Target Ticker]),Table1[Target Industry Sector])),"")</f>
        <v>Real Estate</v>
      </c>
      <c r="L115" t="str" cm="1">
        <f t="array" ref="L115">IFERROR(_xlfn.LET(_xlpm.t,TRIM(Table13[[#This Row],[TICKER]]),_xlpm.k,IF(ISNUMBER(SEARCH(" ",_xlpm.t)),_xlpm.t,_xlpm.t&amp;" US"),_xlfn.XLOOKUP(_xlpm.k,TRIM(Table1[Target Ticker]),Table1[Target Industry Group])),"")</f>
        <v>Real Estate</v>
      </c>
      <c r="M115" t="str">
        <f>_xll.BDP($J115, "LAST_PRICE")</f>
        <v>#N/A Real Time</v>
      </c>
      <c r="O115" t="str">
        <f>IF(Table13[[#This Row],[Cash/Tender/Stock/Mix]]= "Mix", "Stock", Table13[[#This Row],[Cash/Tender/Stock/Mix]])</f>
        <v>Stock</v>
      </c>
      <c r="P115" t="s">
        <v>38</v>
      </c>
    </row>
    <row r="116" spans="2:16" x14ac:dyDescent="0.25">
      <c r="B116" t="s">
        <v>1124</v>
      </c>
      <c r="C116" s="4">
        <v>45922</v>
      </c>
      <c r="D116" s="4">
        <v>46001</v>
      </c>
      <c r="E116" s="4">
        <v>46002</v>
      </c>
      <c r="F116" s="2">
        <f>IF(Table13[[#This Row],[Day Ann.]]="", "", Table13[[#This Row],[Initial Close Est.]]-Table13[[#This Row],[Day Ann.]])</f>
        <v>79</v>
      </c>
      <c r="G116" s="2">
        <f>IF(Table13[[#This Row],[Actual Close]]="", "",Table13[[#This Row],[Actual Close]]-Table13[[#This Row],[Day Ann.]])</f>
        <v>80</v>
      </c>
      <c r="H116" s="5">
        <f t="shared" si="9"/>
        <v>1</v>
      </c>
      <c r="I116" s="5">
        <f t="shared" si="10"/>
        <v>1</v>
      </c>
      <c r="J116" t="str">
        <f t="shared" si="11"/>
        <v>ODP Equity</v>
      </c>
      <c r="K116" t="str" cm="1">
        <f t="array" ref="K116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16" t="str" cm="1">
        <f t="array" ref="L116">IFERROR(_xlfn.LET(_xlpm.t,TRIM(Table13[[#This Row],[TICKER]]),_xlpm.k,IF(ISNUMBER(SEARCH(" ",_xlpm.t)),_xlpm.t,_xlpm.t&amp;" US"),_xlfn.XLOOKUP(_xlpm.k,TRIM(Table1[Target Ticker]),Table1[Target Industry Group])),"")</f>
        <v>Retail &amp; Whsle - Discretionary</v>
      </c>
      <c r="M116" t="str">
        <f>_xll.BDP($J116, "LAST_PRICE")</f>
        <v>#N/A Real Time</v>
      </c>
      <c r="O116" t="str">
        <f>IF(Table13[[#This Row],[Cash/Tender/Stock/Mix]]= "Mix", "Stock", Table13[[#This Row],[Cash/Tender/Stock/Mix]])</f>
        <v>Cash</v>
      </c>
      <c r="P116" t="s">
        <v>23</v>
      </c>
    </row>
    <row r="117" spans="2:16" x14ac:dyDescent="0.25">
      <c r="B117" t="s">
        <v>1125</v>
      </c>
      <c r="C117" s="4">
        <v>45922</v>
      </c>
      <c r="D117" s="4">
        <v>46001</v>
      </c>
      <c r="E117" s="4">
        <v>46000</v>
      </c>
      <c r="F117" s="2">
        <f>IF(Table13[[#This Row],[Day Ann.]]="", "", Table13[[#This Row],[Initial Close Est.]]-Table13[[#This Row],[Day Ann.]])</f>
        <v>79</v>
      </c>
      <c r="G117" s="2">
        <f>IF(Table13[[#This Row],[Actual Close]]="", "",Table13[[#This Row],[Actual Close]]-Table13[[#This Row],[Day Ann.]])</f>
        <v>78</v>
      </c>
      <c r="H117" s="5">
        <f t="shared" si="9"/>
        <v>-1</v>
      </c>
      <c r="I117" s="5">
        <f t="shared" si="10"/>
        <v>1</v>
      </c>
      <c r="J117" t="str">
        <f t="shared" si="11"/>
        <v>PRO Equity</v>
      </c>
      <c r="K117" t="str" cm="1">
        <f t="array" ref="K117">IFERROR(_xlfn.LET(_xlpm.t,TRIM(Table13[[#This Row],[TICKER]]),_xlpm.k,IF(ISNUMBER(SEARCH(" ",_xlpm.t)),_xlpm.t,_xlpm.t&amp;" US"),_xlfn.XLOOKUP(_xlpm.k,TRIM(Table1[Target Ticker]),Table1[Target Industry Sector])),"")</f>
        <v>Technology</v>
      </c>
      <c r="L117" t="str" cm="1">
        <f t="array" ref="L117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17" t="str">
        <f>_xll.BDP($J117, "LAST_PRICE")</f>
        <v>#N/A Real Time</v>
      </c>
      <c r="O117" t="str">
        <f>IF(Table13[[#This Row],[Cash/Tender/Stock/Mix]]= "Mix", "Stock", Table13[[#This Row],[Cash/Tender/Stock/Mix]])</f>
        <v>Cash</v>
      </c>
      <c r="P117" t="s">
        <v>23</v>
      </c>
    </row>
    <row r="118" spans="2:16" x14ac:dyDescent="0.25">
      <c r="B118" t="s">
        <v>1126</v>
      </c>
      <c r="C118" s="4">
        <v>45922</v>
      </c>
      <c r="D118" s="4">
        <v>46037</v>
      </c>
      <c r="E118" s="4">
        <v>45987</v>
      </c>
      <c r="F118" s="2">
        <f>IF(Table13[[#This Row],[Day Ann.]]="", "", Table13[[#This Row],[Initial Close Est.]]-Table13[[#This Row],[Day Ann.]])</f>
        <v>115</v>
      </c>
      <c r="G118" s="2">
        <f>IF(Table13[[#This Row],[Actual Close]]="", "",Table13[[#This Row],[Actual Close]]-Table13[[#This Row],[Day Ann.]])</f>
        <v>65</v>
      </c>
      <c r="H118" s="5">
        <f t="shared" si="9"/>
        <v>-50</v>
      </c>
      <c r="I118" s="5">
        <f t="shared" si="10"/>
        <v>50</v>
      </c>
      <c r="J118" t="str">
        <f t="shared" si="11"/>
        <v>PINC Equity</v>
      </c>
      <c r="K118" t="str" cm="1">
        <f t="array" ref="K118">IFERROR(_xlfn.LET(_xlpm.t,TRIM(Table13[[#This Row],[TICKER]]),_xlpm.k,IF(ISNUMBER(SEARCH(" ",_xlpm.t)),_xlpm.t,_xlpm.t&amp;" US"),_xlfn.XLOOKUP(_xlpm.k,TRIM(Table1[Target Ticker]),Table1[Target Industry Sector])),"")</f>
        <v>Health Care</v>
      </c>
      <c r="L118" t="str" cm="1">
        <f t="array" ref="L118">IFERROR(_xlfn.LET(_xlpm.t,TRIM(Table13[[#This Row],[TICKER]]),_xlpm.k,IF(ISNUMBER(SEARCH(" ",_xlpm.t)),_xlpm.t,_xlpm.t&amp;" US"),_xlfn.XLOOKUP(_xlpm.k,TRIM(Table1[Target Ticker]),Table1[Target Industry Group])),"")</f>
        <v>Health Care</v>
      </c>
      <c r="M118">
        <f>_xll.BDP($J118, "LAST_PRICE")</f>
        <v>50.13</v>
      </c>
      <c r="O118" t="str">
        <f>IF(Table13[[#This Row],[Cash/Tender/Stock/Mix]]= "Mix", "Stock", Table13[[#This Row],[Cash/Tender/Stock/Mix]])</f>
        <v>Cash</v>
      </c>
      <c r="P118" t="s">
        <v>23</v>
      </c>
    </row>
    <row r="119" spans="2:16" x14ac:dyDescent="0.25">
      <c r="B119" t="s">
        <v>1127</v>
      </c>
      <c r="C119" s="4">
        <v>45922</v>
      </c>
      <c r="D119" s="4">
        <v>46002</v>
      </c>
      <c r="E119" s="4">
        <v>45975</v>
      </c>
      <c r="F119" s="2">
        <f>IF(Table13[[#This Row],[Day Ann.]]="", "", Table13[[#This Row],[Initial Close Est.]]-Table13[[#This Row],[Day Ann.]])</f>
        <v>80</v>
      </c>
      <c r="G119" s="2">
        <f>IF(Table13[[#This Row],[Actual Close]]="", "",Table13[[#This Row],[Actual Close]]-Table13[[#This Row],[Day Ann.]])</f>
        <v>53</v>
      </c>
      <c r="H119" s="5">
        <f t="shared" si="9"/>
        <v>-27</v>
      </c>
      <c r="I119" s="5">
        <f t="shared" si="10"/>
        <v>27</v>
      </c>
      <c r="J119" t="str">
        <f t="shared" si="11"/>
        <v>MTSR Equity</v>
      </c>
      <c r="K119" t="str" cm="1">
        <f t="array" ref="K119">IFERROR(_xlfn.LET(_xlpm.t,TRIM(Table13[[#This Row],[TICKER]]),_xlpm.k,IF(ISNUMBER(SEARCH(" ",_xlpm.t)),_xlpm.t,_xlpm.t&amp;" US"),_xlfn.XLOOKUP(_xlpm.k,TRIM(Table1[Target Ticker]),Table1[Target Industry Sector])),"")</f>
        <v>Health Care</v>
      </c>
      <c r="L119" t="str" cm="1">
        <f t="array" ref="L119">IFERROR(_xlfn.LET(_xlpm.t,TRIM(Table13[[#This Row],[TICKER]]),_xlpm.k,IF(ISNUMBER(SEARCH(" ",_xlpm.t)),_xlpm.t,_xlpm.t&amp;" US"),_xlfn.XLOOKUP(_xlpm.k,TRIM(Table1[Target Ticker]),Table1[Target Industry Group])),"")</f>
        <v>Health Care</v>
      </c>
      <c r="M119" t="str">
        <f>_xll.BDP($J119, "LAST_PRICE")</f>
        <v>#N/A Real Time</v>
      </c>
      <c r="O119" t="str">
        <f>IF(Table13[[#This Row],[Cash/Tender/Stock/Mix]]= "Mix", "Stock", Table13[[#This Row],[Cash/Tender/Stock/Mix]])</f>
        <v>Cash</v>
      </c>
      <c r="P119" t="s">
        <v>23</v>
      </c>
    </row>
    <row r="120" spans="2:16" x14ac:dyDescent="0.25">
      <c r="B120" t="s">
        <v>1128</v>
      </c>
      <c r="C120" s="4">
        <v>45918</v>
      </c>
      <c r="D120" s="4">
        <v>45964</v>
      </c>
      <c r="E120" s="4">
        <v>45961</v>
      </c>
      <c r="F120" s="2">
        <f>IF(Table13[[#This Row],[Day Ann.]]="", "", Table13[[#This Row],[Initial Close Est.]]-Table13[[#This Row],[Day Ann.]])</f>
        <v>46</v>
      </c>
      <c r="G120" s="2">
        <f>IF(Table13[[#This Row],[Actual Close]]="", "",Table13[[#This Row],[Actual Close]]-Table13[[#This Row],[Day Ann.]])</f>
        <v>43</v>
      </c>
      <c r="H120" s="5">
        <f t="shared" si="9"/>
        <v>-3</v>
      </c>
      <c r="I120" s="5">
        <f t="shared" si="10"/>
        <v>3</v>
      </c>
      <c r="J120" t="str">
        <f t="shared" si="11"/>
        <v>ETNB  Equity</v>
      </c>
      <c r="K120" t="str" cm="1">
        <f t="array" ref="K120">IFERROR(_xlfn.LET(_xlpm.t,TRIM(Table13[[#This Row],[TICKER]]),_xlpm.k,IF(ISNUMBER(SEARCH(" ",_xlpm.t)),_xlpm.t,_xlpm.t&amp;" US"),_xlfn.XLOOKUP(_xlpm.k,TRIM(Table1[Target Ticker]),Table1[Target Industry Sector])),"")</f>
        <v>Health Care</v>
      </c>
      <c r="L120" t="str" cm="1">
        <f t="array" ref="L120">IFERROR(_xlfn.LET(_xlpm.t,TRIM(Table13[[#This Row],[TICKER]]),_xlpm.k,IF(ISNUMBER(SEARCH(" ",_xlpm.t)),_xlpm.t,_xlpm.t&amp;" US"),_xlfn.XLOOKUP(_xlpm.k,TRIM(Table1[Target Ticker]),Table1[Target Industry Group])),"")</f>
        <v>Health Care</v>
      </c>
      <c r="M120" t="str">
        <f>_xll.BDP($J120, "LAST_PRICE")</f>
        <v>#N/A Real Time</v>
      </c>
      <c r="O120" t="str">
        <f>IF(Table13[[#This Row],[Cash/Tender/Stock/Mix]]= "Mix", "Stock", Table13[[#This Row],[Cash/Tender/Stock/Mix]])</f>
        <v>Cash</v>
      </c>
      <c r="P120" t="s">
        <v>23</v>
      </c>
    </row>
    <row r="121" spans="2:16" x14ac:dyDescent="0.25">
      <c r="B121" t="s">
        <v>1129</v>
      </c>
      <c r="C121" s="4">
        <v>45917</v>
      </c>
      <c r="D121" s="4">
        <v>45999</v>
      </c>
      <c r="E121" s="4">
        <v>46010</v>
      </c>
      <c r="F121" s="2">
        <f>IF(Table13[[#This Row],[Day Ann.]]="", "", Table13[[#This Row],[Initial Close Est.]]-Table13[[#This Row],[Day Ann.]])</f>
        <v>82</v>
      </c>
      <c r="G121" s="2">
        <f>IF(Table13[[#This Row],[Actual Close]]="", "",Table13[[#This Row],[Actual Close]]-Table13[[#This Row],[Day Ann.]])</f>
        <v>93</v>
      </c>
      <c r="H121" s="5">
        <f t="shared" si="9"/>
        <v>11</v>
      </c>
      <c r="I121" s="5">
        <f t="shared" si="10"/>
        <v>11</v>
      </c>
      <c r="J121" t="str">
        <f t="shared" si="11"/>
        <v>PGRE Equity</v>
      </c>
      <c r="K121" t="str" cm="1">
        <f t="array" ref="K121">IFERROR(_xlfn.LET(_xlpm.t,TRIM(Table13[[#This Row],[TICKER]]),_xlpm.k,IF(ISNUMBER(SEARCH(" ",_xlpm.t)),_xlpm.t,_xlpm.t&amp;" US"),_xlfn.XLOOKUP(_xlpm.k,TRIM(Table1[Target Ticker]),Table1[Target Industry Sector])),"")</f>
        <v>Real Estate</v>
      </c>
      <c r="L121" t="str" cm="1">
        <f t="array" ref="L121">IFERROR(_xlfn.LET(_xlpm.t,TRIM(Table13[[#This Row],[TICKER]]),_xlpm.k,IF(ISNUMBER(SEARCH(" ",_xlpm.t)),_xlpm.t,_xlpm.t&amp;" US"),_xlfn.XLOOKUP(_xlpm.k,TRIM(Table1[Target Ticker]),Table1[Target Industry Group])),"")</f>
        <v>Real Estate</v>
      </c>
      <c r="M121" t="str">
        <f>_xll.BDP($J121, "LAST_PRICE")</f>
        <v>#N/A Real Time</v>
      </c>
      <c r="O121" t="str">
        <f>IF(Table13[[#This Row],[Cash/Tender/Stock/Mix]]= "Mix", "Stock", Table13[[#This Row],[Cash/Tender/Stock/Mix]])</f>
        <v>Cash</v>
      </c>
      <c r="P121" t="s">
        <v>23</v>
      </c>
    </row>
    <row r="122" spans="2:16" x14ac:dyDescent="0.25">
      <c r="B122" t="s">
        <v>1130</v>
      </c>
      <c r="C122" s="4">
        <v>45915</v>
      </c>
      <c r="D122" s="4">
        <v>46048</v>
      </c>
      <c r="E122" s="4">
        <v>46020</v>
      </c>
      <c r="F122" s="2">
        <f>IF(Table13[[#This Row],[Day Ann.]]="", "", Table13[[#This Row],[Initial Close Est.]]-Table13[[#This Row],[Day Ann.]])</f>
        <v>133</v>
      </c>
      <c r="G122" s="2">
        <f>IF(Table13[[#This Row],[Actual Close]]="", "",Table13[[#This Row],[Actual Close]]-Table13[[#This Row],[Day Ann.]])</f>
        <v>105</v>
      </c>
      <c r="H122" s="5">
        <f t="shared" si="9"/>
        <v>-28</v>
      </c>
      <c r="I122" s="5">
        <f t="shared" si="10"/>
        <v>28</v>
      </c>
      <c r="J122" t="str">
        <f t="shared" si="11"/>
        <v>BRY Equity</v>
      </c>
      <c r="K122" t="str" cm="1">
        <f t="array" ref="K122">IFERROR(_xlfn.LET(_xlpm.t,TRIM(Table13[[#This Row],[TICKER]]),_xlpm.k,IF(ISNUMBER(SEARCH(" ",_xlpm.t)),_xlpm.t,_xlpm.t&amp;" US"),_xlfn.XLOOKUP(_xlpm.k,TRIM(Table1[Target Ticker]),Table1[Target Industry Sector])),"")</f>
        <v>Energy</v>
      </c>
      <c r="L122" t="str" cm="1">
        <f t="array" ref="L122">IFERROR(_xlfn.LET(_xlpm.t,TRIM(Table13[[#This Row],[TICKER]]),_xlpm.k,IF(ISNUMBER(SEARCH(" ",_xlpm.t)),_xlpm.t,_xlpm.t&amp;" US"),_xlfn.XLOOKUP(_xlpm.k,TRIM(Table1[Target Ticker]),Table1[Target Industry Group])),"")</f>
        <v>Oil &amp; Gas</v>
      </c>
      <c r="M122" t="str">
        <f>_xll.BDP($J122, "LAST_PRICE")</f>
        <v>#N/A Real Time</v>
      </c>
      <c r="O122" t="str">
        <f>IF(Table13[[#This Row],[Cash/Tender/Stock/Mix]]= "Mix", "Stock", Table13[[#This Row],[Cash/Tender/Stock/Mix]])</f>
        <v>Stock</v>
      </c>
      <c r="P122" t="s">
        <v>38</v>
      </c>
    </row>
    <row r="123" spans="2:16" x14ac:dyDescent="0.25">
      <c r="B123" t="s">
        <v>1131</v>
      </c>
      <c r="C123" s="4">
        <v>45910</v>
      </c>
      <c r="D123" s="4">
        <v>45992</v>
      </c>
      <c r="E123" s="4">
        <v>45986</v>
      </c>
      <c r="F123" s="2">
        <f>IF(Table13[[#This Row],[Day Ann.]]="", "", Table13[[#This Row],[Initial Close Est.]]-Table13[[#This Row],[Day Ann.]])</f>
        <v>82</v>
      </c>
      <c r="G123" s="2">
        <f>IF(Table13[[#This Row],[Actual Close]]="", "",Table13[[#This Row],[Actual Close]]-Table13[[#This Row],[Day Ann.]])</f>
        <v>76</v>
      </c>
      <c r="H123" s="5">
        <f t="shared" si="9"/>
        <v>-6</v>
      </c>
      <c r="I123" s="5">
        <f t="shared" si="10"/>
        <v>6</v>
      </c>
      <c r="J123" t="str">
        <f t="shared" si="11"/>
        <v>VMEO Equity</v>
      </c>
      <c r="K123" t="str" cm="1">
        <f t="array" ref="K123">IFERROR(_xlfn.LET(_xlpm.t,TRIM(Table13[[#This Row],[TICKER]]),_xlpm.k,IF(ISNUMBER(SEARCH(" ",_xlpm.t)),_xlpm.t,_xlpm.t&amp;" US"),_xlfn.XLOOKUP(_xlpm.k,TRIM(Table1[Target Ticker]),Table1[Target Industry Sector])),"")</f>
        <v>Technology</v>
      </c>
      <c r="L123" t="str" cm="1">
        <f t="array" ref="L123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23" t="str">
        <f>_xll.BDP($J123, "LAST_PRICE")</f>
        <v>#N/A Real Time</v>
      </c>
      <c r="O123" t="str">
        <f>IF(Table13[[#This Row],[Cash/Tender/Stock/Mix]]= "Mix", "Stock", Table13[[#This Row],[Cash/Tender/Stock/Mix]])</f>
        <v>Cash</v>
      </c>
      <c r="P123" t="s">
        <v>23</v>
      </c>
    </row>
    <row r="124" spans="2:16" x14ac:dyDescent="0.25">
      <c r="B124" t="s">
        <v>1132</v>
      </c>
      <c r="C124" s="4">
        <v>45910</v>
      </c>
      <c r="D124" s="4">
        <v>45957</v>
      </c>
      <c r="E124" s="4">
        <v>45954</v>
      </c>
      <c r="F124" s="2">
        <f>IF(Table13[[#This Row],[Day Ann.]]="", "", Table13[[#This Row],[Initial Close Est.]]-Table13[[#This Row],[Day Ann.]])</f>
        <v>47</v>
      </c>
      <c r="G124" s="2">
        <f>IF(Table13[[#This Row],[Actual Close]]="", "",Table13[[#This Row],[Actual Close]]-Table13[[#This Row],[Day Ann.]])</f>
        <v>44</v>
      </c>
      <c r="H124" s="5">
        <f t="shared" si="9"/>
        <v>-3</v>
      </c>
      <c r="I124" s="5">
        <f t="shared" si="10"/>
        <v>3</v>
      </c>
      <c r="J124" t="str">
        <f t="shared" si="11"/>
        <v>PBPB Equity</v>
      </c>
      <c r="K124" t="str" cm="1">
        <f t="array" ref="K124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24" t="str" cm="1">
        <f t="array" ref="L124">IFERROR(_xlfn.LET(_xlpm.t,TRIM(Table13[[#This Row],[TICKER]]),_xlpm.k,IF(ISNUMBER(SEARCH(" ",_xlpm.t)),_xlpm.t,_xlpm.t&amp;" US"),_xlfn.XLOOKUP(_xlpm.k,TRIM(Table1[Target Ticker]),Table1[Target Industry Group])),"")</f>
        <v>Consumer Discretionary Services</v>
      </c>
      <c r="M124" t="str">
        <f>_xll.BDP($J124, "LAST_PRICE")</f>
        <v>#N/A Real Time</v>
      </c>
      <c r="O124" t="str">
        <f>IF(Table13[[#This Row],[Cash/Tender/Stock/Mix]]= "Mix", "Stock", Table13[[#This Row],[Cash/Tender/Stock/Mix]])</f>
        <v>Tender</v>
      </c>
      <c r="P124" t="s">
        <v>1029</v>
      </c>
    </row>
    <row r="125" spans="2:16" x14ac:dyDescent="0.25">
      <c r="B125" t="s">
        <v>1133</v>
      </c>
      <c r="C125" s="4">
        <v>45909</v>
      </c>
      <c r="D125" s="4">
        <v>46365</v>
      </c>
      <c r="F125" s="2">
        <f>IF(Table13[[#This Row],[Day Ann.]]="", "", Table13[[#This Row],[Initial Close Est.]]-Table13[[#This Row],[Day Ann.]])</f>
        <v>456</v>
      </c>
      <c r="G125" s="2" t="str">
        <f>IF(Table13[[#This Row],[Actual Close]]="", "",Table13[[#This Row],[Actual Close]]-Table13[[#This Row],[Day Ann.]])</f>
        <v/>
      </c>
      <c r="H125" s="5" t="str">
        <f t="shared" si="9"/>
        <v/>
      </c>
      <c r="I125" s="5" t="str">
        <f t="shared" si="10"/>
        <v/>
      </c>
      <c r="J125" t="str">
        <f t="shared" si="11"/>
        <v>TECK Equity</v>
      </c>
      <c r="K125" t="str" cm="1">
        <f t="array" ref="K125">IFERROR(_xlfn.LET(_xlpm.t,TRIM(Table13[[#This Row],[TICKER]]),_xlpm.k,IF(ISNUMBER(SEARCH(" ",_xlpm.t)),_xlpm.t,_xlpm.t&amp;" US"),_xlfn.XLOOKUP(_xlpm.k,TRIM(Table1[Target Ticker]),Table1[Target Industry Sector])),"")</f>
        <v/>
      </c>
      <c r="L125" t="str" cm="1">
        <f t="array" ref="L125">IFERROR(_xlfn.LET(_xlpm.t,TRIM(Table13[[#This Row],[TICKER]]),_xlpm.k,IF(ISNUMBER(SEARCH(" ",_xlpm.t)),_xlpm.t,_xlpm.t&amp;" US"),_xlfn.XLOOKUP(_xlpm.k,TRIM(Table1[Target Ticker]),Table1[Target Industry Group])),"")</f>
        <v/>
      </c>
      <c r="M125">
        <f>_xll.BDP($J125, "LAST_PRICE")</f>
        <v>59.22</v>
      </c>
      <c r="O125" t="str">
        <f>IF(Table13[[#This Row],[Cash/Tender/Stock/Mix]]= "Mix", "Stock", Table13[[#This Row],[Cash/Tender/Stock/Mix]])</f>
        <v>Stock</v>
      </c>
      <c r="P125" t="s">
        <v>38</v>
      </c>
    </row>
    <row r="126" spans="2:16" x14ac:dyDescent="0.25">
      <c r="B126" t="s">
        <v>1134</v>
      </c>
      <c r="C126" s="4">
        <v>45909</v>
      </c>
      <c r="D126" s="4">
        <v>45954</v>
      </c>
      <c r="E126" s="4">
        <v>45959</v>
      </c>
      <c r="F126" s="2">
        <f>IF(Table13[[#This Row],[Day Ann.]]="", "", Table13[[#This Row],[Initial Close Est.]]-Table13[[#This Row],[Day Ann.]])</f>
        <v>45</v>
      </c>
      <c r="G126" s="2">
        <f>IF(Table13[[#This Row],[Actual Close]]="", "",Table13[[#This Row],[Actual Close]]-Table13[[#This Row],[Day Ann.]])</f>
        <v>50</v>
      </c>
      <c r="H126" s="5">
        <f t="shared" si="9"/>
        <v>5</v>
      </c>
      <c r="I126" s="5">
        <f t="shared" si="10"/>
        <v>5</v>
      </c>
      <c r="J126" t="str">
        <f t="shared" si="11"/>
        <v>TRML Equity</v>
      </c>
      <c r="K126" t="str" cm="1">
        <f t="array" ref="K126">IFERROR(_xlfn.LET(_xlpm.t,TRIM(Table13[[#This Row],[TICKER]]),_xlpm.k,IF(ISNUMBER(SEARCH(" ",_xlpm.t)),_xlpm.t,_xlpm.t&amp;" US"),_xlfn.XLOOKUP(_xlpm.k,TRIM(Table1[Target Ticker]),Table1[Target Industry Sector])),"")</f>
        <v>Health Care</v>
      </c>
      <c r="L126" t="str" cm="1">
        <f t="array" ref="L126">IFERROR(_xlfn.LET(_xlpm.t,TRIM(Table13[[#This Row],[TICKER]]),_xlpm.k,IF(ISNUMBER(SEARCH(" ",_xlpm.t)),_xlpm.t,_xlpm.t&amp;" US"),_xlfn.XLOOKUP(_xlpm.k,TRIM(Table1[Target Ticker]),Table1[Target Industry Group])),"")</f>
        <v>Health Care</v>
      </c>
      <c r="M126" t="str">
        <f>_xll.BDP($J126, "LAST_PRICE")</f>
        <v>#N/A Real Time</v>
      </c>
      <c r="O126" t="str">
        <f>IF(Table13[[#This Row],[Cash/Tender/Stock/Mix]]= "Mix", "Stock", Table13[[#This Row],[Cash/Tender/Stock/Mix]])</f>
        <v>Tender</v>
      </c>
      <c r="P126" t="s">
        <v>1029</v>
      </c>
    </row>
    <row r="127" spans="2:16" x14ac:dyDescent="0.25">
      <c r="B127" t="s">
        <v>1135</v>
      </c>
      <c r="C127" s="4">
        <v>45902</v>
      </c>
      <c r="D127" s="4">
        <v>46034</v>
      </c>
      <c r="E127" s="4">
        <v>46120</v>
      </c>
      <c r="F127" s="2">
        <f>IF(Table13[[#This Row],[Day Ann.]]="", "", Table13[[#This Row],[Initial Close Est.]]-Table13[[#This Row],[Day Ann.]])</f>
        <v>132</v>
      </c>
      <c r="G127" s="2">
        <f>IF(Table13[[#This Row],[Actual Close]]="", "",Table13[[#This Row],[Actual Close]]-Table13[[#This Row],[Day Ann.]])</f>
        <v>218</v>
      </c>
      <c r="H127" s="5">
        <f t="shared" si="9"/>
        <v>86</v>
      </c>
      <c r="I127" s="5">
        <f t="shared" si="10"/>
        <v>86</v>
      </c>
      <c r="J127" t="str">
        <f t="shared" si="11"/>
        <v>AL Equity</v>
      </c>
      <c r="K127" t="str" cm="1">
        <f t="array" ref="K127">IFERROR(_xlfn.LET(_xlpm.t,TRIM(Table13[[#This Row],[TICKER]]),_xlpm.k,IF(ISNUMBER(SEARCH(" ",_xlpm.t)),_xlpm.t,_xlpm.t&amp;" US"),_xlfn.XLOOKUP(_xlpm.k,TRIM(Table1[Target Ticker]),Table1[Target Industry Sector])),"")</f>
        <v>Financials</v>
      </c>
      <c r="L127" t="str" cm="1">
        <f t="array" ref="L127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127" t="str">
        <f>_xll.BDP($J127, "LAST_PRICE")</f>
        <v>#N/A Real Time</v>
      </c>
      <c r="O127" t="str">
        <f>IF(Table13[[#This Row],[Cash/Tender/Stock/Mix]]= "Mix", "Stock", Table13[[#This Row],[Cash/Tender/Stock/Mix]])</f>
        <v>Cash</v>
      </c>
      <c r="P127" t="s">
        <v>23</v>
      </c>
    </row>
    <row r="128" spans="2:16" x14ac:dyDescent="0.25">
      <c r="B128" t="s">
        <v>1136</v>
      </c>
      <c r="C128" s="4">
        <v>45902</v>
      </c>
      <c r="D128" s="4">
        <v>45996</v>
      </c>
      <c r="E128" s="4">
        <v>45965</v>
      </c>
      <c r="F128" s="2">
        <f>IF(Table13[[#This Row],[Day Ann.]]="", "", Table13[[#This Row],[Initial Close Est.]]-Table13[[#This Row],[Day Ann.]])</f>
        <v>94</v>
      </c>
      <c r="G128" s="2">
        <f>IF(Table13[[#This Row],[Actual Close]]="", "",Table13[[#This Row],[Actual Close]]-Table13[[#This Row],[Day Ann.]])</f>
        <v>63</v>
      </c>
      <c r="H128" s="5">
        <f t="shared" si="9"/>
        <v>-31</v>
      </c>
      <c r="I128" s="5">
        <f t="shared" si="10"/>
        <v>31</v>
      </c>
      <c r="J128" t="str">
        <f t="shared" si="11"/>
        <v>TIXT Equity</v>
      </c>
      <c r="K128" t="str" cm="1">
        <f t="array" ref="K128">IFERROR(_xlfn.LET(_xlpm.t,TRIM(Table13[[#This Row],[TICKER]]),_xlpm.k,IF(ISNUMBER(SEARCH(" ",_xlpm.t)),_xlpm.t,_xlpm.t&amp;" US"),_xlfn.XLOOKUP(_xlpm.k,TRIM(Table1[Target Ticker]),Table1[Target Industry Sector])),"")</f>
        <v/>
      </c>
      <c r="L128" t="str" cm="1">
        <f t="array" ref="L128">IFERROR(_xlfn.LET(_xlpm.t,TRIM(Table13[[#This Row],[TICKER]]),_xlpm.k,IF(ISNUMBER(SEARCH(" ",_xlpm.t)),_xlpm.t,_xlpm.t&amp;" US"),_xlfn.XLOOKUP(_xlpm.k,TRIM(Table1[Target Ticker]),Table1[Target Industry Group])),"")</f>
        <v/>
      </c>
      <c r="M128" t="str">
        <f>_xll.BDP($J128, "LAST_PRICE")</f>
        <v>#N/A Real Time</v>
      </c>
      <c r="O128" t="str">
        <f>IF(Table13[[#This Row],[Cash/Tender/Stock/Mix]]= "Mix", "Stock", Table13[[#This Row],[Cash/Tender/Stock/Mix]])</f>
        <v>Stock</v>
      </c>
      <c r="P128" t="s">
        <v>1038</v>
      </c>
    </row>
    <row r="129" spans="2:16" x14ac:dyDescent="0.25">
      <c r="B129" t="s">
        <v>1137</v>
      </c>
      <c r="C129" s="4">
        <v>45897</v>
      </c>
      <c r="D129" s="4">
        <v>46006</v>
      </c>
      <c r="E129" s="4">
        <v>46106</v>
      </c>
      <c r="F129" s="2">
        <f>IF(Table13[[#This Row],[Day Ann.]]="", "", Table13[[#This Row],[Initial Close Est.]]-Table13[[#This Row],[Day Ann.]])</f>
        <v>109</v>
      </c>
      <c r="G129" s="2">
        <f>IF(Table13[[#This Row],[Actual Close]]="", "",Table13[[#This Row],[Actual Close]]-Table13[[#This Row],[Day Ann.]])</f>
        <v>209</v>
      </c>
      <c r="H129" s="5">
        <f t="shared" si="9"/>
        <v>100</v>
      </c>
      <c r="I129" s="5">
        <f t="shared" si="10"/>
        <v>100</v>
      </c>
      <c r="J129" t="str">
        <f t="shared" si="11"/>
        <v>GCG CN Equity</v>
      </c>
      <c r="K129" t="str" cm="1">
        <f t="array" ref="K129">IFERROR(_xlfn.LET(_xlpm.t,TRIM(Table13[[#This Row],[TICKER]]),_xlpm.k,IF(ISNUMBER(SEARCH(" ",_xlpm.t)),_xlpm.t,_xlpm.t&amp;" US"),_xlfn.XLOOKUP(_xlpm.k,TRIM(Table1[Target Ticker]),Table1[Target Industry Sector])),"")</f>
        <v/>
      </c>
      <c r="L129" t="str" cm="1">
        <f t="array" ref="L129">IFERROR(_xlfn.LET(_xlpm.t,TRIM(Table13[[#This Row],[TICKER]]),_xlpm.k,IF(ISNUMBER(SEARCH(" ",_xlpm.t)),_xlpm.t,_xlpm.t&amp;" US"),_xlfn.XLOOKUP(_xlpm.k,TRIM(Table1[Target Ticker]),Table1[Target Industry Group])),"")</f>
        <v/>
      </c>
      <c r="M129" t="str">
        <f>_xll.BDP($J129, "LAST_PRICE")</f>
        <v>#N/A Real Time</v>
      </c>
      <c r="O129" t="str">
        <f>IF(Table13[[#This Row],[Cash/Tender/Stock/Mix]]= "Mix", "Stock", Table13[[#This Row],[Cash/Tender/Stock/Mix]])</f>
        <v>Cash</v>
      </c>
      <c r="P129" t="s">
        <v>23</v>
      </c>
    </row>
    <row r="130" spans="2:16" x14ac:dyDescent="0.25">
      <c r="B130" t="s">
        <v>1138</v>
      </c>
      <c r="C130" s="4">
        <v>45896</v>
      </c>
      <c r="D130" s="4">
        <v>46070</v>
      </c>
      <c r="E130" s="4">
        <v>46077</v>
      </c>
      <c r="F130" s="2">
        <f>IF(Table13[[#This Row],[Day Ann.]]="", "", Table13[[#This Row],[Initial Close Est.]]-Table13[[#This Row],[Day Ann.]])</f>
        <v>174</v>
      </c>
      <c r="G130" s="2">
        <f>IF(Table13[[#This Row],[Actual Close]]="", "",Table13[[#This Row],[Actual Close]]-Table13[[#This Row],[Day Ann.]])</f>
        <v>181</v>
      </c>
      <c r="H130" s="5">
        <f t="shared" si="9"/>
        <v>7</v>
      </c>
      <c r="I130" s="5">
        <f t="shared" si="10"/>
        <v>7</v>
      </c>
      <c r="J130" t="str">
        <f t="shared" si="11"/>
        <v>AHL Equity</v>
      </c>
      <c r="K130" t="str" cm="1">
        <f t="array" ref="K130">IFERROR(_xlfn.LET(_xlpm.t,TRIM(Table13[[#This Row],[TICKER]]),_xlpm.k,IF(ISNUMBER(SEARCH(" ",_xlpm.t)),_xlpm.t,_xlpm.t&amp;" US"),_xlfn.XLOOKUP(_xlpm.k,TRIM(Table1[Target Ticker]),Table1[Target Industry Sector])),"")</f>
        <v>Financials</v>
      </c>
      <c r="L130" t="str" cm="1">
        <f t="array" ref="L130">IFERROR(_xlfn.LET(_xlpm.t,TRIM(Table13[[#This Row],[TICKER]]),_xlpm.k,IF(ISNUMBER(SEARCH(" ",_xlpm.t)),_xlpm.t,_xlpm.t&amp;" US"),_xlfn.XLOOKUP(_xlpm.k,TRIM(Table1[Target Ticker]),Table1[Target Industry Group])),"")</f>
        <v>Insurance</v>
      </c>
      <c r="M130" t="str">
        <f>_xll.BDP($J130, "LAST_PRICE")</f>
        <v>#N/A Real Time</v>
      </c>
      <c r="O130" t="str">
        <f>IF(Table13[[#This Row],[Cash/Tender/Stock/Mix]]= "Mix", "Stock", Table13[[#This Row],[Cash/Tender/Stock/Mix]])</f>
        <v>Cash</v>
      </c>
      <c r="P130" t="s">
        <v>23</v>
      </c>
    </row>
    <row r="131" spans="2:16" x14ac:dyDescent="0.25">
      <c r="B131" t="s">
        <v>1139</v>
      </c>
      <c r="C131" s="4">
        <v>45894</v>
      </c>
      <c r="D131" s="4">
        <v>45999</v>
      </c>
      <c r="E131" s="4">
        <v>46006</v>
      </c>
      <c r="F131" s="2">
        <f>IF(Table13[[#This Row],[Day Ann.]]="", "", Table13[[#This Row],[Initial Close Est.]]-Table13[[#This Row],[Day Ann.]])</f>
        <v>105</v>
      </c>
      <c r="G131" s="2">
        <f>IF(Table13[[#This Row],[Actual Close]]="", "",Table13[[#This Row],[Actual Close]]-Table13[[#This Row],[Day Ann.]])</f>
        <v>112</v>
      </c>
      <c r="H131" s="5">
        <f t="shared" ref="H131:H162" si="12">IF(E131="","",E131-D131)</f>
        <v>7</v>
      </c>
      <c r="I131" s="5">
        <f t="shared" ref="I131:I162" si="13">IF(H131="", "",ABS(H131))</f>
        <v>7</v>
      </c>
      <c r="J131" t="str">
        <f t="shared" ref="J131:J162" si="14">(B131&amp;" Equity")</f>
        <v>VTLE  Equity</v>
      </c>
      <c r="K131" t="str" cm="1">
        <f t="array" ref="K131">IFERROR(_xlfn.LET(_xlpm.t,TRIM(Table13[[#This Row],[TICKER]]),_xlpm.k,IF(ISNUMBER(SEARCH(" ",_xlpm.t)),_xlpm.t,_xlpm.t&amp;" US"),_xlfn.XLOOKUP(_xlpm.k,TRIM(Table1[Target Ticker]),Table1[Target Industry Sector])),"")</f>
        <v>Energy</v>
      </c>
      <c r="L131" t="str" cm="1">
        <f t="array" ref="L131">IFERROR(_xlfn.LET(_xlpm.t,TRIM(Table13[[#This Row],[TICKER]]),_xlpm.k,IF(ISNUMBER(SEARCH(" ",_xlpm.t)),_xlpm.t,_xlpm.t&amp;" US"),_xlfn.XLOOKUP(_xlpm.k,TRIM(Table1[Target Ticker]),Table1[Target Industry Group])),"")</f>
        <v>Oil &amp; Gas</v>
      </c>
      <c r="M131" t="str">
        <f>_xll.BDP($J131, "LAST_PRICE")</f>
        <v>#N/A Real Time</v>
      </c>
      <c r="O131" t="str">
        <f>IF(Table13[[#This Row],[Cash/Tender/Stock/Mix]]= "Mix", "Stock", Table13[[#This Row],[Cash/Tender/Stock/Mix]])</f>
        <v>Stock</v>
      </c>
      <c r="P131" t="s">
        <v>38</v>
      </c>
    </row>
    <row r="132" spans="2:16" x14ac:dyDescent="0.25">
      <c r="B132" t="s">
        <v>1140</v>
      </c>
      <c r="C132" s="4">
        <v>45894</v>
      </c>
      <c r="D132" s="4">
        <v>46010</v>
      </c>
      <c r="E132" s="4">
        <v>45989</v>
      </c>
      <c r="F132" s="2">
        <f>IF(Table13[[#This Row],[Day Ann.]]="", "", Table13[[#This Row],[Initial Close Est.]]-Table13[[#This Row],[Day Ann.]])</f>
        <v>116</v>
      </c>
      <c r="G132" s="2">
        <f>IF(Table13[[#This Row],[Actual Close]]="", "",Table13[[#This Row],[Actual Close]]-Table13[[#This Row],[Day Ann.]])</f>
        <v>95</v>
      </c>
      <c r="H132" s="5">
        <f t="shared" si="12"/>
        <v>-21</v>
      </c>
      <c r="I132" s="5">
        <f t="shared" si="13"/>
        <v>21</v>
      </c>
      <c r="J132" t="str">
        <f t="shared" si="14"/>
        <v>VRNT Equity</v>
      </c>
      <c r="K132" t="str" cm="1">
        <f t="array" ref="K132">IFERROR(_xlfn.LET(_xlpm.t,TRIM(Table13[[#This Row],[TICKER]]),_xlpm.k,IF(ISNUMBER(SEARCH(" ",_xlpm.t)),_xlpm.t,_xlpm.t&amp;" US"),_xlfn.XLOOKUP(_xlpm.k,TRIM(Table1[Target Ticker]),Table1[Target Industry Sector])),"")</f>
        <v>Technology</v>
      </c>
      <c r="L132" t="str" cm="1">
        <f t="array" ref="L132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32" t="str">
        <f>_xll.BDP($J132, "LAST_PRICE")</f>
        <v>#N/A Real Time</v>
      </c>
      <c r="O132" t="str">
        <f>IF(Table13[[#This Row],[Cash/Tender/Stock/Mix]]= "Mix", "Stock", Table13[[#This Row],[Cash/Tender/Stock/Mix]])</f>
        <v>Cash</v>
      </c>
      <c r="P132" t="s">
        <v>23</v>
      </c>
    </row>
    <row r="133" spans="2:16" x14ac:dyDescent="0.25">
      <c r="B133" t="s">
        <v>258</v>
      </c>
      <c r="C133" s="4">
        <v>45891</v>
      </c>
      <c r="D133" s="4">
        <v>45986</v>
      </c>
      <c r="E133" s="4">
        <v>45978</v>
      </c>
      <c r="F133" s="2">
        <f>IF(Table13[[#This Row],[Day Ann.]]="", "", Table13[[#This Row],[Initial Close Est.]]-Table13[[#This Row],[Day Ann.]])</f>
        <v>95</v>
      </c>
      <c r="G133" s="2">
        <f>IF(Table13[[#This Row],[Actual Close]]="", "",Table13[[#This Row],[Actual Close]]-Table13[[#This Row],[Day Ann.]])</f>
        <v>87</v>
      </c>
      <c r="H133" s="5">
        <f t="shared" si="12"/>
        <v>-8</v>
      </c>
      <c r="I133" s="5">
        <f t="shared" si="13"/>
        <v>8</v>
      </c>
      <c r="J133" t="str">
        <f t="shared" si="14"/>
        <v>MEG CN Equity</v>
      </c>
      <c r="K133" t="str" cm="1">
        <f t="array" ref="K133">IFERROR(_xlfn.LET(_xlpm.t,TRIM(Table13[[#This Row],[TICKER]]),_xlpm.k,IF(ISNUMBER(SEARCH(" ",_xlpm.t)),_xlpm.t,_xlpm.t&amp;" US"),_xlfn.XLOOKUP(_xlpm.k,TRIM(Table1[Target Ticker]),Table1[Target Industry Sector])),"")</f>
        <v>Energy</v>
      </c>
      <c r="L133" t="str" cm="1">
        <f t="array" ref="L133">IFERROR(_xlfn.LET(_xlpm.t,TRIM(Table13[[#This Row],[TICKER]]),_xlpm.k,IF(ISNUMBER(SEARCH(" ",_xlpm.t)),_xlpm.t,_xlpm.t&amp;" US"),_xlfn.XLOOKUP(_xlpm.k,TRIM(Table1[Target Ticker]),Table1[Target Industry Group])),"")</f>
        <v>Oil &amp; Gas</v>
      </c>
      <c r="M133" t="str">
        <f>_xll.BDP($J133, "LAST_PRICE")</f>
        <v>#N/A Real Time</v>
      </c>
      <c r="O133" t="str">
        <f>IF(Table13[[#This Row],[Cash/Tender/Stock/Mix]]= "Mix", "Stock", Table13[[#This Row],[Cash/Tender/Stock/Mix]])</f>
        <v>Stock</v>
      </c>
      <c r="P133" t="s">
        <v>1038</v>
      </c>
    </row>
    <row r="134" spans="2:16" x14ac:dyDescent="0.25">
      <c r="B134" t="s">
        <v>1141</v>
      </c>
      <c r="C134" s="4">
        <v>45889</v>
      </c>
      <c r="D134" s="4">
        <v>46076</v>
      </c>
      <c r="E134" s="4">
        <v>46057</v>
      </c>
      <c r="F134" s="2">
        <f>IF(Table13[[#This Row],[Day Ann.]]="", "", Table13[[#This Row],[Initial Close Est.]]-Table13[[#This Row],[Day Ann.]])</f>
        <v>187</v>
      </c>
      <c r="G134" s="2">
        <f>IF(Table13[[#This Row],[Actual Close]]="", "",Table13[[#This Row],[Actual Close]]-Table13[[#This Row],[Day Ann.]])</f>
        <v>168</v>
      </c>
      <c r="H134" s="5">
        <f t="shared" si="12"/>
        <v>-19</v>
      </c>
      <c r="I134" s="5">
        <f t="shared" si="13"/>
        <v>19</v>
      </c>
      <c r="J134" t="str">
        <f t="shared" si="14"/>
        <v>DAY Equity</v>
      </c>
      <c r="K134" t="str" cm="1">
        <f t="array" ref="K134">IFERROR(_xlfn.LET(_xlpm.t,TRIM(Table13[[#This Row],[TICKER]]),_xlpm.k,IF(ISNUMBER(SEARCH(" ",_xlpm.t)),_xlpm.t,_xlpm.t&amp;" US"),_xlfn.XLOOKUP(_xlpm.k,TRIM(Table1[Target Ticker]),Table1[Target Industry Sector])),"")</f>
        <v>Technology</v>
      </c>
      <c r="L134" t="str" cm="1">
        <f t="array" ref="L134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34" t="str">
        <f>_xll.BDP($J134, "LAST_PRICE")</f>
        <v>#N/A Real Time</v>
      </c>
      <c r="O134" t="str">
        <f>IF(Table13[[#This Row],[Cash/Tender/Stock/Mix]]= "Mix", "Stock", Table13[[#This Row],[Cash/Tender/Stock/Mix]])</f>
        <v>Cash</v>
      </c>
      <c r="P134" t="s">
        <v>23</v>
      </c>
    </row>
    <row r="135" spans="2:16" x14ac:dyDescent="0.25">
      <c r="B135" t="s">
        <v>1142</v>
      </c>
      <c r="C135" s="4">
        <v>45889</v>
      </c>
      <c r="D135" s="4">
        <v>45992</v>
      </c>
      <c r="E135" s="4">
        <v>46045</v>
      </c>
      <c r="F135" s="2">
        <f>IF(Table13[[#This Row],[Day Ann.]]="", "", Table13[[#This Row],[Initial Close Est.]]-Table13[[#This Row],[Day Ann.]])</f>
        <v>103</v>
      </c>
      <c r="G135" s="2">
        <f>IF(Table13[[#This Row],[Actual Close]]="", "",Table13[[#This Row],[Actual Close]]-Table13[[#This Row],[Day Ann.]])</f>
        <v>156</v>
      </c>
      <c r="H135" s="5">
        <f t="shared" si="12"/>
        <v>53</v>
      </c>
      <c r="I135" s="5">
        <f t="shared" si="13"/>
        <v>53</v>
      </c>
      <c r="J135" t="str">
        <f t="shared" si="14"/>
        <v>GES Equity</v>
      </c>
      <c r="K135" t="str" cm="1">
        <f t="array" ref="K135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35" t="str" cm="1">
        <f t="array" ref="L135">IFERROR(_xlfn.LET(_xlpm.t,TRIM(Table13[[#This Row],[TICKER]]),_xlpm.k,IF(ISNUMBER(SEARCH(" ",_xlpm.t)),_xlpm.t,_xlpm.t&amp;" US"),_xlfn.XLOOKUP(_xlpm.k,TRIM(Table1[Target Ticker]),Table1[Target Industry Group])),"")</f>
        <v>Retail &amp; Whsle - Discretionary</v>
      </c>
      <c r="M135" t="str">
        <f>_xll.BDP($J135, "LAST_PRICE")</f>
        <v>#N/A Real Time</v>
      </c>
      <c r="O135" t="str">
        <f>IF(Table13[[#This Row],[Cash/Tender/Stock/Mix]]= "Mix", "Stock", Table13[[#This Row],[Cash/Tender/Stock/Mix]])</f>
        <v>Cash</v>
      </c>
      <c r="P135" t="s">
        <v>23</v>
      </c>
    </row>
    <row r="136" spans="2:16" x14ac:dyDescent="0.25">
      <c r="B136" t="s">
        <v>1143</v>
      </c>
      <c r="C136" s="4">
        <v>45888</v>
      </c>
      <c r="D136" s="4">
        <v>46323</v>
      </c>
      <c r="F136" s="2">
        <f>IF(Table13[[#This Row],[Day Ann.]]="", "", Table13[[#This Row],[Initial Close Est.]]-Table13[[#This Row],[Day Ann.]])</f>
        <v>435</v>
      </c>
      <c r="G136" s="2" t="str">
        <f>IF(Table13[[#This Row],[Actual Close]]="", "",Table13[[#This Row],[Actual Close]]-Table13[[#This Row],[Day Ann.]])</f>
        <v/>
      </c>
      <c r="H136" s="5" t="str">
        <f t="shared" si="12"/>
        <v/>
      </c>
      <c r="I136" s="5" t="str">
        <f t="shared" si="13"/>
        <v/>
      </c>
      <c r="J136" t="str">
        <f t="shared" si="14"/>
        <v>NWE Equity</v>
      </c>
      <c r="K136" t="str" cm="1">
        <f t="array" ref="K136">IFERROR(_xlfn.LET(_xlpm.t,TRIM(Table13[[#This Row],[TICKER]]),_xlpm.k,IF(ISNUMBER(SEARCH(" ",_xlpm.t)),_xlpm.t,_xlpm.t&amp;" US"),_xlfn.XLOOKUP(_xlpm.k,TRIM(Table1[Target Ticker]),Table1[Target Industry Sector])),"")</f>
        <v>Utilities</v>
      </c>
      <c r="L136" t="str" cm="1">
        <f t="array" ref="L136">IFERROR(_xlfn.LET(_xlpm.t,TRIM(Table13[[#This Row],[TICKER]]),_xlpm.k,IF(ISNUMBER(SEARCH(" ",_xlpm.t)),_xlpm.t,_xlpm.t&amp;" US"),_xlfn.XLOOKUP(_xlpm.k,TRIM(Table1[Target Ticker]),Table1[Target Industry Group])),"")</f>
        <v>Utilities</v>
      </c>
      <c r="M136">
        <f>_xll.BDP($J136, "LAST_PRICE")</f>
        <v>71.680000000000007</v>
      </c>
      <c r="O136" t="str">
        <f>IF(Table13[[#This Row],[Cash/Tender/Stock/Mix]]= "Mix", "Stock", Table13[[#This Row],[Cash/Tender/Stock/Mix]])</f>
        <v>Stock</v>
      </c>
      <c r="P136" t="s">
        <v>38</v>
      </c>
    </row>
    <row r="137" spans="2:16" x14ac:dyDescent="0.25">
      <c r="B137" t="s">
        <v>1144</v>
      </c>
      <c r="C137" s="4">
        <v>45888</v>
      </c>
      <c r="D137" s="4">
        <v>46174</v>
      </c>
      <c r="E137" s="4">
        <v>46101</v>
      </c>
      <c r="F137" s="2">
        <f>IF(Table13[[#This Row],[Day Ann.]]="", "", Table13[[#This Row],[Initial Close Est.]]-Table13[[#This Row],[Day Ann.]])</f>
        <v>286</v>
      </c>
      <c r="G137" s="2">
        <f>IF(Table13[[#This Row],[Actual Close]]="", "",Table13[[#This Row],[Actual Close]]-Table13[[#This Row],[Day Ann.]])</f>
        <v>213</v>
      </c>
      <c r="H137" s="5">
        <f t="shared" si="12"/>
        <v>-73</v>
      </c>
      <c r="I137" s="5">
        <f t="shared" si="13"/>
        <v>73</v>
      </c>
      <c r="J137" t="str">
        <f t="shared" si="14"/>
        <v>TGNA Equity</v>
      </c>
      <c r="K137" t="str" cm="1">
        <f t="array" ref="K137">IFERROR(_xlfn.LET(_xlpm.t,TRIM(Table13[[#This Row],[TICKER]]),_xlpm.k,IF(ISNUMBER(SEARCH(" ",_xlpm.t)),_xlpm.t,_xlpm.t&amp;" US"),_xlfn.XLOOKUP(_xlpm.k,TRIM(Table1[Target Ticker]),Table1[Target Industry Sector])),"")</f>
        <v>Communications</v>
      </c>
      <c r="L137" t="str" cm="1">
        <f t="array" ref="L137">IFERROR(_xlfn.LET(_xlpm.t,TRIM(Table13[[#This Row],[TICKER]]),_xlpm.k,IF(ISNUMBER(SEARCH(" ",_xlpm.t)),_xlpm.t,_xlpm.t&amp;" US"),_xlfn.XLOOKUP(_xlpm.k,TRIM(Table1[Target Ticker]),Table1[Target Industry Group])),"")</f>
        <v>Media</v>
      </c>
      <c r="M137" t="str">
        <f>_xll.BDP($J137, "LAST_PRICE")</f>
        <v>#N/A Real Time</v>
      </c>
      <c r="O137" t="str">
        <f>IF(Table13[[#This Row],[Cash/Tender/Stock/Mix]]= "Mix", "Stock", Table13[[#This Row],[Cash/Tender/Stock/Mix]])</f>
        <v>Cash</v>
      </c>
      <c r="P137" t="s">
        <v>23</v>
      </c>
    </row>
    <row r="138" spans="2:16" x14ac:dyDescent="0.25">
      <c r="B138" t="s">
        <v>1145</v>
      </c>
      <c r="C138" s="4">
        <v>45887</v>
      </c>
      <c r="D138" s="4">
        <v>45978</v>
      </c>
      <c r="E138" s="4">
        <v>46051</v>
      </c>
      <c r="F138" s="2">
        <f>IF(Table13[[#This Row],[Day Ann.]]="", "", Table13[[#This Row],[Initial Close Est.]]-Table13[[#This Row],[Day Ann.]])</f>
        <v>91</v>
      </c>
      <c r="G138" s="2">
        <f>IF(Table13[[#This Row],[Actual Close]]="", "",Table13[[#This Row],[Actual Close]]-Table13[[#This Row],[Day Ann.]])</f>
        <v>164</v>
      </c>
      <c r="H138" s="5">
        <f t="shared" si="12"/>
        <v>73</v>
      </c>
      <c r="I138" s="5">
        <f t="shared" si="13"/>
        <v>73</v>
      </c>
      <c r="J138" t="str">
        <f t="shared" si="14"/>
        <v>SHCO Equity</v>
      </c>
      <c r="K138" t="str" cm="1">
        <f t="array" ref="K138">IFERROR(_xlfn.LET(_xlpm.t,TRIM(Table13[[#This Row],[TICKER]]),_xlpm.k,IF(ISNUMBER(SEARCH(" ",_xlpm.t)),_xlpm.t,_xlpm.t&amp;" US"),_xlfn.XLOOKUP(_xlpm.k,TRIM(Table1[Target Ticker]),Table1[Target Industry Sector])),"")</f>
        <v/>
      </c>
      <c r="L138" t="str" cm="1">
        <f t="array" ref="L138">IFERROR(_xlfn.LET(_xlpm.t,TRIM(Table13[[#This Row],[TICKER]]),_xlpm.k,IF(ISNUMBER(SEARCH(" ",_xlpm.t)),_xlpm.t,_xlpm.t&amp;" US"),_xlfn.XLOOKUP(_xlpm.k,TRIM(Table1[Target Ticker]),Table1[Target Industry Group])),"")</f>
        <v/>
      </c>
      <c r="M138" t="str">
        <f>_xll.BDP($J138, "LAST_PRICE")</f>
        <v>#N/A Real Time</v>
      </c>
      <c r="O138" t="str">
        <f>IF(Table13[[#This Row],[Cash/Tender/Stock/Mix]]= "Mix", "Stock", Table13[[#This Row],[Cash/Tender/Stock/Mix]])</f>
        <v>Cash</v>
      </c>
      <c r="P138" t="s">
        <v>23</v>
      </c>
    </row>
    <row r="139" spans="2:16" x14ac:dyDescent="0.25">
      <c r="B139" t="s">
        <v>1146</v>
      </c>
      <c r="C139" s="4">
        <v>45883</v>
      </c>
      <c r="D139" s="4">
        <v>46027</v>
      </c>
      <c r="E139" s="4">
        <v>46009</v>
      </c>
      <c r="F139" s="2">
        <f>IF(Table13[[#This Row],[Day Ann.]]="", "", Table13[[#This Row],[Initial Close Est.]]-Table13[[#This Row],[Day Ann.]])</f>
        <v>144</v>
      </c>
      <c r="G139" s="2">
        <f>IF(Table13[[#This Row],[Actual Close]]="", "",Table13[[#This Row],[Actual Close]]-Table13[[#This Row],[Day Ann.]])</f>
        <v>126</v>
      </c>
      <c r="H139" s="5">
        <f t="shared" si="12"/>
        <v>-18</v>
      </c>
      <c r="I139" s="5">
        <f t="shared" si="13"/>
        <v>18</v>
      </c>
      <c r="J139" t="str">
        <f t="shared" si="14"/>
        <v>SPNS Equity</v>
      </c>
      <c r="K139" t="str" cm="1">
        <f t="array" ref="K139">IFERROR(_xlfn.LET(_xlpm.t,TRIM(Table13[[#This Row],[TICKER]]),_xlpm.k,IF(ISNUMBER(SEARCH(" ",_xlpm.t)),_xlpm.t,_xlpm.t&amp;" US"),_xlfn.XLOOKUP(_xlpm.k,TRIM(Table1[Target Ticker]),Table1[Target Industry Sector])),"")</f>
        <v/>
      </c>
      <c r="L139" t="str" cm="1">
        <f t="array" ref="L139">IFERROR(_xlfn.LET(_xlpm.t,TRIM(Table13[[#This Row],[TICKER]]),_xlpm.k,IF(ISNUMBER(SEARCH(" ",_xlpm.t)),_xlpm.t,_xlpm.t&amp;" US"),_xlfn.XLOOKUP(_xlpm.k,TRIM(Table1[Target Ticker]),Table1[Target Industry Group])),"")</f>
        <v/>
      </c>
      <c r="M139" t="str">
        <f>_xll.BDP($J139, "LAST_PRICE")</f>
        <v>#N/A Real Time</v>
      </c>
      <c r="O139" t="str">
        <f>IF(Table13[[#This Row],[Cash/Tender/Stock/Mix]]= "Mix", "Stock", Table13[[#This Row],[Cash/Tender/Stock/Mix]])</f>
        <v>Cash</v>
      </c>
      <c r="P139" t="s">
        <v>23</v>
      </c>
    </row>
    <row r="140" spans="2:16" x14ac:dyDescent="0.25">
      <c r="B140" t="s">
        <v>1147</v>
      </c>
      <c r="C140" s="4">
        <v>45882</v>
      </c>
      <c r="D140" s="4">
        <v>46027</v>
      </c>
      <c r="E140" s="4">
        <v>45992</v>
      </c>
      <c r="F140" s="2">
        <f>IF(Table13[[#This Row],[Day Ann.]]="", "", Table13[[#This Row],[Initial Close Est.]]-Table13[[#This Row],[Day Ann.]])</f>
        <v>145</v>
      </c>
      <c r="G140" s="2">
        <f>IF(Table13[[#This Row],[Actual Close]]="", "",Table13[[#This Row],[Actual Close]]-Table13[[#This Row],[Day Ann.]])</f>
        <v>110</v>
      </c>
      <c r="H140" s="5">
        <f t="shared" si="12"/>
        <v>-35</v>
      </c>
      <c r="I140" s="5">
        <f t="shared" si="13"/>
        <v>35</v>
      </c>
      <c r="J140" t="str">
        <f t="shared" si="14"/>
        <v>HBI Equity</v>
      </c>
      <c r="K140" t="str" cm="1">
        <f t="array" ref="K140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40" t="str" cm="1">
        <f t="array" ref="L140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140" t="str">
        <f>_xll.BDP($J140, "LAST_PRICE")</f>
        <v>#N/A Real Time</v>
      </c>
      <c r="O140" t="str">
        <f>IF(Table13[[#This Row],[Cash/Tender/Stock/Mix]]= "Mix", "Stock", Table13[[#This Row],[Cash/Tender/Stock/Mix]])</f>
        <v>Stock</v>
      </c>
      <c r="P140" t="s">
        <v>1038</v>
      </c>
    </row>
    <row r="141" spans="2:16" x14ac:dyDescent="0.25">
      <c r="B141" t="s">
        <v>1148</v>
      </c>
      <c r="C141" s="4">
        <v>45880</v>
      </c>
      <c r="D141" s="4">
        <v>46027</v>
      </c>
      <c r="E141" s="4">
        <v>46022</v>
      </c>
      <c r="F141" s="2">
        <f>IF(Table13[[#This Row],[Day Ann.]]="", "", Table13[[#This Row],[Initial Close Est.]]-Table13[[#This Row],[Day Ann.]])</f>
        <v>147</v>
      </c>
      <c r="G141" s="2">
        <f>IF(Table13[[#This Row],[Actual Close]]="", "",Table13[[#This Row],[Actual Close]]-Table13[[#This Row],[Day Ann.]])</f>
        <v>142</v>
      </c>
      <c r="H141" s="5">
        <f t="shared" si="12"/>
        <v>-5</v>
      </c>
      <c r="I141" s="5">
        <f t="shared" si="13"/>
        <v>5</v>
      </c>
      <c r="J141" t="str">
        <f t="shared" si="14"/>
        <v>WOW Equity</v>
      </c>
      <c r="K141" t="str" cm="1">
        <f t="array" ref="K141">IFERROR(_xlfn.LET(_xlpm.t,TRIM(Table13[[#This Row],[TICKER]]),_xlpm.k,IF(ISNUMBER(SEARCH(" ",_xlpm.t)),_xlpm.t,_xlpm.t&amp;" US"),_xlfn.XLOOKUP(_xlpm.k,TRIM(Table1[Target Ticker]),Table1[Target Industry Sector])),"")</f>
        <v>Communications</v>
      </c>
      <c r="L141" t="str" cm="1">
        <f t="array" ref="L141">IFERROR(_xlfn.LET(_xlpm.t,TRIM(Table13[[#This Row],[TICKER]]),_xlpm.k,IF(ISNUMBER(SEARCH(" ",_xlpm.t)),_xlpm.t,_xlpm.t&amp;" US"),_xlfn.XLOOKUP(_xlpm.k,TRIM(Table1[Target Ticker]),Table1[Target Industry Group])),"")</f>
        <v>Media</v>
      </c>
      <c r="M141" t="str">
        <f>_xll.BDP($J141, "LAST_PRICE")</f>
        <v>#N/A Real Time</v>
      </c>
      <c r="O141" t="str">
        <f>IF(Table13[[#This Row],[Cash/Tender/Stock/Mix]]= "Mix", "Stock", Table13[[#This Row],[Cash/Tender/Stock/Mix]])</f>
        <v>Cash</v>
      </c>
      <c r="P141" t="s">
        <v>23</v>
      </c>
    </row>
    <row r="142" spans="2:16" x14ac:dyDescent="0.25">
      <c r="B142" t="s">
        <v>1149</v>
      </c>
      <c r="C142" s="4">
        <v>45880</v>
      </c>
      <c r="D142" s="4">
        <v>45962</v>
      </c>
      <c r="E142" s="4">
        <v>45954</v>
      </c>
      <c r="F142" s="2">
        <f>IF(Table13[[#This Row],[Day Ann.]]="", "", Table13[[#This Row],[Initial Close Est.]]-Table13[[#This Row],[Day Ann.]])</f>
        <v>82</v>
      </c>
      <c r="G142" s="2">
        <f>IF(Table13[[#This Row],[Actual Close]]="", "",Table13[[#This Row],[Actual Close]]-Table13[[#This Row],[Day Ann.]])</f>
        <v>74</v>
      </c>
      <c r="H142" s="5">
        <f t="shared" si="12"/>
        <v>-8</v>
      </c>
      <c r="I142" s="5">
        <f t="shared" si="13"/>
        <v>8</v>
      </c>
      <c r="J142" t="str">
        <f t="shared" si="14"/>
        <v>MLNK Equity</v>
      </c>
      <c r="K142" t="str" cm="1">
        <f t="array" ref="K142">IFERROR(_xlfn.LET(_xlpm.t,TRIM(Table13[[#This Row],[TICKER]]),_xlpm.k,IF(ISNUMBER(SEARCH(" ",_xlpm.t)),_xlpm.t,_xlpm.t&amp;" US"),_xlfn.XLOOKUP(_xlpm.k,TRIM(Table1[Target Ticker]),Table1[Target Industry Sector])),"")</f>
        <v>Technology</v>
      </c>
      <c r="L142" t="str" cm="1">
        <f t="array" ref="L142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42" t="str">
        <f>_xll.BDP($J142, "LAST_PRICE")</f>
        <v>#N/A Real Time</v>
      </c>
      <c r="O142" t="str">
        <f>IF(Table13[[#This Row],[Cash/Tender/Stock/Mix]]= "Mix", "Stock", Table13[[#This Row],[Cash/Tender/Stock/Mix]])</f>
        <v>Cash</v>
      </c>
      <c r="P142" t="s">
        <v>23</v>
      </c>
    </row>
    <row r="143" spans="2:16" x14ac:dyDescent="0.25">
      <c r="B143" t="s">
        <v>1150</v>
      </c>
      <c r="C143" s="4">
        <v>45879</v>
      </c>
      <c r="D143" s="4">
        <v>46143</v>
      </c>
      <c r="F143" s="2">
        <f>IF(Table13[[#This Row],[Day Ann.]]="", "", Table13[[#This Row],[Initial Close Est.]]-Table13[[#This Row],[Day Ann.]])</f>
        <v>264</v>
      </c>
      <c r="G143" s="2" t="str">
        <f>IF(Table13[[#This Row],[Actual Close]]="", "",Table13[[#This Row],[Actual Close]]-Table13[[#This Row],[Day Ann.]])</f>
        <v/>
      </c>
      <c r="H143" s="5" t="str">
        <f t="shared" si="12"/>
        <v/>
      </c>
      <c r="I143" s="5" t="str">
        <f t="shared" si="13"/>
        <v/>
      </c>
      <c r="J143" t="str">
        <f t="shared" si="14"/>
        <v>IMXI  Equity</v>
      </c>
      <c r="K143" t="str" cm="1">
        <f t="array" ref="K143">IFERROR(_xlfn.LET(_xlpm.t,TRIM(Table13[[#This Row],[TICKER]]),_xlpm.k,IF(ISNUMBER(SEARCH(" ",_xlpm.t)),_xlpm.t,_xlpm.t&amp;" US"),_xlfn.XLOOKUP(_xlpm.k,TRIM(Table1[Target Ticker]),Table1[Target Industry Sector])),"")</f>
        <v/>
      </c>
      <c r="L143" t="str" cm="1">
        <f t="array" ref="L143">IFERROR(_xlfn.LET(_xlpm.t,TRIM(Table13[[#This Row],[TICKER]]),_xlpm.k,IF(ISNUMBER(SEARCH(" ",_xlpm.t)),_xlpm.t,_xlpm.t&amp;" US"),_xlfn.XLOOKUP(_xlpm.k,TRIM(Table1[Target Ticker]),Table1[Target Industry Group])),"")</f>
        <v/>
      </c>
      <c r="M143">
        <f>_xll.BDP($J143, "LAST_PRICE")</f>
        <v>13.86</v>
      </c>
      <c r="O143" t="str">
        <f>IF(Table13[[#This Row],[Cash/Tender/Stock/Mix]]= "Mix", "Stock", Table13[[#This Row],[Cash/Tender/Stock/Mix]])</f>
        <v>Cash</v>
      </c>
      <c r="P143" t="s">
        <v>23</v>
      </c>
    </row>
    <row r="144" spans="2:16" x14ac:dyDescent="0.25">
      <c r="B144" t="s">
        <v>1151</v>
      </c>
      <c r="C144" s="4">
        <v>45875</v>
      </c>
      <c r="D144" s="4">
        <v>46037</v>
      </c>
      <c r="E144" s="4">
        <v>46171</v>
      </c>
      <c r="F144" s="2">
        <f>IF(Table13[[#This Row],[Day Ann.]]="", "", Table13[[#This Row],[Initial Close Est.]]-Table13[[#This Row],[Day Ann.]])</f>
        <v>162</v>
      </c>
      <c r="G144" s="2">
        <f>IF(Table13[[#This Row],[Actual Close]]="", "",Table13[[#This Row],[Actual Close]]-Table13[[#This Row],[Day Ann.]])</f>
        <v>296</v>
      </c>
      <c r="H144" s="5">
        <f t="shared" si="12"/>
        <v>134</v>
      </c>
      <c r="I144" s="5">
        <f t="shared" si="13"/>
        <v>134</v>
      </c>
      <c r="J144" t="str">
        <f t="shared" si="14"/>
        <v>AMWD Equity</v>
      </c>
      <c r="K144" t="str" cm="1">
        <f t="array" ref="K144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44" t="str" cm="1">
        <f t="array" ref="L144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144" t="str">
        <f>_xll.BDP($J144, "LAST_PRICE")</f>
        <v>#N/A Real Time</v>
      </c>
      <c r="O144" t="str">
        <f>IF(Table13[[#This Row],[Cash/Tender/Stock/Mix]]= "Mix", "Stock", Table13[[#This Row],[Cash/Tender/Stock/Mix]])</f>
        <v>Stock</v>
      </c>
      <c r="P144" t="s">
        <v>38</v>
      </c>
    </row>
    <row r="145" spans="2:16" x14ac:dyDescent="0.25">
      <c r="B145" t="s">
        <v>1152</v>
      </c>
      <c r="C145" s="4">
        <v>45875</v>
      </c>
      <c r="D145" s="4">
        <v>45985</v>
      </c>
      <c r="E145" s="4">
        <v>45945</v>
      </c>
      <c r="F145" s="2">
        <f>IF(Table13[[#This Row],[Day Ann.]]="", "", Table13[[#This Row],[Initial Close Est.]]-Table13[[#This Row],[Day Ann.]])</f>
        <v>110</v>
      </c>
      <c r="G145" s="2">
        <f>IF(Table13[[#This Row],[Actual Close]]="", "",Table13[[#This Row],[Actual Close]]-Table13[[#This Row],[Day Ann.]])</f>
        <v>70</v>
      </c>
      <c r="H145" s="5">
        <f t="shared" si="12"/>
        <v>-40</v>
      </c>
      <c r="I145" s="5">
        <f t="shared" si="13"/>
        <v>40</v>
      </c>
      <c r="J145" t="str">
        <f t="shared" si="14"/>
        <v>2629861D US Equity</v>
      </c>
      <c r="K145" t="str" cm="1">
        <f t="array" ref="K145">IFERROR(_xlfn.LET(_xlpm.t,TRIM(Table13[[#This Row],[TICKER]]),_xlpm.k,IF(ISNUMBER(SEARCH(" ",_xlpm.t)),_xlpm.t,_xlpm.t&amp;" US"),_xlfn.XLOOKUP(_xlpm.k,TRIM(Table1[Target Ticker]),Table1[Target Industry Sector])),"")</f>
        <v/>
      </c>
      <c r="L145" t="str" cm="1">
        <f t="array" ref="L145">IFERROR(_xlfn.LET(_xlpm.t,TRIM(Table13[[#This Row],[TICKER]]),_xlpm.k,IF(ISNUMBER(SEARCH(" ",_xlpm.t)),_xlpm.t,_xlpm.t&amp;" US"),_xlfn.XLOOKUP(_xlpm.k,TRIM(Table1[Target Ticker]),Table1[Target Industry Group])),"")</f>
        <v/>
      </c>
      <c r="M145" t="str">
        <f>_xll.BDP($J145, "LAST_PRICE")</f>
        <v>#N/A Real Time</v>
      </c>
      <c r="O145" t="str">
        <f>IF(Table13[[#This Row],[Cash/Tender/Stock/Mix]]= "Mix", "Stock", Table13[[#This Row],[Cash/Tender/Stock/Mix]])</f>
        <v>Stock</v>
      </c>
      <c r="P145" t="s">
        <v>1038</v>
      </c>
    </row>
    <row r="146" spans="2:16" x14ac:dyDescent="0.25">
      <c r="B146" t="s">
        <v>1153</v>
      </c>
      <c r="C146" s="4">
        <v>45874</v>
      </c>
      <c r="D146" s="4">
        <v>46143</v>
      </c>
      <c r="F146" s="2">
        <f>IF(Table13[[#This Row],[Day Ann.]]="", "", Table13[[#This Row],[Initial Close Est.]]-Table13[[#This Row],[Day Ann.]])</f>
        <v>269</v>
      </c>
      <c r="G146" s="2" t="str">
        <f>IF(Table13[[#This Row],[Actual Close]]="", "",Table13[[#This Row],[Actual Close]]-Table13[[#This Row],[Day Ann.]])</f>
        <v/>
      </c>
      <c r="H146" s="5" t="str">
        <f t="shared" si="12"/>
        <v/>
      </c>
      <c r="I146" s="5" t="str">
        <f t="shared" si="13"/>
        <v/>
      </c>
      <c r="J146" t="str">
        <f t="shared" si="14"/>
        <v>STAA  Equity</v>
      </c>
      <c r="K146" t="str" cm="1">
        <f t="array" ref="K146">IFERROR(_xlfn.LET(_xlpm.t,TRIM(Table13[[#This Row],[TICKER]]),_xlpm.k,IF(ISNUMBER(SEARCH(" ",_xlpm.t)),_xlpm.t,_xlpm.t&amp;" US"),_xlfn.XLOOKUP(_xlpm.k,TRIM(Table1[Target Ticker]),Table1[Target Industry Sector])),"")</f>
        <v>Health Care</v>
      </c>
      <c r="L146" t="str" cm="1">
        <f t="array" ref="L146">IFERROR(_xlfn.LET(_xlpm.t,TRIM(Table13[[#This Row],[TICKER]]),_xlpm.k,IF(ISNUMBER(SEARCH(" ",_xlpm.t)),_xlpm.t,_xlpm.t&amp;" US"),_xlfn.XLOOKUP(_xlpm.k,TRIM(Table1[Target Ticker]),Table1[Target Industry Group])),"")</f>
        <v>Health Care</v>
      </c>
      <c r="M146">
        <f>_xll.BDP($J146, "LAST_PRICE")</f>
        <v>30.6</v>
      </c>
      <c r="O146" t="str">
        <f>IF(Table13[[#This Row],[Cash/Tender/Stock/Mix]]= "Mix", "Stock", Table13[[#This Row],[Cash/Tender/Stock/Mix]])</f>
        <v>Cash</v>
      </c>
      <c r="P146" t="s">
        <v>23</v>
      </c>
    </row>
    <row r="147" spans="2:16" x14ac:dyDescent="0.25">
      <c r="B147" t="s">
        <v>1154</v>
      </c>
      <c r="C147" s="4">
        <v>45873</v>
      </c>
      <c r="D147" s="4">
        <v>45982</v>
      </c>
      <c r="E147" s="4">
        <v>46001</v>
      </c>
      <c r="F147" s="2">
        <f>IF(Table13[[#This Row],[Day Ann.]]="", "", Table13[[#This Row],[Initial Close Est.]]-Table13[[#This Row],[Day Ann.]])</f>
        <v>109</v>
      </c>
      <c r="G147" s="2">
        <f>IF(Table13[[#This Row],[Actual Close]]="", "",Table13[[#This Row],[Actual Close]]-Table13[[#This Row],[Day Ann.]])</f>
        <v>128</v>
      </c>
      <c r="H147" s="5">
        <f t="shared" si="12"/>
        <v>19</v>
      </c>
      <c r="I147" s="5">
        <f t="shared" si="13"/>
        <v>19</v>
      </c>
      <c r="J147" t="str">
        <f t="shared" si="14"/>
        <v>SCS Equity</v>
      </c>
      <c r="K147" t="str" cm="1">
        <f t="array" ref="K147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47" t="str" cm="1">
        <f t="array" ref="L147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147" t="str">
        <f>_xll.BDP($J147, "LAST_PRICE")</f>
        <v>#N/A Real Time</v>
      </c>
      <c r="O147" t="str">
        <f>IF(Table13[[#This Row],[Cash/Tender/Stock/Mix]]= "Mix", "Stock", Table13[[#This Row],[Cash/Tender/Stock/Mix]])</f>
        <v>Stock</v>
      </c>
      <c r="P147" t="s">
        <v>1038</v>
      </c>
    </row>
    <row r="148" spans="2:16" x14ac:dyDescent="0.25">
      <c r="B148" t="s">
        <v>1155</v>
      </c>
      <c r="C148" s="4">
        <v>45870</v>
      </c>
      <c r="D148" s="4">
        <v>45960</v>
      </c>
      <c r="E148" s="4">
        <v>45952</v>
      </c>
      <c r="F148" s="2">
        <f>IF(Table13[[#This Row],[Day Ann.]]="", "", Table13[[#This Row],[Initial Close Est.]]-Table13[[#This Row],[Day Ann.]])</f>
        <v>90</v>
      </c>
      <c r="G148" s="2">
        <f>IF(Table13[[#This Row],[Actual Close]]="", "",Table13[[#This Row],[Actual Close]]-Table13[[#This Row],[Day Ann.]])</f>
        <v>82</v>
      </c>
      <c r="H148" s="5">
        <f t="shared" si="12"/>
        <v>-8</v>
      </c>
      <c r="I148" s="5">
        <f t="shared" si="13"/>
        <v>8</v>
      </c>
      <c r="J148" t="str">
        <f t="shared" si="14"/>
        <v>PHLT Equity</v>
      </c>
      <c r="K148" t="str" cm="1">
        <f t="array" ref="K148">IFERROR(_xlfn.LET(_xlpm.t,TRIM(Table13[[#This Row],[TICKER]]),_xlpm.k,IF(ISNUMBER(SEARCH(" ",_xlpm.t)),_xlpm.t,_xlpm.t&amp;" US"),_xlfn.XLOOKUP(_xlpm.k,TRIM(Table1[Target Ticker]),Table1[Target Industry Sector])),"")</f>
        <v>Industrials</v>
      </c>
      <c r="L148" t="str" cm="1">
        <f t="array" ref="L148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48" t="str">
        <f>_xll.BDP($J148, "LAST_PRICE")</f>
        <v>#N/A Real Time</v>
      </c>
      <c r="O148" t="str">
        <f>IF(Table13[[#This Row],[Cash/Tender/Stock/Mix]]= "Mix", "Stock", Table13[[#This Row],[Cash/Tender/Stock/Mix]])</f>
        <v>Cash</v>
      </c>
      <c r="P148" t="s">
        <v>23</v>
      </c>
    </row>
    <row r="149" spans="2:16" x14ac:dyDescent="0.25">
      <c r="B149" t="s">
        <v>1156</v>
      </c>
      <c r="C149" s="4">
        <v>45868</v>
      </c>
      <c r="D149" s="4">
        <v>46082</v>
      </c>
      <c r="E149" s="4">
        <v>46064</v>
      </c>
      <c r="F149" s="2">
        <f>IF(Table13[[#This Row],[Day Ann.]]="", "", Table13[[#This Row],[Initial Close Est.]]-Table13[[#This Row],[Day Ann.]])</f>
        <v>214</v>
      </c>
      <c r="G149" s="2">
        <f>IF(Table13[[#This Row],[Actual Close]]="", "",Table13[[#This Row],[Actual Close]]-Table13[[#This Row],[Day Ann.]])</f>
        <v>196</v>
      </c>
      <c r="H149" s="5">
        <f t="shared" si="12"/>
        <v>-18</v>
      </c>
      <c r="I149" s="5">
        <f t="shared" si="13"/>
        <v>18</v>
      </c>
      <c r="J149" t="str">
        <f t="shared" si="14"/>
        <v>CYBR Equity</v>
      </c>
      <c r="K149" t="str" cm="1">
        <f t="array" ref="K149">IFERROR(_xlfn.LET(_xlpm.t,TRIM(Table13[[#This Row],[TICKER]]),_xlpm.k,IF(ISNUMBER(SEARCH(" ",_xlpm.t)),_xlpm.t,_xlpm.t&amp;" US"),_xlfn.XLOOKUP(_xlpm.k,TRIM(Table1[Target Ticker]),Table1[Target Industry Sector])),"")</f>
        <v>Technology</v>
      </c>
      <c r="L149" t="str" cm="1">
        <f t="array" ref="L149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49" t="str">
        <f>_xll.BDP($J149, "LAST_PRICE")</f>
        <v>#N/A Real Time</v>
      </c>
      <c r="O149" t="str">
        <f>IF(Table13[[#This Row],[Cash/Tender/Stock/Mix]]= "Mix", "Stock", Table13[[#This Row],[Cash/Tender/Stock/Mix]])</f>
        <v>Stock</v>
      </c>
      <c r="P149" t="s">
        <v>1038</v>
      </c>
    </row>
    <row r="150" spans="2:16" x14ac:dyDescent="0.25">
      <c r="B150" t="s">
        <v>1157</v>
      </c>
      <c r="C150" s="4">
        <v>45867</v>
      </c>
      <c r="D150" s="4">
        <v>46143</v>
      </c>
      <c r="F150" s="2">
        <f>IF(Table13[[#This Row],[Day Ann.]]="", "", Table13[[#This Row],[Initial Close Est.]]-Table13[[#This Row],[Day Ann.]])</f>
        <v>276</v>
      </c>
      <c r="G150" s="2" t="str">
        <f>IF(Table13[[#This Row],[Actual Close]]="", "",Table13[[#This Row],[Actual Close]]-Table13[[#This Row],[Day Ann.]])</f>
        <v/>
      </c>
      <c r="H150" s="5" t="str">
        <f t="shared" si="12"/>
        <v/>
      </c>
      <c r="I150" s="5" t="str">
        <f t="shared" si="13"/>
        <v/>
      </c>
      <c r="J150" t="str">
        <f t="shared" si="14"/>
        <v>GTLS Equity</v>
      </c>
      <c r="K150" t="str" cm="1">
        <f t="array" ref="K150">IFERROR(_xlfn.LET(_xlpm.t,TRIM(Table13[[#This Row],[TICKER]]),_xlpm.k,IF(ISNUMBER(SEARCH(" ",_xlpm.t)),_xlpm.t,_xlpm.t&amp;" US"),_xlfn.XLOOKUP(_xlpm.k,TRIM(Table1[Target Ticker]),Table1[Target Industry Sector])),"")</f>
        <v>Industrials</v>
      </c>
      <c r="L150" t="str" cm="1">
        <f t="array" ref="L150">IFERROR(_xlfn.LET(_xlpm.t,TRIM(Table13[[#This Row],[TICKER]]),_xlpm.k,IF(ISNUMBER(SEARCH(" ",_xlpm.t)),_xlpm.t,_xlpm.t&amp;" US"),_xlfn.XLOOKUP(_xlpm.k,TRIM(Table1[Target Ticker]),Table1[Target Industry Group])),"")</f>
        <v>Industrial Products</v>
      </c>
      <c r="M150">
        <f>_xll.BDP($J150, "LAST_PRICE")</f>
        <v>208.79</v>
      </c>
      <c r="O150" t="str">
        <f>IF(Table13[[#This Row],[Cash/Tender/Stock/Mix]]= "Mix", "Stock", Table13[[#This Row],[Cash/Tender/Stock/Mix]])</f>
        <v>Cash</v>
      </c>
      <c r="P150" t="s">
        <v>23</v>
      </c>
    </row>
    <row r="151" spans="2:16" x14ac:dyDescent="0.25">
      <c r="B151" t="s">
        <v>1158</v>
      </c>
      <c r="C151" s="4">
        <v>45867</v>
      </c>
      <c r="D151" s="4">
        <v>46497</v>
      </c>
      <c r="F151" s="2">
        <f>IF(Table13[[#This Row],[Day Ann.]]="", "", Table13[[#This Row],[Initial Close Est.]]-Table13[[#This Row],[Day Ann.]])</f>
        <v>630</v>
      </c>
      <c r="G151" s="2" t="str">
        <f>IF(Table13[[#This Row],[Actual Close]]="", "",Table13[[#This Row],[Actual Close]]-Table13[[#This Row],[Day Ann.]])</f>
        <v/>
      </c>
      <c r="H151" s="5" t="str">
        <f t="shared" si="12"/>
        <v/>
      </c>
      <c r="I151" s="5" t="str">
        <f t="shared" si="13"/>
        <v/>
      </c>
      <c r="J151" t="str">
        <f t="shared" si="14"/>
        <v>NSC  Equity</v>
      </c>
      <c r="K151" t="str" cm="1">
        <f t="array" ref="K151">IFERROR(_xlfn.LET(_xlpm.t,TRIM(Table13[[#This Row],[TICKER]]),_xlpm.k,IF(ISNUMBER(SEARCH(" ",_xlpm.t)),_xlpm.t,_xlpm.t&amp;" US"),_xlfn.XLOOKUP(_xlpm.k,TRIM(Table1[Target Ticker]),Table1[Target Industry Sector])),"")</f>
        <v>Industrials</v>
      </c>
      <c r="L151" t="str" cm="1">
        <f t="array" ref="L151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51">
        <f>_xll.BDP($J151, "LAST_PRICE")</f>
        <v>309.92</v>
      </c>
      <c r="O151" t="str">
        <f>IF(Table13[[#This Row],[Cash/Tender/Stock/Mix]]= "Mix", "Stock", Table13[[#This Row],[Cash/Tender/Stock/Mix]])</f>
        <v>Stock</v>
      </c>
      <c r="P151" t="s">
        <v>1038</v>
      </c>
    </row>
    <row r="152" spans="2:16" x14ac:dyDescent="0.25">
      <c r="B152" t="s">
        <v>458</v>
      </c>
      <c r="C152" s="4">
        <v>45866</v>
      </c>
      <c r="D152" s="4">
        <v>45986</v>
      </c>
      <c r="E152" s="4">
        <v>45954</v>
      </c>
      <c r="F152" s="2">
        <f>IF(Table13[[#This Row],[Day Ann.]]="", "", Table13[[#This Row],[Initial Close Est.]]-Table13[[#This Row],[Day Ann.]])</f>
        <v>120</v>
      </c>
      <c r="G152" s="2">
        <f>IF(Table13[[#This Row],[Actual Close]]="", "",Table13[[#This Row],[Actual Close]]-Table13[[#This Row],[Day Ann.]])</f>
        <v>88</v>
      </c>
      <c r="H152" s="5">
        <f t="shared" si="12"/>
        <v>-32</v>
      </c>
      <c r="I152" s="5">
        <f t="shared" si="13"/>
        <v>32</v>
      </c>
      <c r="J152" t="str">
        <f t="shared" si="14"/>
        <v>FN CN Equity</v>
      </c>
      <c r="K152" t="str" cm="1">
        <f t="array" ref="K152">IFERROR(_xlfn.LET(_xlpm.t,TRIM(Table13[[#This Row],[TICKER]]),_xlpm.k,IF(ISNUMBER(SEARCH(" ",_xlpm.t)),_xlpm.t,_xlpm.t&amp;" US"),_xlfn.XLOOKUP(_xlpm.k,TRIM(Table1[Target Ticker]),Table1[Target Industry Sector])),"")</f>
        <v>Financials</v>
      </c>
      <c r="L152" t="str" cm="1">
        <f t="array" ref="L152">IFERROR(_xlfn.LET(_xlpm.t,TRIM(Table13[[#This Row],[TICKER]]),_xlpm.k,IF(ISNUMBER(SEARCH(" ",_xlpm.t)),_xlpm.t,_xlpm.t&amp;" US"),_xlfn.XLOOKUP(_xlpm.k,TRIM(Table1[Target Ticker]),Table1[Target Industry Group])),"")</f>
        <v>Financial Services</v>
      </c>
      <c r="M152" t="str">
        <f>_xll.BDP($J152, "LAST_PRICE")</f>
        <v>#N/A Real Time</v>
      </c>
      <c r="O152" t="str">
        <f>IF(Table13[[#This Row],[Cash/Tender/Stock/Mix]]= "Mix", "Stock", Table13[[#This Row],[Cash/Tender/Stock/Mix]])</f>
        <v>Cash</v>
      </c>
      <c r="P152" t="s">
        <v>23</v>
      </c>
    </row>
    <row r="153" spans="2:16" x14ac:dyDescent="0.25">
      <c r="B153" t="s">
        <v>1159</v>
      </c>
      <c r="C153" s="4">
        <v>45862</v>
      </c>
      <c r="D153" s="4">
        <v>45942</v>
      </c>
      <c r="E153" s="4">
        <v>46031</v>
      </c>
      <c r="F153" s="2">
        <f>IF(Table13[[#This Row],[Day Ann.]]="", "", Table13[[#This Row],[Initial Close Est.]]-Table13[[#This Row],[Day Ann.]])</f>
        <v>80</v>
      </c>
      <c r="G153" s="2">
        <f>IF(Table13[[#This Row],[Actual Close]]="", "",Table13[[#This Row],[Actual Close]]-Table13[[#This Row],[Day Ann.]])</f>
        <v>169</v>
      </c>
      <c r="H153" s="5">
        <f t="shared" si="12"/>
        <v>89</v>
      </c>
      <c r="I153" s="5">
        <f t="shared" si="13"/>
        <v>89</v>
      </c>
      <c r="J153" t="str">
        <f t="shared" si="14"/>
        <v>CIO Equity</v>
      </c>
      <c r="K153" t="str" cm="1">
        <f t="array" ref="K153">IFERROR(_xlfn.LET(_xlpm.t,TRIM(Table13[[#This Row],[TICKER]]),_xlpm.k,IF(ISNUMBER(SEARCH(" ",_xlpm.t)),_xlpm.t,_xlpm.t&amp;" US"),_xlfn.XLOOKUP(_xlpm.k,TRIM(Table1[Target Ticker]),Table1[Target Industry Sector])),"")</f>
        <v/>
      </c>
      <c r="L153" t="str" cm="1">
        <f t="array" ref="L153">IFERROR(_xlfn.LET(_xlpm.t,TRIM(Table13[[#This Row],[TICKER]]),_xlpm.k,IF(ISNUMBER(SEARCH(" ",_xlpm.t)),_xlpm.t,_xlpm.t&amp;" US"),_xlfn.XLOOKUP(_xlpm.k,TRIM(Table1[Target Ticker]),Table1[Target Industry Group])),"")</f>
        <v/>
      </c>
      <c r="M153" t="str">
        <f>_xll.BDP($J153, "LAST_PRICE")</f>
        <v>#N/A Real Time</v>
      </c>
      <c r="O153" t="str">
        <f>IF(Table13[[#This Row],[Cash/Tender/Stock/Mix]]= "Mix", "Stock", Table13[[#This Row],[Cash/Tender/Stock/Mix]])</f>
        <v>Cash</v>
      </c>
      <c r="P153" t="s">
        <v>23</v>
      </c>
    </row>
    <row r="154" spans="2:16" x14ac:dyDescent="0.25">
      <c r="B154" t="s">
        <v>1160</v>
      </c>
      <c r="C154" s="4">
        <v>45862</v>
      </c>
      <c r="D154" s="4">
        <v>46054</v>
      </c>
      <c r="E154" s="4">
        <v>46024</v>
      </c>
      <c r="F154" s="2">
        <f>IF(Table13[[#This Row],[Day Ann.]]="", "", Table13[[#This Row],[Initial Close Est.]]-Table13[[#This Row],[Day Ann.]])</f>
        <v>192</v>
      </c>
      <c r="G154" s="2">
        <f>IF(Table13[[#This Row],[Actual Close]]="", "",Table13[[#This Row],[Actual Close]]-Table13[[#This Row],[Day Ann.]])</f>
        <v>162</v>
      </c>
      <c r="H154" s="5">
        <f t="shared" si="12"/>
        <v>-30</v>
      </c>
      <c r="I154" s="5">
        <f t="shared" si="13"/>
        <v>30</v>
      </c>
      <c r="J154" t="str">
        <f t="shared" si="14"/>
        <v>SNV Equity</v>
      </c>
      <c r="K154" t="str" cm="1">
        <f t="array" ref="K154">IFERROR(_xlfn.LET(_xlpm.t,TRIM(Table13[[#This Row],[TICKER]]),_xlpm.k,IF(ISNUMBER(SEARCH(" ",_xlpm.t)),_xlpm.t,_xlpm.t&amp;" US"),_xlfn.XLOOKUP(_xlpm.k,TRIM(Table1[Target Ticker]),Table1[Target Industry Sector])),"")</f>
        <v>Financials</v>
      </c>
      <c r="L154" t="str" cm="1">
        <f t="array" ref="L154">IFERROR(_xlfn.LET(_xlpm.t,TRIM(Table13[[#This Row],[TICKER]]),_xlpm.k,IF(ISNUMBER(SEARCH(" ",_xlpm.t)),_xlpm.t,_xlpm.t&amp;" US"),_xlfn.XLOOKUP(_xlpm.k,TRIM(Table1[Target Ticker]),Table1[Target Industry Group])),"")</f>
        <v>Banking</v>
      </c>
      <c r="M154" t="str">
        <f>_xll.BDP($J154, "LAST_PRICE")</f>
        <v>#N/A Real Time</v>
      </c>
      <c r="O154" t="str">
        <f>IF(Table13[[#This Row],[Cash/Tender/Stock/Mix]]= "Mix", "Stock", Table13[[#This Row],[Cash/Tender/Stock/Mix]])</f>
        <v>Stock</v>
      </c>
      <c r="P154" t="s">
        <v>38</v>
      </c>
    </row>
    <row r="155" spans="2:16" x14ac:dyDescent="0.25">
      <c r="B155" t="s">
        <v>1161</v>
      </c>
      <c r="C155" s="4">
        <v>45859</v>
      </c>
      <c r="D155" s="4">
        <v>45949</v>
      </c>
      <c r="E155" s="4">
        <v>45951</v>
      </c>
      <c r="F155" s="2">
        <f>IF(Table13[[#This Row],[Day Ann.]]="", "", Table13[[#This Row],[Initial Close Est.]]-Table13[[#This Row],[Day Ann.]])</f>
        <v>90</v>
      </c>
      <c r="G155" s="2">
        <f>IF(Table13[[#This Row],[Actual Close]]="", "",Table13[[#This Row],[Actual Close]]-Table13[[#This Row],[Day Ann.]])</f>
        <v>92</v>
      </c>
      <c r="H155" s="5">
        <f t="shared" si="12"/>
        <v>2</v>
      </c>
      <c r="I155" s="5">
        <f t="shared" si="13"/>
        <v>2</v>
      </c>
      <c r="J155" t="str">
        <f t="shared" si="14"/>
        <v>ZIMV Equity</v>
      </c>
      <c r="K155" t="str" cm="1">
        <f t="array" ref="K155">IFERROR(_xlfn.LET(_xlpm.t,TRIM(Table13[[#This Row],[TICKER]]),_xlpm.k,IF(ISNUMBER(SEARCH(" ",_xlpm.t)),_xlpm.t,_xlpm.t&amp;" US"),_xlfn.XLOOKUP(_xlpm.k,TRIM(Table1[Target Ticker]),Table1[Target Industry Sector])),"")</f>
        <v>Health Care</v>
      </c>
      <c r="L155" t="str" cm="1">
        <f t="array" ref="L155">IFERROR(_xlfn.LET(_xlpm.t,TRIM(Table13[[#This Row],[TICKER]]),_xlpm.k,IF(ISNUMBER(SEARCH(" ",_xlpm.t)),_xlpm.t,_xlpm.t&amp;" US"),_xlfn.XLOOKUP(_xlpm.k,TRIM(Table1[Target Ticker]),Table1[Target Industry Group])),"")</f>
        <v>Health Care</v>
      </c>
      <c r="M155" t="str">
        <f>_xll.BDP($J155, "LAST_PRICE")</f>
        <v>#N/A Real Time</v>
      </c>
      <c r="O155" t="str">
        <f>IF(Table13[[#This Row],[Cash/Tender/Stock/Mix]]= "Mix", "Stock", Table13[[#This Row],[Cash/Tender/Stock/Mix]])</f>
        <v>Cash</v>
      </c>
      <c r="P155" t="s">
        <v>23</v>
      </c>
    </row>
    <row r="156" spans="2:16" x14ac:dyDescent="0.25">
      <c r="B156" t="s">
        <v>1162</v>
      </c>
      <c r="C156" s="4">
        <v>45859</v>
      </c>
      <c r="D156" s="4">
        <v>45919</v>
      </c>
      <c r="E156" s="4">
        <v>45902</v>
      </c>
      <c r="F156" s="2">
        <f>IF(Table13[[#This Row],[Day Ann.]]="", "", Table13[[#This Row],[Initial Close Est.]]-Table13[[#This Row],[Day Ann.]])</f>
        <v>60</v>
      </c>
      <c r="G156" s="2">
        <f>IF(Table13[[#This Row],[Actual Close]]="", "",Table13[[#This Row],[Actual Close]]-Table13[[#This Row],[Day Ann.]])</f>
        <v>43</v>
      </c>
      <c r="H156" s="5">
        <f t="shared" si="12"/>
        <v>-17</v>
      </c>
      <c r="I156" s="5">
        <f t="shared" si="13"/>
        <v>17</v>
      </c>
      <c r="J156" t="str">
        <f t="shared" si="14"/>
        <v>ITOS Equity</v>
      </c>
      <c r="K156" t="str" cm="1">
        <f t="array" ref="K156">IFERROR(_xlfn.LET(_xlpm.t,TRIM(Table13[[#This Row],[TICKER]]),_xlpm.k,IF(ISNUMBER(SEARCH(" ",_xlpm.t)),_xlpm.t,_xlpm.t&amp;" US"),_xlfn.XLOOKUP(_xlpm.k,TRIM(Table1[Target Ticker]),Table1[Target Industry Sector])),"")</f>
        <v/>
      </c>
      <c r="L156" t="str" cm="1">
        <f t="array" ref="L156">IFERROR(_xlfn.LET(_xlpm.t,TRIM(Table13[[#This Row],[TICKER]]),_xlpm.k,IF(ISNUMBER(SEARCH(" ",_xlpm.t)),_xlpm.t,_xlpm.t&amp;" US"),_xlfn.XLOOKUP(_xlpm.k,TRIM(Table1[Target Ticker]),Table1[Target Industry Group])),"")</f>
        <v/>
      </c>
      <c r="M156" t="str">
        <f>_xll.BDP($J156, "LAST_PRICE")</f>
        <v>#N/A Real Time</v>
      </c>
      <c r="O156" t="str">
        <f>IF(Table13[[#This Row],[Cash/Tender/Stock/Mix]]= "Mix", "Stock", Table13[[#This Row],[Cash/Tender/Stock/Mix]])</f>
        <v>Tender</v>
      </c>
      <c r="P156" t="s">
        <v>1029</v>
      </c>
    </row>
    <row r="157" spans="2:16" x14ac:dyDescent="0.25">
      <c r="B157" t="s">
        <v>1163</v>
      </c>
      <c r="C157" s="4">
        <v>45853</v>
      </c>
      <c r="D157" s="4">
        <v>45976</v>
      </c>
      <c r="E157" s="4">
        <v>46013</v>
      </c>
      <c r="F157" s="2">
        <f>IF(Table13[[#This Row],[Day Ann.]]="", "", Table13[[#This Row],[Initial Close Est.]]-Table13[[#This Row],[Day Ann.]])</f>
        <v>123</v>
      </c>
      <c r="G157" s="2">
        <f>IF(Table13[[#This Row],[Actual Close]]="", "",Table13[[#This Row],[Actual Close]]-Table13[[#This Row],[Day Ann.]])</f>
        <v>160</v>
      </c>
      <c r="H157" s="5">
        <f t="shared" si="12"/>
        <v>37</v>
      </c>
      <c r="I157" s="5">
        <f t="shared" si="13"/>
        <v>37</v>
      </c>
      <c r="J157" t="str">
        <f t="shared" si="14"/>
        <v>ZK Equity</v>
      </c>
      <c r="K157" t="str" cm="1">
        <f t="array" ref="K157">IFERROR(_xlfn.LET(_xlpm.t,TRIM(Table13[[#This Row],[TICKER]]),_xlpm.k,IF(ISNUMBER(SEARCH(" ",_xlpm.t)),_xlpm.t,_xlpm.t&amp;" US"),_xlfn.XLOOKUP(_xlpm.k,TRIM(Table1[Target Ticker]),Table1[Target Industry Sector])),"")</f>
        <v/>
      </c>
      <c r="L157" t="str" cm="1">
        <f t="array" ref="L157">IFERROR(_xlfn.LET(_xlpm.t,TRIM(Table13[[#This Row],[TICKER]]),_xlpm.k,IF(ISNUMBER(SEARCH(" ",_xlpm.t)),_xlpm.t,_xlpm.t&amp;" US"),_xlfn.XLOOKUP(_xlpm.k,TRIM(Table1[Target Ticker]),Table1[Target Industry Group])),"")</f>
        <v/>
      </c>
      <c r="M157" t="str">
        <f>_xll.BDP($J157, "LAST_PRICE")</f>
        <v>#N/A Real Time</v>
      </c>
      <c r="O157" t="str">
        <f>IF(Table13[[#This Row],[Cash/Tender/Stock/Mix]]= "Mix", "Stock", Table13[[#This Row],[Cash/Tender/Stock/Mix]])</f>
        <v>Stock</v>
      </c>
      <c r="P157" t="s">
        <v>1038</v>
      </c>
    </row>
    <row r="158" spans="2:16" x14ac:dyDescent="0.25">
      <c r="B158" t="s">
        <v>1164</v>
      </c>
      <c r="C158" s="4">
        <v>45852</v>
      </c>
      <c r="D158" s="4">
        <v>45962</v>
      </c>
      <c r="E158" s="4">
        <v>45951</v>
      </c>
      <c r="F158" s="2">
        <f>IF(Table13[[#This Row],[Day Ann.]]="", "", Table13[[#This Row],[Initial Close Est.]]-Table13[[#This Row],[Day Ann.]])</f>
        <v>110</v>
      </c>
      <c r="G158" s="2">
        <f>IF(Table13[[#This Row],[Actual Close]]="", "",Table13[[#This Row],[Actual Close]]-Table13[[#This Row],[Day Ann.]])</f>
        <v>99</v>
      </c>
      <c r="H158" s="5">
        <f t="shared" si="12"/>
        <v>-11</v>
      </c>
      <c r="I158" s="5">
        <f t="shared" si="13"/>
        <v>11</v>
      </c>
      <c r="J158" t="str">
        <f t="shared" si="14"/>
        <v>VBTX Equity</v>
      </c>
      <c r="K158" t="str" cm="1">
        <f t="array" ref="K158">IFERROR(_xlfn.LET(_xlpm.t,TRIM(Table13[[#This Row],[TICKER]]),_xlpm.k,IF(ISNUMBER(SEARCH(" ",_xlpm.t)),_xlpm.t,_xlpm.t&amp;" US"),_xlfn.XLOOKUP(_xlpm.k,TRIM(Table1[Target Ticker]),Table1[Target Industry Sector])),"")</f>
        <v>Financials</v>
      </c>
      <c r="L158" t="str" cm="1">
        <f t="array" ref="L158">IFERROR(_xlfn.LET(_xlpm.t,TRIM(Table13[[#This Row],[TICKER]]),_xlpm.k,IF(ISNUMBER(SEARCH(" ",_xlpm.t)),_xlpm.t,_xlpm.t&amp;" US"),_xlfn.XLOOKUP(_xlpm.k,TRIM(Table1[Target Ticker]),Table1[Target Industry Group])),"")</f>
        <v>Banking</v>
      </c>
      <c r="M158" t="str">
        <f>_xll.BDP($J158, "LAST_PRICE")</f>
        <v>#N/A Real Time</v>
      </c>
      <c r="O158" t="str">
        <f>IF(Table13[[#This Row],[Cash/Tender/Stock/Mix]]= "Mix", "Stock", Table13[[#This Row],[Cash/Tender/Stock/Mix]])</f>
        <v>Stock</v>
      </c>
      <c r="P158" t="s">
        <v>38</v>
      </c>
    </row>
    <row r="159" spans="2:16" x14ac:dyDescent="0.25">
      <c r="B159" t="s">
        <v>1165</v>
      </c>
      <c r="C159" s="4">
        <v>45848</v>
      </c>
      <c r="D159" s="4">
        <v>46001</v>
      </c>
      <c r="E159" s="4">
        <v>45926</v>
      </c>
      <c r="F159" s="2">
        <f>IF(Table13[[#This Row],[Day Ann.]]="", "", Table13[[#This Row],[Initial Close Est.]]-Table13[[#This Row],[Day Ann.]])</f>
        <v>153</v>
      </c>
      <c r="G159" s="2">
        <f>IF(Table13[[#This Row],[Actual Close]]="", "",Table13[[#This Row],[Actual Close]]-Table13[[#This Row],[Day Ann.]])</f>
        <v>78</v>
      </c>
      <c r="H159" s="5">
        <f t="shared" si="12"/>
        <v>-75</v>
      </c>
      <c r="I159" s="5">
        <f t="shared" si="13"/>
        <v>75</v>
      </c>
      <c r="J159" t="str">
        <f t="shared" si="14"/>
        <v>KLG Equity</v>
      </c>
      <c r="K159" t="str" cm="1">
        <f t="array" ref="K159">IFERROR(_xlfn.LET(_xlpm.t,TRIM(Table13[[#This Row],[TICKER]]),_xlpm.k,IF(ISNUMBER(SEARCH(" ",_xlpm.t)),_xlpm.t,_xlpm.t&amp;" US"),_xlfn.XLOOKUP(_xlpm.k,TRIM(Table1[Target Ticker]),Table1[Target Industry Sector])),"")</f>
        <v>Consumer Staples</v>
      </c>
      <c r="L159" t="str" cm="1">
        <f t="array" ref="L159">IFERROR(_xlfn.LET(_xlpm.t,TRIM(Table13[[#This Row],[TICKER]]),_xlpm.k,IF(ISNUMBER(SEARCH(" ",_xlpm.t)),_xlpm.t,_xlpm.t&amp;" US"),_xlfn.XLOOKUP(_xlpm.k,TRIM(Table1[Target Ticker]),Table1[Target Industry Group])),"")</f>
        <v>Consumer Staple Products</v>
      </c>
      <c r="M159" t="str">
        <f>_xll.BDP($J159, "LAST_PRICE")</f>
        <v>#N/A Real Time</v>
      </c>
      <c r="O159" t="str">
        <f>IF(Table13[[#This Row],[Cash/Tender/Stock/Mix]]= "Mix", "Stock", Table13[[#This Row],[Cash/Tender/Stock/Mix]])</f>
        <v>Cash</v>
      </c>
      <c r="P159" t="s">
        <v>23</v>
      </c>
    </row>
    <row r="160" spans="2:16" x14ac:dyDescent="0.25">
      <c r="B160" t="s">
        <v>1166</v>
      </c>
      <c r="C160" s="4">
        <v>45847</v>
      </c>
      <c r="D160" s="4">
        <v>45950</v>
      </c>
      <c r="E160" s="4">
        <v>45938</v>
      </c>
      <c r="F160" s="2">
        <f>IF(Table13[[#This Row],[Day Ann.]]="", "", Table13[[#This Row],[Initial Close Est.]]-Table13[[#This Row],[Day Ann.]])</f>
        <v>103</v>
      </c>
      <c r="G160" s="2">
        <f>IF(Table13[[#This Row],[Actual Close]]="", "",Table13[[#This Row],[Actual Close]]-Table13[[#This Row],[Day Ann.]])</f>
        <v>91</v>
      </c>
      <c r="H160" s="5">
        <f t="shared" si="12"/>
        <v>-12</v>
      </c>
      <c r="I160" s="5">
        <f t="shared" si="13"/>
        <v>12</v>
      </c>
      <c r="J160" t="str">
        <f t="shared" si="14"/>
        <v>VRNA Equity</v>
      </c>
      <c r="K160" t="str" cm="1">
        <f t="array" ref="K160">IFERROR(_xlfn.LET(_xlpm.t,TRIM(Table13[[#This Row],[TICKER]]),_xlpm.k,IF(ISNUMBER(SEARCH(" ",_xlpm.t)),_xlpm.t,_xlpm.t&amp;" US"),_xlfn.XLOOKUP(_xlpm.k,TRIM(Table1[Target Ticker]),Table1[Target Industry Sector])),"")</f>
        <v/>
      </c>
      <c r="L160" t="str" cm="1">
        <f t="array" ref="L160">IFERROR(_xlfn.LET(_xlpm.t,TRIM(Table13[[#This Row],[TICKER]]),_xlpm.k,IF(ISNUMBER(SEARCH(" ",_xlpm.t)),_xlpm.t,_xlpm.t&amp;" US"),_xlfn.XLOOKUP(_xlpm.k,TRIM(Table1[Target Ticker]),Table1[Target Industry Group])),"")</f>
        <v/>
      </c>
      <c r="M160" t="str">
        <f>_xll.BDP($J160, "LAST_PRICE")</f>
        <v>#N/A Real Time</v>
      </c>
      <c r="O160" t="str">
        <f>IF(Table13[[#This Row],[Cash/Tender/Stock/Mix]]= "Mix", "Stock", Table13[[#This Row],[Cash/Tender/Stock/Mix]])</f>
        <v>Cash</v>
      </c>
      <c r="P160" t="s">
        <v>23</v>
      </c>
    </row>
    <row r="161" spans="2:16" x14ac:dyDescent="0.25">
      <c r="B161" t="s">
        <v>1167</v>
      </c>
      <c r="C161" s="4">
        <v>45845</v>
      </c>
      <c r="D161" s="4">
        <v>45975</v>
      </c>
      <c r="E161" s="4">
        <v>45950</v>
      </c>
      <c r="F161" s="2">
        <f>IF(Table13[[#This Row],[Day Ann.]]="", "", Table13[[#This Row],[Initial Close Est.]]-Table13[[#This Row],[Day Ann.]])</f>
        <v>130</v>
      </c>
      <c r="G161" s="2">
        <f>IF(Table13[[#This Row],[Actual Close]]="", "",Table13[[#This Row],[Actual Close]]-Table13[[#This Row],[Day Ann.]])</f>
        <v>105</v>
      </c>
      <c r="H161" s="5">
        <f t="shared" si="12"/>
        <v>-25</v>
      </c>
      <c r="I161" s="5">
        <f t="shared" si="13"/>
        <v>25</v>
      </c>
      <c r="J161" t="str">
        <f t="shared" si="14"/>
        <v>SAND Equity</v>
      </c>
      <c r="K161" t="str" cm="1">
        <f t="array" ref="K161">IFERROR(_xlfn.LET(_xlpm.t,TRIM(Table13[[#This Row],[TICKER]]),_xlpm.k,IF(ISNUMBER(SEARCH(" ",_xlpm.t)),_xlpm.t,_xlpm.t&amp;" US"),_xlfn.XLOOKUP(_xlpm.k,TRIM(Table1[Target Ticker]),Table1[Target Industry Sector])),"")</f>
        <v/>
      </c>
      <c r="L161" t="str" cm="1">
        <f t="array" ref="L161">IFERROR(_xlfn.LET(_xlpm.t,TRIM(Table13[[#This Row],[TICKER]]),_xlpm.k,IF(ISNUMBER(SEARCH(" ",_xlpm.t)),_xlpm.t,_xlpm.t&amp;" US"),_xlfn.XLOOKUP(_xlpm.k,TRIM(Table1[Target Ticker]),Table1[Target Industry Group])),"")</f>
        <v/>
      </c>
      <c r="M161" t="str">
        <f>_xll.BDP($J161, "LAST_PRICE")</f>
        <v>#N/A Real Time</v>
      </c>
      <c r="O161" t="str">
        <f>IF(Table13[[#This Row],[Cash/Tender/Stock/Mix]]= "Mix", "Stock", Table13[[#This Row],[Cash/Tender/Stock/Mix]])</f>
        <v>Stock</v>
      </c>
      <c r="P161" t="s">
        <v>38</v>
      </c>
    </row>
    <row r="162" spans="2:16" x14ac:dyDescent="0.25">
      <c r="B162" t="s">
        <v>1168</v>
      </c>
      <c r="C162" s="4">
        <v>45845</v>
      </c>
      <c r="D162" s="4">
        <v>45992</v>
      </c>
      <c r="E162" s="4">
        <v>45947</v>
      </c>
      <c r="F162" s="2">
        <f>IF(Table13[[#This Row],[Day Ann.]]="", "", Table13[[#This Row],[Initial Close Est.]]-Table13[[#This Row],[Day Ann.]])</f>
        <v>147</v>
      </c>
      <c r="G162" s="2">
        <f>IF(Table13[[#This Row],[Actual Close]]="", "",Table13[[#This Row],[Actual Close]]-Table13[[#This Row],[Day Ann.]])</f>
        <v>102</v>
      </c>
      <c r="H162" s="5">
        <f t="shared" si="12"/>
        <v>-45</v>
      </c>
      <c r="I162" s="5">
        <f t="shared" si="13"/>
        <v>45</v>
      </c>
      <c r="J162" t="str">
        <f t="shared" si="14"/>
        <v>WNS Equity</v>
      </c>
      <c r="K162" t="str" cm="1">
        <f t="array" ref="K162">IFERROR(_xlfn.LET(_xlpm.t,TRIM(Table13[[#This Row],[TICKER]]),_xlpm.k,IF(ISNUMBER(SEARCH(" ",_xlpm.t)),_xlpm.t,_xlpm.t&amp;" US"),_xlfn.XLOOKUP(_xlpm.k,TRIM(Table1[Target Ticker]),Table1[Target Industry Sector])),"")</f>
        <v/>
      </c>
      <c r="L162" t="str" cm="1">
        <f t="array" ref="L162">IFERROR(_xlfn.LET(_xlpm.t,TRIM(Table13[[#This Row],[TICKER]]),_xlpm.k,IF(ISNUMBER(SEARCH(" ",_xlpm.t)),_xlpm.t,_xlpm.t&amp;" US"),_xlfn.XLOOKUP(_xlpm.k,TRIM(Table1[Target Ticker]),Table1[Target Industry Group])),"")</f>
        <v/>
      </c>
      <c r="M162" t="str">
        <f>_xll.BDP($J162, "LAST_PRICE")</f>
        <v>#N/A Real Time</v>
      </c>
      <c r="O162" t="str">
        <f>IF(Table13[[#This Row],[Cash/Tender/Stock/Mix]]= "Mix", "Stock", Table13[[#This Row],[Cash/Tender/Stock/Mix]])</f>
        <v>Cash</v>
      </c>
      <c r="P162" t="s">
        <v>23</v>
      </c>
    </row>
    <row r="163" spans="2:16" x14ac:dyDescent="0.25">
      <c r="B163" t="s">
        <v>1169</v>
      </c>
      <c r="C163" s="4">
        <v>45841</v>
      </c>
      <c r="D163" s="4">
        <v>45935</v>
      </c>
      <c r="E163" s="4">
        <v>45912</v>
      </c>
      <c r="F163" s="2">
        <f>IF(Table13[[#This Row],[Day Ann.]]="", "", Table13[[#This Row],[Initial Close Est.]]-Table13[[#This Row],[Day Ann.]])</f>
        <v>94</v>
      </c>
      <c r="G163" s="2">
        <f>IF(Table13[[#This Row],[Actual Close]]="", "",Table13[[#This Row],[Actual Close]]-Table13[[#This Row],[Day Ann.]])</f>
        <v>71</v>
      </c>
      <c r="H163" s="5">
        <f t="shared" ref="H163:H198" si="15">IF(E163="","",E163-D163)</f>
        <v>-23</v>
      </c>
      <c r="I163" s="5">
        <f t="shared" ref="I163:I194" si="16">IF(H163="", "",ABS(H163))</f>
        <v>23</v>
      </c>
      <c r="J163" t="str">
        <f t="shared" ref="J163:J198" si="17">(B163&amp;" Equity")</f>
        <v>OLO Equity</v>
      </c>
      <c r="K163" t="str" cm="1">
        <f t="array" ref="K163">IFERROR(_xlfn.LET(_xlpm.t,TRIM(Table13[[#This Row],[TICKER]]),_xlpm.k,IF(ISNUMBER(SEARCH(" ",_xlpm.t)),_xlpm.t,_xlpm.t&amp;" US"),_xlfn.XLOOKUP(_xlpm.k,TRIM(Table1[Target Ticker]),Table1[Target Industry Sector])),"")</f>
        <v>Technology</v>
      </c>
      <c r="L163" t="str" cm="1">
        <f t="array" ref="L163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63" t="str">
        <f>_xll.BDP($J163, "LAST_PRICE")</f>
        <v>#N/A Real Time</v>
      </c>
      <c r="O163" t="str">
        <f>IF(Table13[[#This Row],[Cash/Tender/Stock/Mix]]= "Mix", "Stock", Table13[[#This Row],[Cash/Tender/Stock/Mix]])</f>
        <v>Cash</v>
      </c>
      <c r="P163" t="s">
        <v>23</v>
      </c>
    </row>
    <row r="164" spans="2:16" x14ac:dyDescent="0.25">
      <c r="B164" t="s">
        <v>1170</v>
      </c>
      <c r="C164" s="4">
        <v>45838</v>
      </c>
      <c r="D164" s="4">
        <v>46022</v>
      </c>
      <c r="E164" s="4">
        <v>45904</v>
      </c>
      <c r="F164" s="2">
        <f>IF(Table13[[#This Row],[Day Ann.]]="", "", Table13[[#This Row],[Initial Close Est.]]-Table13[[#This Row],[Day Ann.]])</f>
        <v>184</v>
      </c>
      <c r="G164" s="2">
        <f>IF(Table13[[#This Row],[Actual Close]]="", "",Table13[[#This Row],[Actual Close]]-Table13[[#This Row],[Day Ann.]])</f>
        <v>66</v>
      </c>
      <c r="H164" s="5">
        <f t="shared" si="15"/>
        <v>-118</v>
      </c>
      <c r="I164" s="5">
        <f t="shared" si="16"/>
        <v>118</v>
      </c>
      <c r="J164" t="str">
        <f t="shared" si="17"/>
        <v>GMS Equity</v>
      </c>
      <c r="K164" t="str" cm="1">
        <f t="array" ref="K164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64" t="str" cm="1">
        <f t="array" ref="L164">IFERROR(_xlfn.LET(_xlpm.t,TRIM(Table13[[#This Row],[TICKER]]),_xlpm.k,IF(ISNUMBER(SEARCH(" ",_xlpm.t)),_xlpm.t,_xlpm.t&amp;" US"),_xlfn.XLOOKUP(_xlpm.k,TRIM(Table1[Target Ticker]),Table1[Target Industry Group])),"")</f>
        <v>Retail &amp; Whsle - Discretionary</v>
      </c>
      <c r="M164" t="str">
        <f>_xll.BDP($J164, "LAST_PRICE")</f>
        <v>#N/A Real Time</v>
      </c>
      <c r="O164" t="str">
        <f>IF(Table13[[#This Row],[Cash/Tender/Stock/Mix]]= "Mix", "Stock", Table13[[#This Row],[Cash/Tender/Stock/Mix]])</f>
        <v>Tender</v>
      </c>
      <c r="P164" t="s">
        <v>1029</v>
      </c>
    </row>
    <row r="165" spans="2:16" x14ac:dyDescent="0.25">
      <c r="B165" t="s">
        <v>1171</v>
      </c>
      <c r="C165" s="4">
        <v>45834</v>
      </c>
      <c r="D165" s="4">
        <v>45975</v>
      </c>
      <c r="E165" s="4">
        <v>45967</v>
      </c>
      <c r="F165" s="2">
        <f>IF(Table13[[#This Row],[Day Ann.]]="", "", Table13[[#This Row],[Initial Close Est.]]-Table13[[#This Row],[Day Ann.]])</f>
        <v>141</v>
      </c>
      <c r="G165" s="2">
        <f>IF(Table13[[#This Row],[Actual Close]]="", "",Table13[[#This Row],[Actual Close]]-Table13[[#This Row],[Day Ann.]])</f>
        <v>133</v>
      </c>
      <c r="H165" s="5">
        <f t="shared" si="15"/>
        <v>-8</v>
      </c>
      <c r="I165" s="5">
        <f t="shared" si="16"/>
        <v>8</v>
      </c>
      <c r="J165" t="str">
        <f t="shared" si="17"/>
        <v>MRC Equity</v>
      </c>
      <c r="K165" t="str" cm="1">
        <f t="array" ref="K165">IFERROR(_xlfn.LET(_xlpm.t,TRIM(Table13[[#This Row],[TICKER]]),_xlpm.k,IF(ISNUMBER(SEARCH(" ",_xlpm.t)),_xlpm.t,_xlpm.t&amp;" US"),_xlfn.XLOOKUP(_xlpm.k,TRIM(Table1[Target Ticker]),Table1[Target Industry Sector])),"")</f>
        <v>Industrials</v>
      </c>
      <c r="L165" t="str" cm="1">
        <f t="array" ref="L165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65" t="str">
        <f>_xll.BDP($J165, "LAST_PRICE")</f>
        <v>#N/A Real Time</v>
      </c>
      <c r="O165" t="str">
        <f>IF(Table13[[#This Row],[Cash/Tender/Stock/Mix]]= "Mix", "Stock", Table13[[#This Row],[Cash/Tender/Stock/Mix]])</f>
        <v>Stock</v>
      </c>
      <c r="P165" t="s">
        <v>38</v>
      </c>
    </row>
    <row r="166" spans="2:16" x14ac:dyDescent="0.25">
      <c r="B166" t="s">
        <v>1172</v>
      </c>
      <c r="C166" s="4">
        <v>45832</v>
      </c>
      <c r="D166" s="4">
        <v>45992</v>
      </c>
      <c r="E166" s="4">
        <v>45931</v>
      </c>
      <c r="F166" s="2">
        <f>IF(Table13[[#This Row],[Day Ann.]]="", "", Table13[[#This Row],[Initial Close Est.]]-Table13[[#This Row],[Day Ann.]])</f>
        <v>160</v>
      </c>
      <c r="G166" s="2">
        <f>IF(Table13[[#This Row],[Actual Close]]="", "",Table13[[#This Row],[Actual Close]]-Table13[[#This Row],[Day Ann.]])</f>
        <v>99</v>
      </c>
      <c r="H166" s="5">
        <f t="shared" si="15"/>
        <v>-61</v>
      </c>
      <c r="I166" s="5">
        <f t="shared" si="16"/>
        <v>61</v>
      </c>
      <c r="J166" t="str">
        <f t="shared" si="17"/>
        <v>GNTY Equity</v>
      </c>
      <c r="K166" t="str" cm="1">
        <f t="array" ref="K166">IFERROR(_xlfn.LET(_xlpm.t,TRIM(Table13[[#This Row],[TICKER]]),_xlpm.k,IF(ISNUMBER(SEARCH(" ",_xlpm.t)),_xlpm.t,_xlpm.t&amp;" US"),_xlfn.XLOOKUP(_xlpm.k,TRIM(Table1[Target Ticker]),Table1[Target Industry Sector])),"")</f>
        <v/>
      </c>
      <c r="L166" t="str" cm="1">
        <f t="array" ref="L166">IFERROR(_xlfn.LET(_xlpm.t,TRIM(Table13[[#This Row],[TICKER]]),_xlpm.k,IF(ISNUMBER(SEARCH(" ",_xlpm.t)),_xlpm.t,_xlpm.t&amp;" US"),_xlfn.XLOOKUP(_xlpm.k,TRIM(Table1[Target Ticker]),Table1[Target Industry Group])),"")</f>
        <v/>
      </c>
      <c r="M166" t="str">
        <f>_xll.BDP($J166, "LAST_PRICE")</f>
        <v>#N/A Real Time</v>
      </c>
      <c r="O166" t="str">
        <f>IF(Table13[[#This Row],[Cash/Tender/Stock/Mix]]= "Mix", "Stock", Table13[[#This Row],[Cash/Tender/Stock/Mix]])</f>
        <v>Stock</v>
      </c>
      <c r="P166" t="s">
        <v>38</v>
      </c>
    </row>
    <row r="167" spans="2:16" x14ac:dyDescent="0.25">
      <c r="B167" t="s">
        <v>1173</v>
      </c>
      <c r="C167" s="4">
        <v>45831</v>
      </c>
      <c r="D167" s="4">
        <v>46013</v>
      </c>
      <c r="E167" s="4">
        <v>45922</v>
      </c>
      <c r="F167" s="2">
        <f>IF(Table13[[#This Row],[Day Ann.]]="", "", Table13[[#This Row],[Initial Close Est.]]-Table13[[#This Row],[Day Ann.]])</f>
        <v>182</v>
      </c>
      <c r="G167" s="2">
        <f>IF(Table13[[#This Row],[Actual Close]]="", "",Table13[[#This Row],[Actual Close]]-Table13[[#This Row],[Day Ann.]])</f>
        <v>91</v>
      </c>
      <c r="H167" s="5">
        <f t="shared" si="15"/>
        <v>-91</v>
      </c>
      <c r="I167" s="5">
        <f t="shared" si="16"/>
        <v>91</v>
      </c>
      <c r="J167" t="str">
        <f t="shared" si="17"/>
        <v>SPTN Equity</v>
      </c>
      <c r="K167" t="str" cm="1">
        <f t="array" ref="K167">IFERROR(_xlfn.LET(_xlpm.t,TRIM(Table13[[#This Row],[TICKER]]),_xlpm.k,IF(ISNUMBER(SEARCH(" ",_xlpm.t)),_xlpm.t,_xlpm.t&amp;" US"),_xlfn.XLOOKUP(_xlpm.k,TRIM(Table1[Target Ticker]),Table1[Target Industry Sector])),"")</f>
        <v>Consumer Staples</v>
      </c>
      <c r="L167" t="str" cm="1">
        <f t="array" ref="L167">IFERROR(_xlfn.LET(_xlpm.t,TRIM(Table13[[#This Row],[TICKER]]),_xlpm.k,IF(ISNUMBER(SEARCH(" ",_xlpm.t)),_xlpm.t,_xlpm.t&amp;" US"),_xlfn.XLOOKUP(_xlpm.k,TRIM(Table1[Target Ticker]),Table1[Target Industry Group])),"")</f>
        <v>Retail &amp; Wholesale - Staples</v>
      </c>
      <c r="M167" t="str">
        <f>_xll.BDP($J167, "LAST_PRICE")</f>
        <v>#N/A Real Time</v>
      </c>
      <c r="O167" t="str">
        <f>IF(Table13[[#This Row],[Cash/Tender/Stock/Mix]]= "Mix", "Stock", Table13[[#This Row],[Cash/Tender/Stock/Mix]])</f>
        <v>Cash</v>
      </c>
      <c r="P167" t="s">
        <v>23</v>
      </c>
    </row>
    <row r="168" spans="2:16" x14ac:dyDescent="0.25">
      <c r="B168" t="s">
        <v>1174</v>
      </c>
      <c r="C168" s="4">
        <v>45828</v>
      </c>
      <c r="D168" s="4">
        <v>45945</v>
      </c>
      <c r="E168" s="4">
        <v>45925</v>
      </c>
      <c r="F168" s="2">
        <f>IF(Table13[[#This Row],[Day Ann.]]="", "", Table13[[#This Row],[Initial Close Est.]]-Table13[[#This Row],[Day Ann.]])</f>
        <v>117</v>
      </c>
      <c r="G168" s="2">
        <f>IF(Table13[[#This Row],[Actual Close]]="", "",Table13[[#This Row],[Actual Close]]-Table13[[#This Row],[Day Ann.]])</f>
        <v>97</v>
      </c>
      <c r="H168" s="5">
        <f t="shared" si="15"/>
        <v>-20</v>
      </c>
      <c r="I168" s="5">
        <f t="shared" si="16"/>
        <v>20</v>
      </c>
      <c r="J168" t="str">
        <f t="shared" si="17"/>
        <v>BASE Equity</v>
      </c>
      <c r="K168" t="str" cm="1">
        <f t="array" ref="K168">IFERROR(_xlfn.LET(_xlpm.t,TRIM(Table13[[#This Row],[TICKER]]),_xlpm.k,IF(ISNUMBER(SEARCH(" ",_xlpm.t)),_xlpm.t,_xlpm.t&amp;" US"),_xlfn.XLOOKUP(_xlpm.k,TRIM(Table1[Target Ticker]),Table1[Target Industry Sector])),"")</f>
        <v>Technology</v>
      </c>
      <c r="L168" t="str" cm="1">
        <f t="array" ref="L168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68" t="str">
        <f>_xll.BDP($J168, "LAST_PRICE")</f>
        <v>#N/A Real Time</v>
      </c>
      <c r="O168" t="str">
        <f>IF(Table13[[#This Row],[Cash/Tender/Stock/Mix]]= "Mix", "Stock", Table13[[#This Row],[Cash/Tender/Stock/Mix]])</f>
        <v>Cash</v>
      </c>
      <c r="P168" t="s">
        <v>23</v>
      </c>
    </row>
    <row r="169" spans="2:16" x14ac:dyDescent="0.25">
      <c r="B169" t="s">
        <v>1175</v>
      </c>
      <c r="C169" s="4">
        <v>45826</v>
      </c>
      <c r="D169" s="4">
        <v>45945</v>
      </c>
      <c r="E169" s="4">
        <v>45989</v>
      </c>
      <c r="F169" s="2">
        <f>IF(Table13[[#This Row],[Day Ann.]]="", "", Table13[[#This Row],[Initial Close Est.]]-Table13[[#This Row],[Day Ann.]])</f>
        <v>119</v>
      </c>
      <c r="G169" s="2">
        <f>IF(Table13[[#This Row],[Actual Close]]="", "",Table13[[#This Row],[Actual Close]]-Table13[[#This Row],[Day Ann.]])</f>
        <v>163</v>
      </c>
      <c r="H169" s="5">
        <f t="shared" si="15"/>
        <v>44</v>
      </c>
      <c r="I169" s="5">
        <f t="shared" si="16"/>
        <v>44</v>
      </c>
      <c r="J169" t="str">
        <f t="shared" si="17"/>
        <v>GHLD Equity</v>
      </c>
      <c r="K169" t="str" cm="1">
        <f t="array" ref="K169">IFERROR(_xlfn.LET(_xlpm.t,TRIM(Table13[[#This Row],[TICKER]]),_xlpm.k,IF(ISNUMBER(SEARCH(" ",_xlpm.t)),_xlpm.t,_xlpm.t&amp;" US"),_xlfn.XLOOKUP(_xlpm.k,TRIM(Table1[Target Ticker]),Table1[Target Industry Sector])),"")</f>
        <v/>
      </c>
      <c r="L169" t="str" cm="1">
        <f t="array" ref="L169">IFERROR(_xlfn.LET(_xlpm.t,TRIM(Table13[[#This Row],[TICKER]]),_xlpm.k,IF(ISNUMBER(SEARCH(" ",_xlpm.t)),_xlpm.t,_xlpm.t&amp;" US"),_xlfn.XLOOKUP(_xlpm.k,TRIM(Table1[Target Ticker]),Table1[Target Industry Group])),"")</f>
        <v/>
      </c>
      <c r="M169" t="str">
        <f>_xll.BDP($J169, "LAST_PRICE")</f>
        <v>#N/A Real Time</v>
      </c>
      <c r="O169" t="str">
        <f>IF(Table13[[#This Row],[Cash/Tender/Stock/Mix]]= "Mix", "Stock", Table13[[#This Row],[Cash/Tender/Stock/Mix]])</f>
        <v>Cash</v>
      </c>
      <c r="P169" t="s">
        <v>23</v>
      </c>
    </row>
    <row r="170" spans="2:16" x14ac:dyDescent="0.25">
      <c r="B170" t="s">
        <v>1176</v>
      </c>
      <c r="C170" s="4">
        <v>45825</v>
      </c>
      <c r="D170" s="4">
        <v>45915</v>
      </c>
      <c r="E170" s="4">
        <v>45866</v>
      </c>
      <c r="F170" s="2">
        <f>IF(Table13[[#This Row],[Day Ann.]]="", "", Table13[[#This Row],[Initial Close Est.]]-Table13[[#This Row],[Day Ann.]])</f>
        <v>90</v>
      </c>
      <c r="G170" s="2">
        <f>IF(Table13[[#This Row],[Actual Close]]="", "",Table13[[#This Row],[Actual Close]]-Table13[[#This Row],[Day Ann.]])</f>
        <v>41</v>
      </c>
      <c r="H170" s="5">
        <f t="shared" si="15"/>
        <v>-49</v>
      </c>
      <c r="I170" s="5">
        <f t="shared" si="16"/>
        <v>49</v>
      </c>
      <c r="J170" t="str">
        <f t="shared" si="17"/>
        <v>VERV Equity</v>
      </c>
      <c r="K170" t="str" cm="1">
        <f t="array" ref="K170">IFERROR(_xlfn.LET(_xlpm.t,TRIM(Table13[[#This Row],[TICKER]]),_xlpm.k,IF(ISNUMBER(SEARCH(" ",_xlpm.t)),_xlpm.t,_xlpm.t&amp;" US"),_xlfn.XLOOKUP(_xlpm.k,TRIM(Table1[Target Ticker]),Table1[Target Industry Sector])),"")</f>
        <v>Health Care</v>
      </c>
      <c r="L170" t="str" cm="1">
        <f t="array" ref="L170">IFERROR(_xlfn.LET(_xlpm.t,TRIM(Table13[[#This Row],[TICKER]]),_xlpm.k,IF(ISNUMBER(SEARCH(" ",_xlpm.t)),_xlpm.t,_xlpm.t&amp;" US"),_xlfn.XLOOKUP(_xlpm.k,TRIM(Table1[Target Ticker]),Table1[Target Industry Group])),"")</f>
        <v>Health Care</v>
      </c>
      <c r="M170" t="str">
        <f>_xll.BDP($J170, "LAST_PRICE")</f>
        <v>#N/A Real Time</v>
      </c>
      <c r="O170" t="str">
        <f>IF(Table13[[#This Row],[Cash/Tender/Stock/Mix]]= "Mix", "Stock", Table13[[#This Row],[Cash/Tender/Stock/Mix]])</f>
        <v>Tender</v>
      </c>
      <c r="P170" t="s">
        <v>1029</v>
      </c>
    </row>
    <row r="171" spans="2:16" x14ac:dyDescent="0.25">
      <c r="B171" t="s">
        <v>1177</v>
      </c>
      <c r="C171" s="4">
        <v>45824</v>
      </c>
      <c r="D171" s="4">
        <v>45915</v>
      </c>
      <c r="E171" s="4">
        <v>46153</v>
      </c>
      <c r="F171" s="2">
        <f>IF(Table13[[#This Row],[Day Ann.]]="", "", Table13[[#This Row],[Initial Close Est.]]-Table13[[#This Row],[Day Ann.]])</f>
        <v>91</v>
      </c>
      <c r="G171" s="2">
        <f>IF(Table13[[#This Row],[Actual Close]]="", "",Table13[[#This Row],[Actual Close]]-Table13[[#This Row],[Day Ann.]])</f>
        <v>329</v>
      </c>
      <c r="H171" s="5">
        <f t="shared" si="15"/>
        <v>238</v>
      </c>
      <c r="I171" s="5">
        <f t="shared" si="16"/>
        <v>238</v>
      </c>
      <c r="J171" t="str">
        <f t="shared" si="17"/>
        <v>CTLP Equity</v>
      </c>
      <c r="K171" t="str" cm="1">
        <f t="array" ref="K171">IFERROR(_xlfn.LET(_xlpm.t,TRIM(Table13[[#This Row],[TICKER]]),_xlpm.k,IF(ISNUMBER(SEARCH(" ",_xlpm.t)),_xlpm.t,_xlpm.t&amp;" US"),_xlfn.XLOOKUP(_xlpm.k,TRIM(Table1[Target Ticker]),Table1[Target Industry Sector])),"")</f>
        <v>Technology</v>
      </c>
      <c r="L171" t="str" cm="1">
        <f t="array" ref="L171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71" t="str">
        <f>_xll.BDP($J171, "LAST_PRICE")</f>
        <v>#N/A Real Time</v>
      </c>
      <c r="O171" t="str">
        <f>IF(Table13[[#This Row],[Cash/Tender/Stock/Mix]]= "Mix", "Stock", Table13[[#This Row],[Cash/Tender/Stock/Mix]])</f>
        <v>Cash</v>
      </c>
      <c r="P171" t="s">
        <v>23</v>
      </c>
    </row>
    <row r="172" spans="2:16" x14ac:dyDescent="0.25">
      <c r="B172" t="s">
        <v>1178</v>
      </c>
      <c r="C172" s="4">
        <v>45824</v>
      </c>
      <c r="D172" s="4">
        <v>45869</v>
      </c>
      <c r="E172" s="4">
        <v>45870</v>
      </c>
      <c r="F172" s="2">
        <f>IF(Table13[[#This Row],[Day Ann.]]="", "", Table13[[#This Row],[Initial Close Est.]]-Table13[[#This Row],[Day Ann.]])</f>
        <v>45</v>
      </c>
      <c r="G172" s="2">
        <f>IF(Table13[[#This Row],[Actual Close]]="", "",Table13[[#This Row],[Actual Close]]-Table13[[#This Row],[Day Ann.]])</f>
        <v>46</v>
      </c>
      <c r="H172" s="5">
        <f t="shared" si="15"/>
        <v>1</v>
      </c>
      <c r="I172" s="5">
        <f t="shared" si="16"/>
        <v>1</v>
      </c>
      <c r="J172" t="str">
        <f t="shared" si="17"/>
        <v>SAGE Equity</v>
      </c>
      <c r="K172" t="str" cm="1">
        <f t="array" ref="K172">IFERROR(_xlfn.LET(_xlpm.t,TRIM(Table13[[#This Row],[TICKER]]),_xlpm.k,IF(ISNUMBER(SEARCH(" ",_xlpm.t)),_xlpm.t,_xlpm.t&amp;" US"),_xlfn.XLOOKUP(_xlpm.k,TRIM(Table1[Target Ticker]),Table1[Target Industry Sector])),"")</f>
        <v/>
      </c>
      <c r="L172" t="str" cm="1">
        <f t="array" ref="L172">IFERROR(_xlfn.LET(_xlpm.t,TRIM(Table13[[#This Row],[TICKER]]),_xlpm.k,IF(ISNUMBER(SEARCH(" ",_xlpm.t)),_xlpm.t,_xlpm.t&amp;" US"),_xlfn.XLOOKUP(_xlpm.k,TRIM(Table1[Target Ticker]),Table1[Target Industry Group])),"")</f>
        <v/>
      </c>
      <c r="M172" t="str">
        <f>_xll.BDP($J172, "LAST_PRICE")</f>
        <v>#N/A Real Time</v>
      </c>
      <c r="O172" t="str">
        <f>IF(Table13[[#This Row],[Cash/Tender/Stock/Mix]]= "Mix", "Stock", Table13[[#This Row],[Cash/Tender/Stock/Mix]])</f>
        <v>Tender</v>
      </c>
      <c r="P172" t="s">
        <v>1029</v>
      </c>
    </row>
    <row r="173" spans="2:16" x14ac:dyDescent="0.25">
      <c r="B173" t="s">
        <v>1179</v>
      </c>
      <c r="C173" s="4">
        <v>45820</v>
      </c>
      <c r="D173" s="4">
        <v>45943</v>
      </c>
      <c r="E173" s="4">
        <v>46029</v>
      </c>
      <c r="F173" s="2">
        <f>IF(Table13[[#This Row],[Day Ann.]]="", "", Table13[[#This Row],[Initial Close Est.]]-Table13[[#This Row],[Day Ann.]])</f>
        <v>123</v>
      </c>
      <c r="G173" s="2">
        <f>IF(Table13[[#This Row],[Actual Close]]="", "",Table13[[#This Row],[Actual Close]]-Table13[[#This Row],[Day Ann.]])</f>
        <v>209</v>
      </c>
      <c r="H173" s="5">
        <f t="shared" si="15"/>
        <v>86</v>
      </c>
      <c r="I173" s="5">
        <f t="shared" si="16"/>
        <v>86</v>
      </c>
      <c r="J173" t="str">
        <f t="shared" si="17"/>
        <v>CVAC Equity</v>
      </c>
      <c r="K173" t="str" cm="1">
        <f t="array" ref="K173">IFERROR(_xlfn.LET(_xlpm.t,TRIM(Table13[[#This Row],[TICKER]]),_xlpm.k,IF(ISNUMBER(SEARCH(" ",_xlpm.t)),_xlpm.t,_xlpm.t&amp;" US"),_xlfn.XLOOKUP(_xlpm.k,TRIM(Table1[Target Ticker]),Table1[Target Industry Sector])),"")</f>
        <v/>
      </c>
      <c r="L173" t="str" cm="1">
        <f t="array" ref="L173">IFERROR(_xlfn.LET(_xlpm.t,TRIM(Table13[[#This Row],[TICKER]]),_xlpm.k,IF(ISNUMBER(SEARCH(" ",_xlpm.t)),_xlpm.t,_xlpm.t&amp;" US"),_xlfn.XLOOKUP(_xlpm.k,TRIM(Table1[Target Ticker]),Table1[Target Industry Group])),"")</f>
        <v/>
      </c>
      <c r="M173" t="str">
        <f>_xll.BDP($J173, "LAST_PRICE")</f>
        <v>#N/A Real Time</v>
      </c>
      <c r="O173" t="str">
        <f>IF(Table13[[#This Row],[Cash/Tender/Stock/Mix]]= "Mix", "Stock", Table13[[#This Row],[Cash/Tender/Stock/Mix]])</f>
        <v>Tender</v>
      </c>
      <c r="P173" t="s">
        <v>1029</v>
      </c>
    </row>
    <row r="174" spans="2:16" x14ac:dyDescent="0.25">
      <c r="B174" t="s">
        <v>1180</v>
      </c>
      <c r="C174" s="4">
        <v>45811</v>
      </c>
      <c r="D174" s="4">
        <v>45920</v>
      </c>
      <c r="E174" s="4">
        <v>45888</v>
      </c>
      <c r="F174" s="2">
        <f>IF(Table13[[#This Row],[Day Ann.]]="", "", Table13[[#This Row],[Initial Close Est.]]-Table13[[#This Row],[Day Ann.]])</f>
        <v>109</v>
      </c>
      <c r="G174" s="2">
        <f>IF(Table13[[#This Row],[Actual Close]]="", "",Table13[[#This Row],[Actual Close]]-Table13[[#This Row],[Day Ann.]])</f>
        <v>77</v>
      </c>
      <c r="H174" s="5">
        <f t="shared" si="15"/>
        <v>-32</v>
      </c>
      <c r="I174" s="5">
        <f t="shared" si="16"/>
        <v>32</v>
      </c>
      <c r="J174" t="str">
        <f t="shared" si="17"/>
        <v>STR Equity</v>
      </c>
      <c r="K174" t="str" cm="1">
        <f t="array" ref="K174">IFERROR(_xlfn.LET(_xlpm.t,TRIM(Table13[[#This Row],[TICKER]]),_xlpm.k,IF(ISNUMBER(SEARCH(" ",_xlpm.t)),_xlpm.t,_xlpm.t&amp;" US"),_xlfn.XLOOKUP(_xlpm.k,TRIM(Table1[Target Ticker]),Table1[Target Industry Sector])),"")</f>
        <v>Energy</v>
      </c>
      <c r="L174" t="str" cm="1">
        <f t="array" ref="L174">IFERROR(_xlfn.LET(_xlpm.t,TRIM(Table13[[#This Row],[TICKER]]),_xlpm.k,IF(ISNUMBER(SEARCH(" ",_xlpm.t)),_xlpm.t,_xlpm.t&amp;" US"),_xlfn.XLOOKUP(_xlpm.k,TRIM(Table1[Target Ticker]),Table1[Target Industry Group])),"")</f>
        <v>Oil &amp; Gas</v>
      </c>
      <c r="M174" t="str">
        <f>_xll.BDP($J174, "LAST_PRICE")</f>
        <v>#N/A Real Time</v>
      </c>
      <c r="O174" t="str">
        <f>IF(Table13[[#This Row],[Cash/Tender/Stock/Mix]]= "Mix", "Stock", Table13[[#This Row],[Cash/Tender/Stock/Mix]])</f>
        <v>Stock</v>
      </c>
      <c r="P174" t="s">
        <v>38</v>
      </c>
    </row>
    <row r="175" spans="2:16" x14ac:dyDescent="0.25">
      <c r="B175" t="s">
        <v>1181</v>
      </c>
      <c r="C175" s="4">
        <v>45810</v>
      </c>
      <c r="D175" s="4">
        <v>45870</v>
      </c>
      <c r="E175" s="4">
        <v>45859</v>
      </c>
      <c r="F175" s="2">
        <f>IF(Table13[[#This Row],[Day Ann.]]="", "", Table13[[#This Row],[Initial Close Est.]]-Table13[[#This Row],[Day Ann.]])</f>
        <v>60</v>
      </c>
      <c r="G175" s="2">
        <f>IF(Table13[[#This Row],[Actual Close]]="", "",Table13[[#This Row],[Actual Close]]-Table13[[#This Row],[Day Ann.]])</f>
        <v>49</v>
      </c>
      <c r="H175" s="5">
        <f t="shared" si="15"/>
        <v>-11</v>
      </c>
      <c r="I175" s="5">
        <f t="shared" si="16"/>
        <v>11</v>
      </c>
      <c r="J175" t="str">
        <f t="shared" si="17"/>
        <v>BPMC Equity</v>
      </c>
      <c r="K175" t="str" cm="1">
        <f t="array" ref="K175">IFERROR(_xlfn.LET(_xlpm.t,TRIM(Table13[[#This Row],[TICKER]]),_xlpm.k,IF(ISNUMBER(SEARCH(" ",_xlpm.t)),_xlpm.t,_xlpm.t&amp;" US"),_xlfn.XLOOKUP(_xlpm.k,TRIM(Table1[Target Ticker]),Table1[Target Industry Sector])),"")</f>
        <v>Health Care</v>
      </c>
      <c r="L175" t="str" cm="1">
        <f t="array" ref="L175">IFERROR(_xlfn.LET(_xlpm.t,TRIM(Table13[[#This Row],[TICKER]]),_xlpm.k,IF(ISNUMBER(SEARCH(" ",_xlpm.t)),_xlpm.t,_xlpm.t&amp;" US"),_xlfn.XLOOKUP(_xlpm.k,TRIM(Table1[Target Ticker]),Table1[Target Industry Group])),"")</f>
        <v>Health Care</v>
      </c>
      <c r="M175" t="str">
        <f>_xll.BDP($J175, "LAST_PRICE")</f>
        <v>#N/A Real Time</v>
      </c>
      <c r="O175" t="str">
        <f>IF(Table13[[#This Row],[Cash/Tender/Stock/Mix]]= "Mix", "Stock", Table13[[#This Row],[Cash/Tender/Stock/Mix]])</f>
        <v>Tender</v>
      </c>
      <c r="P175" t="s">
        <v>1029</v>
      </c>
    </row>
    <row r="176" spans="2:16" x14ac:dyDescent="0.25">
      <c r="B176" t="s">
        <v>593</v>
      </c>
      <c r="C176" s="4">
        <v>45804</v>
      </c>
      <c r="D176" s="4">
        <v>46037</v>
      </c>
      <c r="F176" s="2">
        <f>IF(Table13[[#This Row],[Day Ann.]]="", "", Table13[[#This Row],[Initial Close Est.]]-Table13[[#This Row],[Day Ann.]])</f>
        <v>233</v>
      </c>
      <c r="G176" s="2" t="str">
        <f>IF(Table13[[#This Row],[Actual Close]]="", "",Table13[[#This Row],[Actual Close]]-Table13[[#This Row],[Day Ann.]])</f>
        <v/>
      </c>
      <c r="H176" s="5" t="str">
        <f t="shared" si="15"/>
        <v/>
      </c>
      <c r="I176" s="5" t="str">
        <f t="shared" si="16"/>
        <v/>
      </c>
      <c r="J176" t="str">
        <f t="shared" si="17"/>
        <v>IIP-U CN Equity</v>
      </c>
      <c r="K176" t="str" cm="1">
        <f t="array" ref="K176">IFERROR(_xlfn.LET(_xlpm.t,TRIM(Table13[[#This Row],[TICKER]]),_xlpm.k,IF(ISNUMBER(SEARCH(" ",_xlpm.t)),_xlpm.t,_xlpm.t&amp;" US"),_xlfn.XLOOKUP(_xlpm.k,TRIM(Table1[Target Ticker]),Table1[Target Industry Sector])),"")</f>
        <v>Real Estate</v>
      </c>
      <c r="L176" t="str" cm="1">
        <f t="array" ref="L176">IFERROR(_xlfn.LET(_xlpm.t,TRIM(Table13[[#This Row],[TICKER]]),_xlpm.k,IF(ISNUMBER(SEARCH(" ",_xlpm.t)),_xlpm.t,_xlpm.t&amp;" US"),_xlfn.XLOOKUP(_xlpm.k,TRIM(Table1[Target Ticker]),Table1[Target Industry Group])),"")</f>
        <v>Real Estate</v>
      </c>
      <c r="M176">
        <f>_xll.BDP($J176, "LAST_PRICE")</f>
        <v>12.91</v>
      </c>
      <c r="O176" t="str">
        <f>IF(Table13[[#This Row],[Cash/Tender/Stock/Mix]]= "Mix", "Stock", Table13[[#This Row],[Cash/Tender/Stock/Mix]])</f>
        <v>Cash</v>
      </c>
      <c r="P176" t="s">
        <v>23</v>
      </c>
    </row>
    <row r="177" spans="2:16" x14ac:dyDescent="0.25">
      <c r="B177" t="s">
        <v>1182</v>
      </c>
      <c r="C177" s="4">
        <v>45804</v>
      </c>
      <c r="D177" s="4">
        <v>46073</v>
      </c>
      <c r="E177" s="4">
        <v>45979</v>
      </c>
      <c r="F177" s="2">
        <f>IF(Table13[[#This Row],[Day Ann.]]="", "", Table13[[#This Row],[Initial Close Est.]]-Table13[[#This Row],[Day Ann.]])</f>
        <v>269</v>
      </c>
      <c r="G177" s="2">
        <f>IF(Table13[[#This Row],[Actual Close]]="", "",Table13[[#This Row],[Actual Close]]-Table13[[#This Row],[Day Ann.]])</f>
        <v>175</v>
      </c>
      <c r="H177" s="5">
        <f t="shared" si="15"/>
        <v>-94</v>
      </c>
      <c r="I177" s="5">
        <f t="shared" si="16"/>
        <v>94</v>
      </c>
      <c r="J177" t="str">
        <f t="shared" si="17"/>
        <v>INFA Equity</v>
      </c>
      <c r="K177" t="str" cm="1">
        <f t="array" ref="K177">IFERROR(_xlfn.LET(_xlpm.t,TRIM(Table13[[#This Row],[TICKER]]),_xlpm.k,IF(ISNUMBER(SEARCH(" ",_xlpm.t)),_xlpm.t,_xlpm.t&amp;" US"),_xlfn.XLOOKUP(_xlpm.k,TRIM(Table1[Target Ticker]),Table1[Target Industry Sector])),"")</f>
        <v>Technology</v>
      </c>
      <c r="L177" t="str" cm="1">
        <f t="array" ref="L177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77" t="str">
        <f>_xll.BDP($J177, "LAST_PRICE")</f>
        <v>#N/A Real Time</v>
      </c>
      <c r="O177" t="str">
        <f>IF(Table13[[#This Row],[Cash/Tender/Stock/Mix]]= "Mix", "Stock", Table13[[#This Row],[Cash/Tender/Stock/Mix]])</f>
        <v>Cash</v>
      </c>
      <c r="P177" t="s">
        <v>23</v>
      </c>
    </row>
    <row r="178" spans="2:16" x14ac:dyDescent="0.25">
      <c r="B178" t="s">
        <v>1183</v>
      </c>
      <c r="C178" s="4">
        <v>45804</v>
      </c>
      <c r="D178" s="4">
        <v>45945</v>
      </c>
      <c r="E178" s="4">
        <v>45873</v>
      </c>
      <c r="F178" s="2">
        <f>IF(Table13[[#This Row],[Day Ann.]]="", "", Table13[[#This Row],[Initial Close Est.]]-Table13[[#This Row],[Day Ann.]])</f>
        <v>141</v>
      </c>
      <c r="G178" s="2">
        <f>IF(Table13[[#This Row],[Actual Close]]="", "",Table13[[#This Row],[Actual Close]]-Table13[[#This Row],[Day Ann.]])</f>
        <v>69</v>
      </c>
      <c r="H178" s="5">
        <f t="shared" si="15"/>
        <v>-72</v>
      </c>
      <c r="I178" s="5">
        <f t="shared" si="16"/>
        <v>72</v>
      </c>
      <c r="J178" t="str">
        <f t="shared" si="17"/>
        <v>ETWO Equity</v>
      </c>
      <c r="K178" t="str" cm="1">
        <f t="array" ref="K178">IFERROR(_xlfn.LET(_xlpm.t,TRIM(Table13[[#This Row],[TICKER]]),_xlpm.k,IF(ISNUMBER(SEARCH(" ",_xlpm.t)),_xlpm.t,_xlpm.t&amp;" US"),_xlfn.XLOOKUP(_xlpm.k,TRIM(Table1[Target Ticker]),Table1[Target Industry Sector])),"")</f>
        <v>Technology</v>
      </c>
      <c r="L178" t="str" cm="1">
        <f t="array" ref="L178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78" t="str">
        <f>_xll.BDP($J178, "LAST_PRICE")</f>
        <v>#N/A Real Time</v>
      </c>
      <c r="O178" t="str">
        <f>IF(Table13[[#This Row],[Cash/Tender/Stock/Mix]]= "Mix", "Stock", Table13[[#This Row],[Cash/Tender/Stock/Mix]])</f>
        <v>Cash</v>
      </c>
      <c r="P178" t="s">
        <v>23</v>
      </c>
    </row>
    <row r="179" spans="2:16" x14ac:dyDescent="0.25">
      <c r="B179" t="s">
        <v>1184</v>
      </c>
      <c r="C179" s="4">
        <v>45798</v>
      </c>
      <c r="D179" s="4">
        <v>45889</v>
      </c>
      <c r="E179" s="4">
        <v>45904</v>
      </c>
      <c r="F179" s="2">
        <f>IF(Table13[[#This Row],[Day Ann.]]="", "", Table13[[#This Row],[Initial Close Est.]]-Table13[[#This Row],[Day Ann.]])</f>
        <v>91</v>
      </c>
      <c r="G179" s="2">
        <f>IF(Table13[[#This Row],[Actual Close]]="", "",Table13[[#This Row],[Actual Close]]-Table13[[#This Row],[Day Ann.]])</f>
        <v>106</v>
      </c>
      <c r="H179" s="5">
        <f t="shared" si="15"/>
        <v>15</v>
      </c>
      <c r="I179" s="5">
        <f t="shared" si="16"/>
        <v>15</v>
      </c>
      <c r="J179" t="str">
        <f t="shared" si="17"/>
        <v>MAG Equity</v>
      </c>
      <c r="K179" t="str" cm="1">
        <f t="array" ref="K179">IFERROR(_xlfn.LET(_xlpm.t,TRIM(Table13[[#This Row],[TICKER]]),_xlpm.k,IF(ISNUMBER(SEARCH(" ",_xlpm.t)),_xlpm.t,_xlpm.t&amp;" US"),_xlfn.XLOOKUP(_xlpm.k,TRIM(Table1[Target Ticker]),Table1[Target Industry Sector])),"")</f>
        <v/>
      </c>
      <c r="L179" t="str" cm="1">
        <f t="array" ref="L179">IFERROR(_xlfn.LET(_xlpm.t,TRIM(Table13[[#This Row],[TICKER]]),_xlpm.k,IF(ISNUMBER(SEARCH(" ",_xlpm.t)),_xlpm.t,_xlpm.t&amp;" US"),_xlfn.XLOOKUP(_xlpm.k,TRIM(Table1[Target Ticker]),Table1[Target Industry Group])),"")</f>
        <v/>
      </c>
      <c r="M179" t="str">
        <f>_xll.BDP($J179, "LAST_PRICE")</f>
        <v>#N/A Real Time</v>
      </c>
      <c r="O179" t="str">
        <f>IF(Table13[[#This Row],[Cash/Tender/Stock/Mix]]= "Mix", "Stock", Table13[[#This Row],[Cash/Tender/Stock/Mix]])</f>
        <v>Stock</v>
      </c>
      <c r="P179" t="s">
        <v>1038</v>
      </c>
    </row>
    <row r="180" spans="2:16" x14ac:dyDescent="0.25">
      <c r="B180" t="s">
        <v>1185</v>
      </c>
      <c r="C180" s="4">
        <v>45798</v>
      </c>
      <c r="D180" s="4">
        <v>45889</v>
      </c>
      <c r="E180" s="4">
        <v>45875</v>
      </c>
      <c r="F180" s="2">
        <f>IF(Table13[[#This Row],[Day Ann.]]="", "", Table13[[#This Row],[Initial Close Est.]]-Table13[[#This Row],[Day Ann.]])</f>
        <v>91</v>
      </c>
      <c r="G180" s="2">
        <f>IF(Table13[[#This Row],[Actual Close]]="", "",Table13[[#This Row],[Actual Close]]-Table13[[#This Row],[Day Ann.]])</f>
        <v>77</v>
      </c>
      <c r="H180" s="5">
        <f t="shared" si="15"/>
        <v>-14</v>
      </c>
      <c r="I180" s="5">
        <f t="shared" si="16"/>
        <v>14</v>
      </c>
      <c r="J180" t="str">
        <f t="shared" si="17"/>
        <v>VIGL Equity</v>
      </c>
      <c r="K180" t="str" cm="1">
        <f t="array" ref="K180">IFERROR(_xlfn.LET(_xlpm.t,TRIM(Table13[[#This Row],[TICKER]]),_xlpm.k,IF(ISNUMBER(SEARCH(" ",_xlpm.t)),_xlpm.t,_xlpm.t&amp;" US"),_xlfn.XLOOKUP(_xlpm.k,TRIM(Table1[Target Ticker]),Table1[Target Industry Sector])),"")</f>
        <v/>
      </c>
      <c r="L180" t="str" cm="1">
        <f t="array" ref="L180">IFERROR(_xlfn.LET(_xlpm.t,TRIM(Table13[[#This Row],[TICKER]]),_xlpm.k,IF(ISNUMBER(SEARCH(" ",_xlpm.t)),_xlpm.t,_xlpm.t&amp;" US"),_xlfn.XLOOKUP(_xlpm.k,TRIM(Table1[Target Ticker]),Table1[Target Industry Group])),"")</f>
        <v/>
      </c>
      <c r="M180" t="str">
        <f>_xll.BDP($J180, "LAST_PRICE")</f>
        <v>#N/A Real Time</v>
      </c>
      <c r="O180" t="str">
        <f>IF(Table13[[#This Row],[Cash/Tender/Stock/Mix]]= "Mix", "Stock", Table13[[#This Row],[Cash/Tender/Stock/Mix]])</f>
        <v>Cash</v>
      </c>
      <c r="P180" t="s">
        <v>23</v>
      </c>
    </row>
    <row r="181" spans="2:16" x14ac:dyDescent="0.25">
      <c r="B181" t="s">
        <v>1186</v>
      </c>
      <c r="C181" s="4">
        <v>45796</v>
      </c>
      <c r="D181" s="4">
        <v>46268</v>
      </c>
      <c r="F181" s="2">
        <f>IF(Table13[[#This Row],[Day Ann.]]="", "", Table13[[#This Row],[Initial Close Est.]]-Table13[[#This Row],[Day Ann.]])</f>
        <v>472</v>
      </c>
      <c r="G181" s="2" t="str">
        <f>IF(Table13[[#This Row],[Actual Close]]="", "",Table13[[#This Row],[Actual Close]]-Table13[[#This Row],[Day Ann.]])</f>
        <v/>
      </c>
      <c r="H181" s="5" t="str">
        <f t="shared" si="15"/>
        <v/>
      </c>
      <c r="I181" s="5" t="str">
        <f t="shared" si="16"/>
        <v/>
      </c>
      <c r="J181" t="str">
        <f t="shared" si="17"/>
        <v>TXNM Equity</v>
      </c>
      <c r="K181" t="str" cm="1">
        <f t="array" ref="K181">IFERROR(_xlfn.LET(_xlpm.t,TRIM(Table13[[#This Row],[TICKER]]),_xlpm.k,IF(ISNUMBER(SEARCH(" ",_xlpm.t)),_xlpm.t,_xlpm.t&amp;" US"),_xlfn.XLOOKUP(_xlpm.k,TRIM(Table1[Target Ticker]),Table1[Target Industry Sector])),"")</f>
        <v>Utilities</v>
      </c>
      <c r="L181" t="str" cm="1">
        <f t="array" ref="L181">IFERROR(_xlfn.LET(_xlpm.t,TRIM(Table13[[#This Row],[TICKER]]),_xlpm.k,IF(ISNUMBER(SEARCH(" ",_xlpm.t)),_xlpm.t,_xlpm.t&amp;" US"),_xlfn.XLOOKUP(_xlpm.k,TRIM(Table1[Target Ticker]),Table1[Target Industry Group])),"")</f>
        <v>Utilities</v>
      </c>
      <c r="M181">
        <f>_xll.BDP($J181, "LAST_PRICE")</f>
        <v>57.585000000000001</v>
      </c>
      <c r="O181" t="str">
        <f>IF(Table13[[#This Row],[Cash/Tender/Stock/Mix]]= "Mix", "Stock", Table13[[#This Row],[Cash/Tender/Stock/Mix]])</f>
        <v>Cash</v>
      </c>
      <c r="P181" t="s">
        <v>23</v>
      </c>
    </row>
    <row r="182" spans="2:16" x14ac:dyDescent="0.25">
      <c r="B182" t="s">
        <v>1187</v>
      </c>
      <c r="C182" s="4">
        <v>45796</v>
      </c>
      <c r="D182" s="4">
        <v>45964</v>
      </c>
      <c r="E182" s="4">
        <v>45943</v>
      </c>
      <c r="F182" s="2">
        <f>IF(Table13[[#This Row],[Day Ann.]]="", "", Table13[[#This Row],[Initial Close Est.]]-Table13[[#This Row],[Day Ann.]])</f>
        <v>168</v>
      </c>
      <c r="G182" s="2">
        <f>IF(Table13[[#This Row],[Actual Close]]="", "",Table13[[#This Row],[Actual Close]]-Table13[[#This Row],[Day Ann.]])</f>
        <v>147</v>
      </c>
      <c r="H182" s="5">
        <f t="shared" si="15"/>
        <v>-21</v>
      </c>
      <c r="I182" s="5">
        <f t="shared" si="16"/>
        <v>21</v>
      </c>
      <c r="J182" t="str">
        <f t="shared" si="17"/>
        <v>2649387D US Equity</v>
      </c>
      <c r="K182" t="str" cm="1">
        <f t="array" ref="K182">IFERROR(_xlfn.LET(_xlpm.t,TRIM(Table13[[#This Row],[TICKER]]),_xlpm.k,IF(ISNUMBER(SEARCH(" ",_xlpm.t)),_xlpm.t,_xlpm.t&amp;" US"),_xlfn.XLOOKUP(_xlpm.k,TRIM(Table1[Target Ticker]),Table1[Target Industry Sector])),"")</f>
        <v/>
      </c>
      <c r="L182" t="str" cm="1">
        <f t="array" ref="L182">IFERROR(_xlfn.LET(_xlpm.t,TRIM(Table13[[#This Row],[TICKER]]),_xlpm.k,IF(ISNUMBER(SEARCH(" ",_xlpm.t)),_xlpm.t,_xlpm.t&amp;" US"),_xlfn.XLOOKUP(_xlpm.k,TRIM(Table1[Target Ticker]),Table1[Target Industry Group])),"")</f>
        <v/>
      </c>
      <c r="M182" t="str">
        <f>_xll.BDP($J182, "LAST_PRICE")</f>
        <v>#N/A Real Time</v>
      </c>
      <c r="O182" t="str">
        <f>IF(Table13[[#This Row],[Cash/Tender/Stock/Mix]]= "Mix", "Stock", Table13[[#This Row],[Cash/Tender/Stock/Mix]])</f>
        <v>Cash</v>
      </c>
      <c r="P182" t="s">
        <v>23</v>
      </c>
    </row>
    <row r="183" spans="2:16" x14ac:dyDescent="0.25">
      <c r="B183" t="s">
        <v>1188</v>
      </c>
      <c r="C183" s="4">
        <v>45793</v>
      </c>
      <c r="D183" s="4">
        <v>45840</v>
      </c>
      <c r="E183" s="4">
        <v>45840</v>
      </c>
      <c r="F183" s="2">
        <f>IF(Table13[[#This Row],[Day Ann.]]="", "", Table13[[#This Row],[Initial Close Est.]]-Table13[[#This Row],[Day Ann.]])</f>
        <v>47</v>
      </c>
      <c r="G183" s="2">
        <f>IF(Table13[[#This Row],[Actual Close]]="", "",Table13[[#This Row],[Actual Close]]-Table13[[#This Row],[Day Ann.]])</f>
        <v>47</v>
      </c>
      <c r="H183" s="5">
        <f t="shared" si="15"/>
        <v>0</v>
      </c>
      <c r="I183" s="5">
        <f t="shared" si="16"/>
        <v>0</v>
      </c>
      <c r="J183" t="str">
        <f t="shared" si="17"/>
        <v>INZY Equity</v>
      </c>
      <c r="K183" t="str" cm="1">
        <f t="array" ref="K183">IFERROR(_xlfn.LET(_xlpm.t,TRIM(Table13[[#This Row],[TICKER]]),_xlpm.k,IF(ISNUMBER(SEARCH(" ",_xlpm.t)),_xlpm.t,_xlpm.t&amp;" US"),_xlfn.XLOOKUP(_xlpm.k,TRIM(Table1[Target Ticker]),Table1[Target Industry Sector])),"")</f>
        <v/>
      </c>
      <c r="L183" t="str" cm="1">
        <f t="array" ref="L183">IFERROR(_xlfn.LET(_xlpm.t,TRIM(Table13[[#This Row],[TICKER]]),_xlpm.k,IF(ISNUMBER(SEARCH(" ",_xlpm.t)),_xlpm.t,_xlpm.t&amp;" US"),_xlfn.XLOOKUP(_xlpm.k,TRIM(Table1[Target Ticker]),Table1[Target Industry Group])),"")</f>
        <v/>
      </c>
      <c r="M183" t="str">
        <f>_xll.BDP($J183, "LAST_PRICE")</f>
        <v>#N/A Real Time</v>
      </c>
      <c r="O183" t="str">
        <f>IF(Table13[[#This Row],[Cash/Tender/Stock/Mix]]= "Mix", "Stock", Table13[[#This Row],[Cash/Tender/Stock/Mix]])</f>
        <v>Tender</v>
      </c>
      <c r="P183" t="s">
        <v>1029</v>
      </c>
    </row>
    <row r="184" spans="2:16" x14ac:dyDescent="0.25">
      <c r="B184" t="s">
        <v>1189</v>
      </c>
      <c r="C184" s="4">
        <v>45792</v>
      </c>
      <c r="D184" s="4">
        <v>45915</v>
      </c>
      <c r="E184" s="4">
        <v>45908</v>
      </c>
      <c r="F184" s="2">
        <f>IF(Table13[[#This Row],[Day Ann.]]="", "", Table13[[#This Row],[Initial Close Est.]]-Table13[[#This Row],[Day Ann.]])</f>
        <v>123</v>
      </c>
      <c r="G184" s="2">
        <f>IF(Table13[[#This Row],[Actual Close]]="", "",Table13[[#This Row],[Actual Close]]-Table13[[#This Row],[Day Ann.]])</f>
        <v>116</v>
      </c>
      <c r="H184" s="5">
        <f t="shared" si="15"/>
        <v>-7</v>
      </c>
      <c r="I184" s="5">
        <f t="shared" si="16"/>
        <v>7</v>
      </c>
      <c r="J184" t="str">
        <f t="shared" si="17"/>
        <v>FL Equity</v>
      </c>
      <c r="K184" t="str" cm="1">
        <f t="array" ref="K184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84" t="str" cm="1">
        <f t="array" ref="L184">IFERROR(_xlfn.LET(_xlpm.t,TRIM(Table13[[#This Row],[TICKER]]),_xlpm.k,IF(ISNUMBER(SEARCH(" ",_xlpm.t)),_xlpm.t,_xlpm.t&amp;" US"),_xlfn.XLOOKUP(_xlpm.k,TRIM(Table1[Target Ticker]),Table1[Target Industry Group])),"")</f>
        <v>Retail &amp; Whsle - Discretionary</v>
      </c>
      <c r="M184" t="str">
        <f>_xll.BDP($J184, "LAST_PRICE")</f>
        <v>#N/A Real Time</v>
      </c>
      <c r="O184" t="str">
        <f>IF(Table13[[#This Row],[Cash/Tender/Stock/Mix]]= "Mix", "Stock", Table13[[#This Row],[Cash/Tender/Stock/Mix]])</f>
        <v>Stock</v>
      </c>
      <c r="P184" t="s">
        <v>1038</v>
      </c>
    </row>
    <row r="185" spans="2:16" x14ac:dyDescent="0.25">
      <c r="B185" t="s">
        <v>1190</v>
      </c>
      <c r="C185" s="4">
        <v>45792</v>
      </c>
      <c r="D185" s="4">
        <v>45945</v>
      </c>
      <c r="E185" s="4">
        <v>45874</v>
      </c>
      <c r="F185" s="2">
        <f>IF(Table13[[#This Row],[Day Ann.]]="", "", Table13[[#This Row],[Initial Close Est.]]-Table13[[#This Row],[Day Ann.]])</f>
        <v>153</v>
      </c>
      <c r="G185" s="2">
        <f>IF(Table13[[#This Row],[Actual Close]]="", "",Table13[[#This Row],[Actual Close]]-Table13[[#This Row],[Day Ann.]])</f>
        <v>82</v>
      </c>
      <c r="H185" s="5">
        <f t="shared" si="15"/>
        <v>-71</v>
      </c>
      <c r="I185" s="5">
        <f t="shared" si="16"/>
        <v>71</v>
      </c>
      <c r="J185" t="str">
        <f t="shared" si="17"/>
        <v>NVEE Equity</v>
      </c>
      <c r="K185" t="str" cm="1">
        <f t="array" ref="K185">IFERROR(_xlfn.LET(_xlpm.t,TRIM(Table13[[#This Row],[TICKER]]),_xlpm.k,IF(ISNUMBER(SEARCH(" ",_xlpm.t)),_xlpm.t,_xlpm.t&amp;" US"),_xlfn.XLOOKUP(_xlpm.k,TRIM(Table1[Target Ticker]),Table1[Target Industry Sector])),"")</f>
        <v>Industrials</v>
      </c>
      <c r="L185" t="str" cm="1">
        <f t="array" ref="L185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85" t="str">
        <f>_xll.BDP($J185, "LAST_PRICE")</f>
        <v>#N/A Real Time</v>
      </c>
      <c r="O185" t="str">
        <f>IF(Table13[[#This Row],[Cash/Tender/Stock/Mix]]= "Mix", "Stock", Table13[[#This Row],[Cash/Tender/Stock/Mix]])</f>
        <v>Stock</v>
      </c>
      <c r="P185" t="s">
        <v>1038</v>
      </c>
    </row>
    <row r="186" spans="2:16" x14ac:dyDescent="0.25">
      <c r="B186" t="s">
        <v>1191</v>
      </c>
      <c r="C186" s="4">
        <v>45789</v>
      </c>
      <c r="D186" s="4">
        <v>45847</v>
      </c>
      <c r="E186" s="4">
        <v>45834</v>
      </c>
      <c r="F186" s="2">
        <f>IF(Table13[[#This Row],[Day Ann.]]="", "", Table13[[#This Row],[Initial Close Est.]]-Table13[[#This Row],[Day Ann.]])</f>
        <v>58</v>
      </c>
      <c r="G186" s="2">
        <f>IF(Table13[[#This Row],[Actual Close]]="", "",Table13[[#This Row],[Actual Close]]-Table13[[#This Row],[Day Ann.]])</f>
        <v>45</v>
      </c>
      <c r="H186" s="5">
        <f t="shared" si="15"/>
        <v>-13</v>
      </c>
      <c r="I186" s="5">
        <f t="shared" si="16"/>
        <v>13</v>
      </c>
      <c r="J186" t="str">
        <f t="shared" si="17"/>
        <v>LSEA Equity</v>
      </c>
      <c r="K186" t="str" cm="1">
        <f t="array" ref="K186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86" t="str" cm="1">
        <f t="array" ref="L186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186" t="str">
        <f>_xll.BDP($J186, "LAST_PRICE")</f>
        <v>#N/A Real Time</v>
      </c>
      <c r="O186" t="str">
        <f>IF(Table13[[#This Row],[Cash/Tender/Stock/Mix]]= "Mix", "Stock", Table13[[#This Row],[Cash/Tender/Stock/Mix]])</f>
        <v>Tender</v>
      </c>
      <c r="P186" t="s">
        <v>1029</v>
      </c>
    </row>
    <row r="187" spans="2:16" x14ac:dyDescent="0.25">
      <c r="B187" t="s">
        <v>1192</v>
      </c>
      <c r="C187" s="4">
        <v>45783</v>
      </c>
      <c r="D187" s="4">
        <v>46006</v>
      </c>
      <c r="E187" s="4">
        <v>45860</v>
      </c>
      <c r="F187" s="2">
        <f>IF(Table13[[#This Row],[Day Ann.]]="", "", Table13[[#This Row],[Initial Close Est.]]-Table13[[#This Row],[Day Ann.]])</f>
        <v>223</v>
      </c>
      <c r="G187" s="2">
        <f>IF(Table13[[#This Row],[Actual Close]]="", "",Table13[[#This Row],[Actual Close]]-Table13[[#This Row],[Day Ann.]])</f>
        <v>77</v>
      </c>
      <c r="H187" s="5">
        <f t="shared" si="15"/>
        <v>-146</v>
      </c>
      <c r="I187" s="5">
        <f t="shared" si="16"/>
        <v>146</v>
      </c>
      <c r="J187" t="str">
        <f t="shared" si="17"/>
        <v>FARO Equity</v>
      </c>
      <c r="K187" t="str" cm="1">
        <f t="array" ref="K187">IFERROR(_xlfn.LET(_xlpm.t,TRIM(Table13[[#This Row],[TICKER]]),_xlpm.k,IF(ISNUMBER(SEARCH(" ",_xlpm.t)),_xlpm.t,_xlpm.t&amp;" US"),_xlfn.XLOOKUP(_xlpm.k,TRIM(Table1[Target Ticker]),Table1[Target Industry Sector])),"")</f>
        <v>Industrials</v>
      </c>
      <c r="L187" t="str" cm="1">
        <f t="array" ref="L187">IFERROR(_xlfn.LET(_xlpm.t,TRIM(Table13[[#This Row],[TICKER]]),_xlpm.k,IF(ISNUMBER(SEARCH(" ",_xlpm.t)),_xlpm.t,_xlpm.t&amp;" US"),_xlfn.XLOOKUP(_xlpm.k,TRIM(Table1[Target Ticker]),Table1[Target Industry Group])),"")</f>
        <v>Industrial Products</v>
      </c>
      <c r="M187" t="str">
        <f>_xll.BDP($J187, "LAST_PRICE")</f>
        <v>#N/A Real Time</v>
      </c>
      <c r="O187" t="str">
        <f>IF(Table13[[#This Row],[Cash/Tender/Stock/Mix]]= "Mix", "Stock", Table13[[#This Row],[Cash/Tender/Stock/Mix]])</f>
        <v>Cash</v>
      </c>
      <c r="P187" t="s">
        <v>23</v>
      </c>
    </row>
    <row r="188" spans="2:16" x14ac:dyDescent="0.25">
      <c r="B188" t="s">
        <v>1193</v>
      </c>
      <c r="C188" s="4">
        <v>45782</v>
      </c>
      <c r="D188" s="4">
        <v>45992</v>
      </c>
      <c r="E188" s="4">
        <v>45966</v>
      </c>
      <c r="F188" s="2">
        <f>IF(Table13[[#This Row],[Day Ann.]]="", "", Table13[[#This Row],[Initial Close Est.]]-Table13[[#This Row],[Day Ann.]])</f>
        <v>210</v>
      </c>
      <c r="G188" s="2">
        <f>IF(Table13[[#This Row],[Actual Close]]="", "",Table13[[#This Row],[Actual Close]]-Table13[[#This Row],[Day Ann.]])</f>
        <v>184</v>
      </c>
      <c r="H188" s="5">
        <f t="shared" si="15"/>
        <v>-26</v>
      </c>
      <c r="I188" s="5">
        <f t="shared" si="16"/>
        <v>26</v>
      </c>
      <c r="J188" t="str">
        <f t="shared" si="17"/>
        <v>PKI CN Equity</v>
      </c>
      <c r="K188" t="str" cm="1">
        <f t="array" ref="K188">IFERROR(_xlfn.LET(_xlpm.t,TRIM(Table13[[#This Row],[TICKER]]),_xlpm.k,IF(ISNUMBER(SEARCH(" ",_xlpm.t)),_xlpm.t,_xlpm.t&amp;" US"),_xlfn.XLOOKUP(_xlpm.k,TRIM(Table1[Target Ticker]),Table1[Target Industry Sector])),"")</f>
        <v/>
      </c>
      <c r="L188" t="str" cm="1">
        <f t="array" ref="L188">IFERROR(_xlfn.LET(_xlpm.t,TRIM(Table13[[#This Row],[TICKER]]),_xlpm.k,IF(ISNUMBER(SEARCH(" ",_xlpm.t)),_xlpm.t,_xlpm.t&amp;" US"),_xlfn.XLOOKUP(_xlpm.k,TRIM(Table1[Target Ticker]),Table1[Target Industry Group])),"")</f>
        <v/>
      </c>
      <c r="M188" t="str">
        <f>_xll.BDP($J188, "LAST_PRICE")</f>
        <v>#N/A Real Time</v>
      </c>
      <c r="O188" t="str">
        <f>IF(Table13[[#This Row],[Cash/Tender/Stock/Mix]]= "Mix", "Stock", Table13[[#This Row],[Cash/Tender/Stock/Mix]])</f>
        <v>Stock</v>
      </c>
      <c r="P188" t="s">
        <v>1038</v>
      </c>
    </row>
    <row r="189" spans="2:16" x14ac:dyDescent="0.25">
      <c r="B189" t="s">
        <v>1194</v>
      </c>
      <c r="C189" s="4">
        <v>45782</v>
      </c>
      <c r="D189" s="4">
        <v>45915</v>
      </c>
      <c r="E189" s="4">
        <v>45912</v>
      </c>
      <c r="F189" s="2">
        <f>IF(Table13[[#This Row],[Day Ann.]]="", "", Table13[[#This Row],[Initial Close Est.]]-Table13[[#This Row],[Day Ann.]])</f>
        <v>133</v>
      </c>
      <c r="G189" s="2">
        <f>IF(Table13[[#This Row],[Actual Close]]="", "",Table13[[#This Row],[Actual Close]]-Table13[[#This Row],[Day Ann.]])</f>
        <v>130</v>
      </c>
      <c r="H189" s="5">
        <f t="shared" si="15"/>
        <v>-3</v>
      </c>
      <c r="I189" s="5">
        <f t="shared" si="16"/>
        <v>3</v>
      </c>
      <c r="J189" t="str">
        <f t="shared" si="17"/>
        <v>SKX Equity</v>
      </c>
      <c r="K189" t="str" cm="1">
        <f t="array" ref="K189">IFERROR(_xlfn.LET(_xlpm.t,TRIM(Table13[[#This Row],[TICKER]]),_xlpm.k,IF(ISNUMBER(SEARCH(" ",_xlpm.t)),_xlpm.t,_xlpm.t&amp;" US"),_xlfn.XLOOKUP(_xlpm.k,TRIM(Table1[Target Ticker]),Table1[Target Industry Sector])),"")</f>
        <v>Consumer Discretionary</v>
      </c>
      <c r="L189" t="str" cm="1">
        <f t="array" ref="L189">IFERROR(_xlfn.LET(_xlpm.t,TRIM(Table13[[#This Row],[TICKER]]),_xlpm.k,IF(ISNUMBER(SEARCH(" ",_xlpm.t)),_xlpm.t,_xlpm.t&amp;" US"),_xlfn.XLOOKUP(_xlpm.k,TRIM(Table1[Target Ticker]),Table1[Target Industry Group])),"")</f>
        <v>Consumer Discretionary Products</v>
      </c>
      <c r="M189" t="str">
        <f>_xll.BDP($J189, "LAST_PRICE")</f>
        <v>#N/A Real Time</v>
      </c>
      <c r="O189" t="str">
        <f>IF(Table13[[#This Row],[Cash/Tender/Stock/Mix]]= "Mix", "Stock", Table13[[#This Row],[Cash/Tender/Stock/Mix]])</f>
        <v>Stock</v>
      </c>
      <c r="P189" t="s">
        <v>1038</v>
      </c>
    </row>
    <row r="190" spans="2:16" x14ac:dyDescent="0.25">
      <c r="B190" t="s">
        <v>1195</v>
      </c>
      <c r="C190" s="4">
        <v>45777</v>
      </c>
      <c r="D190" s="4">
        <v>45853</v>
      </c>
      <c r="E190" s="4">
        <v>45834</v>
      </c>
      <c r="F190" s="2">
        <f>IF(Table13[[#This Row],[Day Ann.]]="", "", Table13[[#This Row],[Initial Close Est.]]-Table13[[#This Row],[Day Ann.]])</f>
        <v>76</v>
      </c>
      <c r="G190" s="2">
        <f>IF(Table13[[#This Row],[Actual Close]]="", "",Table13[[#This Row],[Actual Close]]-Table13[[#This Row],[Day Ann.]])</f>
        <v>57</v>
      </c>
      <c r="H190" s="5">
        <f t="shared" si="15"/>
        <v>-19</v>
      </c>
      <c r="I190" s="5">
        <f t="shared" si="16"/>
        <v>19</v>
      </c>
      <c r="J190" t="str">
        <f t="shared" si="17"/>
        <v>RGLS Equity</v>
      </c>
      <c r="K190" t="str" cm="1">
        <f t="array" ref="K190">IFERROR(_xlfn.LET(_xlpm.t,TRIM(Table13[[#This Row],[TICKER]]),_xlpm.k,IF(ISNUMBER(SEARCH(" ",_xlpm.t)),_xlpm.t,_xlpm.t&amp;" US"),_xlfn.XLOOKUP(_xlpm.k,TRIM(Table1[Target Ticker]),Table1[Target Industry Sector])),"")</f>
        <v>Health Care</v>
      </c>
      <c r="L190" t="str" cm="1">
        <f t="array" ref="L190">IFERROR(_xlfn.LET(_xlpm.t,TRIM(Table13[[#This Row],[TICKER]]),_xlpm.k,IF(ISNUMBER(SEARCH(" ",_xlpm.t)),_xlpm.t,_xlpm.t&amp;" US"),_xlfn.XLOOKUP(_xlpm.k,TRIM(Table1[Target Ticker]),Table1[Target Industry Group])),"")</f>
        <v>Health Care</v>
      </c>
      <c r="M190" t="str">
        <f>_xll.BDP($J190, "LAST_PRICE")</f>
        <v>#N/A Real Time</v>
      </c>
      <c r="O190" t="str">
        <f>IF(Table13[[#This Row],[Cash/Tender/Stock/Mix]]= "Mix", "Stock", Table13[[#This Row],[Cash/Tender/Stock/Mix]])</f>
        <v>Tender</v>
      </c>
      <c r="P190" t="s">
        <v>1029</v>
      </c>
    </row>
    <row r="191" spans="2:16" x14ac:dyDescent="0.25">
      <c r="B191" t="s">
        <v>1196</v>
      </c>
      <c r="C191" s="4">
        <v>45775</v>
      </c>
      <c r="D191" s="4">
        <v>45931</v>
      </c>
      <c r="E191" s="4">
        <v>45946</v>
      </c>
      <c r="F191" s="2">
        <f>IF(Table13[[#This Row],[Day Ann.]]="", "", Table13[[#This Row],[Initial Close Est.]]-Table13[[#This Row],[Day Ann.]])</f>
        <v>156</v>
      </c>
      <c r="G191" s="2">
        <f>IF(Table13[[#This Row],[Actual Close]]="", "",Table13[[#This Row],[Actual Close]]-Table13[[#This Row],[Day Ann.]])</f>
        <v>171</v>
      </c>
      <c r="H191" s="5">
        <f t="shared" si="15"/>
        <v>15</v>
      </c>
      <c r="I191" s="5">
        <f t="shared" si="16"/>
        <v>15</v>
      </c>
      <c r="J191" t="str">
        <f t="shared" si="17"/>
        <v>AVDX Equity</v>
      </c>
      <c r="K191" t="str" cm="1">
        <f t="array" ref="K191">IFERROR(_xlfn.LET(_xlpm.t,TRIM(Table13[[#This Row],[TICKER]]),_xlpm.k,IF(ISNUMBER(SEARCH(" ",_xlpm.t)),_xlpm.t,_xlpm.t&amp;" US"),_xlfn.XLOOKUP(_xlpm.k,TRIM(Table1[Target Ticker]),Table1[Target Industry Sector])),"")</f>
        <v>Technology</v>
      </c>
      <c r="L191" t="str" cm="1">
        <f t="array" ref="L191">IFERROR(_xlfn.LET(_xlpm.t,TRIM(Table13[[#This Row],[TICKER]]),_xlpm.k,IF(ISNUMBER(SEARCH(" ",_xlpm.t)),_xlpm.t,_xlpm.t&amp;" US"),_xlfn.XLOOKUP(_xlpm.k,TRIM(Table1[Target Ticker]),Table1[Target Industry Group])),"")</f>
        <v>Software &amp; Tech Services</v>
      </c>
      <c r="M191" t="str">
        <f>_xll.BDP($J191, "LAST_PRICE")</f>
        <v>#N/A Real Time</v>
      </c>
      <c r="O191" t="str">
        <f>IF(Table13[[#This Row],[Cash/Tender/Stock/Mix]]= "Mix", "Stock", Table13[[#This Row],[Cash/Tender/Stock/Mix]])</f>
        <v>Cash</v>
      </c>
      <c r="P191" t="s">
        <v>23</v>
      </c>
    </row>
    <row r="192" spans="2:16" x14ac:dyDescent="0.25">
      <c r="B192" t="s">
        <v>1197</v>
      </c>
      <c r="C192" s="4">
        <v>45775</v>
      </c>
      <c r="D192" s="4">
        <v>45901</v>
      </c>
      <c r="E192" s="4">
        <v>45890</v>
      </c>
      <c r="F192" s="2">
        <f>IF(Table13[[#This Row],[Day Ann.]]="", "", Table13[[#This Row],[Initial Close Est.]]-Table13[[#This Row],[Day Ann.]])</f>
        <v>126</v>
      </c>
      <c r="G192" s="2">
        <f>IF(Table13[[#This Row],[Actual Close]]="", "",Table13[[#This Row],[Actual Close]]-Table13[[#This Row],[Day Ann.]])</f>
        <v>115</v>
      </c>
      <c r="H192" s="5">
        <f t="shared" si="15"/>
        <v>-11</v>
      </c>
      <c r="I192" s="5">
        <f t="shared" si="16"/>
        <v>11</v>
      </c>
      <c r="J192" t="str">
        <f t="shared" si="17"/>
        <v>GOGL Equity</v>
      </c>
      <c r="K192" t="str" cm="1">
        <f t="array" ref="K192">IFERROR(_xlfn.LET(_xlpm.t,TRIM(Table13[[#This Row],[TICKER]]),_xlpm.k,IF(ISNUMBER(SEARCH(" ",_xlpm.t)),_xlpm.t,_xlpm.t&amp;" US"),_xlfn.XLOOKUP(_xlpm.k,TRIM(Table1[Target Ticker]),Table1[Target Industry Sector])),"")</f>
        <v/>
      </c>
      <c r="L192" t="str" cm="1">
        <f t="array" ref="L192">IFERROR(_xlfn.LET(_xlpm.t,TRIM(Table13[[#This Row],[TICKER]]),_xlpm.k,IF(ISNUMBER(SEARCH(" ",_xlpm.t)),_xlpm.t,_xlpm.t&amp;" US"),_xlfn.XLOOKUP(_xlpm.k,TRIM(Table1[Target Ticker]),Table1[Target Industry Group])),"")</f>
        <v/>
      </c>
      <c r="M192" t="str">
        <f>_xll.BDP($J192, "LAST_PRICE")</f>
        <v>#N/A N/A</v>
      </c>
      <c r="O192" t="str">
        <f>IF(Table13[[#This Row],[Cash/Tender/Stock/Mix]]= "Mix", "Stock", Table13[[#This Row],[Cash/Tender/Stock/Mix]])</f>
        <v>Stock</v>
      </c>
      <c r="P192" t="s">
        <v>38</v>
      </c>
    </row>
    <row r="193" spans="2:16" x14ac:dyDescent="0.25">
      <c r="B193" t="s">
        <v>1198</v>
      </c>
      <c r="C193" s="4">
        <v>45775</v>
      </c>
      <c r="D193" s="4">
        <v>45870</v>
      </c>
      <c r="E193" s="4">
        <v>45840</v>
      </c>
      <c r="F193" s="2">
        <f>IF(Table13[[#This Row],[Day Ann.]]="", "", Table13[[#This Row],[Initial Close Est.]]-Table13[[#This Row],[Day Ann.]])</f>
        <v>95</v>
      </c>
      <c r="G193" s="2">
        <f>IF(Table13[[#This Row],[Actual Close]]="", "",Table13[[#This Row],[Actual Close]]-Table13[[#This Row],[Day Ann.]])</f>
        <v>65</v>
      </c>
      <c r="H193" s="5">
        <f t="shared" si="15"/>
        <v>-30</v>
      </c>
      <c r="I193" s="5">
        <f t="shared" si="16"/>
        <v>30</v>
      </c>
      <c r="J193" t="str">
        <f t="shared" si="17"/>
        <v>SWTX Equity</v>
      </c>
      <c r="K193" t="str" cm="1">
        <f t="array" ref="K193">IFERROR(_xlfn.LET(_xlpm.t,TRIM(Table13[[#This Row],[TICKER]]),_xlpm.k,IF(ISNUMBER(SEARCH(" ",_xlpm.t)),_xlpm.t,_xlpm.t&amp;" US"),_xlfn.XLOOKUP(_xlpm.k,TRIM(Table1[Target Ticker]),Table1[Target Industry Sector])),"")</f>
        <v>Health Care</v>
      </c>
      <c r="L193" t="str" cm="1">
        <f t="array" ref="L193">IFERROR(_xlfn.LET(_xlpm.t,TRIM(Table13[[#This Row],[TICKER]]),_xlpm.k,IF(ISNUMBER(SEARCH(" ",_xlpm.t)),_xlpm.t,_xlpm.t&amp;" US"),_xlfn.XLOOKUP(_xlpm.k,TRIM(Table1[Target Ticker]),Table1[Target Industry Group])),"")</f>
        <v>Health Care</v>
      </c>
      <c r="M193" t="str">
        <f>_xll.BDP($J193, "LAST_PRICE")</f>
        <v>#N/A Real Time</v>
      </c>
      <c r="O193" t="str">
        <f>IF(Table13[[#This Row],[Cash/Tender/Stock/Mix]]= "Mix", "Stock", Table13[[#This Row],[Cash/Tender/Stock/Mix]])</f>
        <v>Cash</v>
      </c>
      <c r="P193" t="s">
        <v>23</v>
      </c>
    </row>
    <row r="194" spans="2:16" x14ac:dyDescent="0.25">
      <c r="B194" t="s">
        <v>585</v>
      </c>
      <c r="C194" s="4">
        <v>45771</v>
      </c>
      <c r="D194" s="4">
        <v>45894</v>
      </c>
      <c r="E194" s="4">
        <v>45966</v>
      </c>
      <c r="F194" s="2">
        <f>IF(Table13[[#This Row],[Day Ann.]]="", "", Table13[[#This Row],[Initial Close Est.]]-Table13[[#This Row],[Day Ann.]])</f>
        <v>123</v>
      </c>
      <c r="G194" s="2">
        <f>IF(Table13[[#This Row],[Actual Close]]="", "",Table13[[#This Row],[Actual Close]]-Table13[[#This Row],[Day Ann.]])</f>
        <v>195</v>
      </c>
      <c r="H194" s="5">
        <f t="shared" si="15"/>
        <v>72</v>
      </c>
      <c r="I194" s="5">
        <f t="shared" si="16"/>
        <v>72</v>
      </c>
      <c r="J194" t="str">
        <f t="shared" si="17"/>
        <v>AND CN Equity</v>
      </c>
      <c r="K194" t="str" cm="1">
        <f t="array" ref="K194">IFERROR(_xlfn.LET(_xlpm.t,TRIM(Table13[[#This Row],[TICKER]]),_xlpm.k,IF(ISNUMBER(SEARCH(" ",_xlpm.t)),_xlpm.t,_xlpm.t&amp;" US"),_xlfn.XLOOKUP(_xlpm.k,TRIM(Table1[Target Ticker]),Table1[Target Industry Sector])),"")</f>
        <v>Industrials</v>
      </c>
      <c r="L194" t="str" cm="1">
        <f t="array" ref="L194">IFERROR(_xlfn.LET(_xlpm.t,TRIM(Table13[[#This Row],[TICKER]]),_xlpm.k,IF(ISNUMBER(SEARCH(" ",_xlpm.t)),_xlpm.t,_xlpm.t&amp;" US"),_xlfn.XLOOKUP(_xlpm.k,TRIM(Table1[Target Ticker]),Table1[Target Industry Group])),"")</f>
        <v>Industrial Services</v>
      </c>
      <c r="M194" t="str">
        <f>_xll.BDP($J194, "LAST_PRICE")</f>
        <v>#N/A Real Time</v>
      </c>
      <c r="O194" t="str">
        <f>IF(Table13[[#This Row],[Cash/Tender/Stock/Mix]]= "Mix", "Stock", Table13[[#This Row],[Cash/Tender/Stock/Mix]])</f>
        <v>Cash</v>
      </c>
      <c r="P194" t="s">
        <v>23</v>
      </c>
    </row>
    <row r="195" spans="2:16" x14ac:dyDescent="0.25">
      <c r="B195" t="s">
        <v>1199</v>
      </c>
      <c r="C195" s="4">
        <v>45771</v>
      </c>
      <c r="D195" s="4">
        <v>45962</v>
      </c>
      <c r="E195" s="4">
        <v>45964</v>
      </c>
      <c r="F195" s="2">
        <f>IF(Table13[[#This Row],[Day Ann.]]="", "", Table13[[#This Row],[Initial Close Est.]]-Table13[[#This Row],[Day Ann.]])</f>
        <v>191</v>
      </c>
      <c r="G195" s="2">
        <f>IF(Table13[[#This Row],[Actual Close]]="", "",Table13[[#This Row],[Actual Close]]-Table13[[#This Row],[Day Ann.]])</f>
        <v>193</v>
      </c>
      <c r="H195" s="5">
        <f t="shared" si="15"/>
        <v>2</v>
      </c>
      <c r="I195" s="5">
        <f t="shared" ref="I195:I198" si="18">IF(H195="", "",ABS(H195))</f>
        <v>2</v>
      </c>
      <c r="J195" t="str">
        <f t="shared" si="17"/>
        <v>HONE Equity</v>
      </c>
      <c r="K195" t="str" cm="1">
        <f t="array" ref="K195">IFERROR(_xlfn.LET(_xlpm.t,TRIM(Table13[[#This Row],[TICKER]]),_xlpm.k,IF(ISNUMBER(SEARCH(" ",_xlpm.t)),_xlpm.t,_xlpm.t&amp;" US"),_xlfn.XLOOKUP(_xlpm.k,TRIM(Table1[Target Ticker]),Table1[Target Industry Sector])),"")</f>
        <v>Financials</v>
      </c>
      <c r="L195" t="str" cm="1">
        <f t="array" ref="L195">IFERROR(_xlfn.LET(_xlpm.t,TRIM(Table13[[#This Row],[TICKER]]),_xlpm.k,IF(ISNUMBER(SEARCH(" ",_xlpm.t)),_xlpm.t,_xlpm.t&amp;" US"),_xlfn.XLOOKUP(_xlpm.k,TRIM(Table1[Target Ticker]),Table1[Target Industry Group])),"")</f>
        <v>Banking</v>
      </c>
      <c r="M195" t="str">
        <f>_xll.BDP($J195, "LAST_PRICE")</f>
        <v>#N/A Real Time</v>
      </c>
      <c r="O195" t="str">
        <f>IF(Table13[[#This Row],[Cash/Tender/Stock/Mix]]= "Mix", "Stock", Table13[[#This Row],[Cash/Tender/Stock/Mix]])</f>
        <v>Stock</v>
      </c>
      <c r="P195" t="s">
        <v>1038</v>
      </c>
    </row>
    <row r="196" spans="2:16" x14ac:dyDescent="0.25">
      <c r="B196" t="s">
        <v>1200</v>
      </c>
      <c r="C196" s="4">
        <v>45770</v>
      </c>
      <c r="D196" s="4">
        <v>45962</v>
      </c>
      <c r="E196" s="4">
        <v>45903</v>
      </c>
      <c r="F196" s="2">
        <f>IF(Table13[[#This Row],[Day Ann.]]="", "", Table13[[#This Row],[Initial Close Est.]]-Table13[[#This Row],[Day Ann.]])</f>
        <v>192</v>
      </c>
      <c r="G196" s="2">
        <f>IF(Table13[[#This Row],[Actual Close]]="", "",Table13[[#This Row],[Actual Close]]-Table13[[#This Row],[Day Ann.]])</f>
        <v>133</v>
      </c>
      <c r="H196" s="5">
        <f t="shared" si="15"/>
        <v>-59</v>
      </c>
      <c r="I196" s="5">
        <f t="shared" si="18"/>
        <v>59</v>
      </c>
      <c r="J196" t="str">
        <f t="shared" si="17"/>
        <v>PPBI Equity</v>
      </c>
      <c r="K196" t="str" cm="1">
        <f t="array" ref="K196">IFERROR(_xlfn.LET(_xlpm.t,TRIM(Table13[[#This Row],[TICKER]]),_xlpm.k,IF(ISNUMBER(SEARCH(" ",_xlpm.t)),_xlpm.t,_xlpm.t&amp;" US"),_xlfn.XLOOKUP(_xlpm.k,TRIM(Table1[Target Ticker]),Table1[Target Industry Sector])),"")</f>
        <v>Financials</v>
      </c>
      <c r="L196" t="str" cm="1">
        <f t="array" ref="L196">IFERROR(_xlfn.LET(_xlpm.t,TRIM(Table13[[#This Row],[TICKER]]),_xlpm.k,IF(ISNUMBER(SEARCH(" ",_xlpm.t)),_xlpm.t,_xlpm.t&amp;" US"),_xlfn.XLOOKUP(_xlpm.k,TRIM(Table1[Target Ticker]),Table1[Target Industry Group])),"")</f>
        <v>Banking</v>
      </c>
      <c r="M196" t="str">
        <f>_xll.BDP($J196, "LAST_PRICE")</f>
        <v>#N/A Real Time</v>
      </c>
      <c r="O196" t="str">
        <f>IF(Table13[[#This Row],[Cash/Tender/Stock/Mix]]= "Mix", "Stock", Table13[[#This Row],[Cash/Tender/Stock/Mix]])</f>
        <v>Stock</v>
      </c>
      <c r="P196" t="s">
        <v>38</v>
      </c>
    </row>
    <row r="197" spans="2:16" x14ac:dyDescent="0.25">
      <c r="B197" s="3" t="b">
        <v>1</v>
      </c>
      <c r="C197" s="4">
        <v>45768</v>
      </c>
      <c r="D197" s="4">
        <v>46020</v>
      </c>
      <c r="E197" s="4">
        <v>46044</v>
      </c>
      <c r="F197" s="2">
        <f>IF(Table13[[#This Row],[Day Ann.]]="", "", Table13[[#This Row],[Initial Close Est.]]-Table13[[#This Row],[Day Ann.]])</f>
        <v>252</v>
      </c>
      <c r="G197" s="2">
        <f>IF(Table13[[#This Row],[Actual Close]]="", "",Table13[[#This Row],[Actual Close]]-Table13[[#This Row],[Day Ann.]])</f>
        <v>276</v>
      </c>
      <c r="H197" s="5">
        <f t="shared" si="15"/>
        <v>24</v>
      </c>
      <c r="I197" s="5">
        <f t="shared" si="18"/>
        <v>24</v>
      </c>
      <c r="J197" t="str">
        <f t="shared" si="17"/>
        <v>TRUE Equity</v>
      </c>
      <c r="K197" t="str" cm="1">
        <f t="array" ref="K197">IFERROR(_xlfn.LET(_xlpm.t,TRIM(Table13[[#This Row],[TICKER]]),_xlpm.k,IF(ISNUMBER(SEARCH(" ",_xlpm.t)),_xlpm.t,_xlpm.t&amp;" US"),_xlfn.XLOOKUP(_xlpm.k,TRIM(Table1[Target Ticker]),Table1[Target Industry Sector])),"")</f>
        <v/>
      </c>
      <c r="L197" t="str" cm="1">
        <f t="array" ref="L197">IFERROR(_xlfn.LET(_xlpm.t,TRIM(Table13[[#This Row],[TICKER]]),_xlpm.k,IF(ISNUMBER(SEARCH(" ",_xlpm.t)),_xlpm.t,_xlpm.t&amp;" US"),_xlfn.XLOOKUP(_xlpm.k,TRIM(Table1[Target Ticker]),Table1[Target Industry Group])),"")</f>
        <v/>
      </c>
      <c r="M197" t="str">
        <f>_xll.BDP($J197, "LAST_PRICE")</f>
        <v>#N/A Real Time</v>
      </c>
      <c r="O197" t="str">
        <f>IF(Table13[[#This Row],[Cash/Tender/Stock/Mix]]= "Mix", "Stock", Table13[[#This Row],[Cash/Tender/Stock/Mix]])</f>
        <v>Cash</v>
      </c>
      <c r="P197" t="s">
        <v>23</v>
      </c>
    </row>
    <row r="198" spans="2:16" x14ac:dyDescent="0.25">
      <c r="B198" t="s">
        <v>1201</v>
      </c>
      <c r="C198" s="4">
        <v>45768</v>
      </c>
      <c r="D198" s="4">
        <v>45853</v>
      </c>
      <c r="E198" s="4">
        <v>45834</v>
      </c>
      <c r="F198" s="2">
        <f>IF(Table13[[#This Row],[Day Ann.]]="", "", Table13[[#This Row],[Initial Close Est.]]-Table13[[#This Row],[Day Ann.]])</f>
        <v>85</v>
      </c>
      <c r="G198" s="2">
        <f>IF(Table13[[#This Row],[Actual Close]]="", "",Table13[[#This Row],[Actual Close]]-Table13[[#This Row],[Day Ann.]])</f>
        <v>66</v>
      </c>
      <c r="H198" s="5">
        <f t="shared" si="15"/>
        <v>-19</v>
      </c>
      <c r="I198" s="5">
        <f t="shared" si="18"/>
        <v>19</v>
      </c>
      <c r="J198" t="str">
        <f t="shared" si="17"/>
        <v>LUM Equity</v>
      </c>
      <c r="K198" t="str" cm="1">
        <f t="array" ref="K198">IFERROR(_xlfn.LET(_xlpm.t,TRIM(Table13[[#This Row],[TICKER]]),_xlpm.k,IF(ISNUMBER(SEARCH(" ",_xlpm.t)),_xlpm.t,_xlpm.t&amp;" US"),_xlfn.XLOOKUP(_xlpm.k,TRIM(Table1[Target Ticker]),Table1[Target Industry Sector])),"")</f>
        <v/>
      </c>
      <c r="L198" t="str" cm="1">
        <f t="array" ref="L198">IFERROR(_xlfn.LET(_xlpm.t,TRIM(Table13[[#This Row],[TICKER]]),_xlpm.k,IF(ISNUMBER(SEARCH(" ",_xlpm.t)),_xlpm.t,_xlpm.t&amp;" US"),_xlfn.XLOOKUP(_xlpm.k,TRIM(Table1[Target Ticker]),Table1[Target Industry Group])),"")</f>
        <v/>
      </c>
      <c r="M198" t="str">
        <f>_xll.BDP($J198, "LAST_PRICE")</f>
        <v>#N/A Real Time</v>
      </c>
      <c r="O198" t="str">
        <f>IF(Table13[[#This Row],[Cash/Tender/Stock/Mix]]= "Mix", "Stock", Table13[[#This Row],[Cash/Tender/Stock/Mix]])</f>
        <v>Cash</v>
      </c>
      <c r="P198" t="s">
        <v>23</v>
      </c>
    </row>
    <row r="200" spans="2:16" x14ac:dyDescent="0.25">
      <c r="B200" s="94" t="s">
        <v>1287</v>
      </c>
    </row>
  </sheetData>
  <conditionalFormatting sqref="E1:E2 E23:E1048576">
    <cfRule type="expression" dxfId="2" priority="2" stopIfTrue="1">
      <formula>$M1="#N/A Real Time"</formula>
    </cfRule>
  </conditionalFormatting>
  <conditionalFormatting sqref="H1:I2 J2:P2 H23:I1048576">
    <cfRule type="cellIs" dxfId="1" priority="3" operator="equal">
      <formula>0</formula>
    </cfRule>
  </conditionalFormatting>
  <conditionalFormatting sqref="H3:I22">
    <cfRule type="cellIs" dxfId="0" priority="1" operator="equal">
      <formula>0</formula>
    </cfRule>
  </conditionalFormatting>
  <hyperlinks>
    <hyperlink ref="B200" r:id="rId1" location="disclaimer" tooltip="Churchill Capital disclaimer" xr:uid="{5F3A189A-F6F1-492F-BA13-797E4687989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M&amp;A Market Review</vt:lpstr>
      <vt:lpstr>Deal Timing Analysis</vt:lpstr>
      <vt:lpstr>Deal Rankings</vt:lpstr>
      <vt:lpstr>Deal Sheet</vt:lpstr>
      <vt:lpstr>M&amp;A Deals (4.25 Onwards)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Santry</dc:creator>
  <cp:lastModifiedBy>Dana Santry</cp:lastModifiedBy>
  <dcterms:created xsi:type="dcterms:W3CDTF">2026-06-23T20:15:59Z</dcterms:created>
  <dcterms:modified xsi:type="dcterms:W3CDTF">2026-06-25T17:50:29Z</dcterms:modified>
</cp:coreProperties>
</file>
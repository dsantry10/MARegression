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 Days To Complete</t>
        </is>
      </c>
      <c r="B1" t="inlineStr">
        <is>
          <t>Target Ticker</t>
        </is>
      </c>
      <c r="C1" t="inlineStr">
        <is>
          <t>Acquirer Ticker</t>
        </is>
      </c>
      <c r="D1" t="inlineStr">
        <is>
          <t>Announce Date</t>
        </is>
      </c>
      <c r="E1" t="inlineStr">
        <is>
          <t>Announced Total Value (mil.)</t>
        </is>
      </c>
      <c r="F1" t="inlineStr">
        <is>
          <t>Payment Type</t>
        </is>
      </c>
      <c r="G1" t="inlineStr">
        <is>
          <t>TV/EBITDA</t>
        </is>
      </c>
      <c r="H1" t="inlineStr">
        <is>
          <t>Target Industry Sector</t>
        </is>
      </c>
      <c r="I1" t="inlineStr">
        <is>
          <t>Target Industry Group</t>
        </is>
      </c>
      <c r="J1" t="inlineStr">
        <is>
          <t>Target Industry Subgroup</t>
        </is>
      </c>
      <c r="K1" t="inlineStr">
        <is>
          <t>Acquirer Termination Fee</t>
        </is>
      </c>
      <c r="L1" t="inlineStr">
        <is>
          <t>Target Termination Fee</t>
        </is>
      </c>
      <c r="M1" t="inlineStr">
        <is>
          <t>Announced Premium</t>
        </is>
      </c>
      <c r="N1" t="inlineStr">
        <is>
          <t>Announced Equity Value (mil.)</t>
        </is>
      </c>
      <c r="O1" t="inlineStr">
        <is>
          <t>Target Country/Region</t>
        </is>
      </c>
      <c r="P1" t="inlineStr">
        <is>
          <t>Acquirer Country/Region</t>
        </is>
      </c>
      <c r="Q1" t="inlineStr">
        <is>
          <t>Nature of Bid</t>
        </is>
      </c>
      <c r="R1" t="inlineStr">
        <is>
          <t>Target Sales/Revenue/Turnover</t>
        </is>
      </c>
      <c r="S1" t="inlineStr">
        <is>
          <t>Target Trailg 12 Mth Operating Margin</t>
        </is>
      </c>
      <c r="T1" t="inlineStr">
        <is>
          <t>Deal Attributes</t>
        </is>
      </c>
      <c r="U1" t="inlineStr">
        <is>
          <t>Additional Stake Purchase</t>
        </is>
      </c>
      <c r="V1" t="inlineStr">
        <is>
          <t>Competing Bid</t>
        </is>
      </c>
      <c r="W1" t="inlineStr">
        <is>
          <t>Cross Border</t>
        </is>
      </c>
      <c r="X1" t="inlineStr">
        <is>
          <t>Going Private</t>
        </is>
      </c>
      <c r="Y1" t="inlineStr">
        <is>
          <t>PE Buyout</t>
        </is>
      </c>
      <c r="Z1" t="inlineStr">
        <is>
          <t>Tender Offer</t>
        </is>
      </c>
      <c r="AA1" t="inlineStr">
        <is>
          <t>Log TV</t>
        </is>
      </c>
      <c r="AB1" t="inlineStr">
        <is>
          <t>Log Revenue</t>
        </is>
      </c>
      <c r="AC1" t="inlineStr">
        <is>
          <t>Log Equity Value</t>
        </is>
      </c>
      <c r="AD1" t="inlineStr">
        <is>
          <t>SAMR</t>
        </is>
      </c>
      <c r="AE1" t="inlineStr">
        <is>
          <t>EC</t>
        </is>
      </c>
      <c r="AF1" t="inlineStr">
        <is>
          <t>CFIUS</t>
        </is>
      </c>
      <c r="AL1" t="inlineStr">
        <is>
          <t>SAMR Reference List</t>
        </is>
      </c>
      <c r="AM1" t="inlineStr">
        <is>
          <t>Ticker Root</t>
        </is>
      </c>
      <c r="AN1" t="inlineStr">
        <is>
          <t>EC REF</t>
        </is>
      </c>
      <c r="AO1" t="inlineStr">
        <is>
          <t>Ticker root</t>
        </is>
      </c>
      <c r="AP1" t="inlineStr">
        <is>
          <t>CFIUS REF</t>
        </is>
      </c>
      <c r="AQ1" t="inlineStr">
        <is>
          <t>Ticker Root</t>
        </is>
      </c>
    </row>
    <row r="2">
      <c r="A2" t="n">
        <v>134</v>
      </c>
      <c r="B2" t="inlineStr">
        <is>
          <t>CWAN US</t>
        </is>
      </c>
      <c r="D2" s="1" t="n">
        <v>46012</v>
      </c>
      <c r="E2" t="n">
        <v>7892.89</v>
      </c>
      <c r="F2" t="inlineStr">
        <is>
          <t>Cash</t>
        </is>
      </c>
      <c r="G2" t="n">
        <v>234.8</v>
      </c>
      <c r="H2" t="inlineStr">
        <is>
          <t>Technology</t>
        </is>
      </c>
      <c r="I2" t="inlineStr">
        <is>
          <t>Software &amp; Tech Services</t>
        </is>
      </c>
      <c r="J2" t="inlineStr">
        <is>
          <t>Software</t>
        </is>
      </c>
      <c r="M2" t="n">
        <v>13.41</v>
      </c>
      <c r="N2" t="n">
        <v>7074.18</v>
      </c>
      <c r="O2" t="inlineStr">
        <is>
          <t>United States</t>
        </is>
      </c>
      <c r="P2" t="inlineStr">
        <is>
          <t>United States</t>
        </is>
      </c>
      <c r="Q2" t="inlineStr">
        <is>
          <t>Friendly</t>
        </is>
      </c>
      <c r="R2" t="n">
        <v>731.3680000000001</v>
      </c>
      <c r="S2" t="n">
        <v>-0.699864</v>
      </c>
      <c r="T2" t="inlineStr">
        <is>
          <t>Company Takeover, Private Equity, PE Buyout, Going Private, Cross Border</t>
        </is>
      </c>
      <c r="U2" t="inlineStr">
        <is>
          <t>No</t>
        </is>
      </c>
      <c r="V2" t="inlineStr">
        <is>
          <t>No</t>
        </is>
      </c>
      <c r="W2" t="inlineStr">
        <is>
          <t>Yes</t>
        </is>
      </c>
      <c r="X2" t="inlineStr">
        <is>
          <t>Yes</t>
        </is>
      </c>
      <c r="Y2" t="inlineStr">
        <is>
          <t>Yes</t>
        </is>
      </c>
      <c r="Z2" t="inlineStr">
        <is>
          <t>No</t>
        </is>
      </c>
      <c r="AA2" t="n">
        <v>3.89723605</v>
      </c>
      <c r="AB2" t="n">
        <v>2.864135954</v>
      </c>
      <c r="AC2" t="n">
        <v>3.849676106</v>
      </c>
      <c r="AD2">
        <f t="array" ref="AD2">IF(SUMPRODUCT(--($AM$2:$AM$112=TRIM(LEFT($B2,IFERROR(FIND(" ",$B2)-1,LEN($B2))))))&gt;0,1,0)</f>
        <v/>
      </c>
      <c r="AE2">
        <f t="array" ref="AE2">IF(SUMPRODUCT(--($AO$2:$AO$145=TRIM(LEFT($B2,IFERROR(FIND(" ",$B2)-1,LEN($B2))))))&gt;0,1,0)</f>
        <v/>
      </c>
      <c r="AF2">
        <f t="array" ref="AF2">IF(SUMPRODUCT(--($AQ$2:$AQ$71=TRIM(LEFT($B2,IFERROR(FIND(" ",$B2)-1,LEN($B2))))))&gt;0,1,0)</f>
        <v/>
      </c>
      <c r="AL2" t="inlineStr">
        <is>
          <t xml:space="preserve">LUM / CMOC </t>
        </is>
      </c>
      <c r="AM2">
        <f>TRIM(LEFT(AL2,FIND("/",AL2)-1))</f>
        <v/>
      </c>
      <c r="AN2" t="inlineStr">
        <is>
          <t>FOLD / BioMa</t>
        </is>
      </c>
      <c r="AO2">
        <f>TRIM(LEFT(AN2,FIND("/",AN2)-1))</f>
        <v/>
      </c>
      <c r="AP2" t="inlineStr">
        <is>
          <t>ASCU / Hudba</t>
        </is>
      </c>
      <c r="AQ2">
        <f>TRIM(LEFT(AP2,FIND("/",AP2)-1))</f>
        <v/>
      </c>
    </row>
    <row r="3">
      <c r="A3" t="n">
        <v>63</v>
      </c>
      <c r="B3" t="inlineStr">
        <is>
          <t>CNTA US</t>
        </is>
      </c>
      <c r="C3" t="inlineStr">
        <is>
          <t>LLY US</t>
        </is>
      </c>
      <c r="D3" s="1" t="n">
        <v>46112</v>
      </c>
      <c r="E3" t="n">
        <v>5488.19</v>
      </c>
      <c r="F3" t="inlineStr">
        <is>
          <t>Cash</t>
        </is>
      </c>
      <c r="H3" t="inlineStr">
        <is>
          <t>Health Care</t>
        </is>
      </c>
      <c r="I3" t="inlineStr">
        <is>
          <t>Health Care</t>
        </is>
      </c>
      <c r="J3" t="inlineStr">
        <is>
          <t>Biotech &amp; Pharma</t>
        </is>
      </c>
      <c r="M3" t="n">
        <v>38.25</v>
      </c>
      <c r="N3" t="n">
        <v>5616.14</v>
      </c>
      <c r="O3" t="inlineStr">
        <is>
          <t>United States</t>
        </is>
      </c>
      <c r="P3" t="inlineStr">
        <is>
          <t>United States</t>
        </is>
      </c>
      <c r="Q3" t="inlineStr">
        <is>
          <t>Friendly</t>
        </is>
      </c>
      <c r="R3" t="n">
        <v>15</v>
      </c>
      <c r="T3" t="inlineStr">
        <is>
          <t>Company Takeover</t>
        </is>
      </c>
      <c r="U3" t="inlineStr">
        <is>
          <t>No</t>
        </is>
      </c>
      <c r="V3" t="inlineStr">
        <is>
          <t>No</t>
        </is>
      </c>
      <c r="W3" t="inlineStr">
        <is>
          <t>No</t>
        </is>
      </c>
      <c r="X3" t="inlineStr">
        <is>
          <t>No</t>
        </is>
      </c>
      <c r="Y3" t="inlineStr">
        <is>
          <t>No</t>
        </is>
      </c>
      <c r="Z3" t="inlineStr">
        <is>
          <t>No</t>
        </is>
      </c>
      <c r="AA3" t="n">
        <v>3.739429138</v>
      </c>
      <c r="AB3" t="n">
        <v>1.176091259</v>
      </c>
      <c r="AC3" t="n">
        <v>3.749437925</v>
      </c>
      <c r="AD3">
        <f t="array" ref="AD3">IF(SUMPRODUCT(--($AM$2:$AM$112=TRIM(LEFT($B3,IFERROR(FIND(" ",$B3)-1,LEN($B3))))))&gt;0,1,0)</f>
        <v/>
      </c>
      <c r="AE3">
        <f t="array" ref="AE3">IF(SUMPRODUCT(--($AO$2:$AO$145=TRIM(LEFT($B3,IFERROR(FIND(" ",$B3)-1,LEN($B3))))))&gt;0,1,0)</f>
        <v/>
      </c>
      <c r="AF3">
        <f t="array" ref="AF3">IF(SUMPRODUCT(--($AQ$2:$AQ$71=TRIM(LEFT($B3,IFERROR(FIND(" ",$B3)-1,LEN($B3))))))&gt;0,1,0)</f>
        <v/>
      </c>
      <c r="AL3" t="inlineStr">
        <is>
          <t>FIL / Lundi</t>
        </is>
      </c>
      <c r="AM3">
        <f>TRIM(LEFT(AL3,FIND("/",AL3)-1))</f>
        <v/>
      </c>
      <c r="AN3" t="inlineStr">
        <is>
          <t>SEE / Clayt</t>
        </is>
      </c>
      <c r="AO3">
        <f>TRIM(LEFT(AN3,FIND("/",AN3)-1))</f>
        <v/>
      </c>
      <c r="AP3" t="inlineStr">
        <is>
          <t>ONTF / Black</t>
        </is>
      </c>
      <c r="AQ3">
        <f>TRIM(LEFT(AP3,FIND("/",AP3)-1))</f>
        <v/>
      </c>
    </row>
    <row r="4">
      <c r="A4" t="n">
        <v>44</v>
      </c>
      <c r="B4" t="inlineStr">
        <is>
          <t>RUP CN</t>
        </is>
      </c>
      <c r="C4" t="inlineStr">
        <is>
          <t>AEM CN</t>
        </is>
      </c>
      <c r="D4" s="1" t="n">
        <v>46132</v>
      </c>
      <c r="E4" t="n">
        <v>1935.3</v>
      </c>
      <c r="F4" t="inlineStr">
        <is>
          <t>Stock</t>
        </is>
      </c>
      <c r="H4" t="inlineStr">
        <is>
          <t>Materials</t>
        </is>
      </c>
      <c r="I4" t="inlineStr">
        <is>
          <t>Materials</t>
        </is>
      </c>
      <c r="J4" t="inlineStr">
        <is>
          <t>Metals &amp; Mining</t>
        </is>
      </c>
      <c r="M4" t="n">
        <v>74.34999999999999</v>
      </c>
      <c r="N4" t="n">
        <v>1935.3</v>
      </c>
      <c r="O4" t="inlineStr">
        <is>
          <t>Canada</t>
        </is>
      </c>
      <c r="P4" t="inlineStr">
        <is>
          <t>Canada</t>
        </is>
      </c>
      <c r="Q4" t="inlineStr">
        <is>
          <t>Friendly</t>
        </is>
      </c>
      <c r="T4" t="inlineStr">
        <is>
          <t>Company Takeover</t>
        </is>
      </c>
      <c r="U4" t="inlineStr">
        <is>
          <t>No</t>
        </is>
      </c>
      <c r="V4" t="inlineStr">
        <is>
          <t>No</t>
        </is>
      </c>
      <c r="W4" t="inlineStr">
        <is>
          <t>No</t>
        </is>
      </c>
      <c r="X4" t="inlineStr">
        <is>
          <t>No</t>
        </is>
      </c>
      <c r="Y4" t="inlineStr">
        <is>
          <t>No</t>
        </is>
      </c>
      <c r="Z4" t="inlineStr">
        <is>
          <t>No</t>
        </is>
      </c>
      <c r="AA4" t="n">
        <v>3.286748297</v>
      </c>
      <c r="AC4" t="n">
        <v>3.286748297</v>
      </c>
      <c r="AD4">
        <f t="array" ref="AD4">IF(SUMPRODUCT(--($AM$2:$AM$112=TRIM(LEFT($B4,IFERROR(FIND(" ",$B4)-1,LEN($B4))))))&gt;0,1,0)</f>
        <v/>
      </c>
      <c r="AE4">
        <f t="array" ref="AE4">IF(SUMPRODUCT(--($AO$2:$AO$145=TRIM(LEFT($B4,IFERROR(FIND(" ",$B4)-1,LEN($B4))))))&gt;0,1,0)</f>
        <v/>
      </c>
      <c r="AF4">
        <f t="array" ref="AF4">IF(SUMPRODUCT(--($AQ$2:$AQ$71=TRIM(LEFT($B4,IFERROR(FIND(" ",$B4)-1,LEN($B4))))))&gt;0,1,0)</f>
        <v/>
      </c>
      <c r="AL4" t="inlineStr">
        <is>
          <t>NVEI / Adven</t>
        </is>
      </c>
      <c r="AM4">
        <f>TRIM(LEFT(AL4,FIND("/",AL4)-1))</f>
        <v/>
      </c>
      <c r="AN4" t="inlineStr">
        <is>
          <t>HOLX / Black</t>
        </is>
      </c>
      <c r="AO4">
        <f>TRIM(LEFT(AN4,FIND("/",AN4)-1))</f>
        <v/>
      </c>
      <c r="AP4" t="inlineStr">
        <is>
          <t>CSGS / NEC C</t>
        </is>
      </c>
      <c r="AQ4">
        <f>TRIM(LEFT(AP4,FIND("/",AP4)-1))</f>
        <v/>
      </c>
    </row>
    <row r="5">
      <c r="A5" t="n">
        <v>86</v>
      </c>
      <c r="B5" t="inlineStr">
        <is>
          <t>KW US</t>
        </is>
      </c>
      <c r="D5" s="1" t="n">
        <v>46070</v>
      </c>
      <c r="E5" t="n">
        <v>1038.74</v>
      </c>
      <c r="F5" t="inlineStr">
        <is>
          <t>Cash</t>
        </is>
      </c>
      <c r="G5" t="n">
        <v>4.55</v>
      </c>
      <c r="H5" t="inlineStr">
        <is>
          <t>Real Estate</t>
        </is>
      </c>
      <c r="I5" t="inlineStr">
        <is>
          <t>Real Estate</t>
        </is>
      </c>
      <c r="J5" t="inlineStr">
        <is>
          <t>Real Estate Owners &amp; Developers</t>
        </is>
      </c>
      <c r="L5" t="n">
        <v>42.7</v>
      </c>
      <c r="M5" t="n">
        <v>10.53</v>
      </c>
      <c r="N5" t="n">
        <v>1038.74</v>
      </c>
      <c r="O5" t="inlineStr">
        <is>
          <t>United States</t>
        </is>
      </c>
      <c r="P5" t="inlineStr">
        <is>
          <t>Canada</t>
        </is>
      </c>
      <c r="Q5" t="inlineStr">
        <is>
          <t>Friendly</t>
        </is>
      </c>
      <c r="R5" t="n">
        <v>501</v>
      </c>
      <c r="S5" t="n">
        <v>47.0912</v>
      </c>
      <c r="T5" t="inlineStr">
        <is>
          <t>Company Takeover, Cross Border, Additional Stake Purchase, Management Buyout</t>
        </is>
      </c>
      <c r="U5" t="inlineStr">
        <is>
          <t>Yes</t>
        </is>
      </c>
      <c r="V5" t="inlineStr">
        <is>
          <t>No</t>
        </is>
      </c>
      <c r="W5" t="inlineStr">
        <is>
          <t>Yes</t>
        </is>
      </c>
      <c r="X5" t="inlineStr">
        <is>
          <t>No</t>
        </is>
      </c>
      <c r="Y5" t="inlineStr">
        <is>
          <t>No</t>
        </is>
      </c>
      <c r="Z5" t="inlineStr">
        <is>
          <t>No</t>
        </is>
      </c>
      <c r="AA5" t="n">
        <v>3.016506856</v>
      </c>
      <c r="AB5" t="n">
        <v>2.699837726</v>
      </c>
      <c r="AC5" t="n">
        <v>3.016506856</v>
      </c>
      <c r="AD5">
        <f t="array" ref="AD5">IF(SUMPRODUCT(--($AM$2:$AM$112=TRIM(LEFT($B5,IFERROR(FIND(" ",$B5)-1,LEN($B5))))))&gt;0,1,0)</f>
        <v/>
      </c>
      <c r="AE5">
        <f t="array" ref="AE5">IF(SUMPRODUCT(--($AO$2:$AO$145=TRIM(LEFT($B5,IFERROR(FIND(" ",$B5)-1,LEN($B5))))))&gt;0,1,0)</f>
        <v/>
      </c>
      <c r="AF5">
        <f t="array" ref="AF5">IF(SUMPRODUCT(--($AQ$2:$AQ$71=TRIM(LEFT($B5,IFERROR(FIND(" ",$B5)-1,LEN($B5))))))&gt;0,1,0)</f>
        <v/>
      </c>
      <c r="AL5" t="inlineStr">
        <is>
          <t>VLN / Flows</t>
        </is>
      </c>
      <c r="AM5">
        <f>TRIM(LEFT(AL5,FIND("/",AL5)-1))</f>
        <v/>
      </c>
      <c r="AN5" t="inlineStr">
        <is>
          <t xml:space="preserve">HI / Lone </t>
        </is>
      </c>
      <c r="AO5">
        <f>TRIM(LEFT(AN5,FIND("/",AN5)-1))</f>
        <v/>
      </c>
      <c r="AP5" t="inlineStr">
        <is>
          <t>HOLX / Black</t>
        </is>
      </c>
      <c r="AQ5">
        <f>TRIM(LEFT(AP5,FIND("/",AP5)-1))</f>
        <v/>
      </c>
    </row>
    <row r="6">
      <c r="A6" t="n">
        <v>33</v>
      </c>
      <c r="B6" t="inlineStr">
        <is>
          <t>KALV US</t>
        </is>
      </c>
      <c r="C6" t="inlineStr">
        <is>
          <t>97612Z IM</t>
        </is>
      </c>
      <c r="D6" s="1" t="n">
        <v>46141</v>
      </c>
      <c r="E6" t="n">
        <v>1223.43</v>
      </c>
      <c r="F6" t="inlineStr">
        <is>
          <t>Cash</t>
        </is>
      </c>
      <c r="H6" t="inlineStr">
        <is>
          <t>Health Care</t>
        </is>
      </c>
      <c r="I6" t="inlineStr">
        <is>
          <t>Health Care</t>
        </is>
      </c>
      <c r="J6" t="inlineStr">
        <is>
          <t>Biotech &amp; Pharma</t>
        </is>
      </c>
      <c r="M6" t="n">
        <v>36.2</v>
      </c>
      <c r="N6" t="n">
        <v>1383.01</v>
      </c>
      <c r="O6" t="inlineStr">
        <is>
          <t>United States</t>
        </is>
      </c>
      <c r="P6" t="inlineStr">
        <is>
          <t>Italy</t>
        </is>
      </c>
      <c r="Q6" t="inlineStr">
        <is>
          <t>Friendly</t>
        </is>
      </c>
      <c r="T6" t="inlineStr">
        <is>
          <t>Cross Border, Tender Offer, Company Takeover</t>
        </is>
      </c>
      <c r="U6" t="inlineStr">
        <is>
          <t>No</t>
        </is>
      </c>
      <c r="V6" t="inlineStr">
        <is>
          <t>No</t>
        </is>
      </c>
      <c r="W6" t="inlineStr">
        <is>
          <t>Yes</t>
        </is>
      </c>
      <c r="X6" t="inlineStr">
        <is>
          <t>No</t>
        </is>
      </c>
      <c r="Y6" t="inlineStr">
        <is>
          <t>No</t>
        </is>
      </c>
      <c r="Z6" t="inlineStr">
        <is>
          <t>Yes</t>
        </is>
      </c>
      <c r="AA6" t="n">
        <v>3.087579126</v>
      </c>
      <c r="AC6" t="n">
        <v>3.14082532</v>
      </c>
      <c r="AD6">
        <f t="array" ref="AD6">IF(SUMPRODUCT(--($AM$2:$AM$112=TRIM(LEFT($B6,IFERROR(FIND(" ",$B6)-1,LEN($B6))))))&gt;0,1,0)</f>
        <v/>
      </c>
      <c r="AE6">
        <f t="array" ref="AE6">IF(SUMPRODUCT(--($AO$2:$AO$145=TRIM(LEFT($B6,IFERROR(FIND(" ",$B6)-1,LEN($B6))))))&gt;0,1,0)</f>
        <v/>
      </c>
      <c r="AF6">
        <f t="array" ref="AF6">IF(SUMPRODUCT(--($AQ$2:$AQ$71=TRIM(LEFT($B6,IFERROR(FIND(" ",$B6)-1,LEN($B6))))))&gt;0,1,0)</f>
        <v/>
      </c>
      <c r="AL6" t="inlineStr">
        <is>
          <t>PVG / Newcr</t>
        </is>
      </c>
      <c r="AM6">
        <f>TRIM(LEFT(AL6,FIND("/",AL6)-1))</f>
        <v/>
      </c>
      <c r="AN6" t="inlineStr">
        <is>
          <t>SPNS / Adven</t>
        </is>
      </c>
      <c r="AO6">
        <f>TRIM(LEFT(AN6,FIND("/",AN6)-1))</f>
        <v/>
      </c>
      <c r="AP6" t="inlineStr">
        <is>
          <t xml:space="preserve">HI / Lone </t>
        </is>
      </c>
      <c r="AQ6">
        <f>TRIM(LEFT(AP6,FIND("/",AP6)-1))</f>
        <v/>
      </c>
    </row>
    <row r="7">
      <c r="A7" t="n">
        <v>83</v>
      </c>
      <c r="B7" t="inlineStr">
        <is>
          <t>MASI US</t>
        </is>
      </c>
      <c r="C7" t="inlineStr">
        <is>
          <t>DHR US</t>
        </is>
      </c>
      <c r="D7" s="1" t="n">
        <v>46070</v>
      </c>
      <c r="E7" t="n">
        <v>9668.51</v>
      </c>
      <c r="F7" t="inlineStr">
        <is>
          <t>Cash</t>
        </is>
      </c>
      <c r="G7" t="n">
        <v>27.72</v>
      </c>
      <c r="H7" t="inlineStr">
        <is>
          <t>Health Care</t>
        </is>
      </c>
      <c r="I7" t="inlineStr">
        <is>
          <t>Health Care</t>
        </is>
      </c>
      <c r="J7" t="inlineStr">
        <is>
          <t>Medical Equipment &amp; Devices</t>
        </is>
      </c>
      <c r="L7" t="n">
        <v>305</v>
      </c>
      <c r="M7" t="n">
        <v>30.37</v>
      </c>
      <c r="N7" t="n">
        <v>9668.51</v>
      </c>
      <c r="O7" t="inlineStr">
        <is>
          <t>United States</t>
        </is>
      </c>
      <c r="P7" t="inlineStr">
        <is>
          <t>United States</t>
        </is>
      </c>
      <c r="Q7" t="inlineStr">
        <is>
          <t>Friendly</t>
        </is>
      </c>
      <c r="R7" t="n">
        <v>1526.9</v>
      </c>
      <c r="S7" t="n">
        <v>24.0438</v>
      </c>
      <c r="T7" t="inlineStr">
        <is>
          <t>Company Takeover</t>
        </is>
      </c>
      <c r="U7" t="inlineStr">
        <is>
          <t>No</t>
        </is>
      </c>
      <c r="V7" t="inlineStr">
        <is>
          <t>No</t>
        </is>
      </c>
      <c r="W7" t="inlineStr">
        <is>
          <t>No</t>
        </is>
      </c>
      <c r="X7" t="inlineStr">
        <is>
          <t>No</t>
        </is>
      </c>
      <c r="Y7" t="inlineStr">
        <is>
          <t>No</t>
        </is>
      </c>
      <c r="Z7" t="inlineStr">
        <is>
          <t>No</t>
        </is>
      </c>
      <c r="AA7" t="n">
        <v>3.985359551</v>
      </c>
      <c r="AB7" t="n">
        <v>3.183810595</v>
      </c>
      <c r="AC7" t="n">
        <v>3.985359551</v>
      </c>
      <c r="AD7">
        <f t="array" ref="AD7">IF(SUMPRODUCT(--($AM$2:$AM$112=TRIM(LEFT($B7,IFERROR(FIND(" ",$B7)-1,LEN($B7))))))&gt;0,1,0)</f>
        <v/>
      </c>
      <c r="AE7">
        <f t="array" ref="AE7">IF(SUMPRODUCT(--($AO$2:$AO$145=TRIM(LEFT($B7,IFERROR(FIND(" ",$B7)-1,LEN($B7))))))&gt;0,1,0)</f>
        <v/>
      </c>
      <c r="AF7">
        <f t="array" ref="AF7">IF(SUMPRODUCT(--($AQ$2:$AQ$71=TRIM(LEFT($B7,IFERROR(FIND(" ",$B7)-1,LEN($B7))))))&gt;0,1,0)</f>
        <v/>
      </c>
      <c r="AL7" t="inlineStr">
        <is>
          <t>GSS / Chife</t>
        </is>
      </c>
      <c r="AM7">
        <f>TRIM(LEFT(AL7,FIND("/",AL7)-1))</f>
        <v/>
      </c>
      <c r="AN7" t="inlineStr">
        <is>
          <t>WOW / Digit</t>
        </is>
      </c>
      <c r="AO7">
        <f>TRIM(LEFT(AN7,FIND("/",AN7)-1))</f>
        <v/>
      </c>
      <c r="AP7" t="inlineStr">
        <is>
          <t>AL / Sumit</t>
        </is>
      </c>
      <c r="AQ7">
        <f>TRIM(LEFT(AP7,FIND("/",AP7)-1))</f>
        <v/>
      </c>
    </row>
    <row r="8">
      <c r="A8" t="n">
        <v>49</v>
      </c>
      <c r="B8" t="inlineStr">
        <is>
          <t>RPR-U CN</t>
        </is>
      </c>
      <c r="C8" t="inlineStr">
        <is>
          <t>CKI CN</t>
        </is>
      </c>
      <c r="D8" s="1" t="n">
        <v>46108</v>
      </c>
      <c r="E8" t="n">
        <v>801.47</v>
      </c>
      <c r="F8" t="inlineStr">
        <is>
          <t>Stock</t>
        </is>
      </c>
      <c r="G8" t="n">
        <v>13.94</v>
      </c>
      <c r="H8" t="inlineStr">
        <is>
          <t>Real Estate</t>
        </is>
      </c>
      <c r="I8" t="inlineStr">
        <is>
          <t>Real Estate</t>
        </is>
      </c>
      <c r="J8" t="inlineStr">
        <is>
          <t>Real Estate Owners &amp; Developers</t>
        </is>
      </c>
      <c r="N8" t="n">
        <v>2.97</v>
      </c>
      <c r="O8" t="inlineStr">
        <is>
          <t>Canada</t>
        </is>
      </c>
      <c r="P8" t="inlineStr">
        <is>
          <t>Canada</t>
        </is>
      </c>
      <c r="Q8" t="inlineStr">
        <is>
          <t>Friendly</t>
        </is>
      </c>
      <c r="R8" t="n">
        <v>132.646</v>
      </c>
      <c r="S8" t="n">
        <v>42.7872</v>
      </c>
      <c r="T8" t="inlineStr">
        <is>
          <t>Company Takeover</t>
        </is>
      </c>
      <c r="U8" t="inlineStr">
        <is>
          <t>No</t>
        </is>
      </c>
      <c r="V8" t="inlineStr">
        <is>
          <t>No</t>
        </is>
      </c>
      <c r="W8" t="inlineStr">
        <is>
          <t>No</t>
        </is>
      </c>
      <c r="X8" t="inlineStr">
        <is>
          <t>No</t>
        </is>
      </c>
      <c r="Y8" t="inlineStr">
        <is>
          <t>No</t>
        </is>
      </c>
      <c r="Z8" t="inlineStr">
        <is>
          <t>No</t>
        </is>
      </c>
      <c r="AA8" t="n">
        <v>2.903887271</v>
      </c>
      <c r="AB8" t="n">
        <v>2.122694158</v>
      </c>
      <c r="AC8" t="n">
        <v>0.4727564493</v>
      </c>
      <c r="AD8">
        <f t="array" ref="AD8">IF(SUMPRODUCT(--($AM$2:$AM$112=TRIM(LEFT($B8,IFERROR(FIND(" ",$B8)-1,LEN($B8))))))&gt;0,1,0)</f>
        <v/>
      </c>
      <c r="AE8">
        <f t="array" ref="AE8">IF(SUMPRODUCT(--($AO$2:$AO$145=TRIM(LEFT($B8,IFERROR(FIND(" ",$B8)-1,LEN($B8))))))&gt;0,1,0)</f>
        <v/>
      </c>
      <c r="AF8">
        <f t="array" ref="AF8">IF(SUMPRODUCT(--($AQ$2:$AQ$71=TRIM(LEFT($B8,IFERROR(FIND(" ",$B8)-1,LEN($B8))))))&gt;0,1,0)</f>
        <v/>
      </c>
      <c r="AL8" t="inlineStr">
        <is>
          <t>NLC / Zijin</t>
        </is>
      </c>
      <c r="AM8">
        <f>TRIM(LEFT(AL8,FIND("/",AL8)-1))</f>
        <v/>
      </c>
      <c r="AN8" t="inlineStr">
        <is>
          <t>AVDX / TPG (</t>
        </is>
      </c>
      <c r="AO8">
        <f>TRIM(LEFT(AN8,FIND("/",AN8)-1))</f>
        <v/>
      </c>
      <c r="AP8" t="inlineStr">
        <is>
          <t>DAY / Thoma</t>
        </is>
      </c>
      <c r="AQ8">
        <f>TRIM(LEFT(AP8,FIND("/",AP8)-1))</f>
        <v/>
      </c>
    </row>
    <row r="9">
      <c r="A9" t="n">
        <v>112</v>
      </c>
      <c r="B9" t="inlineStr">
        <is>
          <t>FFIC US</t>
        </is>
      </c>
      <c r="C9" t="inlineStr">
        <is>
          <t>OCFC US</t>
        </is>
      </c>
      <c r="D9" s="1" t="n">
        <v>46020</v>
      </c>
      <c r="E9" t="n">
        <v>567.59</v>
      </c>
      <c r="F9" t="inlineStr">
        <is>
          <t>Stock</t>
        </is>
      </c>
      <c r="H9" t="inlineStr">
        <is>
          <t>Financials</t>
        </is>
      </c>
      <c r="I9" t="inlineStr">
        <is>
          <t>Banking</t>
        </is>
      </c>
      <c r="J9" t="inlineStr">
        <is>
          <t>Banking</t>
        </is>
      </c>
      <c r="M9" t="n">
        <v>-1.1</v>
      </c>
      <c r="N9" t="n">
        <v>567.59</v>
      </c>
      <c r="O9" t="inlineStr">
        <is>
          <t>United States</t>
        </is>
      </c>
      <c r="P9" t="inlineStr">
        <is>
          <t>United States</t>
        </is>
      </c>
      <c r="Q9" t="inlineStr">
        <is>
          <t>Friendly</t>
        </is>
      </c>
      <c r="R9" t="n">
        <v>489.629</v>
      </c>
      <c r="S9" t="n">
        <v>20.4513</v>
      </c>
      <c r="T9" t="inlineStr">
        <is>
          <t>Company Takeover</t>
        </is>
      </c>
      <c r="U9" t="inlineStr">
        <is>
          <t>No</t>
        </is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No</t>
        </is>
      </c>
      <c r="AA9" t="n">
        <v>2.754034735</v>
      </c>
      <c r="AB9" t="n">
        <v>2.689867133</v>
      </c>
      <c r="AC9" t="n">
        <v>2.754034735</v>
      </c>
      <c r="AD9">
        <f t="array" ref="AD9">IF(SUMPRODUCT(--($AM$2:$AM$112=TRIM(LEFT($B9,IFERROR(FIND(" ",$B9)-1,LEN($B9))))))&gt;0,1,0)</f>
        <v/>
      </c>
      <c r="AE9">
        <f t="array" ref="AE9">IF(SUMPRODUCT(--($AO$2:$AO$145=TRIM(LEFT($B9,IFERROR(FIND(" ",$B9)-1,LEN($B9))))))&gt;0,1,0)</f>
        <v/>
      </c>
      <c r="AF9">
        <f t="array" ref="AF9">IF(SUMPRODUCT(--($AQ$2:$AQ$71=TRIM(LEFT($B9,IFERROR(FIND(" ",$B9)-1,LEN($B9))))))&gt;0,1,0)</f>
        <v/>
      </c>
      <c r="AL9" t="inlineStr">
        <is>
          <t>GUY / Zijin</t>
        </is>
      </c>
      <c r="AM9">
        <f>TRIM(LEFT(AL9,FIND("/",AL9)-1))</f>
        <v/>
      </c>
      <c r="AN9" t="inlineStr">
        <is>
          <t>SKX / 3G Ca</t>
        </is>
      </c>
      <c r="AO9">
        <f>TRIM(LEFT(AN9,FIND("/",AN9)-1))</f>
        <v/>
      </c>
      <c r="AP9" t="inlineStr">
        <is>
          <t>ETWO / WiseT</t>
        </is>
      </c>
      <c r="AQ9">
        <f>TRIM(LEFT(AP9,FIND("/",AP9)-1))</f>
        <v/>
      </c>
    </row>
    <row r="10">
      <c r="A10" t="n">
        <v>70</v>
      </c>
      <c r="B10" t="inlineStr">
        <is>
          <t>THR US</t>
        </is>
      </c>
      <c r="C10" t="inlineStr">
        <is>
          <t>CECO US</t>
        </is>
      </c>
      <c r="D10" s="1" t="n">
        <v>46077</v>
      </c>
      <c r="E10" t="n">
        <v>4165.23</v>
      </c>
      <c r="F10" t="inlineStr">
        <is>
          <t>Cash or Stock</t>
        </is>
      </c>
      <c r="G10" t="n">
        <v>39.17</v>
      </c>
      <c r="H10" t="inlineStr">
        <is>
          <t>Industrials</t>
        </is>
      </c>
      <c r="I10" t="inlineStr">
        <is>
          <t>Industrial Products</t>
        </is>
      </c>
      <c r="J10" t="inlineStr">
        <is>
          <t>Machinery</t>
        </is>
      </c>
      <c r="M10" t="n">
        <v>154.17</v>
      </c>
      <c r="N10" t="n">
        <v>4051.91</v>
      </c>
      <c r="O10" t="inlineStr">
        <is>
          <t>United States</t>
        </is>
      </c>
      <c r="P10" t="inlineStr">
        <is>
          <t>United States</t>
        </is>
      </c>
      <c r="Q10" t="inlineStr">
        <is>
          <t>Friendly</t>
        </is>
      </c>
      <c r="R10" t="n">
        <v>536.263</v>
      </c>
      <c r="S10" t="n">
        <v>13.1911</v>
      </c>
      <c r="T10" t="inlineStr">
        <is>
          <t>Company Takeover</t>
        </is>
      </c>
      <c r="U10" t="inlineStr">
        <is>
          <t>No</t>
        </is>
      </c>
      <c r="V10" t="inlineStr">
        <is>
          <t>No</t>
        </is>
      </c>
      <c r="W10" t="inlineStr">
        <is>
          <t>No</t>
        </is>
      </c>
      <c r="X10" t="inlineStr">
        <is>
          <t>No</t>
        </is>
      </c>
      <c r="Y10" t="inlineStr">
        <is>
          <t>No</t>
        </is>
      </c>
      <c r="Z10" t="inlineStr">
        <is>
          <t>No</t>
        </is>
      </c>
      <c r="AA10" t="n">
        <v>3.619638988</v>
      </c>
      <c r="AB10" t="n">
        <v>2.729377833</v>
      </c>
      <c r="AC10" t="n">
        <v>3.60765979</v>
      </c>
      <c r="AD10">
        <f t="array" ref="AD10">IF(SUMPRODUCT(--($AM$2:$AM$112=TRIM(LEFT($B10,IFERROR(FIND(" ",$B10)-1,LEN($B10))))))&gt;0,1,0)</f>
        <v/>
      </c>
      <c r="AE10">
        <f t="array" ref="AE10">IF(SUMPRODUCT(--($AO$2:$AO$145=TRIM(LEFT($B10,IFERROR(FIND(" ",$B10)-1,LEN($B10))))))&gt;0,1,0)</f>
        <v/>
      </c>
      <c r="AF10">
        <f t="array" ref="AF10">IF(SUMPRODUCT(--($AQ$2:$AQ$71=TRIM(LEFT($B10,IFERROR(FIND(" ",$B10)-1,LEN($B10))))))&gt;0,1,0)</f>
        <v/>
      </c>
      <c r="AL10" t="inlineStr">
        <is>
          <t>CNL / Zijin</t>
        </is>
      </c>
      <c r="AM10">
        <f>TRIM(LEFT(AL10,FIND("/",AL10)-1))</f>
        <v/>
      </c>
      <c r="AN10" t="inlineStr">
        <is>
          <t>DNB / Clear</t>
        </is>
      </c>
      <c r="AO10">
        <f>TRIM(LEFT(AN10,FIND("/",AN10)-1))</f>
        <v/>
      </c>
      <c r="AP10" t="inlineStr">
        <is>
          <t>RDUS / Toyot</t>
        </is>
      </c>
      <c r="AQ10">
        <f>TRIM(LEFT(AP10,FIND("/",AP10)-1))</f>
        <v/>
      </c>
    </row>
    <row r="11">
      <c r="A11" t="n">
        <v>213</v>
      </c>
      <c r="B11" t="inlineStr">
        <is>
          <t>AMWD US</t>
        </is>
      </c>
      <c r="C11" t="inlineStr">
        <is>
          <t>MBC US</t>
        </is>
      </c>
      <c r="D11" s="1" t="n">
        <v>45875</v>
      </c>
      <c r="E11" t="n">
        <v>1321.3</v>
      </c>
      <c r="F11" t="inlineStr">
        <is>
          <t>Stock</t>
        </is>
      </c>
      <c r="G11" t="n">
        <v>5.63</v>
      </c>
      <c r="H11" t="inlineStr">
        <is>
          <t>Consumer Discretionary</t>
        </is>
      </c>
      <c r="I11" t="inlineStr">
        <is>
          <t>Consumer Discretionary Products</t>
        </is>
      </c>
      <c r="J11" t="inlineStr">
        <is>
          <t>Home Construction</t>
        </is>
      </c>
      <c r="K11" t="n">
        <v>35</v>
      </c>
      <c r="L11" t="n">
        <v>25</v>
      </c>
      <c r="M11" t="n">
        <v>8.24</v>
      </c>
      <c r="N11" t="n">
        <v>856.91</v>
      </c>
      <c r="O11" t="inlineStr">
        <is>
          <t>United States</t>
        </is>
      </c>
      <c r="P11" t="inlineStr">
        <is>
          <t>United States</t>
        </is>
      </c>
      <c r="Q11" t="inlineStr">
        <is>
          <t>Friendly</t>
        </is>
      </c>
      <c r="R11" t="n">
        <v>1709.59</v>
      </c>
      <c r="S11" t="n">
        <v>1.85328</v>
      </c>
      <c r="T11" t="inlineStr">
        <is>
          <t>Company Takeover</t>
        </is>
      </c>
      <c r="U11" t="inlineStr">
        <is>
          <t>No</t>
        </is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No</t>
        </is>
      </c>
      <c r="Z11" t="inlineStr">
        <is>
          <t>No</t>
        </is>
      </c>
      <c r="AA11" t="n">
        <v>3.121001435</v>
      </c>
      <c r="AB11" t="n">
        <v>3.232891969</v>
      </c>
      <c r="AC11" t="n">
        <v>2.932935211</v>
      </c>
      <c r="AD11">
        <f t="array" ref="AD11">IF(SUMPRODUCT(--($AM$2:$AM$112=TRIM(LEFT($B11,IFERROR(FIND(" ",$B11)-1,LEN($B11))))))&gt;0,1,0)</f>
        <v/>
      </c>
      <c r="AE11">
        <f t="array" ref="AE11">IF(SUMPRODUCT(--($AO$2:$AO$145=TRIM(LEFT($B11,IFERROR(FIND(" ",$B11)-1,LEN($B11))))))&gt;0,1,0)</f>
        <v/>
      </c>
      <c r="AF11">
        <f t="array" ref="AF11">IF(SUMPRODUCT(--($AQ$2:$AQ$71=TRIM(LEFT($B11,IFERROR(FIND(" ",$B11)-1,LEN($B11))))))&gt;0,1,0)</f>
        <v/>
      </c>
      <c r="AL11" t="inlineStr">
        <is>
          <t>NSU / Zijin</t>
        </is>
      </c>
      <c r="AM11">
        <f>TRIM(LEFT(AL11,FIND("/",AL11)-1))</f>
        <v/>
      </c>
      <c r="AN11" t="inlineStr">
        <is>
          <t>TGI / Warbu</t>
        </is>
      </c>
      <c r="AO11">
        <f>TRIM(LEFT(AN11,FIND("/",AN11)-1))</f>
        <v/>
      </c>
      <c r="AP11" t="inlineStr">
        <is>
          <t>CIX / Mubad</t>
        </is>
      </c>
      <c r="AQ11">
        <f>TRIM(LEFT(AP11,FIND("/",AP11)-1))</f>
        <v/>
      </c>
    </row>
    <row r="12">
      <c r="A12" t="n">
        <v>68</v>
      </c>
      <c r="B12" t="inlineStr">
        <is>
          <t>VRE US</t>
        </is>
      </c>
      <c r="D12" s="1" t="n">
        <v>46076</v>
      </c>
      <c r="E12" t="n">
        <v>1775.1</v>
      </c>
      <c r="F12" t="inlineStr">
        <is>
          <t>Cash</t>
        </is>
      </c>
      <c r="G12" t="n">
        <v>14.71</v>
      </c>
      <c r="H12" t="inlineStr">
        <is>
          <t>Real Estate</t>
        </is>
      </c>
      <c r="I12" t="inlineStr">
        <is>
          <t>Real Estate</t>
        </is>
      </c>
      <c r="J12" t="inlineStr">
        <is>
          <t>REIT</t>
        </is>
      </c>
      <c r="M12" t="n">
        <v>19.67</v>
      </c>
      <c r="N12" t="n">
        <v>1775.1</v>
      </c>
      <c r="O12" t="inlineStr">
        <is>
          <t>United States</t>
        </is>
      </c>
      <c r="P12" t="inlineStr">
        <is>
          <t>United States</t>
        </is>
      </c>
      <c r="Q12" t="inlineStr">
        <is>
          <t>Friendly</t>
        </is>
      </c>
      <c r="R12" t="n">
        <v>288.434</v>
      </c>
      <c r="S12" t="n">
        <v>9.60486</v>
      </c>
      <c r="T12" t="inlineStr">
        <is>
          <t>Going Private, Private Equity, PE Buyout, Company Takeover</t>
        </is>
      </c>
      <c r="U12" t="inlineStr">
        <is>
          <t>No</t>
        </is>
      </c>
      <c r="V12" t="inlineStr">
        <is>
          <t>No</t>
        </is>
      </c>
      <c r="W12" t="inlineStr">
        <is>
          <t>No</t>
        </is>
      </c>
      <c r="X12" t="inlineStr">
        <is>
          <t>Yes</t>
        </is>
      </c>
      <c r="Y12" t="inlineStr">
        <is>
          <t>Yes</t>
        </is>
      </c>
      <c r="Z12" t="inlineStr">
        <is>
          <t>No</t>
        </is>
      </c>
      <c r="AA12" t="n">
        <v>3.249222824</v>
      </c>
      <c r="AB12" t="n">
        <v>2.460046453</v>
      </c>
      <c r="AC12" t="n">
        <v>3.249222824</v>
      </c>
      <c r="AD12">
        <f t="array" ref="AD12">IF(SUMPRODUCT(--($AM$2:$AM$112=TRIM(LEFT($B12,IFERROR(FIND(" ",$B12)-1,LEN($B12))))))&gt;0,1,0)</f>
        <v/>
      </c>
      <c r="AE12">
        <f t="array" ref="AE12">IF(SUMPRODUCT(--($AO$2:$AO$145=TRIM(LEFT($B12,IFERROR(FIND(" ",$B12)-1,LEN($B12))))))&gt;0,1,0)</f>
        <v/>
      </c>
      <c r="AF12">
        <f t="array" ref="AF12">IF(SUMPRODUCT(--($AQ$2:$AQ$71=TRIM(LEFT($B12,IFERROR(FIND(" ",$B12)-1,LEN($B12))))))&gt;0,1,0)</f>
        <v/>
      </c>
      <c r="AL12" t="inlineStr">
        <is>
          <t>TMB / Rayon</t>
        </is>
      </c>
      <c r="AM12">
        <f>TRIM(LEFT(AL12,FIND("/",AL12)-1))</f>
        <v/>
      </c>
      <c r="AN12" t="inlineStr">
        <is>
          <t>IPG / Omnic</t>
        </is>
      </c>
      <c r="AO12">
        <f>TRIM(LEFT(AN12,FIND("/",AN12)-1))</f>
        <v/>
      </c>
      <c r="AP12" t="inlineStr">
        <is>
          <t>USAP / Apera</t>
        </is>
      </c>
      <c r="AQ12">
        <f>TRIM(LEFT(AP12,FIND("/",AP12)-1))</f>
        <v/>
      </c>
    </row>
    <row r="13">
      <c r="A13" t="n">
        <v>66</v>
      </c>
      <c r="B13" t="inlineStr">
        <is>
          <t>MCW US</t>
        </is>
      </c>
      <c r="C13" t="inlineStr">
        <is>
          <t>24469Z US</t>
        </is>
      </c>
      <c r="D13" s="1" t="n">
        <v>46071</v>
      </c>
      <c r="E13" t="n">
        <v>758.52</v>
      </c>
      <c r="F13" t="inlineStr">
        <is>
          <t>Cash</t>
        </is>
      </c>
      <c r="G13" t="n">
        <v>5.56</v>
      </c>
      <c r="H13" t="inlineStr">
        <is>
          <t>Consumer Discretionary</t>
        </is>
      </c>
      <c r="I13" t="inlineStr">
        <is>
          <t>Retail &amp; Whsle - Discretionary</t>
        </is>
      </c>
      <c r="J13" t="inlineStr">
        <is>
          <t>Retail - Discretionary</t>
        </is>
      </c>
      <c r="M13" t="n">
        <v>20.47</v>
      </c>
      <c r="N13" t="n">
        <v>758.52</v>
      </c>
      <c r="O13" t="inlineStr">
        <is>
          <t>United States</t>
        </is>
      </c>
      <c r="P13" t="inlineStr">
        <is>
          <t>United States</t>
        </is>
      </c>
      <c r="Q13" t="inlineStr">
        <is>
          <t>Friendly</t>
        </is>
      </c>
      <c r="R13" t="n">
        <v>1051.73</v>
      </c>
      <c r="S13" t="n">
        <v>19.3117</v>
      </c>
      <c r="T13" t="inlineStr">
        <is>
          <t>Going Private, Company Takeover, PE Buyout, Private Equity, Additional Stake Purchase</t>
        </is>
      </c>
      <c r="U13" t="inlineStr">
        <is>
          <t>Yes</t>
        </is>
      </c>
      <c r="V13" t="inlineStr">
        <is>
          <t>No</t>
        </is>
      </c>
      <c r="W13" t="inlineStr">
        <is>
          <t>No</t>
        </is>
      </c>
      <c r="X13" t="inlineStr">
        <is>
          <t>Yes</t>
        </is>
      </c>
      <c r="Y13" t="inlineStr">
        <is>
          <t>Yes</t>
        </is>
      </c>
      <c r="Z13" t="inlineStr">
        <is>
          <t>No</t>
        </is>
      </c>
      <c r="AA13" t="n">
        <v>2.879967036</v>
      </c>
      <c r="AB13" t="n">
        <v>3.021904262</v>
      </c>
      <c r="AC13" t="n">
        <v>2.879967036</v>
      </c>
      <c r="AD13">
        <f t="array" ref="AD13">IF(SUMPRODUCT(--($AM$2:$AM$112=TRIM(LEFT($B13,IFERROR(FIND(" ",$B13)-1,LEN($B13))))))&gt;0,1,0)</f>
        <v/>
      </c>
      <c r="AE13">
        <f t="array" ref="AE13">IF(SUMPRODUCT(--($AO$2:$AO$145=TRIM(LEFT($B13,IFERROR(FIND(" ",$B13)-1,LEN($B13))))))&gt;0,1,0)</f>
        <v/>
      </c>
      <c r="AF13">
        <f t="array" ref="AF13">IF(SUMPRODUCT(--($AQ$2:$AQ$71=TRIM(LEFT($B13,IFERROR(FIND(" ",$B13)-1,LEN($B13))))))&gt;0,1,0)</f>
        <v/>
      </c>
      <c r="AL13" t="inlineStr">
        <is>
          <t>SEE / Clayt</t>
        </is>
      </c>
      <c r="AM13">
        <f>TRIM(LEFT(AL13,FIND("/",AL13)-1))</f>
        <v/>
      </c>
      <c r="AN13" t="inlineStr">
        <is>
          <t>PTVE / Novol</t>
        </is>
      </c>
      <c r="AO13">
        <f>TRIM(LEFT(AN13,FIND("/",AN13)-1))</f>
        <v/>
      </c>
      <c r="AP13" t="inlineStr">
        <is>
          <t>ALTM / Rio T</t>
        </is>
      </c>
      <c r="AQ13">
        <f>TRIM(LEFT(AP13,FIND("/",AP13)-1))</f>
        <v/>
      </c>
    </row>
    <row r="14">
      <c r="A14" t="n">
        <v>32</v>
      </c>
      <c r="B14" t="inlineStr">
        <is>
          <t>SLNO US</t>
        </is>
      </c>
      <c r="C14" t="inlineStr">
        <is>
          <t>NBIX US</t>
        </is>
      </c>
      <c r="D14" s="1" t="n">
        <v>46118</v>
      </c>
      <c r="E14" t="n">
        <v>2900</v>
      </c>
      <c r="F14" t="inlineStr">
        <is>
          <t>Cash</t>
        </is>
      </c>
      <c r="G14" t="n">
        <v>236.08</v>
      </c>
      <c r="H14" t="inlineStr">
        <is>
          <t>Health Care</t>
        </is>
      </c>
      <c r="I14" t="inlineStr">
        <is>
          <t>Health Care</t>
        </is>
      </c>
      <c r="J14" t="inlineStr">
        <is>
          <t>Biotech &amp; Pharma</t>
        </is>
      </c>
      <c r="N14" t="n">
        <v>3333.21</v>
      </c>
      <c r="O14" t="inlineStr">
        <is>
          <t>United States</t>
        </is>
      </c>
      <c r="P14" t="inlineStr">
        <is>
          <t>United States</t>
        </is>
      </c>
      <c r="Q14" t="inlineStr">
        <is>
          <t>Friendly</t>
        </is>
      </c>
      <c r="R14" t="n">
        <v>190.405</v>
      </c>
      <c r="S14" t="n">
        <v>30.3272</v>
      </c>
      <c r="T14" t="inlineStr">
        <is>
          <t>Company Takeover, Tender Offer</t>
        </is>
      </c>
      <c r="U14" t="inlineStr">
        <is>
          <t>No</t>
        </is>
      </c>
      <c r="V14" t="inlineStr">
        <is>
          <t>No</t>
        </is>
      </c>
      <c r="W14" t="inlineStr">
        <is>
          <t>No</t>
        </is>
      </c>
      <c r="X14" t="inlineStr">
        <is>
          <t>No</t>
        </is>
      </c>
      <c r="Y14" t="inlineStr">
        <is>
          <t>No</t>
        </is>
      </c>
      <c r="Z14" t="inlineStr">
        <is>
          <t>Yes</t>
        </is>
      </c>
      <c r="AA14" t="n">
        <v>3.462397998</v>
      </c>
      <c r="AB14" t="n">
        <v>2.279678349</v>
      </c>
      <c r="AC14" t="n">
        <v>3.522862676</v>
      </c>
      <c r="AD14">
        <f t="array" ref="AD14">IF(SUMPRODUCT(--($AM$2:$AM$112=TRIM(LEFT($B14,IFERROR(FIND(" ",$B14)-1,LEN($B14))))))&gt;0,1,0)</f>
        <v/>
      </c>
      <c r="AE14">
        <f t="array" ref="AE14">IF(SUMPRODUCT(--($AO$2:$AO$145=TRIM(LEFT($B14,IFERROR(FIND(" ",$B14)-1,LEN($B14))))))&gt;0,1,0)</f>
        <v/>
      </c>
      <c r="AF14">
        <f t="array" ref="AF14">IF(SUMPRODUCT(--($AQ$2:$AQ$71=TRIM(LEFT($B14,IFERROR(FIND(" ",$B14)-1,LEN($B14))))))&gt;0,1,0)</f>
        <v/>
      </c>
      <c r="AL14" t="inlineStr">
        <is>
          <t>HOLX / Black</t>
        </is>
      </c>
      <c r="AM14">
        <f>TRIM(LEFT(AL14,FIND("/",AL14)-1))</f>
        <v/>
      </c>
      <c r="AN14" t="inlineStr">
        <is>
          <t>BERY / Amcor</t>
        </is>
      </c>
      <c r="AO14">
        <f>TRIM(LEFT(AN14,FIND("/",AN14)-1))</f>
        <v/>
      </c>
      <c r="AP14" t="inlineStr">
        <is>
          <t>TELL / Woods</t>
        </is>
      </c>
      <c r="AQ14">
        <f>TRIM(LEFT(AP14,FIND("/",AP14)-1))</f>
        <v/>
      </c>
    </row>
    <row r="15">
      <c r="A15" t="n">
        <v>34</v>
      </c>
      <c r="B15" t="inlineStr">
        <is>
          <t>APLS US</t>
        </is>
      </c>
      <c r="C15" t="inlineStr">
        <is>
          <t>BIIB US</t>
        </is>
      </c>
      <c r="D15" s="1" t="n">
        <v>46112</v>
      </c>
      <c r="E15" t="n">
        <v>5249.15</v>
      </c>
      <c r="F15" t="inlineStr">
        <is>
          <t>Cash</t>
        </is>
      </c>
      <c r="G15" t="n">
        <v>77.78</v>
      </c>
      <c r="H15" t="inlineStr">
        <is>
          <t>Health Care</t>
        </is>
      </c>
      <c r="I15" t="inlineStr">
        <is>
          <t>Health Care</t>
        </is>
      </c>
      <c r="J15" t="inlineStr">
        <is>
          <t>Biotech &amp; Pharma</t>
        </is>
      </c>
      <c r="M15" t="n">
        <v>120.69</v>
      </c>
      <c r="N15" t="n">
        <v>5241.03</v>
      </c>
      <c r="O15" t="inlineStr">
        <is>
          <t>United States</t>
        </is>
      </c>
      <c r="P15" t="inlineStr">
        <is>
          <t>United States</t>
        </is>
      </c>
      <c r="Q15" t="inlineStr">
        <is>
          <t>Friendly</t>
        </is>
      </c>
      <c r="R15" t="n">
        <v>1003.78</v>
      </c>
      <c r="S15" t="n">
        <v>14.9484</v>
      </c>
      <c r="T15" t="inlineStr">
        <is>
          <t>Company Takeover, Tender Offer, Squeeze out</t>
        </is>
      </c>
      <c r="U15" t="inlineStr">
        <is>
          <t>No</t>
        </is>
      </c>
      <c r="V15" t="inlineStr">
        <is>
          <t>No</t>
        </is>
      </c>
      <c r="W15" t="inlineStr">
        <is>
          <t>No</t>
        </is>
      </c>
      <c r="X15" t="inlineStr">
        <is>
          <t>No</t>
        </is>
      </c>
      <c r="Y15" t="inlineStr">
        <is>
          <t>No</t>
        </is>
      </c>
      <c r="Z15" t="inlineStr">
        <is>
          <t>Yes</t>
        </is>
      </c>
      <c r="AA15" t="n">
        <v>3.720088983</v>
      </c>
      <c r="AB15" t="n">
        <v>3.001638538</v>
      </c>
      <c r="AC15" t="n">
        <v>3.719416646</v>
      </c>
      <c r="AD15">
        <f t="array" ref="AD15">IF(SUMPRODUCT(--($AM$2:$AM$112=TRIM(LEFT($B15,IFERROR(FIND(" ",$B15)-1,LEN($B15))))))&gt;0,1,0)</f>
        <v/>
      </c>
      <c r="AE15">
        <f t="array" ref="AE15">IF(SUMPRODUCT(--($AO$2:$AO$145=TRIM(LEFT($B15,IFERROR(FIND(" ",$B15)-1,LEN($B15))))))&gt;0,1,0)</f>
        <v/>
      </c>
      <c r="AF15">
        <f t="array" ref="AF15">IF(SUMPRODUCT(--($AQ$2:$AQ$71=TRIM(LEFT($B15,IFERROR(FIND(" ",$B15)-1,LEN($B15))))))&gt;0,1,0)</f>
        <v/>
      </c>
      <c r="AL15" t="inlineStr">
        <is>
          <t xml:space="preserve">HI / Lone </t>
        </is>
      </c>
      <c r="AM15">
        <f>TRIM(LEFT(AL15,FIND("/",AL15)-1))</f>
        <v/>
      </c>
      <c r="AN15" t="inlineStr">
        <is>
          <t>B / Apoll</t>
        </is>
      </c>
      <c r="AO15">
        <f>TRIM(LEFT(AN15,FIND("/",AN15)-1))</f>
        <v/>
      </c>
      <c r="AP15" t="inlineStr">
        <is>
          <t xml:space="preserve">DM / Nano </t>
        </is>
      </c>
      <c r="AQ15">
        <f>TRIM(LEFT(AP15,FIND("/",AP15)-1))</f>
        <v/>
      </c>
    </row>
    <row r="16">
      <c r="A16" t="n">
        <v>143</v>
      </c>
      <c r="B16" t="inlineStr">
        <is>
          <t>CSGS US</t>
        </is>
      </c>
      <c r="C16" t="inlineStr">
        <is>
          <t>6701 JP</t>
        </is>
      </c>
      <c r="D16" s="1" t="n">
        <v>45959</v>
      </c>
      <c r="E16" t="n">
        <v>2740.67</v>
      </c>
      <c r="F16" t="inlineStr">
        <is>
          <t>Cash</t>
        </is>
      </c>
      <c r="G16" t="n">
        <v>12.73</v>
      </c>
      <c r="H16" t="inlineStr">
        <is>
          <t>Industrials</t>
        </is>
      </c>
      <c r="I16" t="inlineStr">
        <is>
          <t>Industrial Services</t>
        </is>
      </c>
      <c r="J16" t="inlineStr">
        <is>
          <t>Commercial Support Services</t>
        </is>
      </c>
      <c r="M16" t="n">
        <v>23.62</v>
      </c>
      <c r="N16" t="n">
        <v>2321.61</v>
      </c>
      <c r="O16" t="inlineStr">
        <is>
          <t>United States</t>
        </is>
      </c>
      <c r="P16" t="inlineStr">
        <is>
          <t>Japan</t>
        </is>
      </c>
      <c r="Q16" t="inlineStr">
        <is>
          <t>Friendly</t>
        </is>
      </c>
      <c r="R16" t="n">
        <v>1223.29</v>
      </c>
      <c r="S16" t="n">
        <v>10.055</v>
      </c>
      <c r="T16" t="inlineStr">
        <is>
          <t>Company Takeover, Cross Border</t>
        </is>
      </c>
      <c r="U16" t="inlineStr">
        <is>
          <t>No</t>
        </is>
      </c>
      <c r="V16" t="inlineStr">
        <is>
          <t>No</t>
        </is>
      </c>
      <c r="W16" t="inlineStr">
        <is>
          <t>Yes</t>
        </is>
      </c>
      <c r="X16" t="inlineStr">
        <is>
          <t>No</t>
        </is>
      </c>
      <c r="Y16" t="inlineStr">
        <is>
          <t>No</t>
        </is>
      </c>
      <c r="Z16" t="inlineStr">
        <is>
          <t>No</t>
        </is>
      </c>
      <c r="AA16" t="n">
        <v>3.437856746</v>
      </c>
      <c r="AB16" t="n">
        <v>3.087529426</v>
      </c>
      <c r="AC16" t="n">
        <v>3.365789266</v>
      </c>
      <c r="AD16">
        <f t="array" ref="AD16">IF(SUMPRODUCT(--($AM$2:$AM$112=TRIM(LEFT($B16,IFERROR(FIND(" ",$B16)-1,LEN($B16))))))&gt;0,1,0)</f>
        <v/>
      </c>
      <c r="AE16">
        <f t="array" ref="AE16">IF(SUMPRODUCT(--($AO$2:$AO$145=TRIM(LEFT($B16,IFERROR(FIND(" ",$B16)-1,LEN($B16))))))&gt;0,1,0)</f>
        <v/>
      </c>
      <c r="AF16">
        <f t="array" ref="AF16">IF(SUMPRODUCT(--($AQ$2:$AQ$71=TRIM(LEFT($B16,IFERROR(FIND(" ",$B16)-1,LEN($B16))))))&gt;0,1,0)</f>
        <v/>
      </c>
      <c r="AL16" t="inlineStr">
        <is>
          <t>AL / Sumit</t>
        </is>
      </c>
      <c r="AM16">
        <f>TRIM(LEFT(AL16,FIND("/",AL16)-1))</f>
        <v/>
      </c>
      <c r="AN16" t="inlineStr">
        <is>
          <t>SMAR / Black</t>
        </is>
      </c>
      <c r="AO16">
        <f>TRIM(LEFT(AN16,FIND("/",AN16)-1))</f>
        <v/>
      </c>
      <c r="AP16" t="inlineStr">
        <is>
          <t>INFN / Nokia</t>
        </is>
      </c>
      <c r="AQ16">
        <f>TRIM(LEFT(AP16,FIND("/",AP16)-1))</f>
        <v/>
      </c>
    </row>
    <row r="17">
      <c r="A17" t="n">
        <v>60</v>
      </c>
      <c r="B17" t="inlineStr">
        <is>
          <t>EHAB US</t>
        </is>
      </c>
      <c r="C17" t="inlineStr">
        <is>
          <t>884187Z US</t>
        </is>
      </c>
      <c r="D17" s="1" t="n">
        <v>46076</v>
      </c>
      <c r="E17" t="n">
        <v>1157.98</v>
      </c>
      <c r="F17" t="inlineStr">
        <is>
          <t>Cash</t>
        </is>
      </c>
      <c r="G17" t="n">
        <v>18.98</v>
      </c>
      <c r="H17" t="inlineStr">
        <is>
          <t>Health Care</t>
        </is>
      </c>
      <c r="I17" t="inlineStr">
        <is>
          <t>Health Care</t>
        </is>
      </c>
      <c r="J17" t="inlineStr">
        <is>
          <t>Health Care Facilities &amp; Svcs</t>
        </is>
      </c>
      <c r="K17" t="n">
        <v>44.6123</v>
      </c>
      <c r="L17" t="n">
        <v>24.5368</v>
      </c>
      <c r="M17" t="n">
        <v>26.2</v>
      </c>
      <c r="N17" t="n">
        <v>698.38</v>
      </c>
      <c r="O17" t="inlineStr">
        <is>
          <t>United States</t>
        </is>
      </c>
      <c r="P17" t="inlineStr">
        <is>
          <t>United States</t>
        </is>
      </c>
      <c r="Q17" t="inlineStr">
        <is>
          <t>Friendly</t>
        </is>
      </c>
      <c r="R17" t="n">
        <v>1060</v>
      </c>
      <c r="S17" t="n">
        <v>2.77021</v>
      </c>
      <c r="T17" t="inlineStr">
        <is>
          <t>Private Equity, Company Takeover, PE Buyout, Going Private</t>
        </is>
      </c>
      <c r="U17" t="inlineStr">
        <is>
          <t>No</t>
        </is>
      </c>
      <c r="V17" t="inlineStr">
        <is>
          <t>No</t>
        </is>
      </c>
      <c r="W17" t="inlineStr">
        <is>
          <t>No</t>
        </is>
      </c>
      <c r="X17" t="inlineStr">
        <is>
          <t>Yes</t>
        </is>
      </c>
      <c r="Y17" t="inlineStr">
        <is>
          <t>Yes</t>
        </is>
      </c>
      <c r="Z17" t="inlineStr">
        <is>
          <t>No</t>
        </is>
      </c>
      <c r="AA17" t="n">
        <v>3.063701059</v>
      </c>
      <c r="AB17" t="n">
        <v>3.025305865</v>
      </c>
      <c r="AC17" t="n">
        <v>2.844091794</v>
      </c>
      <c r="AD17">
        <f t="array" ref="AD17">IF(SUMPRODUCT(--($AM$2:$AM$112=TRIM(LEFT($B17,IFERROR(FIND(" ",$B17)-1,LEN($B17))))))&gt;0,1,0)</f>
        <v/>
      </c>
      <c r="AE17">
        <f t="array" ref="AE17">IF(SUMPRODUCT(--($AO$2:$AO$145=TRIM(LEFT($B17,IFERROR(FIND(" ",$B17)-1,LEN($B17))))))&gt;0,1,0)</f>
        <v/>
      </c>
      <c r="AF17">
        <f t="array" ref="AF17">IF(SUMPRODUCT(--($AQ$2:$AQ$71=TRIM(LEFT($B17,IFERROR(FIND(" ",$B17)-1,LEN($B17))))))&gt;0,1,0)</f>
        <v/>
      </c>
      <c r="AL17" t="inlineStr">
        <is>
          <t>ZK / Geely</t>
        </is>
      </c>
      <c r="AM17">
        <f>TRIM(LEFT(AL17,FIND("/",AL17)-1))</f>
        <v/>
      </c>
      <c r="AN17" t="inlineStr">
        <is>
          <t xml:space="preserve">K / Mars </t>
        </is>
      </c>
      <c r="AO17">
        <f>TRIM(LEFT(AN17,FIND("/",AN17)-1))</f>
        <v/>
      </c>
      <c r="AP17" t="inlineStr">
        <is>
          <t>AY / Energ</t>
        </is>
      </c>
      <c r="AQ17">
        <f>TRIM(LEFT(AP17,FIND("/",AP17)-1))</f>
        <v/>
      </c>
    </row>
    <row r="18">
      <c r="A18" t="n">
        <v>65</v>
      </c>
      <c r="B18" t="inlineStr">
        <is>
          <t>TPH US</t>
        </is>
      </c>
      <c r="C18" t="inlineStr">
        <is>
          <t>1911 JP</t>
        </is>
      </c>
      <c r="D18" s="1" t="n">
        <v>46066</v>
      </c>
      <c r="E18" t="n">
        <v>4442.63</v>
      </c>
      <c r="F18" t="inlineStr">
        <is>
          <t>Cash</t>
        </is>
      </c>
      <c r="G18" t="n">
        <v>12.84</v>
      </c>
      <c r="H18" t="inlineStr">
        <is>
          <t>Consumer Discretionary</t>
        </is>
      </c>
      <c r="I18" t="inlineStr">
        <is>
          <t>Consumer Discretionary Products</t>
        </is>
      </c>
      <c r="J18" t="inlineStr">
        <is>
          <t>Home Construction</t>
        </is>
      </c>
      <c r="M18" t="n">
        <v>35.21</v>
      </c>
      <c r="N18" t="n">
        <v>4039.81</v>
      </c>
      <c r="O18" t="inlineStr">
        <is>
          <t>United States</t>
        </is>
      </c>
      <c r="P18" t="inlineStr">
        <is>
          <t>Japan</t>
        </is>
      </c>
      <c r="Q18" t="inlineStr">
        <is>
          <t>Friendly</t>
        </is>
      </c>
      <c r="R18" t="n">
        <v>3470.7</v>
      </c>
      <c r="S18" t="n">
        <v>7.09121</v>
      </c>
      <c r="T18" t="inlineStr">
        <is>
          <t>Cross Border, Company Takeover</t>
        </is>
      </c>
      <c r="U18" t="inlineStr">
        <is>
          <t>No</t>
        </is>
      </c>
      <c r="V18" t="inlineStr">
        <is>
          <t>No</t>
        </is>
      </c>
      <c r="W18" t="inlineStr">
        <is>
          <t>Yes</t>
        </is>
      </c>
      <c r="X18" t="inlineStr">
        <is>
          <t>No</t>
        </is>
      </c>
      <c r="Y18" t="inlineStr">
        <is>
          <t>No</t>
        </is>
      </c>
      <c r="Z18" t="inlineStr">
        <is>
          <t>No</t>
        </is>
      </c>
      <c r="AA18" t="n">
        <v>3.647640145</v>
      </c>
      <c r="AB18" t="n">
        <v>3.540417076</v>
      </c>
      <c r="AC18" t="n">
        <v>3.60636094</v>
      </c>
      <c r="AD18">
        <f t="array" ref="AD18">IF(SUMPRODUCT(--($AM$2:$AM$112=TRIM(LEFT($B18,IFERROR(FIND(" ",$B18)-1,LEN($B18))))))&gt;0,1,0)</f>
        <v/>
      </c>
      <c r="AE18">
        <f t="array" ref="AE18">IF(SUMPRODUCT(--($AO$2:$AO$145=TRIM(LEFT($B18,IFERROR(FIND(" ",$B18)-1,LEN($B18))))))&gt;0,1,0)</f>
        <v/>
      </c>
      <c r="AF18">
        <f t="array" ref="AF18">IF(SUMPRODUCT(--($AQ$2:$AQ$71=TRIM(LEFT($B18,IFERROR(FIND(" ",$B18)-1,LEN($B18))))))&gt;0,1,0)</f>
        <v/>
      </c>
      <c r="AL18" t="inlineStr">
        <is>
          <t>IPG / Omnic</t>
        </is>
      </c>
      <c r="AM18">
        <f>TRIM(LEFT(AL18,FIND("/",AL18)-1))</f>
        <v/>
      </c>
      <c r="AN18" t="inlineStr">
        <is>
          <t>RCM / Tower</t>
        </is>
      </c>
      <c r="AO18">
        <f>TRIM(LEFT(AN18,FIND("/",AN18)-1))</f>
        <v/>
      </c>
      <c r="AP18" t="inlineStr">
        <is>
          <t>ALE / Canad</t>
        </is>
      </c>
      <c r="AQ18">
        <f>TRIM(LEFT(AP18,FIND("/",AP18)-1))</f>
        <v/>
      </c>
    </row>
    <row r="19">
      <c r="A19" t="n">
        <v>89</v>
      </c>
      <c r="B19" t="inlineStr">
        <is>
          <t>SNCY US</t>
        </is>
      </c>
      <c r="C19" t="inlineStr">
        <is>
          <t>ALGT US</t>
        </is>
      </c>
      <c r="D19" s="1" t="n">
        <v>46033</v>
      </c>
      <c r="E19" t="n">
        <v>934.1900000000001</v>
      </c>
      <c r="F19" t="inlineStr">
        <is>
          <t>Cash and Stock</t>
        </is>
      </c>
      <c r="G19" t="n">
        <v>4.68</v>
      </c>
      <c r="H19" t="inlineStr">
        <is>
          <t>Industrials</t>
        </is>
      </c>
      <c r="I19" t="inlineStr">
        <is>
          <t>Industrial Services</t>
        </is>
      </c>
      <c r="J19" t="inlineStr">
        <is>
          <t>Transportation &amp; Logistics</t>
        </is>
      </c>
      <c r="M19" t="n">
        <v>19.51</v>
      </c>
      <c r="N19" t="n">
        <v>934.1900000000001</v>
      </c>
      <c r="O19" t="inlineStr">
        <is>
          <t>United States</t>
        </is>
      </c>
      <c r="P19" t="inlineStr">
        <is>
          <t>United States</t>
        </is>
      </c>
      <c r="Q19" t="inlineStr">
        <is>
          <t>Friendly</t>
        </is>
      </c>
      <c r="R19" t="n">
        <v>1126.77</v>
      </c>
      <c r="S19" t="n">
        <v>7.13263</v>
      </c>
      <c r="T19" t="inlineStr">
        <is>
          <t>Company Takeover</t>
        </is>
      </c>
      <c r="U19" t="inlineStr">
        <is>
          <t>No</t>
        </is>
      </c>
      <c r="V19" t="inlineStr">
        <is>
          <t>No</t>
        </is>
      </c>
      <c r="W19" t="inlineStr">
        <is>
          <t>No</t>
        </is>
      </c>
      <c r="X19" t="inlineStr">
        <is>
          <t>No</t>
        </is>
      </c>
      <c r="Y19" t="inlineStr">
        <is>
          <t>No</t>
        </is>
      </c>
      <c r="Z19" t="inlineStr">
        <is>
          <t>No</t>
        </is>
      </c>
      <c r="AA19" t="n">
        <v>2.970435214</v>
      </c>
      <c r="AB19" t="n">
        <v>3.051835275</v>
      </c>
      <c r="AC19" t="n">
        <v>2.970435214</v>
      </c>
      <c r="AD19">
        <f t="array" ref="AD19">IF(SUMPRODUCT(--($AM$2:$AM$112=TRIM(LEFT($B19,IFERROR(FIND(" ",$B19)-1,LEN($B19))))))&gt;0,1,0)</f>
        <v/>
      </c>
      <c r="AE19">
        <f t="array" ref="AE19">IF(SUMPRODUCT(--($AO$2:$AO$145=TRIM(LEFT($B19,IFERROR(FIND(" ",$B19)-1,LEN($B19))))))&gt;0,1,0)</f>
        <v/>
      </c>
      <c r="AF19">
        <f t="array" ref="AF19">IF(SUMPRODUCT(--($AQ$2:$AQ$71=TRIM(LEFT($B19,IFERROR(FIND(" ",$B19)-1,LEN($B19))))))&gt;0,1,0)</f>
        <v/>
      </c>
      <c r="AL19" t="inlineStr">
        <is>
          <t>PTVE / Novol</t>
        </is>
      </c>
      <c r="AM19">
        <f>TRIM(LEFT(AL19,FIND("/",AL19)-1))</f>
        <v/>
      </c>
      <c r="AN19" t="inlineStr">
        <is>
          <t>FIL / Lundi</t>
        </is>
      </c>
      <c r="AO19">
        <f>TRIM(LEFT(AN19,FIND("/",AN19)-1))</f>
        <v/>
      </c>
      <c r="AP19" t="inlineStr">
        <is>
          <t>PRFT / EQT A</t>
        </is>
      </c>
      <c r="AQ19">
        <f>TRIM(LEFT(AP19,FIND("/",AP19)-1))</f>
        <v/>
      </c>
    </row>
    <row r="20">
      <c r="A20" t="n">
        <v>105</v>
      </c>
      <c r="B20" t="inlineStr">
        <is>
          <t>UDMY US</t>
        </is>
      </c>
      <c r="C20" t="inlineStr">
        <is>
          <t>COUR US</t>
        </is>
      </c>
      <c r="D20" s="1" t="n">
        <v>46008</v>
      </c>
      <c r="E20" t="n">
        <v>622.0700000000001</v>
      </c>
      <c r="F20" t="inlineStr">
        <is>
          <t>Stock</t>
        </is>
      </c>
      <c r="H20" t="inlineStr">
        <is>
          <t>Consumer Discretionary</t>
        </is>
      </c>
      <c r="I20" t="inlineStr">
        <is>
          <t>Consumer Discretionary Services</t>
        </is>
      </c>
      <c r="J20" t="inlineStr">
        <is>
          <t>Consumer Services</t>
        </is>
      </c>
      <c r="K20" t="n">
        <v>40.5</v>
      </c>
      <c r="M20" t="n">
        <v>25.59</v>
      </c>
      <c r="N20" t="n">
        <v>949.05</v>
      </c>
      <c r="O20" t="inlineStr">
        <is>
          <t>United States</t>
        </is>
      </c>
      <c r="P20" t="inlineStr">
        <is>
          <t>United States</t>
        </is>
      </c>
      <c r="Q20" t="inlineStr">
        <is>
          <t>Friendly</t>
        </is>
      </c>
      <c r="R20" t="n">
        <v>789.8440000000001</v>
      </c>
      <c r="S20" t="n">
        <v>-1.56092</v>
      </c>
      <c r="T20" t="inlineStr">
        <is>
          <t>Company Takeover, Going Private</t>
        </is>
      </c>
      <c r="U20" t="inlineStr">
        <is>
          <t>No</t>
        </is>
      </c>
      <c r="V20" t="inlineStr">
        <is>
          <t>No</t>
        </is>
      </c>
      <c r="W20" t="inlineStr">
        <is>
          <t>No</t>
        </is>
      </c>
      <c r="X20" t="inlineStr">
        <is>
          <t>Yes</t>
        </is>
      </c>
      <c r="Y20" t="inlineStr">
        <is>
          <t>No</t>
        </is>
      </c>
      <c r="Z20" t="inlineStr">
        <is>
          <t>No</t>
        </is>
      </c>
      <c r="AA20" t="n">
        <v>2.793839258</v>
      </c>
      <c r="AB20" t="n">
        <v>2.897541323</v>
      </c>
      <c r="AC20" t="n">
        <v>2.977289094</v>
      </c>
      <c r="AD20">
        <f t="array" ref="AD20">IF(SUMPRODUCT(--($AM$2:$AM$112=TRIM(LEFT($B20,IFERROR(FIND(" ",$B20)-1,LEN($B20))))))&gt;0,1,0)</f>
        <v/>
      </c>
      <c r="AE20">
        <f t="array" ref="AE20">IF(SUMPRODUCT(--($AO$2:$AO$145=TRIM(LEFT($B20,IFERROR(FIND(" ",$B20)-1,LEN($B20))))))&gt;0,1,0)</f>
        <v/>
      </c>
      <c r="AF20">
        <f t="array" ref="AF20">IF(SUMPRODUCT(--($AQ$2:$AQ$71=TRIM(LEFT($B20,IFERROR(FIND(" ",$B20)-1,LEN($B20))))))&gt;0,1,0)</f>
        <v/>
      </c>
      <c r="AL20" t="inlineStr">
        <is>
          <t>BERY / Amcor</t>
        </is>
      </c>
      <c r="AM20">
        <f>TRIM(LEFT(AL20,FIND("/",AL20)-1))</f>
        <v/>
      </c>
      <c r="AN20" t="inlineStr">
        <is>
          <t>PARA / Skyda</t>
        </is>
      </c>
      <c r="AO20">
        <f>TRIM(LEFT(AN20,FIND("/",AN20)-1))</f>
        <v/>
      </c>
      <c r="AP20" t="inlineStr">
        <is>
          <t>CHX / SLB (</t>
        </is>
      </c>
      <c r="AQ20">
        <f>TRIM(LEFT(AP20,FIND("/",AP20)-1))</f>
        <v/>
      </c>
    </row>
    <row r="21">
      <c r="A21" t="n">
        <v>236</v>
      </c>
      <c r="B21" t="inlineStr">
        <is>
          <t>CTLP US</t>
        </is>
      </c>
      <c r="C21" t="inlineStr">
        <is>
          <t>0943566D US</t>
        </is>
      </c>
      <c r="D21" s="1" t="n">
        <v>45824</v>
      </c>
      <c r="E21" t="n">
        <v>821.4400000000001</v>
      </c>
      <c r="F21" t="inlineStr">
        <is>
          <t>Cash</t>
        </is>
      </c>
      <c r="G21" t="n">
        <v>28.43</v>
      </c>
      <c r="H21" t="inlineStr">
        <is>
          <t>Technology</t>
        </is>
      </c>
      <c r="I21" t="inlineStr">
        <is>
          <t>Software &amp; Tech Services</t>
        </is>
      </c>
      <c r="J21" t="inlineStr">
        <is>
          <t>Software</t>
        </is>
      </c>
      <c r="M21" t="n">
        <v>26.92</v>
      </c>
      <c r="N21" t="n">
        <v>818.25</v>
      </c>
      <c r="O21" t="inlineStr">
        <is>
          <t>United States</t>
        </is>
      </c>
      <c r="P21" t="inlineStr">
        <is>
          <t>United States</t>
        </is>
      </c>
      <c r="Q21" t="inlineStr">
        <is>
          <t>Friendly</t>
        </is>
      </c>
      <c r="R21" t="n">
        <v>302.548</v>
      </c>
      <c r="S21" t="n">
        <v>2.37765</v>
      </c>
      <c r="T21" t="inlineStr">
        <is>
          <t>Company Takeover, Going Private</t>
        </is>
      </c>
      <c r="U21" t="inlineStr">
        <is>
          <t>No</t>
        </is>
      </c>
      <c r="V21" t="inlineStr">
        <is>
          <t>No</t>
        </is>
      </c>
      <c r="W21" t="inlineStr">
        <is>
          <t>No</t>
        </is>
      </c>
      <c r="X21" t="inlineStr">
        <is>
          <t>Yes</t>
        </is>
      </c>
      <c r="Y21" t="inlineStr">
        <is>
          <t>No</t>
        </is>
      </c>
      <c r="Z21" t="inlineStr">
        <is>
          <t>No</t>
        </is>
      </c>
      <c r="AA21" t="n">
        <v>2.914575847</v>
      </c>
      <c r="AB21" t="n">
        <v>2.480794286</v>
      </c>
      <c r="AC21" t="n">
        <v>2.912886014</v>
      </c>
      <c r="AD21">
        <f t="array" ref="AD21">IF(SUMPRODUCT(--($AM$2:$AM$112=TRIM(LEFT($B21,IFERROR(FIND(" ",$B21)-1,LEN($B21))))))&gt;0,1,0)</f>
        <v/>
      </c>
      <c r="AE21">
        <f t="array" ref="AE21">IF(SUMPRODUCT(--($AO$2:$AO$145=TRIM(LEFT($B21,IFERROR(FIND(" ",$B21)-1,LEN($B21))))))&gt;0,1,0)</f>
        <v/>
      </c>
      <c r="AF21">
        <f t="array" ref="AF21">IF(SUMPRODUCT(--($AQ$2:$AQ$71=TRIM(LEFT($B21,IFERROR(FIND(" ",$B21)-1,LEN($B21))))))&gt;0,1,0)</f>
        <v/>
      </c>
      <c r="AL21" t="inlineStr">
        <is>
          <t>ALTM / Rio T</t>
        </is>
      </c>
      <c r="AM21">
        <f>TRIM(LEFT(AL21,FIND("/",AL21)-1))</f>
        <v/>
      </c>
      <c r="AN21" t="inlineStr">
        <is>
          <t>SPR / Boein</t>
        </is>
      </c>
      <c r="AO21">
        <f>TRIM(LEFT(AN21,FIND("/",AN21)-1))</f>
        <v/>
      </c>
      <c r="AP21" t="inlineStr">
        <is>
          <t>VSTO / Czech</t>
        </is>
      </c>
      <c r="AQ21">
        <f>TRIM(LEFT(AP21,FIND("/",AP21)-1))</f>
        <v/>
      </c>
    </row>
    <row r="22">
      <c r="A22" t="n">
        <v>69</v>
      </c>
      <c r="B22" t="inlineStr">
        <is>
          <t>CTRA US</t>
        </is>
      </c>
      <c r="C22" t="inlineStr">
        <is>
          <t>DVN US</t>
        </is>
      </c>
      <c r="D22" s="1" t="n">
        <v>46055</v>
      </c>
      <c r="E22" t="n">
        <v>23961.19</v>
      </c>
      <c r="F22" t="inlineStr">
        <is>
          <t>Stock</t>
        </is>
      </c>
      <c r="G22" t="n">
        <v>4.85</v>
      </c>
      <c r="H22" t="inlineStr">
        <is>
          <t>Energy</t>
        </is>
      </c>
      <c r="I22" t="inlineStr">
        <is>
          <t>Oil &amp; Gas</t>
        </is>
      </c>
      <c r="J22" t="inlineStr">
        <is>
          <t>Oil &amp; Gas Supply Chain</t>
        </is>
      </c>
      <c r="K22" t="n">
        <v>865</v>
      </c>
      <c r="L22" t="n">
        <v>865</v>
      </c>
      <c r="M22" t="n">
        <v>-0.64</v>
      </c>
      <c r="N22" t="n">
        <v>19942.19</v>
      </c>
      <c r="O22" t="inlineStr">
        <is>
          <t>United States</t>
        </is>
      </c>
      <c r="P22" t="inlineStr">
        <is>
          <t>United States</t>
        </is>
      </c>
      <c r="Q22" t="inlineStr">
        <is>
          <t>Friendly</t>
        </is>
      </c>
      <c r="R22" t="n">
        <v>7645</v>
      </c>
      <c r="S22" t="n">
        <v>31.1655</v>
      </c>
      <c r="T22" t="inlineStr">
        <is>
          <t>Company Takeover</t>
        </is>
      </c>
      <c r="U22" t="inlineStr">
        <is>
          <t>No</t>
        </is>
      </c>
      <c r="V22" t="inlineStr">
        <is>
          <t>No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No</t>
        </is>
      </c>
      <c r="AA22" t="n">
        <v>4.379508383</v>
      </c>
      <c r="AB22" t="n">
        <v>3.88337749</v>
      </c>
      <c r="AC22" t="n">
        <v>4.29977285</v>
      </c>
      <c r="AD22">
        <f t="array" ref="AD22">IF(SUMPRODUCT(--($AM$2:$AM$112=TRIM(LEFT($B22,IFERROR(FIND(" ",$B22)-1,LEN($B22))))))&gt;0,1,0)</f>
        <v/>
      </c>
      <c r="AE22">
        <f t="array" ref="AE22">IF(SUMPRODUCT(--($AO$2:$AO$145=TRIM(LEFT($B22,IFERROR(FIND(" ",$B22)-1,LEN($B22))))))&gt;0,1,0)</f>
        <v/>
      </c>
      <c r="AF22">
        <f t="array" ref="AF22">IF(SUMPRODUCT(--($AQ$2:$AQ$71=TRIM(LEFT($B22,IFERROR(FIND(" ",$B22)-1,LEN($B22))))))&gt;0,1,0)</f>
        <v/>
      </c>
      <c r="AL22" t="inlineStr">
        <is>
          <t>ARCH / CONSO</t>
        </is>
      </c>
      <c r="AM22">
        <f>TRIM(LEFT(AL22,FIND("/",AL22)-1))</f>
        <v/>
      </c>
      <c r="AN22" t="inlineStr">
        <is>
          <t>INFN / Nokia</t>
        </is>
      </c>
      <c r="AO22">
        <f>TRIM(LEFT(AN22,FIND("/",AN22)-1))</f>
        <v/>
      </c>
      <c r="AP22" t="inlineStr">
        <is>
          <t>HAYN / Aceri</t>
        </is>
      </c>
      <c r="AQ22">
        <f>TRIM(LEFT(AP22,FIND("/",AP22)-1))</f>
        <v/>
      </c>
    </row>
    <row r="23">
      <c r="A23" t="n">
        <v>31</v>
      </c>
      <c r="B23" t="inlineStr">
        <is>
          <t>TERN US</t>
        </is>
      </c>
      <c r="C23" t="inlineStr">
        <is>
          <t>MRK US</t>
        </is>
      </c>
      <c r="D23" s="1" t="n">
        <v>46106</v>
      </c>
      <c r="E23" t="n">
        <v>5470.06</v>
      </c>
      <c r="F23" t="inlineStr">
        <is>
          <t>Cash</t>
        </is>
      </c>
      <c r="H23" t="inlineStr">
        <is>
          <t>Health Care</t>
        </is>
      </c>
      <c r="I23" t="inlineStr">
        <is>
          <t>Health Care</t>
        </is>
      </c>
      <c r="J23" t="inlineStr">
        <is>
          <t>Biotech &amp; Pharma</t>
        </is>
      </c>
      <c r="K23" t="n">
        <v>270</v>
      </c>
      <c r="L23" t="n">
        <v>235</v>
      </c>
      <c r="M23" t="n">
        <v>17.8</v>
      </c>
      <c r="N23" t="n">
        <v>5764.67</v>
      </c>
      <c r="O23" t="inlineStr">
        <is>
          <t>United States</t>
        </is>
      </c>
      <c r="P23" t="inlineStr">
        <is>
          <t>United States</t>
        </is>
      </c>
      <c r="Q23" t="inlineStr">
        <is>
          <t>Friendly</t>
        </is>
      </c>
      <c r="T23" t="inlineStr">
        <is>
          <t>Company Takeover, Tender Offer, Squeeze out</t>
        </is>
      </c>
      <c r="U23" t="inlineStr">
        <is>
          <t>No</t>
        </is>
      </c>
      <c r="V23" t="inlineStr">
        <is>
          <t>No</t>
        </is>
      </c>
      <c r="W23" t="inlineStr">
        <is>
          <t>No</t>
        </is>
      </c>
      <c r="X23" t="inlineStr">
        <is>
          <t>No</t>
        </is>
      </c>
      <c r="Y23" t="inlineStr">
        <is>
          <t>No</t>
        </is>
      </c>
      <c r="Z23" t="inlineStr">
        <is>
          <t>Yes</t>
        </is>
      </c>
      <c r="AA23" t="n">
        <v>3.73799209</v>
      </c>
      <c r="AC23" t="n">
        <v>3.760774451</v>
      </c>
      <c r="AD23">
        <f t="array" ref="AD23">IF(SUMPRODUCT(--($AM$2:$AM$112=TRIM(LEFT($B23,IFERROR(FIND(" ",$B23)-1,LEN($B23))))))&gt;0,1,0)</f>
        <v/>
      </c>
      <c r="AE23">
        <f t="array" ref="AE23">IF(SUMPRODUCT(--($AO$2:$AO$145=TRIM(LEFT($B23,IFERROR(FIND(" ",$B23)-1,LEN($B23))))))&gt;0,1,0)</f>
        <v/>
      </c>
      <c r="AF23">
        <f t="array" ref="AF23">IF(SUMPRODUCT(--($AQ$2:$AQ$71=TRIM(LEFT($B23,IFERROR(FIND(" ",$B23)-1,LEN($B23))))))&gt;0,1,0)</f>
        <v/>
      </c>
      <c r="AL23" t="inlineStr">
        <is>
          <t>ALE / Canad</t>
        </is>
      </c>
      <c r="AM23">
        <f>TRIM(LEFT(AL23,FIND("/",AL23)-1))</f>
        <v/>
      </c>
      <c r="AN23" t="inlineStr">
        <is>
          <t>ALE / Canad</t>
        </is>
      </c>
      <c r="AO23">
        <f>TRIM(LEFT(AN23,FIND("/",AN23)-1))</f>
        <v/>
      </c>
      <c r="AP23" t="inlineStr">
        <is>
          <t>TGAN / Renes</t>
        </is>
      </c>
      <c r="AQ23">
        <f>TRIM(LEFT(AP23,FIND("/",AP23)-1))</f>
        <v/>
      </c>
    </row>
    <row r="24">
      <c r="A24" t="n">
        <v>68</v>
      </c>
      <c r="B24" t="inlineStr">
        <is>
          <t>PKST US</t>
        </is>
      </c>
      <c r="C24" t="inlineStr">
        <is>
          <t>BAM CN</t>
        </is>
      </c>
      <c r="D24" s="1" t="n">
        <v>46055</v>
      </c>
      <c r="E24" t="n">
        <v>1485.65</v>
      </c>
      <c r="F24" t="inlineStr">
        <is>
          <t>Cash</t>
        </is>
      </c>
      <c r="G24" t="n">
        <v>51.96</v>
      </c>
      <c r="H24" t="inlineStr">
        <is>
          <t>Real Estate</t>
        </is>
      </c>
      <c r="I24" t="inlineStr">
        <is>
          <t>Real Estate</t>
        </is>
      </c>
      <c r="J24" t="inlineStr">
        <is>
          <t>REIT</t>
        </is>
      </c>
      <c r="L24" t="n">
        <v>16</v>
      </c>
      <c r="M24" t="n">
        <v>47.23</v>
      </c>
      <c r="N24" t="n">
        <v>772.61</v>
      </c>
      <c r="O24" t="inlineStr">
        <is>
          <t>United States</t>
        </is>
      </c>
      <c r="P24" t="inlineStr">
        <is>
          <t>Canada</t>
        </is>
      </c>
      <c r="Q24" t="inlineStr">
        <is>
          <t>Friendly</t>
        </is>
      </c>
      <c r="R24" t="n">
        <v>105.981</v>
      </c>
      <c r="S24" t="n">
        <v>-207.827</v>
      </c>
      <c r="T24" t="inlineStr">
        <is>
          <t>Cross Border, Company Takeover</t>
        </is>
      </c>
      <c r="U24" t="inlineStr">
        <is>
          <t>No</t>
        </is>
      </c>
      <c r="V24" t="inlineStr">
        <is>
          <t>No</t>
        </is>
      </c>
      <c r="W24" t="inlineStr">
        <is>
          <t>Yes</t>
        </is>
      </c>
      <c r="X24" t="inlineStr">
        <is>
          <t>No</t>
        </is>
      </c>
      <c r="Y24" t="inlineStr">
        <is>
          <t>No</t>
        </is>
      </c>
      <c r="Z24" t="inlineStr">
        <is>
          <t>No</t>
        </is>
      </c>
      <c r="AA24" t="n">
        <v>3.171916507</v>
      </c>
      <c r="AB24" t="n">
        <v>2.025228013</v>
      </c>
      <c r="AC24" t="n">
        <v>2.887960325</v>
      </c>
      <c r="AD24">
        <f t="array" ref="AD24">IF(SUMPRODUCT(--($AM$2:$AM$112=TRIM(LEFT($B24,IFERROR(FIND(" ",$B24)-1,LEN($B24))))))&gt;0,1,0)</f>
        <v/>
      </c>
      <c r="AE24">
        <f t="array" ref="AE24">IF(SUMPRODUCT(--($AO$2:$AO$145=TRIM(LEFT($B24,IFERROR(FIND(" ",$B24)-1,LEN($B24))))))&gt;0,1,0)</f>
        <v/>
      </c>
      <c r="AF24">
        <f t="array" ref="AF24">IF(SUMPRODUCT(--($AQ$2:$AQ$71=TRIM(LEFT($B24,IFERROR(FIND(" ",$B24)-1,LEN($B24))))))&gt;0,1,0)</f>
        <v/>
      </c>
      <c r="AL24" t="inlineStr">
        <is>
          <t>ANSS / Synop</t>
        </is>
      </c>
      <c r="AM24">
        <f>TRIM(LEFT(AL24,FIND("/",AL24)-1))</f>
        <v/>
      </c>
      <c r="AN24" t="inlineStr">
        <is>
          <t>NVEI / Adven</t>
        </is>
      </c>
      <c r="AO24">
        <f>TRIM(LEFT(AN24,FIND("/",AN24)-1))</f>
        <v/>
      </c>
      <c r="AP24" t="inlineStr">
        <is>
          <t>X / Nippo</t>
        </is>
      </c>
      <c r="AQ24">
        <f>TRIM(LEFT(AP24,FIND("/",AP24)-1))</f>
        <v/>
      </c>
    </row>
    <row r="25">
      <c r="A25" t="n">
        <v>64</v>
      </c>
      <c r="B25" t="inlineStr">
        <is>
          <t>SOY CN</t>
        </is>
      </c>
      <c r="C25" t="inlineStr">
        <is>
          <t>0809797D US</t>
        </is>
      </c>
      <c r="D25" s="1" t="n">
        <v>46059</v>
      </c>
      <c r="E25" t="n">
        <v>1159.15</v>
      </c>
      <c r="F25" t="inlineStr">
        <is>
          <t>Cash</t>
        </is>
      </c>
      <c r="G25" t="n">
        <v>12.03</v>
      </c>
      <c r="H25" t="inlineStr">
        <is>
          <t>Consumer Staples</t>
        </is>
      </c>
      <c r="I25" t="inlineStr">
        <is>
          <t>Consumer Staple Products</t>
        </is>
      </c>
      <c r="J25" t="inlineStr">
        <is>
          <t>Food</t>
        </is>
      </c>
      <c r="M25" t="n">
        <v>40.08</v>
      </c>
      <c r="N25" t="n">
        <v>785.14</v>
      </c>
      <c r="O25" t="inlineStr">
        <is>
          <t>Canada</t>
        </is>
      </c>
      <c r="P25" t="inlineStr">
        <is>
          <t>United States</t>
        </is>
      </c>
      <c r="Q25" t="inlineStr">
        <is>
          <t>Friendly</t>
        </is>
      </c>
      <c r="R25" t="n">
        <v>817.715</v>
      </c>
      <c r="S25" t="n">
        <v>4.84668</v>
      </c>
      <c r="T25" t="inlineStr">
        <is>
          <t>Going Private, Company Takeover, Cross Border</t>
        </is>
      </c>
      <c r="U25" t="inlineStr">
        <is>
          <t>No</t>
        </is>
      </c>
      <c r="V25" t="inlineStr">
        <is>
          <t>No</t>
        </is>
      </c>
      <c r="W25" t="inlineStr">
        <is>
          <t>Yes</t>
        </is>
      </c>
      <c r="X25" t="inlineStr">
        <is>
          <t>Yes</t>
        </is>
      </c>
      <c r="Y25" t="inlineStr">
        <is>
          <t>No</t>
        </is>
      </c>
      <c r="Z25" t="inlineStr">
        <is>
          <t>No</t>
        </is>
      </c>
      <c r="AA25" t="n">
        <v>3.06413964</v>
      </c>
      <c r="AB25" t="n">
        <v>2.912601964</v>
      </c>
      <c r="AC25" t="n">
        <v>2.894947104</v>
      </c>
      <c r="AD25">
        <f t="array" ref="AD25">IF(SUMPRODUCT(--($AM$2:$AM$112=TRIM(LEFT($B25,IFERROR(FIND(" ",$B25)-1,LEN($B25))))))&gt;0,1,0)</f>
        <v/>
      </c>
      <c r="AE25">
        <f t="array" ref="AE25">IF(SUMPRODUCT(--($AO$2:$AO$145=TRIM(LEFT($B25,IFERROR(FIND(" ",$B25)-1,LEN($B25))))))&gt;0,1,0)</f>
        <v/>
      </c>
      <c r="AF25">
        <f t="array" ref="AF25">IF(SUMPRODUCT(--($AQ$2:$AQ$71=TRIM(LEFT($B25,IFERROR(FIND(" ",$B25)-1,LEN($B25))))))&gt;0,1,0)</f>
        <v/>
      </c>
      <c r="AL25" t="inlineStr">
        <is>
          <t>HOLI / Ascen</t>
        </is>
      </c>
      <c r="AM25">
        <f>TRIM(LEFT(AL25,FIND("/",AL25)-1))</f>
        <v/>
      </c>
      <c r="AN25" t="inlineStr">
        <is>
          <t xml:space="preserve">CTLT / Novo </t>
        </is>
      </c>
      <c r="AO25">
        <f>TRIM(LEFT(AN25,FIND("/",AN25)-1))</f>
        <v/>
      </c>
      <c r="AP25" t="inlineStr">
        <is>
          <t xml:space="preserve">LVOX / NICE </t>
        </is>
      </c>
      <c r="AQ25">
        <f>TRIM(LEFT(AP25,FIND("/",AP25)-1))</f>
        <v/>
      </c>
    </row>
    <row r="26">
      <c r="A26" t="n">
        <v>127</v>
      </c>
      <c r="B26" t="inlineStr">
        <is>
          <t>GDEN US</t>
        </is>
      </c>
      <c r="C26" t="inlineStr">
        <is>
          <t>VICI US</t>
        </is>
      </c>
      <c r="D26" s="1" t="n">
        <v>45967</v>
      </c>
      <c r="E26" t="n">
        <v>1189.11</v>
      </c>
      <c r="F26" t="inlineStr">
        <is>
          <t>Stock</t>
        </is>
      </c>
      <c r="G26" t="n">
        <v>5.34</v>
      </c>
      <c r="H26" t="inlineStr">
        <is>
          <t>Consumer Discretionary</t>
        </is>
      </c>
      <c r="I26" t="inlineStr">
        <is>
          <t>Consumer Discretionary Services</t>
        </is>
      </c>
      <c r="J26" t="inlineStr">
        <is>
          <t>Leisure Facilities &amp; Services</t>
        </is>
      </c>
      <c r="K26" t="n">
        <v>10</v>
      </c>
      <c r="L26" t="n">
        <v>37</v>
      </c>
      <c r="M26" t="n">
        <v>27.22</v>
      </c>
      <c r="N26" t="n">
        <v>725.01</v>
      </c>
      <c r="O26" t="inlineStr">
        <is>
          <t>United States</t>
        </is>
      </c>
      <c r="P26" t="inlineStr">
        <is>
          <t>United States</t>
        </is>
      </c>
      <c r="Q26" t="inlineStr">
        <is>
          <t>Friendly</t>
        </is>
      </c>
      <c r="R26" t="n">
        <v>634.9109999999999</v>
      </c>
      <c r="S26" t="n">
        <v>3.39118</v>
      </c>
      <c r="T26" t="inlineStr">
        <is>
          <t>Company Takeover</t>
        </is>
      </c>
      <c r="U26" t="inlineStr">
        <is>
          <t>No</t>
        </is>
      </c>
      <c r="V26" t="inlineStr">
        <is>
          <t>No</t>
        </is>
      </c>
      <c r="W26" t="inlineStr">
        <is>
          <t>No</t>
        </is>
      </c>
      <c r="X26" t="inlineStr">
        <is>
          <t>No</t>
        </is>
      </c>
      <c r="Y26" t="inlineStr">
        <is>
          <t>No</t>
        </is>
      </c>
      <c r="Z26" t="inlineStr">
        <is>
          <t>No</t>
        </is>
      </c>
      <c r="AA26" t="n">
        <v>3.075222031</v>
      </c>
      <c r="AB26" t="n">
        <v>2.802712851</v>
      </c>
      <c r="AC26" t="n">
        <v>2.860343997</v>
      </c>
      <c r="AD26">
        <f t="array" ref="AD26">IF(SUMPRODUCT(--($AM$2:$AM$112=TRIM(LEFT($B26,IFERROR(FIND(" ",$B26)-1,LEN($B26))))))&gt;0,1,0)</f>
        <v/>
      </c>
      <c r="AE26">
        <f t="array" ref="AE26">IF(SUMPRODUCT(--($AO$2:$AO$145=TRIM(LEFT($B26,IFERROR(FIND(" ",$B26)-1,LEN($B26))))))&gt;0,1,0)</f>
        <v/>
      </c>
      <c r="AF26">
        <f t="array" ref="AF26">IF(SUMPRODUCT(--($AQ$2:$AQ$71=TRIM(LEFT($B26,IFERROR(FIND(" ",$B26)-1,LEN($B26))))))&gt;0,1,0)</f>
        <v/>
      </c>
      <c r="AL26" t="inlineStr">
        <is>
          <t>TGH / Stone</t>
        </is>
      </c>
      <c r="AM26">
        <f>TRIM(LEFT(AL26,FIND("/",AL26)-1))</f>
        <v/>
      </c>
      <c r="AN26" t="inlineStr">
        <is>
          <t>ANSS / Synop</t>
        </is>
      </c>
      <c r="AO26">
        <f>TRIM(LEFT(AN26,FIND("/",AN26)-1))</f>
        <v/>
      </c>
      <c r="AP26" t="inlineStr">
        <is>
          <t>CTG / Ceged</t>
        </is>
      </c>
      <c r="AQ26">
        <f>TRIM(LEFT(AP26,FIND("/",AP26)-1))</f>
        <v/>
      </c>
    </row>
    <row r="27">
      <c r="A27" t="n">
        <v>48</v>
      </c>
      <c r="B27" t="inlineStr">
        <is>
          <t>ACLX US</t>
        </is>
      </c>
      <c r="C27" t="inlineStr">
        <is>
          <t>GILD US</t>
        </is>
      </c>
      <c r="D27" s="1" t="n">
        <v>46076</v>
      </c>
      <c r="E27" t="n">
        <v>5360.74</v>
      </c>
      <c r="F27" t="inlineStr">
        <is>
          <t>Cash</t>
        </is>
      </c>
      <c r="H27" t="inlineStr">
        <is>
          <t>Health Care</t>
        </is>
      </c>
      <c r="I27" t="inlineStr">
        <is>
          <t>Health Care</t>
        </is>
      </c>
      <c r="J27" t="inlineStr">
        <is>
          <t>Biotech &amp; Pharma</t>
        </is>
      </c>
      <c r="L27" t="n">
        <v>260</v>
      </c>
      <c r="M27" t="n">
        <v>68.41</v>
      </c>
      <c r="N27" t="n">
        <v>5884.92</v>
      </c>
      <c r="O27" t="inlineStr">
        <is>
          <t>United States</t>
        </is>
      </c>
      <c r="P27" t="inlineStr">
        <is>
          <t>United States</t>
        </is>
      </c>
      <c r="Q27" t="inlineStr">
        <is>
          <t>Friendly</t>
        </is>
      </c>
      <c r="R27" t="n">
        <v>22.286</v>
      </c>
      <c r="S27" t="n">
        <v>-1135.61</v>
      </c>
      <c r="T27" t="inlineStr">
        <is>
          <t>Additional Stake Purchase, Company Takeover, Tender Offer, Squeeze out</t>
        </is>
      </c>
      <c r="U27" t="inlineStr">
        <is>
          <t>Yes</t>
        </is>
      </c>
      <c r="V27" t="inlineStr">
        <is>
          <t>No</t>
        </is>
      </c>
      <c r="W27" t="inlineStr">
        <is>
          <t>No</t>
        </is>
      </c>
      <c r="X27" t="inlineStr">
        <is>
          <t>No</t>
        </is>
      </c>
      <c r="Y27" t="inlineStr">
        <is>
          <t>No</t>
        </is>
      </c>
      <c r="Z27" t="inlineStr">
        <is>
          <t>Yes</t>
        </is>
      </c>
      <c r="AA27" t="n">
        <v>3.729224744</v>
      </c>
      <c r="AB27" t="n">
        <v>1.348032126</v>
      </c>
      <c r="AC27" t="n">
        <v>3.769740563</v>
      </c>
      <c r="AD27">
        <f t="array" ref="AD27">IF(SUMPRODUCT(--($AM$2:$AM$112=TRIM(LEFT($B27,IFERROR(FIND(" ",$B27)-1,LEN($B27))))))&gt;0,1,0)</f>
        <v/>
      </c>
      <c r="AE27">
        <f t="array" ref="AE27">IF(SUMPRODUCT(--($AO$2:$AO$145=TRIM(LEFT($B27,IFERROR(FIND(" ",$B27)-1,LEN($B27))))))&gt;0,1,0)</f>
        <v/>
      </c>
      <c r="AF27">
        <f t="array" ref="AF27">IF(SUMPRODUCT(--($AQ$2:$AQ$71=TRIM(LEFT($B27,IFERROR(FIND(" ",$B27)-1,LEN($B27))))))&gt;0,1,0)</f>
        <v/>
      </c>
      <c r="AL27" t="inlineStr">
        <is>
          <t>CPRI / Tapes</t>
        </is>
      </c>
      <c r="AM27">
        <f>TRIM(LEFT(AL27,FIND("/",AL27)-1))</f>
        <v/>
      </c>
      <c r="AN27" t="inlineStr">
        <is>
          <t>JNPR / Hewle</t>
        </is>
      </c>
      <c r="AO27">
        <f>TRIM(LEFT(AN27,FIND("/",AN27)-1))</f>
        <v/>
      </c>
      <c r="AP27" t="inlineStr">
        <is>
          <t>SQNS / Renes</t>
        </is>
      </c>
      <c r="AQ27">
        <f>TRIM(LEFT(AP27,FIND("/",AP27)-1))</f>
        <v/>
      </c>
    </row>
    <row r="28">
      <c r="A28" t="n">
        <v>119</v>
      </c>
      <c r="B28" t="inlineStr">
        <is>
          <t>ECN CN</t>
        </is>
      </c>
      <c r="D28" s="1" t="n">
        <v>45975</v>
      </c>
      <c r="E28" t="n">
        <v>622.17</v>
      </c>
      <c r="F28" t="inlineStr">
        <is>
          <t>Cash</t>
        </is>
      </c>
      <c r="G28" t="n">
        <v>6.7</v>
      </c>
      <c r="H28" t="inlineStr">
        <is>
          <t>Financials</t>
        </is>
      </c>
      <c r="I28" t="inlineStr">
        <is>
          <t>Financial Services</t>
        </is>
      </c>
      <c r="J28" t="inlineStr">
        <is>
          <t>Specialty Finance</t>
        </is>
      </c>
      <c r="M28" t="n">
        <v>8.81</v>
      </c>
      <c r="N28" t="n">
        <v>622.17</v>
      </c>
      <c r="O28" t="inlineStr">
        <is>
          <t>Canada</t>
        </is>
      </c>
      <c r="P28" t="inlineStr">
        <is>
          <t>Canada</t>
        </is>
      </c>
      <c r="Q28" t="inlineStr">
        <is>
          <t>Friendly</t>
        </is>
      </c>
      <c r="R28" t="n">
        <v>273.792</v>
      </c>
      <c r="S28" t="n">
        <v>16.0845</v>
      </c>
      <c r="T28" t="inlineStr">
        <is>
          <t>Company Takeover, Cross Border, Private Equity, Going Private</t>
        </is>
      </c>
      <c r="U28" t="inlineStr">
        <is>
          <t>No</t>
        </is>
      </c>
      <c r="V28" t="inlineStr">
        <is>
          <t>No</t>
        </is>
      </c>
      <c r="W28" t="inlineStr">
        <is>
          <t>Yes</t>
        </is>
      </c>
      <c r="X28" t="inlineStr">
        <is>
          <t>Yes</t>
        </is>
      </c>
      <c r="Y28" t="inlineStr">
        <is>
          <t>No</t>
        </is>
      </c>
      <c r="Z28" t="inlineStr">
        <is>
          <t>No</t>
        </is>
      </c>
      <c r="AA28" t="n">
        <v>2.793909066</v>
      </c>
      <c r="AB28" t="n">
        <v>2.437420754</v>
      </c>
      <c r="AC28" t="n">
        <v>2.793909066</v>
      </c>
      <c r="AD28">
        <f t="array" ref="AD28">IF(SUMPRODUCT(--($AM$2:$AM$112=TRIM(LEFT($B28,IFERROR(FIND(" ",$B28)-1,LEN($B28))))))&gt;0,1,0)</f>
        <v/>
      </c>
      <c r="AE28">
        <f t="array" ref="AE28">IF(SUMPRODUCT(--($AO$2:$AO$145=TRIM(LEFT($B28,IFERROR(FIND(" ",$B28)-1,LEN($B28))))))&gt;0,1,0)</f>
        <v/>
      </c>
      <c r="AF28">
        <f t="array" ref="AF28">IF(SUMPRODUCT(--($AQ$2:$AQ$71=TRIM(LEFT($B28,IFERROR(FIND(" ",$B28)-1,LEN($B28))))))&gt;0,1,0)</f>
        <v/>
      </c>
      <c r="AL28" t="inlineStr">
        <is>
          <t>VRTV / Clayt</t>
        </is>
      </c>
      <c r="AM28">
        <f>TRIM(LEFT(AL28,FIND("/",AL28)-1))</f>
        <v/>
      </c>
      <c r="AN28" t="inlineStr">
        <is>
          <t>AYX / Clear</t>
        </is>
      </c>
      <c r="AO28">
        <f>TRIM(LEFT(AN28,FIND("/",AN28)-1))</f>
        <v/>
      </c>
      <c r="AP28" t="inlineStr">
        <is>
          <t>DM / Strat</t>
        </is>
      </c>
      <c r="AQ28">
        <f>TRIM(LEFT(AP28,FIND("/",AP28)-1))</f>
        <v/>
      </c>
    </row>
    <row r="29">
      <c r="A29" t="n">
        <v>93</v>
      </c>
      <c r="B29" t="inlineStr">
        <is>
          <t>FOLD US</t>
        </is>
      </c>
      <c r="C29" t="inlineStr">
        <is>
          <t>BMRN US</t>
        </is>
      </c>
      <c r="D29" s="1" t="n">
        <v>46010</v>
      </c>
      <c r="E29" t="n">
        <v>4710.71</v>
      </c>
      <c r="F29" t="inlineStr">
        <is>
          <t>Cash</t>
        </is>
      </c>
      <c r="G29" t="n">
        <v>117.41</v>
      </c>
      <c r="H29" t="inlineStr">
        <is>
          <t>Health Care</t>
        </is>
      </c>
      <c r="I29" t="inlineStr">
        <is>
          <t>Health Care</t>
        </is>
      </c>
      <c r="J29" t="inlineStr">
        <is>
          <t>Biotech &amp; Pharma</t>
        </is>
      </c>
      <c r="M29" t="n">
        <v>43.92</v>
      </c>
      <c r="N29" t="n">
        <v>4531.73</v>
      </c>
      <c r="O29" t="inlineStr">
        <is>
          <t>United States</t>
        </is>
      </c>
      <c r="P29" t="inlineStr">
        <is>
          <t>United States</t>
        </is>
      </c>
      <c r="Q29" t="inlineStr">
        <is>
          <t>Friendly</t>
        </is>
      </c>
      <c r="R29" t="n">
        <v>634.21</v>
      </c>
      <c r="S29" t="n">
        <v>5.17005</v>
      </c>
      <c r="T29" t="inlineStr">
        <is>
          <t>Company Takeover</t>
        </is>
      </c>
      <c r="U29" t="inlineStr">
        <is>
          <t>No</t>
        </is>
      </c>
      <c r="V29" t="inlineStr">
        <is>
          <t>No</t>
        </is>
      </c>
      <c r="W29" t="inlineStr">
        <is>
          <t>No</t>
        </is>
      </c>
      <c r="X29" t="inlineStr">
        <is>
          <t>No</t>
        </is>
      </c>
      <c r="Y29" t="inlineStr">
        <is>
          <t>No</t>
        </is>
      </c>
      <c r="Z29" t="inlineStr">
        <is>
          <t>No</t>
        </is>
      </c>
      <c r="AA29" t="n">
        <v>3.673086369</v>
      </c>
      <c r="AB29" t="n">
        <v>2.802233086</v>
      </c>
      <c r="AC29" t="n">
        <v>3.656264027</v>
      </c>
      <c r="AD29">
        <f t="array" ref="AD29">IF(SUMPRODUCT(--($AM$2:$AM$112=TRIM(LEFT($B29,IFERROR(FIND(" ",$B29)-1,LEN($B29))))))&gt;0,1,0)</f>
        <v/>
      </c>
      <c r="AE29">
        <f t="array" ref="AE29">IF(SUMPRODUCT(--($AO$2:$AO$145=TRIM(LEFT($B29,IFERROR(FIND(" ",$B29)-1,LEN($B29))))))&gt;0,1,0)</f>
        <v/>
      </c>
      <c r="AF29">
        <f t="array" ref="AF29">IF(SUMPRODUCT(--($AQ$2:$AQ$71=TRIM(LEFT($B29,IFERROR(FIND(" ",$B29)-1,LEN($B29))))))&gt;0,1,0)</f>
        <v/>
      </c>
      <c r="AL29" t="inlineStr">
        <is>
          <t>LTHM / Allke</t>
        </is>
      </c>
      <c r="AM29">
        <f>TRIM(LEFT(AL29,FIND("/",AL29)-1))</f>
        <v/>
      </c>
      <c r="AN29" t="inlineStr">
        <is>
          <t>X / Nippo</t>
        </is>
      </c>
      <c r="AO29">
        <f>TRIM(LEFT(AN29,FIND("/",AN29)-1))</f>
        <v/>
      </c>
      <c r="AP29" t="inlineStr">
        <is>
          <t>EMAN / Samsu</t>
        </is>
      </c>
      <c r="AQ29">
        <f>TRIM(LEFT(AP29,FIND("/",AP29)-1))</f>
        <v/>
      </c>
    </row>
    <row r="30">
      <c r="A30" t="n">
        <v>115</v>
      </c>
      <c r="B30" t="inlineStr">
        <is>
          <t>SEMR US</t>
        </is>
      </c>
      <c r="C30" t="inlineStr">
        <is>
          <t>ADBE US</t>
        </is>
      </c>
      <c r="D30" s="1" t="n">
        <v>45980</v>
      </c>
      <c r="E30" t="n">
        <v>1528.45</v>
      </c>
      <c r="F30" t="inlineStr">
        <is>
          <t>Cash</t>
        </is>
      </c>
      <c r="G30" t="n">
        <v>64.66</v>
      </c>
      <c r="H30" t="inlineStr">
        <is>
          <t>Technology</t>
        </is>
      </c>
      <c r="I30" t="inlineStr">
        <is>
          <t>Software &amp; Tech Services</t>
        </is>
      </c>
      <c r="J30" t="inlineStr">
        <is>
          <t>Software</t>
        </is>
      </c>
      <c r="L30" t="n">
        <v>63</v>
      </c>
      <c r="M30" t="n">
        <v>63.42</v>
      </c>
      <c r="N30" t="n">
        <v>1790.2</v>
      </c>
      <c r="O30" t="inlineStr">
        <is>
          <t>United States</t>
        </is>
      </c>
      <c r="P30" t="inlineStr">
        <is>
          <t>United States</t>
        </is>
      </c>
      <c r="Q30" t="inlineStr">
        <is>
          <t>Friendly</t>
        </is>
      </c>
      <c r="R30" t="n">
        <v>443.644</v>
      </c>
      <c r="S30" t="n">
        <v>-5.14196</v>
      </c>
      <c r="T30" t="inlineStr">
        <is>
          <t>Company Takeover</t>
        </is>
      </c>
      <c r="U30" t="inlineStr">
        <is>
          <t>No</t>
        </is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No</t>
        </is>
      </c>
      <c r="Z30" t="inlineStr">
        <is>
          <t>No</t>
        </is>
      </c>
      <c r="AA30" t="n">
        <v>3.184251236</v>
      </c>
      <c r="AB30" t="n">
        <v>2.647034612</v>
      </c>
      <c r="AC30" t="n">
        <v>3.252901553</v>
      </c>
      <c r="AD30">
        <f t="array" ref="AD30">IF(SUMPRODUCT(--($AM$2:$AM$112=TRIM(LEFT($B30,IFERROR(FIND(" ",$B30)-1,LEN($B30))))))&gt;0,1,0)</f>
        <v/>
      </c>
      <c r="AE30">
        <f t="array" ref="AE30">IF(SUMPRODUCT(--($AO$2:$AO$145=TRIM(LEFT($B30,IFERROR(FIND(" ",$B30)-1,LEN($B30))))))&gt;0,1,0)</f>
        <v/>
      </c>
      <c r="AF30">
        <f t="array" ref="AF30">IF(SUMPRODUCT(--($AQ$2:$AQ$71=TRIM(LEFT($B30,IFERROR(FIND(" ",$B30)-1,LEN($B30))))))&gt;0,1,0)</f>
        <v/>
      </c>
      <c r="AL30" t="inlineStr">
        <is>
          <t>ARNC / Apoll</t>
        </is>
      </c>
      <c r="AM30">
        <f>TRIM(LEFT(AL30,FIND("/",AL30)-1))</f>
        <v/>
      </c>
      <c r="AN30" t="inlineStr">
        <is>
          <t>SPLK / Cisco</t>
        </is>
      </c>
      <c r="AO30">
        <f>TRIM(LEFT(AN30,FIND("/",AN30)-1))</f>
        <v/>
      </c>
      <c r="AP30" t="inlineStr">
        <is>
          <t>LTHM / Allke</t>
        </is>
      </c>
      <c r="AQ30">
        <f>TRIM(LEFT(AP30,FIND("/",AP30)-1))</f>
        <v/>
      </c>
    </row>
    <row r="31">
      <c r="A31" t="n">
        <v>36</v>
      </c>
      <c r="B31" t="inlineStr">
        <is>
          <t>DAWN US</t>
        </is>
      </c>
      <c r="C31" t="inlineStr">
        <is>
          <t>2296308D FP</t>
        </is>
      </c>
      <c r="D31" s="1" t="n">
        <v>46087</v>
      </c>
      <c r="E31" t="n">
        <v>2016.41</v>
      </c>
      <c r="F31" t="inlineStr">
        <is>
          <t>Cash</t>
        </is>
      </c>
      <c r="H31" t="inlineStr">
        <is>
          <t>Health Care</t>
        </is>
      </c>
      <c r="I31" t="inlineStr">
        <is>
          <t>Health Care</t>
        </is>
      </c>
      <c r="J31" t="inlineStr">
        <is>
          <t>Biotech &amp; Pharma</t>
        </is>
      </c>
      <c r="M31" t="n">
        <v>88.72</v>
      </c>
      <c r="O31" t="inlineStr">
        <is>
          <t>United States</t>
        </is>
      </c>
      <c r="P31" t="inlineStr">
        <is>
          <t>France</t>
        </is>
      </c>
      <c r="Q31" t="inlineStr">
        <is>
          <t>Friendly</t>
        </is>
      </c>
      <c r="R31" t="n">
        <v>158.182</v>
      </c>
      <c r="S31" t="n">
        <v>-80.76139999999999</v>
      </c>
      <c r="T31" t="inlineStr">
        <is>
          <t>Company Takeover, Tender Offer</t>
        </is>
      </c>
      <c r="U31" t="inlineStr">
        <is>
          <t>No</t>
        </is>
      </c>
      <c r="V31" t="inlineStr">
        <is>
          <t>No</t>
        </is>
      </c>
      <c r="W31" t="inlineStr">
        <is>
          <t>No</t>
        </is>
      </c>
      <c r="X31" t="inlineStr">
        <is>
          <t>No</t>
        </is>
      </c>
      <c r="Y31" t="inlineStr">
        <is>
          <t>No</t>
        </is>
      </c>
      <c r="Z31" t="inlineStr">
        <is>
          <t>Yes</t>
        </is>
      </c>
      <c r="AA31" t="n">
        <v>3.304578843</v>
      </c>
      <c r="AB31" t="n">
        <v>2.199157062</v>
      </c>
      <c r="AD31">
        <f t="array" ref="AD31">IF(SUMPRODUCT(--($AM$2:$AM$112=TRIM(LEFT($B31,IFERROR(FIND(" ",$B31)-1,LEN($B31))))))&gt;0,1,0)</f>
        <v/>
      </c>
      <c r="AE31">
        <f t="array" ref="AE31">IF(SUMPRODUCT(--($AO$2:$AO$145=TRIM(LEFT($B31,IFERROR(FIND(" ",$B31)-1,LEN($B31))))))&gt;0,1,0)</f>
        <v/>
      </c>
      <c r="AF31">
        <f t="array" ref="AF31">IF(SUMPRODUCT(--($AQ$2:$AQ$71=TRIM(LEFT($B31,IFERROR(FIND(" ",$B31)-1,LEN($B31))))))&gt;0,1,0)</f>
        <v/>
      </c>
      <c r="AL31" t="inlineStr">
        <is>
          <t>NATI / Emers</t>
        </is>
      </c>
      <c r="AM31">
        <f>TRIM(LEFT(AL31,FIND("/",AL31)-1))</f>
        <v/>
      </c>
      <c r="AN31" t="inlineStr">
        <is>
          <t>WRK / Smurf</t>
        </is>
      </c>
      <c r="AO31">
        <f>TRIM(LEFT(AN31,FIND("/",AN31)-1))</f>
        <v/>
      </c>
      <c r="AP31" t="inlineStr">
        <is>
          <t>TRTN / Brook</t>
        </is>
      </c>
      <c r="AQ31">
        <f>TRIM(LEFT(AP31,FIND("/",AP31)-1))</f>
        <v/>
      </c>
    </row>
    <row r="32">
      <c r="A32" t="n">
        <v>89</v>
      </c>
      <c r="B32" t="inlineStr">
        <is>
          <t>HTBK US</t>
        </is>
      </c>
      <c r="C32" t="inlineStr">
        <is>
          <t>CVBF US</t>
        </is>
      </c>
      <c r="D32" s="1" t="n">
        <v>46008</v>
      </c>
      <c r="E32" t="n">
        <v>784.16</v>
      </c>
      <c r="F32" t="inlineStr">
        <is>
          <t>Stock</t>
        </is>
      </c>
      <c r="H32" t="inlineStr">
        <is>
          <t>Financials</t>
        </is>
      </c>
      <c r="I32" t="inlineStr">
        <is>
          <t>Banking</t>
        </is>
      </c>
      <c r="J32" t="inlineStr">
        <is>
          <t>Banking</t>
        </is>
      </c>
      <c r="K32" t="n">
        <v>32.45</v>
      </c>
      <c r="L32" t="n">
        <v>32.45</v>
      </c>
      <c r="M32" t="n">
        <v>13.78</v>
      </c>
      <c r="N32" t="n">
        <v>784.16</v>
      </c>
      <c r="O32" t="inlineStr">
        <is>
          <t>United States</t>
        </is>
      </c>
      <c r="P32" t="inlineStr">
        <is>
          <t>United States</t>
        </is>
      </c>
      <c r="Q32" t="inlineStr">
        <is>
          <t>Friendly</t>
        </is>
      </c>
      <c r="R32" t="n">
        <v>269.088</v>
      </c>
      <c r="S32" t="n">
        <v>34.3298</v>
      </c>
      <c r="T32" t="inlineStr">
        <is>
          <t>Company Takeover</t>
        </is>
      </c>
      <c r="U32" t="inlineStr">
        <is>
          <t>No</t>
        </is>
      </c>
      <c r="V32" t="inlineStr">
        <is>
          <t>No</t>
        </is>
      </c>
      <c r="W32" t="inlineStr">
        <is>
          <t>No</t>
        </is>
      </c>
      <c r="X32" t="inlineStr">
        <is>
          <t>No</t>
        </is>
      </c>
      <c r="Y32" t="inlineStr">
        <is>
          <t>No</t>
        </is>
      </c>
      <c r="Z32" t="inlineStr">
        <is>
          <t>No</t>
        </is>
      </c>
      <c r="AA32" t="n">
        <v>2.894404685</v>
      </c>
      <c r="AB32" t="n">
        <v>2.429894331</v>
      </c>
      <c r="AC32" t="n">
        <v>2.894404685</v>
      </c>
      <c r="AD32">
        <f t="array" ref="AD32">IF(SUMPRODUCT(--($AM$2:$AM$112=TRIM(LEFT($B32,IFERROR(FIND(" ",$B32)-1,LEN($B32))))))&gt;0,1,0)</f>
        <v/>
      </c>
      <c r="AE32">
        <f t="array" ref="AE32">IF(SUMPRODUCT(--($AO$2:$AO$145=TRIM(LEFT($B32,IFERROR(FIND(" ",$B32)-1,LEN($B32))))))&gt;0,1,0)</f>
        <v/>
      </c>
      <c r="AF32">
        <f t="array" ref="AF32">IF(SUMPRODUCT(--($AQ$2:$AQ$71=TRIM(LEFT($B32,IFERROR(FIND(" ",$B32)-1,LEN($B32))))))&gt;0,1,0)</f>
        <v/>
      </c>
      <c r="AL32" t="inlineStr">
        <is>
          <t>TRTN / Brook</t>
        </is>
      </c>
      <c r="AM32">
        <f>TRIM(LEFT(AL32,FIND("/",AL32)-1))</f>
        <v/>
      </c>
      <c r="AN32" t="inlineStr">
        <is>
          <t>CPRI / Tapes</t>
        </is>
      </c>
      <c r="AO32">
        <f>TRIM(LEFT(AN32,FIND("/",AN32)-1))</f>
        <v/>
      </c>
      <c r="AP32" t="inlineStr">
        <is>
          <t>UNVR / Apoll</t>
        </is>
      </c>
      <c r="AQ32">
        <f>TRIM(LEFT(AP32,FIND("/",AP32)-1))</f>
        <v/>
      </c>
    </row>
    <row r="33">
      <c r="A33" t="n">
        <v>141</v>
      </c>
      <c r="B33" t="inlineStr">
        <is>
          <t>RBX CN</t>
        </is>
      </c>
      <c r="C33" t="inlineStr">
        <is>
          <t>PDI AU</t>
        </is>
      </c>
      <c r="D33" s="1" t="n">
        <v>45936</v>
      </c>
      <c r="E33" t="n">
        <v>703.03</v>
      </c>
      <c r="F33" t="inlineStr">
        <is>
          <t>Stock</t>
        </is>
      </c>
      <c r="G33" t="n">
        <v>11.63</v>
      </c>
      <c r="H33" t="inlineStr">
        <is>
          <t>Materials</t>
        </is>
      </c>
      <c r="I33" t="inlineStr">
        <is>
          <t>Materials</t>
        </is>
      </c>
      <c r="J33" t="inlineStr">
        <is>
          <t>Metals &amp; Mining</t>
        </is>
      </c>
      <c r="M33" t="n">
        <v>0.78</v>
      </c>
      <c r="N33" t="n">
        <v>714.34</v>
      </c>
      <c r="O33" t="inlineStr">
        <is>
          <t>Canada</t>
        </is>
      </c>
      <c r="P33" t="inlineStr">
        <is>
          <t>Australia</t>
        </is>
      </c>
      <c r="Q33" t="inlineStr">
        <is>
          <t>Friendly</t>
        </is>
      </c>
      <c r="R33" t="n">
        <v>159.235</v>
      </c>
      <c r="S33" t="n">
        <v>17.9809</v>
      </c>
      <c r="T33" t="inlineStr">
        <is>
          <t>Cross Border, Company Takeover, Reverse Merger</t>
        </is>
      </c>
      <c r="U33" t="inlineStr">
        <is>
          <t>No</t>
        </is>
      </c>
      <c r="V33" t="inlineStr">
        <is>
          <t>No</t>
        </is>
      </c>
      <c r="W33" t="inlineStr">
        <is>
          <t>Yes</t>
        </is>
      </c>
      <c r="X33" t="inlineStr">
        <is>
          <t>No</t>
        </is>
      </c>
      <c r="Y33" t="inlineStr">
        <is>
          <t>No</t>
        </is>
      </c>
      <c r="Z33" t="inlineStr">
        <is>
          <t>No</t>
        </is>
      </c>
      <c r="AA33" t="n">
        <v>2.846973858</v>
      </c>
      <c r="AB33" t="n">
        <v>2.202038532</v>
      </c>
      <c r="AC33" t="n">
        <v>2.853904969</v>
      </c>
      <c r="AD33">
        <f t="array" ref="AD33">IF(SUMPRODUCT(--($AM$2:$AM$112=TRIM(LEFT($B33,IFERROR(FIND(" ",$B33)-1,LEN($B33))))))&gt;0,1,0)</f>
        <v/>
      </c>
      <c r="AE33">
        <f t="array" ref="AE33">IF(SUMPRODUCT(--($AO$2:$AO$145=TRIM(LEFT($B33,IFERROR(FIND(" ",$B33)-1,LEN($B33))))))&gt;0,1,0)</f>
        <v/>
      </c>
      <c r="AF33">
        <f t="array" ref="AF33">IF(SUMPRODUCT(--($AQ$2:$AQ$71=TRIM(LEFT($B33,IFERROR(FIND(" ",$B33)-1,LEN($B33))))))&gt;0,1,0)</f>
        <v/>
      </c>
      <c r="AL33" t="inlineStr">
        <is>
          <t>UNVR / Apoll</t>
        </is>
      </c>
      <c r="AM33">
        <f>TRIM(LEFT(AL33,FIND("/",AL33)-1))</f>
        <v/>
      </c>
      <c r="AN33" t="inlineStr">
        <is>
          <t>NEWR / Franc</t>
        </is>
      </c>
      <c r="AO33">
        <f>TRIM(LEFT(AN33,FIND("/",AN33)-1))</f>
        <v/>
      </c>
      <c r="AP33" t="inlineStr">
        <is>
          <t>INDT / Cente</t>
        </is>
      </c>
      <c r="AQ33">
        <f>TRIM(LEFT(AP33,FIND("/",AP33)-1))</f>
        <v/>
      </c>
    </row>
    <row r="34">
      <c r="A34" t="n">
        <v>54</v>
      </c>
      <c r="B34" t="inlineStr">
        <is>
          <t>FOM CN</t>
        </is>
      </c>
      <c r="C34" t="inlineStr">
        <is>
          <t>ELD CN</t>
        </is>
      </c>
      <c r="D34" s="1" t="n">
        <v>46055</v>
      </c>
      <c r="E34" t="n">
        <v>2343.32</v>
      </c>
      <c r="F34" t="inlineStr">
        <is>
          <t>Cash and Stock</t>
        </is>
      </c>
      <c r="H34" t="inlineStr">
        <is>
          <t>Materials</t>
        </is>
      </c>
      <c r="I34" t="inlineStr">
        <is>
          <t>Materials</t>
        </is>
      </c>
      <c r="J34" t="inlineStr">
        <is>
          <t>Metals &amp; Mining</t>
        </is>
      </c>
      <c r="M34" t="n">
        <v>6.8</v>
      </c>
      <c r="N34" t="n">
        <v>2586.39</v>
      </c>
      <c r="O34" t="inlineStr">
        <is>
          <t>Canada</t>
        </is>
      </c>
      <c r="P34" t="inlineStr">
        <is>
          <t>Turkey</t>
        </is>
      </c>
      <c r="Q34" t="inlineStr">
        <is>
          <t>Friendly</t>
        </is>
      </c>
      <c r="T34" t="inlineStr">
        <is>
          <t>Cross Border, Company Takeover</t>
        </is>
      </c>
      <c r="U34" t="inlineStr">
        <is>
          <t>No</t>
        </is>
      </c>
      <c r="V34" t="inlineStr">
        <is>
          <t>No</t>
        </is>
      </c>
      <c r="W34" t="inlineStr">
        <is>
          <t>Yes</t>
        </is>
      </c>
      <c r="X34" t="inlineStr">
        <is>
          <t>No</t>
        </is>
      </c>
      <c r="Y34" t="inlineStr">
        <is>
          <t>No</t>
        </is>
      </c>
      <c r="Z34" t="inlineStr">
        <is>
          <t>No</t>
        </is>
      </c>
      <c r="AA34" t="n">
        <v>3.369831599</v>
      </c>
      <c r="AC34" t="n">
        <v>3.412694012</v>
      </c>
      <c r="AD34">
        <f t="array" ref="AD34">IF(SUMPRODUCT(--($AM$2:$AM$112=TRIM(LEFT($B34,IFERROR(FIND(" ",$B34)-1,LEN($B34))))))&gt;0,1,0)</f>
        <v/>
      </c>
      <c r="AE34">
        <f t="array" ref="AE34">IF(SUMPRODUCT(--($AO$2:$AO$145=TRIM(LEFT($B34,IFERROR(FIND(" ",$B34)-1,LEN($B34))))))&gt;0,1,0)</f>
        <v/>
      </c>
      <c r="AF34">
        <f t="array" ref="AF34">IF(SUMPRODUCT(--($AQ$2:$AQ$71=TRIM(LEFT($B34,IFERROR(FIND(" ",$B34)-1,LEN($B34))))))&gt;0,1,0)</f>
        <v/>
      </c>
      <c r="AL34" t="inlineStr">
        <is>
          <t>DSEY / Solen</t>
        </is>
      </c>
      <c r="AM34">
        <f>TRIM(LEFT(AL34,FIND("/",AL34)-1))</f>
        <v/>
      </c>
      <c r="AN34" t="inlineStr">
        <is>
          <t>SYNH / Ellio</t>
        </is>
      </c>
      <c r="AO34">
        <f>TRIM(LEFT(AN34,FIND("/",AN34)-1))</f>
        <v/>
      </c>
      <c r="AP34" t="inlineStr">
        <is>
          <t>MAXR / Adven</t>
        </is>
      </c>
      <c r="AQ34">
        <f>TRIM(LEFT(AP34,FIND("/",AP34)-1))</f>
        <v/>
      </c>
    </row>
    <row r="35">
      <c r="A35" t="n">
        <v>104</v>
      </c>
      <c r="B35" t="inlineStr">
        <is>
          <t>SEE US</t>
        </is>
      </c>
      <c r="C35" t="inlineStr">
        <is>
          <t>5056Z US</t>
        </is>
      </c>
      <c r="D35" s="1" t="n">
        <v>45978</v>
      </c>
      <c r="E35" t="n">
        <v>10199.74</v>
      </c>
      <c r="F35" t="inlineStr">
        <is>
          <t>Cash</t>
        </is>
      </c>
      <c r="G35" t="n">
        <v>10.06</v>
      </c>
      <c r="H35" t="inlineStr">
        <is>
          <t>Materials</t>
        </is>
      </c>
      <c r="I35" t="inlineStr">
        <is>
          <t>Materials</t>
        </is>
      </c>
      <c r="J35" t="inlineStr">
        <is>
          <t>Containers &amp; Packaging</t>
        </is>
      </c>
      <c r="M35" t="n">
        <v>17.04</v>
      </c>
      <c r="N35" t="n">
        <v>6201.24</v>
      </c>
      <c r="O35" t="inlineStr">
        <is>
          <t>United States</t>
        </is>
      </c>
      <c r="P35" t="inlineStr">
        <is>
          <t>United States</t>
        </is>
      </c>
      <c r="Q35" t="inlineStr">
        <is>
          <t>Friendly</t>
        </is>
      </c>
      <c r="R35" t="n">
        <v>5359.8</v>
      </c>
      <c r="S35" t="n">
        <v>13.5397</v>
      </c>
      <c r="T35" t="inlineStr">
        <is>
          <t>PE Buyout, Private Equity, Company Takeover, Going Private</t>
        </is>
      </c>
      <c r="U35" t="inlineStr">
        <is>
          <t>No</t>
        </is>
      </c>
      <c r="V35" t="inlineStr">
        <is>
          <t>No</t>
        </is>
      </c>
      <c r="W35" t="inlineStr">
        <is>
          <t>No</t>
        </is>
      </c>
      <c r="X35" t="inlineStr">
        <is>
          <t>Yes</t>
        </is>
      </c>
      <c r="Y35" t="inlineStr">
        <is>
          <t>Yes</t>
        </is>
      </c>
      <c r="Z35" t="inlineStr">
        <is>
          <t>No</t>
        </is>
      </c>
      <c r="AA35" t="n">
        <v>4.008589101</v>
      </c>
      <c r="AB35" t="n">
        <v>3.729148584</v>
      </c>
      <c r="AC35" t="n">
        <v>3.79247854</v>
      </c>
      <c r="AD35">
        <f t="array" ref="AD35">IF(SUMPRODUCT(--($AM$2:$AM$112=TRIM(LEFT($B35,IFERROR(FIND(" ",$B35)-1,LEN($B35))))))&gt;0,1,0)</f>
        <v/>
      </c>
      <c r="AE35">
        <f t="array" ref="AE35">IF(SUMPRODUCT(--($AO$2:$AO$145=TRIM(LEFT($B35,IFERROR(FIND(" ",$B35)-1,LEN($B35))))))&gt;0,1,0)</f>
        <v/>
      </c>
      <c r="AF35">
        <f t="array" ref="AF35">IF(SUMPRODUCT(--($AQ$2:$AQ$71=TRIM(LEFT($B35,IFERROR(FIND(" ",$B35)-1,LEN($B35))))))&gt;0,1,0)</f>
        <v/>
      </c>
      <c r="AL35" t="inlineStr">
        <is>
          <t>RADI / EQT A</t>
        </is>
      </c>
      <c r="AM35">
        <f>TRIM(LEFT(AL35,FIND("/",AL35)-1))</f>
        <v/>
      </c>
      <c r="AN35" t="inlineStr">
        <is>
          <t>ARNC / Apoll</t>
        </is>
      </c>
      <c r="AO35">
        <f>TRIM(LEFT(AN35,FIND("/",AN35)-1))</f>
        <v/>
      </c>
      <c r="AP35" t="inlineStr">
        <is>
          <t>COUP / Thoma</t>
        </is>
      </c>
      <c r="AQ35">
        <f>TRIM(LEFT(AP35,FIND("/",AP35)-1))</f>
        <v/>
      </c>
    </row>
    <row r="36">
      <c r="A36" t="n">
        <v>122</v>
      </c>
      <c r="B36" t="inlineStr">
        <is>
          <t>HOLX US</t>
        </is>
      </c>
      <c r="D36" s="1" t="n">
        <v>45951</v>
      </c>
      <c r="E36" t="n">
        <v>17547.27</v>
      </c>
      <c r="F36" t="inlineStr">
        <is>
          <t>Cash</t>
        </is>
      </c>
      <c r="G36" t="n">
        <v>16.75</v>
      </c>
      <c r="H36" t="inlineStr">
        <is>
          <t>Health Care</t>
        </is>
      </c>
      <c r="I36" t="inlineStr">
        <is>
          <t>Health Care</t>
        </is>
      </c>
      <c r="J36" t="inlineStr">
        <is>
          <t>Medical Equipment &amp; Devices</t>
        </is>
      </c>
      <c r="K36" t="n">
        <v>900</v>
      </c>
      <c r="L36" t="n">
        <v>540</v>
      </c>
      <c r="M36" t="n">
        <v>12.32</v>
      </c>
      <c r="N36" t="n">
        <v>16903.87</v>
      </c>
      <c r="O36" t="inlineStr">
        <is>
          <t>United States</t>
        </is>
      </c>
      <c r="P36" t="inlineStr">
        <is>
          <t>United States</t>
        </is>
      </c>
      <c r="Q36" t="inlineStr">
        <is>
          <t>Friendly</t>
        </is>
      </c>
      <c r="R36" t="n">
        <v>4100.5</v>
      </c>
      <c r="S36" t="n">
        <v>17.4874</v>
      </c>
      <c r="T36" t="inlineStr">
        <is>
          <t>Private Equity, Company Takeover, PE Buyout</t>
        </is>
      </c>
      <c r="U36" t="inlineStr">
        <is>
          <t>No</t>
        </is>
      </c>
      <c r="V36" t="inlineStr">
        <is>
          <t>No</t>
        </is>
      </c>
      <c r="W36" t="inlineStr">
        <is>
          <t>No</t>
        </is>
      </c>
      <c r="X36" t="inlineStr">
        <is>
          <t>No</t>
        </is>
      </c>
      <c r="Y36" t="inlineStr">
        <is>
          <t>Yes</t>
        </is>
      </c>
      <c r="Z36" t="inlineStr">
        <is>
          <t>No</t>
        </is>
      </c>
      <c r="AA36" t="n">
        <v>4.244209559</v>
      </c>
      <c r="AB36" t="n">
        <v>3.612836816</v>
      </c>
      <c r="AC36" t="n">
        <v>4.227986144</v>
      </c>
      <c r="AD36">
        <f t="array" ref="AD36">IF(SUMPRODUCT(--($AM$2:$AM$112=TRIM(LEFT($B36,IFERROR(FIND(" ",$B36)-1,LEN($B36))))))&gt;0,1,0)</f>
        <v/>
      </c>
      <c r="AE36">
        <f t="array" ref="AE36">IF(SUMPRODUCT(--($AO$2:$AO$145=TRIM(LEFT($B36,IFERROR(FIND(" ",$B36)-1,LEN($B36))))))&gt;0,1,0)</f>
        <v/>
      </c>
      <c r="AF36">
        <f t="array" ref="AF36">IF(SUMPRODUCT(--($AQ$2:$AQ$71=TRIM(LEFT($B36,IFERROR(FIND(" ",$B36)-1,LEN($B36))))))&gt;0,1,0)</f>
        <v/>
      </c>
      <c r="AL36" t="inlineStr">
        <is>
          <t>AQUA / Xylem</t>
        </is>
      </c>
      <c r="AM36">
        <f>TRIM(LEFT(AL36,FIND("/",AL36)-1))</f>
        <v/>
      </c>
      <c r="AN36" t="inlineStr">
        <is>
          <t>NATI / Emers</t>
        </is>
      </c>
      <c r="AO36">
        <f>TRIM(LEFT(AN36,FIND("/",AN36)-1))</f>
        <v/>
      </c>
      <c r="AP36" t="inlineStr">
        <is>
          <t>OPNT / Indiv</t>
        </is>
      </c>
      <c r="AQ36">
        <f>TRIM(LEFT(AP36,FIND("/",AP36)-1))</f>
        <v/>
      </c>
    </row>
    <row r="37">
      <c r="A37" t="n">
        <v>157</v>
      </c>
      <c r="B37" t="inlineStr">
        <is>
          <t>AL US</t>
        </is>
      </c>
      <c r="D37" s="1" t="n">
        <v>45902</v>
      </c>
      <c r="E37" t="n">
        <v>7264.73</v>
      </c>
      <c r="F37" t="inlineStr">
        <is>
          <t>Cash</t>
        </is>
      </c>
      <c r="G37" t="n">
        <v>2.89</v>
      </c>
      <c r="H37" t="inlineStr">
        <is>
          <t>Financials</t>
        </is>
      </c>
      <c r="I37" t="inlineStr">
        <is>
          <t>Financial Services</t>
        </is>
      </c>
      <c r="J37" t="inlineStr">
        <is>
          <t>Specialty Finance</t>
        </is>
      </c>
      <c r="M37" t="n">
        <v>12.37</v>
      </c>
      <c r="N37" t="n">
        <v>7264.73</v>
      </c>
      <c r="O37" t="inlineStr">
        <is>
          <t>United States</t>
        </is>
      </c>
      <c r="P37" t="inlineStr">
        <is>
          <t>Japan</t>
        </is>
      </c>
      <c r="Q37" t="inlineStr">
        <is>
          <t>Friendly</t>
        </is>
      </c>
      <c r="R37" t="n">
        <v>3015.75</v>
      </c>
      <c r="S37" t="n">
        <v>63.983</v>
      </c>
      <c r="T37" t="inlineStr">
        <is>
          <t>Company Takeover, Private Equity, Cross Border, PE Buyout</t>
        </is>
      </c>
      <c r="U37" t="inlineStr">
        <is>
          <t>No</t>
        </is>
      </c>
      <c r="V37" t="inlineStr">
        <is>
          <t>No</t>
        </is>
      </c>
      <c r="W37" t="inlineStr">
        <is>
          <t>Yes</t>
        </is>
      </c>
      <c r="X37" t="inlineStr">
        <is>
          <t>No</t>
        </is>
      </c>
      <c r="Y37" t="inlineStr">
        <is>
          <t>Yes</t>
        </is>
      </c>
      <c r="Z37" t="inlineStr">
        <is>
          <t>No</t>
        </is>
      </c>
      <c r="AA37" t="n">
        <v>3.861219478</v>
      </c>
      <c r="AB37" t="n">
        <v>3.479395336</v>
      </c>
      <c r="AC37" t="n">
        <v>3.861219478</v>
      </c>
      <c r="AD37">
        <f t="array" ref="AD37">IF(SUMPRODUCT(--($AM$2:$AM$112=TRIM(LEFT($B37,IFERROR(FIND(" ",$B37)-1,LEN($B37))))))&gt;0,1,0)</f>
        <v/>
      </c>
      <c r="AE37">
        <f t="array" ref="AE37">IF(SUMPRODUCT(--($AO$2:$AO$145=TRIM(LEFT($B37,IFERROR(FIND(" ",$B37)-1,LEN($B37))))))&gt;0,1,0)</f>
        <v/>
      </c>
      <c r="AF37">
        <f t="array" ref="AF37">IF(SUMPRODUCT(--($AQ$2:$AQ$71=TRIM(LEFT($B37,IFERROR(FIND(" ",$B37)-1,LEN($B37))))))&gt;0,1,0)</f>
        <v/>
      </c>
      <c r="AL37" t="inlineStr">
        <is>
          <t>ATCO / Fairf</t>
        </is>
      </c>
      <c r="AM37">
        <f>TRIM(LEFT(AL37,FIND("/",AL37)-1))</f>
        <v/>
      </c>
      <c r="AN37" t="inlineStr">
        <is>
          <t>TRTN / Brook</t>
        </is>
      </c>
      <c r="AO37">
        <f>TRIM(LEFT(AN37,FIND("/",AN37)-1))</f>
        <v/>
      </c>
      <c r="AP37" t="inlineStr">
        <is>
          <t>AVEO / LG Ch</t>
        </is>
      </c>
      <c r="AQ37">
        <f>TRIM(LEFT(AP37,FIND("/",AP37)-1))</f>
        <v/>
      </c>
    </row>
    <row r="38">
      <c r="A38" t="n">
        <v>63</v>
      </c>
      <c r="B38" t="inlineStr">
        <is>
          <t>OS US</t>
        </is>
      </c>
      <c r="D38" s="1" t="n">
        <v>46028</v>
      </c>
      <c r="E38" t="n">
        <v>6400</v>
      </c>
      <c r="F38" t="inlineStr">
        <is>
          <t>Cash</t>
        </is>
      </c>
      <c r="H38" t="inlineStr">
        <is>
          <t>Technology</t>
        </is>
      </c>
      <c r="I38" t="inlineStr">
        <is>
          <t>Software &amp; Tech Services</t>
        </is>
      </c>
      <c r="J38" t="inlineStr">
        <is>
          <t>Software</t>
        </is>
      </c>
      <c r="N38" t="n">
        <v>7036.15</v>
      </c>
      <c r="O38" t="inlineStr">
        <is>
          <t>United States</t>
        </is>
      </c>
      <c r="P38" t="inlineStr">
        <is>
          <t>United Kingdom</t>
        </is>
      </c>
      <c r="Q38" t="inlineStr">
        <is>
          <t>Friendly</t>
        </is>
      </c>
      <c r="R38" t="n">
        <v>601.934</v>
      </c>
      <c r="S38" t="n">
        <v>-15.7492</v>
      </c>
      <c r="T38" t="inlineStr">
        <is>
          <t>Company Takeover, Cross Border, Private Equity, PE Buyout, Going Private</t>
        </is>
      </c>
      <c r="U38" t="inlineStr">
        <is>
          <t>No</t>
        </is>
      </c>
      <c r="V38" t="inlineStr">
        <is>
          <t>No</t>
        </is>
      </c>
      <c r="W38" t="inlineStr">
        <is>
          <t>Yes</t>
        </is>
      </c>
      <c r="X38" t="inlineStr">
        <is>
          <t>Yes</t>
        </is>
      </c>
      <c r="Y38" t="inlineStr">
        <is>
          <t>Yes</t>
        </is>
      </c>
      <c r="Z38" t="inlineStr">
        <is>
          <t>No</t>
        </is>
      </c>
      <c r="AA38" t="n">
        <v>3.806179974</v>
      </c>
      <c r="AB38" t="n">
        <v>2.779548875</v>
      </c>
      <c r="AC38" t="n">
        <v>3.847335089</v>
      </c>
      <c r="AD38">
        <f t="array" ref="AD38">IF(SUMPRODUCT(--($AM$2:$AM$112=TRIM(LEFT($B38,IFERROR(FIND(" ",$B38)-1,LEN($B38))))))&gt;0,1,0)</f>
        <v/>
      </c>
      <c r="AE38">
        <f t="array" ref="AE38">IF(SUMPRODUCT(--($AO$2:$AO$145=TRIM(LEFT($B38,IFERROR(FIND(" ",$B38)-1,LEN($B38))))))&gt;0,1,0)</f>
        <v/>
      </c>
      <c r="AF38">
        <f t="array" ref="AF38">IF(SUMPRODUCT(--($AQ$2:$AQ$71=TRIM(LEFT($B38,IFERROR(FIND(" ",$B38)-1,LEN($B38))))))&gt;0,1,0)</f>
        <v/>
      </c>
      <c r="AL38" t="inlineStr">
        <is>
          <t>AIMC / Regal</t>
        </is>
      </c>
      <c r="AM38">
        <f>TRIM(LEFT(AL38,FIND("/",AL38)-1))</f>
        <v/>
      </c>
      <c r="AN38" t="inlineStr">
        <is>
          <t>UNVR / Apoll</t>
        </is>
      </c>
      <c r="AO38">
        <f>TRIM(LEFT(AN38,FIND("/",AN38)-1))</f>
        <v/>
      </c>
      <c r="AP38" t="inlineStr">
        <is>
          <t xml:space="preserve">STOR / GIC </t>
        </is>
      </c>
      <c r="AQ38">
        <f>TRIM(LEFT(AP38,FIND("/",AP38)-1))</f>
        <v/>
      </c>
    </row>
    <row r="39">
      <c r="A39" t="n">
        <v>37</v>
      </c>
      <c r="B39" t="inlineStr">
        <is>
          <t>GLDD US</t>
        </is>
      </c>
      <c r="C39" t="inlineStr">
        <is>
          <t>685748Z US</t>
        </is>
      </c>
      <c r="D39" s="1" t="n">
        <v>46064</v>
      </c>
      <c r="E39" t="n">
        <v>1628.07</v>
      </c>
      <c r="F39" t="inlineStr">
        <is>
          <t>Cash</t>
        </is>
      </c>
      <c r="G39" t="n">
        <v>7.34</v>
      </c>
      <c r="H39" t="inlineStr">
        <is>
          <t>Industrials</t>
        </is>
      </c>
      <c r="I39" t="inlineStr">
        <is>
          <t>Industrial Services</t>
        </is>
      </c>
      <c r="J39" t="inlineStr">
        <is>
          <t>Engineering &amp; Construction</t>
        </is>
      </c>
      <c r="M39" t="n">
        <v>12.47</v>
      </c>
      <c r="N39" t="n">
        <v>1155.99</v>
      </c>
      <c r="O39" t="inlineStr">
        <is>
          <t>United States</t>
        </is>
      </c>
      <c r="P39" t="inlineStr">
        <is>
          <t>United States</t>
        </is>
      </c>
      <c r="Q39" t="inlineStr">
        <is>
          <t>Friendly</t>
        </is>
      </c>
      <c r="R39" t="n">
        <v>888.277</v>
      </c>
      <c r="S39" t="n">
        <v>14.3861</v>
      </c>
      <c r="T39" t="inlineStr">
        <is>
          <t>Tender Offer, Going Private, Company Takeover</t>
        </is>
      </c>
      <c r="U39" t="inlineStr">
        <is>
          <t>No</t>
        </is>
      </c>
      <c r="V39" t="inlineStr">
        <is>
          <t>No</t>
        </is>
      </c>
      <c r="W39" t="inlineStr">
        <is>
          <t>No</t>
        </is>
      </c>
      <c r="X39" t="inlineStr">
        <is>
          <t>Yes</t>
        </is>
      </c>
      <c r="Y39" t="inlineStr">
        <is>
          <t>No</t>
        </is>
      </c>
      <c r="Z39" t="inlineStr">
        <is>
          <t>Yes</t>
        </is>
      </c>
      <c r="AA39" t="n">
        <v>3.211673074</v>
      </c>
      <c r="AB39" t="n">
        <v>2.948548417</v>
      </c>
      <c r="AC39" t="n">
        <v>3.062954077</v>
      </c>
      <c r="AD39">
        <f t="array" ref="AD39">IF(SUMPRODUCT(--($AM$2:$AM$112=TRIM(LEFT($B39,IFERROR(FIND(" ",$B39)-1,LEN($B39))))))&gt;0,1,0)</f>
        <v/>
      </c>
      <c r="AE39">
        <f t="array" ref="AE39">IF(SUMPRODUCT(--($AO$2:$AO$145=TRIM(LEFT($B39,IFERROR(FIND(" ",$B39)-1,LEN($B39))))))&gt;0,1,0)</f>
        <v/>
      </c>
      <c r="AF39">
        <f t="array" ref="AF39">IF(SUMPRODUCT(--($AQ$2:$AQ$71=TRIM(LEFT($B39,IFERROR(FIND(" ",$B39)-1,LEN($B39))))))&gt;0,1,0)</f>
        <v/>
      </c>
      <c r="AL39" t="inlineStr">
        <is>
          <t>AAWW / Apoll</t>
        </is>
      </c>
      <c r="AM39">
        <f>TRIM(LEFT(AL39,FIND("/",AL39)-1))</f>
        <v/>
      </c>
      <c r="AN39" t="inlineStr">
        <is>
          <t>SGEN / Pfize</t>
        </is>
      </c>
      <c r="AO39">
        <f>TRIM(LEFT(AN39,FIND("/",AN39)-1))</f>
        <v/>
      </c>
      <c r="AP39" t="inlineStr">
        <is>
          <t>VIVO / SD Bi</t>
        </is>
      </c>
      <c r="AQ39">
        <f>TRIM(LEFT(AP39,FIND("/",AP39)-1))</f>
        <v/>
      </c>
    </row>
    <row r="40">
      <c r="A40" t="n">
        <v>113</v>
      </c>
      <c r="B40" t="inlineStr">
        <is>
          <t>FFWM US</t>
        </is>
      </c>
      <c r="C40" t="inlineStr">
        <is>
          <t>FSUN US</t>
        </is>
      </c>
      <c r="D40" s="1" t="n">
        <v>45957</v>
      </c>
      <c r="E40" t="n">
        <v>526.27</v>
      </c>
      <c r="F40" t="inlineStr">
        <is>
          <t>Stock</t>
        </is>
      </c>
      <c r="H40" t="inlineStr">
        <is>
          <t>Financials</t>
        </is>
      </c>
      <c r="I40" t="inlineStr">
        <is>
          <t>Banking</t>
        </is>
      </c>
      <c r="J40" t="inlineStr">
        <is>
          <t>Banking</t>
        </is>
      </c>
      <c r="M40" t="n">
        <v>13.67</v>
      </c>
      <c r="N40" t="n">
        <v>526.27</v>
      </c>
      <c r="O40" t="inlineStr">
        <is>
          <t>United States</t>
        </is>
      </c>
      <c r="P40" t="inlineStr">
        <is>
          <t>United States</t>
        </is>
      </c>
      <c r="Q40" t="inlineStr">
        <is>
          <t>Friendly</t>
        </is>
      </c>
      <c r="R40" t="n">
        <v>588.3630000000001</v>
      </c>
      <c r="S40" t="n">
        <v>-30.4737</v>
      </c>
      <c r="T40" t="inlineStr">
        <is>
          <t>Company Takeover</t>
        </is>
      </c>
      <c r="U40" t="inlineStr">
        <is>
          <t>No</t>
        </is>
      </c>
      <c r="V40" t="inlineStr">
        <is>
          <t>No</t>
        </is>
      </c>
      <c r="W40" t="inlineStr">
        <is>
          <t>No</t>
        </is>
      </c>
      <c r="X40" t="inlineStr">
        <is>
          <t>No</t>
        </is>
      </c>
      <c r="Y40" t="inlineStr">
        <is>
          <t>No</t>
        </is>
      </c>
      <c r="Z40" t="inlineStr">
        <is>
          <t>No</t>
        </is>
      </c>
      <c r="AA40" t="n">
        <v>2.721208614</v>
      </c>
      <c r="AB40" t="n">
        <v>2.769645354</v>
      </c>
      <c r="AC40" t="n">
        <v>2.721208614</v>
      </c>
      <c r="AD40">
        <f t="array" ref="AD40">IF(SUMPRODUCT(--($AM$2:$AM$112=TRIM(LEFT($B40,IFERROR(FIND(" ",$B40)-1,LEN($B40))))))&gt;0,1,0)</f>
        <v/>
      </c>
      <c r="AE40">
        <f t="array" ref="AE40">IF(SUMPRODUCT(--($AO$2:$AO$145=TRIM(LEFT($B40,IFERROR(FIND(" ",$B40)-1,LEN($B40))))))&gt;0,1,0)</f>
        <v/>
      </c>
      <c r="AF40">
        <f t="array" ref="AF40">IF(SUMPRODUCT(--($AQ$2:$AQ$71=TRIM(LEFT($B40,IFERROR(FIND(" ",$B40)-1,LEN($B40))))))&gt;0,1,0)</f>
        <v/>
      </c>
      <c r="AL40" t="inlineStr">
        <is>
          <t>ZEN / Hellm</t>
        </is>
      </c>
      <c r="AM40">
        <f>TRIM(LEFT(AL40,FIND("/",AL40)-1))</f>
        <v/>
      </c>
      <c r="AN40" t="inlineStr">
        <is>
          <t>DSEY / Solen</t>
        </is>
      </c>
      <c r="AO40">
        <f>TRIM(LEFT(AN40,FIND("/",AN40)-1))</f>
        <v/>
      </c>
      <c r="AP40" t="inlineStr">
        <is>
          <t>USAK / DB Sc</t>
        </is>
      </c>
      <c r="AQ40">
        <f>TRIM(LEFT(AP40,FIND("/",AP40)-1))</f>
        <v/>
      </c>
    </row>
    <row r="41">
      <c r="A41" t="n">
        <v>150</v>
      </c>
      <c r="B41" t="inlineStr">
        <is>
          <t>GCG/A CN</t>
        </is>
      </c>
      <c r="C41" t="inlineStr">
        <is>
          <t>1407Z CN</t>
        </is>
      </c>
      <c r="D41" s="1" t="n">
        <v>45897</v>
      </c>
      <c r="E41" t="n">
        <v>1079.61</v>
      </c>
      <c r="F41" t="inlineStr">
        <is>
          <t>Cash</t>
        </is>
      </c>
      <c r="G41" t="n">
        <v>10.29</v>
      </c>
      <c r="H41" t="inlineStr">
        <is>
          <t>Financials</t>
        </is>
      </c>
      <c r="I41" t="inlineStr">
        <is>
          <t>Financial Services</t>
        </is>
      </c>
      <c r="J41" t="inlineStr">
        <is>
          <t>Asset Management</t>
        </is>
      </c>
      <c r="M41" t="n">
        <v>65.53</v>
      </c>
      <c r="N41" t="n">
        <v>1079.61</v>
      </c>
      <c r="O41" t="inlineStr">
        <is>
          <t>Canada</t>
        </is>
      </c>
      <c r="P41" t="inlineStr">
        <is>
          <t>Canada</t>
        </is>
      </c>
      <c r="Q41" t="inlineStr">
        <is>
          <t>Friendly</t>
        </is>
      </c>
      <c r="R41" t="n">
        <v>292.633</v>
      </c>
      <c r="S41" t="n">
        <v>36.9856</v>
      </c>
      <c r="T41" t="inlineStr">
        <is>
          <t>Company Takeover, Going Private</t>
        </is>
      </c>
      <c r="U41" t="inlineStr">
        <is>
          <t>No</t>
        </is>
      </c>
      <c r="V41" t="inlineStr">
        <is>
          <t>No</t>
        </is>
      </c>
      <c r="W41" t="inlineStr">
        <is>
          <t>No</t>
        </is>
      </c>
      <c r="X41" t="inlineStr">
        <is>
          <t>Yes</t>
        </is>
      </c>
      <c r="Y41" t="inlineStr">
        <is>
          <t>No</t>
        </is>
      </c>
      <c r="Z41" t="inlineStr">
        <is>
          <t>No</t>
        </is>
      </c>
      <c r="AA41" t="n">
        <v>3.033266899</v>
      </c>
      <c r="AB41" t="n">
        <v>2.4663233</v>
      </c>
      <c r="AC41" t="n">
        <v>3.033266899</v>
      </c>
      <c r="AD41">
        <f t="array" ref="AD41">IF(SUMPRODUCT(--($AM$2:$AM$112=TRIM(LEFT($B41,IFERROR(FIND(" ",$B41)-1,LEN($B41))))))&gt;0,1,0)</f>
        <v/>
      </c>
      <c r="AE41">
        <f t="array" ref="AE41">IF(SUMPRODUCT(--($AO$2:$AO$145=TRIM(LEFT($B41,IFERROR(FIND(" ",$B41)-1,LEN($B41))))))&gt;0,1,0)</f>
        <v/>
      </c>
      <c r="AF41">
        <f t="array" ref="AF41">IF(SUMPRODUCT(--($AQ$2:$AQ$71=TRIM(LEFT($B41,IFERROR(FIND(" ",$B41)-1,LEN($B41))))))&gt;0,1,0)</f>
        <v/>
      </c>
      <c r="AL41" t="inlineStr">
        <is>
          <t>VMW / Broad</t>
        </is>
      </c>
      <c r="AM41">
        <f>TRIM(LEFT(AL41,FIND("/",AL41)-1))</f>
        <v/>
      </c>
      <c r="AN41" t="inlineStr">
        <is>
          <t>RADI / EQT A</t>
        </is>
      </c>
      <c r="AO41">
        <f>TRIM(LEFT(AN41,FIND("/",AN41)-1))</f>
        <v/>
      </c>
      <c r="AP41" t="inlineStr">
        <is>
          <t>ZEN / Hellm</t>
        </is>
      </c>
      <c r="AQ41">
        <f>TRIM(LEFT(AP41,FIND("/",AP41)-1))</f>
        <v/>
      </c>
    </row>
    <row r="42">
      <c r="A42" t="n">
        <v>89</v>
      </c>
      <c r="B42" t="inlineStr">
        <is>
          <t>EXAS US</t>
        </is>
      </c>
      <c r="C42" t="inlineStr">
        <is>
          <t>ABT US</t>
        </is>
      </c>
      <c r="D42" s="1" t="n">
        <v>45981</v>
      </c>
      <c r="E42" t="n">
        <v>21428.17</v>
      </c>
      <c r="F42" t="inlineStr">
        <is>
          <t>Cash</t>
        </is>
      </c>
      <c r="H42" t="inlineStr">
        <is>
          <t>Health Care</t>
        </is>
      </c>
      <c r="I42" t="inlineStr">
        <is>
          <t>Health Care</t>
        </is>
      </c>
      <c r="J42" t="inlineStr">
        <is>
          <t>Medical Equipment &amp; Devices</t>
        </is>
      </c>
      <c r="L42" t="n">
        <v>628.694</v>
      </c>
      <c r="M42" t="n">
        <v>55.93</v>
      </c>
      <c r="N42" t="n">
        <v>19894.49</v>
      </c>
      <c r="O42" t="inlineStr">
        <is>
          <t>United States</t>
        </is>
      </c>
      <c r="P42" t="inlineStr">
        <is>
          <t>United States</t>
        </is>
      </c>
      <c r="Q42" t="inlineStr">
        <is>
          <t>Friendly</t>
        </is>
      </c>
      <c r="R42" t="n">
        <v>3246.99</v>
      </c>
      <c r="S42" t="n">
        <v>-6.35352</v>
      </c>
      <c r="T42" t="inlineStr">
        <is>
          <t>Company Takeover, Going Private</t>
        </is>
      </c>
      <c r="U42" t="inlineStr">
        <is>
          <t>No</t>
        </is>
      </c>
      <c r="V42" t="inlineStr">
        <is>
          <t>No</t>
        </is>
      </c>
      <c r="W42" t="inlineStr">
        <is>
          <t>No</t>
        </is>
      </c>
      <c r="X42" t="inlineStr">
        <is>
          <t>Yes</t>
        </is>
      </c>
      <c r="Y42" t="inlineStr">
        <is>
          <t>No</t>
        </is>
      </c>
      <c r="Z42" t="inlineStr">
        <is>
          <t>No</t>
        </is>
      </c>
      <c r="AA42" t="n">
        <v>4.330985083</v>
      </c>
      <c r="AB42" t="n">
        <v>3.511480951</v>
      </c>
      <c r="AC42" t="n">
        <v>4.29873281</v>
      </c>
      <c r="AD42">
        <f t="array" ref="AD42">IF(SUMPRODUCT(--($AM$2:$AM$112=TRIM(LEFT($B42,IFERROR(FIND(" ",$B42)-1,LEN($B42))))))&gt;0,1,0)</f>
        <v/>
      </c>
      <c r="AE42">
        <f t="array" ref="AE42">IF(SUMPRODUCT(--($AO$2:$AO$145=TRIM(LEFT($B42,IFERROR(FIND(" ",$B42)-1,LEN($B42))))))&gt;0,1,0)</f>
        <v/>
      </c>
      <c r="AF42">
        <f t="array" ref="AF42">IF(SUMPRODUCT(--($AQ$2:$AQ$71=TRIM(LEFT($B42,IFERROR(FIND(" ",$B42)-1,LEN($B42))))))&gt;0,1,0)</f>
        <v/>
      </c>
      <c r="AL42" t="inlineStr">
        <is>
          <t>CVET / Clayt</t>
        </is>
      </c>
      <c r="AM42">
        <f>TRIM(LEFT(AL42,FIND("/",AL42)-1))</f>
        <v/>
      </c>
      <c r="AN42" t="inlineStr">
        <is>
          <t>FOCS / Clayt</t>
        </is>
      </c>
      <c r="AO42">
        <f>TRIM(LEFT(AN42,FIND("/",AN42)-1))</f>
        <v/>
      </c>
      <c r="AP42" t="inlineStr">
        <is>
          <t xml:space="preserve">FSTX / Sino </t>
        </is>
      </c>
      <c r="AQ42">
        <f>TRIM(LEFT(AP42,FIND("/",AP42)-1))</f>
        <v/>
      </c>
    </row>
    <row r="43">
      <c r="A43" t="n">
        <v>102</v>
      </c>
      <c r="B43" t="inlineStr">
        <is>
          <t>NGD CN</t>
        </is>
      </c>
      <c r="C43" t="inlineStr">
        <is>
          <t>CDE US</t>
        </is>
      </c>
      <c r="D43" s="1" t="n">
        <v>45964</v>
      </c>
      <c r="E43" t="n">
        <v>7997.6</v>
      </c>
      <c r="F43" t="inlineStr">
        <is>
          <t>Stock</t>
        </is>
      </c>
      <c r="G43" t="n">
        <v>18.58</v>
      </c>
      <c r="H43" t="inlineStr">
        <is>
          <t>Materials</t>
        </is>
      </c>
      <c r="I43" t="inlineStr">
        <is>
          <t>Materials</t>
        </is>
      </c>
      <c r="J43" t="inlineStr">
        <is>
          <t>Metals &amp; Mining</t>
        </is>
      </c>
      <c r="M43" t="n">
        <v>40.67</v>
      </c>
      <c r="N43" t="n">
        <v>7726.2</v>
      </c>
      <c r="O43" t="inlineStr">
        <is>
          <t>Canada</t>
        </is>
      </c>
      <c r="P43" t="inlineStr">
        <is>
          <t>United States</t>
        </is>
      </c>
      <c r="Q43" t="inlineStr">
        <is>
          <t>Friendly</t>
        </is>
      </c>
      <c r="R43" t="n">
        <v>1476.1</v>
      </c>
      <c r="S43" t="n">
        <v>77.92829999999999</v>
      </c>
      <c r="T43" t="inlineStr">
        <is>
          <t>Company Takeover, Cross Border, Reverse Merger</t>
        </is>
      </c>
      <c r="U43" t="inlineStr">
        <is>
          <t>No</t>
        </is>
      </c>
      <c r="V43" t="inlineStr">
        <is>
          <t>No</t>
        </is>
      </c>
      <c r="W43" t="inlineStr">
        <is>
          <t>Yes</t>
        </is>
      </c>
      <c r="X43" t="inlineStr">
        <is>
          <t>No</t>
        </is>
      </c>
      <c r="Y43" t="inlineStr">
        <is>
          <t>No</t>
        </is>
      </c>
      <c r="Z43" t="inlineStr">
        <is>
          <t>No</t>
        </is>
      </c>
      <c r="AA43" t="n">
        <v>3.902959679</v>
      </c>
      <c r="AB43" t="n">
        <v>3.16911578</v>
      </c>
      <c r="AC43" t="n">
        <v>3.887965946</v>
      </c>
      <c r="AD43">
        <f t="array" ref="AD43">IF(SUMPRODUCT(--($AM$2:$AM$112=TRIM(LEFT($B43,IFERROR(FIND(" ",$B43)-1,LEN($B43))))))&gt;0,1,0)</f>
        <v/>
      </c>
      <c r="AE43">
        <f t="array" ref="AE43">IF(SUMPRODUCT(--($AO$2:$AO$145=TRIM(LEFT($B43,IFERROR(FIND(" ",$B43)-1,LEN($B43))))))&gt;0,1,0)</f>
        <v/>
      </c>
      <c r="AF43">
        <f t="array" ref="AF43">IF(SUMPRODUCT(--($AQ$2:$AQ$71=TRIM(LEFT($B43,IFERROR(FIND(" ",$B43)-1,LEN($B43))))))&gt;0,1,0)</f>
        <v/>
      </c>
      <c r="AL43" t="inlineStr">
        <is>
          <t>POLY / HP In</t>
        </is>
      </c>
      <c r="AM43">
        <f>TRIM(LEFT(AL43,FIND("/",AL43)-1))</f>
        <v/>
      </c>
      <c r="AN43" t="inlineStr">
        <is>
          <t>INDT / Cente</t>
        </is>
      </c>
      <c r="AO43">
        <f>TRIM(LEFT(AN43,FIND("/",AN43)-1))</f>
        <v/>
      </c>
      <c r="AP43" t="inlineStr">
        <is>
          <t>SWCH / Digit</t>
        </is>
      </c>
      <c r="AQ43">
        <f>TRIM(LEFT(AP43,FIND("/",AP43)-1))</f>
        <v/>
      </c>
    </row>
    <row r="44">
      <c r="A44" t="n">
        <v>154</v>
      </c>
      <c r="B44" t="inlineStr">
        <is>
          <t>TGNA US</t>
        </is>
      </c>
      <c r="C44" t="inlineStr">
        <is>
          <t>NXST US</t>
        </is>
      </c>
      <c r="D44" s="1" t="n">
        <v>45888</v>
      </c>
      <c r="E44" t="n">
        <v>5359.57</v>
      </c>
      <c r="F44" t="inlineStr">
        <is>
          <t>Cash</t>
        </is>
      </c>
      <c r="G44" t="n">
        <v>5.86</v>
      </c>
      <c r="H44" t="inlineStr">
        <is>
          <t>Communications</t>
        </is>
      </c>
      <c r="I44" t="inlineStr">
        <is>
          <t>Media</t>
        </is>
      </c>
      <c r="J44" t="inlineStr">
        <is>
          <t>Entertainment Content</t>
        </is>
      </c>
      <c r="M44" t="n">
        <v>24.51</v>
      </c>
      <c r="N44" t="n">
        <v>3539.3</v>
      </c>
      <c r="O44" t="inlineStr">
        <is>
          <t>United States</t>
        </is>
      </c>
      <c r="P44" t="inlineStr">
        <is>
          <t>United States</t>
        </is>
      </c>
      <c r="Q44" t="inlineStr">
        <is>
          <t>Friendly</t>
        </is>
      </c>
      <c r="R44" t="n">
        <v>2712</v>
      </c>
      <c r="S44" t="n">
        <v>16.3337</v>
      </c>
      <c r="T44" t="inlineStr">
        <is>
          <t>Company Takeover</t>
        </is>
      </c>
      <c r="U44" t="inlineStr">
        <is>
          <t>No</t>
        </is>
      </c>
      <c r="V44" t="inlineStr">
        <is>
          <t>No</t>
        </is>
      </c>
      <c r="W44" t="inlineStr">
        <is>
          <t>No</t>
        </is>
      </c>
      <c r="X44" t="inlineStr">
        <is>
          <t>No</t>
        </is>
      </c>
      <c r="Y44" t="inlineStr">
        <is>
          <t>No</t>
        </is>
      </c>
      <c r="Z44" t="inlineStr">
        <is>
          <t>No</t>
        </is>
      </c>
      <c r="AA44" t="n">
        <v>3.729129948</v>
      </c>
      <c r="AB44" t="n">
        <v>3.433289685</v>
      </c>
      <c r="AC44" t="n">
        <v>3.548917376</v>
      </c>
      <c r="AD44">
        <f t="array" ref="AD44">IF(SUMPRODUCT(--($AM$2:$AM$112=TRIM(LEFT($B44,IFERROR(FIND(" ",$B44)-1,LEN($B44))))))&gt;0,1,0)</f>
        <v/>
      </c>
      <c r="AE44">
        <f t="array" ref="AE44">IF(SUMPRODUCT(--($AO$2:$AO$145=TRIM(LEFT($B44,IFERROR(FIND(" ",$B44)-1,LEN($B44))))))&gt;0,1,0)</f>
        <v/>
      </c>
      <c r="AF44">
        <f t="array" ref="AF44">IF(SUMPRODUCT(--($AQ$2:$AQ$71=TRIM(LEFT($B44,IFERROR(FIND(" ",$B44)-1,LEN($B44))))))&gt;0,1,0)</f>
        <v/>
      </c>
      <c r="AL44" t="inlineStr">
        <is>
          <t>TEN / Apoll</t>
        </is>
      </c>
      <c r="AM44">
        <f>TRIM(LEFT(AL44,FIND("/",AL44)-1))</f>
        <v/>
      </c>
      <c r="AN44" t="inlineStr">
        <is>
          <t>ATCO / Fairf</t>
        </is>
      </c>
      <c r="AO44">
        <f>TRIM(LEFT(AN44,FIND("/",AN44)-1))</f>
        <v/>
      </c>
      <c r="AP44" t="inlineStr">
        <is>
          <t>MIME / Permi</t>
        </is>
      </c>
      <c r="AQ44">
        <f>TRIM(LEFT(AP44,FIND("/",AP44)-1))</f>
        <v/>
      </c>
    </row>
    <row r="45">
      <c r="A45" t="n">
        <v>73</v>
      </c>
      <c r="B45" t="inlineStr">
        <is>
          <t>CFLT US</t>
        </is>
      </c>
      <c r="C45" t="inlineStr">
        <is>
          <t>IBM US</t>
        </is>
      </c>
      <c r="D45" s="1" t="n">
        <v>45999</v>
      </c>
      <c r="E45" t="n">
        <v>10898.34</v>
      </c>
      <c r="F45" t="inlineStr">
        <is>
          <t>Cash</t>
        </is>
      </c>
      <c r="H45" t="inlineStr">
        <is>
          <t>Technology</t>
        </is>
      </c>
      <c r="I45" t="inlineStr">
        <is>
          <t>Software &amp; Tech Services</t>
        </is>
      </c>
      <c r="J45" t="inlineStr">
        <is>
          <t>Software</t>
        </is>
      </c>
      <c r="L45" t="n">
        <v>453.6</v>
      </c>
      <c r="M45" t="n">
        <v>36.58</v>
      </c>
      <c r="N45" t="n">
        <v>10898.34</v>
      </c>
      <c r="O45" t="inlineStr">
        <is>
          <t>United States</t>
        </is>
      </c>
      <c r="P45" t="inlineStr">
        <is>
          <t>United States</t>
        </is>
      </c>
      <c r="Q45" t="inlineStr">
        <is>
          <t>Friendly</t>
        </is>
      </c>
      <c r="R45" t="n">
        <v>1166.75</v>
      </c>
      <c r="S45" t="n">
        <v>-32.5779</v>
      </c>
      <c r="T45" t="inlineStr">
        <is>
          <t>Company Takeover, PE Buyout, Private Equity</t>
        </is>
      </c>
      <c r="U45" t="inlineStr">
        <is>
          <t>No</t>
        </is>
      </c>
      <c r="V45" t="inlineStr">
        <is>
          <t>No</t>
        </is>
      </c>
      <c r="W45" t="inlineStr">
        <is>
          <t>No</t>
        </is>
      </c>
      <c r="X45" t="inlineStr">
        <is>
          <t>No</t>
        </is>
      </c>
      <c r="Y45" t="inlineStr">
        <is>
          <t>Yes</t>
        </is>
      </c>
      <c r="Z45" t="inlineStr">
        <is>
          <t>No</t>
        </is>
      </c>
      <c r="AA45" t="n">
        <v>4.037360353</v>
      </c>
      <c r="AB45" t="n">
        <v>3.06697781</v>
      </c>
      <c r="AC45" t="n">
        <v>4.037360353</v>
      </c>
      <c r="AD45">
        <f t="array" ref="AD45">IF(SUMPRODUCT(--($AM$2:$AM$112=TRIM(LEFT($B45,IFERROR(FIND(" ",$B45)-1,LEN($B45))))))&gt;0,1,0)</f>
        <v/>
      </c>
      <c r="AE45">
        <f t="array" ref="AE45">IF(SUMPRODUCT(--($AO$2:$AO$145=TRIM(LEFT($B45,IFERROR(FIND(" ",$B45)-1,LEN($B45))))))&gt;0,1,0)</f>
        <v/>
      </c>
      <c r="AF45">
        <f t="array" ref="AF45">IF(SUMPRODUCT(--($AQ$2:$AQ$71=TRIM(LEFT($B45,IFERROR(FIND(" ",$B45)-1,LEN($B45))))))&gt;0,1,0)</f>
        <v/>
      </c>
      <c r="AL45" t="inlineStr">
        <is>
          <t>MTOR / Cummi</t>
        </is>
      </c>
      <c r="AM45">
        <f>TRIM(LEFT(AL45,FIND("/",AL45)-1))</f>
        <v/>
      </c>
      <c r="AN45" t="inlineStr">
        <is>
          <t>AIMC / Regal</t>
        </is>
      </c>
      <c r="AO45">
        <f>TRIM(LEFT(AN45,FIND("/",AN45)-1))</f>
        <v/>
      </c>
      <c r="AP45" t="inlineStr">
        <is>
          <t>VG / Erics</t>
        </is>
      </c>
      <c r="AQ45">
        <f>TRIM(LEFT(AP45,FIND("/",AP45)-1))</f>
        <v/>
      </c>
    </row>
    <row r="46">
      <c r="A46" t="n">
        <v>94</v>
      </c>
      <c r="B46" t="inlineStr">
        <is>
          <t>CHTH US</t>
        </is>
      </c>
      <c r="C46" t="inlineStr">
        <is>
          <t>SNDA US</t>
        </is>
      </c>
      <c r="D46" s="1" t="n">
        <v>45966</v>
      </c>
      <c r="E46" t="n">
        <v>1010.7</v>
      </c>
      <c r="F46" t="inlineStr">
        <is>
          <t>Cash and Stock</t>
        </is>
      </c>
      <c r="G46" t="n">
        <v>12.39</v>
      </c>
      <c r="H46" t="inlineStr">
        <is>
          <t>Real Estate</t>
        </is>
      </c>
      <c r="I46" t="inlineStr">
        <is>
          <t>Real Estate</t>
        </is>
      </c>
      <c r="J46" t="inlineStr">
        <is>
          <t>REIT</t>
        </is>
      </c>
      <c r="M46" t="n">
        <v>76.56</v>
      </c>
      <c r="N46" t="n">
        <v>1010.7</v>
      </c>
      <c r="O46" t="inlineStr">
        <is>
          <t>United States</t>
        </is>
      </c>
      <c r="P46" t="inlineStr">
        <is>
          <t>United States</t>
        </is>
      </c>
      <c r="Q46" t="inlineStr">
        <is>
          <t>Friendly</t>
        </is>
      </c>
      <c r="R46" t="n">
        <v>365.96</v>
      </c>
      <c r="S46" t="n">
        <v>8.778320000000001</v>
      </c>
      <c r="T46" t="inlineStr">
        <is>
          <t>Company Takeover</t>
        </is>
      </c>
      <c r="U46" t="inlineStr">
        <is>
          <t>No</t>
        </is>
      </c>
      <c r="V46" t="inlineStr">
        <is>
          <t>No</t>
        </is>
      </c>
      <c r="W46" t="inlineStr">
        <is>
          <t>No</t>
        </is>
      </c>
      <c r="X46" t="inlineStr">
        <is>
          <t>No</t>
        </is>
      </c>
      <c r="Y46" t="inlineStr">
        <is>
          <t>No</t>
        </is>
      </c>
      <c r="Z46" t="inlineStr">
        <is>
          <t>No</t>
        </is>
      </c>
      <c r="AA46" t="n">
        <v>3.004622266</v>
      </c>
      <c r="AB46" t="n">
        <v>2.563433619</v>
      </c>
      <c r="AC46" t="n">
        <v>3.004622266</v>
      </c>
      <c r="AD46">
        <f t="array" ref="AD46">IF(SUMPRODUCT(--($AM$2:$AM$112=TRIM(LEFT($B46,IFERROR(FIND(" ",$B46)-1,LEN($B46))))))&gt;0,1,0)</f>
        <v/>
      </c>
      <c r="AE46">
        <f t="array" ref="AE46">IF(SUMPRODUCT(--($AO$2:$AO$145=TRIM(LEFT($B46,IFERROR(FIND(" ",$B46)-1,LEN($B46))))))&gt;0,1,0)</f>
        <v/>
      </c>
      <c r="AF46">
        <f t="array" ref="AF46">IF(SUMPRODUCT(--($AQ$2:$AQ$71=TRIM(LEFT($B46,IFERROR(FIND(" ",$B46)-1,LEN($B46))))))&gt;0,1,0)</f>
        <v/>
      </c>
      <c r="AL46" t="inlineStr">
        <is>
          <t>ATVI / Micro</t>
        </is>
      </c>
      <c r="AM46">
        <f>TRIM(LEFT(AL46,FIND("/",AL46)-1))</f>
        <v/>
      </c>
      <c r="AN46" t="inlineStr">
        <is>
          <t>IRBT / Amazo</t>
        </is>
      </c>
      <c r="AO46">
        <f>TRIM(LEFT(AN46,FIND("/",AN46)-1))</f>
        <v/>
      </c>
      <c r="AP46" t="inlineStr">
        <is>
          <t>MCFE / Adven</t>
        </is>
      </c>
      <c r="AQ46">
        <f>TRIM(LEFT(AP46,FIND("/",AP46)-1))</f>
        <v/>
      </c>
    </row>
    <row r="47">
      <c r="A47" t="n">
        <v>70</v>
      </c>
      <c r="B47" t="inlineStr">
        <is>
          <t>ALEX US</t>
        </is>
      </c>
      <c r="D47" s="1" t="n">
        <v>45999</v>
      </c>
      <c r="E47" t="n">
        <v>2300</v>
      </c>
      <c r="F47" t="inlineStr">
        <is>
          <t>Cash</t>
        </is>
      </c>
      <c r="G47" t="n">
        <v>19.81</v>
      </c>
      <c r="H47" t="inlineStr">
        <is>
          <t>Real Estate</t>
        </is>
      </c>
      <c r="I47" t="inlineStr">
        <is>
          <t>Real Estate</t>
        </is>
      </c>
      <c r="J47" t="inlineStr">
        <is>
          <t>REIT</t>
        </is>
      </c>
      <c r="K47" t="n">
        <v>155.3</v>
      </c>
      <c r="L47" t="n">
        <v>50.5</v>
      </c>
      <c r="N47" t="n">
        <v>2300</v>
      </c>
      <c r="O47" t="inlineStr">
        <is>
          <t>United States</t>
        </is>
      </c>
      <c r="P47" t="inlineStr">
        <is>
          <t>United States</t>
        </is>
      </c>
      <c r="Q47" t="inlineStr">
        <is>
          <t>Friendly</t>
        </is>
      </c>
      <c r="R47" t="n">
        <v>206.673</v>
      </c>
      <c r="S47" t="n">
        <v>38.7177</v>
      </c>
      <c r="T47" t="inlineStr">
        <is>
          <t>Going Private, Company Takeover, Private Equity</t>
        </is>
      </c>
      <c r="U47" t="inlineStr">
        <is>
          <t>No</t>
        </is>
      </c>
      <c r="V47" t="inlineStr">
        <is>
          <t>No</t>
        </is>
      </c>
      <c r="W47" t="inlineStr">
        <is>
          <t>No</t>
        </is>
      </c>
      <c r="X47" t="inlineStr">
        <is>
          <t>Yes</t>
        </is>
      </c>
      <c r="Y47" t="inlineStr">
        <is>
          <t>No</t>
        </is>
      </c>
      <c r="Z47" t="inlineStr">
        <is>
          <t>No</t>
        </is>
      </c>
      <c r="AA47" t="n">
        <v>3.361727836</v>
      </c>
      <c r="AB47" t="n">
        <v>2.315283744</v>
      </c>
      <c r="AC47" t="n">
        <v>3.361727836</v>
      </c>
      <c r="AD47">
        <f t="array" ref="AD47">IF(SUMPRODUCT(--($AM$2:$AM$112=TRIM(LEFT($B47,IFERROR(FIND(" ",$B47)-1,LEN($B47))))))&gt;0,1,0)</f>
        <v/>
      </c>
      <c r="AE47">
        <f t="array" ref="AE47">IF(SUMPRODUCT(--($AO$2:$AO$145=TRIM(LEFT($B47,IFERROR(FIND(" ",$B47)-1,LEN($B47))))))&gt;0,1,0)</f>
        <v/>
      </c>
      <c r="AF47">
        <f t="array" ref="AF47">IF(SUMPRODUCT(--($AQ$2:$AQ$71=TRIM(LEFT($B47,IFERROR(FIND(" ",$B47)-1,LEN($B47))))))&gt;0,1,0)</f>
        <v/>
      </c>
      <c r="AL47" t="inlineStr">
        <is>
          <t>CCMP / Enteg</t>
        </is>
      </c>
      <c r="AM47">
        <f>TRIM(LEFT(AL47,FIND("/",AL47)-1))</f>
        <v/>
      </c>
      <c r="AN47" t="inlineStr">
        <is>
          <t>AAWW / Apoll</t>
        </is>
      </c>
      <c r="AO47">
        <f>TRIM(LEFT(AN47,FIND("/",AN47)-1))</f>
        <v/>
      </c>
      <c r="AP47" t="inlineStr">
        <is>
          <t xml:space="preserve">ZIXI / Open </t>
        </is>
      </c>
      <c r="AQ47">
        <f>TRIM(LEFT(AP47,FIND("/",AP47)-1))</f>
        <v/>
      </c>
    </row>
    <row r="48">
      <c r="A48" t="n">
        <v>42</v>
      </c>
      <c r="B48" t="inlineStr">
        <is>
          <t>VTYX US</t>
        </is>
      </c>
      <c r="C48" t="inlineStr">
        <is>
          <t>LLY US</t>
        </is>
      </c>
      <c r="D48" s="1" t="n">
        <v>46029</v>
      </c>
      <c r="E48" t="n">
        <v>816.41</v>
      </c>
      <c r="F48" t="inlineStr">
        <is>
          <t>Cash</t>
        </is>
      </c>
      <c r="H48" t="inlineStr">
        <is>
          <t>Health Care</t>
        </is>
      </c>
      <c r="I48" t="inlineStr">
        <is>
          <t>Health Care</t>
        </is>
      </c>
      <c r="J48" t="inlineStr">
        <is>
          <t>Biotech &amp; Pharma</t>
        </is>
      </c>
      <c r="L48" t="n">
        <v>44</v>
      </c>
      <c r="M48" t="n">
        <v>61.49</v>
      </c>
      <c r="N48" t="n">
        <v>999.02</v>
      </c>
      <c r="O48" t="inlineStr">
        <is>
          <t>United States</t>
        </is>
      </c>
      <c r="P48" t="inlineStr">
        <is>
          <t>United States</t>
        </is>
      </c>
      <c r="Q48" t="inlineStr">
        <is>
          <t>Friendly</t>
        </is>
      </c>
      <c r="T48" t="inlineStr">
        <is>
          <t>Company Takeover</t>
        </is>
      </c>
      <c r="U48" t="inlineStr">
        <is>
          <t>No</t>
        </is>
      </c>
      <c r="V48" t="inlineStr">
        <is>
          <t>No</t>
        </is>
      </c>
      <c r="W48" t="inlineStr">
        <is>
          <t>No</t>
        </is>
      </c>
      <c r="X48" t="inlineStr">
        <is>
          <t>No</t>
        </is>
      </c>
      <c r="Y48" t="inlineStr">
        <is>
          <t>No</t>
        </is>
      </c>
      <c r="Z48" t="inlineStr">
        <is>
          <t>No</t>
        </is>
      </c>
      <c r="AA48" t="n">
        <v>2.911908316</v>
      </c>
      <c r="AC48" t="n">
        <v>2.999574183</v>
      </c>
      <c r="AD48">
        <f t="array" ref="AD48">IF(SUMPRODUCT(--($AM$2:$AM$112=TRIM(LEFT($B48,IFERROR(FIND(" ",$B48)-1,LEN($B48))))))&gt;0,1,0)</f>
        <v/>
      </c>
      <c r="AE48">
        <f t="array" ref="AE48">IF(SUMPRODUCT(--($AO$2:$AO$145=TRIM(LEFT($B48,IFERROR(FIND(" ",$B48)-1,LEN($B48))))))&gt;0,1,0)</f>
        <v/>
      </c>
      <c r="AF48">
        <f t="array" ref="AF48">IF(SUMPRODUCT(--($AQ$2:$AQ$71=TRIM(LEFT($B48,IFERROR(FIND(" ",$B48)-1,LEN($B48))))))&gt;0,1,0)</f>
        <v/>
      </c>
      <c r="AL48" t="inlineStr">
        <is>
          <t xml:space="preserve">FLOW / Lone </t>
        </is>
      </c>
      <c r="AM48">
        <f>TRIM(LEFT(AL48,FIND("/",AL48)-1))</f>
        <v/>
      </c>
      <c r="AN48" t="inlineStr">
        <is>
          <t>ZEN / Hellm</t>
        </is>
      </c>
      <c r="AO48">
        <f>TRIM(LEFT(AN48,FIND("/",AN48)-1))</f>
        <v/>
      </c>
      <c r="AP48" t="inlineStr">
        <is>
          <t>KRA / DL Ch</t>
        </is>
      </c>
      <c r="AQ48">
        <f>TRIM(LEFT(AP48,FIND("/",AP48)-1))</f>
        <v/>
      </c>
    </row>
    <row r="49">
      <c r="A49" t="n">
        <v>32</v>
      </c>
      <c r="B49" t="inlineStr">
        <is>
          <t>RAPT US</t>
        </is>
      </c>
      <c r="C49" t="inlineStr">
        <is>
          <t>GSK LN</t>
        </is>
      </c>
      <c r="D49" s="1" t="n">
        <v>46042</v>
      </c>
      <c r="E49" t="n">
        <v>1452.48</v>
      </c>
      <c r="F49" t="inlineStr">
        <is>
          <t>Cash</t>
        </is>
      </c>
      <c r="H49" t="inlineStr">
        <is>
          <t>Health Care</t>
        </is>
      </c>
      <c r="I49" t="inlineStr">
        <is>
          <t>Health Care</t>
        </is>
      </c>
      <c r="J49" t="inlineStr">
        <is>
          <t>Biotech &amp; Pharma</t>
        </is>
      </c>
      <c r="L49" t="n">
        <v>78.40000000000001</v>
      </c>
      <c r="M49" t="n">
        <v>72.03</v>
      </c>
      <c r="N49" t="n">
        <v>1607.23</v>
      </c>
      <c r="O49" t="inlineStr">
        <is>
          <t>United States</t>
        </is>
      </c>
      <c r="P49" t="inlineStr">
        <is>
          <t>United States</t>
        </is>
      </c>
      <c r="Q49" t="inlineStr">
        <is>
          <t>Friendly</t>
        </is>
      </c>
      <c r="T49" t="inlineStr">
        <is>
          <t>Company Takeover, Tender Offer</t>
        </is>
      </c>
      <c r="U49" t="inlineStr">
        <is>
          <t>No</t>
        </is>
      </c>
      <c r="V49" t="inlineStr">
        <is>
          <t>No</t>
        </is>
      </c>
      <c r="W49" t="inlineStr">
        <is>
          <t>No</t>
        </is>
      </c>
      <c r="X49" t="inlineStr">
        <is>
          <t>No</t>
        </is>
      </c>
      <c r="Y49" t="inlineStr">
        <is>
          <t>No</t>
        </is>
      </c>
      <c r="Z49" t="inlineStr">
        <is>
          <t>Yes</t>
        </is>
      </c>
      <c r="AA49" t="n">
        <v>3.162110161</v>
      </c>
      <c r="AC49" t="n">
        <v>3.20607803</v>
      </c>
      <c r="AD49">
        <f t="array" ref="AD49">IF(SUMPRODUCT(--($AM$2:$AM$112=TRIM(LEFT($B49,IFERROR(FIND(" ",$B49)-1,LEN($B49))))))&gt;0,1,0)</f>
        <v/>
      </c>
      <c r="AE49">
        <f t="array" ref="AE49">IF(SUMPRODUCT(--($AO$2:$AO$145=TRIM(LEFT($B49,IFERROR(FIND(" ",$B49)-1,LEN($B49))))))&gt;0,1,0)</f>
        <v/>
      </c>
      <c r="AF49">
        <f t="array" ref="AF49">IF(SUMPRODUCT(--($AQ$2:$AQ$71=TRIM(LEFT($B49,IFERROR(FIND(" ",$B49)-1,LEN($B49))))))&gt;0,1,0)</f>
        <v/>
      </c>
      <c r="AL49" t="inlineStr">
        <is>
          <t>CONE / Globa</t>
        </is>
      </c>
      <c r="AM49">
        <f>TRIM(LEFT(AL49,FIND("/",AL49)-1))</f>
        <v/>
      </c>
      <c r="AN49" t="inlineStr">
        <is>
          <t>VMW / Broad</t>
        </is>
      </c>
      <c r="AO49">
        <f>TRIM(LEFT(AN49,FIND("/",AN49)-1))</f>
        <v/>
      </c>
      <c r="AP49" t="inlineStr">
        <is>
          <t>INOV / Nordi</t>
        </is>
      </c>
      <c r="AQ49">
        <f>TRIM(LEFT(AP49,FIND("/",AP49)-1))</f>
        <v/>
      </c>
    </row>
    <row r="50">
      <c r="A50" t="n">
        <v>52</v>
      </c>
      <c r="B50" t="inlineStr">
        <is>
          <t>GDI CN</t>
        </is>
      </c>
      <c r="D50" s="1" t="n">
        <v>46014</v>
      </c>
      <c r="E50" t="n">
        <v>633.3099999999999</v>
      </c>
      <c r="F50" t="inlineStr">
        <is>
          <t>Cash</t>
        </is>
      </c>
      <c r="G50" t="n">
        <v>7</v>
      </c>
      <c r="H50" t="inlineStr">
        <is>
          <t>Industrials</t>
        </is>
      </c>
      <c r="I50" t="inlineStr">
        <is>
          <t>Industrial Services</t>
        </is>
      </c>
      <c r="J50" t="inlineStr">
        <is>
          <t>Commercial Support Services</t>
        </is>
      </c>
      <c r="K50" t="n">
        <v>30</v>
      </c>
      <c r="L50" t="n">
        <v>20</v>
      </c>
      <c r="M50" t="n">
        <v>29.65</v>
      </c>
      <c r="N50" t="n">
        <v>394.79</v>
      </c>
      <c r="O50" t="inlineStr">
        <is>
          <t>Canada</t>
        </is>
      </c>
      <c r="P50" t="inlineStr">
        <is>
          <t>Canada</t>
        </is>
      </c>
      <c r="Q50" t="inlineStr">
        <is>
          <t>Friendly</t>
        </is>
      </c>
      <c r="R50" t="n">
        <v>1865.24</v>
      </c>
      <c r="S50" t="n">
        <v>2.22402</v>
      </c>
      <c r="T50" t="inlineStr">
        <is>
          <t>Going Private, PE Buyout, Private Equity, Company Takeover</t>
        </is>
      </c>
      <c r="U50" t="inlineStr">
        <is>
          <t>No</t>
        </is>
      </c>
      <c r="V50" t="inlineStr">
        <is>
          <t>No</t>
        </is>
      </c>
      <c r="W50" t="inlineStr">
        <is>
          <t>No</t>
        </is>
      </c>
      <c r="X50" t="inlineStr">
        <is>
          <t>Yes</t>
        </is>
      </c>
      <c r="Y50" t="inlineStr">
        <is>
          <t>Yes</t>
        </is>
      </c>
      <c r="Z50" t="inlineStr">
        <is>
          <t>No</t>
        </is>
      </c>
      <c r="AA50" t="n">
        <v>2.801616346</v>
      </c>
      <c r="AB50" t="n">
        <v>3.27073472</v>
      </c>
      <c r="AC50" t="n">
        <v>2.596366143</v>
      </c>
      <c r="AD50">
        <f t="array" ref="AD50">IF(SUMPRODUCT(--($AM$2:$AM$112=TRIM(LEFT($B50,IFERROR(FIND(" ",$B50)-1,LEN($B50))))))&gt;0,1,0)</f>
        <v/>
      </c>
      <c r="AE50">
        <f t="array" ref="AE50">IF(SUMPRODUCT(--($AO$2:$AO$145=TRIM(LEFT($B50,IFERROR(FIND(" ",$B50)-1,LEN($B50))))))&gt;0,1,0)</f>
        <v/>
      </c>
      <c r="AF50">
        <f t="array" ref="AF50">IF(SUMPRODUCT(--($AQ$2:$AQ$71=TRIM(LEFT($B50,IFERROR(FIND(" ",$B50)-1,LEN($B50))))))&gt;0,1,0)</f>
        <v/>
      </c>
      <c r="AL50" t="inlineStr">
        <is>
          <t>MCFE / Adven</t>
        </is>
      </c>
      <c r="AM50">
        <f>TRIM(LEFT(AL50,FIND("/",AL50)-1))</f>
        <v/>
      </c>
      <c r="AN50" t="inlineStr">
        <is>
          <t>CVET / Clayt</t>
        </is>
      </c>
      <c r="AO50">
        <f>TRIM(LEFT(AN50,FIND("/",AN50)-1))</f>
        <v/>
      </c>
      <c r="AP50" t="inlineStr">
        <is>
          <t>GPX / Learn</t>
        </is>
      </c>
      <c r="AQ50">
        <f>TRIM(LEFT(AP50,FIND("/",AP50)-1))</f>
        <v/>
      </c>
    </row>
    <row r="51">
      <c r="A51" t="n">
        <v>91</v>
      </c>
      <c r="B51" t="inlineStr">
        <is>
          <t>RNAM US</t>
        </is>
      </c>
      <c r="C51" t="inlineStr">
        <is>
          <t>NOVN SW</t>
        </is>
      </c>
      <c r="D51" s="1" t="n">
        <v>45956</v>
      </c>
      <c r="E51" t="n">
        <v>8760.43</v>
      </c>
      <c r="F51" t="inlineStr">
        <is>
          <t>Cash</t>
        </is>
      </c>
      <c r="H51" t="inlineStr">
        <is>
          <t>Health Care</t>
        </is>
      </c>
      <c r="I51" t="inlineStr">
        <is>
          <t>Health Care</t>
        </is>
      </c>
      <c r="J51" t="inlineStr">
        <is>
          <t>Biotech &amp; Pharma</t>
        </is>
      </c>
      <c r="L51" t="n">
        <v>450</v>
      </c>
      <c r="M51" t="n">
        <v>51.71</v>
      </c>
      <c r="N51" t="n">
        <v>9938.440000000001</v>
      </c>
      <c r="O51" t="inlineStr">
        <is>
          <t>United States</t>
        </is>
      </c>
      <c r="P51" t="inlineStr">
        <is>
          <t>United States</t>
        </is>
      </c>
      <c r="Q51" t="inlineStr">
        <is>
          <t>Friendly</t>
        </is>
      </c>
      <c r="R51" t="n">
        <v>18.755</v>
      </c>
      <c r="S51" t="n">
        <v>-3977.3</v>
      </c>
      <c r="T51" t="inlineStr">
        <is>
          <t>Company Takeover</t>
        </is>
      </c>
      <c r="U51" t="inlineStr">
        <is>
          <t>No</t>
        </is>
      </c>
      <c r="V51" t="inlineStr">
        <is>
          <t>No</t>
        </is>
      </c>
      <c r="W51" t="inlineStr">
        <is>
          <t>No</t>
        </is>
      </c>
      <c r="X51" t="inlineStr">
        <is>
          <t>No</t>
        </is>
      </c>
      <c r="Y51" t="inlineStr">
        <is>
          <t>No</t>
        </is>
      </c>
      <c r="Z51" t="inlineStr">
        <is>
          <t>No</t>
        </is>
      </c>
      <c r="AA51" t="n">
        <v>3.942525424</v>
      </c>
      <c r="AB51" t="n">
        <v>1.273117068</v>
      </c>
      <c r="AC51" t="n">
        <v>3.99731822</v>
      </c>
      <c r="AD51">
        <f t="array" ref="AD51">IF(SUMPRODUCT(--($AM$2:$AM$112=TRIM(LEFT($B51,IFERROR(FIND(" ",$B51)-1,LEN($B51))))))&gt;0,1,0)</f>
        <v/>
      </c>
      <c r="AE51">
        <f t="array" ref="AE51">IF(SUMPRODUCT(--($AO$2:$AO$145=TRIM(LEFT($B51,IFERROR(FIND(" ",$B51)-1,LEN($B51))))))&gt;0,1,0)</f>
        <v/>
      </c>
      <c r="AF51">
        <f t="array" ref="AF51">IF(SUMPRODUCT(--($AQ$2:$AQ$71=TRIM(LEFT($B51,IFERROR(FIND(" ",$B51)-1,LEN($B51))))))&gt;0,1,0)</f>
        <v/>
      </c>
      <c r="AL51" t="inlineStr">
        <is>
          <t>NPTN / Lumen</t>
        </is>
      </c>
      <c r="AM51">
        <f>TRIM(LEFT(AL51,FIND("/",AL51)-1))</f>
        <v/>
      </c>
      <c r="AN51" t="inlineStr">
        <is>
          <t>NTUS / Archi</t>
        </is>
      </c>
      <c r="AO51">
        <f>TRIM(LEFT(AN51,FIND("/",AN51)-1))</f>
        <v/>
      </c>
      <c r="AP51" t="inlineStr">
        <is>
          <t>CVA / EQT I</t>
        </is>
      </c>
      <c r="AQ51">
        <f>TRIM(LEFT(AP51,FIND("/",AP51)-1))</f>
        <v/>
      </c>
    </row>
    <row r="52">
      <c r="A52" t="n">
        <v>83</v>
      </c>
      <c r="B52" t="inlineStr">
        <is>
          <t>FRGE US</t>
        </is>
      </c>
      <c r="C52" t="inlineStr">
        <is>
          <t>SCHW US</t>
        </is>
      </c>
      <c r="D52" s="1" t="n">
        <v>45967</v>
      </c>
      <c r="E52" t="n">
        <v>612.0599999999999</v>
      </c>
      <c r="F52" t="inlineStr">
        <is>
          <t>Cash</t>
        </is>
      </c>
      <c r="H52" t="inlineStr">
        <is>
          <t>Financials</t>
        </is>
      </c>
      <c r="I52" t="inlineStr">
        <is>
          <t>Financial Services</t>
        </is>
      </c>
      <c r="J52" t="inlineStr">
        <is>
          <t>Institutional Financial Svcs</t>
        </is>
      </c>
      <c r="M52" t="n">
        <v>136.67</v>
      </c>
      <c r="N52" t="n">
        <v>612.0599999999999</v>
      </c>
      <c r="O52" t="inlineStr">
        <is>
          <t>United States</t>
        </is>
      </c>
      <c r="P52" t="inlineStr">
        <is>
          <t>United States</t>
        </is>
      </c>
      <c r="Q52" t="inlineStr">
        <is>
          <t>Friendly</t>
        </is>
      </c>
      <c r="R52" t="n">
        <v>79.32899999999999</v>
      </c>
      <c r="S52" t="n">
        <v>-73.8039</v>
      </c>
      <c r="T52" t="inlineStr">
        <is>
          <t>Company Takeover</t>
        </is>
      </c>
      <c r="U52" t="inlineStr">
        <is>
          <t>No</t>
        </is>
      </c>
      <c r="V52" t="inlineStr">
        <is>
          <t>No</t>
        </is>
      </c>
      <c r="W52" t="inlineStr">
        <is>
          <t>No</t>
        </is>
      </c>
      <c r="X52" t="inlineStr">
        <is>
          <t>No</t>
        </is>
      </c>
      <c r="Y52" t="inlineStr">
        <is>
          <t>No</t>
        </is>
      </c>
      <c r="Z52" t="inlineStr">
        <is>
          <t>No</t>
        </is>
      </c>
      <c r="AA52" t="n">
        <v>2.786793998</v>
      </c>
      <c r="AB52" t="n">
        <v>1.89943198</v>
      </c>
      <c r="AC52" t="n">
        <v>2.786793998</v>
      </c>
      <c r="AD52">
        <f t="array" ref="AD52">IF(SUMPRODUCT(--($AM$2:$AM$112=TRIM(LEFT($B52,IFERROR(FIND(" ",$B52)-1,LEN($B52))))))&gt;0,1,0)</f>
        <v/>
      </c>
      <c r="AE52">
        <f t="array" ref="AE52">IF(SUMPRODUCT(--($AO$2:$AO$145=TRIM(LEFT($B52,IFERROR(FIND(" ",$B52)-1,LEN($B52))))))&gt;0,1,0)</f>
        <v/>
      </c>
      <c r="AF52">
        <f t="array" ref="AF52">IF(SUMPRODUCT(--($AQ$2:$AQ$71=TRIM(LEFT($B52,IFERROR(FIND(" ",$B52)-1,LEN($B52))))))&gt;0,1,0)</f>
        <v/>
      </c>
      <c r="AL52" t="inlineStr">
        <is>
          <t>RRD / Atlas</t>
        </is>
      </c>
      <c r="AM52">
        <f>TRIM(LEFT(AL52,FIND("/",AL52)-1))</f>
        <v/>
      </c>
      <c r="AN52" t="inlineStr">
        <is>
          <t>NLSN / Ellio</t>
        </is>
      </c>
      <c r="AO52">
        <f>TRIM(LEFT(AN52,FIND("/",AN52)-1))</f>
        <v/>
      </c>
      <c r="AP52" t="inlineStr">
        <is>
          <t>RAVN / CNH I</t>
        </is>
      </c>
      <c r="AQ52">
        <f>TRIM(LEFT(AP52,FIND("/",AP52)-1))</f>
        <v/>
      </c>
    </row>
    <row r="53">
      <c r="A53" t="n">
        <v>130</v>
      </c>
      <c r="B53" t="inlineStr">
        <is>
          <t>AHL US</t>
        </is>
      </c>
      <c r="C53" t="inlineStr">
        <is>
          <t>8630 JP</t>
        </is>
      </c>
      <c r="D53" s="1" t="n">
        <v>45896</v>
      </c>
      <c r="E53" t="n">
        <v>3443.94</v>
      </c>
      <c r="F53" t="inlineStr">
        <is>
          <t>Cash</t>
        </is>
      </c>
      <c r="H53" t="inlineStr">
        <is>
          <t>Financials</t>
        </is>
      </c>
      <c r="I53" t="inlineStr">
        <is>
          <t>Insurance</t>
        </is>
      </c>
      <c r="J53" t="inlineStr">
        <is>
          <t>Insurance</t>
        </is>
      </c>
      <c r="M53" t="n">
        <v>22.92</v>
      </c>
      <c r="N53" t="n">
        <v>3443.94</v>
      </c>
      <c r="O53" t="inlineStr">
        <is>
          <t>Bermuda</t>
        </is>
      </c>
      <c r="P53" t="inlineStr">
        <is>
          <t>Japan</t>
        </is>
      </c>
      <c r="Q53" t="inlineStr">
        <is>
          <t>Friendly</t>
        </is>
      </c>
      <c r="R53" t="n">
        <v>3219.6</v>
      </c>
      <c r="T53" t="inlineStr">
        <is>
          <t>Cross Border, Company Takeover</t>
        </is>
      </c>
      <c r="U53" t="inlineStr">
        <is>
          <t>No</t>
        </is>
      </c>
      <c r="V53" t="inlineStr">
        <is>
          <t>No</t>
        </is>
      </c>
      <c r="W53" t="inlineStr">
        <is>
          <t>Yes</t>
        </is>
      </c>
      <c r="X53" t="inlineStr">
        <is>
          <t>No</t>
        </is>
      </c>
      <c r="Y53" t="inlineStr">
        <is>
          <t>No</t>
        </is>
      </c>
      <c r="Z53" t="inlineStr">
        <is>
          <t>No</t>
        </is>
      </c>
      <c r="AA53" t="n">
        <v>3.537055577</v>
      </c>
      <c r="AB53" t="n">
        <v>3.507801919</v>
      </c>
      <c r="AC53" t="n">
        <v>3.537055577</v>
      </c>
      <c r="AD53">
        <f t="array" ref="AD53">IF(SUMPRODUCT(--($AM$2:$AM$112=TRIM(LEFT($B53,IFERROR(FIND(" ",$B53)-1,LEN($B53))))))&gt;0,1,0)</f>
        <v/>
      </c>
      <c r="AE53">
        <f t="array" ref="AE53">IF(SUMPRODUCT(--($AO$2:$AO$145=TRIM(LEFT($B53,IFERROR(FIND(" ",$B53)-1,LEN($B53))))))&gt;0,1,0)</f>
        <v/>
      </c>
      <c r="AF53">
        <f t="array" ref="AF53">IF(SUMPRODUCT(--($AQ$2:$AQ$71=TRIM(LEFT($B53,IFERROR(FIND(" ",$B53)-1,LEN($B53))))))&gt;0,1,0)</f>
        <v/>
      </c>
      <c r="AL53" t="inlineStr">
        <is>
          <t>ROG / DuPon</t>
        </is>
      </c>
      <c r="AM53">
        <f>TRIM(LEFT(AL53,FIND("/",AL53)-1))</f>
        <v/>
      </c>
      <c r="AN53" t="inlineStr">
        <is>
          <t>POLY / HP In</t>
        </is>
      </c>
      <c r="AO53">
        <f>TRIM(LEFT(AN53,FIND("/",AN53)-1))</f>
        <v/>
      </c>
      <c r="AP53" t="inlineStr">
        <is>
          <t>MIC / Argo</t>
        </is>
      </c>
      <c r="AQ53">
        <f>TRIM(LEFT(AP53,FIND("/",AP53)-1))</f>
        <v/>
      </c>
    </row>
    <row r="54">
      <c r="A54" t="n">
        <v>84</v>
      </c>
      <c r="B54" t="inlineStr">
        <is>
          <t>MOFG US</t>
        </is>
      </c>
      <c r="C54" t="inlineStr">
        <is>
          <t>NIC US</t>
        </is>
      </c>
      <c r="D54" s="1" t="n">
        <v>45953</v>
      </c>
      <c r="E54" t="n">
        <v>863.37</v>
      </c>
      <c r="F54" t="inlineStr">
        <is>
          <t>Stock</t>
        </is>
      </c>
      <c r="H54" t="inlineStr">
        <is>
          <t>Financials</t>
        </is>
      </c>
      <c r="I54" t="inlineStr">
        <is>
          <t>Banking</t>
        </is>
      </c>
      <c r="J54" t="inlineStr">
        <is>
          <t>Banking</t>
        </is>
      </c>
      <c r="M54" t="n">
        <v>46.19</v>
      </c>
      <c r="N54" t="n">
        <v>863.37</v>
      </c>
      <c r="O54" t="inlineStr">
        <is>
          <t>United States</t>
        </is>
      </c>
      <c r="P54" t="inlineStr">
        <is>
          <t>United States</t>
        </is>
      </c>
      <c r="Q54" t="inlineStr">
        <is>
          <t>Friendly</t>
        </is>
      </c>
      <c r="R54" t="n">
        <v>206.027</v>
      </c>
      <c r="S54" t="n">
        <v>31.3069</v>
      </c>
      <c r="T54" t="inlineStr">
        <is>
          <t>Company Takeover</t>
        </is>
      </c>
      <c r="U54" t="inlineStr">
        <is>
          <t>No</t>
        </is>
      </c>
      <c r="V54" t="inlineStr">
        <is>
          <t>No</t>
        </is>
      </c>
      <c r="W54" t="inlineStr">
        <is>
          <t>No</t>
        </is>
      </c>
      <c r="X54" t="inlineStr">
        <is>
          <t>No</t>
        </is>
      </c>
      <c r="Y54" t="inlineStr">
        <is>
          <t>No</t>
        </is>
      </c>
      <c r="Z54" t="inlineStr">
        <is>
          <t>No</t>
        </is>
      </c>
      <c r="AA54" t="n">
        <v>2.936196954</v>
      </c>
      <c r="AB54" t="n">
        <v>2.313924139</v>
      </c>
      <c r="AC54" t="n">
        <v>2.936196954</v>
      </c>
      <c r="AD54">
        <f t="array" ref="AD54">IF(SUMPRODUCT(--($AM$2:$AM$112=TRIM(LEFT($B54,IFERROR(FIND(" ",$B54)-1,LEN($B54))))))&gt;0,1,0)</f>
        <v/>
      </c>
      <c r="AE54">
        <f t="array" ref="AE54">IF(SUMPRODUCT(--($AO$2:$AO$145=TRIM(LEFT($B54,IFERROR(FIND(" ",$B54)-1,LEN($B54))))))&gt;0,1,0)</f>
        <v/>
      </c>
      <c r="AF54">
        <f t="array" ref="AF54">IF(SUMPRODUCT(--($AQ$2:$AQ$71=TRIM(LEFT($B54,IFERROR(FIND(" ",$B54)-1,LEN($B54))))))&gt;0,1,0)</f>
        <v/>
      </c>
      <c r="AL54" t="inlineStr">
        <is>
          <t>KRA / DL Ch</t>
        </is>
      </c>
      <c r="AM54">
        <f>TRIM(LEFT(AL54,FIND("/",AL54)-1))</f>
        <v/>
      </c>
      <c r="AN54" t="inlineStr">
        <is>
          <t>Y / Berks</t>
        </is>
      </c>
      <c r="AO54">
        <f>TRIM(LEFT(AN54,FIND("/",AN54)-1))</f>
        <v/>
      </c>
      <c r="AP54" t="inlineStr">
        <is>
          <t>KSU / Canad</t>
        </is>
      </c>
      <c r="AQ54">
        <f>TRIM(LEFT(AP54,FIND("/",AP54)-1))</f>
        <v/>
      </c>
    </row>
    <row r="55">
      <c r="A55" t="n">
        <v>81</v>
      </c>
      <c r="B55" t="inlineStr">
        <is>
          <t>ZEUS US</t>
        </is>
      </c>
      <c r="C55" t="inlineStr">
        <is>
          <t>RYZ US</t>
        </is>
      </c>
      <c r="D55" s="1" t="n">
        <v>45958</v>
      </c>
      <c r="E55" t="n">
        <v>705.33</v>
      </c>
      <c r="F55" t="inlineStr">
        <is>
          <t>Stock</t>
        </is>
      </c>
      <c r="G55" t="n">
        <v>8.119999999999999</v>
      </c>
      <c r="H55" t="inlineStr">
        <is>
          <t>Materials</t>
        </is>
      </c>
      <c r="I55" t="inlineStr">
        <is>
          <t>Materials</t>
        </is>
      </c>
      <c r="J55" t="inlineStr">
        <is>
          <t>Steel</t>
        </is>
      </c>
      <c r="K55" t="n">
        <v>15</v>
      </c>
      <c r="L55" t="n">
        <v>15</v>
      </c>
      <c r="M55" t="n">
        <v>36.32</v>
      </c>
      <c r="N55" t="n">
        <v>442.82</v>
      </c>
      <c r="O55" t="inlineStr">
        <is>
          <t>United States</t>
        </is>
      </c>
      <c r="P55" t="inlineStr">
        <is>
          <t>United States</t>
        </is>
      </c>
      <c r="Q55" t="inlineStr">
        <is>
          <t>Friendly</t>
        </is>
      </c>
      <c r="R55" t="n">
        <v>1941.67</v>
      </c>
      <c r="S55" t="n">
        <v>1.86596</v>
      </c>
      <c r="T55" t="inlineStr">
        <is>
          <t>Company Takeover</t>
        </is>
      </c>
      <c r="U55" t="inlineStr">
        <is>
          <t>No</t>
        </is>
      </c>
      <c r="V55" t="inlineStr">
        <is>
          <t>No</t>
        </is>
      </c>
      <c r="W55" t="inlineStr">
        <is>
          <t>No</t>
        </is>
      </c>
      <c r="X55" t="inlineStr">
        <is>
          <t>No</t>
        </is>
      </c>
      <c r="Y55" t="inlineStr">
        <is>
          <t>No</t>
        </is>
      </c>
      <c r="Z55" t="inlineStr">
        <is>
          <t>No</t>
        </is>
      </c>
      <c r="AA55" t="n">
        <v>2.848392356</v>
      </c>
      <c r="AB55" t="n">
        <v>3.288175421</v>
      </c>
      <c r="AC55" t="n">
        <v>2.646227228</v>
      </c>
      <c r="AD55">
        <f t="array" ref="AD55">IF(SUMPRODUCT(--($AM$2:$AM$112=TRIM(LEFT($B55,IFERROR(FIND(" ",$B55)-1,LEN($B55))))))&gt;0,1,0)</f>
        <v/>
      </c>
      <c r="AE55">
        <f t="array" ref="AE55">IF(SUMPRODUCT(--($AO$2:$AO$145=TRIM(LEFT($B55,IFERROR(FIND(" ",$B55)-1,LEN($B55))))))&gt;0,1,0)</f>
        <v/>
      </c>
      <c r="AF55">
        <f t="array" ref="AF55">IF(SUMPRODUCT(--($AQ$2:$AQ$71=TRIM(LEFT($B55,IFERROR(FIND(" ",$B55)-1,LEN($B55))))))&gt;0,1,0)</f>
        <v/>
      </c>
      <c r="AL55" t="inlineStr">
        <is>
          <t>HRC / Baxte</t>
        </is>
      </c>
      <c r="AM55">
        <f>TRIM(LEFT(AL55,FIND("/",AL55)-1))</f>
        <v/>
      </c>
      <c r="AN55" t="inlineStr">
        <is>
          <t>REGI / Chevr</t>
        </is>
      </c>
      <c r="AO55">
        <f>TRIM(LEFT(AN55,FIND("/",AN55)-1))</f>
        <v/>
      </c>
      <c r="AP55" t="inlineStr">
        <is>
          <t>LMNX / DiaSo</t>
        </is>
      </c>
      <c r="AQ55">
        <f>TRIM(LEFT(AP55,FIND("/",AP55)-1))</f>
        <v/>
      </c>
    </row>
    <row r="56">
      <c r="A56" t="n">
        <v>83</v>
      </c>
      <c r="B56" t="inlineStr">
        <is>
          <t>AVDL US</t>
        </is>
      </c>
      <c r="C56" t="inlineStr">
        <is>
          <t>ALKS US</t>
        </is>
      </c>
      <c r="D56" s="1" t="n">
        <v>45952</v>
      </c>
      <c r="E56" t="n">
        <v>2039.05</v>
      </c>
      <c r="F56" t="inlineStr">
        <is>
          <t>Cash</t>
        </is>
      </c>
      <c r="H56" t="inlineStr">
        <is>
          <t>Health Care</t>
        </is>
      </c>
      <c r="I56" t="inlineStr">
        <is>
          <t>Health Care</t>
        </is>
      </c>
      <c r="J56" t="inlineStr">
        <is>
          <t>Biotech &amp; Pharma</t>
        </is>
      </c>
      <c r="M56" t="n">
        <v>9.380000000000001</v>
      </c>
      <c r="N56" t="n">
        <v>2039.05</v>
      </c>
      <c r="O56" t="inlineStr">
        <is>
          <t>United States</t>
        </is>
      </c>
      <c r="P56" t="inlineStr">
        <is>
          <t>United States</t>
        </is>
      </c>
      <c r="Q56" t="inlineStr">
        <is>
          <t>Friendly</t>
        </is>
      </c>
      <c r="R56" t="n">
        <v>169.117</v>
      </c>
      <c r="S56" t="n">
        <v>1.82</v>
      </c>
      <c r="T56" t="inlineStr">
        <is>
          <t>Company Takeover, Competing Bid</t>
        </is>
      </c>
      <c r="U56" t="inlineStr">
        <is>
          <t>No</t>
        </is>
      </c>
      <c r="V56" t="inlineStr">
        <is>
          <t>Yes</t>
        </is>
      </c>
      <c r="W56" t="inlineStr">
        <is>
          <t>No</t>
        </is>
      </c>
      <c r="X56" t="inlineStr">
        <is>
          <t>No</t>
        </is>
      </c>
      <c r="Y56" t="inlineStr">
        <is>
          <t>No</t>
        </is>
      </c>
      <c r="Z56" t="inlineStr">
        <is>
          <t>No</t>
        </is>
      </c>
      <c r="AA56" t="n">
        <v>3.309427875</v>
      </c>
      <c r="AB56" t="n">
        <v>2.228187266</v>
      </c>
      <c r="AC56" t="n">
        <v>3.309427875</v>
      </c>
      <c r="AD56">
        <f t="array" ref="AD56">IF(SUMPRODUCT(--($AM$2:$AM$112=TRIM(LEFT($B56,IFERROR(FIND(" ",$B56)-1,LEN($B56))))))&gt;0,1,0)</f>
        <v/>
      </c>
      <c r="AE56">
        <f t="array" ref="AE56">IF(SUMPRODUCT(--($AO$2:$AO$145=TRIM(LEFT($B56,IFERROR(FIND(" ",$B56)-1,LEN($B56))))))&gt;0,1,0)</f>
        <v/>
      </c>
      <c r="AF56">
        <f t="array" ref="AF56">IF(SUMPRODUCT(--($AQ$2:$AQ$71=TRIM(LEFT($B56,IFERROR(FIND(" ",$B56)-1,LEN($B56))))))&gt;0,1,0)</f>
        <v/>
      </c>
      <c r="AL56" t="inlineStr">
        <is>
          <t>SAFM / Cargi</t>
        </is>
      </c>
      <c r="AM56">
        <f>TRIM(LEFT(AL56,FIND("/",AL56)-1))</f>
        <v/>
      </c>
      <c r="AN56" t="inlineStr">
        <is>
          <t>TEN / Apoll</t>
        </is>
      </c>
      <c r="AO56">
        <f>TRIM(LEFT(AN56,FIND("/",AN56)-1))</f>
        <v/>
      </c>
      <c r="AP56" t="inlineStr">
        <is>
          <t>ORBC / GI Pa</t>
        </is>
      </c>
      <c r="AQ56">
        <f>TRIM(LEFT(AP56,FIND("/",AP56)-1))</f>
        <v/>
      </c>
    </row>
    <row r="57">
      <c r="A57" t="n">
        <v>142</v>
      </c>
      <c r="B57" t="inlineStr">
        <is>
          <t>CYBR US</t>
        </is>
      </c>
      <c r="C57" t="inlineStr">
        <is>
          <t>PANW US</t>
        </is>
      </c>
      <c r="D57" s="1" t="n">
        <v>45868</v>
      </c>
      <c r="E57" t="n">
        <v>22963.38</v>
      </c>
      <c r="F57" t="inlineStr">
        <is>
          <t>Cash and Stock</t>
        </is>
      </c>
      <c r="H57" t="inlineStr">
        <is>
          <t>Technology</t>
        </is>
      </c>
      <c r="I57" t="inlineStr">
        <is>
          <t>Software &amp; Tech Services</t>
        </is>
      </c>
      <c r="J57" t="inlineStr">
        <is>
          <t>Software</t>
        </is>
      </c>
      <c r="K57" t="n">
        <v>1000</v>
      </c>
      <c r="L57" t="n">
        <v>750</v>
      </c>
      <c r="M57" t="n">
        <v>23.94</v>
      </c>
      <c r="N57" t="n">
        <v>23739.49</v>
      </c>
      <c r="O57" t="inlineStr">
        <is>
          <t>United States</t>
        </is>
      </c>
      <c r="P57" t="inlineStr">
        <is>
          <t>United States</t>
        </is>
      </c>
      <c r="Q57" t="inlineStr">
        <is>
          <t>Friendly</t>
        </is>
      </c>
      <c r="R57" t="n">
        <v>1361.12</v>
      </c>
      <c r="S57" t="n">
        <v>-9.63664</v>
      </c>
      <c r="T57" t="inlineStr">
        <is>
          <t>Company Takeover</t>
        </is>
      </c>
      <c r="U57" t="inlineStr">
        <is>
          <t>No</t>
        </is>
      </c>
      <c r="V57" t="inlineStr">
        <is>
          <t>No</t>
        </is>
      </c>
      <c r="W57" t="inlineStr">
        <is>
          <t>No</t>
        </is>
      </c>
      <c r="X57" t="inlineStr">
        <is>
          <t>No</t>
        </is>
      </c>
      <c r="Y57" t="inlineStr">
        <is>
          <t>No</t>
        </is>
      </c>
      <c r="Z57" t="inlineStr">
        <is>
          <t>No</t>
        </is>
      </c>
      <c r="AA57" t="n">
        <v>4.361035813</v>
      </c>
      <c r="AB57" t="n">
        <v>3.133896415</v>
      </c>
      <c r="AC57" t="n">
        <v>4.375471385</v>
      </c>
      <c r="AD57">
        <f t="array" ref="AD57">IF(SUMPRODUCT(--($AM$2:$AM$112=TRIM(LEFT($B57,IFERROR(FIND(" ",$B57)-1,LEN($B57))))))&gt;0,1,0)</f>
        <v/>
      </c>
      <c r="AE57">
        <f t="array" ref="AE57">IF(SUMPRODUCT(--($AO$2:$AO$145=TRIM(LEFT($B57,IFERROR(FIND(" ",$B57)-1,LEN($B57))))))&gt;0,1,0)</f>
        <v/>
      </c>
      <c r="AF57">
        <f t="array" ref="AF57">IF(SUMPRODUCT(--($AQ$2:$AQ$71=TRIM(LEFT($B57,IFERROR(FIND(" ",$B57)-1,LEN($B57))))))&gt;0,1,0)</f>
        <v/>
      </c>
      <c r="AL57" t="inlineStr">
        <is>
          <t>VNE / Magna</t>
        </is>
      </c>
      <c r="AM57">
        <f>TRIM(LEFT(AL57,FIND("/",AL57)-1))</f>
        <v/>
      </c>
      <c r="AN57" t="inlineStr">
        <is>
          <t>MTOR / Cummi</t>
        </is>
      </c>
      <c r="AO57">
        <f>TRIM(LEFT(AN57,FIND("/",AN57)-1))</f>
        <v/>
      </c>
      <c r="AP57" t="inlineStr">
        <is>
          <t xml:space="preserve">MX / Wise </t>
        </is>
      </c>
      <c r="AQ57">
        <f>TRIM(LEFT(AP57,FIND("/",AP57)-1))</f>
        <v/>
      </c>
    </row>
    <row r="58">
      <c r="A58" t="n">
        <v>68</v>
      </c>
      <c r="B58" t="inlineStr">
        <is>
          <t>THS US</t>
        </is>
      </c>
      <c r="C58" t="inlineStr">
        <is>
          <t>300808Z IM</t>
        </is>
      </c>
      <c r="D58" s="1" t="n">
        <v>45971</v>
      </c>
      <c r="E58" t="n">
        <v>2766.55</v>
      </c>
      <c r="F58" t="inlineStr">
        <is>
          <t>Cash</t>
        </is>
      </c>
      <c r="G58" t="n">
        <v>9.33</v>
      </c>
      <c r="H58" t="inlineStr">
        <is>
          <t>Consumer Staples</t>
        </is>
      </c>
      <c r="I58" t="inlineStr">
        <is>
          <t>Consumer Staple Products</t>
        </is>
      </c>
      <c r="J58" t="inlineStr">
        <is>
          <t>Food</t>
        </is>
      </c>
      <c r="M58" t="n">
        <v>18.55</v>
      </c>
      <c r="N58" t="n">
        <v>1136.25</v>
      </c>
      <c r="O58" t="inlineStr">
        <is>
          <t>United States</t>
        </is>
      </c>
      <c r="P58" t="inlineStr">
        <is>
          <t>Italy</t>
        </is>
      </c>
      <c r="Q58" t="inlineStr">
        <is>
          <t>Friendly</t>
        </is>
      </c>
      <c r="R58" t="n">
        <v>3354</v>
      </c>
      <c r="S58" t="n">
        <v>-4.55036</v>
      </c>
      <c r="T58" t="inlineStr">
        <is>
          <t>Company Takeover, Going Private, PE Buyout, Private Equity</t>
        </is>
      </c>
      <c r="U58" t="inlineStr">
        <is>
          <t>No</t>
        </is>
      </c>
      <c r="V58" t="inlineStr">
        <is>
          <t>No</t>
        </is>
      </c>
      <c r="W58" t="inlineStr">
        <is>
          <t>No</t>
        </is>
      </c>
      <c r="X58" t="inlineStr">
        <is>
          <t>Yes</t>
        </is>
      </c>
      <c r="Y58" t="inlineStr">
        <is>
          <t>Yes</t>
        </is>
      </c>
      <c r="Z58" t="inlineStr">
        <is>
          <t>No</t>
        </is>
      </c>
      <c r="AA58" t="n">
        <v>3.441938524</v>
      </c>
      <c r="AB58" t="n">
        <v>3.525563058</v>
      </c>
      <c r="AC58" t="n">
        <v>3.055473896</v>
      </c>
      <c r="AD58">
        <f t="array" ref="AD58">IF(SUMPRODUCT(--($AM$2:$AM$112=TRIM(LEFT($B58,IFERROR(FIND(" ",$B58)-1,LEN($B58))))))&gt;0,1,0)</f>
        <v/>
      </c>
      <c r="AE58">
        <f t="array" ref="AE58">IF(SUMPRODUCT(--($AO$2:$AO$145=TRIM(LEFT($B58,IFERROR(FIND(" ",$B58)-1,LEN($B58))))))&gt;0,1,0)</f>
        <v/>
      </c>
      <c r="AF58">
        <f t="array" ref="AF58">IF(SUMPRODUCT(--($AQ$2:$AQ$71=TRIM(LEFT($B58,IFERROR(FIND(" ",$B58)-1,LEN($B58))))))&gt;0,1,0)</f>
        <v/>
      </c>
      <c r="AL58" t="inlineStr">
        <is>
          <t>ATC / MKS I</t>
        </is>
      </c>
      <c r="AM58">
        <f>TRIM(LEFT(AL58,FIND("/",AL58)-1))</f>
        <v/>
      </c>
      <c r="AN58" t="inlineStr">
        <is>
          <t>CTXS / Vista</t>
        </is>
      </c>
      <c r="AO58">
        <f>TRIM(LEFT(AN58,FIND("/",AN58)-1))</f>
        <v/>
      </c>
      <c r="AP58" t="inlineStr">
        <is>
          <t>PROS / Tower</t>
        </is>
      </c>
      <c r="AQ58">
        <f>TRIM(LEFT(AP58,FIND("/",AP58)-1))</f>
        <v/>
      </c>
    </row>
    <row r="59">
      <c r="A59" t="n">
        <v>36</v>
      </c>
      <c r="B59" t="inlineStr">
        <is>
          <t>DVAX US</t>
        </is>
      </c>
      <c r="C59" t="inlineStr">
        <is>
          <t>SAN FP</t>
        </is>
      </c>
      <c r="D59" s="1" t="n">
        <v>46015</v>
      </c>
      <c r="E59" t="n">
        <v>1820.13</v>
      </c>
      <c r="F59" t="inlineStr">
        <is>
          <t>Cash</t>
        </is>
      </c>
      <c r="G59" t="n">
        <v>293.24</v>
      </c>
      <c r="H59" t="inlineStr">
        <is>
          <t>Health Care</t>
        </is>
      </c>
      <c r="I59" t="inlineStr">
        <is>
          <t>Health Care</t>
        </is>
      </c>
      <c r="J59" t="inlineStr">
        <is>
          <t>Biotech &amp; Pharma</t>
        </is>
      </c>
      <c r="K59" t="n">
        <v>116.774</v>
      </c>
      <c r="L59" t="n">
        <v>77.84950000000001</v>
      </c>
      <c r="M59" t="n">
        <v>41.2</v>
      </c>
      <c r="N59" t="n">
        <v>1820.13</v>
      </c>
      <c r="O59" t="inlineStr">
        <is>
          <t>United States</t>
        </is>
      </c>
      <c r="P59" t="inlineStr">
        <is>
          <t>United States</t>
        </is>
      </c>
      <c r="Q59" t="inlineStr">
        <is>
          <t>Friendly</t>
        </is>
      </c>
      <c r="R59" t="n">
        <v>277.246</v>
      </c>
      <c r="S59" t="n">
        <v>3.15811</v>
      </c>
      <c r="T59" t="inlineStr">
        <is>
          <t>Company Takeover, Tender Offer</t>
        </is>
      </c>
      <c r="U59" t="inlineStr">
        <is>
          <t>No</t>
        </is>
      </c>
      <c r="V59" t="inlineStr">
        <is>
          <t>No</t>
        </is>
      </c>
      <c r="W59" t="inlineStr">
        <is>
          <t>No</t>
        </is>
      </c>
      <c r="X59" t="inlineStr">
        <is>
          <t>No</t>
        </is>
      </c>
      <c r="Y59" t="inlineStr">
        <is>
          <t>No</t>
        </is>
      </c>
      <c r="Z59" t="inlineStr">
        <is>
          <t>Yes</t>
        </is>
      </c>
      <c r="AA59" t="n">
        <v>3.260102408</v>
      </c>
      <c r="AB59" t="n">
        <v>2.442865289</v>
      </c>
      <c r="AC59" t="n">
        <v>3.260102408</v>
      </c>
      <c r="AD59">
        <f t="array" ref="AD59">IF(SUMPRODUCT(--($AM$2:$AM$112=TRIM(LEFT($B59,IFERROR(FIND(" ",$B59)-1,LEN($B59))))))&gt;0,1,0)</f>
        <v/>
      </c>
      <c r="AE59">
        <f t="array" ref="AE59">IF(SUMPRODUCT(--($AO$2:$AO$145=TRIM(LEFT($B59,IFERROR(FIND(" ",$B59)-1,LEN($B59))))))&gt;0,1,0)</f>
        <v/>
      </c>
      <c r="AF59">
        <f t="array" ref="AF59">IF(SUMPRODUCT(--($AQ$2:$AQ$71=TRIM(LEFT($B59,IFERROR(FIND(" ",$B59)-1,LEN($B59))))))&gt;0,1,0)</f>
        <v/>
      </c>
      <c r="AL59" t="inlineStr">
        <is>
          <t>CLDR / Clayt</t>
        </is>
      </c>
      <c r="AM59">
        <f>TRIM(LEFT(AL59,FIND("/",AL59)-1))</f>
        <v/>
      </c>
      <c r="AN59" t="inlineStr">
        <is>
          <t>ATVI / Micro</t>
        </is>
      </c>
      <c r="AO59">
        <f>TRIM(LEFT(AN59,FIND("/",AN59)-1))</f>
        <v/>
      </c>
      <c r="AP59" t="inlineStr">
        <is>
          <t>BEAT / Konin</t>
        </is>
      </c>
      <c r="AQ59">
        <f>TRIM(LEFT(AP59,FIND("/",AP59)-1))</f>
        <v/>
      </c>
    </row>
    <row r="60">
      <c r="A60" t="n">
        <v>85</v>
      </c>
      <c r="B60" t="inlineStr">
        <is>
          <t>HI US</t>
        </is>
      </c>
      <c r="C60" t="inlineStr">
        <is>
          <t>71194Z US</t>
        </is>
      </c>
      <c r="D60" s="1" t="n">
        <v>45945</v>
      </c>
      <c r="E60" t="n">
        <v>3866.33</v>
      </c>
      <c r="F60" t="inlineStr">
        <is>
          <t>Cash</t>
        </is>
      </c>
      <c r="G60" t="n">
        <v>14.51</v>
      </c>
      <c r="H60" t="inlineStr">
        <is>
          <t>Industrials</t>
        </is>
      </c>
      <c r="I60" t="inlineStr">
        <is>
          <t>Industrial Products</t>
        </is>
      </c>
      <c r="J60" t="inlineStr">
        <is>
          <t>Machinery</t>
        </is>
      </c>
      <c r="K60" t="n">
        <v>138</v>
      </c>
      <c r="L60" t="n">
        <v>69</v>
      </c>
      <c r="M60" t="n">
        <v>24.75</v>
      </c>
      <c r="N60" t="n">
        <v>2255.43</v>
      </c>
      <c r="O60" t="inlineStr">
        <is>
          <t>United States</t>
        </is>
      </c>
      <c r="P60" t="inlineStr">
        <is>
          <t>United States</t>
        </is>
      </c>
      <c r="Q60" t="inlineStr">
        <is>
          <t>Friendly</t>
        </is>
      </c>
      <c r="R60" t="n">
        <v>2673.8</v>
      </c>
      <c r="S60" t="n">
        <v>2.3837</v>
      </c>
      <c r="T60" t="inlineStr">
        <is>
          <t>Company Takeover, Private Equity, PE Buyout, Going Private</t>
        </is>
      </c>
      <c r="U60" t="inlineStr">
        <is>
          <t>No</t>
        </is>
      </c>
      <c r="V60" t="inlineStr">
        <is>
          <t>No</t>
        </is>
      </c>
      <c r="W60" t="inlineStr">
        <is>
          <t>No</t>
        </is>
      </c>
      <c r="X60" t="inlineStr">
        <is>
          <t>Yes</t>
        </is>
      </c>
      <c r="Y60" t="inlineStr">
        <is>
          <t>Yes</t>
        </is>
      </c>
      <c r="Z60" t="inlineStr">
        <is>
          <t>No</t>
        </is>
      </c>
      <c r="AA60" t="n">
        <v>3.587298919</v>
      </c>
      <c r="AB60" t="n">
        <v>3.427128919</v>
      </c>
      <c r="AC60" t="n">
        <v>3.353229353</v>
      </c>
      <c r="AD60">
        <f t="array" ref="AD60">IF(SUMPRODUCT(--($AM$2:$AM$112=TRIM(LEFT($B60,IFERROR(FIND(" ",$B60)-1,LEN($B60))))))&gt;0,1,0)</f>
        <v/>
      </c>
      <c r="AE60">
        <f t="array" ref="AE60">IF(SUMPRODUCT(--($AO$2:$AO$145=TRIM(LEFT($B60,IFERROR(FIND(" ",$B60)-1,LEN($B60))))))&gt;0,1,0)</f>
        <v/>
      </c>
      <c r="AF60">
        <f t="array" ref="AF60">IF(SUMPRODUCT(--($AQ$2:$AQ$71=TRIM(LEFT($B60,IFERROR(FIND(" ",$B60)-1,LEN($B60))))))&gt;0,1,0)</f>
        <v/>
      </c>
      <c r="AL60" t="inlineStr">
        <is>
          <t>UFS / Paper</t>
        </is>
      </c>
      <c r="AM60">
        <f>TRIM(LEFT(AL60,FIND("/",AL60)-1))</f>
        <v/>
      </c>
      <c r="AN60" t="inlineStr">
        <is>
          <t>CERN / Oracl</t>
        </is>
      </c>
      <c r="AO60">
        <f>TRIM(LEFT(AN60,FIND("/",AN60)-1))</f>
        <v/>
      </c>
      <c r="AP60" t="inlineStr">
        <is>
          <t>TCP / TC En</t>
        </is>
      </c>
      <c r="AQ60">
        <f>TRIM(LEFT(AP60,FIND("/",AP60)-1))</f>
        <v/>
      </c>
    </row>
    <row r="61">
      <c r="A61" t="n">
        <v>68</v>
      </c>
      <c r="B61" t="inlineStr">
        <is>
          <t>NVA CN</t>
        </is>
      </c>
      <c r="C61" t="inlineStr">
        <is>
          <t>OVV US</t>
        </is>
      </c>
      <c r="D61" s="1" t="n">
        <v>45965</v>
      </c>
      <c r="E61" t="n">
        <v>2512.32</v>
      </c>
      <c r="F61" t="inlineStr">
        <is>
          <t>Cash or Stock</t>
        </is>
      </c>
      <c r="G61" t="n">
        <v>6.64</v>
      </c>
      <c r="H61" t="inlineStr">
        <is>
          <t>Energy</t>
        </is>
      </c>
      <c r="I61" t="inlineStr">
        <is>
          <t>Oil &amp; Gas</t>
        </is>
      </c>
      <c r="J61" t="inlineStr">
        <is>
          <t>Oil &amp; Gas Supply Chain</t>
        </is>
      </c>
      <c r="M61" t="n">
        <v>11</v>
      </c>
      <c r="N61" t="n">
        <v>2238.74</v>
      </c>
      <c r="O61" t="inlineStr">
        <is>
          <t>Canada</t>
        </is>
      </c>
      <c r="P61" t="inlineStr">
        <is>
          <t>United States</t>
        </is>
      </c>
      <c r="Q61" t="inlineStr">
        <is>
          <t>Friendly</t>
        </is>
      </c>
      <c r="R61" t="n">
        <v>810.798</v>
      </c>
      <c r="S61" t="n">
        <v>33.1425</v>
      </c>
      <c r="T61" t="inlineStr">
        <is>
          <t>Cross Border, Company Takeover, Additional Stake Purchase</t>
        </is>
      </c>
      <c r="U61" t="inlineStr">
        <is>
          <t>Yes</t>
        </is>
      </c>
      <c r="V61" t="inlineStr">
        <is>
          <t>No</t>
        </is>
      </c>
      <c r="W61" t="inlineStr">
        <is>
          <t>Yes</t>
        </is>
      </c>
      <c r="X61" t="inlineStr">
        <is>
          <t>No</t>
        </is>
      </c>
      <c r="Y61" t="inlineStr">
        <is>
          <t>No</t>
        </is>
      </c>
      <c r="Z61" t="inlineStr">
        <is>
          <t>No</t>
        </is>
      </c>
      <c r="AA61" t="n">
        <v>3.400074956</v>
      </c>
      <c r="AB61" t="n">
        <v>2.908912669</v>
      </c>
      <c r="AC61" t="n">
        <v>3.350003659</v>
      </c>
      <c r="AD61">
        <f t="array" ref="AD61">IF(SUMPRODUCT(--($AM$2:$AM$112=TRIM(LEFT($B61,IFERROR(FIND(" ",$B61)-1,LEN($B61))))))&gt;0,1,0)</f>
        <v/>
      </c>
      <c r="AE61">
        <f t="array" ref="AE61">IF(SUMPRODUCT(--($AO$2:$AO$145=TRIM(LEFT($B61,IFERROR(FIND(" ",$B61)-1,LEN($B61))))))&gt;0,1,0)</f>
        <v/>
      </c>
      <c r="AF61">
        <f t="array" ref="AF61">IF(SUMPRODUCT(--($AQ$2:$AQ$71=TRIM(LEFT($B61,IFERROR(FIND(" ",$B61)-1,LEN($B61))))))&gt;0,1,0)</f>
        <v/>
      </c>
      <c r="AL61" t="inlineStr">
        <is>
          <t>FOE / Ameri</t>
        </is>
      </c>
      <c r="AM61">
        <f>TRIM(LEFT(AL61,FIND("/",AL61)-1))</f>
        <v/>
      </c>
      <c r="AN61" t="inlineStr">
        <is>
          <t xml:space="preserve">FLOW / Lone </t>
        </is>
      </c>
      <c r="AO61">
        <f>TRIM(LEFT(AN61,FIND("/",AN61)-1))</f>
        <v/>
      </c>
      <c r="AP61" t="inlineStr">
        <is>
          <t>WDR / Macqu</t>
        </is>
      </c>
      <c r="AQ61">
        <f>TRIM(LEFT(AP61,FIND("/",AP61)-1))</f>
        <v/>
      </c>
    </row>
    <row r="62">
      <c r="A62" t="n">
        <v>120</v>
      </c>
      <c r="B62" t="inlineStr">
        <is>
          <t>DAY US</t>
        </is>
      </c>
      <c r="C62" t="inlineStr">
        <is>
          <t>129626Z US</t>
        </is>
      </c>
      <c r="D62" s="1" t="n">
        <v>45890</v>
      </c>
      <c r="E62" t="n">
        <v>11237.21</v>
      </c>
      <c r="F62" t="inlineStr">
        <is>
          <t>Cash</t>
        </is>
      </c>
      <c r="G62" t="n">
        <v>35.07</v>
      </c>
      <c r="H62" t="inlineStr">
        <is>
          <t>Technology</t>
        </is>
      </c>
      <c r="I62" t="inlineStr">
        <is>
          <t>Software &amp; Tech Services</t>
        </is>
      </c>
      <c r="J62" t="inlineStr">
        <is>
          <t>Software</t>
        </is>
      </c>
      <c r="M62" t="n">
        <v>23.22</v>
      </c>
      <c r="N62" t="n">
        <v>11237.21</v>
      </c>
      <c r="O62" t="inlineStr">
        <is>
          <t>United States</t>
        </is>
      </c>
      <c r="P62" t="inlineStr">
        <is>
          <t>United States</t>
        </is>
      </c>
      <c r="Q62" t="inlineStr">
        <is>
          <t>Friendly</t>
        </is>
      </c>
      <c r="R62" t="n">
        <v>1760</v>
      </c>
      <c r="S62" t="n">
        <v>6.9878</v>
      </c>
      <c r="T62" t="inlineStr">
        <is>
          <t>PE Buyout, Private Equity, Company Takeover, Going Private</t>
        </is>
      </c>
      <c r="U62" t="inlineStr">
        <is>
          <t>No</t>
        </is>
      </c>
      <c r="V62" t="inlineStr">
        <is>
          <t>No</t>
        </is>
      </c>
      <c r="W62" t="inlineStr">
        <is>
          <t>No</t>
        </is>
      </c>
      <c r="X62" t="inlineStr">
        <is>
          <t>Yes</t>
        </is>
      </c>
      <c r="Y62" t="inlineStr">
        <is>
          <t>Yes</t>
        </is>
      </c>
      <c r="Z62" t="inlineStr">
        <is>
          <t>No</t>
        </is>
      </c>
      <c r="AA62" t="n">
        <v>4.050658497</v>
      </c>
      <c r="AB62" t="n">
        <v>3.245512668</v>
      </c>
      <c r="AC62" t="n">
        <v>4.050658497</v>
      </c>
      <c r="AD62">
        <f t="array" ref="AD62">IF(SUMPRODUCT(--($AM$2:$AM$112=TRIM(LEFT($B62,IFERROR(FIND(" ",$B62)-1,LEN($B62))))))&gt;0,1,0)</f>
        <v/>
      </c>
      <c r="AE62">
        <f t="array" ref="AE62">IF(SUMPRODUCT(--($AO$2:$AO$145=TRIM(LEFT($B62,IFERROR(FIND(" ",$B62)-1,LEN($B62))))))&gt;0,1,0)</f>
        <v/>
      </c>
      <c r="AF62">
        <f t="array" ref="AF62">IF(SUMPRODUCT(--($AQ$2:$AQ$71=TRIM(LEFT($B62,IFERROR(FIND(" ",$B62)-1,LEN($B62))))))&gt;0,1,0)</f>
        <v/>
      </c>
      <c r="AL62" t="inlineStr">
        <is>
          <t>TEDU / Mr. S</t>
        </is>
      </c>
      <c r="AM62">
        <f>TRIM(LEFT(AL62,FIND("/",AL62)-1))</f>
        <v/>
      </c>
      <c r="AN62" t="inlineStr">
        <is>
          <t>CONE / Globa</t>
        </is>
      </c>
      <c r="AO62">
        <f>TRIM(LEFT(AN62,FIND("/",AN62)-1))</f>
        <v/>
      </c>
      <c r="AP62" t="inlineStr">
        <is>
          <t>NAV / TRATO</t>
        </is>
      </c>
      <c r="AQ62">
        <f>TRIM(LEFT(AP62,FIND("/",AP62)-1))</f>
        <v/>
      </c>
    </row>
    <row r="63">
      <c r="A63" t="n">
        <v>81</v>
      </c>
      <c r="B63" t="inlineStr">
        <is>
          <t>PCH US</t>
        </is>
      </c>
      <c r="C63" t="inlineStr">
        <is>
          <t>RYN US</t>
        </is>
      </c>
      <c r="D63" s="1" t="n">
        <v>45944</v>
      </c>
      <c r="E63" t="n">
        <v>3731.38</v>
      </c>
      <c r="F63" t="inlineStr">
        <is>
          <t>Cash and Stock</t>
        </is>
      </c>
      <c r="G63" t="n">
        <v>24.91</v>
      </c>
      <c r="H63" t="inlineStr">
        <is>
          <t>Real Estate</t>
        </is>
      </c>
      <c r="I63" t="inlineStr">
        <is>
          <t>Real Estate</t>
        </is>
      </c>
      <c r="J63" t="inlineStr">
        <is>
          <t>REIT</t>
        </is>
      </c>
      <c r="K63" t="n">
        <v>159</v>
      </c>
      <c r="L63" t="n">
        <v>138</v>
      </c>
      <c r="M63" t="n">
        <v>17.82</v>
      </c>
      <c r="N63" t="n">
        <v>3731.38</v>
      </c>
      <c r="O63" t="inlineStr">
        <is>
          <t>United States</t>
        </is>
      </c>
      <c r="P63" t="inlineStr">
        <is>
          <t>United States</t>
        </is>
      </c>
      <c r="Q63" t="inlineStr">
        <is>
          <t>Friendly</t>
        </is>
      </c>
      <c r="R63" t="n">
        <v>1062.08</v>
      </c>
      <c r="S63" t="n">
        <v>8.045030000000001</v>
      </c>
      <c r="T63" t="inlineStr">
        <is>
          <t>Company Takeover</t>
        </is>
      </c>
      <c r="U63" t="inlineStr">
        <is>
          <t>No</t>
        </is>
      </c>
      <c r="V63" t="inlineStr">
        <is>
          <t>No</t>
        </is>
      </c>
      <c r="W63" t="inlineStr">
        <is>
          <t>No</t>
        </is>
      </c>
      <c r="X63" t="inlineStr">
        <is>
          <t>No</t>
        </is>
      </c>
      <c r="Y63" t="inlineStr">
        <is>
          <t>No</t>
        </is>
      </c>
      <c r="Z63" t="inlineStr">
        <is>
          <t>No</t>
        </is>
      </c>
      <c r="AA63" t="n">
        <v>3.571869479</v>
      </c>
      <c r="AB63" t="n">
        <v>3.026157231</v>
      </c>
      <c r="AC63" t="n">
        <v>3.571869479</v>
      </c>
      <c r="AD63">
        <f t="array" ref="AD63">IF(SUMPRODUCT(--($AM$2:$AM$112=TRIM(LEFT($B63,IFERROR(FIND(" ",$B63)-1,LEN($B63))))))&gt;0,1,0)</f>
        <v/>
      </c>
      <c r="AE63">
        <f t="array" ref="AE63">IF(SUMPRODUCT(--($AO$2:$AO$145=TRIM(LEFT($B63,IFERROR(FIND(" ",$B63)-1,LEN($B63))))))&gt;0,1,0)</f>
        <v/>
      </c>
      <c r="AF63">
        <f t="array" ref="AF63">IF(SUMPRODUCT(--($AQ$2:$AQ$71=TRIM(LEFT($B63,IFERROR(FIND(" ",$B63)-1,LEN($B63))))))&gt;0,1,0)</f>
        <v/>
      </c>
      <c r="AL63" t="inlineStr">
        <is>
          <t xml:space="preserve">MX / Wise </t>
        </is>
      </c>
      <c r="AM63">
        <f>TRIM(LEFT(AL63,FIND("/",AL63)-1))</f>
        <v/>
      </c>
      <c r="AN63" t="inlineStr">
        <is>
          <t>MCFE / Adven</t>
        </is>
      </c>
      <c r="AO63">
        <f>TRIM(LEFT(AN63,FIND("/",AN63)-1))</f>
        <v/>
      </c>
      <c r="AP63" t="inlineStr">
        <is>
          <t>ALSK / Macqu</t>
        </is>
      </c>
      <c r="AQ63">
        <f>TRIM(LEFT(AP63,FIND("/",AP63)-1))</f>
        <v/>
      </c>
    </row>
    <row r="64">
      <c r="A64" t="n">
        <v>86</v>
      </c>
      <c r="B64" t="inlineStr">
        <is>
          <t>CMA US</t>
        </is>
      </c>
      <c r="C64" t="inlineStr">
        <is>
          <t>FITB US</t>
        </is>
      </c>
      <c r="D64" s="1" t="n">
        <v>45936</v>
      </c>
      <c r="E64" t="n">
        <v>10851.35</v>
      </c>
      <c r="F64" t="inlineStr">
        <is>
          <t>Stock</t>
        </is>
      </c>
      <c r="H64" t="inlineStr">
        <is>
          <t>Financials</t>
        </is>
      </c>
      <c r="I64" t="inlineStr">
        <is>
          <t>Banking</t>
        </is>
      </c>
      <c r="J64" t="inlineStr">
        <is>
          <t>Banking</t>
        </is>
      </c>
      <c r="K64" t="n">
        <v>500</v>
      </c>
      <c r="L64" t="n">
        <v>500</v>
      </c>
      <c r="M64" t="n">
        <v>21.86</v>
      </c>
      <c r="N64" t="n">
        <v>10851.35</v>
      </c>
      <c r="O64" t="inlineStr">
        <is>
          <t>United States</t>
        </is>
      </c>
      <c r="P64" t="inlineStr">
        <is>
          <t>United States</t>
        </is>
      </c>
      <c r="Q64" t="inlineStr">
        <is>
          <t>Friendly</t>
        </is>
      </c>
      <c r="R64" t="n">
        <v>4798</v>
      </c>
      <c r="S64" t="n">
        <v>27.1836</v>
      </c>
      <c r="T64" t="inlineStr">
        <is>
          <t>Company Takeover</t>
        </is>
      </c>
      <c r="U64" t="inlineStr">
        <is>
          <t>No</t>
        </is>
      </c>
      <c r="V64" t="inlineStr">
        <is>
          <t>No</t>
        </is>
      </c>
      <c r="W64" t="inlineStr">
        <is>
          <t>No</t>
        </is>
      </c>
      <c r="X64" t="inlineStr">
        <is>
          <t>No</t>
        </is>
      </c>
      <c r="Y64" t="inlineStr">
        <is>
          <t>No</t>
        </is>
      </c>
      <c r="Z64" t="inlineStr">
        <is>
          <t>No</t>
        </is>
      </c>
      <c r="AA64" t="n">
        <v>4.035483771</v>
      </c>
      <c r="AB64" t="n">
        <v>3.681060244</v>
      </c>
      <c r="AC64" t="n">
        <v>4.035483771</v>
      </c>
      <c r="AD64">
        <f t="array" ref="AD64">IF(SUMPRODUCT(--($AM$2:$AM$112=TRIM(LEFT($B64,IFERROR(FIND(" ",$B64)-1,LEN($B64))))))&gt;0,1,0)</f>
        <v/>
      </c>
      <c r="AE64">
        <f t="array" ref="AE64">IF(SUMPRODUCT(--($AO$2:$AO$145=TRIM(LEFT($B64,IFERROR(FIND(" ",$B64)-1,LEN($B64))))))&gt;0,1,0)</f>
        <v/>
      </c>
      <c r="AF64">
        <f t="array" ref="AF64">IF(SUMPRODUCT(--($AQ$2:$AQ$71=TRIM(LEFT($B64,IFERROR(FIND(" ",$B64)-1,LEN($B64))))))&gt;0,1,0)</f>
        <v/>
      </c>
      <c r="AL64" t="inlineStr">
        <is>
          <t>COHR / II-VI</t>
        </is>
      </c>
      <c r="AM64">
        <f>TRIM(LEFT(AL64,FIND("/",AL64)-1))</f>
        <v/>
      </c>
      <c r="AN64" t="inlineStr">
        <is>
          <t>HRC / Baxte</t>
        </is>
      </c>
      <c r="AO64">
        <f>TRIM(LEFT(AN64,FIND("/",AN64)-1))</f>
        <v/>
      </c>
      <c r="AP64" t="inlineStr">
        <is>
          <t>PNM / Avang</t>
        </is>
      </c>
      <c r="AQ64">
        <f>TRIM(LEFT(AP64,FIND("/",AP64)-1))</f>
        <v/>
      </c>
    </row>
    <row r="65">
      <c r="A65" t="n">
        <v>71</v>
      </c>
      <c r="B65" t="inlineStr">
        <is>
          <t>CADE US</t>
        </is>
      </c>
      <c r="C65" t="inlineStr">
        <is>
          <t>HBAN US</t>
        </is>
      </c>
      <c r="D65" s="1" t="n">
        <v>45957</v>
      </c>
      <c r="E65" t="n">
        <v>7416.59</v>
      </c>
      <c r="F65" t="inlineStr">
        <is>
          <t>Stock</t>
        </is>
      </c>
      <c r="H65" t="inlineStr">
        <is>
          <t>Financials</t>
        </is>
      </c>
      <c r="I65" t="inlineStr">
        <is>
          <t>Banking</t>
        </is>
      </c>
      <c r="J65" t="inlineStr">
        <is>
          <t>Banking</t>
        </is>
      </c>
      <c r="K65" t="n">
        <v>296</v>
      </c>
      <c r="L65" t="n">
        <v>296</v>
      </c>
      <c r="M65" t="n">
        <v>7.45</v>
      </c>
      <c r="N65" t="n">
        <v>7416.59</v>
      </c>
      <c r="O65" t="inlineStr">
        <is>
          <t>United States</t>
        </is>
      </c>
      <c r="P65" t="inlineStr">
        <is>
          <t>United States</t>
        </is>
      </c>
      <c r="Q65" t="inlineStr">
        <is>
          <t>Friendly</t>
        </is>
      </c>
      <c r="R65" t="n">
        <v>3005.02</v>
      </c>
      <c r="S65" t="n">
        <v>35.3065</v>
      </c>
      <c r="T65" t="inlineStr">
        <is>
          <t>Company Takeover</t>
        </is>
      </c>
      <c r="U65" t="inlineStr">
        <is>
          <t>No</t>
        </is>
      </c>
      <c r="V65" t="inlineStr">
        <is>
          <t>No</t>
        </is>
      </c>
      <c r="W65" t="inlineStr">
        <is>
          <t>No</t>
        </is>
      </c>
      <c r="X65" t="inlineStr">
        <is>
          <t>No</t>
        </is>
      </c>
      <c r="Y65" t="inlineStr">
        <is>
          <t>No</t>
        </is>
      </c>
      <c r="Z65" t="inlineStr">
        <is>
          <t>No</t>
        </is>
      </c>
      <c r="AA65" t="n">
        <v>3.870204271</v>
      </c>
      <c r="AB65" t="n">
        <v>3.477847367</v>
      </c>
      <c r="AC65" t="n">
        <v>3.870204271</v>
      </c>
      <c r="AD65">
        <f t="array" ref="AD65">IF(SUMPRODUCT(--($AM$2:$AM$112=TRIM(LEFT($B65,IFERROR(FIND(" ",$B65)-1,LEN($B65))))))&gt;0,1,0)</f>
        <v/>
      </c>
      <c r="AE65">
        <f t="array" ref="AE65">IF(SUMPRODUCT(--($AO$2:$AO$145=TRIM(LEFT($B65,IFERROR(FIND(" ",$B65)-1,LEN($B65))))))&gt;0,1,0)</f>
        <v/>
      </c>
      <c r="AF65">
        <f t="array" ref="AF65">IF(SUMPRODUCT(--($AQ$2:$AQ$71=TRIM(LEFT($B65,IFERROR(FIND(" ",$B65)-1,LEN($B65))))))&gt;0,1,0)</f>
        <v/>
      </c>
      <c r="AL65" t="inlineStr">
        <is>
          <t>CTB / The G</t>
        </is>
      </c>
      <c r="AM65">
        <f>TRIM(LEFT(AL65,FIND("/",AL65)-1))</f>
        <v/>
      </c>
      <c r="AN65" t="inlineStr">
        <is>
          <t>VNE / Magna</t>
        </is>
      </c>
      <c r="AO65">
        <f>TRIM(LEFT(AN65,FIND("/",AN65)-1))</f>
        <v/>
      </c>
      <c r="AP65" t="inlineStr">
        <is>
          <t>PRCP / Atlas</t>
        </is>
      </c>
      <c r="AQ65">
        <f>TRIM(LEFT(AP65,FIND("/",AP65)-1))</f>
        <v/>
      </c>
    </row>
    <row r="66">
      <c r="A66" t="n">
        <v>68</v>
      </c>
      <c r="B66" t="inlineStr">
        <is>
          <t>REVG US</t>
        </is>
      </c>
      <c r="C66" t="inlineStr">
        <is>
          <t>TEX US</t>
        </is>
      </c>
      <c r="D66" s="1" t="n">
        <v>45960</v>
      </c>
      <c r="E66" t="n">
        <v>3102.05</v>
      </c>
      <c r="F66" t="inlineStr">
        <is>
          <t>Cash and Stock</t>
        </is>
      </c>
      <c r="G66" t="n">
        <v>26.79</v>
      </c>
      <c r="H66" t="inlineStr">
        <is>
          <t>Industrials</t>
        </is>
      </c>
      <c r="I66" t="inlineStr">
        <is>
          <t>Industrial Products</t>
        </is>
      </c>
      <c r="J66" t="inlineStr">
        <is>
          <t>Transportation Equipment</t>
        </is>
      </c>
      <c r="K66" t="n">
        <v>128</v>
      </c>
      <c r="L66" t="n">
        <v>128</v>
      </c>
      <c r="M66" t="n">
        <v>7.99</v>
      </c>
      <c r="N66" t="n">
        <v>3024.65</v>
      </c>
      <c r="O66" t="inlineStr">
        <is>
          <t>United States</t>
        </is>
      </c>
      <c r="P66" t="inlineStr">
        <is>
          <t>United States</t>
        </is>
      </c>
      <c r="Q66" t="inlineStr">
        <is>
          <t>Friendly</t>
        </is>
      </c>
      <c r="R66" t="n">
        <v>2463.5</v>
      </c>
      <c r="S66" t="n">
        <v>7.39598</v>
      </c>
      <c r="T66" t="inlineStr">
        <is>
          <t>Company Takeover</t>
        </is>
      </c>
      <c r="U66" t="inlineStr">
        <is>
          <t>No</t>
        </is>
      </c>
      <c r="V66" t="inlineStr">
        <is>
          <t>No</t>
        </is>
      </c>
      <c r="W66" t="inlineStr">
        <is>
          <t>No</t>
        </is>
      </c>
      <c r="X66" t="inlineStr">
        <is>
          <t>No</t>
        </is>
      </c>
      <c r="Y66" t="inlineStr">
        <is>
          <t>No</t>
        </is>
      </c>
      <c r="Z66" t="inlineStr">
        <is>
          <t>No</t>
        </is>
      </c>
      <c r="AA66" t="n">
        <v>3.491648794</v>
      </c>
      <c r="AB66" t="n">
        <v>3.391552567</v>
      </c>
      <c r="AC66" t="n">
        <v>3.480675127</v>
      </c>
      <c r="AD66">
        <f t="array" ref="AD66">IF(SUMPRODUCT(--($AM$2:$AM$112=TRIM(LEFT($B66,IFERROR(FIND(" ",$B66)-1,LEN($B66))))))&gt;0,1,0)</f>
        <v/>
      </c>
      <c r="AE66">
        <f t="array" ref="AE66">IF(SUMPRODUCT(--($AO$2:$AO$145=TRIM(LEFT($B66,IFERROR(FIND(" ",$B66)-1,LEN($B66))))))&gt;0,1,0)</f>
        <v/>
      </c>
      <c r="AF66">
        <f t="array" ref="AF66">IF(SUMPRODUCT(--($AQ$2:$AQ$71=TRIM(LEFT($B66,IFERROR(FIND(" ",$B66)-1,LEN($B66))))))&gt;0,1,0)</f>
        <v/>
      </c>
      <c r="AL66" t="inlineStr">
        <is>
          <t>COHR / Lumen</t>
        </is>
      </c>
      <c r="AM66">
        <f>TRIM(LEFT(AL66,FIND("/",AL66)-1))</f>
        <v/>
      </c>
      <c r="AN66" t="inlineStr">
        <is>
          <t>WBT / Ali H</t>
        </is>
      </c>
      <c r="AO66">
        <f>TRIM(LEFT(AN66,FIND("/",AN66)-1))</f>
        <v/>
      </c>
      <c r="AP66" t="inlineStr">
        <is>
          <t>VRTU / Barin</t>
        </is>
      </c>
      <c r="AQ66">
        <f>TRIM(LEFT(AP66,FIND("/",AP66)-1))</f>
        <v/>
      </c>
    </row>
    <row r="67">
      <c r="A67" t="n">
        <v>69</v>
      </c>
      <c r="B67" t="inlineStr">
        <is>
          <t>JAMF US</t>
        </is>
      </c>
      <c r="C67" t="inlineStr">
        <is>
          <t>20635Z US</t>
        </is>
      </c>
      <c r="D67" s="1" t="n">
        <v>45959</v>
      </c>
      <c r="E67" t="n">
        <v>1645.02</v>
      </c>
      <c r="F67" t="inlineStr">
        <is>
          <t>Cash</t>
        </is>
      </c>
      <c r="H67" t="inlineStr">
        <is>
          <t>Technology</t>
        </is>
      </c>
      <c r="I67" t="inlineStr">
        <is>
          <t>Software &amp; Tech Services</t>
        </is>
      </c>
      <c r="J67" t="inlineStr">
        <is>
          <t>Software</t>
        </is>
      </c>
      <c r="M67" t="n">
        <v>25.72</v>
      </c>
      <c r="N67" t="n">
        <v>1733.52</v>
      </c>
      <c r="O67" t="inlineStr">
        <is>
          <t>United States</t>
        </is>
      </c>
      <c r="P67" t="inlineStr">
        <is>
          <t>United States</t>
        </is>
      </c>
      <c r="Q67" t="inlineStr">
        <is>
          <t>Friendly</t>
        </is>
      </c>
      <c r="R67" t="n">
        <v>627.399</v>
      </c>
      <c r="S67" t="n">
        <v>-5.02643</v>
      </c>
      <c r="T67" t="inlineStr">
        <is>
          <t>Company Takeover, Going Private, Private Equity, PE Buyout</t>
        </is>
      </c>
      <c r="U67" t="inlineStr">
        <is>
          <t>No</t>
        </is>
      </c>
      <c r="V67" t="inlineStr">
        <is>
          <t>No</t>
        </is>
      </c>
      <c r="W67" t="inlineStr">
        <is>
          <t>No</t>
        </is>
      </c>
      <c r="X67" t="inlineStr">
        <is>
          <t>Yes</t>
        </is>
      </c>
      <c r="Y67" t="inlineStr">
        <is>
          <t>Yes</t>
        </is>
      </c>
      <c r="Z67" t="inlineStr">
        <is>
          <t>No</t>
        </is>
      </c>
      <c r="AA67" t="n">
        <v>3.216171182</v>
      </c>
      <c r="AB67" t="n">
        <v>2.797543822</v>
      </c>
      <c r="AC67" t="n">
        <v>3.238928857</v>
      </c>
      <c r="AD67">
        <f t="array" ref="AD67">IF(SUMPRODUCT(--($AM$2:$AM$112=TRIM(LEFT($B67,IFERROR(FIND(" ",$B67)-1,LEN($B67))))))&gt;0,1,0)</f>
        <v/>
      </c>
      <c r="AE67">
        <f t="array" ref="AE67">IF(SUMPRODUCT(--($AO$2:$AO$145=TRIM(LEFT($B67,IFERROR(FIND(" ",$B67)-1,LEN($B67))))))&gt;0,1,0)</f>
        <v/>
      </c>
      <c r="AF67">
        <f t="array" ref="AF67">IF(SUMPRODUCT(--($AQ$2:$AQ$71=TRIM(LEFT($B67,IFERROR(FIND(" ",$B67)-1,LEN($B67))))))&gt;0,1,0)</f>
        <v/>
      </c>
      <c r="AL67" t="inlineStr">
        <is>
          <t>FLIR / Teled</t>
        </is>
      </c>
      <c r="AM67">
        <f>TRIM(LEFT(AL67,FIND("/",AL67)-1))</f>
        <v/>
      </c>
      <c r="AN67" t="inlineStr">
        <is>
          <t>CLDR / Clayt</t>
        </is>
      </c>
      <c r="AO67">
        <f>TRIM(LEFT(AN67,FIND("/",AN67)-1))</f>
        <v/>
      </c>
      <c r="AP67" t="inlineStr">
        <is>
          <t>CBMG / Mr. B</t>
        </is>
      </c>
      <c r="AQ67">
        <f>TRIM(LEFT(AP67,FIND("/",AP67)-1))</f>
        <v/>
      </c>
    </row>
    <row r="68">
      <c r="A68" t="n">
        <v>65</v>
      </c>
      <c r="B68" t="inlineStr">
        <is>
          <t>CIVI US</t>
        </is>
      </c>
      <c r="C68" t="inlineStr">
        <is>
          <t>SM US</t>
        </is>
      </c>
      <c r="D68" s="1" t="n">
        <v>45964</v>
      </c>
      <c r="E68" t="n">
        <v>8289.030000000001</v>
      </c>
      <c r="F68" t="inlineStr">
        <is>
          <t>Stock</t>
        </is>
      </c>
      <c r="G68" t="n">
        <v>2.31</v>
      </c>
      <c r="H68" t="inlineStr">
        <is>
          <t>Energy</t>
        </is>
      </c>
      <c r="I68" t="inlineStr">
        <is>
          <t>Oil &amp; Gas</t>
        </is>
      </c>
      <c r="J68" t="inlineStr">
        <is>
          <t>Oil &amp; Gas Supply Chain</t>
        </is>
      </c>
      <c r="M68" t="n">
        <v>8.289999999999999</v>
      </c>
      <c r="N68" t="n">
        <v>2970.03</v>
      </c>
      <c r="O68" t="inlineStr">
        <is>
          <t>United States</t>
        </is>
      </c>
      <c r="P68" t="inlineStr">
        <is>
          <t>United States</t>
        </is>
      </c>
      <c r="Q68" t="inlineStr">
        <is>
          <t>Friendly</t>
        </is>
      </c>
      <c r="R68" t="n">
        <v>5206.81</v>
      </c>
      <c r="S68" t="n">
        <v>22.8592</v>
      </c>
      <c r="T68" t="inlineStr">
        <is>
          <t>Company Takeover, Reverse Merger</t>
        </is>
      </c>
      <c r="U68" t="inlineStr">
        <is>
          <t>No</t>
        </is>
      </c>
      <c r="V68" t="inlineStr">
        <is>
          <t>No</t>
        </is>
      </c>
      <c r="W68" t="inlineStr">
        <is>
          <t>No</t>
        </is>
      </c>
      <c r="X68" t="inlineStr">
        <is>
          <t>No</t>
        </is>
      </c>
      <c r="Y68" t="inlineStr">
        <is>
          <t>No</t>
        </is>
      </c>
      <c r="Z68" t="inlineStr">
        <is>
          <t>No</t>
        </is>
      </c>
      <c r="AA68" t="n">
        <v>3.918503711</v>
      </c>
      <c r="AB68" t="n">
        <v>3.71657173</v>
      </c>
      <c r="AC68" t="n">
        <v>3.472760836</v>
      </c>
      <c r="AD68">
        <f t="array" ref="AD68">IF(SUMPRODUCT(--($AM$2:$AM$112=TRIM(LEFT($B68,IFERROR(FIND(" ",$B68)-1,LEN($B68))))))&gt;0,1,0)</f>
        <v/>
      </c>
      <c r="AE68">
        <f t="array" ref="AE68">IF(SUMPRODUCT(--($AO$2:$AO$145=TRIM(LEFT($B68,IFERROR(FIND(" ",$B68)-1,LEN($B68))))))&gt;0,1,0)</f>
        <v/>
      </c>
      <c r="AF68">
        <f t="array" ref="AF68">IF(SUMPRODUCT(--($AQ$2:$AQ$71=TRIM(LEFT($B68,IFERROR(FIND(" ",$B68)-1,LEN($B68))))))&gt;0,1,0)</f>
        <v/>
      </c>
      <c r="AL68" t="inlineStr">
        <is>
          <t>MTSC / Ampho</t>
        </is>
      </c>
      <c r="AM68">
        <f>TRIM(LEFT(AL68,FIND("/",AL68)-1))</f>
        <v/>
      </c>
      <c r="AN68" t="inlineStr">
        <is>
          <t>T / Disco</t>
        </is>
      </c>
      <c r="AO68">
        <f>TRIM(LEFT(AN68,FIND("/",AN68)-1))</f>
        <v/>
      </c>
      <c r="AP68" t="inlineStr">
        <is>
          <t>VAR / Sieme</t>
        </is>
      </c>
      <c r="AQ68">
        <f>TRIM(LEFT(AP68,FIND("/",AP68)-1))</f>
        <v/>
      </c>
    </row>
    <row r="69">
      <c r="A69" t="n">
        <v>69</v>
      </c>
      <c r="B69" t="inlineStr">
        <is>
          <t>PLYM US</t>
        </is>
      </c>
      <c r="D69" s="1" t="n">
        <v>45954</v>
      </c>
      <c r="E69" t="n">
        <v>980.1799999999999</v>
      </c>
      <c r="F69" t="inlineStr">
        <is>
          <t>Cash</t>
        </is>
      </c>
      <c r="G69" t="n">
        <v>8.119999999999999</v>
      </c>
      <c r="H69" t="inlineStr">
        <is>
          <t>Real Estate</t>
        </is>
      </c>
      <c r="I69" t="inlineStr">
        <is>
          <t>Real Estate</t>
        </is>
      </c>
      <c r="J69" t="inlineStr">
        <is>
          <t>REIT</t>
        </is>
      </c>
      <c r="K69" t="n">
        <v>70.2</v>
      </c>
      <c r="L69" t="n">
        <v>40.1</v>
      </c>
      <c r="M69" t="n">
        <v>0.3</v>
      </c>
      <c r="N69" t="n">
        <v>980.1799999999999</v>
      </c>
      <c r="O69" t="inlineStr">
        <is>
          <t>United States</t>
        </is>
      </c>
      <c r="P69" t="inlineStr">
        <is>
          <t>United States</t>
        </is>
      </c>
      <c r="Q69" t="inlineStr">
        <is>
          <t>Friendly</t>
        </is>
      </c>
      <c r="R69" t="n">
        <v>198.355</v>
      </c>
      <c r="S69" t="n">
        <v>17.2662</v>
      </c>
      <c r="T69" t="inlineStr">
        <is>
          <t>Company Takeover</t>
        </is>
      </c>
      <c r="U69" t="inlineStr">
        <is>
          <t>No</t>
        </is>
      </c>
      <c r="V69" t="inlineStr">
        <is>
          <t>No</t>
        </is>
      </c>
      <c r="W69" t="inlineStr">
        <is>
          <t>No</t>
        </is>
      </c>
      <c r="X69" t="inlineStr">
        <is>
          <t>No</t>
        </is>
      </c>
      <c r="Y69" t="inlineStr">
        <is>
          <t>No</t>
        </is>
      </c>
      <c r="Z69" t="inlineStr">
        <is>
          <t>No</t>
        </is>
      </c>
      <c r="AA69" t="n">
        <v>2.991305837</v>
      </c>
      <c r="AB69" t="n">
        <v>2.297443152</v>
      </c>
      <c r="AC69" t="n">
        <v>2.991305837</v>
      </c>
      <c r="AD69">
        <f t="array" ref="AD69">IF(SUMPRODUCT(--($AM$2:$AM$112=TRIM(LEFT($B69,IFERROR(FIND(" ",$B69)-1,LEN($B69))))))&gt;0,1,0)</f>
        <v/>
      </c>
      <c r="AE69">
        <f t="array" ref="AE69">IF(SUMPRODUCT(--($AO$2:$AO$145=TRIM(LEFT($B69,IFERROR(FIND(" ",$B69)-1,LEN($B69))))))&gt;0,1,0)</f>
        <v/>
      </c>
      <c r="AF69">
        <f t="array" ref="AF69">IF(SUMPRODUCT(--($AQ$2:$AQ$71=TRIM(LEFT($B69,IFERROR(FIND(" ",$B69)-1,LEN($B69))))))&gt;0,1,0)</f>
        <v/>
      </c>
      <c r="AL69" t="inlineStr">
        <is>
          <t>IPHI / Marve</t>
        </is>
      </c>
      <c r="AM69">
        <f>TRIM(LEFT(AL69,FIND("/",AL69)-1))</f>
        <v/>
      </c>
      <c r="AN69" t="inlineStr">
        <is>
          <t>FOE / Ameri</t>
        </is>
      </c>
      <c r="AO69">
        <f>TRIM(LEFT(AN69,FIND("/",AN69)-1))</f>
        <v/>
      </c>
      <c r="AP69" t="inlineStr">
        <is>
          <t xml:space="preserve">GRUB / Just </t>
        </is>
      </c>
      <c r="AQ69">
        <f>TRIM(LEFT(AP69,FIND("/",AP69)-1))</f>
        <v/>
      </c>
    </row>
    <row r="70">
      <c r="A70" t="n">
        <v>113</v>
      </c>
      <c r="B70" t="inlineStr">
        <is>
          <t>GES US</t>
        </is>
      </c>
      <c r="C70" t="inlineStr">
        <is>
          <t>AUTH US</t>
        </is>
      </c>
      <c r="D70" s="1" t="n">
        <v>45889</v>
      </c>
      <c r="E70" t="n">
        <v>2288.12</v>
      </c>
      <c r="F70" t="inlineStr">
        <is>
          <t>Cash</t>
        </is>
      </c>
      <c r="G70" t="n">
        <v>4.77</v>
      </c>
      <c r="H70" t="inlineStr">
        <is>
          <t>Consumer Discretionary</t>
        </is>
      </c>
      <c r="I70" t="inlineStr">
        <is>
          <t>Retail &amp; Whsle - Discretionary</t>
        </is>
      </c>
      <c r="J70" t="inlineStr">
        <is>
          <t>Retail - Discretionary</t>
        </is>
      </c>
      <c r="L70" t="n">
        <v>23.2979</v>
      </c>
      <c r="M70" t="n">
        <v>25.62</v>
      </c>
      <c r="N70" t="n">
        <v>871.28</v>
      </c>
      <c r="O70" t="inlineStr">
        <is>
          <t>United States</t>
        </is>
      </c>
      <c r="P70" t="inlineStr">
        <is>
          <t>United States</t>
        </is>
      </c>
      <c r="Q70" t="inlineStr">
        <is>
          <t>Friendly</t>
        </is>
      </c>
      <c r="R70" t="n">
        <v>2995.27</v>
      </c>
      <c r="S70" t="n">
        <v>3.54947</v>
      </c>
      <c r="T70" t="inlineStr">
        <is>
          <t>Company Takeover, Going Private</t>
        </is>
      </c>
      <c r="U70" t="inlineStr">
        <is>
          <t>No</t>
        </is>
      </c>
      <c r="V70" t="inlineStr">
        <is>
          <t>No</t>
        </is>
      </c>
      <c r="W70" t="inlineStr">
        <is>
          <t>No</t>
        </is>
      </c>
      <c r="X70" t="inlineStr">
        <is>
          <t>Yes</t>
        </is>
      </c>
      <c r="Y70" t="inlineStr">
        <is>
          <t>No</t>
        </is>
      </c>
      <c r="Z70" t="inlineStr">
        <is>
          <t>No</t>
        </is>
      </c>
      <c r="AA70" t="n">
        <v>3.359478797</v>
      </c>
      <c r="AB70" t="n">
        <v>3.476435977</v>
      </c>
      <c r="AC70" t="n">
        <v>2.940157745</v>
      </c>
      <c r="AD70">
        <f t="array" ref="AD70">IF(SUMPRODUCT(--($AM$2:$AM$112=TRIM(LEFT($B70,IFERROR(FIND(" ",$B70)-1,LEN($B70))))))&gt;0,1,0)</f>
        <v/>
      </c>
      <c r="AE70">
        <f t="array" ref="AE70">IF(SUMPRODUCT(--($AO$2:$AO$145=TRIM(LEFT($B70,IFERROR(FIND(" ",$B70)-1,LEN($B70))))))&gt;0,1,0)</f>
        <v/>
      </c>
      <c r="AF70">
        <f t="array" ref="AF70">IF(SUMPRODUCT(--($AQ$2:$AQ$71=TRIM(LEFT($B70,IFERROR(FIND(" ",$B70)-1,LEN($B70))))))&gt;0,1,0)</f>
        <v/>
      </c>
      <c r="AL70" t="inlineStr">
        <is>
          <t>XLNX / Advan</t>
        </is>
      </c>
      <c r="AM70">
        <f>TRIM(LEFT(AL70,FIND("/",AL70)-1))</f>
        <v/>
      </c>
      <c r="AN70" t="inlineStr">
        <is>
          <t>GRA / Stand</t>
        </is>
      </c>
      <c r="AO70">
        <f>TRIM(LEFT(AN70,FIND("/",AN70)-1))</f>
        <v/>
      </c>
      <c r="AP70" t="inlineStr">
        <is>
          <t>CBB / Macqu</t>
        </is>
      </c>
      <c r="AQ70">
        <f>TRIM(LEFT(AP70,FIND("/",AP70)-1))</f>
        <v/>
      </c>
    </row>
    <row r="71">
      <c r="A71" t="n">
        <v>87</v>
      </c>
      <c r="B71" t="inlineStr">
        <is>
          <t>SMLR US</t>
        </is>
      </c>
      <c r="C71" t="inlineStr">
        <is>
          <t>ASST US</t>
        </is>
      </c>
      <c r="D71" s="1" t="n">
        <v>45922</v>
      </c>
      <c r="E71" t="n">
        <v>1892.81</v>
      </c>
      <c r="F71" t="inlineStr">
        <is>
          <t>Stock</t>
        </is>
      </c>
      <c r="G71" t="n">
        <v>87.98999999999999</v>
      </c>
      <c r="H71" t="inlineStr">
        <is>
          <t>Health Care</t>
        </is>
      </c>
      <c r="I71" t="inlineStr">
        <is>
          <t>Health Care</t>
        </is>
      </c>
      <c r="J71" t="inlineStr">
        <is>
          <t>Medical Equipment &amp; Devices</t>
        </is>
      </c>
      <c r="L71" t="n">
        <v>49</v>
      </c>
      <c r="N71" t="n">
        <v>1810.31</v>
      </c>
      <c r="O71" t="inlineStr">
        <is>
          <t>United States</t>
        </is>
      </c>
      <c r="P71" t="inlineStr">
        <is>
          <t>United States</t>
        </is>
      </c>
      <c r="Q71" t="inlineStr">
        <is>
          <t>Friendly</t>
        </is>
      </c>
      <c r="R71" t="n">
        <v>56.294</v>
      </c>
      <c r="S71" t="n">
        <v>-94.71259999999999</v>
      </c>
      <c r="T71" t="inlineStr">
        <is>
          <t>Company Takeover</t>
        </is>
      </c>
      <c r="U71" t="inlineStr">
        <is>
          <t>No</t>
        </is>
      </c>
      <c r="V71" t="inlineStr">
        <is>
          <t>No</t>
        </is>
      </c>
      <c r="W71" t="inlineStr">
        <is>
          <t>No</t>
        </is>
      </c>
      <c r="X71" t="inlineStr">
        <is>
          <t>No</t>
        </is>
      </c>
      <c r="Y71" t="inlineStr">
        <is>
          <t>No</t>
        </is>
      </c>
      <c r="Z71" t="inlineStr">
        <is>
          <t>No</t>
        </is>
      </c>
      <c r="AA71" t="n">
        <v>3.277107022</v>
      </c>
      <c r="AB71" t="n">
        <v>1.750462109</v>
      </c>
      <c r="AC71" t="n">
        <v>3.25775295</v>
      </c>
      <c r="AD71">
        <f t="array" ref="AD72">IF(SUMPRODUCT(--($AM$2:$AM$112=TRIM(LEFT($B72,IFERROR(FIND(" ",$B72)-1,LEN($B72))))))&gt;0,1,0)</f>
        <v/>
      </c>
      <c r="AE71">
        <f t="array" ref="AE72">IF(SUMPRODUCT(--($AO$2:$AO$145=TRIM(LEFT($B72,IFERROR(FIND(" ",$B72)-1,LEN($B72))))))&gt;0,1,0)</f>
        <v/>
      </c>
      <c r="AF71">
        <f t="array" ref="AF72">IF(SUMPRODUCT(--($AQ$2:$AQ$71=TRIM(LEFT($B72,IFERROR(FIND(" ",$B72)-1,LEN($B72))))))&gt;0,1,0)</f>
        <v/>
      </c>
      <c r="AL71" t="inlineStr">
        <is>
          <t>SOGO / Tence</t>
        </is>
      </c>
      <c r="AM71">
        <f>TRIM(LEFT(AL72,FIND("/",AL72)-1))</f>
        <v/>
      </c>
      <c r="AN71" t="inlineStr">
        <is>
          <t>NUAN / Micro</t>
        </is>
      </c>
      <c r="AO71">
        <f>TRIM(LEFT(AN72,FIND("/",AN72)-1))</f>
        <v/>
      </c>
    </row>
    <row r="72">
      <c r="A72" t="n">
        <v>56</v>
      </c>
      <c r="B72" t="inlineStr">
        <is>
          <t>DENN US</t>
        </is>
      </c>
      <c r="D72" s="1" t="n">
        <v>45965</v>
      </c>
      <c r="E72" t="n">
        <v>738.12</v>
      </c>
      <c r="F72" t="inlineStr">
        <is>
          <t>Cash</t>
        </is>
      </c>
      <c r="G72" t="n">
        <v>12.3</v>
      </c>
      <c r="H72" t="inlineStr">
        <is>
          <t>Consumer Discretionary</t>
        </is>
      </c>
      <c r="I72" t="inlineStr">
        <is>
          <t>Consumer Discretionary Services</t>
        </is>
      </c>
      <c r="J72" t="inlineStr">
        <is>
          <t>Leisure Facilities &amp; Services</t>
        </is>
      </c>
      <c r="M72" t="n">
        <v>31.36</v>
      </c>
      <c r="N72" t="n">
        <v>321.87</v>
      </c>
      <c r="O72" t="inlineStr">
        <is>
          <t>United States</t>
        </is>
      </c>
      <c r="P72" t="inlineStr">
        <is>
          <t>United States</t>
        </is>
      </c>
      <c r="Q72" t="inlineStr">
        <is>
          <t>Friendly</t>
        </is>
      </c>
      <c r="R72" t="n">
        <v>452.334</v>
      </c>
      <c r="S72" t="n">
        <v>8.44903</v>
      </c>
      <c r="T72" t="inlineStr">
        <is>
          <t>Private Equity, Going Private, Company Takeover, PE Buyout</t>
        </is>
      </c>
      <c r="U72" t="inlineStr">
        <is>
          <t>No</t>
        </is>
      </c>
      <c r="V72" t="inlineStr">
        <is>
          <t>No</t>
        </is>
      </c>
      <c r="W72" t="inlineStr">
        <is>
          <t>No</t>
        </is>
      </c>
      <c r="X72" t="inlineStr">
        <is>
          <t>Yes</t>
        </is>
      </c>
      <c r="Y72" t="inlineStr">
        <is>
          <t>Yes</t>
        </is>
      </c>
      <c r="Z72" t="inlineStr">
        <is>
          <t>No</t>
        </is>
      </c>
      <c r="AA72" t="n">
        <v>2.868126973</v>
      </c>
      <c r="AB72" t="n">
        <v>2.655459233</v>
      </c>
      <c r="AC72" t="n">
        <v>2.5076805</v>
      </c>
      <c r="AD72">
        <f t="array" ref="AD73">IF(SUMPRODUCT(--($AM$2:$AM$112=TRIM(LEFT($B73,IFERROR(FIND(" ",$B73)-1,LEN($B73))))))&gt;0,1,0)</f>
        <v/>
      </c>
      <c r="AE72">
        <f t="array" ref="AE73">IF(SUMPRODUCT(--($AO$2:$AO$145=TRIM(LEFT($B73,IFERROR(FIND(" ",$B73)-1,LEN($B73))))))&gt;0,1,0)</f>
        <v/>
      </c>
      <c r="AF72">
        <f t="array" ref="AF73">IF(SUMPRODUCT(--($AQ$2:$AQ$71=TRIM(LEFT($B73,IFERROR(FIND(" ",$B73)-1,LEN($B73))))))&gt;0,1,0)</f>
        <v/>
      </c>
      <c r="AL72" t="inlineStr">
        <is>
          <t>VAR / Sieme</t>
        </is>
      </c>
      <c r="AM72">
        <f>TRIM(LEFT(AL73,FIND("/",AL73)-1))</f>
        <v/>
      </c>
      <c r="AN72" t="inlineStr">
        <is>
          <t>CATM / Apoll</t>
        </is>
      </c>
      <c r="AO72">
        <f>TRIM(LEFT(AN73,FIND("/",AN73)-1))</f>
        <v/>
      </c>
    </row>
    <row r="73">
      <c r="A73" t="n">
        <v>82</v>
      </c>
      <c r="B73" t="inlineStr">
        <is>
          <t>DNTL CN</t>
        </is>
      </c>
      <c r="C73" t="inlineStr">
        <is>
          <t>26026Z US</t>
        </is>
      </c>
      <c r="D73" s="1" t="n">
        <v>45926</v>
      </c>
      <c r="E73" t="n">
        <v>2528.55</v>
      </c>
      <c r="F73" t="inlineStr">
        <is>
          <t>Cash</t>
        </is>
      </c>
      <c r="G73" t="n">
        <v>13.69</v>
      </c>
      <c r="H73" t="inlineStr">
        <is>
          <t>Health Care</t>
        </is>
      </c>
      <c r="I73" t="inlineStr">
        <is>
          <t>Health Care</t>
        </is>
      </c>
      <c r="J73" t="inlineStr">
        <is>
          <t>Health Care Facilities &amp; Svcs</t>
        </is>
      </c>
      <c r="M73" t="n">
        <v>33.79</v>
      </c>
      <c r="N73" t="n">
        <v>1578.87</v>
      </c>
      <c r="O73" t="inlineStr">
        <is>
          <t>Canada</t>
        </is>
      </c>
      <c r="P73" t="inlineStr">
        <is>
          <t>United States</t>
        </is>
      </c>
      <c r="Q73" t="inlineStr">
        <is>
          <t>Friendly</t>
        </is>
      </c>
      <c r="R73" t="n">
        <v>1127.98</v>
      </c>
      <c r="S73" t="n">
        <v>5.11972</v>
      </c>
      <c r="T73" t="inlineStr">
        <is>
          <t>PE Buyout, Cross Border, Private Equity, Company Takeover, Going Private</t>
        </is>
      </c>
      <c r="U73" t="inlineStr">
        <is>
          <t>No</t>
        </is>
      </c>
      <c r="V73" t="inlineStr">
        <is>
          <t>No</t>
        </is>
      </c>
      <c r="W73" t="inlineStr">
        <is>
          <t>Yes</t>
        </is>
      </c>
      <c r="X73" t="inlineStr">
        <is>
          <t>Yes</t>
        </is>
      </c>
      <c r="Y73" t="inlineStr">
        <is>
          <t>Yes</t>
        </is>
      </c>
      <c r="Z73" t="inlineStr">
        <is>
          <t>No</t>
        </is>
      </c>
      <c r="AA73" t="n">
        <v>3.402871546</v>
      </c>
      <c r="AB73" t="n">
        <v>3.052301399</v>
      </c>
      <c r="AC73" t="n">
        <v>3.198346373</v>
      </c>
      <c r="AD73">
        <f t="array" ref="AD74">IF(SUMPRODUCT(--($AM$2:$AM$112=TRIM(LEFT($B74,IFERROR(FIND(" ",$B74)-1,LEN($B74))))))&gt;0,1,0)</f>
        <v/>
      </c>
      <c r="AE73">
        <f t="array" ref="AE74">IF(SUMPRODUCT(--($AO$2:$AO$145=TRIM(LEFT($B74,IFERROR(FIND(" ",$B74)-1,LEN($B74))))))&gt;0,1,0)</f>
        <v/>
      </c>
      <c r="AF73">
        <f t="array" ref="AF74">IF(SUMPRODUCT(--($AQ$2:$AQ$71=TRIM(LEFT($B74,IFERROR(FIND(" ",$B74)-1,LEN($B74))))))&gt;0,1,0)</f>
        <v/>
      </c>
      <c r="AL73" t="inlineStr">
        <is>
          <t>MXIM / Analo</t>
        </is>
      </c>
      <c r="AM73">
        <f>TRIM(LEFT(AL74,FIND("/",AL74)-1))</f>
        <v/>
      </c>
      <c r="AN73" t="inlineStr">
        <is>
          <t>ALXN / Astra</t>
        </is>
      </c>
      <c r="AO73">
        <f>TRIM(LEFT(AN74,FIND("/",AN74)-1))</f>
        <v/>
      </c>
    </row>
    <row r="74">
      <c r="A74" t="n">
        <v>80</v>
      </c>
      <c r="B74" t="inlineStr">
        <is>
          <t>HOUS US</t>
        </is>
      </c>
      <c r="C74" t="inlineStr">
        <is>
          <t>COMP US</t>
        </is>
      </c>
      <c r="D74" s="1" t="n">
        <v>45922</v>
      </c>
      <c r="E74" t="n">
        <v>4578.62</v>
      </c>
      <c r="F74" t="inlineStr">
        <is>
          <t>Stock</t>
        </is>
      </c>
      <c r="G74" t="n">
        <v>13.96</v>
      </c>
      <c r="H74" t="inlineStr">
        <is>
          <t>Real Estate</t>
        </is>
      </c>
      <c r="I74" t="inlineStr">
        <is>
          <t>Real Estate</t>
        </is>
      </c>
      <c r="J74" t="inlineStr">
        <is>
          <t>Real Estate Services</t>
        </is>
      </c>
      <c r="M74" t="n">
        <v>105.45</v>
      </c>
      <c r="N74" t="n">
        <v>1496.62</v>
      </c>
      <c r="O74" t="inlineStr">
        <is>
          <t>United States</t>
        </is>
      </c>
      <c r="P74" t="inlineStr">
        <is>
          <t>United States</t>
        </is>
      </c>
      <c r="Q74" t="inlineStr">
        <is>
          <t>Friendly</t>
        </is>
      </c>
      <c r="R74" t="n">
        <v>5692</v>
      </c>
      <c r="S74" t="n">
        <v>0.221314</v>
      </c>
      <c r="T74" t="inlineStr">
        <is>
          <t>Company Takeover</t>
        </is>
      </c>
      <c r="U74" t="inlineStr">
        <is>
          <t>No</t>
        </is>
      </c>
      <c r="V74" t="inlineStr">
        <is>
          <t>No</t>
        </is>
      </c>
      <c r="W74" t="inlineStr">
        <is>
          <t>No</t>
        </is>
      </c>
      <c r="X74" t="inlineStr">
        <is>
          <t>No</t>
        </is>
      </c>
      <c r="Y74" t="inlineStr">
        <is>
          <t>No</t>
        </is>
      </c>
      <c r="Z74" t="inlineStr">
        <is>
          <t>No</t>
        </is>
      </c>
      <c r="AA74" t="n">
        <v>3.660734601</v>
      </c>
      <c r="AB74" t="n">
        <v>3.755264891</v>
      </c>
      <c r="AC74" t="n">
        <v>3.175111545</v>
      </c>
      <c r="AD74">
        <f t="array" ref="AD75">IF(SUMPRODUCT(--($AM$2:$AM$112=TRIM(LEFT($B75,IFERROR(FIND(" ",$B75)-1,LEN($B75))))))&gt;0,1,0)</f>
        <v/>
      </c>
      <c r="AE74">
        <f t="array" ref="AE75">IF(SUMPRODUCT(--($AO$2:$AO$145=TRIM(LEFT($B75,IFERROR(FIND(" ",$B75)-1,LEN($B75))))))&gt;0,1,0)</f>
        <v/>
      </c>
      <c r="AF74">
        <f t="array" ref="AF75">IF(SUMPRODUCT(--($AQ$2:$AQ$71=TRIM(LEFT($B75,IFERROR(FIND(" ",$B75)-1,LEN($B75))))))&gt;0,1,0)</f>
        <v/>
      </c>
      <c r="AL74" t="inlineStr">
        <is>
          <t>BITA / Tence</t>
        </is>
      </c>
      <c r="AM74">
        <f>TRIM(LEFT(AL75,FIND("/",AL75)-1))</f>
        <v/>
      </c>
      <c r="AN74" t="inlineStr">
        <is>
          <t xml:space="preserve">INFO / S&amp;P </t>
        </is>
      </c>
      <c r="AO74">
        <f>TRIM(LEFT(AN75,FIND("/",AN75)-1))</f>
        <v/>
      </c>
    </row>
    <row r="75">
      <c r="A75" t="n">
        <v>40</v>
      </c>
      <c r="B75" t="inlineStr">
        <is>
          <t>CDTX US</t>
        </is>
      </c>
      <c r="C75" t="inlineStr">
        <is>
          <t>MRK US</t>
        </is>
      </c>
      <c r="D75" s="1" t="n">
        <v>45975</v>
      </c>
      <c r="E75" t="n">
        <v>6672.15</v>
      </c>
      <c r="F75" t="inlineStr">
        <is>
          <t>Cash</t>
        </is>
      </c>
      <c r="H75" t="inlineStr">
        <is>
          <t>Health Care</t>
        </is>
      </c>
      <c r="I75" t="inlineStr">
        <is>
          <t>Health Care</t>
        </is>
      </c>
      <c r="J75" t="inlineStr">
        <is>
          <t>Biotech &amp; Pharma</t>
        </is>
      </c>
      <c r="M75" t="n">
        <v>116.01</v>
      </c>
      <c r="N75" t="n">
        <v>6963.82</v>
      </c>
      <c r="O75" t="inlineStr">
        <is>
          <t>United States</t>
        </is>
      </c>
      <c r="P75" t="inlineStr">
        <is>
          <t>United States</t>
        </is>
      </c>
      <c r="Q75" t="inlineStr">
        <is>
          <t>Friendly</t>
        </is>
      </c>
      <c r="R75" t="n">
        <v>1.275</v>
      </c>
      <c r="T75" t="inlineStr">
        <is>
          <t>Company Takeover, Tender Offer, Squeeze out</t>
        </is>
      </c>
      <c r="U75" t="inlineStr">
        <is>
          <t>No</t>
        </is>
      </c>
      <c r="V75" t="inlineStr">
        <is>
          <t>No</t>
        </is>
      </c>
      <c r="W75" t="inlineStr">
        <is>
          <t>No</t>
        </is>
      </c>
      <c r="X75" t="inlineStr">
        <is>
          <t>No</t>
        </is>
      </c>
      <c r="Y75" t="inlineStr">
        <is>
          <t>No</t>
        </is>
      </c>
      <c r="Z75" t="inlineStr">
        <is>
          <t>Yes</t>
        </is>
      </c>
      <c r="AA75" t="n">
        <v>3.824265801</v>
      </c>
      <c r="AB75" t="n">
        <v>0.1055101848</v>
      </c>
      <c r="AC75" t="n">
        <v>3.842847537</v>
      </c>
      <c r="AD75">
        <f t="array" ref="AD76">IF(SUMPRODUCT(--($AM$2:$AM$112=TRIM(LEFT($B76,IFERROR(FIND(" ",$B76)-1,LEN($B76))))))&gt;0,1,0)</f>
        <v/>
      </c>
      <c r="AE75">
        <f t="array" ref="AE76">IF(SUMPRODUCT(--($AO$2:$AO$145=TRIM(LEFT($B76,IFERROR(FIND(" ",$B76)-1,LEN($B76))))))&gt;0,1,0)</f>
        <v/>
      </c>
      <c r="AF75">
        <f t="array" ref="AF76">IF(SUMPRODUCT(--($AQ$2:$AQ$71=TRIM(LEFT($B76,IFERROR(FIND(" ",$B76)-1,LEN($B76))))))&gt;0,1,0)</f>
        <v/>
      </c>
      <c r="AL75" t="inlineStr">
        <is>
          <t>WLTW / Aon P</t>
        </is>
      </c>
      <c r="AM75">
        <f>TRIM(LEFT(AL76,FIND("/",AL76)-1))</f>
        <v/>
      </c>
      <c r="AN75" t="inlineStr">
        <is>
          <t>DII.B / Cerbe</t>
        </is>
      </c>
      <c r="AO75">
        <f>TRIM(LEFT(AN76,FIND("/",AN76)-1))</f>
        <v/>
      </c>
    </row>
    <row r="76">
      <c r="A76" t="n">
        <v>117</v>
      </c>
      <c r="B76" t="inlineStr">
        <is>
          <t>SNV US</t>
        </is>
      </c>
      <c r="C76" t="inlineStr">
        <is>
          <t>PNFP US</t>
        </is>
      </c>
      <c r="D76" s="1" t="n">
        <v>45862</v>
      </c>
      <c r="E76" t="n">
        <v>8368.200000000001</v>
      </c>
      <c r="F76" t="inlineStr">
        <is>
          <t>Stock</t>
        </is>
      </c>
      <c r="H76" t="inlineStr">
        <is>
          <t>Financials</t>
        </is>
      </c>
      <c r="I76" t="inlineStr">
        <is>
          <t>Banking</t>
        </is>
      </c>
      <c r="J76" t="inlineStr">
        <is>
          <t>Banking</t>
        </is>
      </c>
      <c r="M76" t="n">
        <v>10.9</v>
      </c>
      <c r="N76" t="n">
        <v>8368.200000000001</v>
      </c>
      <c r="O76" t="inlineStr">
        <is>
          <t>United States</t>
        </is>
      </c>
      <c r="P76" t="inlineStr">
        <is>
          <t>United States</t>
        </is>
      </c>
      <c r="Q76" t="inlineStr">
        <is>
          <t>Friendly</t>
        </is>
      </c>
      <c r="R76" t="n">
        <v>3433.19</v>
      </c>
      <c r="S76" t="n">
        <v>42.7881</v>
      </c>
      <c r="T76" t="inlineStr">
        <is>
          <t>Company Takeover</t>
        </is>
      </c>
      <c r="U76" t="inlineStr">
        <is>
          <t>No</t>
        </is>
      </c>
      <c r="V76" t="inlineStr">
        <is>
          <t>No</t>
        </is>
      </c>
      <c r="W76" t="inlineStr">
        <is>
          <t>No</t>
        </is>
      </c>
      <c r="X76" t="inlineStr">
        <is>
          <t>No</t>
        </is>
      </c>
      <c r="Y76" t="inlineStr">
        <is>
          <t>No</t>
        </is>
      </c>
      <c r="Z76" t="inlineStr">
        <is>
          <t>No</t>
        </is>
      </c>
      <c r="AA76" t="n">
        <v>3.922632051</v>
      </c>
      <c r="AB76" t="n">
        <v>3.535697839</v>
      </c>
      <c r="AC76" t="n">
        <v>3.922632051</v>
      </c>
      <c r="AD76">
        <f t="array" ref="AD77">IF(SUMPRODUCT(--($AM$2:$AM$112=TRIM(LEFT($B77,IFERROR(FIND(" ",$B77)-1,LEN($B77))))))&gt;0,1,0)</f>
        <v/>
      </c>
      <c r="AE76">
        <f t="array" ref="AE77">IF(SUMPRODUCT(--($AO$2:$AO$145=TRIM(LEFT($B77,IFERROR(FIND(" ",$B77)-1,LEN($B77))))))&gt;0,1,0)</f>
        <v/>
      </c>
      <c r="AF76">
        <f t="array" ref="AF77">IF(SUMPRODUCT(--($AQ$2:$AQ$71=TRIM(LEFT($B77,IFERROR(FIND(" ",$B77)-1,LEN($B77))))))&gt;0,1,0)</f>
        <v/>
      </c>
      <c r="AL76" t="inlineStr">
        <is>
          <t>DLPH / BorgW</t>
        </is>
      </c>
      <c r="AM76">
        <f>TRIM(LEFT(AL77,FIND("/",AL77)-1))</f>
        <v/>
      </c>
      <c r="AN76" t="inlineStr">
        <is>
          <t>EIGI / Clear</t>
        </is>
      </c>
      <c r="AO76">
        <f>TRIM(LEFT(AN77,FIND("/",AN77)-1))</f>
        <v/>
      </c>
    </row>
    <row r="77">
      <c r="A77" t="n">
        <v>103</v>
      </c>
      <c r="B77" t="inlineStr">
        <is>
          <t>WOW US</t>
        </is>
      </c>
      <c r="D77" s="1" t="n">
        <v>45880</v>
      </c>
      <c r="E77" t="n">
        <v>1302.27</v>
      </c>
      <c r="F77" t="inlineStr">
        <is>
          <t>Cash</t>
        </is>
      </c>
      <c r="G77" t="n">
        <v>6.59</v>
      </c>
      <c r="H77" t="inlineStr">
        <is>
          <t>Communications</t>
        </is>
      </c>
      <c r="I77" t="inlineStr">
        <is>
          <t>Media</t>
        </is>
      </c>
      <c r="J77" t="inlineStr">
        <is>
          <t>Cable &amp; Satellite</t>
        </is>
      </c>
      <c r="M77" t="n">
        <v>45.03</v>
      </c>
      <c r="N77" t="n">
        <v>275.57</v>
      </c>
      <c r="O77" t="inlineStr">
        <is>
          <t>United States</t>
        </is>
      </c>
      <c r="P77" t="inlineStr">
        <is>
          <t>United States</t>
        </is>
      </c>
      <c r="Q77" t="inlineStr">
        <is>
          <t>Friendly</t>
        </is>
      </c>
      <c r="R77" t="n">
        <v>630.9</v>
      </c>
      <c r="S77" t="n">
        <v>1.21869</v>
      </c>
      <c r="T77" t="inlineStr">
        <is>
          <t>Company Takeover, Private Equity, PE Buyout, Additional Stake Purchase, Going Private</t>
        </is>
      </c>
      <c r="U77" t="inlineStr">
        <is>
          <t>Yes</t>
        </is>
      </c>
      <c r="V77" t="inlineStr">
        <is>
          <t>No</t>
        </is>
      </c>
      <c r="W77" t="inlineStr">
        <is>
          <t>No</t>
        </is>
      </c>
      <c r="X77" t="inlineStr">
        <is>
          <t>Yes</t>
        </is>
      </c>
      <c r="Y77" t="inlineStr">
        <is>
          <t>Yes</t>
        </is>
      </c>
      <c r="Z77" t="inlineStr">
        <is>
          <t>No</t>
        </is>
      </c>
      <c r="AA77" t="n">
        <v>3.114701036</v>
      </c>
      <c r="AB77" t="n">
        <v>2.799960527</v>
      </c>
      <c r="AC77" t="n">
        <v>2.440231936</v>
      </c>
      <c r="AD77">
        <f t="array" ref="AD78">IF(SUMPRODUCT(--($AM$2:$AM$112=TRIM(LEFT($B78,IFERROR(FIND(" ",$B78)-1,LEN($B78))))))&gt;0,1,0)</f>
        <v/>
      </c>
      <c r="AE77">
        <f t="array" ref="AE78">IF(SUMPRODUCT(--($AO$2:$AO$145=TRIM(LEFT($B78,IFERROR(FIND(" ",$B78)-1,LEN($B78))))))&gt;0,1,0)</f>
        <v/>
      </c>
      <c r="AF77">
        <f t="array" ref="AF78">IF(SUMPRODUCT(--($AQ$2:$AQ$71=TRIM(LEFT($B78,IFERROR(FIND(" ",$B78)-1,LEN($B78))))))&gt;0,1,0)</f>
        <v/>
      </c>
      <c r="AL77" t="inlineStr">
        <is>
          <t>HXL / Woodw</t>
        </is>
      </c>
      <c r="AM77">
        <f>TRIM(LEFT(AL78,FIND("/",AL78)-1))</f>
        <v/>
      </c>
      <c r="AN77" t="inlineStr">
        <is>
          <t>XLNX / Advan</t>
        </is>
      </c>
      <c r="AO77">
        <f>TRIM(LEFT(AN78,FIND("/",AN78)-1))</f>
        <v/>
      </c>
    </row>
    <row r="78">
      <c r="A78" t="n">
        <v>66</v>
      </c>
      <c r="B78" t="inlineStr">
        <is>
          <t>IAS US</t>
        </is>
      </c>
      <c r="C78" t="inlineStr">
        <is>
          <t>893791Z CN</t>
        </is>
      </c>
      <c r="D78" s="1" t="n">
        <v>45924</v>
      </c>
      <c r="E78" t="n">
        <v>1648.6</v>
      </c>
      <c r="F78" t="inlineStr">
        <is>
          <t>Cash</t>
        </is>
      </c>
      <c r="G78" t="n">
        <v>12.21</v>
      </c>
      <c r="H78" t="inlineStr">
        <is>
          <t>Technology</t>
        </is>
      </c>
      <c r="I78" t="inlineStr">
        <is>
          <t>Software &amp; Tech Services</t>
        </is>
      </c>
      <c r="J78" t="inlineStr">
        <is>
          <t>IT Services</t>
        </is>
      </c>
      <c r="K78" t="n">
        <v>100</v>
      </c>
      <c r="L78" t="n">
        <v>52.5</v>
      </c>
      <c r="M78" t="n">
        <v>18.8</v>
      </c>
      <c r="N78" t="n">
        <v>1711.48</v>
      </c>
      <c r="O78" t="inlineStr">
        <is>
          <t>United States</t>
        </is>
      </c>
      <c r="P78" t="inlineStr">
        <is>
          <t>Canada</t>
        </is>
      </c>
      <c r="Q78" t="inlineStr">
        <is>
          <t>Friendly</t>
        </is>
      </c>
      <c r="R78" t="n">
        <v>530.101</v>
      </c>
      <c r="S78" t="n">
        <v>10.5576</v>
      </c>
      <c r="T78" t="inlineStr">
        <is>
          <t>Company Takeover, Private Equity, PE Buyout, Going Private, Cross Border</t>
        </is>
      </c>
      <c r="U78" t="inlineStr">
        <is>
          <t>No</t>
        </is>
      </c>
      <c r="V78" t="inlineStr">
        <is>
          <t>No</t>
        </is>
      </c>
      <c r="W78" t="inlineStr">
        <is>
          <t>Yes</t>
        </is>
      </c>
      <c r="X78" t="inlineStr">
        <is>
          <t>Yes</t>
        </is>
      </c>
      <c r="Y78" t="inlineStr">
        <is>
          <t>Yes</t>
        </is>
      </c>
      <c r="Z78" t="inlineStr">
        <is>
          <t>No</t>
        </is>
      </c>
      <c r="AA78" t="n">
        <v>3.217115296</v>
      </c>
      <c r="AB78" t="n">
        <v>2.724358623</v>
      </c>
      <c r="AC78" t="n">
        <v>3.233371828</v>
      </c>
      <c r="AD78">
        <f t="array" ref="AD79">IF(SUMPRODUCT(--($AM$2:$AM$112=TRIM(LEFT($B79,IFERROR(FIND(" ",$B79)-1,LEN($B79))))))&gt;0,1,0)</f>
        <v/>
      </c>
      <c r="AE78">
        <f t="array" ref="AE79">IF(SUMPRODUCT(--($AO$2:$AO$145=TRIM(LEFT($B79,IFERROR(FIND(" ",$B79)-1,LEN($B79))))))&gt;0,1,0)</f>
        <v/>
      </c>
      <c r="AF78">
        <f t="array" ref="AF79">IF(SUMPRODUCT(--($AQ$2:$AQ$71=TRIM(LEFT($B79,IFERROR(FIND(" ",$B79)-1,LEN($B79))))))&gt;0,1,0)</f>
        <v/>
      </c>
      <c r="AL78" t="inlineStr">
        <is>
          <t>IFF / DuPon</t>
        </is>
      </c>
      <c r="AM78">
        <f>TRIM(LEFT(AL79,FIND("/",AL79)-1))</f>
        <v/>
      </c>
      <c r="AN78" t="inlineStr">
        <is>
          <t xml:space="preserve">WTRE / Arch </t>
        </is>
      </c>
      <c r="AO78">
        <f>TRIM(LEFT(AN79,FIND("/",AN79)-1))</f>
        <v/>
      </c>
    </row>
    <row r="79">
      <c r="A79" t="n">
        <v>40</v>
      </c>
      <c r="B79" t="inlineStr">
        <is>
          <t>KEC CN</t>
        </is>
      </c>
      <c r="C79" t="inlineStr">
        <is>
          <t>2305707D CN</t>
        </is>
      </c>
      <c r="D79" s="1" t="n">
        <v>45958</v>
      </c>
      <c r="E79" t="n">
        <v>948.37</v>
      </c>
      <c r="F79" t="inlineStr">
        <is>
          <t>Cash</t>
        </is>
      </c>
      <c r="G79" t="n">
        <v>6.78</v>
      </c>
      <c r="H79" t="inlineStr">
        <is>
          <t>Energy</t>
        </is>
      </c>
      <c r="I79" t="inlineStr">
        <is>
          <t>Renewable Energy</t>
        </is>
      </c>
      <c r="J79" t="inlineStr">
        <is>
          <t>Renewable Energy</t>
        </is>
      </c>
      <c r="M79" t="n">
        <v>9.800000000000001</v>
      </c>
      <c r="N79" t="n">
        <v>777.89</v>
      </c>
      <c r="O79" t="inlineStr">
        <is>
          <t>Canada</t>
        </is>
      </c>
      <c r="P79" t="inlineStr">
        <is>
          <t>Canada</t>
        </is>
      </c>
      <c r="Q79" t="inlineStr">
        <is>
          <t>Friendly</t>
        </is>
      </c>
      <c r="R79" t="n">
        <v>347.084</v>
      </c>
      <c r="S79" t="n">
        <v>22.4741</v>
      </c>
      <c r="T79" t="inlineStr">
        <is>
          <t>Company Takeover</t>
        </is>
      </c>
      <c r="U79" t="inlineStr">
        <is>
          <t>No</t>
        </is>
      </c>
      <c r="V79" t="inlineStr">
        <is>
          <t>No</t>
        </is>
      </c>
      <c r="W79" t="inlineStr">
        <is>
          <t>No</t>
        </is>
      </c>
      <c r="X79" t="inlineStr">
        <is>
          <t>No</t>
        </is>
      </c>
      <c r="Y79" t="inlineStr">
        <is>
          <t>No</t>
        </is>
      </c>
      <c r="Z79" t="inlineStr">
        <is>
          <t>No</t>
        </is>
      </c>
      <c r="AA79" t="n">
        <v>2.976977807</v>
      </c>
      <c r="AB79" t="n">
        <v>2.540434594</v>
      </c>
      <c r="AC79" t="n">
        <v>2.890918189</v>
      </c>
      <c r="AD79">
        <f t="array" ref="AD80">IF(SUMPRODUCT(--($AM$2:$AM$112=TRIM(LEFT($B80,IFERROR(FIND(" ",$B80)-1,LEN($B80))))))&gt;0,1,0)</f>
        <v/>
      </c>
      <c r="AE79">
        <f t="array" ref="AE80">IF(SUMPRODUCT(--($AO$2:$AO$145=TRIM(LEFT($B80,IFERROR(FIND(" ",$B80)-1,LEN($B80))))))&gt;0,1,0)</f>
        <v/>
      </c>
      <c r="AF79">
        <f t="array" ref="AF80">IF(SUMPRODUCT(--($AQ$2:$AQ$71=TRIM(LEFT($B80,IFERROR(FIND(" ",$B80)-1,LEN($B80))))))&gt;0,1,0)</f>
        <v/>
      </c>
      <c r="AL79" t="inlineStr">
        <is>
          <t xml:space="preserve">TIF / LVMH </t>
        </is>
      </c>
      <c r="AM79">
        <f>TRIM(LEFT(AL80,FIND("/",AL80)-1))</f>
        <v/>
      </c>
      <c r="AN79" t="inlineStr">
        <is>
          <t>MVC / Barin</t>
        </is>
      </c>
      <c r="AO79">
        <f>TRIM(LEFT(AN80,FIND("/",AN80)-1))</f>
        <v/>
      </c>
    </row>
    <row r="80">
      <c r="A80" t="n">
        <v>68</v>
      </c>
      <c r="B80" t="inlineStr">
        <is>
          <t>PGRE US</t>
        </is>
      </c>
      <c r="C80" t="inlineStr">
        <is>
          <t>RITM US</t>
        </is>
      </c>
      <c r="D80" s="1" t="n">
        <v>45917</v>
      </c>
      <c r="E80" t="n">
        <v>1454.59</v>
      </c>
      <c r="F80" t="inlineStr">
        <is>
          <t>Cash</t>
        </is>
      </c>
      <c r="G80" t="n">
        <v>3.76</v>
      </c>
      <c r="H80" t="inlineStr">
        <is>
          <t>Real Estate</t>
        </is>
      </c>
      <c r="I80" t="inlineStr">
        <is>
          <t>Real Estate</t>
        </is>
      </c>
      <c r="J80" t="inlineStr">
        <is>
          <t>REIT</t>
        </is>
      </c>
      <c r="L80" t="n">
        <v>59.7</v>
      </c>
      <c r="M80" t="n">
        <v>-6.92</v>
      </c>
      <c r="N80" t="n">
        <v>1454.59</v>
      </c>
      <c r="O80" t="inlineStr">
        <is>
          <t>United States</t>
        </is>
      </c>
      <c r="P80" t="inlineStr">
        <is>
          <t>United States</t>
        </is>
      </c>
      <c r="Q80" t="inlineStr">
        <is>
          <t>Friendly</t>
        </is>
      </c>
      <c r="R80" t="n">
        <v>757.451</v>
      </c>
      <c r="S80" t="n">
        <v>13.159</v>
      </c>
      <c r="T80" t="inlineStr">
        <is>
          <t>Company Takeover</t>
        </is>
      </c>
      <c r="U80" t="inlineStr">
        <is>
          <t>No</t>
        </is>
      </c>
      <c r="V80" t="inlineStr">
        <is>
          <t>No</t>
        </is>
      </c>
      <c r="W80" t="inlineStr">
        <is>
          <t>No</t>
        </is>
      </c>
      <c r="X80" t="inlineStr">
        <is>
          <t>No</t>
        </is>
      </c>
      <c r="Y80" t="inlineStr">
        <is>
          <t>No</t>
        </is>
      </c>
      <c r="Z80" t="inlineStr">
        <is>
          <t>No</t>
        </is>
      </c>
      <c r="AA80" t="n">
        <v>3.162740598</v>
      </c>
      <c r="AB80" t="n">
        <v>2.879354543</v>
      </c>
      <c r="AC80" t="n">
        <v>3.162740598</v>
      </c>
      <c r="AD80">
        <f t="array" ref="AD81">IF(SUMPRODUCT(--($AM$2:$AM$112=TRIM(LEFT($B81,IFERROR(FIND(" ",$B81)-1,LEN($B81))))))&gt;0,1,0)</f>
        <v/>
      </c>
      <c r="AE80">
        <f t="array" ref="AE81">IF(SUMPRODUCT(--($AO$2:$AO$145=TRIM(LEFT($B81,IFERROR(FIND(" ",$B81)-1,LEN($B81))))))&gt;0,1,0)</f>
        <v/>
      </c>
      <c r="AF80">
        <f t="array" ref="AF81">IF(SUMPRODUCT(--($AQ$2:$AQ$71=TRIM(LEFT($B81,IFERROR(FIND(" ",$B81)-1,LEN($B81))))))&gt;0,1,0)</f>
        <v/>
      </c>
      <c r="AL80" t="inlineStr">
        <is>
          <t>KEM / Yageo</t>
        </is>
      </c>
      <c r="AM80">
        <f>TRIM(LEFT(AL81,FIND("/",AL81)-1))</f>
        <v/>
      </c>
      <c r="AN80" t="inlineStr">
        <is>
          <t>VAR / Sieme</t>
        </is>
      </c>
      <c r="AO80">
        <f>TRIM(LEFT(AN81,FIND("/",AN81)-1))</f>
        <v/>
      </c>
    </row>
    <row r="81">
      <c r="A81" t="n">
        <v>70</v>
      </c>
      <c r="B81" t="inlineStr">
        <is>
          <t>BRY US</t>
        </is>
      </c>
      <c r="C81" t="inlineStr">
        <is>
          <t>CRC US</t>
        </is>
      </c>
      <c r="D81" s="1" t="n">
        <v>45915</v>
      </c>
      <c r="E81" t="n">
        <v>622.62</v>
      </c>
      <c r="F81" t="inlineStr">
        <is>
          <t>Stock</t>
        </is>
      </c>
      <c r="G81" t="n">
        <v>2.6</v>
      </c>
      <c r="H81" t="inlineStr">
        <is>
          <t>Energy</t>
        </is>
      </c>
      <c r="I81" t="inlineStr">
        <is>
          <t>Oil &amp; Gas</t>
        </is>
      </c>
      <c r="J81" t="inlineStr">
        <is>
          <t>Oil &amp; Gas Supply Chain</t>
        </is>
      </c>
      <c r="M81" t="n">
        <v>14.59</v>
      </c>
      <c r="N81" t="n">
        <v>277.75</v>
      </c>
      <c r="O81" t="inlineStr">
        <is>
          <t>United States</t>
        </is>
      </c>
      <c r="P81" t="inlineStr">
        <is>
          <t>United States</t>
        </is>
      </c>
      <c r="Q81" t="inlineStr">
        <is>
          <t>Friendly</t>
        </is>
      </c>
      <c r="R81" t="n">
        <v>776.501</v>
      </c>
      <c r="S81" t="n">
        <v>-9.098100000000001</v>
      </c>
      <c r="T81" t="inlineStr">
        <is>
          <t>Company Takeover</t>
        </is>
      </c>
      <c r="U81" t="inlineStr">
        <is>
          <t>No</t>
        </is>
      </c>
      <c r="V81" t="inlineStr">
        <is>
          <t>No</t>
        </is>
      </c>
      <c r="W81" t="inlineStr">
        <is>
          <t>No</t>
        </is>
      </c>
      <c r="X81" t="inlineStr">
        <is>
          <t>No</t>
        </is>
      </c>
      <c r="Y81" t="inlineStr">
        <is>
          <t>No</t>
        </is>
      </c>
      <c r="Z81" t="inlineStr">
        <is>
          <t>No</t>
        </is>
      </c>
      <c r="AA81" t="n">
        <v>2.794223067</v>
      </c>
      <c r="AB81" t="n">
        <v>2.890142019</v>
      </c>
      <c r="AC81" t="n">
        <v>2.443654068</v>
      </c>
      <c r="AD81">
        <f t="array" ref="AD82">IF(SUMPRODUCT(--($AM$2:$AM$112=TRIM(LEFT($B82,IFERROR(FIND(" ",$B82)-1,LEN($B82))))))&gt;0,1,0)</f>
        <v/>
      </c>
      <c r="AE81">
        <f t="array" ref="AE82">IF(SUMPRODUCT(--($AO$2:$AO$145=TRIM(LEFT($B82,IFERROR(FIND(" ",$B82)-1,LEN($B82))))))&gt;0,1,0)</f>
        <v/>
      </c>
      <c r="AF81">
        <f t="array" ref="AF82">IF(SUMPRODUCT(--($AQ$2:$AQ$71=TRIM(LEFT($B82,IFERROR(FIND(" ",$B82)-1,LEN($B82))))))&gt;0,1,0)</f>
        <v/>
      </c>
      <c r="AL81" t="inlineStr">
        <is>
          <t>MYL / Pfize</t>
        </is>
      </c>
      <c r="AM81">
        <f>TRIM(LEFT(AL82,FIND("/",AL82)-1))</f>
        <v/>
      </c>
      <c r="AN81" t="inlineStr">
        <is>
          <t>MXIM / Analo</t>
        </is>
      </c>
      <c r="AO81">
        <f>TRIM(LEFT(AN82,FIND("/",AN82)-1))</f>
        <v/>
      </c>
    </row>
    <row r="82">
      <c r="A82" t="n">
        <v>81</v>
      </c>
      <c r="B82" t="inlineStr">
        <is>
          <t>VTLE US</t>
        </is>
      </c>
      <c r="C82" t="inlineStr">
        <is>
          <t>CRGY US</t>
        </is>
      </c>
      <c r="D82" s="1" t="n">
        <v>45894</v>
      </c>
      <c r="E82" t="n">
        <v>3053.93</v>
      </c>
      <c r="F82" t="inlineStr">
        <is>
          <t>Stock</t>
        </is>
      </c>
      <c r="G82" t="n">
        <v>3.75</v>
      </c>
      <c r="H82" t="inlineStr">
        <is>
          <t>Energy</t>
        </is>
      </c>
      <c r="I82" t="inlineStr">
        <is>
          <t>Oil &amp; Gas</t>
        </is>
      </c>
      <c r="J82" t="inlineStr">
        <is>
          <t>Oil &amp; Gas Supply Chain</t>
        </is>
      </c>
      <c r="K82" t="n">
        <v>76.90000000000001</v>
      </c>
      <c r="L82" t="n">
        <v>22.5</v>
      </c>
      <c r="M82" t="n">
        <v>9.609999999999999</v>
      </c>
      <c r="N82" t="n">
        <v>689.11</v>
      </c>
      <c r="O82" t="inlineStr">
        <is>
          <t>United States</t>
        </is>
      </c>
      <c r="P82" t="inlineStr">
        <is>
          <t>United States</t>
        </is>
      </c>
      <c r="Q82" t="inlineStr">
        <is>
          <t>Friendly</t>
        </is>
      </c>
      <c r="R82" t="n">
        <v>1952.31</v>
      </c>
      <c r="S82" t="n">
        <v>-58.2799</v>
      </c>
      <c r="T82" t="inlineStr">
        <is>
          <t>Company Takeover</t>
        </is>
      </c>
      <c r="U82" t="inlineStr">
        <is>
          <t>No</t>
        </is>
      </c>
      <c r="V82" t="inlineStr">
        <is>
          <t>No</t>
        </is>
      </c>
      <c r="W82" t="inlineStr">
        <is>
          <t>No</t>
        </is>
      </c>
      <c r="X82" t="inlineStr">
        <is>
          <t>No</t>
        </is>
      </c>
      <c r="Y82" t="inlineStr">
        <is>
          <t>No</t>
        </is>
      </c>
      <c r="Z82" t="inlineStr">
        <is>
          <t>No</t>
        </is>
      </c>
      <c r="AA82" t="n">
        <v>3.484859078</v>
      </c>
      <c r="AB82" t="n">
        <v>3.290548779</v>
      </c>
      <c r="AC82" t="n">
        <v>2.838288552</v>
      </c>
      <c r="AD82">
        <f t="array" ref="AD84">IF(SUMPRODUCT(--($AM$2:$AM$112=TRIM(LEFT($B84,IFERROR(FIND(" ",$B84)-1,LEN($B84))))))&gt;0,1,0)</f>
        <v/>
      </c>
      <c r="AE82">
        <f t="array" ref="AE84">IF(SUMPRODUCT(--($AO$2:$AO$145=TRIM(LEFT($B84,IFERROR(FIND(" ",$B84)-1,LEN($B84))))))&gt;0,1,0)</f>
        <v/>
      </c>
      <c r="AF82">
        <f t="array" ref="AF84">IF(SUMPRODUCT(--($AQ$2:$AQ$71=TRIM(LEFT($B84,IFERROR(FIND(" ",$B84)-1,LEN($B84))))))&gt;0,1,0)</f>
        <v/>
      </c>
      <c r="AL82" t="inlineStr">
        <is>
          <t>ACIA / Cisco</t>
        </is>
      </c>
      <c r="AM82">
        <f>TRIM(LEFT(AL84,FIND("/",AL84)-1))</f>
        <v/>
      </c>
      <c r="AN82" t="inlineStr">
        <is>
          <t>LM / Frank</t>
        </is>
      </c>
      <c r="AO82">
        <f>TRIM(LEFT(AN84,FIND("/",AN84)-1))</f>
        <v/>
      </c>
    </row>
    <row r="83">
      <c r="A83" t="n">
        <v>59</v>
      </c>
      <c r="B83" t="inlineStr">
        <is>
          <t>ODP US</t>
        </is>
      </c>
      <c r="C83" t="inlineStr">
        <is>
          <t>743428Z US</t>
        </is>
      </c>
      <c r="D83" s="1" t="n">
        <v>45922</v>
      </c>
      <c r="E83" t="n">
        <v>1603.35</v>
      </c>
      <c r="F83" t="inlineStr">
        <is>
          <t>Cash</t>
        </is>
      </c>
      <c r="G83" t="n">
        <v>2.82</v>
      </c>
      <c r="H83" t="inlineStr">
        <is>
          <t>Consumer Discretionary</t>
        </is>
      </c>
      <c r="I83" t="inlineStr">
        <is>
          <t>Retail &amp; Whsle - Discretionary</t>
        </is>
      </c>
      <c r="J83" t="inlineStr">
        <is>
          <t>Retail - Discretionary</t>
        </is>
      </c>
      <c r="M83" t="n">
        <v>33.3</v>
      </c>
      <c r="N83" t="n">
        <v>842.35</v>
      </c>
      <c r="O83" t="inlineStr">
        <is>
          <t>United States</t>
        </is>
      </c>
      <c r="P83" t="inlineStr">
        <is>
          <t>United States</t>
        </is>
      </c>
      <c r="Q83" t="inlineStr">
        <is>
          <t>Friendly</t>
        </is>
      </c>
      <c r="R83" t="n">
        <v>6990</v>
      </c>
      <c r="S83" t="n">
        <v>0.474441</v>
      </c>
      <c r="T83" t="inlineStr">
        <is>
          <t>Company Takeover, Private Equity, PE Buyout, Going Private</t>
        </is>
      </c>
      <c r="U83" t="inlineStr">
        <is>
          <t>No</t>
        </is>
      </c>
      <c r="V83" t="inlineStr">
        <is>
          <t>No</t>
        </is>
      </c>
      <c r="W83" t="inlineStr">
        <is>
          <t>No</t>
        </is>
      </c>
      <c r="X83" t="inlineStr">
        <is>
          <t>Yes</t>
        </is>
      </c>
      <c r="Y83" t="inlineStr">
        <is>
          <t>Yes</t>
        </is>
      </c>
      <c r="Z83" t="inlineStr">
        <is>
          <t>No</t>
        </is>
      </c>
      <c r="AA83" t="n">
        <v>3.205028336</v>
      </c>
      <c r="AB83" t="n">
        <v>3.844477176</v>
      </c>
      <c r="AC83" t="n">
        <v>2.92549258</v>
      </c>
      <c r="AD83">
        <f t="array" ref="AD86">IF(SUMPRODUCT(--($AM$2:$AM$112=TRIM(LEFT($B86,IFERROR(FIND(" ",$B86)-1,LEN($B86))))))&gt;0,1,0)</f>
        <v/>
      </c>
      <c r="AE83">
        <f t="array" ref="AE86">IF(SUMPRODUCT(--($AO$2:$AO$145=TRIM(LEFT($B86,IFERROR(FIND(" ",$B86)-1,LEN($B86))))))&gt;0,1,0)</f>
        <v/>
      </c>
      <c r="AF83">
        <f t="array" ref="AF86">IF(SUMPRODUCT(--($AQ$2:$AQ$71=TRIM(LEFT($B86,IFERROR(FIND(" ",$B86)-1,LEN($B86))))))&gt;0,1,0)</f>
        <v/>
      </c>
      <c r="AL83" t="inlineStr">
        <is>
          <t>CY / Infin</t>
        </is>
      </c>
      <c r="AM83">
        <f>TRIM(LEFT(AL86,FIND("/",AL86)-1))</f>
        <v/>
      </c>
      <c r="AN83" t="inlineStr">
        <is>
          <t>HXL / Woodw</t>
        </is>
      </c>
      <c r="AO83">
        <f>TRIM(LEFT(AN86,FIND("/",AN86)-1))</f>
        <v/>
      </c>
    </row>
    <row r="84">
      <c r="A84" t="n">
        <v>49</v>
      </c>
      <c r="B84" t="inlineStr">
        <is>
          <t>HSII US</t>
        </is>
      </c>
      <c r="D84" s="1" t="n">
        <v>45936</v>
      </c>
      <c r="E84" t="n">
        <v>929.05</v>
      </c>
      <c r="F84" t="inlineStr">
        <is>
          <t>Cash</t>
        </is>
      </c>
      <c r="G84" t="n">
        <v>18.87</v>
      </c>
      <c r="H84" t="inlineStr">
        <is>
          <t>Industrials</t>
        </is>
      </c>
      <c r="I84" t="inlineStr">
        <is>
          <t>Industrial Services</t>
        </is>
      </c>
      <c r="J84" t="inlineStr">
        <is>
          <t>Commercial Support Services</t>
        </is>
      </c>
      <c r="L84" t="n">
        <v>38.9</v>
      </c>
      <c r="M84" t="n">
        <v>18.57</v>
      </c>
      <c r="N84" t="n">
        <v>1223.44</v>
      </c>
      <c r="O84" t="inlineStr">
        <is>
          <t>United States</t>
        </is>
      </c>
      <c r="P84" t="inlineStr">
        <is>
          <t>United States</t>
        </is>
      </c>
      <c r="Q84" t="inlineStr">
        <is>
          <t>Friendly</t>
        </is>
      </c>
      <c r="R84" t="n">
        <v>1115.68</v>
      </c>
      <c r="S84" t="n">
        <v>3.0353</v>
      </c>
      <c r="T84" t="inlineStr">
        <is>
          <t>Company Takeover, Private Equity, PE Buyout, Going Private</t>
        </is>
      </c>
      <c r="U84" t="inlineStr">
        <is>
          <t>No</t>
        </is>
      </c>
      <c r="V84" t="inlineStr">
        <is>
          <t>No</t>
        </is>
      </c>
      <c r="W84" t="inlineStr">
        <is>
          <t>No</t>
        </is>
      </c>
      <c r="X84" t="inlineStr">
        <is>
          <t>Yes</t>
        </is>
      </c>
      <c r="Y84" t="inlineStr">
        <is>
          <t>Yes</t>
        </is>
      </c>
      <c r="Z84" t="inlineStr">
        <is>
          <t>No</t>
        </is>
      </c>
      <c r="AA84" t="n">
        <v>2.968039088</v>
      </c>
      <c r="AB84" t="n">
        <v>3.047539648</v>
      </c>
      <c r="AC84" t="n">
        <v>3.087582676</v>
      </c>
      <c r="AD84">
        <f t="array" ref="AD87">IF(SUMPRODUCT(--($AM$2:$AM$112=TRIM(LEFT($B87,IFERROR(FIND(" ",$B87)-1,LEN($B87))))))&gt;0,1,0)</f>
        <v/>
      </c>
      <c r="AE84">
        <f t="array" ref="AE87">IF(SUMPRODUCT(--($AO$2:$AO$145=TRIM(LEFT($B87,IFERROR(FIND(" ",$B87)-1,LEN($B87))))))&gt;0,1,0)</f>
        <v/>
      </c>
      <c r="AF84">
        <f t="array" ref="AF87">IF(SUMPRODUCT(--($AQ$2:$AQ$71=TRIM(LEFT($B87,IFERROR(FIND(" ",$B87)-1,LEN($B87))))))&gt;0,1,0)</f>
        <v/>
      </c>
      <c r="AL84" t="inlineStr">
        <is>
          <t>IR / Gardn</t>
        </is>
      </c>
      <c r="AM84">
        <f>TRIM(LEFT(AL87,FIND("/",AL87)-1))</f>
        <v/>
      </c>
      <c r="AN84" t="inlineStr">
        <is>
          <t>IFF / DuPon</t>
        </is>
      </c>
      <c r="AO84">
        <f>TRIM(LEFT(AN87,FIND("/",AN87)-1))</f>
        <v/>
      </c>
    </row>
    <row r="85">
      <c r="A85" t="n">
        <v>45</v>
      </c>
      <c r="B85" t="inlineStr">
        <is>
          <t>AKRO US</t>
        </is>
      </c>
      <c r="C85" t="inlineStr">
        <is>
          <t>NOVOB DC</t>
        </is>
      </c>
      <c r="D85" s="1" t="n">
        <v>45939</v>
      </c>
      <c r="E85" t="n">
        <v>4457.46</v>
      </c>
      <c r="F85" t="inlineStr">
        <is>
          <t>Cash</t>
        </is>
      </c>
      <c r="H85" t="inlineStr">
        <is>
          <t>Health Care</t>
        </is>
      </c>
      <c r="I85" t="inlineStr">
        <is>
          <t>Health Care</t>
        </is>
      </c>
      <c r="J85" t="inlineStr">
        <is>
          <t>Biotech &amp; Pharma</t>
        </is>
      </c>
      <c r="M85" t="n">
        <v>17.93</v>
      </c>
      <c r="N85" t="n">
        <v>4457.46</v>
      </c>
      <c r="O85" t="inlineStr">
        <is>
          <t>United States</t>
        </is>
      </c>
      <c r="P85" t="inlineStr">
        <is>
          <t>Denmark</t>
        </is>
      </c>
      <c r="Q85" t="inlineStr">
        <is>
          <t>Friendly</t>
        </is>
      </c>
      <c r="T85" t="inlineStr">
        <is>
          <t>Company Takeover, Cross Border</t>
        </is>
      </c>
      <c r="U85" t="inlineStr">
        <is>
          <t>No</t>
        </is>
      </c>
      <c r="V85" t="inlineStr">
        <is>
          <t>No</t>
        </is>
      </c>
      <c r="W85" t="inlineStr">
        <is>
          <t>Yes</t>
        </is>
      </c>
      <c r="X85" t="inlineStr">
        <is>
          <t>No</t>
        </is>
      </c>
      <c r="Y85" t="inlineStr">
        <is>
          <t>No</t>
        </is>
      </c>
      <c r="Z85" t="inlineStr">
        <is>
          <t>No</t>
        </is>
      </c>
      <c r="AA85" t="n">
        <v>3.649087455</v>
      </c>
      <c r="AC85" t="n">
        <v>3.649087455</v>
      </c>
      <c r="AD85">
        <f t="array" ref="AD88">IF(SUMPRODUCT(--($AM$2:$AM$112=TRIM(LEFT($B88,IFERROR(FIND(" ",$B88)-1,LEN($B88))))))&gt;0,1,0)</f>
        <v/>
      </c>
      <c r="AE85">
        <f t="array" ref="AE88">IF(SUMPRODUCT(--($AO$2:$AO$145=TRIM(LEFT($B88,IFERROR(FIND(" ",$B88)-1,LEN($B88))))))&gt;0,1,0)</f>
        <v/>
      </c>
      <c r="AF85">
        <f t="array" ref="AF88">IF(SUMPRODUCT(--($AQ$2:$AQ$71=TRIM(LEFT($B88,IFERROR(FIND(" ",$B88)-1,LEN($B88))))))&gt;0,1,0)</f>
        <v/>
      </c>
      <c r="AL85" t="inlineStr">
        <is>
          <t>VSM / Merck</t>
        </is>
      </c>
      <c r="AM85">
        <f>TRIM(LEFT(AL88,FIND("/",AL88)-1))</f>
        <v/>
      </c>
      <c r="AN85" t="inlineStr">
        <is>
          <t xml:space="preserve">TIF / LVMH </t>
        </is>
      </c>
      <c r="AO85">
        <f>TRIM(LEFT(AN88,FIND("/",AN88)-1))</f>
        <v/>
      </c>
    </row>
    <row r="86">
      <c r="A86" t="n">
        <v>93</v>
      </c>
      <c r="B86" t="inlineStr">
        <is>
          <t>SCS US</t>
        </is>
      </c>
      <c r="C86" t="inlineStr">
        <is>
          <t>HNI US</t>
        </is>
      </c>
      <c r="D86" s="1" t="n">
        <v>45873</v>
      </c>
      <c r="E86" t="n">
        <v>2147.57</v>
      </c>
      <c r="F86" t="inlineStr">
        <is>
          <t>Cash and Stock</t>
        </is>
      </c>
      <c r="G86" t="n">
        <v>7.56</v>
      </c>
      <c r="H86" t="inlineStr">
        <is>
          <t>Consumer Discretionary</t>
        </is>
      </c>
      <c r="I86" t="inlineStr">
        <is>
          <t>Consumer Discretionary Products</t>
        </is>
      </c>
      <c r="J86" t="inlineStr">
        <is>
          <t>Home &amp; Office Products</t>
        </is>
      </c>
      <c r="K86" t="n">
        <v>134</v>
      </c>
      <c r="L86" t="n">
        <v>67</v>
      </c>
      <c r="M86" t="n">
        <v>76.40000000000001</v>
      </c>
      <c r="N86" t="n">
        <v>1771.67</v>
      </c>
      <c r="O86" t="inlineStr">
        <is>
          <t>United States</t>
        </is>
      </c>
      <c r="P86" t="inlineStr">
        <is>
          <t>United States</t>
        </is>
      </c>
      <c r="Q86" t="inlineStr">
        <is>
          <t>Friendly</t>
        </is>
      </c>
      <c r="R86" t="n">
        <v>3166</v>
      </c>
      <c r="S86" t="n">
        <v>3.96134</v>
      </c>
      <c r="T86" t="inlineStr">
        <is>
          <t>Company Takeover</t>
        </is>
      </c>
      <c r="U86" t="inlineStr">
        <is>
          <t>No</t>
        </is>
      </c>
      <c r="V86" t="inlineStr">
        <is>
          <t>No</t>
        </is>
      </c>
      <c r="W86" t="inlineStr">
        <is>
          <t>No</t>
        </is>
      </c>
      <c r="X86" t="inlineStr">
        <is>
          <t>No</t>
        </is>
      </c>
      <c r="Y86" t="inlineStr">
        <is>
          <t>No</t>
        </is>
      </c>
      <c r="Z86" t="inlineStr">
        <is>
          <t>No</t>
        </is>
      </c>
      <c r="AA86" t="n">
        <v>3.331947329</v>
      </c>
      <c r="AB86" t="n">
        <v>3.500510911</v>
      </c>
      <c r="AC86" t="n">
        <v>3.248382831</v>
      </c>
      <c r="AD86">
        <f t="array" ref="AD89">IF(SUMPRODUCT(--($AM$2:$AM$112=TRIM(LEFT($B89,IFERROR(FIND(" ",$B89)-1,LEN($B89))))))&gt;0,1,0)</f>
        <v/>
      </c>
      <c r="AE86">
        <f t="array" ref="AE89">IF(SUMPRODUCT(--($AO$2:$AO$145=TRIM(LEFT($B89,IFERROR(FIND(" ",$B89)-1,LEN($B89))))))&gt;0,1,0)</f>
        <v/>
      </c>
      <c r="AF86">
        <f t="array" ref="AF89">IF(SUMPRODUCT(--($AQ$2:$AQ$71=TRIM(LEFT($B89,IFERROR(FIND(" ",$B89)-1,LEN($B89))))))&gt;0,1,0)</f>
        <v/>
      </c>
      <c r="AL86" t="inlineStr">
        <is>
          <t>WBC / ZF Fr</t>
        </is>
      </c>
      <c r="AM86">
        <f>TRIM(LEFT(AL89,FIND("/",AL89)-1))</f>
        <v/>
      </c>
      <c r="AN86" t="inlineStr">
        <is>
          <t>TECD / Apoll</t>
        </is>
      </c>
      <c r="AO86">
        <f>TRIM(LEFT(AN89,FIND("/",AN89)-1))</f>
        <v/>
      </c>
    </row>
    <row r="87">
      <c r="A87" t="n">
        <v>112</v>
      </c>
      <c r="B87" t="inlineStr">
        <is>
          <t>SSUP US</t>
        </is>
      </c>
      <c r="D87" s="1" t="n">
        <v>45846</v>
      </c>
      <c r="E87" t="n">
        <v>998.8099999999999</v>
      </c>
      <c r="F87" t="inlineStr">
        <is>
          <t>Cash and Debt</t>
        </is>
      </c>
      <c r="G87" t="n">
        <v>8.4</v>
      </c>
      <c r="H87" t="inlineStr">
        <is>
          <t>Consumer Discretionary</t>
        </is>
      </c>
      <c r="I87" t="inlineStr">
        <is>
          <t>Consumer Discretionary Products</t>
        </is>
      </c>
      <c r="J87" t="inlineStr">
        <is>
          <t>Automotive</t>
        </is>
      </c>
      <c r="N87" t="n">
        <v>559.3</v>
      </c>
      <c r="O87" t="inlineStr">
        <is>
          <t>United States</t>
        </is>
      </c>
      <c r="P87" t="inlineStr">
        <is>
          <t>United States</t>
        </is>
      </c>
      <c r="Q87" t="inlineStr">
        <is>
          <t>Friendly</t>
        </is>
      </c>
      <c r="R87" t="n">
        <v>1267.34</v>
      </c>
      <c r="S87" t="n">
        <v>-15.1409</v>
      </c>
      <c r="T87" t="inlineStr">
        <is>
          <t>Private Equity, Company Takeover, Going Private, PE Buyout</t>
        </is>
      </c>
      <c r="U87" t="inlineStr">
        <is>
          <t>No</t>
        </is>
      </c>
      <c r="V87" t="inlineStr">
        <is>
          <t>No</t>
        </is>
      </c>
      <c r="W87" t="inlineStr">
        <is>
          <t>No</t>
        </is>
      </c>
      <c r="X87" t="inlineStr">
        <is>
          <t>Yes</t>
        </is>
      </c>
      <c r="Y87" t="inlineStr">
        <is>
          <t>Yes</t>
        </is>
      </c>
      <c r="Z87" t="inlineStr">
        <is>
          <t>No</t>
        </is>
      </c>
      <c r="AA87" t="n">
        <v>2.999482882</v>
      </c>
      <c r="AB87" t="n">
        <v>3.102893142</v>
      </c>
      <c r="AC87" t="n">
        <v>2.747644819</v>
      </c>
      <c r="AD87">
        <f t="array" ref="AD90">IF(SUMPRODUCT(--($AM$2:$AM$112=TRIM(LEFT($B90,IFERROR(FIND(" ",$B90)-1,LEN($B90))))))&gt;0,1,0)</f>
        <v/>
      </c>
      <c r="AE87">
        <f t="array" ref="AE90">IF(SUMPRODUCT(--($AO$2:$AO$145=TRIM(LEFT($B90,IFERROR(FIND(" ",$B90)-1,LEN($B90))))))&gt;0,1,0)</f>
        <v/>
      </c>
      <c r="AF87">
        <f t="array" ref="AF90">IF(SUMPRODUCT(--($AQ$2:$AQ$71=TRIM(LEFT($B90,IFERROR(FIND(" ",$B90)-1,LEN($B90))))))&gt;0,1,0)</f>
        <v/>
      </c>
      <c r="AL87" t="inlineStr">
        <is>
          <t>QTNA / ON Se</t>
        </is>
      </c>
      <c r="AM87">
        <f>TRIM(LEFT(AL90,FIND("/",AL90)-1))</f>
        <v/>
      </c>
      <c r="AN87" t="inlineStr">
        <is>
          <t>FIT / Alpha</t>
        </is>
      </c>
      <c r="AO87">
        <f>TRIM(LEFT(AN90,FIND("/",AN90)-1))</f>
        <v/>
      </c>
    </row>
    <row r="88">
      <c r="A88" t="n">
        <v>57</v>
      </c>
      <c r="B88" t="inlineStr">
        <is>
          <t>PRO US</t>
        </is>
      </c>
      <c r="C88" t="inlineStr">
        <is>
          <t>129626Z US</t>
        </is>
      </c>
      <c r="D88" s="1" t="n">
        <v>45922</v>
      </c>
      <c r="E88" t="n">
        <v>1283.49</v>
      </c>
      <c r="F88" t="inlineStr">
        <is>
          <t>Cash</t>
        </is>
      </c>
      <c r="H88" t="inlineStr">
        <is>
          <t>Technology</t>
        </is>
      </c>
      <c r="I88" t="inlineStr">
        <is>
          <t>Software &amp; Tech Services</t>
        </is>
      </c>
      <c r="J88" t="inlineStr">
        <is>
          <t>Software</t>
        </is>
      </c>
      <c r="M88" t="n">
        <v>50.73</v>
      </c>
      <c r="N88" t="n">
        <v>1118.48</v>
      </c>
      <c r="O88" t="inlineStr">
        <is>
          <t>United States</t>
        </is>
      </c>
      <c r="P88" t="inlineStr">
        <is>
          <t>United States</t>
        </is>
      </c>
      <c r="Q88" t="inlineStr">
        <is>
          <t>Friendly</t>
        </is>
      </c>
      <c r="R88" t="n">
        <v>330.372</v>
      </c>
      <c r="S88" t="n">
        <v>-4.5089</v>
      </c>
      <c r="T88" t="inlineStr">
        <is>
          <t>Private Equity, Company Takeover, Going Private, Secondary Transaction</t>
        </is>
      </c>
      <c r="U88" t="inlineStr">
        <is>
          <t>No</t>
        </is>
      </c>
      <c r="V88" t="inlineStr">
        <is>
          <t>No</t>
        </is>
      </c>
      <c r="W88" t="inlineStr">
        <is>
          <t>No</t>
        </is>
      </c>
      <c r="X88" t="inlineStr">
        <is>
          <t>Yes</t>
        </is>
      </c>
      <c r="Y88" t="inlineStr">
        <is>
          <t>No</t>
        </is>
      </c>
      <c r="Z88" t="inlineStr">
        <is>
          <t>No</t>
        </is>
      </c>
      <c r="AA88" t="n">
        <v>3.108392489</v>
      </c>
      <c r="AB88" t="n">
        <v>2.519003232</v>
      </c>
      <c r="AC88" t="n">
        <v>3.048628223</v>
      </c>
      <c r="AD88">
        <f t="array" ref="AD91">IF(SUMPRODUCT(--($AM$2:$AM$112=TRIM(LEFT($B91,IFERROR(FIND(" ",$B91)-1,LEN($B91))))))&gt;0,1,0)</f>
        <v/>
      </c>
      <c r="AE88">
        <f t="array" ref="AE91">IF(SUMPRODUCT(--($AO$2:$AO$145=TRIM(LEFT($B91,IFERROR(FIND(" ",$B91)-1,LEN($B91))))))&gt;0,1,0)</f>
        <v/>
      </c>
      <c r="AF88">
        <f t="array" ref="AF91">IF(SUMPRODUCT(--($AQ$2:$AQ$71=TRIM(LEFT($B91,IFERROR(FIND(" ",$B91)-1,LEN($B91))))))&gt;0,1,0)</f>
        <v/>
      </c>
      <c r="AL88" t="inlineStr">
        <is>
          <t>OAK / Brook</t>
        </is>
      </c>
      <c r="AM88">
        <f>TRIM(LEFT(AL91,FIND("/",AL91)-1))</f>
        <v/>
      </c>
      <c r="AN88" t="inlineStr">
        <is>
          <t>AXE / Clayt</t>
        </is>
      </c>
      <c r="AO88">
        <f>TRIM(LEFT(AN91,FIND("/",AN91)-1))</f>
        <v/>
      </c>
    </row>
    <row r="89">
      <c r="A89" t="n">
        <v>79</v>
      </c>
      <c r="B89" t="inlineStr">
        <is>
          <t>HBI US</t>
        </is>
      </c>
      <c r="C89" t="inlineStr">
        <is>
          <t>GIL CN</t>
        </is>
      </c>
      <c r="D89" s="1" t="n">
        <v>45882</v>
      </c>
      <c r="E89" t="n">
        <v>4518.07</v>
      </c>
      <c r="F89" t="inlineStr">
        <is>
          <t>Cash and Stock</t>
        </is>
      </c>
      <c r="G89" t="n">
        <v>16.87</v>
      </c>
      <c r="H89" t="inlineStr">
        <is>
          <t>Consumer Discretionary</t>
        </is>
      </c>
      <c r="I89" t="inlineStr">
        <is>
          <t>Consumer Discretionary Products</t>
        </is>
      </c>
      <c r="J89" t="inlineStr">
        <is>
          <t>Apparel &amp; Textile Products</t>
        </is>
      </c>
      <c r="M89" t="n">
        <v>34.26</v>
      </c>
      <c r="N89" t="n">
        <v>2152.75</v>
      </c>
      <c r="O89" t="inlineStr">
        <is>
          <t>United States</t>
        </is>
      </c>
      <c r="P89" t="inlineStr">
        <is>
          <t>Canada</t>
        </is>
      </c>
      <c r="Q89" t="inlineStr">
        <is>
          <t>Friendly</t>
        </is>
      </c>
      <c r="R89" t="n">
        <v>3507.44</v>
      </c>
      <c r="S89" t="n">
        <v>13.076</v>
      </c>
      <c r="T89" t="inlineStr">
        <is>
          <t>Company Takeover, Cross Border</t>
        </is>
      </c>
      <c r="U89" t="inlineStr">
        <is>
          <t>No</t>
        </is>
      </c>
      <c r="V89" t="inlineStr">
        <is>
          <t>No</t>
        </is>
      </c>
      <c r="W89" t="inlineStr">
        <is>
          <t>Yes</t>
        </is>
      </c>
      <c r="X89" t="inlineStr">
        <is>
          <t>No</t>
        </is>
      </c>
      <c r="Y89" t="inlineStr">
        <is>
          <t>No</t>
        </is>
      </c>
      <c r="Z89" t="inlineStr">
        <is>
          <t>No</t>
        </is>
      </c>
      <c r="AA89" t="n">
        <v>3.654952955</v>
      </c>
      <c r="AB89" t="n">
        <v>3.544990251</v>
      </c>
      <c r="AC89" t="n">
        <v>3.332993598</v>
      </c>
      <c r="AD89">
        <f t="array" ref="AD93">IF(SUMPRODUCT(--($AM$2:$AM$112=TRIM(LEFT($B93,IFERROR(FIND(" ",$B93)-1,LEN($B93))))))&gt;0,1,0)</f>
        <v/>
      </c>
      <c r="AE89">
        <f t="array" ref="AE93">IF(SUMPRODUCT(--($AO$2:$AO$145=TRIM(LEFT($B93,IFERROR(FIND(" ",$B93)-1,LEN($B93))))))&gt;0,1,0)</f>
        <v/>
      </c>
      <c r="AF89">
        <f t="array" ref="AF93">IF(SUMPRODUCT(--($AQ$2:$AQ$71=TRIM(LEFT($B93,IFERROR(FIND(" ",$B93)-1,LEN($B93))))))&gt;0,1,0)</f>
        <v/>
      </c>
      <c r="AL89" t="inlineStr">
        <is>
          <t>FNSR / II-VI</t>
        </is>
      </c>
      <c r="AM89">
        <f>TRIM(LEFT(AL93,FIND("/",AL93)-1))</f>
        <v/>
      </c>
      <c r="AN89" t="inlineStr">
        <is>
          <t>CISN / Plati</t>
        </is>
      </c>
      <c r="AO89">
        <f>TRIM(LEFT(AN93,FIND("/",AN93)-1))</f>
        <v/>
      </c>
    </row>
    <row r="90">
      <c r="A90" t="n">
        <v>70</v>
      </c>
      <c r="B90" t="inlineStr">
        <is>
          <t>VRNT US</t>
        </is>
      </c>
      <c r="C90" t="inlineStr">
        <is>
          <t>129626Z US</t>
        </is>
      </c>
      <c r="D90" s="1" t="n">
        <v>45894</v>
      </c>
      <c r="E90" t="n">
        <v>1494.05</v>
      </c>
      <c r="F90" t="inlineStr">
        <is>
          <t>Cash</t>
        </is>
      </c>
      <c r="G90" t="n">
        <v>9.24</v>
      </c>
      <c r="H90" t="inlineStr">
        <is>
          <t>Technology</t>
        </is>
      </c>
      <c r="I90" t="inlineStr">
        <is>
          <t>Software &amp; Tech Services</t>
        </is>
      </c>
      <c r="J90" t="inlineStr">
        <is>
          <t>Software</t>
        </is>
      </c>
      <c r="M90" t="n">
        <v>0.35</v>
      </c>
      <c r="N90" t="n">
        <v>1233.29</v>
      </c>
      <c r="O90" t="inlineStr">
        <is>
          <t>United States</t>
        </is>
      </c>
      <c r="P90" t="inlineStr">
        <is>
          <t>United States</t>
        </is>
      </c>
      <c r="Q90" t="inlineStr">
        <is>
          <t>Friendly</t>
        </is>
      </c>
      <c r="R90" t="n">
        <v>909.186</v>
      </c>
      <c r="S90" t="n">
        <v>8.55777</v>
      </c>
      <c r="T90" t="inlineStr">
        <is>
          <t>PE Buyout, Company Takeover, Private Equity, Going Private</t>
        </is>
      </c>
      <c r="U90" t="inlineStr">
        <is>
          <t>No</t>
        </is>
      </c>
      <c r="V90" t="inlineStr">
        <is>
          <t>No</t>
        </is>
      </c>
      <c r="W90" t="inlineStr">
        <is>
          <t>No</t>
        </is>
      </c>
      <c r="X90" t="inlineStr">
        <is>
          <t>Yes</t>
        </is>
      </c>
      <c r="Y90" t="inlineStr">
        <is>
          <t>Yes</t>
        </is>
      </c>
      <c r="Z90" t="inlineStr">
        <is>
          <t>No</t>
        </is>
      </c>
      <c r="AA90" t="n">
        <v>3.174365132</v>
      </c>
      <c r="AB90" t="n">
        <v>2.95865274</v>
      </c>
      <c r="AC90" t="n">
        <v>3.09106521</v>
      </c>
      <c r="AD90">
        <f t="array" ref="AD95">IF(SUMPRODUCT(--($AM$2:$AM$112=TRIM(LEFT($B95,IFERROR(FIND(" ",$B95)-1,LEN($B95))))))&gt;0,1,0)</f>
        <v/>
      </c>
      <c r="AE90">
        <f t="array" ref="AE95">IF(SUMPRODUCT(--($AO$2:$AO$145=TRIM(LEFT($B95,IFERROR(FIND(" ",$B95)-1,LEN($B95))))))&gt;0,1,0)</f>
        <v/>
      </c>
      <c r="AF90">
        <f t="array" ref="AF95">IF(SUMPRODUCT(--($AQ$2:$AQ$71=TRIM(LEFT($B95,IFERROR(FIND(" ",$B95)-1,LEN($B95))))))&gt;0,1,0)</f>
        <v/>
      </c>
      <c r="AL90" t="inlineStr">
        <is>
          <t>MPMQ / SJL P</t>
        </is>
      </c>
      <c r="AM90">
        <f>TRIM(LEFT(AL95,FIND("/",AL95)-1))</f>
        <v/>
      </c>
      <c r="AN90" t="inlineStr">
        <is>
          <t>CBM / Permi</t>
        </is>
      </c>
      <c r="AO90">
        <f>TRIM(LEFT(AN95,FIND("/",AN95)-1))</f>
        <v/>
      </c>
    </row>
    <row r="91">
      <c r="A91" t="n">
        <v>48</v>
      </c>
      <c r="B91" t="inlineStr">
        <is>
          <t>PINC US</t>
        </is>
      </c>
      <c r="C91" t="inlineStr">
        <is>
          <t>1822748D US</t>
        </is>
      </c>
      <c r="D91" s="1" t="n">
        <v>45922</v>
      </c>
      <c r="E91" t="n">
        <v>2539.68</v>
      </c>
      <c r="F91" t="inlineStr">
        <is>
          <t>Cash</t>
        </is>
      </c>
      <c r="G91" t="n">
        <v>20.12</v>
      </c>
      <c r="H91" t="inlineStr">
        <is>
          <t>Health Care</t>
        </is>
      </c>
      <c r="I91" t="inlineStr">
        <is>
          <t>Health Care</t>
        </is>
      </c>
      <c r="J91" t="inlineStr">
        <is>
          <t>Health Care Facilities &amp; Svcs</t>
        </is>
      </c>
      <c r="M91" t="n">
        <v>7.66</v>
      </c>
      <c r="N91" t="n">
        <v>2332.03</v>
      </c>
      <c r="O91" t="inlineStr">
        <is>
          <t>United States</t>
        </is>
      </c>
      <c r="P91" t="inlineStr">
        <is>
          <t>United States</t>
        </is>
      </c>
      <c r="Q91" t="inlineStr">
        <is>
          <t>Friendly</t>
        </is>
      </c>
      <c r="T91" t="inlineStr">
        <is>
          <t>Company Takeover, Private Equity, PE Buyout, Going Private</t>
        </is>
      </c>
      <c r="U91" t="inlineStr">
        <is>
          <t>No</t>
        </is>
      </c>
      <c r="V91" t="inlineStr">
        <is>
          <t>No</t>
        </is>
      </c>
      <c r="W91" t="inlineStr">
        <is>
          <t>No</t>
        </is>
      </c>
      <c r="X91" t="inlineStr">
        <is>
          <t>Yes</t>
        </is>
      </c>
      <c r="Y91" t="inlineStr">
        <is>
          <t>Yes</t>
        </is>
      </c>
      <c r="Z91" t="inlineStr">
        <is>
          <t>No</t>
        </is>
      </c>
      <c r="AA91" t="n">
        <v>3.404778999</v>
      </c>
      <c r="AC91" t="n">
        <v>3.367734133</v>
      </c>
      <c r="AD91">
        <f t="array" ref="AD96">IF(SUMPRODUCT(--($AM$2:$AM$112=TRIM(LEFT($B96,IFERROR(FIND(" ",$B96)-1,LEN($B96))))))&gt;0,1,0)</f>
        <v/>
      </c>
      <c r="AE91">
        <f t="array" ref="AE96">IF(SUMPRODUCT(--($AO$2:$AO$145=TRIM(LEFT($B96,IFERROR(FIND(" ",$B96)-1,LEN($B96))))))&gt;0,1,0)</f>
        <v/>
      </c>
      <c r="AF91">
        <f t="array" ref="AF96">IF(SUMPRODUCT(--($AQ$2:$AQ$71=TRIM(LEFT($B96,IFERROR(FIND(" ",$B96)-1,LEN($B96))))))&gt;0,1,0)</f>
        <v/>
      </c>
      <c r="AL91" t="inlineStr">
        <is>
          <t>IDTI / Renes</t>
        </is>
      </c>
      <c r="AM91">
        <f>TRIM(LEFT(AL96,FIND("/",AL96)-1))</f>
        <v/>
      </c>
      <c r="AN91" t="inlineStr">
        <is>
          <t>GCI / New M</t>
        </is>
      </c>
      <c r="AO91">
        <f>TRIM(LEFT(AN96,FIND("/",AN96)-1))</f>
        <v/>
      </c>
    </row>
    <row r="92">
      <c r="A92" t="n">
        <v>55</v>
      </c>
      <c r="B92" t="inlineStr">
        <is>
          <t>VMEO US</t>
        </is>
      </c>
      <c r="D92" s="1" t="n">
        <v>45910</v>
      </c>
      <c r="E92" t="n">
        <v>1227.04</v>
      </c>
      <c r="F92" t="inlineStr">
        <is>
          <t>Cash</t>
        </is>
      </c>
      <c r="G92" t="n">
        <v>60.06</v>
      </c>
      <c r="H92" t="inlineStr">
        <is>
          <t>Technology</t>
        </is>
      </c>
      <c r="I92" t="inlineStr">
        <is>
          <t>Software &amp; Tech Services</t>
        </is>
      </c>
      <c r="J92" t="inlineStr">
        <is>
          <t>Software</t>
        </is>
      </c>
      <c r="K92" t="n">
        <v>40.1</v>
      </c>
      <c r="M92" t="n">
        <v>87.84</v>
      </c>
      <c r="N92" t="n">
        <v>1227.04</v>
      </c>
      <c r="O92" t="inlineStr">
        <is>
          <t>United States</t>
        </is>
      </c>
      <c r="P92" t="inlineStr">
        <is>
          <t>Italy</t>
        </is>
      </c>
      <c r="Q92" t="inlineStr">
        <is>
          <t>Friendly</t>
        </is>
      </c>
      <c r="R92" t="n">
        <v>417.006</v>
      </c>
      <c r="S92" t="n">
        <v>-1.36607</v>
      </c>
      <c r="T92" t="inlineStr">
        <is>
          <t>Company Takeover, Cross Border, Going Private</t>
        </is>
      </c>
      <c r="U92" t="inlineStr">
        <is>
          <t>No</t>
        </is>
      </c>
      <c r="V92" t="inlineStr">
        <is>
          <t>No</t>
        </is>
      </c>
      <c r="W92" t="inlineStr">
        <is>
          <t>Yes</t>
        </is>
      </c>
      <c r="X92" t="inlineStr">
        <is>
          <t>Yes</t>
        </is>
      </c>
      <c r="Y92" t="inlineStr">
        <is>
          <t>No</t>
        </is>
      </c>
      <c r="Z92" t="inlineStr">
        <is>
          <t>No</t>
        </is>
      </c>
      <c r="AA92" t="n">
        <v>3.08885872</v>
      </c>
      <c r="AB92" t="n">
        <v>2.620142304</v>
      </c>
      <c r="AC92" t="n">
        <v>3.08885872</v>
      </c>
      <c r="AD92">
        <f t="array" ref="AD97">IF(SUMPRODUCT(--($AM$2:$AM$112=TRIM(LEFT($B97,IFERROR(FIND(" ",$B97)-1,LEN($B97))))))&gt;0,1,0)</f>
        <v/>
      </c>
      <c r="AE92">
        <f t="array" ref="AE97">IF(SUMPRODUCT(--($AO$2:$AO$145=TRIM(LEFT($B97,IFERROR(FIND(" ",$B97)-1,LEN($B97))))))&gt;0,1,0)</f>
        <v/>
      </c>
      <c r="AF92">
        <f t="array" ref="AF97">IF(SUMPRODUCT(--($AQ$2:$AQ$71=TRIM(LEFT($B97,IFERROR(FIND(" ",$B97)-1,LEN($B97))))))&gt;0,1,0)</f>
        <v/>
      </c>
      <c r="AL92" t="inlineStr">
        <is>
          <t>BMS / Amcor</t>
        </is>
      </c>
      <c r="AM92">
        <f>TRIM(LEFT(AL97,FIND("/",AL97)-1))</f>
        <v/>
      </c>
      <c r="AN92" t="inlineStr">
        <is>
          <t>MYL / Pfize</t>
        </is>
      </c>
      <c r="AO92">
        <f>TRIM(LEFT(AN97,FIND("/",AN97)-1))</f>
        <v/>
      </c>
    </row>
    <row r="93">
      <c r="A93" t="n">
        <v>126</v>
      </c>
      <c r="B93" t="inlineStr">
        <is>
          <t>INFA US</t>
        </is>
      </c>
      <c r="C93" t="inlineStr">
        <is>
          <t>CRM US</t>
        </is>
      </c>
      <c r="D93" s="1" t="n">
        <v>45804</v>
      </c>
      <c r="E93" t="n">
        <v>8148.22</v>
      </c>
      <c r="F93" t="inlineStr">
        <is>
          <t>Cash</t>
        </is>
      </c>
      <c r="G93" t="n">
        <v>57.96</v>
      </c>
      <c r="H93" t="inlineStr">
        <is>
          <t>Technology</t>
        </is>
      </c>
      <c r="I93" t="inlineStr">
        <is>
          <t>Software &amp; Tech Services</t>
        </is>
      </c>
      <c r="J93" t="inlineStr">
        <is>
          <t>Software</t>
        </is>
      </c>
      <c r="M93" t="n">
        <v>29.41</v>
      </c>
      <c r="N93" t="n">
        <v>7543.1</v>
      </c>
      <c r="O93" t="inlineStr">
        <is>
          <t>United States</t>
        </is>
      </c>
      <c r="P93" t="inlineStr">
        <is>
          <t>United States</t>
        </is>
      </c>
      <c r="Q93" t="inlineStr">
        <is>
          <t>Friendly</t>
        </is>
      </c>
      <c r="R93" t="n">
        <v>1640.02</v>
      </c>
      <c r="S93" t="n">
        <v>9.413790000000001</v>
      </c>
      <c r="T93" t="inlineStr">
        <is>
          <t>Company Takeover, Additional Stake Purchase</t>
        </is>
      </c>
      <c r="U93" t="inlineStr">
        <is>
          <t>Yes</t>
        </is>
      </c>
      <c r="V93" t="inlineStr">
        <is>
          <t>No</t>
        </is>
      </c>
      <c r="W93" t="inlineStr">
        <is>
          <t>No</t>
        </is>
      </c>
      <c r="X93" t="inlineStr">
        <is>
          <t>No</t>
        </is>
      </c>
      <c r="Y93" t="inlineStr">
        <is>
          <t>No</t>
        </is>
      </c>
      <c r="Z93" t="inlineStr">
        <is>
          <t>No</t>
        </is>
      </c>
      <c r="AA93" t="n">
        <v>3.911062746</v>
      </c>
      <c r="AB93" t="n">
        <v>3.214849144</v>
      </c>
      <c r="AC93" t="n">
        <v>3.877549865</v>
      </c>
      <c r="AD93">
        <f t="array" ref="AD99">IF(SUMPRODUCT(--($AM$2:$AM$112=TRIM(LEFT($B99,IFERROR(FIND(" ",$B99)-1,LEN($B99))))))&gt;0,1,0)</f>
        <v/>
      </c>
      <c r="AE93">
        <f t="array" ref="AE99">IF(SUMPRODUCT(--($AO$2:$AO$145=TRIM(LEFT($B99,IFERROR(FIND(" ",$B99)-1,LEN($B99))))))&gt;0,1,0)</f>
        <v/>
      </c>
      <c r="AF93">
        <f t="array" ref="AF99">IF(SUMPRODUCT(--($AQ$2:$AQ$71=TRIM(LEFT($B99,IFERROR(FIND(" ",$B99)-1,LEN($B99))))))&gt;0,1,0)</f>
        <v/>
      </c>
      <c r="AL93" t="inlineStr">
        <is>
          <t>ORBK / KLA-T</t>
        </is>
      </c>
      <c r="AM93">
        <f>TRIM(LEFT(AL99,FIND("/",AL99)-1))</f>
        <v/>
      </c>
      <c r="AN93" t="inlineStr">
        <is>
          <t>GWR / Brook</t>
        </is>
      </c>
      <c r="AO93">
        <f>TRIM(LEFT(AN99,FIND("/",AN99)-1))</f>
        <v/>
      </c>
    </row>
    <row r="94">
      <c r="A94" t="n">
        <v>62</v>
      </c>
      <c r="B94" t="inlineStr">
        <is>
          <t>MEG CN</t>
        </is>
      </c>
      <c r="C94" t="inlineStr">
        <is>
          <t>CVE CN</t>
        </is>
      </c>
      <c r="D94" s="1" t="n">
        <v>45891</v>
      </c>
      <c r="E94" t="n">
        <v>6145.19</v>
      </c>
      <c r="F94" t="inlineStr">
        <is>
          <t>Cash or Stock</t>
        </is>
      </c>
      <c r="G94" t="n">
        <v>5.68</v>
      </c>
      <c r="H94" t="inlineStr">
        <is>
          <t>Energy</t>
        </is>
      </c>
      <c r="I94" t="inlineStr">
        <is>
          <t>Oil &amp; Gas</t>
        </is>
      </c>
      <c r="J94" t="inlineStr">
        <is>
          <t>Oil &amp; Gas Supply Chain</t>
        </is>
      </c>
      <c r="M94" t="n">
        <v>3.65</v>
      </c>
      <c r="N94" t="n">
        <v>5527.74</v>
      </c>
      <c r="O94" t="inlineStr">
        <is>
          <t>Canada</t>
        </is>
      </c>
      <c r="P94" t="inlineStr">
        <is>
          <t>Canada</t>
        </is>
      </c>
      <c r="Q94" t="inlineStr">
        <is>
          <t>Friendly</t>
        </is>
      </c>
      <c r="R94" t="n">
        <v>3758.96</v>
      </c>
      <c r="S94" t="n">
        <v>19.9199</v>
      </c>
      <c r="T94" t="inlineStr">
        <is>
          <t>Company Takeover</t>
        </is>
      </c>
      <c r="U94" t="inlineStr">
        <is>
          <t>No</t>
        </is>
      </c>
      <c r="V94" t="inlineStr">
        <is>
          <t>No</t>
        </is>
      </c>
      <c r="W94" t="inlineStr">
        <is>
          <t>No</t>
        </is>
      </c>
      <c r="X94" t="inlineStr">
        <is>
          <t>No</t>
        </is>
      </c>
      <c r="Y94" t="inlineStr">
        <is>
          <t>No</t>
        </is>
      </c>
      <c r="Z94" t="inlineStr">
        <is>
          <t>No</t>
        </is>
      </c>
      <c r="AA94" t="n">
        <v>3.788535315</v>
      </c>
      <c r="AB94" t="n">
        <v>3.575067704</v>
      </c>
      <c r="AC94" t="n">
        <v>3.742547608</v>
      </c>
      <c r="AD94">
        <f t="array" ref="AD100">IF(SUMPRODUCT(--($AM$2:$AM$112=TRIM(LEFT($B100,IFERROR(FIND(" ",$B100)-1,LEN($B100))))))&gt;0,1,0)</f>
        <v/>
      </c>
      <c r="AE94">
        <f t="array" ref="AE100">IF(SUMPRODUCT(--($AO$2:$AO$145=TRIM(LEFT($B100,IFERROR(FIND(" ",$B100)-1,LEN($B100))))))&gt;0,1,0)</f>
        <v/>
      </c>
      <c r="AF94">
        <f t="array" ref="AF100">IF(SUMPRODUCT(--($AQ$2:$AQ$71=TRIM(LEFT($B100,IFERROR(FIND(" ",$B100)-1,LEN($B100))))))&gt;0,1,0)</f>
        <v/>
      </c>
      <c r="AL94" t="inlineStr">
        <is>
          <t>OCLR / Lumen</t>
        </is>
      </c>
      <c r="AM94">
        <f>TRIM(LEFT(AL100,FIND("/",AL100)-1))</f>
        <v/>
      </c>
      <c r="AN94" t="inlineStr">
        <is>
          <t>TRZ / Air C</t>
        </is>
      </c>
      <c r="AO94">
        <f>TRIM(LEFT(AN100,FIND("/",AN100)-1))</f>
        <v/>
      </c>
    </row>
    <row r="95">
      <c r="A95" t="n">
        <v>40</v>
      </c>
      <c r="B95" t="inlineStr">
        <is>
          <t>MTSR US</t>
        </is>
      </c>
      <c r="C95" t="inlineStr">
        <is>
          <t>PFE US</t>
        </is>
      </c>
      <c r="D95" s="1" t="n">
        <v>45922</v>
      </c>
      <c r="E95" t="n">
        <v>6539.2</v>
      </c>
      <c r="F95" t="inlineStr">
        <is>
          <t>Cash</t>
        </is>
      </c>
      <c r="H95" t="inlineStr">
        <is>
          <t>Health Care</t>
        </is>
      </c>
      <c r="I95" t="inlineStr">
        <is>
          <t>Health Care</t>
        </is>
      </c>
      <c r="J95" t="inlineStr">
        <is>
          <t>Biotech &amp; Pharma</t>
        </is>
      </c>
      <c r="L95" t="n">
        <v>265</v>
      </c>
      <c r="M95" t="n">
        <v>13.97</v>
      </c>
      <c r="N95" t="n">
        <v>6891.64</v>
      </c>
      <c r="O95" t="inlineStr">
        <is>
          <t>United States</t>
        </is>
      </c>
      <c r="P95" t="inlineStr">
        <is>
          <t>United States</t>
        </is>
      </c>
      <c r="Q95" t="inlineStr">
        <is>
          <t>Friendly</t>
        </is>
      </c>
      <c r="T95" t="inlineStr">
        <is>
          <t>Company Takeover, Competing Bid</t>
        </is>
      </c>
      <c r="U95" t="inlineStr">
        <is>
          <t>No</t>
        </is>
      </c>
      <c r="V95" t="inlineStr">
        <is>
          <t>Yes</t>
        </is>
      </c>
      <c r="W95" t="inlineStr">
        <is>
          <t>No</t>
        </is>
      </c>
      <c r="X95" t="inlineStr">
        <is>
          <t>No</t>
        </is>
      </c>
      <c r="Y95" t="inlineStr">
        <is>
          <t>No</t>
        </is>
      </c>
      <c r="Z95" t="inlineStr">
        <is>
          <t>No</t>
        </is>
      </c>
      <c r="AA95" t="n">
        <v>3.81552462</v>
      </c>
      <c r="AC95" t="n">
        <v>3.838322583</v>
      </c>
      <c r="AD95">
        <f t="array" ref="AD101">IF(SUMPRODUCT(--($AM$2:$AM$112=TRIM(LEFT($B101,IFERROR(FIND(" ",$B101)-1,LEN($B101))))))&gt;0,1,0)</f>
        <v/>
      </c>
      <c r="AE95">
        <f t="array" ref="AE101">IF(SUMPRODUCT(--($AO$2:$AO$145=TRIM(LEFT($B101,IFERROR(FIND(" ",$B101)-1,LEN($B101))))))&gt;0,1,0)</f>
        <v/>
      </c>
      <c r="AF95">
        <f t="array" ref="AF101">IF(SUMPRODUCT(--($AQ$2:$AQ$71=TRIM(LEFT($B101,IFERROR(FIND(" ",$B101)-1,LEN($B101))))))&gt;0,1,0)</f>
        <v/>
      </c>
      <c r="AL95" t="inlineStr">
        <is>
          <t>MSCC / Micro</t>
        </is>
      </c>
      <c r="AM95">
        <f>TRIM(LEFT(AL101,FIND("/",AL101)-1))</f>
        <v/>
      </c>
      <c r="AN95" t="inlineStr">
        <is>
          <t>AGN / AbbVi</t>
        </is>
      </c>
      <c r="AO95">
        <f>TRIM(LEFT(AN101,FIND("/",AN101)-1))</f>
        <v/>
      </c>
    </row>
    <row r="96">
      <c r="A96" t="n">
        <v>96</v>
      </c>
      <c r="B96" t="inlineStr">
        <is>
          <t>MRC US</t>
        </is>
      </c>
      <c r="C96" t="inlineStr">
        <is>
          <t>DNOW US</t>
        </is>
      </c>
      <c r="D96" s="1" t="n">
        <v>45834</v>
      </c>
      <c r="E96" t="n">
        <v>1707.25</v>
      </c>
      <c r="F96" t="inlineStr">
        <is>
          <t>Stock</t>
        </is>
      </c>
      <c r="G96" t="n">
        <v>7.73</v>
      </c>
      <c r="H96" t="inlineStr">
        <is>
          <t>Industrials</t>
        </is>
      </c>
      <c r="I96" t="inlineStr">
        <is>
          <t>Industrial Services</t>
        </is>
      </c>
      <c r="J96" t="inlineStr">
        <is>
          <t>Industrial Support Services</t>
        </is>
      </c>
      <c r="M96" t="n">
        <v>10.55</v>
      </c>
      <c r="N96" t="n">
        <v>1214.25</v>
      </c>
      <c r="O96" t="inlineStr">
        <is>
          <t>United States</t>
        </is>
      </c>
      <c r="P96" t="inlineStr">
        <is>
          <t>United States</t>
        </is>
      </c>
      <c r="Q96" t="inlineStr">
        <is>
          <t>Friendly</t>
        </is>
      </c>
      <c r="R96" t="n">
        <v>3011</v>
      </c>
      <c r="S96" t="n">
        <v>1.68303</v>
      </c>
      <c r="T96" t="inlineStr">
        <is>
          <t>Company Takeover</t>
        </is>
      </c>
      <c r="U96" t="inlineStr">
        <is>
          <t>No</t>
        </is>
      </c>
      <c r="V96" t="inlineStr">
        <is>
          <t>No</t>
        </is>
      </c>
      <c r="W96" t="inlineStr">
        <is>
          <t>No</t>
        </is>
      </c>
      <c r="X96" t="inlineStr">
        <is>
          <t>No</t>
        </is>
      </c>
      <c r="Y96" t="inlineStr">
        <is>
          <t>No</t>
        </is>
      </c>
      <c r="Z96" t="inlineStr">
        <is>
          <t>No</t>
        </is>
      </c>
      <c r="AA96" t="n">
        <v>3.232297121</v>
      </c>
      <c r="AB96" t="n">
        <v>3.478710756</v>
      </c>
      <c r="AC96" t="n">
        <v>3.084308112</v>
      </c>
      <c r="AD96">
        <f t="array" ref="AD102">IF(SUMPRODUCT(--($AM$2:$AM$112=TRIM(LEFT($B102,IFERROR(FIND(" ",$B102)-1,LEN($B102))))))&gt;0,1,0)</f>
        <v/>
      </c>
      <c r="AE96">
        <f t="array" ref="AE102">IF(SUMPRODUCT(--($AO$2:$AO$145=TRIM(LEFT($B102,IFERROR(FIND(" ",$B102)-1,LEN($B102))))))&gt;0,1,0)</f>
        <v/>
      </c>
      <c r="AF96">
        <f t="array" ref="AF102">IF(SUMPRODUCT(--($AQ$2:$AQ$71=TRIM(LEFT($B102,IFERROR(FIND(" ",$B102)-1,LEN($B102))))))&gt;0,1,0)</f>
        <v/>
      </c>
      <c r="AL96" t="inlineStr">
        <is>
          <t>SHLM / Lyond</t>
        </is>
      </c>
      <c r="AM96">
        <f>TRIM(LEFT(AL102,FIND("/",AL102)-1))</f>
        <v/>
      </c>
      <c r="AN96" t="inlineStr">
        <is>
          <t>BID / BidFa</t>
        </is>
      </c>
      <c r="AO96">
        <f>TRIM(LEFT(AN102,FIND("/",AN102)-1))</f>
        <v/>
      </c>
    </row>
    <row r="97">
      <c r="A97" t="n">
        <v>140</v>
      </c>
      <c r="B97" t="inlineStr">
        <is>
          <t>AND CN</t>
        </is>
      </c>
      <c r="C97" t="inlineStr">
        <is>
          <t>UPS US</t>
        </is>
      </c>
      <c r="D97" s="1" t="n">
        <v>45771</v>
      </c>
      <c r="E97" t="n">
        <v>1520.73</v>
      </c>
      <c r="F97" t="inlineStr">
        <is>
          <t>Cash</t>
        </is>
      </c>
      <c r="G97" t="n">
        <v>12.8</v>
      </c>
      <c r="H97" t="inlineStr">
        <is>
          <t>Industrials</t>
        </is>
      </c>
      <c r="I97" t="inlineStr">
        <is>
          <t>Industrial Services</t>
        </is>
      </c>
      <c r="J97" t="inlineStr">
        <is>
          <t>Transportation &amp; Logistics</t>
        </is>
      </c>
      <c r="M97" t="n">
        <v>36.34</v>
      </c>
      <c r="N97" t="n">
        <v>1458.89</v>
      </c>
      <c r="O97" t="inlineStr">
        <is>
          <t>Canada</t>
        </is>
      </c>
      <c r="P97" t="inlineStr">
        <is>
          <t>United States</t>
        </is>
      </c>
      <c r="Q97" t="inlineStr">
        <is>
          <t>Friendly</t>
        </is>
      </c>
      <c r="R97" t="n">
        <v>474.872</v>
      </c>
      <c r="S97" t="n">
        <v>13.9856</v>
      </c>
      <c r="T97" t="inlineStr">
        <is>
          <t>Cross Border, Company Takeover</t>
        </is>
      </c>
      <c r="U97" t="inlineStr">
        <is>
          <t>No</t>
        </is>
      </c>
      <c r="V97" t="inlineStr">
        <is>
          <t>No</t>
        </is>
      </c>
      <c r="W97" t="inlineStr">
        <is>
          <t>Yes</t>
        </is>
      </c>
      <c r="X97" t="inlineStr">
        <is>
          <t>No</t>
        </is>
      </c>
      <c r="Y97" t="inlineStr">
        <is>
          <t>No</t>
        </is>
      </c>
      <c r="Z97" t="inlineStr">
        <is>
          <t>No</t>
        </is>
      </c>
      <c r="AA97" t="n">
        <v>3.182052114</v>
      </c>
      <c r="AB97" t="n">
        <v>2.676576563</v>
      </c>
      <c r="AC97" t="n">
        <v>3.164022547</v>
      </c>
      <c r="AD97">
        <f t="array" ref="AD103">IF(SUMPRODUCT(--($AM$2:$AM$112=TRIM(LEFT($B103,IFERROR(FIND(" ",$B103)-1,LEN($B103))))))&gt;0,1,0)</f>
        <v/>
      </c>
      <c r="AE97">
        <f t="array" ref="AE103">IF(SUMPRODUCT(--($AO$2:$AO$145=TRIM(LEFT($B103,IFERROR(FIND(" ",$B103)-1,LEN($B103))))))&gt;0,1,0)</f>
        <v/>
      </c>
      <c r="AF97">
        <f t="array" ref="AF103">IF(SUMPRODUCT(--($AQ$2:$AQ$71=TRIM(LEFT($B103,IFERROR(FIND(" ",$B103)-1,LEN($B103))))))&gt;0,1,0)</f>
        <v/>
      </c>
      <c r="AL97" t="inlineStr">
        <is>
          <t xml:space="preserve">FOX / Walt </t>
        </is>
      </c>
      <c r="AM97">
        <f>TRIM(LEFT(AL103,FIND("/",AL103)-1))</f>
        <v/>
      </c>
      <c r="AN97" t="inlineStr">
        <is>
          <t>RTN / Unite</t>
        </is>
      </c>
      <c r="AO97">
        <f>TRIM(LEFT(AN103,FIND("/",AN103)-1))</f>
        <v/>
      </c>
    </row>
    <row r="98">
      <c r="A98" t="n">
        <v>46</v>
      </c>
      <c r="B98" t="inlineStr">
        <is>
          <t>TIXT CN</t>
        </is>
      </c>
      <c r="C98" t="inlineStr">
        <is>
          <t>T CN</t>
        </is>
      </c>
      <c r="D98" s="1" t="n">
        <v>45902</v>
      </c>
      <c r="E98" t="n">
        <v>1888.39</v>
      </c>
      <c r="F98" t="inlineStr">
        <is>
          <t>Cash or Stock</t>
        </is>
      </c>
      <c r="G98" t="n">
        <v>5.1</v>
      </c>
      <c r="H98" t="inlineStr">
        <is>
          <t>Technology</t>
        </is>
      </c>
      <c r="I98" t="inlineStr">
        <is>
          <t>Software &amp; Tech Services</t>
        </is>
      </c>
      <c r="J98" t="inlineStr">
        <is>
          <t>IT Services</t>
        </is>
      </c>
      <c r="N98" t="n">
        <v>479.39</v>
      </c>
      <c r="O98" t="inlineStr">
        <is>
          <t>United States</t>
        </is>
      </c>
      <c r="P98" t="inlineStr">
        <is>
          <t>Canada</t>
        </is>
      </c>
      <c r="Q98" t="inlineStr">
        <is>
          <t>Friendly</t>
        </is>
      </c>
      <c r="R98" t="n">
        <v>2658</v>
      </c>
      <c r="S98" t="n">
        <v>-9.565860000000001</v>
      </c>
      <c r="T98" t="inlineStr">
        <is>
          <t>Cross Border, Company Takeover, Additional Stake Purchase</t>
        </is>
      </c>
      <c r="U98" t="inlineStr">
        <is>
          <t>Yes</t>
        </is>
      </c>
      <c r="V98" t="inlineStr">
        <is>
          <t>No</t>
        </is>
      </c>
      <c r="W98" t="inlineStr">
        <is>
          <t>Yes</t>
        </is>
      </c>
      <c r="X98" t="inlineStr">
        <is>
          <t>No</t>
        </is>
      </c>
      <c r="Y98" t="inlineStr">
        <is>
          <t>No</t>
        </is>
      </c>
      <c r="Z98" t="inlineStr">
        <is>
          <t>No</t>
        </is>
      </c>
      <c r="AA98" t="n">
        <v>3.276091692</v>
      </c>
      <c r="AB98" t="n">
        <v>3.424554977</v>
      </c>
      <c r="AC98" t="n">
        <v>2.68068897</v>
      </c>
      <c r="AD98">
        <f t="array" ref="AD104">IF(SUMPRODUCT(--($AM$2:$AM$112=TRIM(LEFT($B104,IFERROR(FIND(" ",$B104)-1,LEN($B104))))))&gt;0,1,0)</f>
        <v/>
      </c>
      <c r="AE98">
        <f t="array" ref="AE104">IF(SUMPRODUCT(--($AO$2:$AO$145=TRIM(LEFT($B104,IFERROR(FIND(" ",$B104)-1,LEN($B104))))))&gt;0,1,0)</f>
        <v/>
      </c>
      <c r="AF98">
        <f t="array" ref="AF104">IF(SUMPRODUCT(--($AQ$2:$AQ$71=TRIM(LEFT($B104,IFERROR(FIND(" ",$B104)-1,LEN($B104))))))&gt;0,1,0)</f>
        <v/>
      </c>
      <c r="AL98" t="inlineStr">
        <is>
          <t>CAVM / Marve</t>
        </is>
      </c>
      <c r="AM98">
        <f>TRIM(LEFT(AL104,FIND("/",AL104)-1))</f>
        <v/>
      </c>
      <c r="AN98" t="inlineStr">
        <is>
          <t>CY / Infin</t>
        </is>
      </c>
      <c r="AO98">
        <f>TRIM(LEFT(AN104,FIND("/",AN104)-1))</f>
        <v/>
      </c>
    </row>
    <row r="99">
      <c r="A99" t="n">
        <v>138</v>
      </c>
      <c r="B99" t="inlineStr">
        <is>
          <t>HONE US</t>
        </is>
      </c>
      <c r="C99" t="inlineStr">
        <is>
          <t>EBC US</t>
        </is>
      </c>
      <c r="D99" s="1" t="n">
        <v>45771</v>
      </c>
      <c r="E99" t="n">
        <v>507.31</v>
      </c>
      <c r="F99" t="inlineStr">
        <is>
          <t>Cash or Stock</t>
        </is>
      </c>
      <c r="H99" t="inlineStr">
        <is>
          <t>Financials</t>
        </is>
      </c>
      <c r="I99" t="inlineStr">
        <is>
          <t>Banking</t>
        </is>
      </c>
      <c r="J99" t="inlineStr">
        <is>
          <t>Banking</t>
        </is>
      </c>
      <c r="M99" t="n">
        <v>19.68</v>
      </c>
      <c r="N99" t="n">
        <v>507.31</v>
      </c>
      <c r="O99" t="inlineStr">
        <is>
          <t>United States</t>
        </is>
      </c>
      <c r="P99" t="inlineStr">
        <is>
          <t>United States</t>
        </is>
      </c>
      <c r="Q99" t="inlineStr">
        <is>
          <t>Friendly</t>
        </is>
      </c>
      <c r="R99" t="n">
        <v>318.325</v>
      </c>
      <c r="S99" t="n">
        <v>18.7432</v>
      </c>
      <c r="T99" t="inlineStr">
        <is>
          <t>Company Takeover</t>
        </is>
      </c>
      <c r="U99" t="inlineStr">
        <is>
          <t>No</t>
        </is>
      </c>
      <c r="V99" t="inlineStr">
        <is>
          <t>No</t>
        </is>
      </c>
      <c r="W99" t="inlineStr">
        <is>
          <t>No</t>
        </is>
      </c>
      <c r="X99" t="inlineStr">
        <is>
          <t>No</t>
        </is>
      </c>
      <c r="Y99" t="inlineStr">
        <is>
          <t>No</t>
        </is>
      </c>
      <c r="Z99" t="inlineStr">
        <is>
          <t>No</t>
        </is>
      </c>
      <c r="AA99" t="n">
        <v>2.705273423</v>
      </c>
      <c r="AB99" t="n">
        <v>2.502870748</v>
      </c>
      <c r="AC99" t="n">
        <v>2.705273423</v>
      </c>
      <c r="AD99">
        <f t="array" ref="AD105">IF(SUMPRODUCT(--($AM$2:$AM$112=TRIM(LEFT($B105,IFERROR(FIND(" ",$B105)-1,LEN($B105))))))&gt;0,1,0)</f>
        <v/>
      </c>
      <c r="AE99">
        <f t="array" ref="AE105">IF(SUMPRODUCT(--($AO$2:$AO$145=TRIM(LEFT($B105,IFERROR(FIND(" ",$B105)-1,LEN($B105))))))&gt;0,1,0)</f>
        <v/>
      </c>
      <c r="AF99">
        <f t="array" ref="AF105">IF(SUMPRODUCT(--($AQ$2:$AQ$71=TRIM(LEFT($B105,IFERROR(FIND(" ",$B105)-1,LEN($B105))))))&gt;0,1,0)</f>
        <v/>
      </c>
      <c r="AL99" t="inlineStr">
        <is>
          <t>JASO / Mr. B</t>
        </is>
      </c>
      <c r="AM99">
        <f>TRIM(LEFT(AL105,FIND("/",AL105)-1))</f>
        <v/>
      </c>
      <c r="AN99" t="inlineStr">
        <is>
          <t>TSS / Globa</t>
        </is>
      </c>
      <c r="AO99">
        <f>TRIM(LEFT(AN105,FIND("/",AN105)-1))</f>
        <v/>
      </c>
    </row>
    <row r="100">
      <c r="A100" t="n">
        <v>33</v>
      </c>
      <c r="B100" t="inlineStr">
        <is>
          <t>ETNB US</t>
        </is>
      </c>
      <c r="C100" t="inlineStr">
        <is>
          <t>ROP SW</t>
        </is>
      </c>
      <c r="D100" s="1" t="n">
        <v>45917</v>
      </c>
      <c r="E100" t="n">
        <v>1626.92</v>
      </c>
      <c r="F100" t="inlineStr">
        <is>
          <t>Cash</t>
        </is>
      </c>
      <c r="H100" t="inlineStr">
        <is>
          <t>Health Care</t>
        </is>
      </c>
      <c r="I100" t="inlineStr">
        <is>
          <t>Health Care</t>
        </is>
      </c>
      <c r="J100" t="inlineStr">
        <is>
          <t>Biotech &amp; Pharma</t>
        </is>
      </c>
      <c r="K100" t="n">
        <v>79.90000000000001</v>
      </c>
      <c r="L100" t="n">
        <v>79.90000000000001</v>
      </c>
      <c r="M100" t="n">
        <v>63.56</v>
      </c>
      <c r="N100" t="n">
        <v>2150.47</v>
      </c>
      <c r="O100" t="inlineStr">
        <is>
          <t>United States</t>
        </is>
      </c>
      <c r="P100" t="inlineStr">
        <is>
          <t>United States</t>
        </is>
      </c>
      <c r="Q100" t="inlineStr">
        <is>
          <t>Friendly</t>
        </is>
      </c>
      <c r="T100" t="inlineStr">
        <is>
          <t>Company Takeover, Tender Offer</t>
        </is>
      </c>
      <c r="U100" t="inlineStr">
        <is>
          <t>No</t>
        </is>
      </c>
      <c r="V100" t="inlineStr">
        <is>
          <t>No</t>
        </is>
      </c>
      <c r="W100" t="inlineStr">
        <is>
          <t>No</t>
        </is>
      </c>
      <c r="X100" t="inlineStr">
        <is>
          <t>No</t>
        </is>
      </c>
      <c r="Y100" t="inlineStr">
        <is>
          <t>No</t>
        </is>
      </c>
      <c r="Z100" t="inlineStr">
        <is>
          <t>Yes</t>
        </is>
      </c>
      <c r="AA100" t="n">
        <v>3.211366198</v>
      </c>
      <c r="AC100" t="n">
        <v>3.332533388</v>
      </c>
      <c r="AD100">
        <f t="array" ref="AD106">IF(SUMPRODUCT(--($AM$2:$AM$112=TRIM(LEFT($B106,IFERROR(FIND(" ",$B106)-1,LEN($B106))))))&gt;0,1,0)</f>
        <v/>
      </c>
      <c r="AE100">
        <f t="array" ref="AE106">IF(SUMPRODUCT(--($AO$2:$AO$145=TRIM(LEFT($B106,IFERROR(FIND(" ",$B106)-1,LEN($B106))))))&gt;0,1,0)</f>
        <v/>
      </c>
      <c r="AF100">
        <f t="array" ref="AF106">IF(SUMPRODUCT(--($AQ$2:$AQ$71=TRIM(LEFT($B106,IFERROR(FIND(" ",$B106)-1,LEN($B106))))))&gt;0,1,0)</f>
        <v/>
      </c>
      <c r="AL100" t="inlineStr">
        <is>
          <t>COL / Unite</t>
        </is>
      </c>
      <c r="AM100">
        <f>TRIM(LEFT(AL106,FIND("/",AL106)-1))</f>
        <v/>
      </c>
      <c r="AN100" t="inlineStr">
        <is>
          <t>AVP / Natur</t>
        </is>
      </c>
      <c r="AO100">
        <f>TRIM(LEFT(AN106,FIND("/",AN106)-1))</f>
        <v/>
      </c>
    </row>
    <row r="101">
      <c r="A101" t="n">
        <v>37</v>
      </c>
      <c r="B101" t="inlineStr">
        <is>
          <t>TRML US</t>
        </is>
      </c>
      <c r="C101" t="inlineStr">
        <is>
          <t>NOVN SW</t>
        </is>
      </c>
      <c r="D101" s="1" t="n">
        <v>45909</v>
      </c>
      <c r="E101" t="n">
        <v>1038.98</v>
      </c>
      <c r="F101" t="inlineStr">
        <is>
          <t>Cash</t>
        </is>
      </c>
      <c r="H101" t="inlineStr">
        <is>
          <t>Health Care</t>
        </is>
      </c>
      <c r="I101" t="inlineStr">
        <is>
          <t>Health Care</t>
        </is>
      </c>
      <c r="J101" t="inlineStr">
        <is>
          <t>Biotech &amp; Pharma</t>
        </is>
      </c>
      <c r="M101" t="n">
        <v>104.32</v>
      </c>
      <c r="N101" t="n">
        <v>1278.07</v>
      </c>
      <c r="O101" t="inlineStr">
        <is>
          <t>United States</t>
        </is>
      </c>
      <c r="P101" t="inlineStr">
        <is>
          <t>United States</t>
        </is>
      </c>
      <c r="Q101" t="inlineStr">
        <is>
          <t>Friendly</t>
        </is>
      </c>
      <c r="T101" t="inlineStr">
        <is>
          <t>Tender Offer, Company Takeover</t>
        </is>
      </c>
      <c r="U101" t="inlineStr">
        <is>
          <t>No</t>
        </is>
      </c>
      <c r="V101" t="inlineStr">
        <is>
          <t>No</t>
        </is>
      </c>
      <c r="W101" t="inlineStr">
        <is>
          <t>No</t>
        </is>
      </c>
      <c r="X101" t="inlineStr">
        <is>
          <t>No</t>
        </is>
      </c>
      <c r="Y101" t="inlineStr">
        <is>
          <t>No</t>
        </is>
      </c>
      <c r="Z101" t="inlineStr">
        <is>
          <t>Yes</t>
        </is>
      </c>
      <c r="AA101" t="n">
        <v>3.016607188</v>
      </c>
      <c r="AC101" t="n">
        <v>3.106554641</v>
      </c>
      <c r="AD101">
        <f t="array" ref="AD107">IF(SUMPRODUCT(--($AM$2:$AM$112=TRIM(LEFT($B107,IFERROR(FIND(" ",$B107)-1,LEN($B107))))))&gt;0,1,0)</f>
        <v/>
      </c>
      <c r="AE101">
        <f t="array" ref="AE107">IF(SUMPRODUCT(--($AO$2:$AO$145=TRIM(LEFT($B107,IFERROR(FIND(" ",$B107)-1,LEN($B107))))))&gt;0,1,0)</f>
        <v/>
      </c>
      <c r="AF101">
        <f t="array" ref="AF107">IF(SUMPRODUCT(--($AQ$2:$AQ$71=TRIM(LEFT($B107,IFERROR(FIND(" ",$B107)-1,LEN($B107))))))&gt;0,1,0)</f>
        <v/>
      </c>
      <c r="AL101" t="inlineStr">
        <is>
          <t>PMC / KKR &amp;</t>
        </is>
      </c>
      <c r="AM101">
        <f>TRIM(LEFT(AL107,FIND("/",AL107)-1))</f>
        <v/>
      </c>
      <c r="AN101" t="inlineStr">
        <is>
          <t>ZAYO / Digit</t>
        </is>
      </c>
      <c r="AO101">
        <f>TRIM(LEFT(AN107,FIND("/",AN107)-1))</f>
        <v/>
      </c>
    </row>
    <row r="102">
      <c r="A102" t="n">
        <v>65</v>
      </c>
      <c r="B102" t="inlineStr">
        <is>
          <t>FN CN</t>
        </is>
      </c>
      <c r="D102" s="1" t="n">
        <v>45866</v>
      </c>
      <c r="E102" t="n">
        <v>2098.09</v>
      </c>
      <c r="F102" t="inlineStr">
        <is>
          <t>Cash</t>
        </is>
      </c>
      <c r="G102" t="n">
        <v>1.58</v>
      </c>
      <c r="H102" t="inlineStr">
        <is>
          <t>Financials</t>
        </is>
      </c>
      <c r="I102" t="inlineStr">
        <is>
          <t>Financial Services</t>
        </is>
      </c>
      <c r="J102" t="inlineStr">
        <is>
          <t>Specialty Finance</t>
        </is>
      </c>
      <c r="K102" t="n">
        <v>75</v>
      </c>
      <c r="L102" t="n">
        <v>50</v>
      </c>
      <c r="M102" t="n">
        <v>13.55</v>
      </c>
      <c r="N102" t="n">
        <v>2098.09</v>
      </c>
      <c r="O102" t="inlineStr">
        <is>
          <t>Canada</t>
        </is>
      </c>
      <c r="P102" t="inlineStr">
        <is>
          <t>Canada</t>
        </is>
      </c>
      <c r="Q102" t="inlineStr">
        <is>
          <t>Friendly</t>
        </is>
      </c>
      <c r="R102" t="n">
        <v>1685.97</v>
      </c>
      <c r="S102" t="n">
        <v>6.12912</v>
      </c>
      <c r="T102" t="inlineStr">
        <is>
          <t>PE Buyout, Private Equity, Company Takeover, Going Private</t>
        </is>
      </c>
      <c r="U102" t="inlineStr">
        <is>
          <t>No</t>
        </is>
      </c>
      <c r="V102" t="inlineStr">
        <is>
          <t>No</t>
        </is>
      </c>
      <c r="W102" t="inlineStr">
        <is>
          <t>No</t>
        </is>
      </c>
      <c r="X102" t="inlineStr">
        <is>
          <t>Yes</t>
        </is>
      </c>
      <c r="Y102" t="inlineStr">
        <is>
          <t>Yes</t>
        </is>
      </c>
      <c r="Z102" t="inlineStr">
        <is>
          <t>No</t>
        </is>
      </c>
      <c r="AA102" t="n">
        <v>3.321824114</v>
      </c>
      <c r="AB102" t="n">
        <v>3.226849843</v>
      </c>
      <c r="AC102" t="n">
        <v>3.321824114</v>
      </c>
      <c r="AD102">
        <f t="array" ref="AD108">IF(SUMPRODUCT(--($AM$2:$AM$112=TRIM(LEFT($B108,IFERROR(FIND(" ",$B108)-1,LEN($B108))))))&gt;0,1,0)</f>
        <v/>
      </c>
      <c r="AE102">
        <f t="array" ref="AE108">IF(SUMPRODUCT(--($AO$2:$AO$145=TRIM(LEFT($B108,IFERROR(FIND(" ",$B108)-1,LEN($B108))))))&gt;0,1,0)</f>
        <v/>
      </c>
      <c r="AF102">
        <f t="array" ref="AF108">IF(SUMPRODUCT(--($AQ$2:$AQ$71=TRIM(LEFT($B108,IFERROR(FIND(" ",$B108)-1,LEN($B108))))))&gt;0,1,0)</f>
        <v/>
      </c>
      <c r="AL102" t="inlineStr">
        <is>
          <t>GSOL / Black</t>
        </is>
      </c>
      <c r="AM102">
        <f>TRIM(LEFT(AL108,FIND("/",AL108)-1))</f>
        <v/>
      </c>
      <c r="AN102" t="inlineStr">
        <is>
          <t>IR / Gardn</t>
        </is>
      </c>
      <c r="AO102">
        <f>TRIM(LEFT(AN108,FIND("/",AN108)-1))</f>
        <v/>
      </c>
    </row>
    <row r="103">
      <c r="A103" t="n">
        <v>55</v>
      </c>
      <c r="B103" t="inlineStr">
        <is>
          <t>MLNK US</t>
        </is>
      </c>
      <c r="C103" t="inlineStr">
        <is>
          <t>804856Z US</t>
        </is>
      </c>
      <c r="D103" s="1" t="n">
        <v>45880</v>
      </c>
      <c r="E103" t="n">
        <v>1905.89</v>
      </c>
      <c r="F103" t="inlineStr">
        <is>
          <t>Cash</t>
        </is>
      </c>
      <c r="G103" t="n">
        <v>30.31</v>
      </c>
      <c r="H103" t="inlineStr">
        <is>
          <t>Technology</t>
        </is>
      </c>
      <c r="I103" t="inlineStr">
        <is>
          <t>Software &amp; Tech Services</t>
        </is>
      </c>
      <c r="J103" t="inlineStr">
        <is>
          <t>Software</t>
        </is>
      </c>
      <c r="K103" t="n">
        <v>98.59999999999999</v>
      </c>
      <c r="L103" t="n">
        <v>47.7</v>
      </c>
      <c r="M103" t="n">
        <v>22.96</v>
      </c>
      <c r="N103" t="n">
        <v>1567.12</v>
      </c>
      <c r="O103" t="inlineStr">
        <is>
          <t>United States</t>
        </is>
      </c>
      <c r="P103" t="inlineStr">
        <is>
          <t>United States</t>
        </is>
      </c>
      <c r="Q103" t="inlineStr">
        <is>
          <t>Friendly</t>
        </is>
      </c>
      <c r="R103" t="n">
        <v>316.298</v>
      </c>
      <c r="S103" t="n">
        <v>3.422</v>
      </c>
      <c r="T103" t="inlineStr">
        <is>
          <t>PE Buyout, Private Equity, Company Takeover, Going Private</t>
        </is>
      </c>
      <c r="U103" t="inlineStr">
        <is>
          <t>No</t>
        </is>
      </c>
      <c r="V103" t="inlineStr">
        <is>
          <t>No</t>
        </is>
      </c>
      <c r="W103" t="inlineStr">
        <is>
          <t>No</t>
        </is>
      </c>
      <c r="X103" t="inlineStr">
        <is>
          <t>Yes</t>
        </is>
      </c>
      <c r="Y103" t="inlineStr">
        <is>
          <t>Yes</t>
        </is>
      </c>
      <c r="Z103" t="inlineStr">
        <is>
          <t>No</t>
        </is>
      </c>
      <c r="AA103" t="n">
        <v>3.280097831</v>
      </c>
      <c r="AB103" t="n">
        <v>2.500096446</v>
      </c>
      <c r="AC103" t="n">
        <v>3.195102253</v>
      </c>
      <c r="AD103">
        <f t="array" ref="AD109">IF(SUMPRODUCT(--($AM$2:$AM$112=TRIM(LEFT($B109,IFERROR(FIND(" ",$B109)-1,LEN($B109))))))&gt;0,1,0)</f>
        <v/>
      </c>
      <c r="AE103">
        <f t="array" ref="AE109">IF(SUMPRODUCT(--($AO$2:$AO$145=TRIM(LEFT($B109,IFERROR(FIND(" ",$B109)-1,LEN($B109))))))&gt;0,1,0)</f>
        <v/>
      </c>
      <c r="AF103">
        <f t="array" ref="AF109">IF(SUMPRODUCT(--($AQ$2:$AQ$71=TRIM(LEFT($B109,IFERROR(FIND(" ",$B109)-1,LEN($B109))))))&gt;0,1,0)</f>
        <v/>
      </c>
      <c r="AL103" t="inlineStr">
        <is>
          <t>HUN / Clari</t>
        </is>
      </c>
      <c r="AM103">
        <f>TRIM(LEFT(AL109,FIND("/",AL109)-1))</f>
        <v/>
      </c>
      <c r="AN103" t="inlineStr">
        <is>
          <t>WBC / ZF Fr</t>
        </is>
      </c>
      <c r="AO103">
        <f>TRIM(LEFT(AN109,FIND("/",AN109)-1))</f>
        <v/>
      </c>
    </row>
    <row r="104">
      <c r="A104" t="n">
        <v>33</v>
      </c>
      <c r="B104" t="inlineStr">
        <is>
          <t>PBPB US</t>
        </is>
      </c>
      <c r="C104" t="inlineStr">
        <is>
          <t>1039759Z US</t>
        </is>
      </c>
      <c r="D104" s="1" t="n">
        <v>45910</v>
      </c>
      <c r="E104" t="n">
        <v>649.54</v>
      </c>
      <c r="F104" t="inlineStr">
        <is>
          <t>Cash</t>
        </is>
      </c>
      <c r="G104" t="n">
        <v>10.46</v>
      </c>
      <c r="H104" t="inlineStr">
        <is>
          <t>Consumer Discretionary</t>
        </is>
      </c>
      <c r="I104" t="inlineStr">
        <is>
          <t>Consumer Discretionary Services</t>
        </is>
      </c>
      <c r="J104" t="inlineStr">
        <is>
          <t>Leisure Facilities &amp; Services</t>
        </is>
      </c>
      <c r="L104" t="n">
        <v>19.8</v>
      </c>
      <c r="M104" t="n">
        <v>35.28</v>
      </c>
      <c r="N104" t="n">
        <v>518.0599999999999</v>
      </c>
      <c r="O104" t="inlineStr">
        <is>
          <t>United States</t>
        </is>
      </c>
      <c r="P104" t="inlineStr">
        <is>
          <t>United States</t>
        </is>
      </c>
      <c r="Q104" t="inlineStr">
        <is>
          <t>Friendly</t>
        </is>
      </c>
      <c r="R104" t="n">
        <v>462.598</v>
      </c>
      <c r="S104" t="n">
        <v>2.28227</v>
      </c>
      <c r="T104" t="inlineStr">
        <is>
          <t>Tender Offer, Company Takeover</t>
        </is>
      </c>
      <c r="U104" t="inlineStr">
        <is>
          <t>No</t>
        </is>
      </c>
      <c r="V104" t="inlineStr">
        <is>
          <t>No</t>
        </is>
      </c>
      <c r="W104" t="inlineStr">
        <is>
          <t>No</t>
        </is>
      </c>
      <c r="X104" t="inlineStr">
        <is>
          <t>No</t>
        </is>
      </c>
      <c r="Y104" t="inlineStr">
        <is>
          <t>No</t>
        </is>
      </c>
      <c r="Z104" t="inlineStr">
        <is>
          <t>Yes</t>
        </is>
      </c>
      <c r="AA104" t="n">
        <v>2.812605901</v>
      </c>
      <c r="AB104" t="n">
        <v>2.665203751</v>
      </c>
      <c r="AC104" t="n">
        <v>2.714380061</v>
      </c>
      <c r="AD104">
        <f t="array" ref="AD110">IF(SUMPRODUCT(--($AM$2:$AM$112=TRIM(LEFT($B110,IFERROR(FIND(" ",$B110)-1,LEN($B110))))))&gt;0,1,0)</f>
        <v/>
      </c>
      <c r="AE104">
        <f t="array" ref="AE110">IF(SUMPRODUCT(--($AO$2:$AO$145=TRIM(LEFT($B110,IFERROR(FIND(" ",$B110)-1,LEN($B110))))))&gt;0,1,0)</f>
        <v/>
      </c>
      <c r="AF104">
        <f t="array" ref="AF110">IF(SUMPRODUCT(--($AQ$2:$AQ$71=TRIM(LEFT($B110,IFERROR(FIND(" ",$B110)-1,LEN($B110))))))&gt;0,1,0)</f>
        <v/>
      </c>
      <c r="AL104" t="inlineStr">
        <is>
          <t>BCR / Becto</t>
        </is>
      </c>
      <c r="AM104">
        <f>TRIM(LEFT(AL110,FIND("/",AL110)-1))</f>
        <v/>
      </c>
      <c r="AN104" t="inlineStr">
        <is>
          <t>WP / Fidel</t>
        </is>
      </c>
      <c r="AO104">
        <f>TRIM(LEFT(AN110,FIND("/",AN110)-1))</f>
        <v/>
      </c>
    </row>
    <row r="105">
      <c r="A105" t="n">
        <v>78</v>
      </c>
      <c r="B105" t="inlineStr">
        <is>
          <t>SSL CN</t>
        </is>
      </c>
      <c r="C105" t="inlineStr">
        <is>
          <t>RGLD US</t>
        </is>
      </c>
      <c r="D105" s="1" t="n">
        <v>45845</v>
      </c>
      <c r="E105" t="n">
        <v>3576.52</v>
      </c>
      <c r="F105" t="inlineStr">
        <is>
          <t>Stock</t>
        </is>
      </c>
      <c r="G105" t="n">
        <v>26.82</v>
      </c>
      <c r="H105" t="inlineStr">
        <is>
          <t>Materials</t>
        </is>
      </c>
      <c r="I105" t="inlineStr">
        <is>
          <t>Materials</t>
        </is>
      </c>
      <c r="J105" t="inlineStr">
        <is>
          <t>Metals &amp; Mining</t>
        </is>
      </c>
      <c r="M105" t="n">
        <v>20.03</v>
      </c>
      <c r="N105" t="n">
        <v>3250.43</v>
      </c>
      <c r="O105" t="inlineStr">
        <is>
          <t>Canada</t>
        </is>
      </c>
      <c r="P105" t="inlineStr">
        <is>
          <t>United States</t>
        </is>
      </c>
      <c r="Q105" t="inlineStr">
        <is>
          <t>Friendly</t>
        </is>
      </c>
      <c r="R105" t="n">
        <v>176.283</v>
      </c>
      <c r="S105" t="n">
        <v>46.5661</v>
      </c>
      <c r="T105" t="inlineStr">
        <is>
          <t>Cross Border, Company Takeover</t>
        </is>
      </c>
      <c r="U105" t="inlineStr">
        <is>
          <t>No</t>
        </is>
      </c>
      <c r="V105" t="inlineStr">
        <is>
          <t>No</t>
        </is>
      </c>
      <c r="W105" t="inlineStr">
        <is>
          <t>Yes</t>
        </is>
      </c>
      <c r="X105" t="inlineStr">
        <is>
          <t>No</t>
        </is>
      </c>
      <c r="Y105" t="inlineStr">
        <is>
          <t>No</t>
        </is>
      </c>
      <c r="Z105" t="inlineStr">
        <is>
          <t>No</t>
        </is>
      </c>
      <c r="AA105" t="n">
        <v>3.553460658</v>
      </c>
      <c r="AB105" t="n">
        <v>2.246210433</v>
      </c>
      <c r="AC105" t="n">
        <v>3.511940818</v>
      </c>
      <c r="AD105">
        <f t="array" ref="AD111">IF(SUMPRODUCT(--($AM$2:$AM$112=TRIM(LEFT($B111,IFERROR(FIND(" ",$B111)-1,LEN($B111))))))&gt;0,1,0)</f>
        <v/>
      </c>
      <c r="AE105">
        <f t="array" ref="AE111">IF(SUMPRODUCT(--($AO$2:$AO$145=TRIM(LEFT($B111,IFERROR(FIND(" ",$B111)-1,LEN($B111))))))&gt;0,1,0)</f>
        <v/>
      </c>
      <c r="AF105">
        <f t="array" ref="AF111">IF(SUMPRODUCT(--($AQ$2:$AQ$71=TRIM(LEFT($B111,IFERROR(FIND(" ",$B111)-1,LEN($B111))))))&gt;0,1,0)</f>
        <v/>
      </c>
      <c r="AL105" t="inlineStr">
        <is>
          <t xml:space="preserve">XCRA / Sino </t>
        </is>
      </c>
      <c r="AM105">
        <f>TRIM(LEFT(AL111,FIND("/",AL111)-1))</f>
        <v/>
      </c>
      <c r="AN105" t="inlineStr">
        <is>
          <t>OAK / Brook</t>
        </is>
      </c>
      <c r="AO105">
        <f>TRIM(LEFT(AN111,FIND("/",AN111)-1))</f>
        <v/>
      </c>
    </row>
    <row r="106">
      <c r="A106" t="n">
        <v>59</v>
      </c>
      <c r="B106" t="inlineStr">
        <is>
          <t>PHLT US</t>
        </is>
      </c>
      <c r="C106" t="inlineStr">
        <is>
          <t>1659431D US</t>
        </is>
      </c>
      <c r="D106" s="1" t="n">
        <v>45870</v>
      </c>
      <c r="E106" t="n">
        <v>605.86</v>
      </c>
      <c r="F106" t="inlineStr">
        <is>
          <t>Cash</t>
        </is>
      </c>
      <c r="H106" t="inlineStr">
        <is>
          <t>Industrials</t>
        </is>
      </c>
      <c r="I106" t="inlineStr">
        <is>
          <t>Industrial Services</t>
        </is>
      </c>
      <c r="J106" t="inlineStr">
        <is>
          <t>Commercial Support Services</t>
        </is>
      </c>
      <c r="M106" t="n">
        <v>98.62</v>
      </c>
      <c r="N106" t="n">
        <v>606.95</v>
      </c>
      <c r="O106" t="inlineStr">
        <is>
          <t>United States</t>
        </is>
      </c>
      <c r="P106" t="inlineStr">
        <is>
          <t>United States</t>
        </is>
      </c>
      <c r="Q106" t="inlineStr">
        <is>
          <t>Friendly</t>
        </is>
      </c>
      <c r="R106" t="n">
        <v>122.981</v>
      </c>
      <c r="S106" t="n">
        <v>-0.0349454</v>
      </c>
      <c r="T106" t="inlineStr">
        <is>
          <t>Company Takeover</t>
        </is>
      </c>
      <c r="U106" t="inlineStr">
        <is>
          <t>No</t>
        </is>
      </c>
      <c r="V106" t="inlineStr">
        <is>
          <t>No</t>
        </is>
      </c>
      <c r="W106" t="inlineStr">
        <is>
          <t>No</t>
        </is>
      </c>
      <c r="X106" t="inlineStr">
        <is>
          <t>No</t>
        </is>
      </c>
      <c r="Y106" t="inlineStr">
        <is>
          <t>No</t>
        </is>
      </c>
      <c r="Z106" t="inlineStr">
        <is>
          <t>No</t>
        </is>
      </c>
      <c r="AA106" t="n">
        <v>2.782372281</v>
      </c>
      <c r="AB106" t="n">
        <v>2.08983802</v>
      </c>
      <c r="AC106" t="n">
        <v>2.783152916</v>
      </c>
      <c r="AD106">
        <f t="array" ref="AD112">IF(SUMPRODUCT(--($AM$2:$AM$112=TRIM(LEFT($B112,IFERROR(FIND(" ",$B112)-1,LEN($B112))))))&gt;0,1,0)</f>
        <v/>
      </c>
      <c r="AE106">
        <f t="array" ref="AE112">IF(SUMPRODUCT(--($AO$2:$AO$145=TRIM(LEFT($B112,IFERROR(FIND(" ",$B112)-1,LEN($B112))))))&gt;0,1,0)</f>
        <v/>
      </c>
      <c r="AF106">
        <f t="array" ref="AF112">IF(SUMPRODUCT(--($AQ$2:$AQ$71=TRIM(LEFT($B112,IFERROR(FIND(" ",$B112)-1,LEN($B112))))))&gt;0,1,0)</f>
        <v/>
      </c>
      <c r="AL106" t="inlineStr">
        <is>
          <t>MJN / Recki</t>
        </is>
      </c>
      <c r="AM106">
        <f>TRIM(LEFT(AL112,FIND("/",AL112)-1))</f>
        <v/>
      </c>
      <c r="AN106" t="inlineStr">
        <is>
          <t>LABL / Plati</t>
        </is>
      </c>
      <c r="AO106">
        <f>TRIM(LEFT(AN112,FIND("/",AN112)-1))</f>
        <v/>
      </c>
    </row>
    <row r="107">
      <c r="A107" t="n">
        <v>72</v>
      </c>
      <c r="B107" t="inlineStr">
        <is>
          <t>VBTX US</t>
        </is>
      </c>
      <c r="C107" t="inlineStr">
        <is>
          <t>HBAN US</t>
        </is>
      </c>
      <c r="D107" s="1" t="n">
        <v>45852</v>
      </c>
      <c r="E107" t="n">
        <v>1758.57</v>
      </c>
      <c r="F107" t="inlineStr">
        <is>
          <t>Stock</t>
        </is>
      </c>
      <c r="H107" t="inlineStr">
        <is>
          <t>Financials</t>
        </is>
      </c>
      <c r="I107" t="inlineStr">
        <is>
          <t>Banking</t>
        </is>
      </c>
      <c r="J107" t="inlineStr">
        <is>
          <t>Banking</t>
        </is>
      </c>
      <c r="L107" t="n">
        <v>56</v>
      </c>
      <c r="M107" t="n">
        <v>24.52</v>
      </c>
      <c r="N107" t="n">
        <v>1758.57</v>
      </c>
      <c r="O107" t="inlineStr">
        <is>
          <t>United States</t>
        </is>
      </c>
      <c r="P107" t="inlineStr">
        <is>
          <t>United States</t>
        </is>
      </c>
      <c r="Q107" t="inlineStr">
        <is>
          <t>Friendly</t>
        </is>
      </c>
      <c r="R107" t="n">
        <v>797.6180000000001</v>
      </c>
      <c r="S107" t="n">
        <v>33.9896</v>
      </c>
      <c r="T107" t="inlineStr">
        <is>
          <t>Company Takeover</t>
        </is>
      </c>
      <c r="U107" t="inlineStr">
        <is>
          <t>No</t>
        </is>
      </c>
      <c r="V107" t="inlineStr">
        <is>
          <t>No</t>
        </is>
      </c>
      <c r="W107" t="inlineStr">
        <is>
          <t>No</t>
        </is>
      </c>
      <c r="X107" t="inlineStr">
        <is>
          <t>No</t>
        </is>
      </c>
      <c r="Y107" t="inlineStr">
        <is>
          <t>No</t>
        </is>
      </c>
      <c r="Z107" t="inlineStr">
        <is>
          <t>No</t>
        </is>
      </c>
      <c r="AA107" t="n">
        <v>3.24515966</v>
      </c>
      <c r="AB107" t="n">
        <v>2.901794946</v>
      </c>
      <c r="AC107" t="n">
        <v>3.24515966</v>
      </c>
      <c r="AD107">
        <f t="array" ref="AD113">IF(SUMPRODUCT(--($AM$2:$AM$112=TRIM(LEFT($B113,IFERROR(FIND(" ",$B113)-1,LEN($B113))))))&gt;0,1,0)</f>
        <v/>
      </c>
      <c r="AE107">
        <f t="array" ref="AE113">IF(SUMPRODUCT(--($AO$2:$AO$145=TRIM(LEFT($B113,IFERROR(FIND(" ",$B113)-1,LEN($B113))))))&gt;0,1,0)</f>
        <v/>
      </c>
      <c r="AF107">
        <f t="array" ref="AF113">IF(SUMPRODUCT(--($AQ$2:$AQ$71=TRIM(LEFT($B113,IFERROR(FIND(" ",$B113)-1,LEN($B113))))))&gt;0,1,0)</f>
        <v/>
      </c>
      <c r="AN107" t="inlineStr">
        <is>
          <t>LXFT / DXC T</t>
        </is>
      </c>
      <c r="AO107">
        <f>TRIM(LEFT(AN113,FIND("/",AN113)-1))</f>
        <v/>
      </c>
    </row>
    <row r="108">
      <c r="A108" t="n">
        <v>67</v>
      </c>
      <c r="B108" t="inlineStr">
        <is>
          <t>ZIMV US</t>
        </is>
      </c>
      <c r="C108" t="inlineStr">
        <is>
          <t>1011231D FP</t>
        </is>
      </c>
      <c r="D108" s="1" t="n">
        <v>45859</v>
      </c>
      <c r="E108" t="n">
        <v>692.61</v>
      </c>
      <c r="F108" t="inlineStr">
        <is>
          <t>Cash</t>
        </is>
      </c>
      <c r="G108" t="n">
        <v>50.75</v>
      </c>
      <c r="H108" t="inlineStr">
        <is>
          <t>Health Care</t>
        </is>
      </c>
      <c r="I108" t="inlineStr">
        <is>
          <t>Health Care</t>
        </is>
      </c>
      <c r="J108" t="inlineStr">
        <is>
          <t>Medical Equipment &amp; Devices</t>
        </is>
      </c>
      <c r="M108" t="n">
        <v>107.07</v>
      </c>
      <c r="N108" t="n">
        <v>530.51</v>
      </c>
      <c r="O108" t="inlineStr">
        <is>
          <t>United States</t>
        </is>
      </c>
      <c r="P108" t="inlineStr">
        <is>
          <t>France</t>
        </is>
      </c>
      <c r="Q108" t="inlineStr">
        <is>
          <t>Friendly</t>
        </is>
      </c>
      <c r="R108" t="n">
        <v>449.749</v>
      </c>
      <c r="S108" t="n">
        <v>-2.05141</v>
      </c>
      <c r="T108" t="inlineStr">
        <is>
          <t>Company Takeover, Going Private, Cross Border</t>
        </is>
      </c>
      <c r="U108" t="inlineStr">
        <is>
          <t>No</t>
        </is>
      </c>
      <c r="V108" t="inlineStr">
        <is>
          <t>No</t>
        </is>
      </c>
      <c r="W108" t="inlineStr">
        <is>
          <t>Yes</t>
        </is>
      </c>
      <c r="X108" t="inlineStr">
        <is>
          <t>Yes</t>
        </is>
      </c>
      <c r="Y108" t="inlineStr">
        <is>
          <t>No</t>
        </is>
      </c>
      <c r="Z108" t="inlineStr">
        <is>
          <t>No</t>
        </is>
      </c>
      <c r="AA108" t="n">
        <v>2.840488758</v>
      </c>
      <c r="AB108" t="n">
        <v>2.652970206</v>
      </c>
      <c r="AC108" t="n">
        <v>2.724693575</v>
      </c>
      <c r="AD108">
        <f t="array" ref="AD114">IF(SUMPRODUCT(--($AM$2:$AM$112=TRIM(LEFT($B114,IFERROR(FIND(" ",$B114)-1,LEN($B114))))))&gt;0,1,0)</f>
        <v/>
      </c>
      <c r="AE108">
        <f t="array" ref="AE114">IF(SUMPRODUCT(--($AO$2:$AO$145=TRIM(LEFT($B114,IFERROR(FIND(" ",$B114)-1,LEN($B114))))))&gt;0,1,0)</f>
        <v/>
      </c>
      <c r="AF108">
        <f t="array" ref="AF114">IF(SUMPRODUCT(--($AQ$2:$AQ$71=TRIM(LEFT($B114,IFERROR(FIND(" ",$B114)-1,LEN($B114))))))&gt;0,1,0)</f>
        <v/>
      </c>
      <c r="AN108" t="inlineStr">
        <is>
          <t>CELG / Brist</t>
        </is>
      </c>
      <c r="AO108">
        <f>TRIM(LEFT(AN114,FIND("/",AN114)-1))</f>
        <v/>
      </c>
    </row>
    <row r="109">
      <c r="A109" t="n">
        <v>118</v>
      </c>
      <c r="B109" t="inlineStr">
        <is>
          <t>AVDX US</t>
        </is>
      </c>
      <c r="D109" s="1" t="n">
        <v>45783</v>
      </c>
      <c r="E109" t="n">
        <v>1754.75</v>
      </c>
      <c r="F109" t="inlineStr">
        <is>
          <t>Cash</t>
        </is>
      </c>
      <c r="G109" t="n">
        <v>49.72</v>
      </c>
      <c r="H109" t="inlineStr">
        <is>
          <t>Technology</t>
        </is>
      </c>
      <c r="I109" t="inlineStr">
        <is>
          <t>Software &amp; Tech Services</t>
        </is>
      </c>
      <c r="J109" t="inlineStr">
        <is>
          <t>Software</t>
        </is>
      </c>
      <c r="K109" t="n">
        <v>133</v>
      </c>
      <c r="L109" t="n">
        <v>78</v>
      </c>
      <c r="M109" t="n">
        <v>27.8</v>
      </c>
      <c r="N109" t="n">
        <v>2068.65</v>
      </c>
      <c r="O109" t="inlineStr">
        <is>
          <t>United States</t>
        </is>
      </c>
      <c r="P109" t="inlineStr">
        <is>
          <t>United States</t>
        </is>
      </c>
      <c r="Q109" t="inlineStr">
        <is>
          <t>Friendly</t>
        </is>
      </c>
      <c r="R109" t="n">
        <v>438.94</v>
      </c>
      <c r="S109" t="n">
        <v>-3.8355</v>
      </c>
      <c r="T109" t="inlineStr">
        <is>
          <t>Company Takeover, Going Private, PE Buyout, Private Equity</t>
        </is>
      </c>
      <c r="U109" t="inlineStr">
        <is>
          <t>No</t>
        </is>
      </c>
      <c r="V109" t="inlineStr">
        <is>
          <t>No</t>
        </is>
      </c>
      <c r="W109" t="inlineStr">
        <is>
          <t>No</t>
        </is>
      </c>
      <c r="X109" t="inlineStr">
        <is>
          <t>Yes</t>
        </is>
      </c>
      <c r="Y109" t="inlineStr">
        <is>
          <t>Yes</t>
        </is>
      </c>
      <c r="Z109" t="inlineStr">
        <is>
          <t>No</t>
        </is>
      </c>
      <c r="AA109" t="n">
        <v>3.244215251</v>
      </c>
      <c r="AB109" t="n">
        <v>2.642405159</v>
      </c>
      <c r="AC109" t="n">
        <v>3.315687018</v>
      </c>
      <c r="AD109">
        <f t="array" ref="AD115">IF(SUMPRODUCT(--($AM$2:$AM$112=TRIM(LEFT($B115,IFERROR(FIND(" ",$B115)-1,LEN($B115))))))&gt;0,1,0)</f>
        <v/>
      </c>
      <c r="AE109">
        <f t="array" ref="AE115">IF(SUMPRODUCT(--($AO$2:$AO$145=TRIM(LEFT($B115,IFERROR(FIND(" ",$B115)-1,LEN($B115))))))&gt;0,1,0)</f>
        <v/>
      </c>
      <c r="AF109">
        <f t="array" ref="AF115">IF(SUMPRODUCT(--($AQ$2:$AQ$71=TRIM(LEFT($B115,IFERROR(FIND(" ",$B115)-1,LEN($B115))))))&gt;0,1,0)</f>
        <v/>
      </c>
      <c r="AN109" t="inlineStr">
        <is>
          <t xml:space="preserve">BEL / LVMH </t>
        </is>
      </c>
      <c r="AO109">
        <f>TRIM(LEFT(AN115,FIND("/",AN115)-1))</f>
        <v/>
      </c>
    </row>
    <row r="110">
      <c r="A110" t="n">
        <v>51</v>
      </c>
      <c r="B110" t="inlineStr">
        <is>
          <t>ARIS US</t>
        </is>
      </c>
      <c r="C110" t="inlineStr">
        <is>
          <t>WES US</t>
        </is>
      </c>
      <c r="D110" s="1" t="n">
        <v>45875</v>
      </c>
      <c r="E110" t="n">
        <v>1915.77</v>
      </c>
      <c r="F110" t="inlineStr">
        <is>
          <t>Cash or Stock</t>
        </is>
      </c>
      <c r="G110" t="n">
        <v>10.3</v>
      </c>
      <c r="H110" t="inlineStr">
        <is>
          <t>Energy</t>
        </is>
      </c>
      <c r="I110" t="inlineStr">
        <is>
          <t>Oil &amp; Gas</t>
        </is>
      </c>
      <c r="J110" t="inlineStr">
        <is>
          <t>Oil &amp; Gas Services &amp; Equip</t>
        </is>
      </c>
      <c r="M110" t="n">
        <v>16.17</v>
      </c>
      <c r="N110" t="n">
        <v>1482.61</v>
      </c>
      <c r="O110" t="inlineStr">
        <is>
          <t>United States</t>
        </is>
      </c>
      <c r="P110" t="inlineStr">
        <is>
          <t>United States</t>
        </is>
      </c>
      <c r="Q110" t="inlineStr">
        <is>
          <t>Friendly</t>
        </is>
      </c>
      <c r="R110" t="n">
        <v>927.664</v>
      </c>
      <c r="S110" t="n">
        <v>42.6089</v>
      </c>
      <c r="T110" t="inlineStr">
        <is>
          <t>Company Takeover</t>
        </is>
      </c>
      <c r="U110" t="inlineStr">
        <is>
          <t>No</t>
        </is>
      </c>
      <c r="V110" t="inlineStr">
        <is>
          <t>No</t>
        </is>
      </c>
      <c r="W110" t="inlineStr">
        <is>
          <t>No</t>
        </is>
      </c>
      <c r="X110" t="inlineStr">
        <is>
          <t>No</t>
        </is>
      </c>
      <c r="Y110" t="inlineStr">
        <is>
          <t>No</t>
        </is>
      </c>
      <c r="Z110" t="inlineStr">
        <is>
          <t>No</t>
        </is>
      </c>
      <c r="AA110" t="n">
        <v>3.282343368</v>
      </c>
      <c r="AB110" t="n">
        <v>2.967390703</v>
      </c>
      <c r="AC110" t="n">
        <v>3.171026925</v>
      </c>
      <c r="AD110">
        <f t="array" ref="AD116">IF(SUMPRODUCT(--($AM$2:$AM$112=TRIM(LEFT($B116,IFERROR(FIND(" ",$B116)-1,LEN($B116))))))&gt;0,1,0)</f>
        <v/>
      </c>
      <c r="AE110">
        <f t="array" ref="AE116">IF(SUMPRODUCT(--($AO$2:$AO$145=TRIM(LEFT($B116,IFERROR(FIND(" ",$B116)-1,LEN($B116))))))&gt;0,1,0)</f>
        <v/>
      </c>
      <c r="AF110">
        <f t="array" ref="AF116">IF(SUMPRODUCT(--($AQ$2:$AQ$71=TRIM(LEFT($B116,IFERROR(FIND(" ",$B116)-1,LEN($B116))))))&gt;0,1,0)</f>
        <v/>
      </c>
      <c r="AN110" t="inlineStr">
        <is>
          <t>ARRS / Comms</t>
        </is>
      </c>
      <c r="AO110">
        <f>TRIM(LEFT(AN116,FIND("/",AN116)-1))</f>
        <v/>
      </c>
    </row>
    <row r="111">
      <c r="A111" t="n">
        <v>134</v>
      </c>
      <c r="B111" t="inlineStr">
        <is>
          <t>COOP US</t>
        </is>
      </c>
      <c r="C111" t="inlineStr">
        <is>
          <t>RKT US</t>
        </is>
      </c>
      <c r="D111" s="1" t="n">
        <v>45747</v>
      </c>
      <c r="E111" t="n">
        <v>9935.58</v>
      </c>
      <c r="F111" t="inlineStr">
        <is>
          <t>Stock</t>
        </is>
      </c>
      <c r="G111" t="n">
        <v>5.6</v>
      </c>
      <c r="H111" t="inlineStr">
        <is>
          <t>Financials</t>
        </is>
      </c>
      <c r="I111" t="inlineStr">
        <is>
          <t>Financial Services</t>
        </is>
      </c>
      <c r="J111" t="inlineStr">
        <is>
          <t>Specialty Finance</t>
        </is>
      </c>
      <c r="K111" t="n">
        <v>500</v>
      </c>
      <c r="L111" t="n">
        <v>306.924</v>
      </c>
      <c r="M111" t="n">
        <v>49.04</v>
      </c>
      <c r="N111" t="n">
        <v>9935.58</v>
      </c>
      <c r="O111" t="inlineStr">
        <is>
          <t>United States</t>
        </is>
      </c>
      <c r="P111" t="inlineStr">
        <is>
          <t>United States</t>
        </is>
      </c>
      <c r="Q111" t="inlineStr">
        <is>
          <t>Friendly</t>
        </is>
      </c>
      <c r="R111" t="n">
        <v>3015</v>
      </c>
      <c r="S111" t="n">
        <v>25.3312</v>
      </c>
      <c r="T111" t="inlineStr">
        <is>
          <t>Company Takeover</t>
        </is>
      </c>
      <c r="U111" t="inlineStr">
        <is>
          <t>No</t>
        </is>
      </c>
      <c r="V111" t="inlineStr">
        <is>
          <t>No</t>
        </is>
      </c>
      <c r="W111" t="inlineStr">
        <is>
          <t>No</t>
        </is>
      </c>
      <c r="X111" t="inlineStr">
        <is>
          <t>No</t>
        </is>
      </c>
      <c r="Y111" t="inlineStr">
        <is>
          <t>No</t>
        </is>
      </c>
      <c r="Z111" t="inlineStr">
        <is>
          <t>No</t>
        </is>
      </c>
      <c r="AA111" t="n">
        <v>3.997193225</v>
      </c>
      <c r="AB111" t="n">
        <v>3.479287316</v>
      </c>
      <c r="AC111" t="n">
        <v>3.997193225</v>
      </c>
      <c r="AD111">
        <f t="array" ref="AD117">IF(SUMPRODUCT(--($AM$2:$AM$112=TRIM(LEFT($B117,IFERROR(FIND(" ",$B117)-1,LEN($B117))))))&gt;0,1,0)</f>
        <v/>
      </c>
      <c r="AE111">
        <f t="array" ref="AE117">IF(SUMPRODUCT(--($AO$2:$AO$145=TRIM(LEFT($B117,IFERROR(FIND(" ",$B117)-1,LEN($B117))))))&gt;0,1,0)</f>
        <v/>
      </c>
      <c r="AF111">
        <f t="array" ref="AF117">IF(SUMPRODUCT(--($AQ$2:$AQ$71=TRIM(LEFT($B117,IFERROR(FIND(" ",$B117)-1,LEN($B117))))))&gt;0,1,0)</f>
        <v/>
      </c>
      <c r="AN111" t="inlineStr">
        <is>
          <t>RHT / Inter</t>
        </is>
      </c>
      <c r="AO111">
        <f>TRIM(LEFT(AN117,FIND("/",AN117)-1))</f>
        <v/>
      </c>
    </row>
    <row r="112">
      <c r="A112" t="n">
        <v>57</v>
      </c>
      <c r="B112" t="inlineStr">
        <is>
          <t>KLG US</t>
        </is>
      </c>
      <c r="C112" t="inlineStr">
        <is>
          <t>0852591D LX</t>
        </is>
      </c>
      <c r="D112" s="1" t="n">
        <v>45848</v>
      </c>
      <c r="E112" t="n">
        <v>2656.46</v>
      </c>
      <c r="F112" t="inlineStr">
        <is>
          <t>Cash</t>
        </is>
      </c>
      <c r="G112" t="n">
        <v>14.21</v>
      </c>
      <c r="H112" t="inlineStr">
        <is>
          <t>Consumer Staples</t>
        </is>
      </c>
      <c r="I112" t="inlineStr">
        <is>
          <t>Consumer Staple Products</t>
        </is>
      </c>
      <c r="J112" t="inlineStr">
        <is>
          <t>Food</t>
        </is>
      </c>
      <c r="K112" t="n">
        <v>105.062</v>
      </c>
      <c r="L112" t="n">
        <v>73.54340000000001</v>
      </c>
      <c r="M112" t="n">
        <v>41.88</v>
      </c>
      <c r="N112" t="n">
        <v>1987.46</v>
      </c>
      <c r="O112" t="inlineStr">
        <is>
          <t>United States</t>
        </is>
      </c>
      <c r="P112" t="inlineStr">
        <is>
          <t>Luxembourg</t>
        </is>
      </c>
      <c r="Q112" t="inlineStr">
        <is>
          <t>Friendly</t>
        </is>
      </c>
      <c r="R112" t="n">
        <v>2708</v>
      </c>
      <c r="S112" t="n">
        <v>1.76583</v>
      </c>
      <c r="T112" t="inlineStr">
        <is>
          <t>Company Takeover, Going Private</t>
        </is>
      </c>
      <c r="U112" t="inlineStr">
        <is>
          <t>No</t>
        </is>
      </c>
      <c r="V112" t="inlineStr">
        <is>
          <t>No</t>
        </is>
      </c>
      <c r="W112" t="inlineStr">
        <is>
          <t>No</t>
        </is>
      </c>
      <c r="X112" t="inlineStr">
        <is>
          <t>Yes</t>
        </is>
      </c>
      <c r="Y112" t="inlineStr">
        <is>
          <t>No</t>
        </is>
      </c>
      <c r="Z112" t="inlineStr">
        <is>
          <t>No</t>
        </is>
      </c>
      <c r="AA112" t="n">
        <v>3.424303281</v>
      </c>
      <c r="AB112" t="n">
        <v>3.43264866</v>
      </c>
      <c r="AC112" t="n">
        <v>3.298298397</v>
      </c>
      <c r="AD112">
        <f t="array" ref="AD118">IF(SUMPRODUCT(--($AM$2:$AM$112=TRIM(LEFT($B118,IFERROR(FIND(" ",$B118)-1,LEN($B118))))))&gt;0,1,0)</f>
        <v/>
      </c>
      <c r="AE112">
        <f t="array" ref="AE118">IF(SUMPRODUCT(--($AO$2:$AO$145=TRIM(LEFT($B118,IFERROR(FIND(" ",$B118)-1,LEN($B118))))))&gt;0,1,0)</f>
        <v/>
      </c>
      <c r="AF112">
        <f t="array" ref="AF118">IF(SUMPRODUCT(--($AQ$2:$AQ$71=TRIM(LEFT($B118,IFERROR(FIND(" ",$B118)-1,LEN($B118))))))&gt;0,1,0)</f>
        <v/>
      </c>
      <c r="AN112" t="inlineStr">
        <is>
          <t>LLL / Harri</t>
        </is>
      </c>
      <c r="AO112">
        <f>TRIM(LEFT(AN118,FIND("/",AN118)-1))</f>
        <v/>
      </c>
    </row>
    <row r="113">
      <c r="A113" t="n">
        <v>70</v>
      </c>
      <c r="B113" t="inlineStr">
        <is>
          <t>BASE US</t>
        </is>
      </c>
      <c r="C113" t="inlineStr">
        <is>
          <t>1992552D US</t>
        </is>
      </c>
      <c r="D113" s="1" t="n">
        <v>45828</v>
      </c>
      <c r="E113" t="n">
        <v>1186.99</v>
      </c>
      <c r="F113" t="inlineStr">
        <is>
          <t>Cash</t>
        </is>
      </c>
      <c r="H113" t="inlineStr">
        <is>
          <t>Technology</t>
        </is>
      </c>
      <c r="I113" t="inlineStr">
        <is>
          <t>Software &amp; Tech Services</t>
        </is>
      </c>
      <c r="J113" t="inlineStr">
        <is>
          <t>Software</t>
        </is>
      </c>
      <c r="K113" t="n">
        <v>82.5</v>
      </c>
      <c r="L113" t="n">
        <v>42</v>
      </c>
      <c r="M113" t="n">
        <v>29.93</v>
      </c>
      <c r="N113" t="n">
        <v>1325.07</v>
      </c>
      <c r="O113" t="inlineStr">
        <is>
          <t>United States</t>
        </is>
      </c>
      <c r="P113" t="inlineStr">
        <is>
          <t>United States</t>
        </is>
      </c>
      <c r="Q113" t="inlineStr">
        <is>
          <t>Friendly</t>
        </is>
      </c>
      <c r="R113" t="n">
        <v>209.466</v>
      </c>
      <c r="S113" t="n">
        <v>-35.9474</v>
      </c>
      <c r="T113" t="inlineStr">
        <is>
          <t>Company Takeover, Going Private, Private Equity, PE Buyout</t>
        </is>
      </c>
      <c r="U113" t="inlineStr">
        <is>
          <t>No</t>
        </is>
      </c>
      <c r="V113" t="inlineStr">
        <is>
          <t>No</t>
        </is>
      </c>
      <c r="W113" t="inlineStr">
        <is>
          <t>No</t>
        </is>
      </c>
      <c r="X113" t="inlineStr">
        <is>
          <t>Yes</t>
        </is>
      </c>
      <c r="Y113" t="inlineStr">
        <is>
          <t>Yes</t>
        </is>
      </c>
      <c r="Z113" t="inlineStr">
        <is>
          <t>No</t>
        </is>
      </c>
      <c r="AA113" t="n">
        <v>3.07444706</v>
      </c>
      <c r="AB113" t="n">
        <v>2.321113539</v>
      </c>
      <c r="AC113" t="n">
        <v>3.122238822</v>
      </c>
      <c r="AD113">
        <f t="array" ref="AD119">IF(SUMPRODUCT(--($AM$2:$AM$112=TRIM(LEFT($B119,IFERROR(FIND(" ",$B119)-1,LEN($B119))))))&gt;0,1,0)</f>
        <v/>
      </c>
      <c r="AE113">
        <f t="array" ref="AE119">IF(SUMPRODUCT(--($AO$2:$AO$145=TRIM(LEFT($B119,IFERROR(FIND(" ",$B119)-1,LEN($B119))))))&gt;0,1,0)</f>
        <v/>
      </c>
      <c r="AF113">
        <f t="array" ref="AF119">IF(SUMPRODUCT(--($AQ$2:$AQ$71=TRIM(LEFT($B119,IFERROR(FIND(" ",$B119)-1,LEN($B119))))))&gt;0,1,0)</f>
        <v/>
      </c>
      <c r="AN113" t="inlineStr">
        <is>
          <t>ESL / Trans</t>
        </is>
      </c>
      <c r="AO113">
        <f>TRIM(LEFT(AN119,FIND("/",AN119)-1))</f>
        <v/>
      </c>
    </row>
    <row r="114">
      <c r="A114" t="n">
        <v>66</v>
      </c>
      <c r="B114" t="inlineStr">
        <is>
          <t>SPTN US</t>
        </is>
      </c>
      <c r="C114" t="inlineStr">
        <is>
          <t>22983Z US</t>
        </is>
      </c>
      <c r="D114" s="1" t="n">
        <v>45831</v>
      </c>
      <c r="E114" t="n">
        <v>2005.49</v>
      </c>
      <c r="F114" t="inlineStr">
        <is>
          <t>Cash</t>
        </is>
      </c>
      <c r="G114" t="n">
        <v>9.220000000000001</v>
      </c>
      <c r="H114" t="inlineStr">
        <is>
          <t>Consumer Staples</t>
        </is>
      </c>
      <c r="I114" t="inlineStr">
        <is>
          <t>Retail &amp; Wholesale - Staples</t>
        </is>
      </c>
      <c r="J114" t="inlineStr">
        <is>
          <t>Retail - Consumer Staples</t>
        </is>
      </c>
      <c r="M114" t="n">
        <v>44.03</v>
      </c>
      <c r="N114" t="n">
        <v>910.5599999999999</v>
      </c>
      <c r="O114" t="inlineStr">
        <is>
          <t>United States</t>
        </is>
      </c>
      <c r="P114" t="inlineStr">
        <is>
          <t>United States</t>
        </is>
      </c>
      <c r="Q114" t="inlineStr">
        <is>
          <t>Friendly</t>
        </is>
      </c>
      <c r="R114" t="n">
        <v>9549.32</v>
      </c>
      <c r="S114" t="n">
        <v>0.353902</v>
      </c>
      <c r="T114" t="inlineStr">
        <is>
          <t>Company Takeover</t>
        </is>
      </c>
      <c r="U114" t="inlineStr">
        <is>
          <t>No</t>
        </is>
      </c>
      <c r="V114" t="inlineStr">
        <is>
          <t>No</t>
        </is>
      </c>
      <c r="W114" t="inlineStr">
        <is>
          <t>No</t>
        </is>
      </c>
      <c r="X114" t="inlineStr">
        <is>
          <t>No</t>
        </is>
      </c>
      <c r="Y114" t="inlineStr">
        <is>
          <t>No</t>
        </is>
      </c>
      <c r="Z114" t="inlineStr">
        <is>
          <t>No</t>
        </is>
      </c>
      <c r="AA114" t="n">
        <v>3.302220501</v>
      </c>
      <c r="AB114" t="n">
        <v>3.979972447</v>
      </c>
      <c r="AC114" t="n">
        <v>2.959308568</v>
      </c>
      <c r="AD114">
        <f t="array" ref="AD120">IF(SUMPRODUCT(--($AM$2:$AM$112=TRIM(LEFT($B120,IFERROR(FIND(" ",$B120)-1,LEN($B120))))))&gt;0,1,0)</f>
        <v/>
      </c>
      <c r="AE114">
        <f t="array" ref="AE120">IF(SUMPRODUCT(--($AO$2:$AO$145=TRIM(LEFT($B120,IFERROR(FIND(" ",$B120)-1,LEN($B120))))))&gt;0,1,0)</f>
        <v/>
      </c>
      <c r="AF114">
        <f t="array" ref="AF120">IF(SUMPRODUCT(--($AQ$2:$AQ$71=TRIM(LEFT($B120,IFERROR(FIND(" ",$B120)-1,LEN($B120))))))&gt;0,1,0)</f>
        <v/>
      </c>
      <c r="AN114" t="inlineStr">
        <is>
          <t>NXEO / Univa</t>
        </is>
      </c>
      <c r="AO114">
        <f>TRIM(LEFT(AN120,FIND("/",AN120)-1))</f>
        <v/>
      </c>
    </row>
    <row r="115">
      <c r="A115" t="n">
        <v>95</v>
      </c>
      <c r="B115" t="inlineStr">
        <is>
          <t>SKX US</t>
        </is>
      </c>
      <c r="C115" t="inlineStr">
        <is>
          <t>4071428Z US</t>
        </is>
      </c>
      <c r="D115" s="1" t="n">
        <v>45782</v>
      </c>
      <c r="E115" t="n">
        <v>10479.16</v>
      </c>
      <c r="F115" t="inlineStr">
        <is>
          <t>Cash or Stock</t>
        </is>
      </c>
      <c r="G115" t="n">
        <v>6.87</v>
      </c>
      <c r="H115" t="inlineStr">
        <is>
          <t>Consumer Discretionary</t>
        </is>
      </c>
      <c r="I115" t="inlineStr">
        <is>
          <t>Consumer Discretionary Products</t>
        </is>
      </c>
      <c r="J115" t="inlineStr">
        <is>
          <t>Apparel &amp; Textile Products</t>
        </is>
      </c>
      <c r="M115" t="n">
        <v>30.11</v>
      </c>
      <c r="N115" t="n">
        <v>9432.98</v>
      </c>
      <c r="O115" t="inlineStr">
        <is>
          <t>United States</t>
        </is>
      </c>
      <c r="P115" t="inlineStr">
        <is>
          <t>United States</t>
        </is>
      </c>
      <c r="Q115" t="inlineStr">
        <is>
          <t>Friendly</t>
        </is>
      </c>
      <c r="R115" t="n">
        <v>8969.35</v>
      </c>
      <c r="S115" t="n">
        <v>8.89461</v>
      </c>
      <c r="T115" t="inlineStr">
        <is>
          <t>Company Takeover, PE Buyout, Private Equity, Going Private</t>
        </is>
      </c>
      <c r="U115" t="inlineStr">
        <is>
          <t>No</t>
        </is>
      </c>
      <c r="V115" t="inlineStr">
        <is>
          <t>No</t>
        </is>
      </c>
      <c r="W115" t="inlineStr">
        <is>
          <t>No</t>
        </is>
      </c>
      <c r="X115" t="inlineStr">
        <is>
          <t>Yes</t>
        </is>
      </c>
      <c r="Y115" t="inlineStr">
        <is>
          <t>Yes</t>
        </is>
      </c>
      <c r="Z115" t="inlineStr">
        <is>
          <t>No</t>
        </is>
      </c>
      <c r="AA115" t="n">
        <v>4.020326471</v>
      </c>
      <c r="AB115" t="n">
        <v>3.952760971</v>
      </c>
      <c r="AC115" t="n">
        <v>3.974648914</v>
      </c>
      <c r="AD115">
        <f t="array" ref="AD121">IF(SUMPRODUCT(--($AM$2:$AM$112=TRIM(LEFT($B121,IFERROR(FIND(" ",$B121)-1,LEN($B121))))))&gt;0,1,0)</f>
        <v/>
      </c>
      <c r="AE115">
        <f t="array" ref="AE121">IF(SUMPRODUCT(--($AO$2:$AO$145=TRIM(LEFT($B121,IFERROR(FIND(" ",$B121)-1,LEN($B121))))))&gt;0,1,0)</f>
        <v/>
      </c>
      <c r="AF115">
        <f t="array" ref="AF121">IF(SUMPRODUCT(--($AQ$2:$AQ$71=TRIM(LEFT($B121,IFERROR(FIND(" ",$B121)-1,LEN($B121))))))&gt;0,1,0)</f>
        <v/>
      </c>
      <c r="AN115" t="inlineStr">
        <is>
          <t>AHL / Apoll</t>
        </is>
      </c>
      <c r="AO115">
        <f>TRIM(LEFT(AN121,FIND("/",AN121)-1))</f>
        <v/>
      </c>
    </row>
    <row r="116">
      <c r="A116" t="n">
        <v>52</v>
      </c>
      <c r="B116" t="inlineStr">
        <is>
          <t>OLO US</t>
        </is>
      </c>
      <c r="C116" t="inlineStr">
        <is>
          <t>129626Z US</t>
        </is>
      </c>
      <c r="D116" s="1" t="n">
        <v>45841</v>
      </c>
      <c r="E116" t="n">
        <v>1482.42</v>
      </c>
      <c r="F116" t="inlineStr">
        <is>
          <t>Cash</t>
        </is>
      </c>
      <c r="H116" t="inlineStr">
        <is>
          <t>Technology</t>
        </is>
      </c>
      <c r="I116" t="inlineStr">
        <is>
          <t>Software &amp; Tech Services</t>
        </is>
      </c>
      <c r="J116" t="inlineStr">
        <is>
          <t>Software</t>
        </is>
      </c>
      <c r="M116" t="n">
        <v>18.08</v>
      </c>
      <c r="N116" t="n">
        <v>1827.63</v>
      </c>
      <c r="O116" t="inlineStr">
        <is>
          <t>United States</t>
        </is>
      </c>
      <c r="P116" t="inlineStr">
        <is>
          <t>United States</t>
        </is>
      </c>
      <c r="Q116" t="inlineStr">
        <is>
          <t>Friendly</t>
        </is>
      </c>
      <c r="R116" t="n">
        <v>284.938</v>
      </c>
      <c r="S116" t="n">
        <v>-5.75134</v>
      </c>
      <c r="T116" t="inlineStr">
        <is>
          <t>Company Takeover, Private Equity, PE Buyout</t>
        </is>
      </c>
      <c r="U116" t="inlineStr">
        <is>
          <t>No</t>
        </is>
      </c>
      <c r="V116" t="inlineStr">
        <is>
          <t>No</t>
        </is>
      </c>
      <c r="W116" t="inlineStr">
        <is>
          <t>No</t>
        </is>
      </c>
      <c r="X116" t="inlineStr">
        <is>
          <t>No</t>
        </is>
      </c>
      <c r="Y116" t="inlineStr">
        <is>
          <t>Yes</t>
        </is>
      </c>
      <c r="Z116" t="inlineStr">
        <is>
          <t>No</t>
        </is>
      </c>
      <c r="AA116" t="n">
        <v>3.170971266</v>
      </c>
      <c r="AB116" t="n">
        <v>2.454750372</v>
      </c>
      <c r="AC116" t="n">
        <v>3.261888278</v>
      </c>
      <c r="AD116">
        <f t="array" ref="AD122">IF(SUMPRODUCT(--($AM$2:$AM$112=TRIM(LEFT($B122,IFERROR(FIND(" ",$B122)-1,LEN($B122))))))&gt;0,1,0)</f>
        <v/>
      </c>
      <c r="AE116">
        <f t="array" ref="AE122">IF(SUMPRODUCT(--($AO$2:$AO$145=TRIM(LEFT($B122,IFERROR(FIND(" ",$B122)-1,LEN($B122))))))&gt;0,1,0)</f>
        <v/>
      </c>
      <c r="AF116">
        <f t="array" ref="AF122">IF(SUMPRODUCT(--($AQ$2:$AQ$71=TRIM(LEFT($B122,IFERROR(FIND(" ",$B122)-1,LEN($B122))))))&gt;0,1,0)</f>
        <v/>
      </c>
      <c r="AN116" t="inlineStr">
        <is>
          <t>BMS / Amcor</t>
        </is>
      </c>
      <c r="AO116">
        <f>TRIM(LEFT(AN122,FIND("/",AN122)-1))</f>
        <v/>
      </c>
    </row>
    <row r="117">
      <c r="A117" t="n">
        <v>83</v>
      </c>
      <c r="B117" t="inlineStr">
        <is>
          <t>FL US</t>
        </is>
      </c>
      <c r="C117" t="inlineStr">
        <is>
          <t>DKS US</t>
        </is>
      </c>
      <c r="D117" s="1" t="n">
        <v>45792</v>
      </c>
      <c r="E117" t="n">
        <v>4661.9</v>
      </c>
      <c r="F117" t="inlineStr">
        <is>
          <t>Cash or Stock</t>
        </is>
      </c>
      <c r="G117" t="n">
        <v>4.92</v>
      </c>
      <c r="H117" t="inlineStr">
        <is>
          <t>Consumer Discretionary</t>
        </is>
      </c>
      <c r="I117" t="inlineStr">
        <is>
          <t>Retail &amp; Whsle - Discretionary</t>
        </is>
      </c>
      <c r="J117" t="inlineStr">
        <is>
          <t>Retail - Discretionary</t>
        </is>
      </c>
      <c r="K117" t="n">
        <v>95.5</v>
      </c>
      <c r="L117" t="n">
        <v>59.5</v>
      </c>
      <c r="M117" t="n">
        <v>96.62</v>
      </c>
      <c r="N117" t="n">
        <v>2278.91</v>
      </c>
      <c r="O117" t="inlineStr">
        <is>
          <t>United States</t>
        </is>
      </c>
      <c r="P117" t="inlineStr">
        <is>
          <t>United States</t>
        </is>
      </c>
      <c r="Q117" t="inlineStr">
        <is>
          <t>Friendly</t>
        </is>
      </c>
      <c r="R117" t="n">
        <v>7988</v>
      </c>
      <c r="S117" t="n">
        <v>-2.5827</v>
      </c>
      <c r="T117" t="inlineStr">
        <is>
          <t>Company Takeover</t>
        </is>
      </c>
      <c r="U117" t="inlineStr">
        <is>
          <t>No</t>
        </is>
      </c>
      <c r="V117" t="inlineStr">
        <is>
          <t>No</t>
        </is>
      </c>
      <c r="W117" t="inlineStr">
        <is>
          <t>No</t>
        </is>
      </c>
      <c r="X117" t="inlineStr">
        <is>
          <t>No</t>
        </is>
      </c>
      <c r="Y117" t="inlineStr">
        <is>
          <t>No</t>
        </is>
      </c>
      <c r="Z117" t="inlineStr">
        <is>
          <t>No</t>
        </is>
      </c>
      <c r="AA117" t="n">
        <v>3.668562953</v>
      </c>
      <c r="AB117" t="n">
        <v>3.902438056</v>
      </c>
      <c r="AC117" t="n">
        <v>3.357727174</v>
      </c>
      <c r="AD117">
        <f t="array" ref="AD123">IF(SUMPRODUCT(--($AM$2:$AM$112=TRIM(LEFT($B123,IFERROR(FIND(" ",$B123)-1,LEN($B123))))))&gt;0,1,0)</f>
        <v/>
      </c>
      <c r="AE117">
        <f t="array" ref="AE123">IF(SUMPRODUCT(--($AO$2:$AO$145=TRIM(LEFT($B123,IFERROR(FIND(" ",$B123)-1,LEN($B123))))))&gt;0,1,0)</f>
        <v/>
      </c>
      <c r="AF117">
        <f t="array" ref="AF123">IF(SUMPRODUCT(--($AQ$2:$AQ$71=TRIM(LEFT($B123,IFERROR(FIND(" ",$B123)-1,LEN($B123))))))&gt;0,1,0)</f>
        <v/>
      </c>
      <c r="AN117" t="inlineStr">
        <is>
          <t>CA / Broad</t>
        </is>
      </c>
      <c r="AO117">
        <f>TRIM(LEFT(AN123,FIND("/",AN123)-1))</f>
        <v/>
      </c>
    </row>
    <row r="118">
      <c r="A118" t="n">
        <v>86</v>
      </c>
      <c r="B118" t="inlineStr">
        <is>
          <t>MAG CN</t>
        </is>
      </c>
      <c r="C118" t="inlineStr">
        <is>
          <t>PAAS CN</t>
        </is>
      </c>
      <c r="D118" s="1" t="n">
        <v>45789</v>
      </c>
      <c r="E118" t="n">
        <v>1842.74</v>
      </c>
      <c r="F118" t="inlineStr">
        <is>
          <t>Cash or Stock</t>
        </is>
      </c>
      <c r="H118" t="inlineStr">
        <is>
          <t>Materials</t>
        </is>
      </c>
      <c r="I118" t="inlineStr">
        <is>
          <t>Materials</t>
        </is>
      </c>
      <c r="J118" t="inlineStr">
        <is>
          <t>Metals &amp; Mining</t>
        </is>
      </c>
      <c r="M118" t="n">
        <v>25.7</v>
      </c>
      <c r="N118" t="n">
        <v>2002.85</v>
      </c>
      <c r="O118" t="inlineStr">
        <is>
          <t>Canada</t>
        </is>
      </c>
      <c r="P118" t="inlineStr">
        <is>
          <t>Canada</t>
        </is>
      </c>
      <c r="Q118" t="inlineStr">
        <is>
          <t>Friendly</t>
        </is>
      </c>
      <c r="T118" t="inlineStr">
        <is>
          <t>Company Takeover</t>
        </is>
      </c>
      <c r="U118" t="inlineStr">
        <is>
          <t>No</t>
        </is>
      </c>
      <c r="V118" t="inlineStr">
        <is>
          <t>No</t>
        </is>
      </c>
      <c r="W118" t="inlineStr">
        <is>
          <t>No</t>
        </is>
      </c>
      <c r="X118" t="inlineStr">
        <is>
          <t>No</t>
        </is>
      </c>
      <c r="Y118" t="inlineStr">
        <is>
          <t>No</t>
        </is>
      </c>
      <c r="Z118" t="inlineStr">
        <is>
          <t>No</t>
        </is>
      </c>
      <c r="AA118" t="n">
        <v>3.265464063</v>
      </c>
      <c r="AC118" t="n">
        <v>3.301648425</v>
      </c>
      <c r="AD118">
        <f t="array" ref="AD124">IF(SUMPRODUCT(--($AM$2:$AM$112=TRIM(LEFT($B124,IFERROR(FIND(" ",$B124)-1,LEN($B124))))))&gt;0,1,0)</f>
        <v/>
      </c>
      <c r="AE118">
        <f t="array" ref="AE124">IF(SUMPRODUCT(--($AO$2:$AO$145=TRIM(LEFT($B124,IFERROR(FIND(" ",$B124)-1,LEN($B124))))))&gt;0,1,0)</f>
        <v/>
      </c>
      <c r="AF118">
        <f t="array" ref="AF124">IF(SUMPRODUCT(--($AQ$2:$AQ$71=TRIM(LEFT($B124,IFERROR(FIND(" ",$B124)-1,LEN($B124))))))&gt;0,1,0)</f>
        <v/>
      </c>
      <c r="AN118" t="inlineStr">
        <is>
          <t>CVG / SYNNE</t>
        </is>
      </c>
      <c r="AO118">
        <f>TRIM(LEFT(AN124,FIND("/",AN124)-1))</f>
        <v/>
      </c>
    </row>
    <row r="119">
      <c r="A119" t="n">
        <v>49</v>
      </c>
      <c r="B119" t="inlineStr">
        <is>
          <t>GMS US</t>
        </is>
      </c>
      <c r="C119" t="inlineStr">
        <is>
          <t>HD US</t>
        </is>
      </c>
      <c r="D119" s="1" t="n">
        <v>45838</v>
      </c>
      <c r="E119" t="n">
        <v>4234.24</v>
      </c>
      <c r="F119" t="inlineStr">
        <is>
          <t>Cash</t>
        </is>
      </c>
      <c r="G119" t="n">
        <v>8.390000000000001</v>
      </c>
      <c r="H119" t="inlineStr">
        <is>
          <t>Consumer Discretionary</t>
        </is>
      </c>
      <c r="I119" t="inlineStr">
        <is>
          <t>Retail &amp; Whsle - Discretionary</t>
        </is>
      </c>
      <c r="J119" t="inlineStr">
        <is>
          <t>Retail - Discretionary</t>
        </is>
      </c>
      <c r="K119" t="n">
        <v>230</v>
      </c>
      <c r="L119" t="n">
        <v>14.75</v>
      </c>
      <c r="M119" t="n">
        <v>31.3</v>
      </c>
      <c r="N119" t="n">
        <v>4234.24</v>
      </c>
      <c r="O119" t="inlineStr">
        <is>
          <t>United States</t>
        </is>
      </c>
      <c r="P119" t="inlineStr">
        <is>
          <t>United States</t>
        </is>
      </c>
      <c r="Q119" t="inlineStr">
        <is>
          <t>Friendly</t>
        </is>
      </c>
      <c r="R119" t="n">
        <v>5513.74</v>
      </c>
      <c r="S119" t="n">
        <v>4.38735</v>
      </c>
      <c r="T119" t="inlineStr">
        <is>
          <t>Company Takeover, Competing Bid, Tender Offer</t>
        </is>
      </c>
      <c r="U119" t="inlineStr">
        <is>
          <t>No</t>
        </is>
      </c>
      <c r="V119" t="inlineStr">
        <is>
          <t>Yes</t>
        </is>
      </c>
      <c r="W119" t="inlineStr">
        <is>
          <t>No</t>
        </is>
      </c>
      <c r="X119" t="inlineStr">
        <is>
          <t>No</t>
        </is>
      </c>
      <c r="Y119" t="inlineStr">
        <is>
          <t>No</t>
        </is>
      </c>
      <c r="Z119" t="inlineStr">
        <is>
          <t>Yes</t>
        </is>
      </c>
      <c r="AA119" t="n">
        <v>3.626775471</v>
      </c>
      <c r="AB119" t="n">
        <v>3.741446283</v>
      </c>
      <c r="AC119" t="n">
        <v>3.626775471</v>
      </c>
      <c r="AD119">
        <f t="array" ref="AD125">IF(SUMPRODUCT(--($AM$2:$AM$112=TRIM(LEFT($B125,IFERROR(FIND(" ",$B125)-1,LEN($B125))))))&gt;0,1,0)</f>
        <v/>
      </c>
      <c r="AE119">
        <f t="array" ref="AE125">IF(SUMPRODUCT(--($AO$2:$AO$145=TRIM(LEFT($B125,IFERROR(FIND(" ",$B125)-1,LEN($B125))))))&gt;0,1,0)</f>
        <v/>
      </c>
      <c r="AF119">
        <f t="array" ref="AF125">IF(SUMPRODUCT(--($AQ$2:$AQ$71=TRIM(LEFT($B125,IFERROR(FIND(" ",$B125)-1,LEN($B125))))))&gt;0,1,0)</f>
        <v/>
      </c>
      <c r="AN119" t="inlineStr">
        <is>
          <t>FRUT / Inter</t>
        </is>
      </c>
      <c r="AO119">
        <f>TRIM(LEFT(AN125,FIND("/",AN125)-1))</f>
        <v/>
      </c>
    </row>
    <row r="120">
      <c r="A120" t="n">
        <v>96</v>
      </c>
      <c r="B120" t="inlineStr">
        <is>
          <t>PPBI US</t>
        </is>
      </c>
      <c r="C120" t="inlineStr">
        <is>
          <t>COLB US</t>
        </is>
      </c>
      <c r="D120" s="1" t="n">
        <v>45770</v>
      </c>
      <c r="E120" t="n">
        <v>2027.45</v>
      </c>
      <c r="F120" t="inlineStr">
        <is>
          <t>Stock</t>
        </is>
      </c>
      <c r="H120" t="inlineStr">
        <is>
          <t>Financials</t>
        </is>
      </c>
      <c r="I120" t="inlineStr">
        <is>
          <t>Banking</t>
        </is>
      </c>
      <c r="J120" t="inlineStr">
        <is>
          <t>Banking</t>
        </is>
      </c>
      <c r="M120" t="n">
        <v>4.32</v>
      </c>
      <c r="N120" t="n">
        <v>2027.45</v>
      </c>
      <c r="O120" t="inlineStr">
        <is>
          <t>United States</t>
        </is>
      </c>
      <c r="P120" t="inlineStr">
        <is>
          <t>United States</t>
        </is>
      </c>
      <c r="Q120" t="inlineStr">
        <is>
          <t>Friendly</t>
        </is>
      </c>
      <c r="R120" t="n">
        <v>905.4059999999999</v>
      </c>
      <c r="S120" t="n">
        <v>31.2893</v>
      </c>
      <c r="T120" t="inlineStr">
        <is>
          <t>Company Takeover</t>
        </is>
      </c>
      <c r="U120" t="inlineStr">
        <is>
          <t>No</t>
        </is>
      </c>
      <c r="V120" t="inlineStr">
        <is>
          <t>No</t>
        </is>
      </c>
      <c r="W120" t="inlineStr">
        <is>
          <t>No</t>
        </is>
      </c>
      <c r="X120" t="inlineStr">
        <is>
          <t>No</t>
        </is>
      </c>
      <c r="Y120" t="inlineStr">
        <is>
          <t>No</t>
        </is>
      </c>
      <c r="Z120" t="inlineStr">
        <is>
          <t>No</t>
        </is>
      </c>
      <c r="AA120" t="n">
        <v>3.306950153</v>
      </c>
      <c r="AB120" t="n">
        <v>2.956843368</v>
      </c>
      <c r="AC120" t="n">
        <v>3.306950153</v>
      </c>
      <c r="AD120">
        <f t="array" ref="AD126">IF(SUMPRODUCT(--($AM$2:$AM$112=TRIM(LEFT($B126,IFERROR(FIND(" ",$B126)-1,LEN($B126))))))&gt;0,1,0)</f>
        <v/>
      </c>
      <c r="AE120">
        <f t="array" ref="AE126">IF(SUMPRODUCT(--($AO$2:$AO$145=TRIM(LEFT($B126,IFERROR(FIND(" ",$B126)-1,LEN($B126))))))&gt;0,1,0)</f>
        <v/>
      </c>
      <c r="AF120">
        <f t="array" ref="AF126">IF(SUMPRODUCT(--($AQ$2:$AQ$71=TRIM(LEFT($B126,IFERROR(FIND(" ",$B126)-1,LEN($B126))))))&gt;0,1,0)</f>
        <v/>
      </c>
      <c r="AN120" t="inlineStr">
        <is>
          <t>KLXI / Boein</t>
        </is>
      </c>
      <c r="AO120">
        <f>TRIM(LEFT(AN126,FIND("/",AN126)-1))</f>
        <v/>
      </c>
    </row>
    <row r="121">
      <c r="A121" t="n">
        <v>137</v>
      </c>
      <c r="B121" t="inlineStr">
        <is>
          <t>BRDG US</t>
        </is>
      </c>
      <c r="C121" t="inlineStr">
        <is>
          <t>APO US</t>
        </is>
      </c>
      <c r="D121" s="1" t="n">
        <v>45712</v>
      </c>
      <c r="E121" t="n">
        <v>1526.68</v>
      </c>
      <c r="F121" t="inlineStr">
        <is>
          <t>Stock</t>
        </is>
      </c>
      <c r="G121" t="n">
        <v>30.78</v>
      </c>
      <c r="H121" t="inlineStr">
        <is>
          <t>Financials</t>
        </is>
      </c>
      <c r="I121" t="inlineStr">
        <is>
          <t>Financial Services</t>
        </is>
      </c>
      <c r="J121" t="inlineStr">
        <is>
          <t>Asset Management</t>
        </is>
      </c>
      <c r="N121" t="n">
        <v>1526.68</v>
      </c>
      <c r="O121" t="inlineStr">
        <is>
          <t>United States</t>
        </is>
      </c>
      <c r="P121" t="inlineStr">
        <is>
          <t>United States</t>
        </is>
      </c>
      <c r="Q121" t="inlineStr">
        <is>
          <t>Friendly</t>
        </is>
      </c>
      <c r="R121" t="n">
        <v>412.432</v>
      </c>
      <c r="S121" t="n">
        <v>-3.37779</v>
      </c>
      <c r="T121" t="inlineStr">
        <is>
          <t>Company Takeover</t>
        </is>
      </c>
      <c r="U121" t="inlineStr">
        <is>
          <t>No</t>
        </is>
      </c>
      <c r="V121" t="inlineStr">
        <is>
          <t>No</t>
        </is>
      </c>
      <c r="W121" t="inlineStr">
        <is>
          <t>No</t>
        </is>
      </c>
      <c r="X121" t="inlineStr">
        <is>
          <t>No</t>
        </is>
      </c>
      <c r="Y121" t="inlineStr">
        <is>
          <t>No</t>
        </is>
      </c>
      <c r="Z121" t="inlineStr">
        <is>
          <t>No</t>
        </is>
      </c>
      <c r="AA121" t="n">
        <v>3.183748016</v>
      </c>
      <c r="AB121" t="n">
        <v>2.615352354</v>
      </c>
      <c r="AC121" t="n">
        <v>3.183748016</v>
      </c>
      <c r="AD121">
        <f t="array" ref="AD128">IF(SUMPRODUCT(--($AM$2:$AM$112=TRIM(LEFT($B128,IFERROR(FIND(" ",$B128)-1,LEN($B128))))))&gt;0,1,0)</f>
        <v/>
      </c>
      <c r="AE121">
        <f t="array" ref="AE128">IF(SUMPRODUCT(--($AO$2:$AO$145=TRIM(LEFT($B128,IFERROR(FIND(" ",$B128)-1,LEN($B128))))))&gt;0,1,0)</f>
        <v/>
      </c>
      <c r="AF121">
        <f t="array" ref="AF128">IF(SUMPRODUCT(--($AQ$2:$AQ$71=TRIM(LEFT($B128,IFERROR(FIND(" ",$B128)-1,LEN($B128))))))&gt;0,1,0)</f>
        <v/>
      </c>
      <c r="AN121" t="inlineStr">
        <is>
          <t>XL / AXA G</t>
        </is>
      </c>
      <c r="AO121">
        <f>TRIM(LEFT(AN128,FIND("/",AN128)-1))</f>
        <v/>
      </c>
    </row>
    <row r="122">
      <c r="A122" t="n">
        <v>112</v>
      </c>
      <c r="B122" t="inlineStr">
        <is>
          <t>9996201D US</t>
        </is>
      </c>
      <c r="C122" t="inlineStr">
        <is>
          <t>MCHB US</t>
        </is>
      </c>
      <c r="D122" s="1" t="n">
        <v>45747</v>
      </c>
      <c r="E122" t="n">
        <v>584.11</v>
      </c>
      <c r="F122" t="inlineStr">
        <is>
          <t>Stock</t>
        </is>
      </c>
      <c r="H122" t="inlineStr">
        <is>
          <t>Financials</t>
        </is>
      </c>
      <c r="I122" t="inlineStr">
        <is>
          <t>Banking</t>
        </is>
      </c>
      <c r="J122" t="inlineStr">
        <is>
          <t>Banking</t>
        </is>
      </c>
      <c r="N122" t="n">
        <v>584.11</v>
      </c>
      <c r="O122" t="inlineStr">
        <is>
          <t>United States</t>
        </is>
      </c>
      <c r="P122" t="inlineStr">
        <is>
          <t>United States</t>
        </is>
      </c>
      <c r="Q122" t="inlineStr">
        <is>
          <t>Friendly</t>
        </is>
      </c>
      <c r="R122" t="n">
        <v>159.558</v>
      </c>
      <c r="T122" t="inlineStr">
        <is>
          <t>Reverse Merger, Company Takeover</t>
        </is>
      </c>
      <c r="U122" t="inlineStr">
        <is>
          <t>No</t>
        </is>
      </c>
      <c r="V122" t="inlineStr">
        <is>
          <t>No</t>
        </is>
      </c>
      <c r="W122" t="inlineStr">
        <is>
          <t>No</t>
        </is>
      </c>
      <c r="X122" t="inlineStr">
        <is>
          <t>No</t>
        </is>
      </c>
      <c r="Y122" t="inlineStr">
        <is>
          <t>No</t>
        </is>
      </c>
      <c r="Z122" t="inlineStr">
        <is>
          <t>No</t>
        </is>
      </c>
      <c r="AA122" t="n">
        <v>2.766494641</v>
      </c>
      <c r="AB122" t="n">
        <v>2.202918584</v>
      </c>
      <c r="AC122" t="n">
        <v>2.766494641</v>
      </c>
      <c r="AD122">
        <f t="array" ref="AD129">IF(SUMPRODUCT(--($AM$2:$AM$112=TRIM(LEFT($B129,IFERROR(FIND(" ",$B129)-1,LEN($B129))))))&gt;0,1,0)</f>
        <v/>
      </c>
      <c r="AE122">
        <f t="array" ref="AE129">IF(SUMPRODUCT(--($AO$2:$AO$145=TRIM(LEFT($B129,IFERROR(FIND(" ",$B129)-1,LEN($B129))))))&gt;0,1,0)</f>
        <v/>
      </c>
      <c r="AF122">
        <f t="array" ref="AF129">IF(SUMPRODUCT(--($AQ$2:$AQ$71=TRIM(LEFT($B129,IFERROR(FIND(" ",$B129)-1,LEN($B129))))))&gt;0,1,0)</f>
        <v/>
      </c>
      <c r="AN122" t="inlineStr">
        <is>
          <t>SHLM / Lyond</t>
        </is>
      </c>
      <c r="AO122">
        <f>TRIM(LEFT(AN129,FIND("/",AN129)-1))</f>
        <v/>
      </c>
    </row>
    <row r="123">
      <c r="A123" t="n">
        <v>126</v>
      </c>
      <c r="B123" t="inlineStr">
        <is>
          <t>WBA US</t>
        </is>
      </c>
      <c r="C123" t="inlineStr">
        <is>
          <t>9875574Z US</t>
        </is>
      </c>
      <c r="D123" s="1" t="n">
        <v>45723</v>
      </c>
      <c r="E123" t="n">
        <v>39411.56</v>
      </c>
      <c r="F123" t="inlineStr">
        <is>
          <t>Cash</t>
        </is>
      </c>
      <c r="H123" t="inlineStr">
        <is>
          <t>Consumer Staples</t>
        </is>
      </c>
      <c r="I123" t="inlineStr">
        <is>
          <t>Retail &amp; Wholesale - Staples</t>
        </is>
      </c>
      <c r="J123" t="inlineStr">
        <is>
          <t>Retail - Consumer Staples</t>
        </is>
      </c>
      <c r="K123" t="n">
        <v>560</v>
      </c>
      <c r="L123" t="n">
        <v>158</v>
      </c>
      <c r="M123" t="n">
        <v>9.81</v>
      </c>
      <c r="N123" t="n">
        <v>9894.559999999999</v>
      </c>
      <c r="O123" t="inlineStr">
        <is>
          <t>United States</t>
        </is>
      </c>
      <c r="P123" t="inlineStr">
        <is>
          <t>United States</t>
        </is>
      </c>
      <c r="Q123" t="inlineStr">
        <is>
          <t>Friendly</t>
        </is>
      </c>
      <c r="R123" t="n">
        <v>147658</v>
      </c>
      <c r="S123" t="n">
        <v>-4.43718</v>
      </c>
      <c r="T123" t="inlineStr">
        <is>
          <t>Company Takeover, Private Equity, PE Buyout, Going Private</t>
        </is>
      </c>
      <c r="U123" t="inlineStr">
        <is>
          <t>No</t>
        </is>
      </c>
      <c r="V123" t="inlineStr">
        <is>
          <t>No</t>
        </is>
      </c>
      <c r="W123" t="inlineStr">
        <is>
          <t>No</t>
        </is>
      </c>
      <c r="X123" t="inlineStr">
        <is>
          <t>Yes</t>
        </is>
      </c>
      <c r="Y123" t="inlineStr">
        <is>
          <t>Yes</t>
        </is>
      </c>
      <c r="Z123" t="inlineStr">
        <is>
          <t>No</t>
        </is>
      </c>
      <c r="AA123" t="n">
        <v>4.595623626</v>
      </c>
      <c r="AB123" t="n">
        <v>5.169256982</v>
      </c>
      <c r="AC123" t="n">
        <v>3.995396486</v>
      </c>
      <c r="AD123">
        <f t="array" ref="AD130">IF(SUMPRODUCT(--($AM$2:$AM$112=TRIM(LEFT($B130,IFERROR(FIND(" ",$B130)-1,LEN($B130))))))&gt;0,1,0)</f>
        <v/>
      </c>
      <c r="AE123">
        <f t="array" ref="AE130">IF(SUMPRODUCT(--($AO$2:$AO$145=TRIM(LEFT($B130,IFERROR(FIND(" ",$B130)-1,LEN($B130))))))&gt;0,1,0)</f>
        <v/>
      </c>
      <c r="AF123">
        <f t="array" ref="AF130">IF(SUMPRODUCT(--($AQ$2:$AQ$71=TRIM(LEFT($B130,IFERROR(FIND(" ",$B130)-1,LEN($B130))))))&gt;0,1,0)</f>
        <v/>
      </c>
      <c r="AN123" t="inlineStr">
        <is>
          <t>VR / Ameri</t>
        </is>
      </c>
      <c r="AO123">
        <f>TRIM(LEFT(AN130,FIND("/",AN130)-1))</f>
        <v/>
      </c>
    </row>
    <row r="124">
      <c r="A124" t="n">
        <v>112</v>
      </c>
      <c r="B124" t="inlineStr">
        <is>
          <t>DNB US</t>
        </is>
      </c>
      <c r="C124" t="inlineStr">
        <is>
          <t>8376046Z US</t>
        </is>
      </c>
      <c r="D124" s="1" t="n">
        <v>45740</v>
      </c>
      <c r="E124" t="n">
        <v>4039.87</v>
      </c>
      <c r="F124" t="inlineStr">
        <is>
          <t>Cash</t>
        </is>
      </c>
      <c r="G124" t="n">
        <v>5.16</v>
      </c>
      <c r="H124" t="inlineStr">
        <is>
          <t>Financials</t>
        </is>
      </c>
      <c r="I124" t="inlineStr">
        <is>
          <t>Financial Services</t>
        </is>
      </c>
      <c r="J124" t="inlineStr">
        <is>
          <t>Specialty Finance</t>
        </is>
      </c>
      <c r="M124" t="n">
        <v>6.17</v>
      </c>
      <c r="N124" t="n">
        <v>4039.87</v>
      </c>
      <c r="O124" t="inlineStr">
        <is>
          <t>United States</t>
        </is>
      </c>
      <c r="P124" t="inlineStr">
        <is>
          <t>United States</t>
        </is>
      </c>
      <c r="Q124" t="inlineStr">
        <is>
          <t>Friendly</t>
        </is>
      </c>
      <c r="R124" t="n">
        <v>2381.7</v>
      </c>
      <c r="S124" t="n">
        <v>7.86367</v>
      </c>
      <c r="T124" t="inlineStr">
        <is>
          <t>Company Takeover, Going Private, Private Equity, PE Buyout</t>
        </is>
      </c>
      <c r="U124" t="inlineStr">
        <is>
          <t>No</t>
        </is>
      </c>
      <c r="V124" t="inlineStr">
        <is>
          <t>No</t>
        </is>
      </c>
      <c r="W124" t="inlineStr">
        <is>
          <t>No</t>
        </is>
      </c>
      <c r="X124" t="inlineStr">
        <is>
          <t>Yes</t>
        </is>
      </c>
      <c r="Y124" t="inlineStr">
        <is>
          <t>Yes</t>
        </is>
      </c>
      <c r="Z124" t="inlineStr">
        <is>
          <t>No</t>
        </is>
      </c>
      <c r="AA124" t="n">
        <v>3.60636739</v>
      </c>
      <c r="AB124" t="n">
        <v>3.376887057</v>
      </c>
      <c r="AC124" t="n">
        <v>3.60636739</v>
      </c>
      <c r="AD124">
        <f t="array" ref="AD131">IF(SUMPRODUCT(--($AM$2:$AM$112=TRIM(LEFT($B131,IFERROR(FIND(" ",$B131)-1,LEN($B131))))))&gt;0,1,0)</f>
        <v/>
      </c>
      <c r="AE124">
        <f t="array" ref="AE131">IF(SUMPRODUCT(--($AO$2:$AO$145=TRIM(LEFT($B131,IFERROR(FIND(" ",$B131)-1,LEN($B131))))))&gt;0,1,0)</f>
        <v/>
      </c>
      <c r="AF124">
        <f t="array" ref="AF131">IF(SUMPRODUCT(--($AQ$2:$AQ$71=TRIM(LEFT($B131,IFERROR(FIND(" ",$B131)-1,LEN($B131))))))&gt;0,1,0)</f>
        <v/>
      </c>
      <c r="AN124" t="inlineStr">
        <is>
          <t xml:space="preserve">FOX / Walt </t>
        </is>
      </c>
      <c r="AO124">
        <f>TRIM(LEFT(AN131,FIND("/",AN131)-1))</f>
        <v/>
      </c>
    </row>
    <row r="125">
      <c r="A125" t="n">
        <v>56</v>
      </c>
      <c r="B125" t="inlineStr">
        <is>
          <t>STR US</t>
        </is>
      </c>
      <c r="C125" t="inlineStr">
        <is>
          <t>VNOM US</t>
        </is>
      </c>
      <c r="D125" s="1" t="n">
        <v>45811</v>
      </c>
      <c r="E125" t="n">
        <v>2617.3</v>
      </c>
      <c r="F125" t="inlineStr">
        <is>
          <t>Stock</t>
        </is>
      </c>
      <c r="G125" t="n">
        <v>5</v>
      </c>
      <c r="H125" t="inlineStr">
        <is>
          <t>Energy</t>
        </is>
      </c>
      <c r="I125" t="inlineStr">
        <is>
          <t>Oil &amp; Gas</t>
        </is>
      </c>
      <c r="J125" t="inlineStr">
        <is>
          <t>Oil &amp; Gas Supply Chain</t>
        </is>
      </c>
      <c r="M125" t="n">
        <v>12.18</v>
      </c>
      <c r="N125" t="n">
        <v>1535.09</v>
      </c>
      <c r="O125" t="inlineStr">
        <is>
          <t>United States</t>
        </is>
      </c>
      <c r="P125" t="inlineStr">
        <is>
          <t>United States</t>
        </is>
      </c>
      <c r="Q125" t="inlineStr">
        <is>
          <t>Friendly</t>
        </is>
      </c>
      <c r="R125" t="n">
        <v>624.414</v>
      </c>
      <c r="S125" t="n">
        <v>31.0106</v>
      </c>
      <c r="T125" t="inlineStr">
        <is>
          <t>Company Takeover</t>
        </is>
      </c>
      <c r="U125" t="inlineStr">
        <is>
          <t>No</t>
        </is>
      </c>
      <c r="V125" t="inlineStr">
        <is>
          <t>No</t>
        </is>
      </c>
      <c r="W125" t="inlineStr">
        <is>
          <t>No</t>
        </is>
      </c>
      <c r="X125" t="inlineStr">
        <is>
          <t>No</t>
        </is>
      </c>
      <c r="Y125" t="inlineStr">
        <is>
          <t>No</t>
        </is>
      </c>
      <c r="Z125" t="inlineStr">
        <is>
          <t>No</t>
        </is>
      </c>
      <c r="AA125" t="n">
        <v>3.417853505</v>
      </c>
      <c r="AB125" t="n">
        <v>2.795472632</v>
      </c>
      <c r="AC125" t="n">
        <v>3.186133843</v>
      </c>
      <c r="AD125">
        <f t="array" ref="AD132">IF(SUMPRODUCT(--($AM$2:$AM$112=TRIM(LEFT($B132,IFERROR(FIND(" ",$B132)-1,LEN($B132))))))&gt;0,1,0)</f>
        <v/>
      </c>
      <c r="AE125">
        <f t="array" ref="AE132">IF(SUMPRODUCT(--($AO$2:$AO$145=TRIM(LEFT($B132,IFERROR(FIND(" ",$B132)-1,LEN($B132))))))&gt;0,1,0)</f>
        <v/>
      </c>
      <c r="AF125">
        <f t="array" ref="AF132">IF(SUMPRODUCT(--($AQ$2:$AQ$71=TRIM(LEFT($B132,IFERROR(FIND(" ",$B132)-1,LEN($B132))))))&gt;0,1,0)</f>
        <v/>
      </c>
      <c r="AN125" t="inlineStr">
        <is>
          <t>BGC / Prysm</t>
        </is>
      </c>
      <c r="AO125">
        <f>TRIM(LEFT(AN132,FIND("/",AN132)-1))</f>
        <v/>
      </c>
    </row>
    <row r="126">
      <c r="A126" t="n">
        <v>59</v>
      </c>
      <c r="B126" t="inlineStr">
        <is>
          <t>NVEE US</t>
        </is>
      </c>
      <c r="C126" t="inlineStr">
        <is>
          <t>TIC US</t>
        </is>
      </c>
      <c r="D126" s="1" t="n">
        <v>45792</v>
      </c>
      <c r="E126" t="n">
        <v>1633.98</v>
      </c>
      <c r="F126" t="inlineStr">
        <is>
          <t>Cash and Stock</t>
        </is>
      </c>
      <c r="G126" t="n">
        <v>12.98</v>
      </c>
      <c r="H126" t="inlineStr">
        <is>
          <t>Industrials</t>
        </is>
      </c>
      <c r="I126" t="inlineStr">
        <is>
          <t>Industrial Services</t>
        </is>
      </c>
      <c r="J126" t="inlineStr">
        <is>
          <t>Engineering &amp; Construction</t>
        </is>
      </c>
      <c r="M126" t="n">
        <v>22.04</v>
      </c>
      <c r="N126" t="n">
        <v>1415.64</v>
      </c>
      <c r="O126" t="inlineStr">
        <is>
          <t>United States</t>
        </is>
      </c>
      <c r="P126" t="inlineStr">
        <is>
          <t>British Virgin Islands</t>
        </is>
      </c>
      <c r="Q126" t="inlineStr">
        <is>
          <t>Friendly</t>
        </is>
      </c>
      <c r="R126" t="n">
        <v>941.265</v>
      </c>
      <c r="S126" t="n">
        <v>4.05703</v>
      </c>
      <c r="T126" t="inlineStr">
        <is>
          <t>Company Takeover</t>
        </is>
      </c>
      <c r="U126" t="inlineStr">
        <is>
          <t>No</t>
        </is>
      </c>
      <c r="V126" t="inlineStr">
        <is>
          <t>No</t>
        </is>
      </c>
      <c r="W126" t="inlineStr">
        <is>
          <t>No</t>
        </is>
      </c>
      <c r="X126" t="inlineStr">
        <is>
          <t>No</t>
        </is>
      </c>
      <c r="Y126" t="inlineStr">
        <is>
          <t>No</t>
        </is>
      </c>
      <c r="Z126" t="inlineStr">
        <is>
          <t>No</t>
        </is>
      </c>
      <c r="AA126" t="n">
        <v>3.213246736</v>
      </c>
      <c r="AB126" t="n">
        <v>2.97371191</v>
      </c>
      <c r="AC126" t="n">
        <v>3.150952825</v>
      </c>
      <c r="AD126">
        <f t="array" ref="AD137">IF(SUMPRODUCT(--($AM$2:$AM$112=TRIM(LEFT($B137,IFERROR(FIND(" ",$B137)-1,LEN($B137))))))&gt;0,1,0)</f>
        <v/>
      </c>
      <c r="AE126">
        <f t="array" ref="AE137">IF(SUMPRODUCT(--($AO$2:$AO$145=TRIM(LEFT($B137,IFERROR(FIND(" ",$B137)-1,LEN($B137))))))&gt;0,1,0)</f>
        <v/>
      </c>
      <c r="AF126">
        <f t="array" ref="AF137">IF(SUMPRODUCT(--($AQ$2:$AQ$71=TRIM(LEFT($B137,IFERROR(FIND(" ",$B137)-1,LEN($B137))))))&gt;0,1,0)</f>
        <v/>
      </c>
      <c r="AN126" t="inlineStr">
        <is>
          <t>PRXL / Pampl</t>
        </is>
      </c>
      <c r="AO126">
        <f>TRIM(LEFT(AN137,FIND("/",AN137)-1))</f>
        <v/>
      </c>
    </row>
    <row r="127">
      <c r="A127" t="n">
        <v>51</v>
      </c>
      <c r="B127" t="inlineStr">
        <is>
          <t>ETWO US</t>
        </is>
      </c>
      <c r="C127" t="inlineStr">
        <is>
          <t>WTC AU</t>
        </is>
      </c>
      <c r="D127" s="1" t="n">
        <v>45802</v>
      </c>
      <c r="E127" t="n">
        <v>1890.95</v>
      </c>
      <c r="F127" t="inlineStr">
        <is>
          <t>Cash</t>
        </is>
      </c>
      <c r="H127" t="inlineStr">
        <is>
          <t>Technology</t>
        </is>
      </c>
      <c r="I127" t="inlineStr">
        <is>
          <t>Software &amp; Tech Services</t>
        </is>
      </c>
      <c r="J127" t="inlineStr">
        <is>
          <t>Software</t>
        </is>
      </c>
      <c r="M127" t="n">
        <v>32.48</v>
      </c>
      <c r="N127" t="n">
        <v>1023.55</v>
      </c>
      <c r="O127" t="inlineStr">
        <is>
          <t>United States</t>
        </is>
      </c>
      <c r="P127" t="inlineStr">
        <is>
          <t>Australia</t>
        </is>
      </c>
      <c r="Q127" t="inlineStr">
        <is>
          <t>Friendly</t>
        </is>
      </c>
      <c r="R127" t="n">
        <v>607.688</v>
      </c>
      <c r="S127" t="n">
        <v>-104.735</v>
      </c>
      <c r="T127" t="inlineStr">
        <is>
          <t>Company Takeover, Cross Border</t>
        </is>
      </c>
      <c r="U127" t="inlineStr">
        <is>
          <t>No</t>
        </is>
      </c>
      <c r="V127" t="inlineStr">
        <is>
          <t>No</t>
        </is>
      </c>
      <c r="W127" t="inlineStr">
        <is>
          <t>Yes</t>
        </is>
      </c>
      <c r="X127" t="inlineStr">
        <is>
          <t>No</t>
        </is>
      </c>
      <c r="Y127" t="inlineStr">
        <is>
          <t>No</t>
        </is>
      </c>
      <c r="Z127" t="inlineStr">
        <is>
          <t>No</t>
        </is>
      </c>
      <c r="AA127" t="n">
        <v>3.276680045</v>
      </c>
      <c r="AB127" t="n">
        <v>2.78368066</v>
      </c>
      <c r="AC127" t="n">
        <v>3.010109063</v>
      </c>
      <c r="AD127">
        <f t="array" ref="AD138">IF(SUMPRODUCT(--($AM$2:$AM$112=TRIM(LEFT($B138,IFERROR(FIND(" ",$B138)-1,LEN($B138))))))&gt;0,1,0)</f>
        <v/>
      </c>
      <c r="AE127">
        <f t="array" ref="AE138">IF(SUMPRODUCT(--($AO$2:$AO$145=TRIM(LEFT($B138,IFERROR(FIND(" ",$B138)-1,LEN($B138))))))&gt;0,1,0)</f>
        <v/>
      </c>
      <c r="AF127">
        <f t="array" ref="AF138">IF(SUMPRODUCT(--($AQ$2:$AQ$71=TRIM(LEFT($B138,IFERROR(FIND(" ",$B138)-1,LEN($B138))))))&gt;0,1,0)</f>
        <v/>
      </c>
      <c r="AN127" t="inlineStr">
        <is>
          <t>AMRI / Carly</t>
        </is>
      </c>
      <c r="AO127">
        <f>TRIM(LEFT(AN138,FIND("/",AN138)-1))</f>
        <v/>
      </c>
    </row>
    <row r="128">
      <c r="A128" t="n">
        <v>102</v>
      </c>
      <c r="B128" t="inlineStr">
        <is>
          <t>NDOI US</t>
        </is>
      </c>
      <c r="C128" t="inlineStr">
        <is>
          <t>MNKTQ US</t>
        </is>
      </c>
      <c r="D128" s="1" t="n">
        <v>45729</v>
      </c>
      <c r="E128" t="n">
        <v>2192.49</v>
      </c>
      <c r="F128" t="inlineStr">
        <is>
          <t>Cash and Stock</t>
        </is>
      </c>
      <c r="G128" t="n">
        <v>0.38</v>
      </c>
      <c r="H128" t="inlineStr">
        <is>
          <t>Health Care</t>
        </is>
      </c>
      <c r="I128" t="inlineStr">
        <is>
          <t>Health Care</t>
        </is>
      </c>
      <c r="J128" t="inlineStr">
        <is>
          <t>Biotech &amp; Pharma</t>
        </is>
      </c>
      <c r="K128" t="n">
        <v>80.2</v>
      </c>
      <c r="L128" t="n">
        <v>83</v>
      </c>
      <c r="M128" t="n">
        <v>-95.40000000000001</v>
      </c>
      <c r="N128" t="n">
        <v>99.84</v>
      </c>
      <c r="O128" t="inlineStr">
        <is>
          <t>United States</t>
        </is>
      </c>
      <c r="P128" t="inlineStr">
        <is>
          <t>United States</t>
        </is>
      </c>
      <c r="Q128" t="inlineStr">
        <is>
          <t>Friendly</t>
        </is>
      </c>
      <c r="R128" t="n">
        <v>1760.14</v>
      </c>
      <c r="S128" t="n">
        <v>323.036</v>
      </c>
      <c r="T128" t="inlineStr">
        <is>
          <t>Company Takeover</t>
        </is>
      </c>
      <c r="U128" t="inlineStr">
        <is>
          <t>No</t>
        </is>
      </c>
      <c r="V128" t="inlineStr">
        <is>
          <t>No</t>
        </is>
      </c>
      <c r="W128" t="inlineStr">
        <is>
          <t>No</t>
        </is>
      </c>
      <c r="X128" t="inlineStr">
        <is>
          <t>No</t>
        </is>
      </c>
      <c r="Y128" t="inlineStr">
        <is>
          <t>No</t>
        </is>
      </c>
      <c r="Z128" t="inlineStr">
        <is>
          <t>No</t>
        </is>
      </c>
      <c r="AA128" t="n">
        <v>3.340937621</v>
      </c>
      <c r="AB128" t="n">
        <v>3.245547213</v>
      </c>
      <c r="AC128" t="n">
        <v>1.999304572</v>
      </c>
      <c r="AD128">
        <f t="array" ref="AD139">IF(SUMPRODUCT(--($AM$2:$AM$112=TRIM(LEFT($B139,IFERROR(FIND(" ",$B139)-1,LEN($B139))))))&gt;0,1,0)</f>
        <v/>
      </c>
      <c r="AE128">
        <f t="array" ref="AE139">IF(SUMPRODUCT(--($AO$2:$AO$145=TRIM(LEFT($B139,IFERROR(FIND(" ",$B139)-1,LEN($B139))))))&gt;0,1,0)</f>
        <v/>
      </c>
      <c r="AF128">
        <f t="array" ref="AF139">IF(SUMPRODUCT(--($AQ$2:$AQ$71=TRIM(LEFT($B139,IFERROR(FIND(" ",$B139)-1,LEN($B139))))))&gt;0,1,0)</f>
        <v/>
      </c>
      <c r="AN128" t="inlineStr">
        <is>
          <t>HUN / Clari</t>
        </is>
      </c>
      <c r="AO128">
        <f>TRIM(LEFT(AN139,FIND("/",AN139)-1))</f>
        <v/>
      </c>
    </row>
    <row r="129">
      <c r="A129" t="n">
        <v>30</v>
      </c>
      <c r="B129" t="inlineStr">
        <is>
          <t>VERV US</t>
        </is>
      </c>
      <c r="C129" t="inlineStr">
        <is>
          <t>LLY US</t>
        </is>
      </c>
      <c r="D129" s="1" t="n">
        <v>45825</v>
      </c>
      <c r="E129" t="n">
        <v>507.56</v>
      </c>
      <c r="F129" t="inlineStr">
        <is>
          <t>Cash</t>
        </is>
      </c>
      <c r="H129" t="inlineStr">
        <is>
          <t>Health Care</t>
        </is>
      </c>
      <c r="I129" t="inlineStr">
        <is>
          <t>Health Care</t>
        </is>
      </c>
      <c r="J129" t="inlineStr">
        <is>
          <t>Biotech &amp; Pharma</t>
        </is>
      </c>
      <c r="M129" t="n">
        <v>101.91</v>
      </c>
      <c r="N129" t="n">
        <v>936</v>
      </c>
      <c r="O129" t="inlineStr">
        <is>
          <t>United States</t>
        </is>
      </c>
      <c r="P129" t="inlineStr">
        <is>
          <t>United States</t>
        </is>
      </c>
      <c r="Q129" t="inlineStr">
        <is>
          <t>Friendly</t>
        </is>
      </c>
      <c r="R129" t="n">
        <v>32.332</v>
      </c>
      <c r="S129" t="n">
        <v>-349.675</v>
      </c>
      <c r="T129" t="inlineStr">
        <is>
          <t>Company Takeover, Tender Offer</t>
        </is>
      </c>
      <c r="U129" t="inlineStr">
        <is>
          <t>No</t>
        </is>
      </c>
      <c r="V129" t="inlineStr">
        <is>
          <t>No</t>
        </is>
      </c>
      <c r="W129" t="inlineStr">
        <is>
          <t>No</t>
        </is>
      </c>
      <c r="X129" t="inlineStr">
        <is>
          <t>No</t>
        </is>
      </c>
      <c r="Y129" t="inlineStr">
        <is>
          <t>No</t>
        </is>
      </c>
      <c r="Z129" t="inlineStr">
        <is>
          <t>Yes</t>
        </is>
      </c>
      <c r="AA129" t="n">
        <v>2.705487389</v>
      </c>
      <c r="AB129" t="n">
        <v>1.50963257</v>
      </c>
      <c r="AC129" t="n">
        <v>2.971275849</v>
      </c>
      <c r="AD129">
        <f t="array" ref="AD140">IF(SUMPRODUCT(--($AM$2:$AM$112=TRIM(LEFT($B140,IFERROR(FIND(" ",$B140)-1,LEN($B140))))))&gt;0,1,0)</f>
        <v/>
      </c>
      <c r="AE129">
        <f t="array" ref="AE140">IF(SUMPRODUCT(--($AO$2:$AO$145=TRIM(LEFT($B140,IFERROR(FIND(" ",$B140)-1,LEN($B140))))))&gt;0,1,0)</f>
        <v/>
      </c>
      <c r="AF129">
        <f t="array" ref="AF140">IF(SUMPRODUCT(--($AQ$2:$AQ$71=TRIM(LEFT($B140,IFERROR(FIND(" ",$B140)-1,LEN($B140))))))&gt;0,1,0)</f>
        <v/>
      </c>
      <c r="AN129" t="inlineStr">
        <is>
          <t>PTHN / Therm</t>
        </is>
      </c>
      <c r="AO129">
        <f>TRIM(LEFT(AN140,FIND("/",AN140)-1))</f>
        <v/>
      </c>
    </row>
    <row r="130">
      <c r="A130" t="n">
        <v>125</v>
      </c>
      <c r="B130" t="inlineStr">
        <is>
          <t>TGI US</t>
        </is>
      </c>
      <c r="D130" s="1" t="n">
        <v>45691</v>
      </c>
      <c r="E130" t="n">
        <v>2871.96</v>
      </c>
      <c r="F130" t="inlineStr">
        <is>
          <t>Cash</t>
        </is>
      </c>
      <c r="G130" t="n">
        <v>22.82</v>
      </c>
      <c r="H130" t="inlineStr">
        <is>
          <t>Industrials</t>
        </is>
      </c>
      <c r="I130" t="inlineStr">
        <is>
          <t>Industrial Products</t>
        </is>
      </c>
      <c r="J130" t="inlineStr">
        <is>
          <t>Aerospace &amp; Defense</t>
        </is>
      </c>
      <c r="K130" t="n">
        <v>135</v>
      </c>
      <c r="L130" t="n">
        <v>80</v>
      </c>
      <c r="M130" t="n">
        <v>38.33</v>
      </c>
      <c r="N130" t="n">
        <v>2011.11</v>
      </c>
      <c r="O130" t="inlineStr">
        <is>
          <t>United States</t>
        </is>
      </c>
      <c r="P130" t="inlineStr">
        <is>
          <t>United States</t>
        </is>
      </c>
      <c r="Q130" t="inlineStr">
        <is>
          <t>Friendly</t>
        </is>
      </c>
      <c r="R130" t="n">
        <v>1261.96</v>
      </c>
      <c r="S130" t="n">
        <v>11.0483</v>
      </c>
      <c r="T130" t="inlineStr">
        <is>
          <t>Company Takeover, Private Equity, PE Buyout, Going Private</t>
        </is>
      </c>
      <c r="U130" t="inlineStr">
        <is>
          <t>No</t>
        </is>
      </c>
      <c r="V130" t="inlineStr">
        <is>
          <t>No</t>
        </is>
      </c>
      <c r="W130" t="inlineStr">
        <is>
          <t>No</t>
        </is>
      </c>
      <c r="X130" t="inlineStr">
        <is>
          <t>Yes</t>
        </is>
      </c>
      <c r="Y130" t="inlineStr">
        <is>
          <t>Yes</t>
        </is>
      </c>
      <c r="Z130" t="inlineStr">
        <is>
          <t>No</t>
        </is>
      </c>
      <c r="AA130" t="n">
        <v>3.458178387</v>
      </c>
      <c r="AB130" t="n">
        <v>3.101045589</v>
      </c>
      <c r="AC130" t="n">
        <v>3.303435825</v>
      </c>
      <c r="AD130">
        <f t="array" ref="AD141">IF(SUMPRODUCT(--($AM$2:$AM$112=TRIM(LEFT($B141,IFERROR(FIND(" ",$B141)-1,LEN($B141))))))&gt;0,1,0)</f>
        <v/>
      </c>
      <c r="AE130">
        <f t="array" ref="AE141">IF(SUMPRODUCT(--($AO$2:$AO$145=TRIM(LEFT($B141,IFERROR(FIND(" ",$B141)-1,LEN($B141))))))&gt;0,1,0)</f>
        <v/>
      </c>
      <c r="AF130">
        <f t="array" ref="AF141">IF(SUMPRODUCT(--($AQ$2:$AQ$71=TRIM(LEFT($B141,IFERROR(FIND(" ",$B141)-1,LEN($B141))))))&gt;0,1,0)</f>
        <v/>
      </c>
      <c r="AN130" t="inlineStr">
        <is>
          <t>VWR / Avant</t>
        </is>
      </c>
      <c r="AO130">
        <f>TRIM(LEFT(AN141,FIND("/",AN141)-1))</f>
        <v/>
      </c>
    </row>
    <row r="131">
      <c r="A131" t="n">
        <v>107</v>
      </c>
      <c r="B131" t="inlineStr">
        <is>
          <t>INE CN</t>
        </is>
      </c>
      <c r="C131" t="inlineStr">
        <is>
          <t>1118Z CN</t>
        </is>
      </c>
      <c r="D131" s="1" t="n">
        <v>45713</v>
      </c>
      <c r="E131" t="n">
        <v>6444.67</v>
      </c>
      <c r="F131" t="inlineStr">
        <is>
          <t>Cash</t>
        </is>
      </c>
      <c r="G131" t="n">
        <v>14.08</v>
      </c>
      <c r="H131" t="inlineStr">
        <is>
          <t>Utilities</t>
        </is>
      </c>
      <c r="I131" t="inlineStr">
        <is>
          <t>Utilities</t>
        </is>
      </c>
      <c r="J131" t="inlineStr">
        <is>
          <t>Electric Utilities</t>
        </is>
      </c>
      <c r="M131" t="n">
        <v>83.47</v>
      </c>
      <c r="N131" t="n">
        <v>1953.96</v>
      </c>
      <c r="O131" t="inlineStr">
        <is>
          <t>Canada</t>
        </is>
      </c>
      <c r="P131" t="inlineStr">
        <is>
          <t>Canada</t>
        </is>
      </c>
      <c r="Q131" t="inlineStr">
        <is>
          <t>Friendly</t>
        </is>
      </c>
      <c r="R131" t="n">
        <v>764.478</v>
      </c>
      <c r="S131" t="n">
        <v>26.4753</v>
      </c>
      <c r="T131" t="inlineStr">
        <is>
          <t>Company Takeover, Going Private, PE Buyout, Private Equity</t>
        </is>
      </c>
      <c r="U131" t="inlineStr">
        <is>
          <t>No</t>
        </is>
      </c>
      <c r="V131" t="inlineStr">
        <is>
          <t>No</t>
        </is>
      </c>
      <c r="W131" t="inlineStr">
        <is>
          <t>No</t>
        </is>
      </c>
      <c r="X131" t="inlineStr">
        <is>
          <t>Yes</t>
        </is>
      </c>
      <c r="Y131" t="inlineStr">
        <is>
          <t>Yes</t>
        </is>
      </c>
      <c r="Z131" t="inlineStr">
        <is>
          <t>No</t>
        </is>
      </c>
      <c r="AA131" t="n">
        <v>3.809200684</v>
      </c>
      <c r="AB131" t="n">
        <v>2.883364992</v>
      </c>
      <c r="AC131" t="n">
        <v>3.290915669</v>
      </c>
      <c r="AD131">
        <f t="array" ref="AD142">IF(SUMPRODUCT(--($AM$2:$AM$112=TRIM(LEFT($B142,IFERROR(FIND(" ",$B142)-1,LEN($B142))))))&gt;0,1,0)</f>
        <v/>
      </c>
      <c r="AE131">
        <f t="array" ref="AE142">IF(SUMPRODUCT(--($AO$2:$AO$145=TRIM(LEFT($B142,IFERROR(FIND(" ",$B142)-1,LEN($B142))))))&gt;0,1,0)</f>
        <v/>
      </c>
      <c r="AF131">
        <f t="array" ref="AF142">IF(SUMPRODUCT(--($AQ$2:$AQ$71=TRIM(LEFT($B142,IFERROR(FIND(" ",$B142)-1,LEN($B142))))))&gt;0,1,0)</f>
        <v/>
      </c>
      <c r="AN131" t="inlineStr">
        <is>
          <t>NORD / Canad</t>
        </is>
      </c>
      <c r="AO131">
        <f>TRIM(LEFT(AN142,FIND("/",AN142)-1))</f>
        <v/>
      </c>
    </row>
    <row r="132">
      <c r="A132" t="n">
        <v>56</v>
      </c>
      <c r="B132" t="inlineStr">
        <is>
          <t>FARO US</t>
        </is>
      </c>
      <c r="C132" t="inlineStr">
        <is>
          <t>AME US</t>
        </is>
      </c>
      <c r="D132" s="1" t="n">
        <v>45783</v>
      </c>
      <c r="E132" t="n">
        <v>765.01</v>
      </c>
      <c r="F132" t="inlineStr">
        <is>
          <t>Cash</t>
        </is>
      </c>
      <c r="G132" t="n">
        <v>30.59</v>
      </c>
      <c r="H132" t="inlineStr">
        <is>
          <t>Industrials</t>
        </is>
      </c>
      <c r="I132" t="inlineStr">
        <is>
          <t>Industrial Products</t>
        </is>
      </c>
      <c r="J132" t="inlineStr">
        <is>
          <t>Electrical Equipment</t>
        </is>
      </c>
      <c r="M132" t="n">
        <v>62.48</v>
      </c>
      <c r="N132" t="n">
        <v>845.95</v>
      </c>
      <c r="O132" t="inlineStr">
        <is>
          <t>United States</t>
        </is>
      </c>
      <c r="P132" t="inlineStr">
        <is>
          <t>United States</t>
        </is>
      </c>
      <c r="Q132" t="inlineStr">
        <is>
          <t>Friendly</t>
        </is>
      </c>
      <c r="R132" t="n">
        <v>342.427</v>
      </c>
      <c r="S132" t="n">
        <v>3.65141</v>
      </c>
      <c r="T132" t="inlineStr">
        <is>
          <t>Company Takeover</t>
        </is>
      </c>
      <c r="U132" t="inlineStr">
        <is>
          <t>No</t>
        </is>
      </c>
      <c r="V132" t="inlineStr">
        <is>
          <t>No</t>
        </is>
      </c>
      <c r="W132" t="inlineStr">
        <is>
          <t>No</t>
        </is>
      </c>
      <c r="X132" t="inlineStr">
        <is>
          <t>No</t>
        </is>
      </c>
      <c r="Y132" t="inlineStr">
        <is>
          <t>No</t>
        </is>
      </c>
      <c r="Z132" t="inlineStr">
        <is>
          <t>No</t>
        </is>
      </c>
      <c r="AA132" t="n">
        <v>2.883667112</v>
      </c>
      <c r="AB132" t="n">
        <v>2.534568001</v>
      </c>
      <c r="AC132" t="n">
        <v>2.927344695</v>
      </c>
      <c r="AD132">
        <f t="array" ref="AD143">IF(SUMPRODUCT(--($AM$2:$AM$112=TRIM(LEFT($B143,IFERROR(FIND(" ",$B143)-1,LEN($B143))))))&gt;0,1,0)</f>
        <v/>
      </c>
      <c r="AE132">
        <f t="array" ref="AE143">IF(SUMPRODUCT(--($AO$2:$AO$145=TRIM(LEFT($B143,IFERROR(FIND(" ",$B143)-1,LEN($B143))))))&gt;0,1,0)</f>
        <v/>
      </c>
      <c r="AF132">
        <f t="array" ref="AF143">IF(SUMPRODUCT(--($AQ$2:$AQ$71=TRIM(LEFT($B143,IFERROR(FIND(" ",$B143)-1,LEN($B143))))))&gt;0,1,0)</f>
        <v/>
      </c>
      <c r="AN132" t="inlineStr">
        <is>
          <t>BCR / Becto</t>
        </is>
      </c>
      <c r="AO132">
        <f>TRIM(LEFT(AN143,FIND("/",AN143)-1))</f>
        <v/>
      </c>
    </row>
    <row r="133">
      <c r="A133" t="n">
        <v>36</v>
      </c>
      <c r="B133" t="inlineStr">
        <is>
          <t>BPMC US</t>
        </is>
      </c>
      <c r="C133" t="inlineStr">
        <is>
          <t>SAN FP</t>
        </is>
      </c>
      <c r="D133" s="1" t="n">
        <v>45810</v>
      </c>
      <c r="E133" t="n">
        <v>8335.34</v>
      </c>
      <c r="F133" t="inlineStr">
        <is>
          <t>Cash</t>
        </is>
      </c>
      <c r="H133" t="inlineStr">
        <is>
          <t>Health Care</t>
        </is>
      </c>
      <c r="I133" t="inlineStr">
        <is>
          <t>Health Care</t>
        </is>
      </c>
      <c r="J133" t="inlineStr">
        <is>
          <t>Biotech &amp; Pharma</t>
        </is>
      </c>
      <c r="M133" t="n">
        <v>28.54</v>
      </c>
      <c r="N133" t="n">
        <v>8589.709999999999</v>
      </c>
      <c r="O133" t="inlineStr">
        <is>
          <t>United States</t>
        </is>
      </c>
      <c r="P133" t="inlineStr">
        <is>
          <t>United States</t>
        </is>
      </c>
      <c r="Q133" t="inlineStr">
        <is>
          <t>Friendly</t>
        </is>
      </c>
      <c r="R133" t="n">
        <v>508.824</v>
      </c>
      <c r="S133" t="n">
        <v>-22.1072</v>
      </c>
      <c r="T133" t="inlineStr">
        <is>
          <t>Tender Offer, Company Takeover, Squeeze out</t>
        </is>
      </c>
      <c r="U133" t="inlineStr">
        <is>
          <t>No</t>
        </is>
      </c>
      <c r="V133" t="inlineStr">
        <is>
          <t>No</t>
        </is>
      </c>
      <c r="W133" t="inlineStr">
        <is>
          <t>No</t>
        </is>
      </c>
      <c r="X133" t="inlineStr">
        <is>
          <t>No</t>
        </is>
      </c>
      <c r="Y133" t="inlineStr">
        <is>
          <t>No</t>
        </is>
      </c>
      <c r="Z133" t="inlineStr">
        <is>
          <t>Yes</t>
        </is>
      </c>
      <c r="AA133" t="n">
        <v>3.920923319</v>
      </c>
      <c r="AB133" t="n">
        <v>2.706567588</v>
      </c>
      <c r="AC133" t="n">
        <v>3.933978502</v>
      </c>
      <c r="AD133">
        <f t="array" ref="AD144">IF(SUMPRODUCT(--($AM$2:$AM$112=TRIM(LEFT($B144,IFERROR(FIND(" ",$B144)-1,LEN($B144))))))&gt;0,1,0)</f>
        <v/>
      </c>
      <c r="AE133">
        <f t="array" ref="AE144">IF(SUMPRODUCT(--($AO$2:$AO$145=TRIM(LEFT($B144,IFERROR(FIND(" ",$B144)-1,LEN($B144))))))&gt;0,1,0)</f>
        <v/>
      </c>
      <c r="AF133">
        <f t="array" ref="AF144">IF(SUMPRODUCT(--($AQ$2:$AQ$71=TRIM(LEFT($B144,IFERROR(FIND(" ",$B144)-1,LEN($B144))))))&gt;0,1,0)</f>
        <v/>
      </c>
      <c r="AN133" t="inlineStr">
        <is>
          <t>FIG / SoftB</t>
        </is>
      </c>
      <c r="AO133">
        <f>TRIM(LEFT(AN144,FIND("/",AN144)-1))</f>
        <v/>
      </c>
    </row>
    <row r="134">
      <c r="A134" t="n">
        <v>87</v>
      </c>
      <c r="B134" t="inlineStr">
        <is>
          <t>RDUS US</t>
        </is>
      </c>
      <c r="C134" t="inlineStr">
        <is>
          <t>8015 JP</t>
        </is>
      </c>
      <c r="D134" s="1" t="n">
        <v>45729</v>
      </c>
      <c r="E134" t="n">
        <v>1404.97</v>
      </c>
      <c r="F134" t="inlineStr">
        <is>
          <t>Cash</t>
        </is>
      </c>
      <c r="H134" t="inlineStr">
        <is>
          <t>Industrials</t>
        </is>
      </c>
      <c r="I134" t="inlineStr">
        <is>
          <t>Industrial Services</t>
        </is>
      </c>
      <c r="J134" t="inlineStr">
        <is>
          <t>Commercial Support Services</t>
        </is>
      </c>
      <c r="M134" t="n">
        <v>125.86</v>
      </c>
      <c r="N134" t="n">
        <v>838.66</v>
      </c>
      <c r="O134" t="inlineStr">
        <is>
          <t>United States</t>
        </is>
      </c>
      <c r="P134" t="inlineStr">
        <is>
          <t>Japan</t>
        </is>
      </c>
      <c r="Q134" t="inlineStr">
        <is>
          <t>Friendly</t>
        </is>
      </c>
      <c r="R134" t="n">
        <v>2738.69</v>
      </c>
      <c r="S134" t="n">
        <v>-2.50399</v>
      </c>
      <c r="T134" t="inlineStr">
        <is>
          <t>Cross Border, Company Takeover</t>
        </is>
      </c>
      <c r="U134" t="inlineStr">
        <is>
          <t>No</t>
        </is>
      </c>
      <c r="V134" t="inlineStr">
        <is>
          <t>No</t>
        </is>
      </c>
      <c r="W134" t="inlineStr">
        <is>
          <t>Yes</t>
        </is>
      </c>
      <c r="X134" t="inlineStr">
        <is>
          <t>No</t>
        </is>
      </c>
      <c r="Y134" t="inlineStr">
        <is>
          <t>No</t>
        </is>
      </c>
      <c r="Z134" t="inlineStr">
        <is>
          <t>No</t>
        </is>
      </c>
      <c r="AA134" t="n">
        <v>3.147667051</v>
      </c>
      <c r="AB134" t="n">
        <v>3.437542876</v>
      </c>
      <c r="AC134" t="n">
        <v>2.92358593</v>
      </c>
      <c r="AD134">
        <f t="array" ref="AD148">IF(SUMPRODUCT(--($AM$2:$AM$112=TRIM(LEFT($B148,IFERROR(FIND(" ",$B148)-1,LEN($B148))))))&gt;0,1,0)</f>
        <v/>
      </c>
      <c r="AE134">
        <f t="array" ref="AE148">IF(SUMPRODUCT(--($AO$2:$AO$145=TRIM(LEFT($B148,IFERROR(FIND(" ",$B148)-1,LEN($B148))))))&gt;0,1,0)</f>
        <v/>
      </c>
      <c r="AF134">
        <f t="array" ref="AF148">IF(SUMPRODUCT(--($AQ$2:$AQ$71=TRIM(LEFT($B148,IFERROR(FIND(" ",$B148)-1,LEN($B148))))))&gt;0,1,0)</f>
        <v/>
      </c>
    </row>
    <row r="135">
      <c r="A135" t="n">
        <v>126</v>
      </c>
      <c r="B135" t="inlineStr">
        <is>
          <t>YERB/U CN</t>
        </is>
      </c>
      <c r="C135" t="inlineStr">
        <is>
          <t>BNKK US</t>
        </is>
      </c>
      <c r="D135" s="1" t="n">
        <v>45665</v>
      </c>
      <c r="E135" t="n">
        <v>4100</v>
      </c>
      <c r="F135" t="inlineStr">
        <is>
          <t>Stock</t>
        </is>
      </c>
      <c r="H135" t="inlineStr">
        <is>
          <t>Consumer Staples</t>
        </is>
      </c>
      <c r="I135" t="inlineStr">
        <is>
          <t>Consumer Staple Products</t>
        </is>
      </c>
      <c r="J135" t="inlineStr">
        <is>
          <t>Beverages</t>
        </is>
      </c>
      <c r="K135" t="n">
        <v>0.5</v>
      </c>
      <c r="L135" t="n">
        <v>1.75</v>
      </c>
      <c r="N135" t="n">
        <v>4096.78</v>
      </c>
      <c r="O135" t="inlineStr">
        <is>
          <t>Canada</t>
        </is>
      </c>
      <c r="P135" t="inlineStr">
        <is>
          <t>United States</t>
        </is>
      </c>
      <c r="Q135" t="inlineStr">
        <is>
          <t>Friendly</t>
        </is>
      </c>
      <c r="R135" t="n">
        <v>5.90554</v>
      </c>
      <c r="T135" t="inlineStr">
        <is>
          <t>Company Takeover, Cross Border, Going Private</t>
        </is>
      </c>
      <c r="U135" t="inlineStr">
        <is>
          <t>No</t>
        </is>
      </c>
      <c r="V135" t="inlineStr">
        <is>
          <t>No</t>
        </is>
      </c>
      <c r="W135" t="inlineStr">
        <is>
          <t>Yes</t>
        </is>
      </c>
      <c r="X135" t="inlineStr">
        <is>
          <t>Yes</t>
        </is>
      </c>
      <c r="Y135" t="inlineStr">
        <is>
          <t>No</t>
        </is>
      </c>
      <c r="Z135" t="inlineStr">
        <is>
          <t>No</t>
        </is>
      </c>
      <c r="AA135" t="n">
        <v>3.612783857</v>
      </c>
      <c r="AB135" t="n">
        <v>0.7712596155</v>
      </c>
      <c r="AC135" t="n">
        <v>3.612442643</v>
      </c>
      <c r="AD135">
        <f t="array" ref="AD151">IF(SUMPRODUCT(--($AM$2:$AM$112=TRIM(LEFT($B151,IFERROR(FIND(" ",$B151)-1,LEN($B151))))))&gt;0,1,0)</f>
        <v/>
      </c>
      <c r="AE135">
        <f t="array" ref="AE151">IF(SUMPRODUCT(--($AO$2:$AO$145=TRIM(LEFT($B151,IFERROR(FIND(" ",$B151)-1,LEN($B151))))))&gt;0,1,0)</f>
        <v/>
      </c>
      <c r="AF135">
        <f t="array" ref="AF151">IF(SUMPRODUCT(--($AQ$2:$AQ$71=TRIM(LEFT($B151,IFERROR(FIND(" ",$B151)-1,LEN($B151))))))&gt;0,1,0)</f>
        <v/>
      </c>
    </row>
    <row r="136">
      <c r="A136" t="n">
        <v>48</v>
      </c>
      <c r="B136" t="inlineStr">
        <is>
          <t>SWTX US</t>
        </is>
      </c>
      <c r="C136" t="inlineStr">
        <is>
          <t>MRK GR</t>
        </is>
      </c>
      <c r="D136" s="1" t="n">
        <v>45775</v>
      </c>
      <c r="E136" t="n">
        <v>3070.26</v>
      </c>
      <c r="F136" t="inlineStr">
        <is>
          <t>Cash</t>
        </is>
      </c>
      <c r="H136" t="inlineStr">
        <is>
          <t>Health Care</t>
        </is>
      </c>
      <c r="I136" t="inlineStr">
        <is>
          <t>Health Care</t>
        </is>
      </c>
      <c r="J136" t="inlineStr">
        <is>
          <t>Biotech &amp; Pharma</t>
        </is>
      </c>
      <c r="M136" t="n">
        <v>17.21</v>
      </c>
      <c r="N136" t="n">
        <v>3524.26</v>
      </c>
      <c r="O136" t="inlineStr">
        <is>
          <t>United States</t>
        </is>
      </c>
      <c r="P136" t="inlineStr">
        <is>
          <t>Germany</t>
        </is>
      </c>
      <c r="Q136" t="inlineStr">
        <is>
          <t>Friendly</t>
        </is>
      </c>
      <c r="R136" t="n">
        <v>191.589</v>
      </c>
      <c r="S136" t="n">
        <v>-120.515</v>
      </c>
      <c r="T136" t="inlineStr">
        <is>
          <t>Company Takeover, Cross Border</t>
        </is>
      </c>
      <c r="U136" t="inlineStr">
        <is>
          <t>No</t>
        </is>
      </c>
      <c r="V136" t="inlineStr">
        <is>
          <t>No</t>
        </is>
      </c>
      <c r="W136" t="inlineStr">
        <is>
          <t>Yes</t>
        </is>
      </c>
      <c r="X136" t="inlineStr">
        <is>
          <t>No</t>
        </is>
      </c>
      <c r="Y136" t="inlineStr">
        <is>
          <t>No</t>
        </is>
      </c>
      <c r="Z136" t="inlineStr">
        <is>
          <t>No</t>
        </is>
      </c>
      <c r="AA136" t="n">
        <v>3.487175155</v>
      </c>
      <c r="AB136" t="n">
        <v>2.282370571</v>
      </c>
      <c r="AC136" t="n">
        <v>3.547067941</v>
      </c>
      <c r="AD136">
        <f t="array" ref="AD152">IF(SUMPRODUCT(--($AM$2:$AM$112=TRIM(LEFT($B152,IFERROR(FIND(" ",$B152)-1,LEN($B152))))))&gt;0,1,0)</f>
        <v/>
      </c>
      <c r="AE136">
        <f t="array" ref="AE152">IF(SUMPRODUCT(--($AO$2:$AO$145=TRIM(LEFT($B152,IFERROR(FIND(" ",$B152)-1,LEN($B152))))))&gt;0,1,0)</f>
        <v/>
      </c>
      <c r="AF136">
        <f t="array" ref="AF152">IF(SUMPRODUCT(--($AQ$2:$AQ$71=TRIM(LEFT($B152,IFERROR(FIND(" ",$B152)-1,LEN($B152))))))&gt;0,1,0)</f>
        <v/>
      </c>
    </row>
    <row r="137">
      <c r="A137" t="n">
        <v>83</v>
      </c>
      <c r="B137" t="inlineStr">
        <is>
          <t>RDFN US</t>
        </is>
      </c>
      <c r="C137" t="inlineStr">
        <is>
          <t>RKT US</t>
        </is>
      </c>
      <c r="D137" s="1" t="n">
        <v>45726</v>
      </c>
      <c r="E137" t="n">
        <v>2215.77</v>
      </c>
      <c r="F137" t="inlineStr">
        <is>
          <t>Stock</t>
        </is>
      </c>
      <c r="H137" t="inlineStr">
        <is>
          <t>Real Estate</t>
        </is>
      </c>
      <c r="I137" t="inlineStr">
        <is>
          <t>Real Estate</t>
        </is>
      </c>
      <c r="J137" t="inlineStr">
        <is>
          <t>Real Estate Services</t>
        </is>
      </c>
      <c r="M137" t="n">
        <v>37.82</v>
      </c>
      <c r="N137" t="n">
        <v>1345.62</v>
      </c>
      <c r="O137" t="inlineStr">
        <is>
          <t>United States</t>
        </is>
      </c>
      <c r="P137" t="inlineStr">
        <is>
          <t>United States</t>
        </is>
      </c>
      <c r="Q137" t="inlineStr">
        <is>
          <t>Friendly</t>
        </is>
      </c>
      <c r="R137" t="n">
        <v>1042.98</v>
      </c>
      <c r="S137" t="n">
        <v>-16.5149</v>
      </c>
      <c r="T137" t="inlineStr">
        <is>
          <t>Company Takeover</t>
        </is>
      </c>
      <c r="U137" t="inlineStr">
        <is>
          <t>No</t>
        </is>
      </c>
      <c r="V137" t="inlineStr">
        <is>
          <t>No</t>
        </is>
      </c>
      <c r="W137" t="inlineStr">
        <is>
          <t>No</t>
        </is>
      </c>
      <c r="X137" t="inlineStr">
        <is>
          <t>No</t>
        </is>
      </c>
      <c r="Y137" t="inlineStr">
        <is>
          <t>No</t>
        </is>
      </c>
      <c r="Z137" t="inlineStr">
        <is>
          <t>No</t>
        </is>
      </c>
      <c r="AA137" t="n">
        <v>3.345524678</v>
      </c>
      <c r="AB137" t="n">
        <v>3.018275981</v>
      </c>
      <c r="AC137" t="n">
        <v>3.128922433</v>
      </c>
      <c r="AD137">
        <f t="array" ref="AD153">IF(SUMPRODUCT(--($AM$2:$AM$112=TRIM(LEFT($B153,IFERROR(FIND(" ",$B153)-1,LEN($B153))))))&gt;0,1,0)</f>
        <v/>
      </c>
      <c r="AE137">
        <f t="array" ref="AE153">IF(SUMPRODUCT(--($AO$2:$AO$145=TRIM(LEFT($B153,IFERROR(FIND(" ",$B153)-1,LEN($B153))))))&gt;0,1,0)</f>
        <v/>
      </c>
      <c r="AF137">
        <f t="array" ref="AF153">IF(SUMPRODUCT(--($AQ$2:$AQ$71=TRIM(LEFT($B153,IFERROR(FIND(" ",$B153)-1,LEN($B153))))))&gt;0,1,0)</f>
        <v/>
      </c>
    </row>
    <row r="138">
      <c r="A138" t="n">
        <v>72</v>
      </c>
      <c r="B138" t="inlineStr">
        <is>
          <t>AZEK US</t>
        </is>
      </c>
      <c r="C138" t="inlineStr">
        <is>
          <t>JHX AU</t>
        </is>
      </c>
      <c r="D138" s="1" t="n">
        <v>45740</v>
      </c>
      <c r="E138" t="n">
        <v>8770.57</v>
      </c>
      <c r="F138" t="inlineStr">
        <is>
          <t>Cash and Stock</t>
        </is>
      </c>
      <c r="G138" t="n">
        <v>25.27</v>
      </c>
      <c r="H138" t="inlineStr">
        <is>
          <t>Consumer Discretionary</t>
        </is>
      </c>
      <c r="I138" t="inlineStr">
        <is>
          <t>Consumer Discretionary Products</t>
        </is>
      </c>
      <c r="J138" t="inlineStr">
        <is>
          <t>Home Construction</t>
        </is>
      </c>
      <c r="L138" t="n">
        <v>272</v>
      </c>
      <c r="M138" t="n">
        <v>36.15</v>
      </c>
      <c r="N138" t="n">
        <v>8458.690000000001</v>
      </c>
      <c r="O138" t="inlineStr">
        <is>
          <t>United States</t>
        </is>
      </c>
      <c r="P138" t="inlineStr">
        <is>
          <t>United States</t>
        </is>
      </c>
      <c r="Q138" t="inlineStr">
        <is>
          <t>Friendly</t>
        </is>
      </c>
      <c r="R138" t="n">
        <v>1441.45</v>
      </c>
      <c r="S138" t="n">
        <v>15.3627</v>
      </c>
      <c r="T138" t="inlineStr">
        <is>
          <t>Company Takeover</t>
        </is>
      </c>
      <c r="U138" t="inlineStr">
        <is>
          <t>No</t>
        </is>
      </c>
      <c r="V138" t="inlineStr">
        <is>
          <t>No</t>
        </is>
      </c>
      <c r="W138" t="inlineStr">
        <is>
          <t>No</t>
        </is>
      </c>
      <c r="X138" t="inlineStr">
        <is>
          <t>No</t>
        </is>
      </c>
      <c r="Y138" t="inlineStr">
        <is>
          <t>No</t>
        </is>
      </c>
      <c r="Z138" t="inlineStr">
        <is>
          <t>No</t>
        </is>
      </c>
      <c r="AA138" t="n">
        <v>3.943027819</v>
      </c>
      <c r="AB138" t="n">
        <v>3.158799582</v>
      </c>
      <c r="AC138" t="n">
        <v>3.927303109</v>
      </c>
      <c r="AD138">
        <f t="array" ref="AD155">IF(SUMPRODUCT(--($AM$2:$AM$112=TRIM(LEFT($B155,IFERROR(FIND(" ",$B155)-1,LEN($B155))))))&gt;0,1,0)</f>
        <v/>
      </c>
      <c r="AE138">
        <f t="array" ref="AE155">IF(SUMPRODUCT(--($AO$2:$AO$145=TRIM(LEFT($B155,IFERROR(FIND(" ",$B155)-1,LEN($B155))))))&gt;0,1,0)</f>
        <v/>
      </c>
      <c r="AF138">
        <f t="array" ref="AF155">IF(SUMPRODUCT(--($AQ$2:$AQ$71=TRIM(LEFT($B155,IFERROR(FIND(" ",$B155)-1,LEN($B155))))))&gt;0,1,0)</f>
        <v/>
      </c>
    </row>
    <row r="139">
      <c r="A139" t="n">
        <v>42</v>
      </c>
      <c r="B139" t="inlineStr">
        <is>
          <t>RGLS US</t>
        </is>
      </c>
      <c r="C139" t="inlineStr">
        <is>
          <t>NOVN SW</t>
        </is>
      </c>
      <c r="D139" s="1" t="n">
        <v>45777</v>
      </c>
      <c r="E139" t="n">
        <v>800</v>
      </c>
      <c r="F139" t="inlineStr">
        <is>
          <t>Cash</t>
        </is>
      </c>
      <c r="H139" t="inlineStr">
        <is>
          <t>Health Care</t>
        </is>
      </c>
      <c r="I139" t="inlineStr">
        <is>
          <t>Health Care</t>
        </is>
      </c>
      <c r="J139" t="inlineStr">
        <is>
          <t>Biotech &amp; Pharma</t>
        </is>
      </c>
      <c r="N139" t="n">
        <v>800</v>
      </c>
      <c r="O139" t="inlineStr">
        <is>
          <t>United States</t>
        </is>
      </c>
      <c r="P139" t="inlineStr">
        <is>
          <t>United States</t>
        </is>
      </c>
      <c r="Q139" t="inlineStr">
        <is>
          <t>Friendly</t>
        </is>
      </c>
      <c r="T139" t="inlineStr">
        <is>
          <t>Company Takeover, Tender Offer</t>
        </is>
      </c>
      <c r="U139" t="inlineStr">
        <is>
          <t>No</t>
        </is>
      </c>
      <c r="V139" t="inlineStr">
        <is>
          <t>No</t>
        </is>
      </c>
      <c r="W139" t="inlineStr">
        <is>
          <t>No</t>
        </is>
      </c>
      <c r="X139" t="inlineStr">
        <is>
          <t>No</t>
        </is>
      </c>
      <c r="Y139" t="inlineStr">
        <is>
          <t>No</t>
        </is>
      </c>
      <c r="Z139" t="inlineStr">
        <is>
          <t>Yes</t>
        </is>
      </c>
      <c r="AA139" t="n">
        <v>2.903089987</v>
      </c>
      <c r="AC139" t="n">
        <v>2.903089987</v>
      </c>
      <c r="AD139">
        <f t="array" ref="AD158">IF(SUMPRODUCT(--($AM$2:$AM$112=TRIM(LEFT($B158,IFERROR(FIND(" ",$B158)-1,LEN($B158))))))&gt;0,1,0)</f>
        <v/>
      </c>
      <c r="AE139">
        <f t="array" ref="AE158">IF(SUMPRODUCT(--($AO$2:$AO$145=TRIM(LEFT($B158,IFERROR(FIND(" ",$B158)-1,LEN($B158))))))&gt;0,1,0)</f>
        <v/>
      </c>
      <c r="AF139">
        <f t="array" ref="AF158">IF(SUMPRODUCT(--($AQ$2:$AQ$71=TRIM(LEFT($B158,IFERROR(FIND(" ",$B158)-1,LEN($B158))))))&gt;0,1,0)</f>
        <v/>
      </c>
    </row>
    <row r="140">
      <c r="A140" t="n">
        <v>34</v>
      </c>
      <c r="B140" t="inlineStr">
        <is>
          <t>LSEA US</t>
        </is>
      </c>
      <c r="C140" t="inlineStr">
        <is>
          <t>NWHM US</t>
        </is>
      </c>
      <c r="D140" s="1" t="n">
        <v>45789</v>
      </c>
      <c r="E140" t="n">
        <v>548.98</v>
      </c>
      <c r="F140" t="inlineStr">
        <is>
          <t>Cash</t>
        </is>
      </c>
      <c r="G140" t="n">
        <v>15.76</v>
      </c>
      <c r="H140" t="inlineStr">
        <is>
          <t>Consumer Discretionary</t>
        </is>
      </c>
      <c r="I140" t="inlineStr">
        <is>
          <t>Consumer Discretionary Products</t>
        </is>
      </c>
      <c r="J140" t="inlineStr">
        <is>
          <t>Home Construction</t>
        </is>
      </c>
      <c r="M140" t="n">
        <v>87.37</v>
      </c>
      <c r="N140" t="n">
        <v>411.79</v>
      </c>
      <c r="O140" t="inlineStr">
        <is>
          <t>United States</t>
        </is>
      </c>
      <c r="P140" t="inlineStr">
        <is>
          <t>United States</t>
        </is>
      </c>
      <c r="Q140" t="inlineStr">
        <is>
          <t>Friendly</t>
        </is>
      </c>
      <c r="R140" t="n">
        <v>1550.34</v>
      </c>
      <c r="S140" t="n">
        <v>1.10848</v>
      </c>
      <c r="T140" t="inlineStr">
        <is>
          <t>Company Takeover, Going Private, Tender Offer</t>
        </is>
      </c>
      <c r="U140" t="inlineStr">
        <is>
          <t>No</t>
        </is>
      </c>
      <c r="V140" t="inlineStr">
        <is>
          <t>No</t>
        </is>
      </c>
      <c r="W140" t="inlineStr">
        <is>
          <t>No</t>
        </is>
      </c>
      <c r="X140" t="inlineStr">
        <is>
          <t>Yes</t>
        </is>
      </c>
      <c r="Y140" t="inlineStr">
        <is>
          <t>No</t>
        </is>
      </c>
      <c r="Z140" t="inlineStr">
        <is>
          <t>Yes</t>
        </is>
      </c>
      <c r="AA140" t="n">
        <v>2.739556523</v>
      </c>
      <c r="AB140" t="n">
        <v>3.190426952</v>
      </c>
      <c r="AC140" t="n">
        <v>2.614675796</v>
      </c>
      <c r="AD140">
        <f t="array" ref="AD159">IF(SUMPRODUCT(--($AM$2:$AM$112=TRIM(LEFT($B159,IFERROR(FIND(" ",$B159)-1,LEN($B159))))))&gt;0,1,0)</f>
        <v/>
      </c>
      <c r="AE140">
        <f t="array" ref="AE159">IF(SUMPRODUCT(--($AO$2:$AO$145=TRIM(LEFT($B159,IFERROR(FIND(" ",$B159)-1,LEN($B159))))))&gt;0,1,0)</f>
        <v/>
      </c>
      <c r="AF140">
        <f t="array" ref="AF159">IF(SUMPRODUCT(--($AQ$2:$AQ$71=TRIM(LEFT($B159,IFERROR(FIND(" ",$B159)-1,LEN($B159))))))&gt;0,1,0)</f>
        <v/>
      </c>
    </row>
    <row r="141">
      <c r="A141" t="n">
        <v>84</v>
      </c>
      <c r="B141" t="inlineStr">
        <is>
          <t>CXB CN</t>
        </is>
      </c>
      <c r="C141" t="inlineStr">
        <is>
          <t>EQX CN</t>
        </is>
      </c>
      <c r="D141" s="1" t="n">
        <v>45711</v>
      </c>
      <c r="E141" t="n">
        <v>2142.94</v>
      </c>
      <c r="F141" t="inlineStr">
        <is>
          <t>Stock</t>
        </is>
      </c>
      <c r="G141" t="n">
        <v>9.710000000000001</v>
      </c>
      <c r="H141" t="inlineStr">
        <is>
          <t>Materials</t>
        </is>
      </c>
      <c r="I141" t="inlineStr">
        <is>
          <t>Materials</t>
        </is>
      </c>
      <c r="J141" t="inlineStr">
        <is>
          <t>Metals &amp; Mining</t>
        </is>
      </c>
      <c r="M141" t="n">
        <v>5.3</v>
      </c>
      <c r="N141" t="n">
        <v>1937.83</v>
      </c>
      <c r="O141" t="inlineStr">
        <is>
          <t>Canada</t>
        </is>
      </c>
      <c r="P141" t="inlineStr">
        <is>
          <t>Canada</t>
        </is>
      </c>
      <c r="Q141" t="inlineStr">
        <is>
          <t>Friendly</t>
        </is>
      </c>
      <c r="R141" t="n">
        <v>585.8630000000001</v>
      </c>
      <c r="S141" t="n">
        <v>22.7153</v>
      </c>
      <c r="T141" t="inlineStr">
        <is>
          <t>Company Takeover</t>
        </is>
      </c>
      <c r="U141" t="inlineStr">
        <is>
          <t>No</t>
        </is>
      </c>
      <c r="V141" t="inlineStr">
        <is>
          <t>No</t>
        </is>
      </c>
      <c r="W141" t="inlineStr">
        <is>
          <t>No</t>
        </is>
      </c>
      <c r="X141" t="inlineStr">
        <is>
          <t>No</t>
        </is>
      </c>
      <c r="Y141" t="inlineStr">
        <is>
          <t>No</t>
        </is>
      </c>
      <c r="Z141" t="inlineStr">
        <is>
          <t>No</t>
        </is>
      </c>
      <c r="AA141" t="n">
        <v>3.331010011</v>
      </c>
      <c r="AB141" t="n">
        <v>2.767796071</v>
      </c>
      <c r="AC141" t="n">
        <v>3.287315675</v>
      </c>
      <c r="AD141">
        <f t="array" ref="AD160">IF(SUMPRODUCT(--($AM$2:$AM$112=TRIM(LEFT($B160,IFERROR(FIND(" ",$B160)-1,LEN($B160))))))&gt;0,1,0)</f>
        <v/>
      </c>
      <c r="AE141">
        <f t="array" ref="AE160">IF(SUMPRODUCT(--($AO$2:$AO$145=TRIM(LEFT($B160,IFERROR(FIND(" ",$B160)-1,LEN($B160))))))&gt;0,1,0)</f>
        <v/>
      </c>
      <c r="AF141">
        <f t="array" ref="AF160">IF(SUMPRODUCT(--($AQ$2:$AQ$71=TRIM(LEFT($B160,IFERROR(FIND(" ",$B160)-1,LEN($B160))))))&gt;0,1,0)</f>
        <v/>
      </c>
    </row>
    <row r="142">
      <c r="A142" t="n">
        <v>91</v>
      </c>
      <c r="B142" t="inlineStr">
        <is>
          <t>PLYA US</t>
        </is>
      </c>
      <c r="C142" t="inlineStr">
        <is>
          <t>H US</t>
        </is>
      </c>
      <c r="D142" s="1" t="n">
        <v>45698</v>
      </c>
      <c r="E142" t="n">
        <v>2352.75</v>
      </c>
      <c r="F142" t="inlineStr">
        <is>
          <t>Cash</t>
        </is>
      </c>
      <c r="G142" t="n">
        <v>3.33</v>
      </c>
      <c r="H142" t="inlineStr">
        <is>
          <t>Consumer Discretionary</t>
        </is>
      </c>
      <c r="I142" t="inlineStr">
        <is>
          <t>Consumer Discretionary Services</t>
        </is>
      </c>
      <c r="J142" t="inlineStr">
        <is>
          <t>Leisure Facilities &amp; Services</t>
        </is>
      </c>
      <c r="M142" t="n">
        <v>7.97</v>
      </c>
      <c r="N142" t="n">
        <v>1486.73</v>
      </c>
      <c r="O142" t="inlineStr">
        <is>
          <t>United States</t>
        </is>
      </c>
      <c r="P142" t="inlineStr">
        <is>
          <t>United States</t>
        </is>
      </c>
      <c r="Q142" t="inlineStr">
        <is>
          <t>Friendly</t>
        </is>
      </c>
      <c r="R142" t="n">
        <v>938.569</v>
      </c>
      <c r="S142" t="n">
        <v>16.4833</v>
      </c>
      <c r="T142" t="inlineStr">
        <is>
          <t>Company Takeover, Additional Stake Purchase, Tender Offer</t>
        </is>
      </c>
      <c r="U142" t="inlineStr">
        <is>
          <t>Yes</t>
        </is>
      </c>
      <c r="V142" t="inlineStr">
        <is>
          <t>No</t>
        </is>
      </c>
      <c r="W142" t="inlineStr">
        <is>
          <t>No</t>
        </is>
      </c>
      <c r="X142" t="inlineStr">
        <is>
          <t>No</t>
        </is>
      </c>
      <c r="Y142" t="inlineStr">
        <is>
          <t>No</t>
        </is>
      </c>
      <c r="Z142" t="inlineStr">
        <is>
          <t>Yes</t>
        </is>
      </c>
      <c r="AA142" t="n">
        <v>3.371575782</v>
      </c>
      <c r="AB142" t="n">
        <v>2.972466206</v>
      </c>
      <c r="AC142" t="n">
        <v>3.172232105</v>
      </c>
      <c r="AD142">
        <f t="array" ref="AD162">IF(SUMPRODUCT(--($AM$2:$AM$112=TRIM(LEFT($B162,IFERROR(FIND(" ",$B162)-1,LEN($B162))))))&gt;0,1,0)</f>
        <v/>
      </c>
      <c r="AE142">
        <f t="array" ref="AE162">IF(SUMPRODUCT(--($AO$2:$AO$145=TRIM(LEFT($B162,IFERROR(FIND(" ",$B162)-1,LEN($B162))))))&gt;0,1,0)</f>
        <v/>
      </c>
      <c r="AF142">
        <f t="array" ref="AF162">IF(SUMPRODUCT(--($AQ$2:$AQ$71=TRIM(LEFT($B162,IFERROR(FIND(" ",$B162)-1,LEN($B162))))))&gt;0,1,0)</f>
        <v/>
      </c>
    </row>
    <row r="143">
      <c r="A143" t="n">
        <v>75</v>
      </c>
      <c r="B143" t="inlineStr">
        <is>
          <t>HEES US</t>
        </is>
      </c>
      <c r="C143" t="inlineStr">
        <is>
          <t>HRI US</t>
        </is>
      </c>
      <c r="D143" s="1" t="n">
        <v>45707</v>
      </c>
      <c r="E143" t="n">
        <v>5590.69</v>
      </c>
      <c r="F143" t="inlineStr">
        <is>
          <t>Cash and Stock</t>
        </is>
      </c>
      <c r="G143" t="n">
        <v>8.01</v>
      </c>
      <c r="H143" t="inlineStr">
        <is>
          <t>Industrials</t>
        </is>
      </c>
      <c r="I143" t="inlineStr">
        <is>
          <t>Industrial Services</t>
        </is>
      </c>
      <c r="J143" t="inlineStr">
        <is>
          <t>Industrial Support Services</t>
        </is>
      </c>
      <c r="L143" t="n">
        <v>208.366</v>
      </c>
      <c r="M143" t="n">
        <v>18.32</v>
      </c>
      <c r="N143" t="n">
        <v>3841.8</v>
      </c>
      <c r="O143" t="inlineStr">
        <is>
          <t>United States</t>
        </is>
      </c>
      <c r="P143" t="inlineStr">
        <is>
          <t>United States</t>
        </is>
      </c>
      <c r="Q143" t="inlineStr">
        <is>
          <t>Friendly</t>
        </is>
      </c>
      <c r="R143" t="n">
        <v>1516.58</v>
      </c>
      <c r="S143" t="n">
        <v>12.5035</v>
      </c>
      <c r="T143" t="inlineStr">
        <is>
          <t>Company Takeover, Competing Bid, Tender Offer, Squeeze out</t>
        </is>
      </c>
      <c r="U143" t="inlineStr">
        <is>
          <t>No</t>
        </is>
      </c>
      <c r="V143" t="inlineStr">
        <is>
          <t>Yes</t>
        </is>
      </c>
      <c r="W143" t="inlineStr">
        <is>
          <t>No</t>
        </is>
      </c>
      <c r="X143" t="inlineStr">
        <is>
          <t>No</t>
        </is>
      </c>
      <c r="Y143" t="inlineStr">
        <is>
          <t>No</t>
        </is>
      </c>
      <c r="Z143" t="inlineStr">
        <is>
          <t>Yes</t>
        </is>
      </c>
      <c r="AA143" t="n">
        <v>3.747465412</v>
      </c>
      <c r="AB143" t="n">
        <v>3.180865324</v>
      </c>
      <c r="AC143" t="n">
        <v>3.584534752</v>
      </c>
      <c r="AD143">
        <f t="array" ref="AD163">IF(SUMPRODUCT(--($AM$2:$AM$112=TRIM(LEFT($B163,IFERROR(FIND(" ",$B163)-1,LEN($B163))))))&gt;0,1,0)</f>
        <v/>
      </c>
      <c r="AE143">
        <f t="array" ref="AE163">IF(SUMPRODUCT(--($AO$2:$AO$145=TRIM(LEFT($B163,IFERROR(FIND(" ",$B163)-1,LEN($B163))))))&gt;0,1,0)</f>
        <v/>
      </c>
      <c r="AF143">
        <f t="array" ref="AF163">IF(SUMPRODUCT(--($AQ$2:$AQ$71=TRIM(LEFT($B163,IFERROR(FIND(" ",$B163)-1,LEN($B163))))))&gt;0,1,0)</f>
        <v/>
      </c>
    </row>
    <row r="144">
      <c r="A144" t="n">
        <v>48</v>
      </c>
      <c r="B144" t="inlineStr">
        <is>
          <t>VRN CN</t>
        </is>
      </c>
      <c r="C144" t="inlineStr">
        <is>
          <t>WCP CN</t>
        </is>
      </c>
      <c r="D144" s="1" t="n">
        <v>45726</v>
      </c>
      <c r="E144" t="n">
        <v>6423.07</v>
      </c>
      <c r="F144" t="inlineStr">
        <is>
          <t>Stock</t>
        </is>
      </c>
      <c r="G144" t="n">
        <v>1.58</v>
      </c>
      <c r="H144" t="inlineStr">
        <is>
          <t>Energy</t>
        </is>
      </c>
      <c r="I144" t="inlineStr">
        <is>
          <t>Oil &amp; Gas</t>
        </is>
      </c>
      <c r="J144" t="inlineStr">
        <is>
          <t>Oil &amp; Gas Supply Chain</t>
        </is>
      </c>
      <c r="M144" t="n">
        <v>39.25</v>
      </c>
      <c r="N144" t="n">
        <v>4312.9</v>
      </c>
      <c r="O144" t="inlineStr">
        <is>
          <t>Canada</t>
        </is>
      </c>
      <c r="P144" t="inlineStr">
        <is>
          <t>Canada</t>
        </is>
      </c>
      <c r="Q144" t="inlineStr">
        <is>
          <t>Friendly</t>
        </is>
      </c>
      <c r="R144" t="n">
        <v>2899.85</v>
      </c>
      <c r="S144" t="n">
        <v>14.9741</v>
      </c>
      <c r="T144" t="inlineStr">
        <is>
          <t>Company Takeover, Reverse Merger</t>
        </is>
      </c>
      <c r="U144" t="inlineStr">
        <is>
          <t>No</t>
        </is>
      </c>
      <c r="V144" t="inlineStr">
        <is>
          <t>No</t>
        </is>
      </c>
      <c r="W144" t="inlineStr">
        <is>
          <t>No</t>
        </is>
      </c>
      <c r="X144" t="inlineStr">
        <is>
          <t>No</t>
        </is>
      </c>
      <c r="Y144" t="inlineStr">
        <is>
          <t>No</t>
        </is>
      </c>
      <c r="Z144" t="inlineStr">
        <is>
          <t>No</t>
        </is>
      </c>
      <c r="AA144" t="n">
        <v>3.807742655</v>
      </c>
      <c r="AB144" t="n">
        <v>3.462375534</v>
      </c>
      <c r="AC144" t="n">
        <v>3.634769389</v>
      </c>
      <c r="AD144">
        <f t="array" ref="AD166">IF(SUMPRODUCT(--($AM$2:$AM$112=TRIM(LEFT($B166,IFERROR(FIND(" ",$B166)-1,LEN($B166))))))&gt;0,1,0)</f>
        <v/>
      </c>
      <c r="AE144">
        <f t="array" ref="AE166">IF(SUMPRODUCT(--($AO$2:$AO$145=TRIM(LEFT($B166,IFERROR(FIND(" ",$B166)-1,LEN($B166))))))&gt;0,1,0)</f>
        <v/>
      </c>
      <c r="AF144">
        <f t="array" ref="AF166">IF(SUMPRODUCT(--($AQ$2:$AQ$71=TRIM(LEFT($B166,IFERROR(FIND(" ",$B166)-1,LEN($B166))))))&gt;0,1,0)</f>
        <v/>
      </c>
    </row>
    <row r="145">
      <c r="A145" t="n">
        <v>68</v>
      </c>
      <c r="B145" t="inlineStr">
        <is>
          <t>BECN US</t>
        </is>
      </c>
      <c r="C145" t="inlineStr">
        <is>
          <t>QXO US</t>
        </is>
      </c>
      <c r="D145" s="1" t="n">
        <v>45684</v>
      </c>
      <c r="E145" t="n">
        <v>11394.08</v>
      </c>
      <c r="F145" t="inlineStr">
        <is>
          <t>Cash</t>
        </is>
      </c>
      <c r="G145" t="n">
        <v>11.24</v>
      </c>
      <c r="H145" t="inlineStr">
        <is>
          <t>Consumer Discretionary</t>
        </is>
      </c>
      <c r="I145" t="inlineStr">
        <is>
          <t>Retail &amp; Whsle - Discretionary</t>
        </is>
      </c>
      <c r="J145" t="inlineStr">
        <is>
          <t>Retail - Discretionary</t>
        </is>
      </c>
      <c r="M145" t="n">
        <v>3.85</v>
      </c>
      <c r="N145" t="n">
        <v>7755.28</v>
      </c>
      <c r="O145" t="inlineStr">
        <is>
          <t>United States</t>
        </is>
      </c>
      <c r="P145" t="inlineStr">
        <is>
          <t>United States</t>
        </is>
      </c>
      <c r="Q145" t="inlineStr">
        <is>
          <t>Hostile to Friendly</t>
        </is>
      </c>
      <c r="R145" t="n">
        <v>9763.200000000001</v>
      </c>
      <c r="S145" t="n">
        <v>6.11666</v>
      </c>
      <c r="T145" t="inlineStr">
        <is>
          <t>Company Takeover, Tender Offer, Squeeze out</t>
        </is>
      </c>
      <c r="U145" t="inlineStr">
        <is>
          <t>No</t>
        </is>
      </c>
      <c r="V145" t="inlineStr">
        <is>
          <t>No</t>
        </is>
      </c>
      <c r="W145" t="inlineStr">
        <is>
          <t>No</t>
        </is>
      </c>
      <c r="X145" t="inlineStr">
        <is>
          <t>No</t>
        </is>
      </c>
      <c r="Y145" t="inlineStr">
        <is>
          <t>No</t>
        </is>
      </c>
      <c r="Z145" t="inlineStr">
        <is>
          <t>Yes</t>
        </is>
      </c>
      <c r="AA145" t="n">
        <v>4.056679264</v>
      </c>
      <c r="AB145" t="n">
        <v>3.989592186</v>
      </c>
      <c r="AC145" t="n">
        <v>3.889597482</v>
      </c>
      <c r="AD145">
        <f t="array" ref="AD168">IF(SUMPRODUCT(--($AM$2:$AM$112=TRIM(LEFT($B168,IFERROR(FIND(" ",$B168)-1,LEN($B168))))))&gt;0,1,0)</f>
        <v/>
      </c>
      <c r="AE145">
        <f t="array" ref="AE168">IF(SUMPRODUCT(--($AO$2:$AO$145=TRIM(LEFT($B168,IFERROR(FIND(" ",$B168)-1,LEN($B168))))))&gt;0,1,0)</f>
        <v/>
      </c>
      <c r="AF145">
        <f t="array" ref="AF168">IF(SUMPRODUCT(--($AQ$2:$AQ$71=TRIM(LEFT($B168,IFERROR(FIND(" ",$B168)-1,LEN($B168))))))&gt;0,1,0)</f>
        <v/>
      </c>
    </row>
    <row r="146">
      <c r="A146" t="n">
        <v>55</v>
      </c>
      <c r="B146" t="inlineStr">
        <is>
          <t>CTS CN</t>
        </is>
      </c>
      <c r="C146" t="inlineStr">
        <is>
          <t>61128Z US</t>
        </is>
      </c>
      <c r="D146" s="1" t="n">
        <v>45695</v>
      </c>
      <c r="E146" t="n">
        <v>881.16</v>
      </c>
      <c r="F146" t="inlineStr">
        <is>
          <t>Cash</t>
        </is>
      </c>
      <c r="G146" t="n">
        <v>8.43</v>
      </c>
      <c r="H146" t="inlineStr">
        <is>
          <t>Technology</t>
        </is>
      </c>
      <c r="I146" t="inlineStr">
        <is>
          <t>Software &amp; Tech Services</t>
        </is>
      </c>
      <c r="J146" t="inlineStr">
        <is>
          <t>IT Services</t>
        </is>
      </c>
      <c r="L146" t="n">
        <v>34.4</v>
      </c>
      <c r="M146" t="n">
        <v>69.66</v>
      </c>
      <c r="N146" t="n">
        <v>791.7</v>
      </c>
      <c r="O146" t="inlineStr">
        <is>
          <t>Canada</t>
        </is>
      </c>
      <c r="P146" t="inlineStr">
        <is>
          <t>United States</t>
        </is>
      </c>
      <c r="Q146" t="inlineStr">
        <is>
          <t>Friendly</t>
        </is>
      </c>
      <c r="R146" t="n">
        <v>1892.32</v>
      </c>
      <c r="S146" t="n">
        <v>-5.48791</v>
      </c>
      <c r="T146" t="inlineStr">
        <is>
          <t>Company Takeover, Cross Border, Going Private, PE Buyout, Private Equity</t>
        </is>
      </c>
      <c r="U146" t="inlineStr">
        <is>
          <t>No</t>
        </is>
      </c>
      <c r="V146" t="inlineStr">
        <is>
          <t>No</t>
        </is>
      </c>
      <c r="W146" t="inlineStr">
        <is>
          <t>Yes</t>
        </is>
      </c>
      <c r="X146" t="inlineStr">
        <is>
          <t>Yes</t>
        </is>
      </c>
      <c r="Y146" t="inlineStr">
        <is>
          <t>Yes</t>
        </is>
      </c>
      <c r="Z146" t="inlineStr">
        <is>
          <t>No</t>
        </is>
      </c>
      <c r="AA146" t="n">
        <v>2.945054774</v>
      </c>
      <c r="AB146" t="n">
        <v>3.276994579</v>
      </c>
      <c r="AC146" t="n">
        <v>2.898560645</v>
      </c>
      <c r="AD146">
        <f t="array" ref="AD169">IF(SUMPRODUCT(--($AM$2:$AM$112=TRIM(LEFT($B169,IFERROR(FIND(" ",$B169)-1,LEN($B169))))))&gt;0,1,0)</f>
        <v/>
      </c>
      <c r="AE146">
        <f t="array" ref="AE169">IF(SUMPRODUCT(--($AO$2:$AO$145=TRIM(LEFT($B169,IFERROR(FIND(" ",$B169)-1,LEN($B169))))))&gt;0,1,0)</f>
        <v/>
      </c>
      <c r="AF146">
        <f t="array" ref="AF169">IF(SUMPRODUCT(--($AQ$2:$AQ$71=TRIM(LEFT($B169,IFERROR(FIND(" ",$B169)-1,LEN($B169))))))&gt;0,1,0)</f>
        <v/>
      </c>
    </row>
    <row r="147">
      <c r="A147" t="n">
        <v>35</v>
      </c>
      <c r="B147" t="inlineStr">
        <is>
          <t>CMRX US</t>
        </is>
      </c>
      <c r="C147" t="inlineStr">
        <is>
          <t>JAZZ US</t>
        </is>
      </c>
      <c r="D147" s="1" t="n">
        <v>45721</v>
      </c>
      <c r="E147" t="n">
        <v>634.0700000000001</v>
      </c>
      <c r="F147" t="inlineStr">
        <is>
          <t>Cash</t>
        </is>
      </c>
      <c r="H147" t="inlineStr">
        <is>
          <t>Health Care</t>
        </is>
      </c>
      <c r="I147" t="inlineStr">
        <is>
          <t>Health Care</t>
        </is>
      </c>
      <c r="J147" t="inlineStr">
        <is>
          <t>Biotech &amp; Pharma</t>
        </is>
      </c>
      <c r="M147" t="n">
        <v>85.31</v>
      </c>
      <c r="N147" t="n">
        <v>768.95</v>
      </c>
      <c r="O147" t="inlineStr">
        <is>
          <t>United States</t>
        </is>
      </c>
      <c r="P147" t="inlineStr">
        <is>
          <t>United States</t>
        </is>
      </c>
      <c r="Q147" t="inlineStr">
        <is>
          <t>Friendly</t>
        </is>
      </c>
      <c r="R147" t="n">
        <v>0.212</v>
      </c>
      <c r="S147" t="n">
        <v>-45550.5</v>
      </c>
      <c r="T147" t="inlineStr">
        <is>
          <t>Company Takeover, Tender Offer</t>
        </is>
      </c>
      <c r="U147" t="inlineStr">
        <is>
          <t>No</t>
        </is>
      </c>
      <c r="V147" t="inlineStr">
        <is>
          <t>No</t>
        </is>
      </c>
      <c r="W147" t="inlineStr">
        <is>
          <t>No</t>
        </is>
      </c>
      <c r="X147" t="inlineStr">
        <is>
          <t>No</t>
        </is>
      </c>
      <c r="Y147" t="inlineStr">
        <is>
          <t>No</t>
        </is>
      </c>
      <c r="Z147" t="inlineStr">
        <is>
          <t>Yes</t>
        </is>
      </c>
      <c r="AA147" t="n">
        <v>2.802137206</v>
      </c>
      <c r="AB147" t="n">
        <v>-0.6736641391</v>
      </c>
      <c r="AC147" t="n">
        <v>2.885898101</v>
      </c>
      <c r="AD147">
        <f t="array" ref="AD170">IF(SUMPRODUCT(--($AM$2:$AM$112=TRIM(LEFT($B170,IFERROR(FIND(" ",$B170)-1,LEN($B170))))))&gt;0,1,0)</f>
        <v/>
      </c>
      <c r="AE147">
        <f t="array" ref="AE170">IF(SUMPRODUCT(--($AO$2:$AO$145=TRIM(LEFT($B170,IFERROR(FIND(" ",$B170)-1,LEN($B170))))))&gt;0,1,0)</f>
        <v/>
      </c>
      <c r="AF147">
        <f t="array" ref="AF170">IF(SUMPRODUCT(--($AQ$2:$AQ$71=TRIM(LEFT($B170,IFERROR(FIND(" ",$B170)-1,LEN($B170))))))&gt;0,1,0)</f>
        <v/>
      </c>
    </row>
    <row r="148">
      <c r="A148" t="n">
        <v>60</v>
      </c>
      <c r="B148" t="inlineStr">
        <is>
          <t>FNA US</t>
        </is>
      </c>
      <c r="C148" t="inlineStr">
        <is>
          <t>ZBH US</t>
        </is>
      </c>
      <c r="D148" s="1" t="n">
        <v>45685</v>
      </c>
      <c r="E148" t="n">
        <v>1175.59</v>
      </c>
      <c r="F148" t="inlineStr">
        <is>
          <t>Cash</t>
        </is>
      </c>
      <c r="H148" t="inlineStr">
        <is>
          <t>Health Care</t>
        </is>
      </c>
      <c r="I148" t="inlineStr">
        <is>
          <t>Health Care</t>
        </is>
      </c>
      <c r="J148" t="inlineStr">
        <is>
          <t>Medical Equipment &amp; Devices</t>
        </is>
      </c>
      <c r="L148" t="n">
        <v>40</v>
      </c>
      <c r="M148" t="n">
        <v>20.49</v>
      </c>
      <c r="N148" t="n">
        <v>1103.12</v>
      </c>
      <c r="O148" t="inlineStr">
        <is>
          <t>United States</t>
        </is>
      </c>
      <c r="P148" t="inlineStr">
        <is>
          <t>United States</t>
        </is>
      </c>
      <c r="Q148" t="inlineStr">
        <is>
          <t>Friendly</t>
        </is>
      </c>
      <c r="R148" t="n">
        <v>256.182</v>
      </c>
      <c r="S148" t="n">
        <v>-15.9176</v>
      </c>
      <c r="T148" t="inlineStr">
        <is>
          <t>Company Takeover</t>
        </is>
      </c>
      <c r="U148" t="inlineStr">
        <is>
          <t>No</t>
        </is>
      </c>
      <c r="V148" t="inlineStr">
        <is>
          <t>No</t>
        </is>
      </c>
      <c r="W148" t="inlineStr">
        <is>
          <t>No</t>
        </is>
      </c>
      <c r="X148" t="inlineStr">
        <is>
          <t>No</t>
        </is>
      </c>
      <c r="Y148" t="inlineStr">
        <is>
          <t>No</t>
        </is>
      </c>
      <c r="Z148" t="inlineStr">
        <is>
          <t>No</t>
        </is>
      </c>
      <c r="AA148" t="n">
        <v>3.070255883</v>
      </c>
      <c r="AB148" t="n">
        <v>2.408548612</v>
      </c>
      <c r="AC148" t="n">
        <v>3.042622759</v>
      </c>
      <c r="AD148">
        <f t="array" ref="AD172">IF(SUMPRODUCT(--($AM$2:$AM$112=TRIM(LEFT($B172,IFERROR(FIND(" ",$B172)-1,LEN($B172))))))&gt;0,1,0)</f>
        <v/>
      </c>
      <c r="AE148">
        <f t="array" ref="AE172">IF(SUMPRODUCT(--($AO$2:$AO$145=TRIM(LEFT($B172,IFERROR(FIND(" ",$B172)-1,LEN($B172))))))&gt;0,1,0)</f>
        <v/>
      </c>
      <c r="AF148">
        <f t="array" ref="AF172">IF(SUMPRODUCT(--($AQ$2:$AQ$71=TRIM(LEFT($B172,IFERROR(FIND(" ",$B172)-1,LEN($B172))))))&gt;0,1,0)</f>
        <v/>
      </c>
    </row>
    <row r="149">
      <c r="A149" t="n">
        <v>71</v>
      </c>
      <c r="B149" t="inlineStr">
        <is>
          <t>ENFN US</t>
        </is>
      </c>
      <c r="C149" t="inlineStr">
        <is>
          <t>CWAN US</t>
        </is>
      </c>
      <c r="D149" s="1" t="n">
        <v>45670</v>
      </c>
      <c r="E149" t="n">
        <v>998.65</v>
      </c>
      <c r="F149" t="inlineStr">
        <is>
          <t>Cash or Stock</t>
        </is>
      </c>
      <c r="H149" t="inlineStr">
        <is>
          <t>Technology</t>
        </is>
      </c>
      <c r="I149" t="inlineStr">
        <is>
          <t>Software &amp; Tech Services</t>
        </is>
      </c>
      <c r="J149" t="inlineStr">
        <is>
          <t>Software</t>
        </is>
      </c>
      <c r="M149" t="n">
        <v>4.15</v>
      </c>
      <c r="N149" t="n">
        <v>1025.82</v>
      </c>
      <c r="O149" t="inlineStr">
        <is>
          <t>United States</t>
        </is>
      </c>
      <c r="P149" t="inlineStr">
        <is>
          <t>United States</t>
        </is>
      </c>
      <c r="Q149" t="inlineStr">
        <is>
          <t>Friendly</t>
        </is>
      </c>
      <c r="R149" t="n">
        <v>201.611</v>
      </c>
      <c r="S149" t="n">
        <v>3.05291</v>
      </c>
      <c r="T149" t="inlineStr">
        <is>
          <t>Company Takeover</t>
        </is>
      </c>
      <c r="U149" t="inlineStr">
        <is>
          <t>No</t>
        </is>
      </c>
      <c r="V149" t="inlineStr">
        <is>
          <t>No</t>
        </is>
      </c>
      <c r="W149" t="inlineStr">
        <is>
          <t>No</t>
        </is>
      </c>
      <c r="X149" t="inlineStr">
        <is>
          <t>No</t>
        </is>
      </c>
      <c r="Y149" t="inlineStr">
        <is>
          <t>No</t>
        </is>
      </c>
      <c r="Z149" t="inlineStr">
        <is>
          <t>No</t>
        </is>
      </c>
      <c r="AA149" t="n">
        <v>2.999413306</v>
      </c>
      <c r="AB149" t="n">
        <v>2.304514224</v>
      </c>
      <c r="AC149" t="n">
        <v>3.011071162</v>
      </c>
      <c r="AD149">
        <f t="array" ref="AD173">IF(SUMPRODUCT(--($AM$2:$AM$112=TRIM(LEFT($B173,IFERROR(FIND(" ",$B173)-1,LEN($B173))))))&gt;0,1,0)</f>
        <v/>
      </c>
      <c r="AE149">
        <f t="array" ref="AE173">IF(SUMPRODUCT(--($AO$2:$AO$145=TRIM(LEFT($B173,IFERROR(FIND(" ",$B173)-1,LEN($B173))))))&gt;0,1,0)</f>
        <v/>
      </c>
      <c r="AF149">
        <f t="array" ref="AF173">IF(SUMPRODUCT(--($AQ$2:$AQ$71=TRIM(LEFT($B173,IFERROR(FIND(" ",$B173)-1,LEN($B173))))))&gt;0,1,0)</f>
        <v/>
      </c>
    </row>
    <row r="150">
      <c r="A150" t="n">
        <v>49</v>
      </c>
      <c r="B150" t="inlineStr">
        <is>
          <t>SWI US</t>
        </is>
      </c>
      <c r="C150" t="inlineStr">
        <is>
          <t>0212567D US</t>
        </is>
      </c>
      <c r="D150" s="1" t="n">
        <v>45695</v>
      </c>
      <c r="E150" t="n">
        <v>4217.81</v>
      </c>
      <c r="F150" t="inlineStr">
        <is>
          <t>Cash</t>
        </is>
      </c>
      <c r="H150" t="inlineStr">
        <is>
          <t>Technology</t>
        </is>
      </c>
      <c r="I150" t="inlineStr">
        <is>
          <t>Software &amp; Tech Services</t>
        </is>
      </c>
      <c r="J150" t="inlineStr">
        <is>
          <t>Software</t>
        </is>
      </c>
      <c r="M150" t="n">
        <v>27.62</v>
      </c>
      <c r="N150" t="n">
        <v>3157.77</v>
      </c>
      <c r="O150" t="inlineStr">
        <is>
          <t>United States</t>
        </is>
      </c>
      <c r="P150" t="inlineStr">
        <is>
          <t>United States</t>
        </is>
      </c>
      <c r="Q150" t="inlineStr">
        <is>
          <t>Friendly</t>
        </is>
      </c>
      <c r="R150" t="n">
        <v>796.895</v>
      </c>
      <c r="S150" t="n">
        <v>26.1539</v>
      </c>
      <c r="T150" t="inlineStr">
        <is>
          <t>Company Takeover, Going Private, Private Equity, PE Buyout</t>
        </is>
      </c>
      <c r="U150" t="inlineStr">
        <is>
          <t>No</t>
        </is>
      </c>
      <c r="V150" t="inlineStr">
        <is>
          <t>No</t>
        </is>
      </c>
      <c r="W150" t="inlineStr">
        <is>
          <t>No</t>
        </is>
      </c>
      <c r="X150" t="inlineStr">
        <is>
          <t>Yes</t>
        </is>
      </c>
      <c r="Y150" t="inlineStr">
        <is>
          <t>Yes</t>
        </is>
      </c>
      <c r="Z150" t="inlineStr">
        <is>
          <t>No</t>
        </is>
      </c>
      <c r="AA150" t="n">
        <v>3.625087012</v>
      </c>
      <c r="AB150" t="n">
        <v>2.901401102</v>
      </c>
      <c r="AC150" t="n">
        <v>3.499380494</v>
      </c>
      <c r="AD150">
        <f t="array" ref="AD175">IF(SUMPRODUCT(--($AM$2:$AM$112=TRIM(LEFT($B175,IFERROR(FIND(" ",$B175)-1,LEN($B175))))))&gt;0,1,0)</f>
        <v/>
      </c>
      <c r="AE150">
        <f t="array" ref="AE175">IF(SUMPRODUCT(--($AO$2:$AO$145=TRIM(LEFT($B175,IFERROR(FIND(" ",$B175)-1,LEN($B175))))))&gt;0,1,0)</f>
        <v/>
      </c>
      <c r="AF150">
        <f t="array" ref="AF175">IF(SUMPRODUCT(--($AQ$2:$AQ$71=TRIM(LEFT($B175,IFERROR(FIND(" ",$B175)-1,LEN($B175))))))&gt;0,1,0)</f>
        <v/>
      </c>
    </row>
    <row r="151">
      <c r="A151" t="n">
        <v>50</v>
      </c>
      <c r="B151" t="inlineStr">
        <is>
          <t>AMPS US</t>
        </is>
      </c>
      <c r="C151" t="inlineStr">
        <is>
          <t>3561950Z US</t>
        </is>
      </c>
      <c r="D151" s="1" t="n">
        <v>45694</v>
      </c>
      <c r="E151" t="n">
        <v>803.98</v>
      </c>
      <c r="F151" t="inlineStr">
        <is>
          <t>Cash</t>
        </is>
      </c>
      <c r="G151" t="n">
        <v>17.52</v>
      </c>
      <c r="H151" t="inlineStr">
        <is>
          <t>Utilities</t>
        </is>
      </c>
      <c r="I151" t="inlineStr">
        <is>
          <t>Utilities</t>
        </is>
      </c>
      <c r="J151" t="inlineStr">
        <is>
          <t>Electric Utilities</t>
        </is>
      </c>
      <c r="K151" t="n">
        <v>70</v>
      </c>
      <c r="L151" t="n">
        <v>60</v>
      </c>
      <c r="M151" t="n">
        <v>29.05</v>
      </c>
      <c r="N151" t="n">
        <v>803.98</v>
      </c>
      <c r="O151" t="inlineStr">
        <is>
          <t>United States</t>
        </is>
      </c>
      <c r="P151" t="inlineStr">
        <is>
          <t>United States</t>
        </is>
      </c>
      <c r="Q151" t="inlineStr">
        <is>
          <t>Friendly</t>
        </is>
      </c>
      <c r="R151" t="n">
        <v>196.265</v>
      </c>
      <c r="S151" t="n">
        <v>15.0608</v>
      </c>
      <c r="T151" t="inlineStr">
        <is>
          <t>Company Takeover, PE Buyout, Private Equity, Going Private</t>
        </is>
      </c>
      <c r="U151" t="inlineStr">
        <is>
          <t>No</t>
        </is>
      </c>
      <c r="V151" t="inlineStr">
        <is>
          <t>No</t>
        </is>
      </c>
      <c r="W151" t="inlineStr">
        <is>
          <t>No</t>
        </is>
      </c>
      <c r="X151" t="inlineStr">
        <is>
          <t>Yes</t>
        </is>
      </c>
      <c r="Y151" t="inlineStr">
        <is>
          <t>Yes</t>
        </is>
      </c>
      <c r="Z151" t="inlineStr">
        <is>
          <t>No</t>
        </is>
      </c>
      <c r="AA151" t="n">
        <v>2.905245245</v>
      </c>
      <c r="AB151" t="n">
        <v>2.292842859</v>
      </c>
      <c r="AC151" t="n">
        <v>2.905245245</v>
      </c>
      <c r="AD151">
        <f t="array" ref="AD177">IF(SUMPRODUCT(--($AM$2:$AM$112=TRIM(LEFT($B177,IFERROR(FIND(" ",$B177)-1,LEN($B177))))))&gt;0,1,0)</f>
        <v/>
      </c>
      <c r="AE151">
        <f t="array" ref="AE177">IF(SUMPRODUCT(--($AO$2:$AO$145=TRIM(LEFT($B177,IFERROR(FIND(" ",$B177)-1,LEN($B177))))))&gt;0,1,0)</f>
        <v/>
      </c>
      <c r="AF151">
        <f t="array" ref="AF177">IF(SUMPRODUCT(--($AQ$2:$AQ$71=TRIM(LEFT($B177,IFERROR(FIND(" ",$B177)-1,LEN($B177))))))&gt;0,1,0)</f>
        <v/>
      </c>
    </row>
    <row r="152">
      <c r="A152" t="n">
        <v>71</v>
      </c>
      <c r="B152" t="inlineStr">
        <is>
          <t>PYCR US</t>
        </is>
      </c>
      <c r="C152" t="inlineStr">
        <is>
          <t>PAYX US</t>
        </is>
      </c>
      <c r="D152" s="1" t="n">
        <v>45664</v>
      </c>
      <c r="E152" t="n">
        <v>3957.36</v>
      </c>
      <c r="F152" t="inlineStr">
        <is>
          <t>Cash</t>
        </is>
      </c>
      <c r="H152" t="inlineStr">
        <is>
          <t>Technology</t>
        </is>
      </c>
      <c r="I152" t="inlineStr">
        <is>
          <t>Software &amp; Tech Services</t>
        </is>
      </c>
      <c r="J152" t="inlineStr">
        <is>
          <t>Software</t>
        </is>
      </c>
      <c r="M152" t="n">
        <v>15.39</v>
      </c>
      <c r="N152" t="n">
        <v>4042.32</v>
      </c>
      <c r="O152" t="inlineStr">
        <is>
          <t>United States</t>
        </is>
      </c>
      <c r="P152" t="inlineStr">
        <is>
          <t>United States</t>
        </is>
      </c>
      <c r="Q152" t="inlineStr">
        <is>
          <t>Friendly</t>
        </is>
      </c>
      <c r="R152" t="n">
        <v>654.948</v>
      </c>
      <c r="S152" t="n">
        <v>-2.71046</v>
      </c>
      <c r="T152" t="inlineStr">
        <is>
          <t>Company Takeover</t>
        </is>
      </c>
      <c r="U152" t="inlineStr">
        <is>
          <t>No</t>
        </is>
      </c>
      <c r="V152" t="inlineStr">
        <is>
          <t>No</t>
        </is>
      </c>
      <c r="W152" t="inlineStr">
        <is>
          <t>No</t>
        </is>
      </c>
      <c r="X152" t="inlineStr">
        <is>
          <t>No</t>
        </is>
      </c>
      <c r="Y152" t="inlineStr">
        <is>
          <t>No</t>
        </is>
      </c>
      <c r="Z152" t="inlineStr">
        <is>
          <t>No</t>
        </is>
      </c>
      <c r="AA152" t="n">
        <v>3.59740556</v>
      </c>
      <c r="AB152" t="n">
        <v>2.81620682</v>
      </c>
      <c r="AC152" t="n">
        <v>3.60663069</v>
      </c>
      <c r="AD152">
        <f t="array" ref="AD178">IF(SUMPRODUCT(--($AM$2:$AM$112=TRIM(LEFT($B178,IFERROR(FIND(" ",$B178)-1,LEN($B178))))))&gt;0,1,0)</f>
        <v/>
      </c>
      <c r="AE152">
        <f t="array" ref="AE178">IF(SUMPRODUCT(--($AO$2:$AO$145=TRIM(LEFT($B178,IFERROR(FIND(" ",$B178)-1,LEN($B178))))))&gt;0,1,0)</f>
        <v/>
      </c>
      <c r="AF152">
        <f t="array" ref="AF178">IF(SUMPRODUCT(--($AQ$2:$AQ$71=TRIM(LEFT($B178,IFERROR(FIND(" ",$B178)-1,LEN($B178))))))&gt;0,1,0)</f>
        <v/>
      </c>
    </row>
    <row r="153">
      <c r="A153" t="n">
        <v>66</v>
      </c>
      <c r="B153" t="inlineStr">
        <is>
          <t>ACCD US</t>
        </is>
      </c>
      <c r="C153" t="inlineStr">
        <is>
          <t>2540719D US</t>
        </is>
      </c>
      <c r="D153" s="1" t="n">
        <v>45665</v>
      </c>
      <c r="E153" t="n">
        <v>570.63</v>
      </c>
      <c r="F153" t="inlineStr">
        <is>
          <t>Cash</t>
        </is>
      </c>
      <c r="H153" t="inlineStr">
        <is>
          <t>Health Care</t>
        </is>
      </c>
      <c r="I153" t="inlineStr">
        <is>
          <t>Health Care</t>
        </is>
      </c>
      <c r="J153" t="inlineStr">
        <is>
          <t>Health Care Facilities &amp; Svcs</t>
        </is>
      </c>
      <c r="K153" t="n">
        <v>29.95</v>
      </c>
      <c r="L153" t="n">
        <v>19.8</v>
      </c>
      <c r="M153" t="n">
        <v>102.65</v>
      </c>
      <c r="N153" t="n">
        <v>566.1799999999999</v>
      </c>
      <c r="O153" t="inlineStr">
        <is>
          <t>United States</t>
        </is>
      </c>
      <c r="P153" t="inlineStr">
        <is>
          <t>United States</t>
        </is>
      </c>
      <c r="Q153" t="inlineStr">
        <is>
          <t>Friendly</t>
        </is>
      </c>
      <c r="R153" t="n">
        <v>414.292</v>
      </c>
      <c r="S153" t="n">
        <v>-41.2797</v>
      </c>
      <c r="T153" t="inlineStr">
        <is>
          <t>Company Takeover, Going Private</t>
        </is>
      </c>
      <c r="U153" t="inlineStr">
        <is>
          <t>No</t>
        </is>
      </c>
      <c r="V153" t="inlineStr">
        <is>
          <t>No</t>
        </is>
      </c>
      <c r="W153" t="inlineStr">
        <is>
          <t>No</t>
        </is>
      </c>
      <c r="X153" t="inlineStr">
        <is>
          <t>Yes</t>
        </is>
      </c>
      <c r="Y153" t="inlineStr">
        <is>
          <t>No</t>
        </is>
      </c>
      <c r="Z153" t="inlineStr">
        <is>
          <t>No</t>
        </is>
      </c>
      <c r="AA153" t="n">
        <v>2.7563546</v>
      </c>
      <c r="AB153" t="n">
        <v>2.617306547</v>
      </c>
      <c r="AC153" t="n">
        <v>2.752954524</v>
      </c>
      <c r="AD153">
        <f t="array" ref="AD180">IF(SUMPRODUCT(--($AM$2:$AM$112=TRIM(LEFT($B180,IFERROR(FIND(" ",$B180)-1,LEN($B180))))))&gt;0,1,0)</f>
        <v/>
      </c>
      <c r="AE153">
        <f t="array" ref="AE180">IF(SUMPRODUCT(--($AO$2:$AO$145=TRIM(LEFT($B180,IFERROR(FIND(" ",$B180)-1,LEN($B180))))))&gt;0,1,0)</f>
        <v/>
      </c>
      <c r="AF153">
        <f t="array" ref="AF180">IF(SUMPRODUCT(--($AQ$2:$AQ$71=TRIM(LEFT($B180,IFERROR(FIND(" ",$B180)-1,LEN($B180))))))&gt;0,1,0)</f>
        <v/>
      </c>
    </row>
    <row r="154">
      <c r="A154" t="n">
        <v>59</v>
      </c>
      <c r="B154" t="inlineStr">
        <is>
          <t>ITCI US</t>
        </is>
      </c>
      <c r="C154" t="inlineStr">
        <is>
          <t>JNJ US</t>
        </is>
      </c>
      <c r="D154" s="1" t="n">
        <v>45670</v>
      </c>
      <c r="E154" t="n">
        <v>14278.69</v>
      </c>
      <c r="F154" t="inlineStr">
        <is>
          <t>Cash</t>
        </is>
      </c>
      <c r="H154" t="inlineStr">
        <is>
          <t>Health Care</t>
        </is>
      </c>
      <c r="I154" t="inlineStr">
        <is>
          <t>Health Care</t>
        </is>
      </c>
      <c r="J154" t="inlineStr">
        <is>
          <t>Biotech &amp; Pharma</t>
        </is>
      </c>
      <c r="M154" t="n">
        <v>55.83</v>
      </c>
      <c r="N154" t="n">
        <v>14278.69</v>
      </c>
      <c r="O154" t="inlineStr">
        <is>
          <t>United States</t>
        </is>
      </c>
      <c r="P154" t="inlineStr">
        <is>
          <t>United States</t>
        </is>
      </c>
      <c r="Q154" t="inlineStr">
        <is>
          <t>Friendly</t>
        </is>
      </c>
      <c r="R154" t="n">
        <v>680.852</v>
      </c>
      <c r="S154" t="n">
        <v>-17.1434</v>
      </c>
      <c r="T154" t="inlineStr">
        <is>
          <t>Company Takeover</t>
        </is>
      </c>
      <c r="U154" t="inlineStr">
        <is>
          <t>No</t>
        </is>
      </c>
      <c r="V154" t="inlineStr">
        <is>
          <t>No</t>
        </is>
      </c>
      <c r="W154" t="inlineStr">
        <is>
          <t>No</t>
        </is>
      </c>
      <c r="X154" t="inlineStr">
        <is>
          <t>No</t>
        </is>
      </c>
      <c r="Y154" t="inlineStr">
        <is>
          <t>No</t>
        </is>
      </c>
      <c r="Z154" t="inlineStr">
        <is>
          <t>No</t>
        </is>
      </c>
      <c r="AA154" t="n">
        <v>4.154688365</v>
      </c>
      <c r="AB154" t="n">
        <v>2.833052718</v>
      </c>
      <c r="AC154" t="n">
        <v>4.154688365</v>
      </c>
      <c r="AD154">
        <f t="array" ref="AD181">IF(SUMPRODUCT(--($AM$2:$AM$112=TRIM(LEFT($B181,IFERROR(FIND(" ",$B181)-1,LEN($B181))))))&gt;0,1,0)</f>
        <v/>
      </c>
      <c r="AE154">
        <f t="array" ref="AE181">IF(SUMPRODUCT(--($AO$2:$AO$145=TRIM(LEFT($B181,IFERROR(FIND(" ",$B181)-1,LEN($B181))))))&gt;0,1,0)</f>
        <v/>
      </c>
      <c r="AF154">
        <f t="array" ref="AF181">IF(SUMPRODUCT(--($AQ$2:$AQ$71=TRIM(LEFT($B181,IFERROR(FIND(" ",$B181)-1,LEN($B181))))))&gt;0,1,0)</f>
        <v/>
      </c>
    </row>
    <row r="155">
      <c r="A155" t="n">
        <v>34</v>
      </c>
      <c r="B155" t="inlineStr">
        <is>
          <t>AZPN US</t>
        </is>
      </c>
      <c r="C155" t="inlineStr">
        <is>
          <t>EMR US</t>
        </is>
      </c>
      <c r="D155" s="1" t="n">
        <v>45684</v>
      </c>
      <c r="E155" t="n">
        <v>7196.74</v>
      </c>
      <c r="F155" t="inlineStr">
        <is>
          <t>Cash</t>
        </is>
      </c>
      <c r="G155" t="n">
        <v>39.55</v>
      </c>
      <c r="H155" t="inlineStr">
        <is>
          <t>Technology</t>
        </is>
      </c>
      <c r="I155" t="inlineStr">
        <is>
          <t>Software &amp; Tech Services</t>
        </is>
      </c>
      <c r="J155" t="inlineStr">
        <is>
          <t>Software</t>
        </is>
      </c>
      <c r="M155" t="n">
        <v>5.27</v>
      </c>
      <c r="N155" t="n">
        <v>7196.74</v>
      </c>
      <c r="O155" t="inlineStr">
        <is>
          <t>United States</t>
        </is>
      </c>
      <c r="P155" t="inlineStr">
        <is>
          <t>United States</t>
        </is>
      </c>
      <c r="Q155" t="inlineStr">
        <is>
          <t>Friendly</t>
        </is>
      </c>
      <c r="R155" t="n">
        <v>1127.48</v>
      </c>
      <c r="S155" t="n">
        <v>-5.88052</v>
      </c>
      <c r="T155" t="inlineStr">
        <is>
          <t>Company Takeover, Additional Stake Purchase, Tender Offer, Squeeze out</t>
        </is>
      </c>
      <c r="U155" t="inlineStr">
        <is>
          <t>Yes</t>
        </is>
      </c>
      <c r="V155" t="inlineStr">
        <is>
          <t>No</t>
        </is>
      </c>
      <c r="W155" t="inlineStr">
        <is>
          <t>No</t>
        </is>
      </c>
      <c r="X155" t="inlineStr">
        <is>
          <t>No</t>
        </is>
      </c>
      <c r="Y155" t="inlineStr">
        <is>
          <t>No</t>
        </is>
      </c>
      <c r="Z155" t="inlineStr">
        <is>
          <t>Yes</t>
        </is>
      </c>
      <c r="AA155" t="n">
        <v>3.857135813</v>
      </c>
      <c r="AB155" t="n">
        <v>3.052108847</v>
      </c>
      <c r="AC155" t="n">
        <v>3.857135813</v>
      </c>
      <c r="AD155">
        <f t="array" ref="AD188">IF(SUMPRODUCT(--($AM$2:$AM$112=TRIM(LEFT($B188,IFERROR(FIND(" ",$B188)-1,LEN($B188))))))&gt;0,1,0)</f>
        <v/>
      </c>
      <c r="AE155">
        <f t="array" ref="AE188">IF(SUMPRODUCT(--($AO$2:$AO$145=TRIM(LEFT($B188,IFERROR(FIND(" ",$B188)-1,LEN($B188))))))&gt;0,1,0)</f>
        <v/>
      </c>
      <c r="AF155">
        <f t="array" ref="AF188">IF(SUMPRODUCT(--($AQ$2:$AQ$71=TRIM(LEFT($B188,IFERROR(FIND(" ",$B188)-1,LEN($B188))))))&gt;0,1,0)</f>
        <v/>
      </c>
    </row>
    <row r="156">
      <c r="A156" t="n">
        <v>34</v>
      </c>
      <c r="B156" t="inlineStr">
        <is>
          <t>NARI US</t>
        </is>
      </c>
      <c r="C156" t="inlineStr">
        <is>
          <t>SYK US</t>
        </is>
      </c>
      <c r="D156" s="1" t="n">
        <v>45663</v>
      </c>
      <c r="E156" t="n">
        <v>4604.72</v>
      </c>
      <c r="F156" t="inlineStr">
        <is>
          <t>Cash</t>
        </is>
      </c>
      <c r="H156" t="inlineStr">
        <is>
          <t>Health Care</t>
        </is>
      </c>
      <c r="I156" t="inlineStr">
        <is>
          <t>Health Care</t>
        </is>
      </c>
      <c r="J156" t="inlineStr">
        <is>
          <t>Medical Equipment &amp; Devices</t>
        </is>
      </c>
      <c r="L156" t="n">
        <v>163</v>
      </c>
      <c r="M156" t="n">
        <v>48.5</v>
      </c>
      <c r="N156" t="n">
        <v>4683.53</v>
      </c>
      <c r="O156" t="inlineStr">
        <is>
          <t>United States</t>
        </is>
      </c>
      <c r="P156" t="inlineStr">
        <is>
          <t>United States</t>
        </is>
      </c>
      <c r="Q156" t="inlineStr">
        <is>
          <t>Friendly</t>
        </is>
      </c>
      <c r="R156" t="n">
        <v>493.632</v>
      </c>
      <c r="S156" t="n">
        <v>-10.877</v>
      </c>
      <c r="T156" t="inlineStr">
        <is>
          <t>Company Takeover, Tender Offer, Squeeze out</t>
        </is>
      </c>
      <c r="U156" t="inlineStr">
        <is>
          <t>No</t>
        </is>
      </c>
      <c r="V156" t="inlineStr">
        <is>
          <t>No</t>
        </is>
      </c>
      <c r="W156" t="inlineStr">
        <is>
          <t>No</t>
        </is>
      </c>
      <c r="X156" t="inlineStr">
        <is>
          <t>No</t>
        </is>
      </c>
      <c r="Y156" t="inlineStr">
        <is>
          <t>No</t>
        </is>
      </c>
      <c r="Z156" t="inlineStr">
        <is>
          <t>Yes</t>
        </is>
      </c>
      <c r="AA156" t="n">
        <v>3.663203227</v>
      </c>
      <c r="AB156" t="n">
        <v>2.693403305</v>
      </c>
      <c r="AC156" t="n">
        <v>3.670573306</v>
      </c>
      <c r="AD156">
        <f t="array" ref="AD194">IF(SUMPRODUCT(--($AM$2:$AM$112=TRIM(LEFT($B194,IFERROR(FIND(" ",$B194)-1,LEN($B194))))))&gt;0,1,0)</f>
        <v/>
      </c>
      <c r="AE156">
        <f t="array" ref="AE194">IF(SUMPRODUCT(--($AO$2:$AO$145=TRIM(LEFT($B194,IFERROR(FIND(" ",$B194)-1,LEN($B194))))))&gt;0,1,0)</f>
        <v/>
      </c>
      <c r="AF156">
        <f t="array" ref="AF194">IF(SUMPRODUCT(--($AQ$2:$AQ$71=TRIM(LEFT($B194,IFERROR(FIND(" ",$B194)-1,LEN($B194))))))&gt;0,1,0)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2026-07-06T16:56:04Z</dcterms:created>
  <dcterms:modified xsi:type="dcterms:W3CDTF">2026-07-06T16:56:05Z</dcterms:modified>
</cp:coreProperties>
</file>
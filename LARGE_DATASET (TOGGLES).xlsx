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Private\santry\Data Sets For Claude Code\"/>
    </mc:Choice>
  </mc:AlternateContent>
  <xr:revisionPtr revIDLastSave="0" documentId="13_ncr:1_{EF88F9AC-A99B-453F-B38D-685A8CA3903C}" xr6:coauthVersionLast="47" xr6:coauthVersionMax="47" xr10:uidLastSave="{00000000-0000-0000-0000-000000000000}"/>
  <bookViews>
    <workbookView xWindow="-28920" yWindow="-120" windowWidth="29040" windowHeight="15840" xr2:uid="{FB872220-AE4B-4838-A189-8BADFB4A353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F1171" i="1" l="1" a="1"/>
  <c r="AF1171" i="1" s="1"/>
  <c r="AF1170" i="1" a="1"/>
  <c r="AF1170" i="1" s="1"/>
  <c r="AF1169" i="1" a="1"/>
  <c r="AF1169" i="1" s="1"/>
  <c r="AF1168" i="1" a="1"/>
  <c r="AF1168" i="1" s="1"/>
  <c r="AF1167" i="1" a="1"/>
  <c r="AF1167" i="1" s="1"/>
  <c r="AF1166" i="1" a="1"/>
  <c r="AF1166" i="1" s="1"/>
  <c r="AF1165" i="1" a="1"/>
  <c r="AF1165" i="1" s="1"/>
  <c r="AF1164" i="1" a="1"/>
  <c r="AF1164" i="1" s="1"/>
  <c r="AF1163" i="1" a="1"/>
  <c r="AF1163" i="1" s="1"/>
  <c r="AF1162" i="1" a="1"/>
  <c r="AF1162" i="1" s="1"/>
  <c r="AF1161" i="1"/>
  <c r="AF1161" i="1" a="1"/>
  <c r="AF1160" i="1" a="1"/>
  <c r="AF1160" i="1" s="1"/>
  <c r="AF1159" i="1" a="1"/>
  <c r="AF1159" i="1" s="1"/>
  <c r="AF1158" i="1" a="1"/>
  <c r="AF1158" i="1" s="1"/>
  <c r="AF1157" i="1" a="1"/>
  <c r="AF1157" i="1" s="1"/>
  <c r="AF1156" i="1" a="1"/>
  <c r="AF1156" i="1" s="1"/>
  <c r="AF1155" i="1"/>
  <c r="AF1155" i="1" a="1"/>
  <c r="AF1154" i="1" a="1"/>
  <c r="AF1154" i="1" s="1"/>
  <c r="AF1153" i="1" a="1"/>
  <c r="AF1153" i="1" s="1"/>
  <c r="AF1152" i="1" a="1"/>
  <c r="AF1152" i="1" s="1"/>
  <c r="AF1151" i="1" a="1"/>
  <c r="AF1151" i="1" s="1"/>
  <c r="AF1150" i="1" a="1"/>
  <c r="AF1150" i="1" s="1"/>
  <c r="AF1149" i="1" a="1"/>
  <c r="AF1149" i="1" s="1"/>
  <c r="AF1148" i="1" a="1"/>
  <c r="AF1148" i="1" s="1"/>
  <c r="AF1147" i="1" a="1"/>
  <c r="AF1147" i="1" s="1"/>
  <c r="AF1146" i="1" a="1"/>
  <c r="AF1146" i="1" s="1"/>
  <c r="AF1145" i="1" a="1"/>
  <c r="AF1145" i="1" s="1"/>
  <c r="AF1144" i="1" a="1"/>
  <c r="AF1144" i="1" s="1"/>
  <c r="AF1143" i="1"/>
  <c r="AF1143" i="1" a="1"/>
  <c r="AF1142" i="1" a="1"/>
  <c r="AF1142" i="1" s="1"/>
  <c r="AF1141" i="1" a="1"/>
  <c r="AF1141" i="1" s="1"/>
  <c r="AF1140" i="1" a="1"/>
  <c r="AF1140" i="1" s="1"/>
  <c r="AF1139" i="1" a="1"/>
  <c r="AF1139" i="1" s="1"/>
  <c r="AF1138" i="1" a="1"/>
  <c r="AF1138" i="1" s="1"/>
  <c r="AF1137" i="1" a="1"/>
  <c r="AF1137" i="1" s="1"/>
  <c r="AF1136" i="1" a="1"/>
  <c r="AF1136" i="1" s="1"/>
  <c r="AF1135" i="1" a="1"/>
  <c r="AF1135" i="1" s="1"/>
  <c r="AF1134" i="1" a="1"/>
  <c r="AF1134" i="1" s="1"/>
  <c r="AF1133" i="1" a="1"/>
  <c r="AF1133" i="1" s="1"/>
  <c r="AF1132" i="1" a="1"/>
  <c r="AF1132" i="1" s="1"/>
  <c r="AF1131" i="1" a="1"/>
  <c r="AF1131" i="1" s="1"/>
  <c r="AF1130" i="1" a="1"/>
  <c r="AF1130" i="1" s="1"/>
  <c r="AF1129" i="1" a="1"/>
  <c r="AF1129" i="1" s="1"/>
  <c r="AF1128" i="1" a="1"/>
  <c r="AF1128" i="1" s="1"/>
  <c r="AF1127" i="1" a="1"/>
  <c r="AF1127" i="1" s="1"/>
  <c r="AF1126" i="1" a="1"/>
  <c r="AF1126" i="1" s="1"/>
  <c r="AF1125" i="1"/>
  <c r="AF1125" i="1" a="1"/>
  <c r="AF1124" i="1" a="1"/>
  <c r="AF1124" i="1" s="1"/>
  <c r="AF1123" i="1" a="1"/>
  <c r="AF1123" i="1" s="1"/>
  <c r="AF1122" i="1" a="1"/>
  <c r="AF1122" i="1" s="1"/>
  <c r="AF1121" i="1" a="1"/>
  <c r="AF1121" i="1" s="1"/>
  <c r="AF1120" i="1" a="1"/>
  <c r="AF1120" i="1" s="1"/>
  <c r="AF1119" i="1"/>
  <c r="AF1119" i="1" a="1"/>
  <c r="AF1118" i="1" a="1"/>
  <c r="AF1118" i="1" s="1"/>
  <c r="AF1117" i="1" a="1"/>
  <c r="AF1117" i="1" s="1"/>
  <c r="AF1116" i="1" a="1"/>
  <c r="AF1116" i="1" s="1"/>
  <c r="AF1115" i="1" a="1"/>
  <c r="AF1115" i="1" s="1"/>
  <c r="AF1114" i="1" a="1"/>
  <c r="AF1114" i="1" s="1"/>
  <c r="AF1113" i="1" a="1"/>
  <c r="AF1113" i="1" s="1"/>
  <c r="AF1112" i="1" a="1"/>
  <c r="AF1112" i="1" s="1"/>
  <c r="AF1111" i="1" a="1"/>
  <c r="AF1111" i="1" s="1"/>
  <c r="AF1110" i="1" a="1"/>
  <c r="AF1110" i="1" s="1"/>
  <c r="AF1109" i="1" a="1"/>
  <c r="AF1109" i="1" s="1"/>
  <c r="AF1108" i="1" a="1"/>
  <c r="AF1108" i="1" s="1"/>
  <c r="AF1107" i="1"/>
  <c r="AF1107" i="1" a="1"/>
  <c r="AF1106" i="1" a="1"/>
  <c r="AF1106" i="1" s="1"/>
  <c r="AF1105" i="1" a="1"/>
  <c r="AF1105" i="1" s="1"/>
  <c r="AF1104" i="1" a="1"/>
  <c r="AF1104" i="1" s="1"/>
  <c r="AF1103" i="1" a="1"/>
  <c r="AF1103" i="1" s="1"/>
  <c r="AF1102" i="1" a="1"/>
  <c r="AF1102" i="1" s="1"/>
  <c r="AF1101" i="1"/>
  <c r="AF1101" i="1" a="1"/>
  <c r="AF1100" i="1" a="1"/>
  <c r="AF1100" i="1" s="1"/>
  <c r="AF1099" i="1" a="1"/>
  <c r="AF1099" i="1" s="1"/>
  <c r="AF1098" i="1" a="1"/>
  <c r="AF1098" i="1" s="1"/>
  <c r="AF1097" i="1" a="1"/>
  <c r="AF1097" i="1" s="1"/>
  <c r="AF1096" i="1" a="1"/>
  <c r="AF1096" i="1" s="1"/>
  <c r="AF1095" i="1"/>
  <c r="AF1095" i="1" a="1"/>
  <c r="AF1094" i="1" a="1"/>
  <c r="AF1094" i="1" s="1"/>
  <c r="AF1093" i="1" a="1"/>
  <c r="AF1093" i="1" s="1"/>
  <c r="AF1092" i="1" a="1"/>
  <c r="AF1092" i="1" s="1"/>
  <c r="AF1091" i="1" a="1"/>
  <c r="AF1091" i="1" s="1"/>
  <c r="AF1090" i="1" a="1"/>
  <c r="AF1090" i="1" s="1"/>
  <c r="AF1089" i="1"/>
  <c r="AF1089" i="1" a="1"/>
  <c r="AF1088" i="1" a="1"/>
  <c r="AF1088" i="1" s="1"/>
  <c r="AF1087" i="1" a="1"/>
  <c r="AF1087" i="1" s="1"/>
  <c r="AF1086" i="1" a="1"/>
  <c r="AF1086" i="1" s="1"/>
  <c r="AF1085" i="1" a="1"/>
  <c r="AF1085" i="1" s="1"/>
  <c r="AF1084" i="1" a="1"/>
  <c r="AF1084" i="1" s="1"/>
  <c r="AF1083" i="1"/>
  <c r="AF1083" i="1" a="1"/>
  <c r="AF1082" i="1" a="1"/>
  <c r="AF1082" i="1" s="1"/>
  <c r="AF1081" i="1" a="1"/>
  <c r="AF1081" i="1" s="1"/>
  <c r="AF1080" i="1" a="1"/>
  <c r="AF1080" i="1" s="1"/>
  <c r="AF1079" i="1" a="1"/>
  <c r="AF1079" i="1" s="1"/>
  <c r="AF1078" i="1" a="1"/>
  <c r="AF1078" i="1" s="1"/>
  <c r="AF1077" i="1" a="1"/>
  <c r="AF1077" i="1" s="1"/>
  <c r="AF1076" i="1" a="1"/>
  <c r="AF1076" i="1" s="1"/>
  <c r="AF1075" i="1" a="1"/>
  <c r="AF1075" i="1" s="1"/>
  <c r="AF1074" i="1" a="1"/>
  <c r="AF1074" i="1" s="1"/>
  <c r="AF1073" i="1" a="1"/>
  <c r="AF1073" i="1" s="1"/>
  <c r="AF1072" i="1" a="1"/>
  <c r="AF1072" i="1" s="1"/>
  <c r="AF1071" i="1" a="1"/>
  <c r="AF1071" i="1" s="1"/>
  <c r="AF1070" i="1" a="1"/>
  <c r="AF1070" i="1" s="1"/>
  <c r="AF1069" i="1" a="1"/>
  <c r="AF1069" i="1" s="1"/>
  <c r="AF1068" i="1" a="1"/>
  <c r="AF1068" i="1" s="1"/>
  <c r="AF1067" i="1" a="1"/>
  <c r="AF1067" i="1" s="1"/>
  <c r="AF1066" i="1" a="1"/>
  <c r="AF1066" i="1" s="1"/>
  <c r="AF1065" i="1" a="1"/>
  <c r="AF1065" i="1" s="1"/>
  <c r="AF1064" i="1" a="1"/>
  <c r="AF1064" i="1" s="1"/>
  <c r="AF1063" i="1" a="1"/>
  <c r="AF1063" i="1" s="1"/>
  <c r="AF1062" i="1" a="1"/>
  <c r="AF1062" i="1" s="1"/>
  <c r="AF1061" i="1" a="1"/>
  <c r="AF1061" i="1" s="1"/>
  <c r="AF1060" i="1" a="1"/>
  <c r="AF1060" i="1" s="1"/>
  <c r="AF1059" i="1" a="1"/>
  <c r="AF1059" i="1" s="1"/>
  <c r="AF1058" i="1" a="1"/>
  <c r="AF1058" i="1" s="1"/>
  <c r="AF1057" i="1" a="1"/>
  <c r="AF1057" i="1" s="1"/>
  <c r="AF1056" i="1" a="1"/>
  <c r="AF1056" i="1" s="1"/>
  <c r="AF1055" i="1" a="1"/>
  <c r="AF1055" i="1" s="1"/>
  <c r="AF1054" i="1" a="1"/>
  <c r="AF1054" i="1" s="1"/>
  <c r="AF1053" i="1" a="1"/>
  <c r="AF1053" i="1" s="1"/>
  <c r="AF1052" i="1" a="1"/>
  <c r="AF1052" i="1" s="1"/>
  <c r="AF1051" i="1" a="1"/>
  <c r="AF1051" i="1" s="1"/>
  <c r="AF1050" i="1" a="1"/>
  <c r="AF1050" i="1" s="1"/>
  <c r="AF1049" i="1" a="1"/>
  <c r="AF1049" i="1" s="1"/>
  <c r="AF1048" i="1" a="1"/>
  <c r="AF1048" i="1" s="1"/>
  <c r="AF1047" i="1"/>
  <c r="AF1047" i="1" a="1"/>
  <c r="AF1046" i="1" a="1"/>
  <c r="AF1046" i="1" s="1"/>
  <c r="AF1045" i="1" a="1"/>
  <c r="AF1045" i="1" s="1"/>
  <c r="AF1044" i="1" a="1"/>
  <c r="AF1044" i="1" s="1"/>
  <c r="AF1043" i="1" a="1"/>
  <c r="AF1043" i="1" s="1"/>
  <c r="AF1042" i="1" a="1"/>
  <c r="AF1042" i="1" s="1"/>
  <c r="AF1041" i="1" a="1"/>
  <c r="AF1041" i="1" s="1"/>
  <c r="AF1040" i="1" a="1"/>
  <c r="AF1040" i="1" s="1"/>
  <c r="AF1039" i="1" a="1"/>
  <c r="AF1039" i="1" s="1"/>
  <c r="AF1038" i="1" a="1"/>
  <c r="AF1038" i="1" s="1"/>
  <c r="AF1037" i="1" a="1"/>
  <c r="AF1037" i="1" s="1"/>
  <c r="AF1036" i="1" a="1"/>
  <c r="AF1036" i="1" s="1"/>
  <c r="AF1035" i="1"/>
  <c r="AF1035" i="1" a="1"/>
  <c r="AF1034" i="1" a="1"/>
  <c r="AF1034" i="1" s="1"/>
  <c r="AF1033" i="1" a="1"/>
  <c r="AF1033" i="1" s="1"/>
  <c r="AF1032" i="1" a="1"/>
  <c r="AF1032" i="1" s="1"/>
  <c r="AF1031" i="1" a="1"/>
  <c r="AF1031" i="1" s="1"/>
  <c r="AF1030" i="1" a="1"/>
  <c r="AF1030" i="1" s="1"/>
  <c r="AF1029" i="1"/>
  <c r="AF1029" i="1" a="1"/>
  <c r="AF1028" i="1" a="1"/>
  <c r="AF1028" i="1" s="1"/>
  <c r="AF1027" i="1" a="1"/>
  <c r="AF1027" i="1" s="1"/>
  <c r="AF1026" i="1" a="1"/>
  <c r="AF1026" i="1" s="1"/>
  <c r="AF1025" i="1" a="1"/>
  <c r="AF1025" i="1" s="1"/>
  <c r="AF1024" i="1" a="1"/>
  <c r="AF1024" i="1" s="1"/>
  <c r="AF1023" i="1"/>
  <c r="AF1023" i="1" a="1"/>
  <c r="AF1022" i="1" a="1"/>
  <c r="AF1022" i="1" s="1"/>
  <c r="AF1021" i="1" a="1"/>
  <c r="AF1021" i="1" s="1"/>
  <c r="AF1020" i="1" a="1"/>
  <c r="AF1020" i="1" s="1"/>
  <c r="AF1019" i="1" a="1"/>
  <c r="AF1019" i="1" s="1"/>
  <c r="AF1018" i="1" a="1"/>
  <c r="AF1018" i="1" s="1"/>
  <c r="AF1017" i="1"/>
  <c r="AF1017" i="1" a="1"/>
  <c r="AF1016" i="1" a="1"/>
  <c r="AF1016" i="1" s="1"/>
  <c r="AF1015" i="1" a="1"/>
  <c r="AF1015" i="1" s="1"/>
  <c r="AF1014" i="1" a="1"/>
  <c r="AF1014" i="1" s="1"/>
  <c r="AF1013" i="1" a="1"/>
  <c r="AF1013" i="1" s="1"/>
  <c r="AF1012" i="1" a="1"/>
  <c r="AF1012" i="1" s="1"/>
  <c r="AF1011" i="1"/>
  <c r="AF1011" i="1" a="1"/>
  <c r="AF1010" i="1" a="1"/>
  <c r="AF1010" i="1" s="1"/>
  <c r="AF1009" i="1" a="1"/>
  <c r="AF1009" i="1" s="1"/>
  <c r="AF1008" i="1" a="1"/>
  <c r="AF1008" i="1" s="1"/>
  <c r="AF1007" i="1" a="1"/>
  <c r="AF1007" i="1" s="1"/>
  <c r="AF1006" i="1" a="1"/>
  <c r="AF1006" i="1" s="1"/>
  <c r="AF1005" i="1" a="1"/>
  <c r="AF1005" i="1" s="1"/>
  <c r="AF1004" i="1" a="1"/>
  <c r="AF1004" i="1" s="1"/>
  <c r="AF1003" i="1" a="1"/>
  <c r="AF1003" i="1" s="1"/>
  <c r="AF1002" i="1" a="1"/>
  <c r="AF1002" i="1" s="1"/>
  <c r="AF1001" i="1" a="1"/>
  <c r="AF1001" i="1" s="1"/>
  <c r="AF1000" i="1" a="1"/>
  <c r="AF1000" i="1" s="1"/>
  <c r="AF999" i="1"/>
  <c r="AF999" i="1" a="1"/>
  <c r="AF998" i="1" a="1"/>
  <c r="AF998" i="1" s="1"/>
  <c r="AF997" i="1" a="1"/>
  <c r="AF997" i="1" s="1"/>
  <c r="AF996" i="1" a="1"/>
  <c r="AF996" i="1" s="1"/>
  <c r="AF995" i="1" a="1"/>
  <c r="AF995" i="1" s="1"/>
  <c r="AF994" i="1" a="1"/>
  <c r="AF994" i="1" s="1"/>
  <c r="AF993" i="1"/>
  <c r="AF993" i="1" a="1"/>
  <c r="AF992" i="1" a="1"/>
  <c r="AF992" i="1" s="1"/>
  <c r="AF991" i="1" a="1"/>
  <c r="AF991" i="1" s="1"/>
  <c r="AF990" i="1" a="1"/>
  <c r="AF990" i="1" s="1"/>
  <c r="AF989" i="1" a="1"/>
  <c r="AF989" i="1" s="1"/>
  <c r="AF988" i="1" a="1"/>
  <c r="AF988" i="1" s="1"/>
  <c r="AF987" i="1" a="1"/>
  <c r="AF987" i="1" s="1"/>
  <c r="AF986" i="1" a="1"/>
  <c r="AF986" i="1" s="1"/>
  <c r="AF985" i="1" a="1"/>
  <c r="AF985" i="1" s="1"/>
  <c r="AF984" i="1" a="1"/>
  <c r="AF984" i="1" s="1"/>
  <c r="AF983" i="1"/>
  <c r="AF983" i="1" a="1"/>
  <c r="AF982" i="1" a="1"/>
  <c r="AF982" i="1" s="1"/>
  <c r="AF981" i="1" a="1"/>
  <c r="AF981" i="1" s="1"/>
  <c r="AF980" i="1" a="1"/>
  <c r="AF980" i="1" s="1"/>
  <c r="AF979" i="1" a="1"/>
  <c r="AF979" i="1" s="1"/>
  <c r="AF978" i="1" a="1"/>
  <c r="AF978" i="1" s="1"/>
  <c r="AF977" i="1" a="1"/>
  <c r="AF977" i="1" s="1"/>
  <c r="AF976" i="1" a="1"/>
  <c r="AF976" i="1" s="1"/>
  <c r="AF975" i="1"/>
  <c r="AF975" i="1" a="1"/>
  <c r="AF974" i="1" a="1"/>
  <c r="AF974" i="1" s="1"/>
  <c r="AF973" i="1" a="1"/>
  <c r="AF973" i="1" s="1"/>
  <c r="AF972" i="1" a="1"/>
  <c r="AF972" i="1" s="1"/>
  <c r="AF971" i="1" a="1"/>
  <c r="AF971" i="1" s="1"/>
  <c r="AF970" i="1" a="1"/>
  <c r="AF970" i="1" s="1"/>
  <c r="AF969" i="1" a="1"/>
  <c r="AF969" i="1" s="1"/>
  <c r="AF968" i="1" a="1"/>
  <c r="AF968" i="1" s="1"/>
  <c r="AF967" i="1"/>
  <c r="AF967" i="1" a="1"/>
  <c r="AF966" i="1" a="1"/>
  <c r="AF966" i="1" s="1"/>
  <c r="AF965" i="1" a="1"/>
  <c r="AF965" i="1" s="1"/>
  <c r="AF964" i="1" a="1"/>
  <c r="AF964" i="1" s="1"/>
  <c r="AF963" i="1" a="1"/>
  <c r="AF963" i="1" s="1"/>
  <c r="AF962" i="1" a="1"/>
  <c r="AF962" i="1" s="1"/>
  <c r="AF961" i="1" a="1"/>
  <c r="AF961" i="1" s="1"/>
  <c r="AF960" i="1" a="1"/>
  <c r="AF960" i="1" s="1"/>
  <c r="AF959" i="1"/>
  <c r="AF959" i="1" a="1"/>
  <c r="AF958" i="1" a="1"/>
  <c r="AF958" i="1" s="1"/>
  <c r="AF957" i="1" a="1"/>
  <c r="AF957" i="1" s="1"/>
  <c r="AF956" i="1" a="1"/>
  <c r="AF956" i="1" s="1"/>
  <c r="AF955" i="1" a="1"/>
  <c r="AF955" i="1" s="1"/>
  <c r="AF954" i="1" a="1"/>
  <c r="AF954" i="1" s="1"/>
  <c r="AF953" i="1" a="1"/>
  <c r="AF953" i="1" s="1"/>
  <c r="AF952" i="1" a="1"/>
  <c r="AF952" i="1" s="1"/>
  <c r="AF951" i="1"/>
  <c r="AF951" i="1" a="1"/>
  <c r="AF950" i="1" a="1"/>
  <c r="AF950" i="1" s="1"/>
  <c r="AF949" i="1" a="1"/>
  <c r="AF949" i="1" s="1"/>
  <c r="AF948" i="1" a="1"/>
  <c r="AF948" i="1" s="1"/>
  <c r="AF947" i="1" a="1"/>
  <c r="AF947" i="1" s="1"/>
  <c r="AF946" i="1" a="1"/>
  <c r="AF946" i="1" s="1"/>
  <c r="AF945" i="1" a="1"/>
  <c r="AF945" i="1" s="1"/>
  <c r="AF944" i="1" a="1"/>
  <c r="AF944" i="1" s="1"/>
  <c r="AF943" i="1"/>
  <c r="AF943" i="1" a="1"/>
  <c r="AF942" i="1" a="1"/>
  <c r="AF942" i="1" s="1"/>
  <c r="AF941" i="1" a="1"/>
  <c r="AF941" i="1" s="1"/>
  <c r="AF940" i="1" a="1"/>
  <c r="AF940" i="1" s="1"/>
  <c r="AF939" i="1" a="1"/>
  <c r="AF939" i="1" s="1"/>
  <c r="AF938" i="1" a="1"/>
  <c r="AF938" i="1" s="1"/>
  <c r="AF937" i="1" a="1"/>
  <c r="AF937" i="1" s="1"/>
  <c r="AF936" i="1" a="1"/>
  <c r="AF936" i="1" s="1"/>
  <c r="AF935" i="1"/>
  <c r="AF935" i="1" a="1"/>
  <c r="AF934" i="1" a="1"/>
  <c r="AF934" i="1" s="1"/>
  <c r="AF933" i="1" a="1"/>
  <c r="AF933" i="1" s="1"/>
  <c r="AF932" i="1" a="1"/>
  <c r="AF932" i="1" s="1"/>
  <c r="AF931" i="1" a="1"/>
  <c r="AF931" i="1" s="1"/>
  <c r="AF930" i="1" a="1"/>
  <c r="AF930" i="1" s="1"/>
  <c r="AF929" i="1" a="1"/>
  <c r="AF929" i="1" s="1"/>
  <c r="AF928" i="1" a="1"/>
  <c r="AF928" i="1" s="1"/>
  <c r="AF927" i="1"/>
  <c r="AF927" i="1" a="1"/>
  <c r="AF926" i="1" a="1"/>
  <c r="AF926" i="1" s="1"/>
  <c r="AF925" i="1" a="1"/>
  <c r="AF925" i="1" s="1"/>
  <c r="AF924" i="1" a="1"/>
  <c r="AF924" i="1" s="1"/>
  <c r="AF923" i="1" a="1"/>
  <c r="AF923" i="1" s="1"/>
  <c r="AF922" i="1" a="1"/>
  <c r="AF922" i="1" s="1"/>
  <c r="AF921" i="1" a="1"/>
  <c r="AF921" i="1" s="1"/>
  <c r="AF920" i="1" a="1"/>
  <c r="AF920" i="1" s="1"/>
  <c r="AF919" i="1"/>
  <c r="AF919" i="1" a="1"/>
  <c r="AF918" i="1" a="1"/>
  <c r="AF918" i="1" s="1"/>
  <c r="AF917" i="1" a="1"/>
  <c r="AF917" i="1" s="1"/>
  <c r="AF916" i="1" a="1"/>
  <c r="AF916" i="1" s="1"/>
  <c r="AF915" i="1" a="1"/>
  <c r="AF915" i="1" s="1"/>
  <c r="AF914" i="1" a="1"/>
  <c r="AF914" i="1" s="1"/>
  <c r="AF913" i="1" a="1"/>
  <c r="AF913" i="1" s="1"/>
  <c r="AF912" i="1" a="1"/>
  <c r="AF912" i="1" s="1"/>
  <c r="AF911" i="1"/>
  <c r="AF911" i="1" a="1"/>
  <c r="AF910" i="1" a="1"/>
  <c r="AF910" i="1" s="1"/>
  <c r="AF909" i="1" a="1"/>
  <c r="AF909" i="1" s="1"/>
  <c r="AF908" i="1" a="1"/>
  <c r="AF908" i="1" s="1"/>
  <c r="AF907" i="1" a="1"/>
  <c r="AF907" i="1" s="1"/>
  <c r="AF906" i="1" a="1"/>
  <c r="AF906" i="1" s="1"/>
  <c r="AF905" i="1" a="1"/>
  <c r="AF905" i="1" s="1"/>
  <c r="AF904" i="1" a="1"/>
  <c r="AF904" i="1" s="1"/>
  <c r="AF903" i="1"/>
  <c r="AF903" i="1" a="1"/>
  <c r="AF902" i="1" a="1"/>
  <c r="AF902" i="1" s="1"/>
  <c r="AF901" i="1" a="1"/>
  <c r="AF901" i="1" s="1"/>
  <c r="AF900" i="1"/>
  <c r="AF900" i="1" a="1"/>
  <c r="AF899" i="1"/>
  <c r="AF899" i="1" a="1"/>
  <c r="AF898" i="1" a="1"/>
  <c r="AF898" i="1" s="1"/>
  <c r="AF897" i="1"/>
  <c r="AF897" i="1" a="1"/>
  <c r="AF896" i="1" a="1"/>
  <c r="AF896" i="1" s="1"/>
  <c r="AF895" i="1"/>
  <c r="AF895" i="1" a="1"/>
  <c r="AF894" i="1" a="1"/>
  <c r="AF894" i="1" s="1"/>
  <c r="AF893" i="1"/>
  <c r="AF893" i="1" a="1"/>
  <c r="AF892" i="1" a="1"/>
  <c r="AF892" i="1" s="1"/>
  <c r="AF891" i="1"/>
  <c r="AF891" i="1" a="1"/>
  <c r="AF890" i="1" a="1"/>
  <c r="AF890" i="1" s="1"/>
  <c r="AF889" i="1"/>
  <c r="AF889" i="1" a="1"/>
  <c r="AF888" i="1" a="1"/>
  <c r="AF888" i="1" s="1"/>
  <c r="AF887" i="1" a="1"/>
  <c r="AF887" i="1" s="1"/>
  <c r="AF886" i="1" a="1"/>
  <c r="AF886" i="1" s="1"/>
  <c r="AF885" i="1" a="1"/>
  <c r="AF885" i="1" s="1"/>
  <c r="AF884" i="1" a="1"/>
  <c r="AF884" i="1" s="1"/>
  <c r="AF883" i="1" a="1"/>
  <c r="AF883" i="1" s="1"/>
  <c r="AF882" i="1"/>
  <c r="AF882" i="1" a="1"/>
  <c r="AF881" i="1" a="1"/>
  <c r="AF881" i="1" s="1"/>
  <c r="AF880" i="1" a="1"/>
  <c r="AF880" i="1" s="1"/>
  <c r="AF879" i="1" a="1"/>
  <c r="AF879" i="1" s="1"/>
  <c r="AF878" i="1" a="1"/>
  <c r="AF878" i="1" s="1"/>
  <c r="AF877" i="1"/>
  <c r="AF877" i="1" a="1"/>
  <c r="AF876" i="1" a="1"/>
  <c r="AF876" i="1" s="1"/>
  <c r="AF875" i="1" a="1"/>
  <c r="AF875" i="1" s="1"/>
  <c r="AF874" i="1" a="1"/>
  <c r="AF874" i="1" s="1"/>
  <c r="AF873" i="1"/>
  <c r="AF873" i="1" a="1"/>
  <c r="AF872" i="1" a="1"/>
  <c r="AF872" i="1" s="1"/>
  <c r="AF871" i="1"/>
  <c r="AF871" i="1" a="1"/>
  <c r="AF870" i="1" a="1"/>
  <c r="AF870" i="1" s="1"/>
  <c r="AF869" i="1" a="1"/>
  <c r="AF869" i="1" s="1"/>
  <c r="AF868" i="1" a="1"/>
  <c r="AF868" i="1" s="1"/>
  <c r="AF867" i="1" a="1"/>
  <c r="AF867" i="1" s="1"/>
  <c r="AF866" i="1" a="1"/>
  <c r="AF866" i="1" s="1"/>
  <c r="AF865" i="1" a="1"/>
  <c r="AF865" i="1" s="1"/>
  <c r="AF864" i="1"/>
  <c r="AF864" i="1" a="1"/>
  <c r="AF863" i="1" a="1"/>
  <c r="AF863" i="1" s="1"/>
  <c r="AF862" i="1" a="1"/>
  <c r="AF862" i="1" s="1"/>
  <c r="AF861" i="1"/>
  <c r="AF861" i="1" a="1"/>
  <c r="AF860" i="1" a="1"/>
  <c r="AF860" i="1" s="1"/>
  <c r="AF859" i="1" a="1"/>
  <c r="AF859" i="1" s="1"/>
  <c r="AF858" i="1" a="1"/>
  <c r="AF858" i="1" s="1"/>
  <c r="AF857" i="1"/>
  <c r="AF857" i="1" a="1"/>
  <c r="AF856" i="1" a="1"/>
  <c r="AF856" i="1" s="1"/>
  <c r="AF855" i="1"/>
  <c r="AF855" i="1" a="1"/>
  <c r="AF854" i="1" a="1"/>
  <c r="AF854" i="1" s="1"/>
  <c r="AF853" i="1"/>
  <c r="AF853" i="1" a="1"/>
  <c r="AF852" i="1" a="1"/>
  <c r="AF852" i="1" s="1"/>
  <c r="AF851" i="1" a="1"/>
  <c r="AF851" i="1" s="1"/>
  <c r="AF850" i="1" a="1"/>
  <c r="AF850" i="1" s="1"/>
  <c r="AF849" i="1" a="1"/>
  <c r="AF849" i="1" s="1"/>
  <c r="AF848" i="1" a="1"/>
  <c r="AF848" i="1" s="1"/>
  <c r="AF847" i="1" a="1"/>
  <c r="AF847" i="1" s="1"/>
  <c r="AF846" i="1" a="1"/>
  <c r="AF846" i="1" s="1"/>
  <c r="AF845" i="1" a="1"/>
  <c r="AF845" i="1" s="1"/>
  <c r="AF844" i="1" a="1"/>
  <c r="AF844" i="1" s="1"/>
  <c r="AF843" i="1" a="1"/>
  <c r="AF843" i="1" s="1"/>
  <c r="AF842" i="1" a="1"/>
  <c r="AF842" i="1" s="1"/>
  <c r="AF841" i="1"/>
  <c r="AF841" i="1" a="1"/>
  <c r="AF840" i="1" a="1"/>
  <c r="AF840" i="1" s="1"/>
  <c r="AF839" i="1" a="1"/>
  <c r="AF839" i="1" s="1"/>
  <c r="AF838" i="1" a="1"/>
  <c r="AF838" i="1" s="1"/>
  <c r="AF837" i="1"/>
  <c r="AF837" i="1" a="1"/>
  <c r="AF836" i="1" a="1"/>
  <c r="AF836" i="1" s="1"/>
  <c r="AF835" i="1"/>
  <c r="AF835" i="1" a="1"/>
  <c r="AF834" i="1" a="1"/>
  <c r="AF834" i="1" s="1"/>
  <c r="AF833" i="1" a="1"/>
  <c r="AF833" i="1" s="1"/>
  <c r="AF832" i="1" a="1"/>
  <c r="AF832" i="1" s="1"/>
  <c r="AF831" i="1" a="1"/>
  <c r="AF831" i="1" s="1"/>
  <c r="AF830" i="1" a="1"/>
  <c r="AF830" i="1" s="1"/>
  <c r="AF829" i="1" a="1"/>
  <c r="AF829" i="1" s="1"/>
  <c r="AF828" i="1"/>
  <c r="AF828" i="1" a="1"/>
  <c r="AF827" i="1" a="1"/>
  <c r="AF827" i="1" s="1"/>
  <c r="AF826" i="1" a="1"/>
  <c r="AF826" i="1" s="1"/>
  <c r="AF825" i="1"/>
  <c r="AF825" i="1" a="1"/>
  <c r="AF824" i="1" a="1"/>
  <c r="AF824" i="1" s="1"/>
  <c r="AF823" i="1" a="1"/>
  <c r="AF823" i="1" s="1"/>
  <c r="AF822" i="1" a="1"/>
  <c r="AF822" i="1" s="1"/>
  <c r="AF821" i="1" a="1"/>
  <c r="AF821" i="1" s="1"/>
  <c r="AF820" i="1" a="1"/>
  <c r="AF820" i="1" s="1"/>
  <c r="AF819" i="1"/>
  <c r="AF819" i="1" a="1"/>
  <c r="AF818" i="1" a="1"/>
  <c r="AF818" i="1" s="1"/>
  <c r="AF817" i="1"/>
  <c r="AF817" i="1" a="1"/>
  <c r="AF816" i="1"/>
  <c r="AF816" i="1" a="1"/>
  <c r="AF815" i="1" a="1"/>
  <c r="AF815" i="1" s="1"/>
  <c r="AF814" i="1" a="1"/>
  <c r="AF814" i="1" s="1"/>
  <c r="AF813" i="1" a="1"/>
  <c r="AF813" i="1" s="1"/>
  <c r="AF812" i="1" a="1"/>
  <c r="AF812" i="1" s="1"/>
  <c r="AF811" i="1" a="1"/>
  <c r="AF811" i="1" s="1"/>
  <c r="AF810" i="1" a="1"/>
  <c r="AF810" i="1" s="1"/>
  <c r="AF809" i="1"/>
  <c r="AF809" i="1" a="1"/>
  <c r="AF808" i="1" a="1"/>
  <c r="AF808" i="1" s="1"/>
  <c r="AF807" i="1" a="1"/>
  <c r="AF807" i="1" s="1"/>
  <c r="AF806" i="1" a="1"/>
  <c r="AF806" i="1" s="1"/>
  <c r="AF805" i="1" a="1"/>
  <c r="AF805" i="1" s="1"/>
  <c r="AF804" i="1" a="1"/>
  <c r="AF804" i="1" s="1"/>
  <c r="AF803" i="1" a="1"/>
  <c r="AF803" i="1" s="1"/>
  <c r="AF802" i="1" a="1"/>
  <c r="AF802" i="1" s="1"/>
  <c r="AF801" i="1"/>
  <c r="AF801" i="1" a="1"/>
  <c r="AF800" i="1" a="1"/>
  <c r="AF800" i="1" s="1"/>
  <c r="AF799" i="1" a="1"/>
  <c r="AF799" i="1" s="1"/>
  <c r="AF798" i="1"/>
  <c r="AF798" i="1" a="1"/>
  <c r="AF797" i="1" a="1"/>
  <c r="AF797" i="1" s="1"/>
  <c r="AF796" i="1" a="1"/>
  <c r="AF796" i="1" s="1"/>
  <c r="AF795" i="1" a="1"/>
  <c r="AF795" i="1" s="1"/>
  <c r="AF794" i="1" a="1"/>
  <c r="AF794" i="1" s="1"/>
  <c r="AF793" i="1" a="1"/>
  <c r="AF793" i="1" s="1"/>
  <c r="AF792" i="1" a="1"/>
  <c r="AF792" i="1" s="1"/>
  <c r="AF791" i="1" a="1"/>
  <c r="AF791" i="1" s="1"/>
  <c r="AF790" i="1" a="1"/>
  <c r="AF790" i="1" s="1"/>
  <c r="AF789" i="1" a="1"/>
  <c r="AF789" i="1" s="1"/>
  <c r="AF788" i="1" a="1"/>
  <c r="AF788" i="1" s="1"/>
  <c r="AF787" i="1" a="1"/>
  <c r="AF787" i="1" s="1"/>
  <c r="AF786" i="1" a="1"/>
  <c r="AF786" i="1" s="1"/>
  <c r="AF785" i="1"/>
  <c r="AF785" i="1" a="1"/>
  <c r="AF784" i="1" a="1"/>
  <c r="AF784" i="1" s="1"/>
  <c r="AF783" i="1"/>
  <c r="AF783" i="1" a="1"/>
  <c r="AF782" i="1" a="1"/>
  <c r="AF782" i="1" s="1"/>
  <c r="AF781" i="1" a="1"/>
  <c r="AF781" i="1" s="1"/>
  <c r="AF780" i="1"/>
  <c r="AF780" i="1" a="1"/>
  <c r="AF779" i="1" a="1"/>
  <c r="AF779" i="1" s="1"/>
  <c r="AF778" i="1" a="1"/>
  <c r="AF778" i="1" s="1"/>
  <c r="AF777" i="1"/>
  <c r="AF777" i="1" a="1"/>
  <c r="AF776" i="1" a="1"/>
  <c r="AF776" i="1" s="1"/>
  <c r="AF775" i="1" a="1"/>
  <c r="AF775" i="1" s="1"/>
  <c r="AF774" i="1" a="1"/>
  <c r="AF774" i="1" s="1"/>
  <c r="AF773" i="1" a="1"/>
  <c r="AF773" i="1" s="1"/>
  <c r="AF772" i="1" a="1"/>
  <c r="AF772" i="1" s="1"/>
  <c r="AF771" i="1" a="1"/>
  <c r="AF771" i="1" s="1"/>
  <c r="AF770" i="1" a="1"/>
  <c r="AF770" i="1" s="1"/>
  <c r="AF769" i="1"/>
  <c r="AF769" i="1" a="1"/>
  <c r="AF768" i="1" a="1"/>
  <c r="AF768" i="1" s="1"/>
  <c r="AF767" i="1" a="1"/>
  <c r="AF767" i="1" s="1"/>
  <c r="AF766" i="1" a="1"/>
  <c r="AF766" i="1" s="1"/>
  <c r="AF765" i="1"/>
  <c r="AF765" i="1" a="1"/>
  <c r="AF764" i="1" a="1"/>
  <c r="AF764" i="1" s="1"/>
  <c r="AF763" i="1" a="1"/>
  <c r="AF763" i="1" s="1"/>
  <c r="AF762" i="1"/>
  <c r="AF762" i="1" a="1"/>
  <c r="AF761" i="1" a="1"/>
  <c r="AF761" i="1" s="1"/>
  <c r="AF760" i="1" a="1"/>
  <c r="AF760" i="1" s="1"/>
  <c r="AF759" i="1" a="1"/>
  <c r="AF759" i="1" s="1"/>
  <c r="AF758" i="1" a="1"/>
  <c r="AF758" i="1" s="1"/>
  <c r="AF757" i="1" a="1"/>
  <c r="AF757" i="1" s="1"/>
  <c r="AF756" i="1" a="1"/>
  <c r="AF756" i="1" s="1"/>
  <c r="AF755" i="1" a="1"/>
  <c r="AF755" i="1" s="1"/>
  <c r="AF754" i="1" a="1"/>
  <c r="AF754" i="1" s="1"/>
  <c r="AF753" i="1"/>
  <c r="AF753" i="1" a="1"/>
  <c r="AF752" i="1" a="1"/>
  <c r="AF752" i="1" s="1"/>
  <c r="AF751" i="1" a="1"/>
  <c r="AF751" i="1" s="1"/>
  <c r="AF750" i="1" a="1"/>
  <c r="AF750" i="1" s="1"/>
  <c r="AF749" i="1" a="1"/>
  <c r="AF749" i="1" s="1"/>
  <c r="AF748" i="1" a="1"/>
  <c r="AF748" i="1" s="1"/>
  <c r="AF747" i="1"/>
  <c r="AF747" i="1" a="1"/>
  <c r="AF746" i="1" a="1"/>
  <c r="AF746" i="1" s="1"/>
  <c r="AF745" i="1"/>
  <c r="AF745" i="1" a="1"/>
  <c r="AF744" i="1"/>
  <c r="AF744" i="1" a="1"/>
  <c r="AF743" i="1" a="1"/>
  <c r="AF743" i="1" s="1"/>
  <c r="AF742" i="1" a="1"/>
  <c r="AF742" i="1" s="1"/>
  <c r="AF741" i="1" a="1"/>
  <c r="AF741" i="1" s="1"/>
  <c r="AF740" i="1" a="1"/>
  <c r="AF740" i="1" s="1"/>
  <c r="AF739" i="1" a="1"/>
  <c r="AF739" i="1" s="1"/>
  <c r="AF738" i="1"/>
  <c r="AF738" i="1" a="1"/>
  <c r="AF737" i="1"/>
  <c r="AF737" i="1" a="1"/>
  <c r="AF736" i="1" a="1"/>
  <c r="AF736" i="1" s="1"/>
  <c r="AF735" i="1" a="1"/>
  <c r="AF735" i="1" s="1"/>
  <c r="AF734" i="1" a="1"/>
  <c r="AF734" i="1" s="1"/>
  <c r="AF733" i="1" a="1"/>
  <c r="AF733" i="1" s="1"/>
  <c r="AF732" i="1" a="1"/>
  <c r="AF732" i="1" s="1"/>
  <c r="AF731" i="1" a="1"/>
  <c r="AF731" i="1" s="1"/>
  <c r="AF730" i="1" a="1"/>
  <c r="AF730" i="1" s="1"/>
  <c r="AF729" i="1"/>
  <c r="AF729" i="1" a="1"/>
  <c r="AF728" i="1" a="1"/>
  <c r="AF728" i="1" s="1"/>
  <c r="AF727" i="1" a="1"/>
  <c r="AF727" i="1" s="1"/>
  <c r="AF726" i="1"/>
  <c r="AF726" i="1" a="1"/>
  <c r="AF725" i="1" a="1"/>
  <c r="AF725" i="1" s="1"/>
  <c r="AF724" i="1" a="1"/>
  <c r="AF724" i="1" s="1"/>
  <c r="AF723" i="1" a="1"/>
  <c r="AF723" i="1" s="1"/>
  <c r="AF722" i="1" a="1"/>
  <c r="AF722" i="1" s="1"/>
  <c r="AF721" i="1" a="1"/>
  <c r="AF721" i="1" s="1"/>
  <c r="AF720" i="1" a="1"/>
  <c r="AF720" i="1" s="1"/>
  <c r="AF719" i="1" a="1"/>
  <c r="AF719" i="1" s="1"/>
  <c r="AF718" i="1" a="1"/>
  <c r="AF718" i="1" s="1"/>
  <c r="AF717" i="1" a="1"/>
  <c r="AF717" i="1" s="1"/>
  <c r="AF716" i="1" a="1"/>
  <c r="AF716" i="1" s="1"/>
  <c r="AF715" i="1" a="1"/>
  <c r="AF715" i="1" s="1"/>
  <c r="AF714" i="1" a="1"/>
  <c r="AF714" i="1" s="1"/>
  <c r="AF713" i="1"/>
  <c r="AF713" i="1" a="1"/>
  <c r="AF712" i="1" a="1"/>
  <c r="AF712" i="1" s="1"/>
  <c r="AF711" i="1"/>
  <c r="AF711" i="1" a="1"/>
  <c r="AF710" i="1" a="1"/>
  <c r="AF710" i="1" s="1"/>
  <c r="AF709" i="1" a="1"/>
  <c r="AF709" i="1" s="1"/>
  <c r="AF708" i="1"/>
  <c r="AF708" i="1" a="1"/>
  <c r="AF707" i="1" a="1"/>
  <c r="AF707" i="1" s="1"/>
  <c r="AF706" i="1" a="1"/>
  <c r="AF706" i="1" s="1"/>
  <c r="AF705" i="1"/>
  <c r="AF705" i="1" a="1"/>
  <c r="AF704" i="1" a="1"/>
  <c r="AF704" i="1" s="1"/>
  <c r="AF703" i="1" a="1"/>
  <c r="AF703" i="1" s="1"/>
  <c r="AF702" i="1"/>
  <c r="AF702" i="1" a="1"/>
  <c r="AF701" i="1" a="1"/>
  <c r="AF701" i="1" s="1"/>
  <c r="AF700" i="1" a="1"/>
  <c r="AF700" i="1" s="1"/>
  <c r="AF699" i="1" a="1"/>
  <c r="AF699" i="1" s="1"/>
  <c r="AF698" i="1" a="1"/>
  <c r="AF698" i="1" s="1"/>
  <c r="AF697" i="1"/>
  <c r="AF697" i="1" a="1"/>
  <c r="AF696" i="1" a="1"/>
  <c r="AF696" i="1" s="1"/>
  <c r="AF695" i="1" a="1"/>
  <c r="AF695" i="1" s="1"/>
  <c r="AF694" i="1" a="1"/>
  <c r="AF694" i="1" s="1"/>
  <c r="AF693" i="1" a="1"/>
  <c r="AF693" i="1" s="1"/>
  <c r="AF692" i="1" a="1"/>
  <c r="AF692" i="1" s="1"/>
  <c r="AF691" i="1" a="1"/>
  <c r="AF691" i="1" s="1"/>
  <c r="AF690" i="1" a="1"/>
  <c r="AF690" i="1" s="1"/>
  <c r="AF689" i="1" a="1"/>
  <c r="AF689" i="1" s="1"/>
  <c r="AF688" i="1" a="1"/>
  <c r="AF688" i="1" s="1"/>
  <c r="AF687" i="1" a="1"/>
  <c r="AF687" i="1" s="1"/>
  <c r="AF686" i="1" a="1"/>
  <c r="AF686" i="1" s="1"/>
  <c r="AF685" i="1" a="1"/>
  <c r="AF685" i="1" s="1"/>
  <c r="AF684" i="1"/>
  <c r="AF684" i="1" a="1"/>
  <c r="AF683" i="1" a="1"/>
  <c r="AF683" i="1" s="1"/>
  <c r="AF682" i="1" a="1"/>
  <c r="AF682" i="1" s="1"/>
  <c r="AF681" i="1"/>
  <c r="AF681" i="1" a="1"/>
  <c r="AF680" i="1" a="1"/>
  <c r="AF680" i="1" s="1"/>
  <c r="AF679" i="1" a="1"/>
  <c r="AF679" i="1" s="1"/>
  <c r="AF678" i="1" a="1"/>
  <c r="AF678" i="1" s="1"/>
  <c r="AF677" i="1"/>
  <c r="AF677" i="1" a="1"/>
  <c r="AF676" i="1" a="1"/>
  <c r="AF676" i="1" s="1"/>
  <c r="AF675" i="1"/>
  <c r="AF675" i="1" a="1"/>
  <c r="AF674" i="1" a="1"/>
  <c r="AF674" i="1" s="1"/>
  <c r="AF673" i="1"/>
  <c r="AF673" i="1" a="1"/>
  <c r="AF672" i="1"/>
  <c r="AF672" i="1" a="1"/>
  <c r="AF671" i="1" a="1"/>
  <c r="AF671" i="1" s="1"/>
  <c r="AF670" i="1" a="1"/>
  <c r="AF670" i="1" s="1"/>
  <c r="AF669" i="1" a="1"/>
  <c r="AF669" i="1" s="1"/>
  <c r="AF668" i="1" a="1"/>
  <c r="AF668" i="1" s="1"/>
  <c r="AF667" i="1" a="1"/>
  <c r="AF667" i="1" s="1"/>
  <c r="AF666" i="1"/>
  <c r="AF666" i="1" a="1"/>
  <c r="AF665" i="1" a="1"/>
  <c r="AF665" i="1" s="1"/>
  <c r="AF664" i="1" a="1"/>
  <c r="AF664" i="1" s="1"/>
  <c r="AF663" i="1" a="1"/>
  <c r="AF663" i="1" s="1"/>
  <c r="AF662" i="1" a="1"/>
  <c r="AF662" i="1" s="1"/>
  <c r="AF661" i="1" a="1"/>
  <c r="AF661" i="1" s="1"/>
  <c r="AF660" i="1" a="1"/>
  <c r="AF660" i="1" s="1"/>
  <c r="AF659" i="1"/>
  <c r="AF659" i="1" a="1"/>
  <c r="AF658" i="1"/>
  <c r="AF658" i="1" a="1"/>
  <c r="AF657" i="1" a="1"/>
  <c r="AF657" i="1" s="1"/>
  <c r="AF656" i="1" a="1"/>
  <c r="AF656" i="1" s="1"/>
  <c r="AF655" i="1"/>
  <c r="AF655" i="1" a="1"/>
  <c r="AF654" i="1" a="1"/>
  <c r="AF654" i="1" s="1"/>
  <c r="AF653" i="1" a="1"/>
  <c r="AF653" i="1" s="1"/>
  <c r="AF652" i="1"/>
  <c r="AF652" i="1" a="1"/>
  <c r="AF651" i="1" a="1"/>
  <c r="AF651" i="1" s="1"/>
  <c r="AF650" i="1"/>
  <c r="AF650" i="1" a="1"/>
  <c r="AF649" i="1"/>
  <c r="AF649" i="1" a="1"/>
  <c r="AF648" i="1" a="1"/>
  <c r="AF648" i="1" s="1"/>
  <c r="AF647" i="1"/>
  <c r="AF647" i="1" a="1"/>
  <c r="AF646" i="1" a="1"/>
  <c r="AF646" i="1" s="1"/>
  <c r="AF645" i="1"/>
  <c r="AF645" i="1" a="1"/>
  <c r="AF644" i="1"/>
  <c r="AF644" i="1" a="1"/>
  <c r="AF643" i="1" a="1"/>
  <c r="AF643" i="1" s="1"/>
  <c r="AF642" i="1" a="1"/>
  <c r="AF642" i="1" s="1"/>
  <c r="AF641" i="1" a="1"/>
  <c r="AF641" i="1" s="1"/>
  <c r="AF640" i="1" a="1"/>
  <c r="AF640" i="1" s="1"/>
  <c r="AF639" i="1"/>
  <c r="AF639" i="1" a="1"/>
  <c r="AF638" i="1" a="1"/>
  <c r="AF638" i="1" s="1"/>
  <c r="AF637" i="1"/>
  <c r="AF637" i="1" a="1"/>
  <c r="AF636" i="1" a="1"/>
  <c r="AF636" i="1" s="1"/>
  <c r="AF635" i="1"/>
  <c r="AF635" i="1" a="1"/>
  <c r="AF634" i="1"/>
  <c r="AF634" i="1" a="1"/>
  <c r="AF633" i="1" a="1"/>
  <c r="AF633" i="1" s="1"/>
  <c r="AF632" i="1"/>
  <c r="AF632" i="1" a="1"/>
  <c r="AF631" i="1"/>
  <c r="AF631" i="1" a="1"/>
  <c r="AF630" i="1" a="1"/>
  <c r="AF630" i="1" s="1"/>
  <c r="AF629" i="1"/>
  <c r="AF629" i="1" a="1"/>
  <c r="AF628" i="1" a="1"/>
  <c r="AF628" i="1" s="1"/>
  <c r="AF627" i="1"/>
  <c r="AF627" i="1" a="1"/>
  <c r="AF626" i="1" a="1"/>
  <c r="AF626" i="1" s="1"/>
  <c r="AF625" i="1" a="1"/>
  <c r="AF625" i="1" s="1"/>
  <c r="AF624" i="1" a="1"/>
  <c r="AF624" i="1" s="1"/>
  <c r="AF623" i="1" a="1"/>
  <c r="AF623" i="1" s="1"/>
  <c r="AF622" i="1"/>
  <c r="AF622" i="1" a="1"/>
  <c r="AF621" i="1"/>
  <c r="AF621" i="1" a="1"/>
  <c r="AF620" i="1" a="1"/>
  <c r="AF620" i="1" s="1"/>
  <c r="AF619" i="1"/>
  <c r="AF619" i="1" a="1"/>
  <c r="AF618" i="1" a="1"/>
  <c r="AF618" i="1" s="1"/>
  <c r="AF617" i="1"/>
  <c r="AF617" i="1" a="1"/>
  <c r="AF616" i="1"/>
  <c r="AF616" i="1" a="1"/>
  <c r="AF615" i="1" a="1"/>
  <c r="AF615" i="1" s="1"/>
  <c r="AF614" i="1"/>
  <c r="AF614" i="1" a="1"/>
  <c r="AF613" i="1" a="1"/>
  <c r="AF613" i="1" s="1"/>
  <c r="AF612" i="1" a="1"/>
  <c r="AF612" i="1" s="1"/>
  <c r="AF611" i="1" a="1"/>
  <c r="AF611" i="1" s="1"/>
  <c r="AF610" i="1" a="1"/>
  <c r="AF610" i="1" s="1"/>
  <c r="AF609" i="1"/>
  <c r="AF609" i="1" a="1"/>
  <c r="AF608" i="1" a="1"/>
  <c r="AF608" i="1" s="1"/>
  <c r="AF607" i="1"/>
  <c r="AF607" i="1" a="1"/>
  <c r="AF606" i="1" a="1"/>
  <c r="AF606" i="1" s="1"/>
  <c r="AF605" i="1" a="1"/>
  <c r="AF605" i="1" s="1"/>
  <c r="AF604" i="1"/>
  <c r="AF604" i="1" a="1"/>
  <c r="AF603" i="1"/>
  <c r="AF603" i="1" a="1"/>
  <c r="AF602" i="1" a="1"/>
  <c r="AF602" i="1" s="1"/>
  <c r="AF601" i="1"/>
  <c r="AF601" i="1" a="1"/>
  <c r="AF600" i="1" a="1"/>
  <c r="AF600" i="1" s="1"/>
  <c r="AF599" i="1"/>
  <c r="AF599" i="1" a="1"/>
  <c r="AF598" i="1" a="1"/>
  <c r="AF598" i="1" s="1"/>
  <c r="AF597" i="1" a="1"/>
  <c r="AF597" i="1" s="1"/>
  <c r="AF596" i="1"/>
  <c r="AF596" i="1" a="1"/>
  <c r="AF595" i="1"/>
  <c r="AF595" i="1" a="1"/>
  <c r="AF594" i="1" a="1"/>
  <c r="AF594" i="1" s="1"/>
  <c r="AF593" i="1" a="1"/>
  <c r="AF593" i="1" s="1"/>
  <c r="AF592" i="1" a="1"/>
  <c r="AF592" i="1" s="1"/>
  <c r="AF591" i="1"/>
  <c r="AF591" i="1" a="1"/>
  <c r="AF590" i="1"/>
  <c r="AF590" i="1" a="1"/>
  <c r="AF589" i="1" a="1"/>
  <c r="AF589" i="1" s="1"/>
  <c r="AF588" i="1" a="1"/>
  <c r="AF588" i="1" s="1"/>
  <c r="AF587" i="1"/>
  <c r="AF587" i="1" a="1"/>
  <c r="AF586" i="1"/>
  <c r="AF586" i="1" a="1"/>
  <c r="AF585" i="1" a="1"/>
  <c r="AF585" i="1" s="1"/>
  <c r="AF584" i="1" a="1"/>
  <c r="AF584" i="1" s="1"/>
  <c r="AF583" i="1"/>
  <c r="AF583" i="1" a="1"/>
  <c r="AF582" i="1" a="1"/>
  <c r="AF582" i="1" s="1"/>
  <c r="AF581" i="1" a="1"/>
  <c r="AF581" i="1" s="1"/>
  <c r="AF580" i="1"/>
  <c r="AF580" i="1" a="1"/>
  <c r="AF579" i="1" a="1"/>
  <c r="AF579" i="1" s="1"/>
  <c r="AF578" i="1"/>
  <c r="AF578" i="1" a="1"/>
  <c r="AF577" i="1" a="1"/>
  <c r="AF577" i="1" s="1"/>
  <c r="AF576" i="1" a="1"/>
  <c r="AF576" i="1" s="1"/>
  <c r="AF575" i="1"/>
  <c r="AF575" i="1" a="1"/>
  <c r="AF574" i="1" a="1"/>
  <c r="AF574" i="1" s="1"/>
  <c r="AF573" i="1"/>
  <c r="AF573" i="1" a="1"/>
  <c r="AF572" i="1"/>
  <c r="AF572" i="1" a="1"/>
  <c r="AF571" i="1" a="1"/>
  <c r="AF571" i="1" s="1"/>
  <c r="AF570" i="1" a="1"/>
  <c r="AF570" i="1" s="1"/>
  <c r="AF569" i="1" a="1"/>
  <c r="AF569" i="1" s="1"/>
  <c r="AF568" i="1" a="1"/>
  <c r="AF568" i="1" s="1"/>
  <c r="AF567" i="1"/>
  <c r="AF567" i="1" a="1"/>
  <c r="AF566" i="1" a="1"/>
  <c r="AF566" i="1" s="1"/>
  <c r="AF565" i="1"/>
  <c r="AF565" i="1" a="1"/>
  <c r="AF564" i="1" a="1"/>
  <c r="AF564" i="1" s="1"/>
  <c r="AF563" i="1"/>
  <c r="AF563" i="1" a="1"/>
  <c r="AF562" i="1" a="1"/>
  <c r="AF562" i="1" s="1"/>
  <c r="AF561" i="1" a="1"/>
  <c r="AF561" i="1" s="1"/>
  <c r="AF560" i="1"/>
  <c r="AF560" i="1" a="1"/>
  <c r="AF559" i="1"/>
  <c r="AF559" i="1" a="1"/>
  <c r="AF558" i="1" a="1"/>
  <c r="AF558" i="1" s="1"/>
  <c r="AF557" i="1"/>
  <c r="AF557" i="1" a="1"/>
  <c r="AF556" i="1" a="1"/>
  <c r="AF556" i="1" s="1"/>
  <c r="AF555" i="1" a="1"/>
  <c r="AF555" i="1" s="1"/>
  <c r="AF554" i="1" a="1"/>
  <c r="AF554" i="1" s="1"/>
  <c r="AF553" i="1" a="1"/>
  <c r="AF553" i="1" s="1"/>
  <c r="AF552" i="1" a="1"/>
  <c r="AF552" i="1" s="1"/>
  <c r="AF551" i="1" a="1"/>
  <c r="AF551" i="1" s="1"/>
  <c r="AF550" i="1"/>
  <c r="AF550" i="1" a="1"/>
  <c r="AF549" i="1"/>
  <c r="AF549" i="1" a="1"/>
  <c r="AF548" i="1" a="1"/>
  <c r="AF548" i="1" s="1"/>
  <c r="AF547" i="1"/>
  <c r="AF547" i="1" a="1"/>
  <c r="AF546" i="1" a="1"/>
  <c r="AF546" i="1" s="1"/>
  <c r="AF545" i="1"/>
  <c r="AF545" i="1" a="1"/>
  <c r="AF544" i="1"/>
  <c r="AF544" i="1" a="1"/>
  <c r="AF543" i="1" a="1"/>
  <c r="AF543" i="1" s="1"/>
  <c r="AF542" i="1"/>
  <c r="AF542" i="1" a="1"/>
  <c r="AF541" i="1" a="1"/>
  <c r="AF541" i="1" s="1"/>
  <c r="AF540" i="1" a="1"/>
  <c r="AF540" i="1" s="1"/>
  <c r="AF539" i="1" a="1"/>
  <c r="AF539" i="1" s="1"/>
  <c r="AF538" i="1" a="1"/>
  <c r="AF538" i="1" s="1"/>
  <c r="AF537" i="1"/>
  <c r="AF537" i="1" a="1"/>
  <c r="AF536" i="1"/>
  <c r="AF536" i="1" a="1"/>
  <c r="AF535" i="1"/>
  <c r="AF535" i="1" a="1"/>
  <c r="AF534" i="1" a="1"/>
  <c r="AF534" i="1" s="1"/>
  <c r="AF533" i="1" a="1"/>
  <c r="AF533" i="1" s="1"/>
  <c r="AF532" i="1"/>
  <c r="AF532" i="1" a="1"/>
  <c r="AF531" i="1"/>
  <c r="AF531" i="1" a="1"/>
  <c r="AF530" i="1" a="1"/>
  <c r="AF530" i="1" s="1"/>
  <c r="AF529" i="1"/>
  <c r="AF529" i="1" a="1"/>
  <c r="AF528" i="1" a="1"/>
  <c r="AF528" i="1" s="1"/>
  <c r="AF527" i="1"/>
  <c r="AF527" i="1" a="1"/>
  <c r="AF526" i="1" a="1"/>
  <c r="AF526" i="1" s="1"/>
  <c r="AF525" i="1" a="1"/>
  <c r="AF525" i="1" s="1"/>
  <c r="AF524" i="1"/>
  <c r="AF524" i="1" a="1"/>
  <c r="AF523" i="1"/>
  <c r="AF523" i="1" a="1"/>
  <c r="AF522" i="1" a="1"/>
  <c r="AF522" i="1" s="1"/>
  <c r="AF521" i="1"/>
  <c r="AF521" i="1" a="1"/>
  <c r="AF520" i="1" a="1"/>
  <c r="AF520" i="1" s="1"/>
  <c r="AF519" i="1"/>
  <c r="AF519" i="1" a="1"/>
  <c r="AF518" i="1" a="1"/>
  <c r="AF518" i="1" s="1"/>
  <c r="AF517" i="1" a="1"/>
  <c r="AF517" i="1" s="1"/>
  <c r="AF516" i="1" a="1"/>
  <c r="AF516" i="1" s="1"/>
  <c r="AF515" i="1"/>
  <c r="AF515" i="1" a="1"/>
  <c r="AF514" i="1"/>
  <c r="AF514" i="1" a="1"/>
  <c r="AF513" i="1" a="1"/>
  <c r="AF513" i="1" s="1"/>
  <c r="AF512" i="1" a="1"/>
  <c r="AF512" i="1" s="1"/>
  <c r="AF511" i="1"/>
  <c r="AF511" i="1" a="1"/>
  <c r="AF510" i="1" a="1"/>
  <c r="AF510" i="1" s="1"/>
  <c r="AF509" i="1"/>
  <c r="AF509" i="1" a="1"/>
  <c r="AF508" i="1" a="1"/>
  <c r="AF508" i="1" s="1"/>
  <c r="AF507" i="1" a="1"/>
  <c r="AF507" i="1" s="1"/>
  <c r="AF506" i="1" a="1"/>
  <c r="AF506" i="1" s="1"/>
  <c r="AF505" i="1" a="1"/>
  <c r="AF505" i="1" s="1"/>
  <c r="AF504" i="1" a="1"/>
  <c r="AF504" i="1" s="1"/>
  <c r="AF503" i="1"/>
  <c r="AF503" i="1" a="1"/>
  <c r="AF502" i="1"/>
  <c r="AF502" i="1" a="1"/>
  <c r="AF501" i="1"/>
  <c r="AF501" i="1" a="1"/>
  <c r="AF500" i="1"/>
  <c r="AF500" i="1" a="1"/>
  <c r="AF499" i="1"/>
  <c r="AF499" i="1" a="1"/>
  <c r="AF498" i="1" a="1"/>
  <c r="AF498" i="1" s="1"/>
  <c r="AF497" i="1" a="1"/>
  <c r="AF497" i="1" s="1"/>
  <c r="AF496" i="1"/>
  <c r="AF496" i="1" a="1"/>
  <c r="AF495" i="1"/>
  <c r="AF495" i="1" a="1"/>
  <c r="AF494" i="1" a="1"/>
  <c r="AF494" i="1" s="1"/>
  <c r="AF493" i="1"/>
  <c r="AF493" i="1" a="1"/>
  <c r="AF492" i="1" a="1"/>
  <c r="AF492" i="1" s="1"/>
  <c r="AF491" i="1"/>
  <c r="AF491" i="1" a="1"/>
  <c r="AF490" i="1" a="1"/>
  <c r="AF490" i="1" s="1"/>
  <c r="AF489" i="1"/>
  <c r="AF489" i="1" a="1"/>
  <c r="AF488" i="1"/>
  <c r="AF488" i="1" a="1"/>
  <c r="AF487" i="1" a="1"/>
  <c r="AF487" i="1" s="1"/>
  <c r="AF486" i="1" a="1"/>
  <c r="AF486" i="1" s="1"/>
  <c r="AF485" i="1" a="1"/>
  <c r="AF485" i="1" s="1"/>
  <c r="AF484" i="1" a="1"/>
  <c r="AF484" i="1" s="1"/>
  <c r="AF483" i="1" a="1"/>
  <c r="AF483" i="1" s="1"/>
  <c r="AF482" i="1"/>
  <c r="AF482" i="1" a="1"/>
  <c r="AF481" i="1" a="1"/>
  <c r="AF481" i="1" s="1"/>
  <c r="AF480" i="1" a="1"/>
  <c r="AF480" i="1" s="1"/>
  <c r="AF479" i="1" a="1"/>
  <c r="AF479" i="1" s="1"/>
  <c r="AF478" i="1"/>
  <c r="AF478" i="1" a="1"/>
  <c r="AF477" i="1"/>
  <c r="AF477" i="1" a="1"/>
  <c r="AF476" i="1" a="1"/>
  <c r="AF476" i="1" s="1"/>
  <c r="AF475" i="1"/>
  <c r="AF475" i="1" a="1"/>
  <c r="AF474" i="1" a="1"/>
  <c r="AF474" i="1" s="1"/>
  <c r="AF473" i="1"/>
  <c r="AF473" i="1" a="1"/>
  <c r="AF472" i="1"/>
  <c r="AF472" i="1" a="1"/>
  <c r="AF471" i="1" a="1"/>
  <c r="AF471" i="1" s="1"/>
  <c r="AF470" i="1"/>
  <c r="AF470" i="1" a="1"/>
  <c r="AF469" i="1" a="1"/>
  <c r="AF469" i="1" s="1"/>
  <c r="AF468" i="1" a="1"/>
  <c r="AF468" i="1" s="1"/>
  <c r="AF467" i="1" a="1"/>
  <c r="AF467" i="1" s="1"/>
  <c r="AF466" i="1"/>
  <c r="AF466" i="1" a="1"/>
  <c r="AF465" i="1"/>
  <c r="AF465" i="1" a="1"/>
  <c r="AF464" i="1" a="1"/>
  <c r="AF464" i="1" s="1"/>
  <c r="AF463" i="1" a="1"/>
  <c r="AF463" i="1" s="1"/>
  <c r="AF462" i="1" a="1"/>
  <c r="AF462" i="1" s="1"/>
  <c r="AF461" i="1" a="1"/>
  <c r="AF461" i="1" s="1"/>
  <c r="AF460" i="1" a="1"/>
  <c r="AF460" i="1" s="1"/>
  <c r="AF459" i="1"/>
  <c r="AF459" i="1" a="1"/>
  <c r="AF458" i="1" a="1"/>
  <c r="AF458" i="1" s="1"/>
  <c r="AF457" i="1"/>
  <c r="AF457" i="1" a="1"/>
  <c r="AF456" i="1" a="1"/>
  <c r="AF456" i="1" s="1"/>
  <c r="AF455" i="1"/>
  <c r="AF455" i="1" a="1"/>
  <c r="AF454" i="1" a="1"/>
  <c r="AF454" i="1" s="1"/>
  <c r="AF453" i="1" a="1"/>
  <c r="AF453" i="1" s="1"/>
  <c r="AF452" i="1"/>
  <c r="AF452" i="1" a="1"/>
  <c r="AF451" i="1"/>
  <c r="AF451" i="1" a="1"/>
  <c r="AF450" i="1" a="1"/>
  <c r="AF450" i="1" s="1"/>
  <c r="AF449" i="1"/>
  <c r="AF449" i="1" a="1"/>
  <c r="AF448" i="1" a="1"/>
  <c r="AF448" i="1" s="1"/>
  <c r="AF447" i="1" a="1"/>
  <c r="AF447" i="1" s="1"/>
  <c r="AF446" i="1" a="1"/>
  <c r="AF446" i="1" s="1"/>
  <c r="AF445" i="1" a="1"/>
  <c r="AF445" i="1" s="1"/>
  <c r="AF444" i="1" a="1"/>
  <c r="AF444" i="1" s="1"/>
  <c r="AF443" i="1"/>
  <c r="AF443" i="1" a="1"/>
  <c r="AF442" i="1"/>
  <c r="AF442" i="1" a="1"/>
  <c r="AF441" i="1" a="1"/>
  <c r="AF441" i="1" s="1"/>
  <c r="AF440" i="1" a="1"/>
  <c r="AF440" i="1" s="1"/>
  <c r="AF439" i="1"/>
  <c r="AF439" i="1" a="1"/>
  <c r="AF438" i="1" a="1"/>
  <c r="AF438" i="1" s="1"/>
  <c r="AF437" i="1" a="1"/>
  <c r="AF437" i="1" s="1"/>
  <c r="AF436" i="1"/>
  <c r="AF436" i="1" a="1"/>
  <c r="AF435" i="1" a="1"/>
  <c r="AF435" i="1" s="1"/>
  <c r="AF434" i="1" a="1"/>
  <c r="AF434" i="1" s="1"/>
  <c r="AF433" i="1" a="1"/>
  <c r="AF433" i="1" s="1"/>
  <c r="AF432" i="1" a="1"/>
  <c r="AF432" i="1" s="1"/>
  <c r="AF431" i="1"/>
  <c r="AF431" i="1" a="1"/>
  <c r="AF430" i="1" a="1"/>
  <c r="AF430" i="1" s="1"/>
  <c r="AF429" i="1"/>
  <c r="AF429" i="1" a="1"/>
  <c r="AF428" i="1"/>
  <c r="AF428" i="1" a="1"/>
  <c r="AF427" i="1" a="1"/>
  <c r="AF427" i="1" s="1"/>
  <c r="AF426" i="1" a="1"/>
  <c r="AF426" i="1" s="1"/>
  <c r="AF425" i="1" a="1"/>
  <c r="AF425" i="1" s="1"/>
  <c r="AF424" i="1"/>
  <c r="AF424" i="1" a="1"/>
  <c r="AF423" i="1" a="1"/>
  <c r="AF423" i="1" s="1"/>
  <c r="AF422" i="1" a="1"/>
  <c r="AF422" i="1" s="1"/>
  <c r="AF421" i="1" a="1"/>
  <c r="AF421" i="1" s="1"/>
  <c r="AF420" i="1" a="1"/>
  <c r="AF420" i="1" s="1"/>
  <c r="AF419" i="1"/>
  <c r="AF419" i="1" a="1"/>
  <c r="AF418" i="1"/>
  <c r="AF418" i="1" a="1"/>
  <c r="AF417" i="1"/>
  <c r="AF417" i="1" a="1"/>
  <c r="AF416" i="1"/>
  <c r="AF416" i="1" a="1"/>
  <c r="AF415" i="1"/>
  <c r="AF415" i="1" a="1"/>
  <c r="AF414" i="1" a="1"/>
  <c r="AF414" i="1" s="1"/>
  <c r="AF413" i="1" a="1"/>
  <c r="AF413" i="1" s="1"/>
  <c r="AF412" i="1" a="1"/>
  <c r="AF412" i="1" s="1"/>
  <c r="AF411" i="1"/>
  <c r="AF411" i="1" a="1"/>
  <c r="AF410" i="1"/>
  <c r="AF410" i="1" a="1"/>
  <c r="AF409" i="1" a="1"/>
  <c r="AF409" i="1" s="1"/>
  <c r="AF408" i="1" a="1"/>
  <c r="AF408" i="1" s="1"/>
  <c r="AF407" i="1"/>
  <c r="AF407" i="1" a="1"/>
  <c r="AF406" i="1"/>
  <c r="AF406" i="1" a="1"/>
  <c r="AF405" i="1" a="1"/>
  <c r="AF405" i="1" s="1"/>
  <c r="AF404" i="1"/>
  <c r="AF404" i="1" a="1"/>
  <c r="AF403" i="1"/>
  <c r="AF403" i="1" a="1"/>
  <c r="AF402" i="1" a="1"/>
  <c r="AF402" i="1" s="1"/>
  <c r="AF401" i="1"/>
  <c r="AF401" i="1" a="1"/>
  <c r="AF400" i="1" a="1"/>
  <c r="AF400" i="1" s="1"/>
  <c r="AF399" i="1" a="1"/>
  <c r="AF399" i="1" s="1"/>
  <c r="AF398" i="1" a="1"/>
  <c r="AF398" i="1" s="1"/>
  <c r="AF397" i="1"/>
  <c r="AF397" i="1" a="1"/>
  <c r="AF396" i="1" a="1"/>
  <c r="AF396" i="1" s="1"/>
  <c r="AF395" i="1"/>
  <c r="AF395" i="1" a="1"/>
  <c r="AF394" i="1"/>
  <c r="AF394" i="1" a="1"/>
  <c r="AF393" i="1"/>
  <c r="AF393" i="1" a="1"/>
  <c r="AF392" i="1" a="1"/>
  <c r="AF392" i="1" s="1"/>
  <c r="AF391" i="1" a="1"/>
  <c r="AF391" i="1" s="1"/>
  <c r="AF390" i="1" a="1"/>
  <c r="AF390" i="1" s="1"/>
  <c r="AF389" i="1" a="1"/>
  <c r="AF389" i="1" s="1"/>
  <c r="AF388" i="1"/>
  <c r="AF388" i="1" a="1"/>
  <c r="AF387" i="1"/>
  <c r="AF387" i="1" a="1"/>
  <c r="AF386" i="1" a="1"/>
  <c r="AF386" i="1" s="1"/>
  <c r="AF385" i="1"/>
  <c r="AF385" i="1" a="1"/>
  <c r="AF384" i="1" a="1"/>
  <c r="AF384" i="1" s="1"/>
  <c r="AF383" i="1"/>
  <c r="AF383" i="1" a="1"/>
  <c r="AF382" i="1" a="1"/>
  <c r="AF382" i="1" s="1"/>
  <c r="AF381" i="1"/>
  <c r="AF381" i="1" a="1"/>
  <c r="AF380" i="1"/>
  <c r="AF380" i="1" a="1"/>
  <c r="AF379" i="1" a="1"/>
  <c r="AF379" i="1" s="1"/>
  <c r="AF378" i="1" a="1"/>
  <c r="AF378" i="1" s="1"/>
  <c r="AF377" i="1" a="1"/>
  <c r="AF377" i="1" s="1"/>
  <c r="AF376" i="1" a="1"/>
  <c r="AF376" i="1" s="1"/>
  <c r="AF375" i="1" a="1"/>
  <c r="AF375" i="1" s="1"/>
  <c r="AF374" i="1"/>
  <c r="AF374" i="1" a="1"/>
  <c r="AF373" i="1" a="1"/>
  <c r="AF373" i="1" s="1"/>
  <c r="AF372" i="1" a="1"/>
  <c r="AF372" i="1" s="1"/>
  <c r="AF371" i="1" a="1"/>
  <c r="AF371" i="1" s="1"/>
  <c r="AF370" i="1"/>
  <c r="AF370" i="1" a="1"/>
  <c r="AF369" i="1" a="1"/>
  <c r="AF369" i="1" s="1"/>
  <c r="AF368" i="1" a="1"/>
  <c r="AF368" i="1" s="1"/>
  <c r="AF367" i="1"/>
  <c r="AF367" i="1" a="1"/>
  <c r="AF366" i="1" a="1"/>
  <c r="AF366" i="1" s="1"/>
  <c r="AF365" i="1"/>
  <c r="AF365" i="1" a="1"/>
  <c r="AF364" i="1"/>
  <c r="AF364" i="1" a="1"/>
  <c r="AF363" i="1" a="1"/>
  <c r="AF363" i="1" s="1"/>
  <c r="AF362" i="1" a="1"/>
  <c r="AF362" i="1" s="1"/>
  <c r="AF361" i="1" a="1"/>
  <c r="AF361" i="1" s="1"/>
  <c r="AF360" i="1" a="1"/>
  <c r="AF360" i="1" s="1"/>
  <c r="AF359" i="1" a="1"/>
  <c r="AF359" i="1" s="1"/>
  <c r="AF358" i="1"/>
  <c r="AF358" i="1" a="1"/>
  <c r="AF357" i="1"/>
  <c r="AF357" i="1" a="1"/>
  <c r="AF356" i="1" a="1"/>
  <c r="AF356" i="1" s="1"/>
  <c r="AF355" i="1"/>
  <c r="AF355" i="1" a="1"/>
  <c r="AF354" i="1" a="1"/>
  <c r="AF354" i="1" s="1"/>
  <c r="AF353" i="1"/>
  <c r="AF353" i="1" a="1"/>
  <c r="AF352" i="1"/>
  <c r="AF352" i="1" a="1"/>
  <c r="AF351" i="1" a="1"/>
  <c r="AF351" i="1" s="1"/>
  <c r="AF350" i="1" a="1"/>
  <c r="AF350" i="1" s="1"/>
  <c r="AF349" i="1" a="1"/>
  <c r="AF349" i="1" s="1"/>
  <c r="AF348" i="1"/>
  <c r="AF348" i="1" a="1"/>
  <c r="AF347" i="1"/>
  <c r="AF347" i="1" a="1"/>
  <c r="AF346" i="1" a="1"/>
  <c r="AF346" i="1" s="1"/>
  <c r="AF345" i="1"/>
  <c r="AF345" i="1" a="1"/>
  <c r="AF344" i="1" a="1"/>
  <c r="AF344" i="1" s="1"/>
  <c r="AF343" i="1" a="1"/>
  <c r="AF343" i="1" s="1"/>
  <c r="AF342" i="1" a="1"/>
  <c r="AF342" i="1" s="1"/>
  <c r="AF341" i="1" a="1"/>
  <c r="AF341" i="1" s="1"/>
  <c r="AF340" i="1"/>
  <c r="AF340" i="1" a="1"/>
  <c r="AF339" i="1"/>
  <c r="AF339" i="1" a="1"/>
  <c r="AF338" i="1" a="1"/>
  <c r="AF338" i="1" s="1"/>
  <c r="AF337" i="1"/>
  <c r="AF337" i="1" a="1"/>
  <c r="AF336" i="1" a="1"/>
  <c r="AF336" i="1" s="1"/>
  <c r="AF335" i="1"/>
  <c r="AF335" i="1" a="1"/>
  <c r="AF334" i="1"/>
  <c r="AF334" i="1" a="1"/>
  <c r="AF333" i="1" a="1"/>
  <c r="AF333" i="1" s="1"/>
  <c r="AF332" i="1" a="1"/>
  <c r="AF332" i="1" s="1"/>
  <c r="AF331" i="1" a="1"/>
  <c r="AF331" i="1" s="1"/>
  <c r="AF330" i="1" a="1"/>
  <c r="AF330" i="1" s="1"/>
  <c r="AF329" i="1" a="1"/>
  <c r="AF329" i="1" s="1"/>
  <c r="AF328" i="1" a="1"/>
  <c r="AF328" i="1" s="1"/>
  <c r="AF327" i="1"/>
  <c r="AF327" i="1" a="1"/>
  <c r="AF326" i="1" a="1"/>
  <c r="AF326" i="1" s="1"/>
  <c r="AF325" i="1"/>
  <c r="AF325" i="1" a="1"/>
  <c r="AF324" i="1"/>
  <c r="AF324" i="1" a="1"/>
  <c r="AF323" i="1" a="1"/>
  <c r="AF323" i="1" s="1"/>
  <c r="AF322" i="1"/>
  <c r="AF322" i="1" a="1"/>
  <c r="AF321" i="1"/>
  <c r="AF321" i="1" a="1"/>
  <c r="AF320" i="1" a="1"/>
  <c r="AF320" i="1" s="1"/>
  <c r="AF319" i="1" a="1"/>
  <c r="AF319" i="1" s="1"/>
  <c r="AF318" i="1" a="1"/>
  <c r="AF318" i="1" s="1"/>
  <c r="AF317" i="1" a="1"/>
  <c r="AF317" i="1" s="1"/>
  <c r="AF316" i="1" a="1"/>
  <c r="AF316" i="1" s="1"/>
  <c r="AF315" i="1" a="1"/>
  <c r="AF315" i="1" s="1"/>
  <c r="AF314" i="1" a="1"/>
  <c r="AF314" i="1" s="1"/>
  <c r="AF313" i="1" a="1"/>
  <c r="AF313" i="1" s="1"/>
  <c r="AF312" i="1"/>
  <c r="AF312" i="1" a="1"/>
  <c r="AF311" i="1"/>
  <c r="AF311" i="1" a="1"/>
  <c r="AF310" i="1" a="1"/>
  <c r="AF310" i="1" s="1"/>
  <c r="AF309" i="1"/>
  <c r="AF309" i="1" a="1"/>
  <c r="AF308" i="1" a="1"/>
  <c r="AF308" i="1" s="1"/>
  <c r="AF307" i="1"/>
  <c r="AF307" i="1" a="1"/>
  <c r="AF306" i="1" a="1"/>
  <c r="AF306" i="1" s="1"/>
  <c r="AF305" i="1" a="1"/>
  <c r="AF305" i="1" s="1"/>
  <c r="AF304" i="1" a="1"/>
  <c r="AF304" i="1" s="1"/>
  <c r="AF303" i="1" a="1"/>
  <c r="AF303" i="1" s="1"/>
  <c r="AF302" i="1" a="1"/>
  <c r="AF302" i="1" s="1"/>
  <c r="AF301" i="1"/>
  <c r="AF301" i="1" a="1"/>
  <c r="AF300" i="1" a="1"/>
  <c r="AF300" i="1" s="1"/>
  <c r="AF299" i="1"/>
  <c r="AF299" i="1" a="1"/>
  <c r="AF298" i="1"/>
  <c r="AF298" i="1" a="1"/>
  <c r="AF297" i="1" a="1"/>
  <c r="AF297" i="1" s="1"/>
  <c r="AF296" i="1" a="1"/>
  <c r="AF296" i="1" s="1"/>
  <c r="AF295" i="1" a="1"/>
  <c r="AF295" i="1" s="1"/>
  <c r="AF294" i="1"/>
  <c r="AF294" i="1" a="1"/>
  <c r="AF293" i="1" a="1"/>
  <c r="AF293" i="1" s="1"/>
  <c r="AF292" i="1" a="1"/>
  <c r="AF292" i="1" s="1"/>
  <c r="AF291" i="1" a="1"/>
  <c r="AF291" i="1" s="1"/>
  <c r="AF290" i="1" a="1"/>
  <c r="AF290" i="1" s="1"/>
  <c r="AF289" i="1"/>
  <c r="AF289" i="1" a="1"/>
  <c r="AF288" i="1" a="1"/>
  <c r="AF288" i="1" s="1"/>
  <c r="AF287" i="1" a="1"/>
  <c r="AF287" i="1" s="1"/>
  <c r="AF286" i="1"/>
  <c r="AF286" i="1" a="1"/>
  <c r="AF285" i="1"/>
  <c r="AF285" i="1" a="1"/>
  <c r="AF284" i="1" a="1"/>
  <c r="AF284" i="1" s="1"/>
  <c r="AF283" i="1" a="1"/>
  <c r="AF283" i="1" s="1"/>
  <c r="AF282" i="1" a="1"/>
  <c r="AF282" i="1" s="1"/>
  <c r="AF281" i="1"/>
  <c r="AF281" i="1" a="1"/>
  <c r="AF280" i="1" a="1"/>
  <c r="AF280" i="1" s="1"/>
  <c r="AF279" i="1" a="1"/>
  <c r="AF279" i="1" s="1"/>
  <c r="AF278" i="1" a="1"/>
  <c r="AF278" i="1" s="1"/>
  <c r="AF277" i="1" a="1"/>
  <c r="AF277" i="1" s="1"/>
  <c r="AF276" i="1"/>
  <c r="AF276" i="1" a="1"/>
  <c r="AF275" i="1" a="1"/>
  <c r="AF275" i="1" s="1"/>
  <c r="AF274" i="1" a="1"/>
  <c r="AF274" i="1" s="1"/>
  <c r="AF273" i="1"/>
  <c r="AF273" i="1" a="1"/>
  <c r="AF272" i="1" a="1"/>
  <c r="AF272" i="1" s="1"/>
  <c r="AF271" i="1" a="1"/>
  <c r="AF271" i="1" s="1"/>
  <c r="AF270" i="1" a="1"/>
  <c r="AF270" i="1" s="1"/>
  <c r="AF269" i="1" a="1"/>
  <c r="AF269" i="1" s="1"/>
  <c r="AF268" i="1"/>
  <c r="AF268" i="1" a="1"/>
  <c r="AF267" i="1" a="1"/>
  <c r="AF267" i="1" s="1"/>
  <c r="AF266" i="1" a="1"/>
  <c r="AF266" i="1" s="1"/>
  <c r="AF265" i="1"/>
  <c r="AF265" i="1" a="1"/>
  <c r="AF264" i="1" a="1"/>
  <c r="AF264" i="1" s="1"/>
  <c r="AF263" i="1"/>
  <c r="AF263" i="1" a="1"/>
  <c r="AF262" i="1" a="1"/>
  <c r="AF262" i="1" s="1"/>
  <c r="AF261" i="1" a="1"/>
  <c r="AF261" i="1" s="1"/>
  <c r="AF260" i="1" a="1"/>
  <c r="AF260" i="1" s="1"/>
  <c r="AF259" i="1" a="1"/>
  <c r="AF259" i="1" s="1"/>
  <c r="AF258" i="1" a="1"/>
  <c r="AF258" i="1" s="1"/>
  <c r="AF257" i="1" a="1"/>
  <c r="AF257" i="1" s="1"/>
  <c r="AF256" i="1" a="1"/>
  <c r="AF256" i="1" s="1"/>
  <c r="AF255" i="1"/>
  <c r="AF255" i="1" a="1"/>
  <c r="AF254" i="1" a="1"/>
  <c r="AF254" i="1" s="1"/>
  <c r="AF253" i="1"/>
  <c r="AF253" i="1" a="1"/>
  <c r="AF252" i="1"/>
  <c r="AF252" i="1" a="1"/>
  <c r="AF251" i="1" a="1"/>
  <c r="AF251" i="1" s="1"/>
  <c r="AF250" i="1"/>
  <c r="AF250" i="1" a="1"/>
  <c r="AF249" i="1" a="1"/>
  <c r="AF249" i="1" s="1"/>
  <c r="AF248" i="1" a="1"/>
  <c r="AF248" i="1" s="1"/>
  <c r="AF247" i="1" a="1"/>
  <c r="AF247" i="1" s="1"/>
  <c r="AF246" i="1" a="1"/>
  <c r="AF246" i="1" s="1"/>
  <c r="AF245" i="1" a="1"/>
  <c r="AF245" i="1" s="1"/>
  <c r="AF244" i="1" a="1"/>
  <c r="AF244" i="1" s="1"/>
  <c r="AF243" i="1" a="1"/>
  <c r="AF243" i="1" s="1"/>
  <c r="AF242" i="1" a="1"/>
  <c r="AF242" i="1" s="1"/>
  <c r="AF241" i="1" a="1"/>
  <c r="AF241" i="1" s="1"/>
  <c r="AF240" i="1"/>
  <c r="AF240" i="1" a="1"/>
  <c r="AF239" i="1"/>
  <c r="AF239" i="1" a="1"/>
  <c r="AF238" i="1" a="1"/>
  <c r="AF238" i="1" s="1"/>
  <c r="AF237" i="1"/>
  <c r="AF237" i="1" a="1"/>
  <c r="AF236" i="1" a="1"/>
  <c r="AF236" i="1" s="1"/>
  <c r="AF235" i="1"/>
  <c r="AF235" i="1" a="1"/>
  <c r="AF234" i="1" a="1"/>
  <c r="AF234" i="1" s="1"/>
  <c r="AF233" i="1" a="1"/>
  <c r="AF233" i="1" s="1"/>
  <c r="AF232" i="1" a="1"/>
  <c r="AF232" i="1" s="1"/>
  <c r="AF231" i="1" a="1"/>
  <c r="AF231" i="1" s="1"/>
  <c r="AF230" i="1" a="1"/>
  <c r="AF230" i="1" s="1"/>
  <c r="AF229" i="1" a="1"/>
  <c r="AF229" i="1" s="1"/>
  <c r="AF228" i="1" a="1"/>
  <c r="AF228" i="1" s="1"/>
  <c r="AF227" i="1"/>
  <c r="AF227" i="1" a="1"/>
  <c r="AF226" i="1"/>
  <c r="AF226" i="1" a="1"/>
  <c r="AF225" i="1" a="1"/>
  <c r="AF225" i="1" s="1"/>
  <c r="AF224" i="1" a="1"/>
  <c r="AF224" i="1" s="1"/>
  <c r="AF223" i="1" a="1"/>
  <c r="AF223" i="1" s="1"/>
  <c r="AF222" i="1"/>
  <c r="AF222" i="1" a="1"/>
  <c r="AF221" i="1" a="1"/>
  <c r="AF221" i="1" s="1"/>
  <c r="AF220" i="1" a="1"/>
  <c r="AF220" i="1" s="1"/>
  <c r="AF219" i="1" a="1"/>
  <c r="AF219" i="1" s="1"/>
  <c r="AF218" i="1" a="1"/>
  <c r="AF218" i="1" s="1"/>
  <c r="AF217" i="1"/>
  <c r="AF217" i="1" a="1"/>
  <c r="AF216" i="1" a="1"/>
  <c r="AF216" i="1" s="1"/>
  <c r="AF215" i="1" a="1"/>
  <c r="AF215" i="1" s="1"/>
  <c r="AF214" i="1"/>
  <c r="AF214" i="1" a="1"/>
  <c r="AF213" i="1"/>
  <c r="AF213" i="1" a="1"/>
  <c r="AF212" i="1" a="1"/>
  <c r="AF212" i="1" s="1"/>
  <c r="AF211" i="1" a="1"/>
  <c r="AF211" i="1" s="1"/>
  <c r="AF210" i="1" a="1"/>
  <c r="AF210" i="1" s="1"/>
  <c r="AF209" i="1"/>
  <c r="AF209" i="1" a="1"/>
  <c r="AF208" i="1" a="1"/>
  <c r="AF208" i="1" s="1"/>
  <c r="AF207" i="1" a="1"/>
  <c r="AF207" i="1" s="1"/>
  <c r="AF206" i="1" a="1"/>
  <c r="AF206" i="1" s="1"/>
  <c r="AF205" i="1" a="1"/>
  <c r="AF205" i="1" s="1"/>
  <c r="AF204" i="1"/>
  <c r="AF204" i="1" a="1"/>
  <c r="AF203" i="1" a="1"/>
  <c r="AF203" i="1" s="1"/>
  <c r="AF202" i="1" a="1"/>
  <c r="AF202" i="1" s="1"/>
  <c r="AF201" i="1"/>
  <c r="AF201" i="1" a="1"/>
  <c r="AF200" i="1" a="1"/>
  <c r="AF200" i="1" s="1"/>
  <c r="AF199" i="1" a="1"/>
  <c r="AF199" i="1" s="1"/>
  <c r="AF198" i="1" a="1"/>
  <c r="AF198" i="1" s="1"/>
  <c r="AF197" i="1" a="1"/>
  <c r="AF197" i="1" s="1"/>
  <c r="AF196" i="1"/>
  <c r="AF196" i="1" a="1"/>
  <c r="AF195" i="1" a="1"/>
  <c r="AF195" i="1" s="1"/>
  <c r="AF194" i="1" a="1"/>
  <c r="AF194" i="1" s="1"/>
  <c r="AF193" i="1"/>
  <c r="AF193" i="1" a="1"/>
  <c r="AF192" i="1" a="1"/>
  <c r="AF192" i="1" s="1"/>
  <c r="AF191" i="1"/>
  <c r="AF191" i="1" a="1"/>
  <c r="AF190" i="1" a="1"/>
  <c r="AF190" i="1" s="1"/>
  <c r="AF189" i="1" a="1"/>
  <c r="AF189" i="1" s="1"/>
  <c r="AF188" i="1" a="1"/>
  <c r="AF188" i="1" s="1"/>
  <c r="AF187" i="1" a="1"/>
  <c r="AF187" i="1" s="1"/>
  <c r="AF186" i="1" a="1"/>
  <c r="AF186" i="1" s="1"/>
  <c r="AF185" i="1" a="1"/>
  <c r="AF185" i="1" s="1"/>
  <c r="AF184" i="1" a="1"/>
  <c r="AF184" i="1" s="1"/>
  <c r="AF183" i="1"/>
  <c r="AF183" i="1" a="1"/>
  <c r="AF182" i="1" a="1"/>
  <c r="AF182" i="1" s="1"/>
  <c r="AF181" i="1"/>
  <c r="AF181" i="1" a="1"/>
  <c r="AF180" i="1"/>
  <c r="AF180" i="1" a="1"/>
  <c r="AF179" i="1" a="1"/>
  <c r="AF179" i="1" s="1"/>
  <c r="AF178" i="1"/>
  <c r="AF178" i="1" a="1"/>
  <c r="AF177" i="1" a="1"/>
  <c r="AF177" i="1" s="1"/>
  <c r="AF176" i="1" a="1"/>
  <c r="AF176" i="1" s="1"/>
  <c r="AF175" i="1" a="1"/>
  <c r="AF175" i="1" s="1"/>
  <c r="AF174" i="1" a="1"/>
  <c r="AF174" i="1" s="1"/>
  <c r="AF173" i="1" a="1"/>
  <c r="AF173" i="1" s="1"/>
  <c r="AF172" i="1" a="1"/>
  <c r="AF172" i="1" s="1"/>
  <c r="AF171" i="1" a="1"/>
  <c r="AF171" i="1" s="1"/>
  <c r="AF170" i="1" a="1"/>
  <c r="AF170" i="1" s="1"/>
  <c r="AF169" i="1" a="1"/>
  <c r="AF169" i="1" s="1"/>
  <c r="AF168" i="1"/>
  <c r="AF168" i="1" a="1"/>
  <c r="AF167" i="1"/>
  <c r="AF167" i="1" a="1"/>
  <c r="AF166" i="1" a="1"/>
  <c r="AF166" i="1" s="1"/>
  <c r="AF165" i="1"/>
  <c r="AF165" i="1" a="1"/>
  <c r="AF164" i="1" a="1"/>
  <c r="AF164" i="1" s="1"/>
  <c r="AF163" i="1"/>
  <c r="AF163" i="1" a="1"/>
  <c r="AF162" i="1" a="1"/>
  <c r="AF162" i="1" s="1"/>
  <c r="AF161" i="1" a="1"/>
  <c r="AF161" i="1" s="1"/>
  <c r="AF160" i="1" a="1"/>
  <c r="AF160" i="1" s="1"/>
  <c r="AF159" i="1" a="1"/>
  <c r="AF159" i="1" s="1"/>
  <c r="AF158" i="1" a="1"/>
  <c r="AF158" i="1" s="1"/>
  <c r="AF157" i="1" a="1"/>
  <c r="AF157" i="1" s="1"/>
  <c r="AF156" i="1" a="1"/>
  <c r="AF156" i="1" s="1"/>
  <c r="AF155" i="1"/>
  <c r="AF155" i="1" a="1"/>
  <c r="AF154" i="1"/>
  <c r="AF154" i="1" a="1"/>
  <c r="AF153" i="1" a="1"/>
  <c r="AF153" i="1" s="1"/>
  <c r="AF152" i="1" a="1"/>
  <c r="AF152" i="1" s="1"/>
  <c r="AF151" i="1" a="1"/>
  <c r="AF151" i="1" s="1"/>
  <c r="AF150" i="1"/>
  <c r="AF150" i="1" a="1"/>
  <c r="AF149" i="1" a="1"/>
  <c r="AF149" i="1" s="1"/>
  <c r="AF148" i="1" a="1"/>
  <c r="AF148" i="1" s="1"/>
  <c r="AF147" i="1" a="1"/>
  <c r="AF147" i="1" s="1"/>
  <c r="AF146" i="1" a="1"/>
  <c r="AF146" i="1" s="1"/>
  <c r="AF145" i="1"/>
  <c r="AF145" i="1" a="1"/>
  <c r="AF144" i="1" a="1"/>
  <c r="AF144" i="1" s="1"/>
  <c r="AF143" i="1" a="1"/>
  <c r="AF143" i="1" s="1"/>
  <c r="AF142" i="1"/>
  <c r="AF142" i="1" a="1"/>
  <c r="AF141" i="1"/>
  <c r="AF141" i="1" a="1"/>
  <c r="AF140" i="1" a="1"/>
  <c r="AF140" i="1" s="1"/>
  <c r="AF139" i="1" a="1"/>
  <c r="AF139" i="1" s="1"/>
  <c r="AF138" i="1" a="1"/>
  <c r="AF138" i="1" s="1"/>
  <c r="AF137" i="1"/>
  <c r="AF137" i="1" a="1"/>
  <c r="AF136" i="1" a="1"/>
  <c r="AF136" i="1" s="1"/>
  <c r="AF135" i="1" a="1"/>
  <c r="AF135" i="1" s="1"/>
  <c r="AF134" i="1" a="1"/>
  <c r="AF134" i="1" s="1"/>
  <c r="AF133" i="1" a="1"/>
  <c r="AF133" i="1" s="1"/>
  <c r="AF132" i="1"/>
  <c r="AF132" i="1" a="1"/>
  <c r="AF131" i="1" a="1"/>
  <c r="AF131" i="1" s="1"/>
  <c r="AF130" i="1" a="1"/>
  <c r="AF130" i="1" s="1"/>
  <c r="AF129" i="1"/>
  <c r="AF129" i="1" a="1"/>
  <c r="AF128" i="1" a="1"/>
  <c r="AF128" i="1" s="1"/>
  <c r="AF127" i="1" a="1"/>
  <c r="AF127" i="1" s="1"/>
  <c r="AF126" i="1" a="1"/>
  <c r="AF126" i="1" s="1"/>
  <c r="AF125" i="1" a="1"/>
  <c r="AF125" i="1" s="1"/>
  <c r="AF124" i="1"/>
  <c r="AF124" i="1" a="1"/>
  <c r="AF123" i="1" a="1"/>
  <c r="AF123" i="1" s="1"/>
  <c r="AF122" i="1" a="1"/>
  <c r="AF122" i="1" s="1"/>
  <c r="AF121" i="1"/>
  <c r="AF121" i="1" a="1"/>
  <c r="AF120" i="1" a="1"/>
  <c r="AF120" i="1" s="1"/>
  <c r="AF119" i="1"/>
  <c r="AF119" i="1" a="1"/>
  <c r="AF118" i="1" a="1"/>
  <c r="AF118" i="1" s="1"/>
  <c r="AF117" i="1" a="1"/>
  <c r="AF117" i="1" s="1"/>
  <c r="AF116" i="1" a="1"/>
  <c r="AF116" i="1" s="1"/>
  <c r="AF115" i="1" a="1"/>
  <c r="AF115" i="1" s="1"/>
  <c r="AF114" i="1" a="1"/>
  <c r="AF114" i="1" s="1"/>
  <c r="AF113" i="1" a="1"/>
  <c r="AF113" i="1" s="1"/>
  <c r="AF112" i="1" a="1"/>
  <c r="AF112" i="1" s="1"/>
  <c r="AF111" i="1"/>
  <c r="AF111" i="1" a="1"/>
  <c r="AF110" i="1" a="1"/>
  <c r="AF110" i="1" s="1"/>
  <c r="AF109" i="1"/>
  <c r="AF109" i="1" a="1"/>
  <c r="AF108" i="1"/>
  <c r="AF108" i="1" a="1"/>
  <c r="AF107" i="1" a="1"/>
  <c r="AF107" i="1" s="1"/>
  <c r="AF106" i="1"/>
  <c r="AF106" i="1" a="1"/>
  <c r="AF105" i="1" a="1"/>
  <c r="AF105" i="1" s="1"/>
  <c r="AF104" i="1" a="1"/>
  <c r="AF104" i="1" s="1"/>
  <c r="AF103" i="1" a="1"/>
  <c r="AF103" i="1" s="1"/>
  <c r="AF102" i="1" a="1"/>
  <c r="AF102" i="1" s="1"/>
  <c r="AF101" i="1" a="1"/>
  <c r="AF101" i="1" s="1"/>
  <c r="AF100" i="1" a="1"/>
  <c r="AF100" i="1" s="1"/>
  <c r="AF99" i="1" a="1"/>
  <c r="AF99" i="1" s="1"/>
  <c r="AF98" i="1" a="1"/>
  <c r="AF98" i="1" s="1"/>
  <c r="AF97" i="1" a="1"/>
  <c r="AF97" i="1" s="1"/>
  <c r="AF96" i="1"/>
  <c r="AF96" i="1" a="1"/>
  <c r="AF95" i="1"/>
  <c r="AF95" i="1" a="1"/>
  <c r="AF94" i="1" a="1"/>
  <c r="AF94" i="1" s="1"/>
  <c r="AF93" i="1"/>
  <c r="AF93" i="1" a="1"/>
  <c r="AF92" i="1" a="1"/>
  <c r="AF92" i="1" s="1"/>
  <c r="AF91" i="1"/>
  <c r="AF91" i="1" a="1"/>
  <c r="AF90" i="1" a="1"/>
  <c r="AF90" i="1" s="1"/>
  <c r="AF89" i="1" a="1"/>
  <c r="AF89" i="1" s="1"/>
  <c r="AF88" i="1" a="1"/>
  <c r="AF88" i="1" s="1"/>
  <c r="AF87" i="1" a="1"/>
  <c r="AF87" i="1" s="1"/>
  <c r="AF86" i="1" a="1"/>
  <c r="AF86" i="1" s="1"/>
  <c r="AF85" i="1" a="1"/>
  <c r="AF85" i="1" s="1"/>
  <c r="AF84" i="1" a="1"/>
  <c r="AF84" i="1" s="1"/>
  <c r="AF83" i="1"/>
  <c r="AF83" i="1" a="1"/>
  <c r="AF82" i="1"/>
  <c r="AF82" i="1" a="1"/>
  <c r="AF81" i="1" a="1"/>
  <c r="AF81" i="1" s="1"/>
  <c r="AF80" i="1" a="1"/>
  <c r="AF80" i="1" s="1"/>
  <c r="AF79" i="1" a="1"/>
  <c r="AF79" i="1" s="1"/>
  <c r="AF78" i="1"/>
  <c r="AF78" i="1" a="1"/>
  <c r="AF77" i="1" a="1"/>
  <c r="AF77" i="1" s="1"/>
  <c r="AF76" i="1" a="1"/>
  <c r="AF76" i="1" s="1"/>
  <c r="AF75" i="1" a="1"/>
  <c r="AF75" i="1" s="1"/>
  <c r="AF74" i="1" a="1"/>
  <c r="AF74" i="1" s="1"/>
  <c r="AF73" i="1"/>
  <c r="AF73" i="1" a="1"/>
  <c r="AF72" i="1" a="1"/>
  <c r="AF72" i="1" s="1"/>
  <c r="AF71" i="1" a="1"/>
  <c r="AF71" i="1" s="1"/>
  <c r="AF70" i="1"/>
  <c r="AF70" i="1" a="1"/>
  <c r="AF69" i="1"/>
  <c r="AF69" i="1" a="1"/>
  <c r="AF68" i="1" a="1"/>
  <c r="AF68" i="1" s="1"/>
  <c r="AF67" i="1" a="1"/>
  <c r="AF67" i="1" s="1"/>
  <c r="AF66" i="1" a="1"/>
  <c r="AF66" i="1" s="1"/>
  <c r="AF65" i="1"/>
  <c r="AF65" i="1" a="1"/>
  <c r="AF64" i="1" a="1"/>
  <c r="AF64" i="1" s="1"/>
  <c r="AF63" i="1" a="1"/>
  <c r="AF63" i="1" s="1"/>
  <c r="AF62" i="1" a="1"/>
  <c r="AF62" i="1" s="1"/>
  <c r="AF61" i="1" a="1"/>
  <c r="AF61" i="1" s="1"/>
  <c r="AF60" i="1"/>
  <c r="AF60" i="1" a="1"/>
  <c r="AF59" i="1" a="1"/>
  <c r="AF59" i="1" s="1"/>
  <c r="AF58" i="1" a="1"/>
  <c r="AF58" i="1" s="1"/>
  <c r="AF57" i="1"/>
  <c r="AF57" i="1" a="1"/>
  <c r="AF56" i="1"/>
  <c r="AF56" i="1" a="1"/>
  <c r="AF55" i="1" a="1"/>
  <c r="AF55" i="1" s="1"/>
  <c r="AF54" i="1"/>
  <c r="AF54" i="1" a="1"/>
  <c r="AF53" i="1" a="1"/>
  <c r="AF53" i="1" s="1"/>
  <c r="AF52" i="1" a="1"/>
  <c r="AF52" i="1" s="1"/>
  <c r="AF51" i="1"/>
  <c r="AF51" i="1" a="1"/>
  <c r="AF50" i="1"/>
  <c r="AF50" i="1" a="1"/>
  <c r="AF49" i="1" a="1"/>
  <c r="AF49" i="1" s="1"/>
  <c r="AF48" i="1"/>
  <c r="AF48" i="1" a="1"/>
  <c r="AF47" i="1" a="1"/>
  <c r="AF47" i="1" s="1"/>
  <c r="AF46" i="1" a="1"/>
  <c r="AF46" i="1" s="1"/>
  <c r="AF45" i="1"/>
  <c r="AF45" i="1" a="1"/>
  <c r="AF44" i="1"/>
  <c r="AF44" i="1" a="1"/>
  <c r="AF43" i="1" a="1"/>
  <c r="AF43" i="1" s="1"/>
  <c r="AF42" i="1"/>
  <c r="AF42" i="1" a="1"/>
  <c r="AF41" i="1" a="1"/>
  <c r="AF41" i="1" s="1"/>
  <c r="AF40" i="1" a="1"/>
  <c r="AF40" i="1" s="1"/>
  <c r="AF39" i="1"/>
  <c r="AF39" i="1" a="1"/>
  <c r="AF38" i="1"/>
  <c r="AF38" i="1" a="1"/>
  <c r="AF37" i="1" a="1"/>
  <c r="AF37" i="1" s="1"/>
  <c r="AF36" i="1"/>
  <c r="AF36" i="1" a="1"/>
  <c r="AF35" i="1" a="1"/>
  <c r="AF35" i="1" s="1"/>
  <c r="AF34" i="1" a="1"/>
  <c r="AF34" i="1" s="1"/>
  <c r="AF33" i="1"/>
  <c r="AF33" i="1" a="1"/>
  <c r="AF32" i="1"/>
  <c r="AF32" i="1" a="1"/>
  <c r="AF31" i="1" a="1"/>
  <c r="AF31" i="1" s="1"/>
  <c r="AF30" i="1"/>
  <c r="AF30" i="1" a="1"/>
  <c r="AF29" i="1" a="1"/>
  <c r="AF29" i="1" s="1"/>
  <c r="AF28" i="1" a="1"/>
  <c r="AF28" i="1" s="1"/>
  <c r="AF27" i="1"/>
  <c r="AF27" i="1" a="1"/>
  <c r="AF26" i="1"/>
  <c r="AF26" i="1" a="1"/>
  <c r="AF25" i="1" a="1"/>
  <c r="AF25" i="1" s="1"/>
  <c r="AF24" i="1"/>
  <c r="AF24" i="1" a="1"/>
  <c r="AF23" i="1" a="1"/>
  <c r="AF23" i="1" s="1"/>
  <c r="AF22" i="1" a="1"/>
  <c r="AF22" i="1" s="1"/>
  <c r="AF21" i="1"/>
  <c r="AF21" i="1" a="1"/>
  <c r="AF20" i="1"/>
  <c r="AF20" i="1" a="1"/>
  <c r="AF19" i="1" a="1"/>
  <c r="AF19" i="1" s="1"/>
  <c r="AF18" i="1"/>
  <c r="AF18" i="1" a="1"/>
  <c r="AF17" i="1" a="1"/>
  <c r="AF17" i="1" s="1"/>
  <c r="AF16" i="1" a="1"/>
  <c r="AF16" i="1" s="1"/>
  <c r="AF15" i="1"/>
  <c r="AF15" i="1" a="1"/>
  <c r="AF14" i="1"/>
  <c r="AF14" i="1" a="1"/>
  <c r="AF13" i="1" a="1"/>
  <c r="AF13" i="1" s="1"/>
  <c r="AF12" i="1"/>
  <c r="AF12" i="1" a="1"/>
  <c r="AF11" i="1" a="1"/>
  <c r="AF11" i="1" s="1"/>
  <c r="AF10" i="1" a="1"/>
  <c r="AF10" i="1" s="1"/>
  <c r="AF9" i="1"/>
  <c r="AF9" i="1" a="1"/>
  <c r="AF8" i="1"/>
  <c r="AF8" i="1" a="1"/>
  <c r="AF7" i="1" a="1"/>
  <c r="AF7" i="1" s="1"/>
  <c r="AF6" i="1"/>
  <c r="AF6" i="1" a="1"/>
  <c r="AF5" i="1" a="1"/>
  <c r="AF5" i="1" s="1"/>
  <c r="AF4" i="1" a="1"/>
  <c r="AF4" i="1" s="1"/>
  <c r="AF3" i="1"/>
  <c r="AF3" i="1" a="1"/>
  <c r="AF2" i="1" a="1"/>
  <c r="AF2" i="1" s="1"/>
  <c r="AQ71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2" i="1"/>
  <c r="AE1171" i="1" a="1"/>
  <c r="AE1171" i="1" s="1"/>
  <c r="AE1170" i="1" a="1"/>
  <c r="AE1170" i="1" s="1"/>
  <c r="AE1169" i="1" a="1"/>
  <c r="AE1169" i="1" s="1"/>
  <c r="AE1168" i="1" a="1"/>
  <c r="AE1168" i="1" s="1"/>
  <c r="AE1167" i="1" a="1"/>
  <c r="AE1167" i="1" s="1"/>
  <c r="AE1166" i="1" a="1"/>
  <c r="AE1166" i="1" s="1"/>
  <c r="AE1165" i="1" a="1"/>
  <c r="AE1165" i="1" s="1"/>
  <c r="AE1164" i="1" a="1"/>
  <c r="AE1164" i="1" s="1"/>
  <c r="AE1163" i="1" a="1"/>
  <c r="AE1163" i="1" s="1"/>
  <c r="AE1162" i="1" a="1"/>
  <c r="AE1162" i="1" s="1"/>
  <c r="AE1161" i="1"/>
  <c r="AE1161" i="1" a="1"/>
  <c r="AE1160" i="1" a="1"/>
  <c r="AE1160" i="1" s="1"/>
  <c r="AE1159" i="1" a="1"/>
  <c r="AE1159" i="1" s="1"/>
  <c r="AE1158" i="1" a="1"/>
  <c r="AE1158" i="1" s="1"/>
  <c r="AE1157" i="1" a="1"/>
  <c r="AE1157" i="1" s="1"/>
  <c r="AE1156" i="1" a="1"/>
  <c r="AE1156" i="1" s="1"/>
  <c r="AE1155" i="1" a="1"/>
  <c r="AE1155" i="1" s="1"/>
  <c r="AE1154" i="1" a="1"/>
  <c r="AE1154" i="1" s="1"/>
  <c r="AE1153" i="1" a="1"/>
  <c r="AE1153" i="1" s="1"/>
  <c r="AE1152" i="1" a="1"/>
  <c r="AE1152" i="1" s="1"/>
  <c r="AE1151" i="1" a="1"/>
  <c r="AE1151" i="1" s="1"/>
  <c r="AE1150" i="1" a="1"/>
  <c r="AE1150" i="1" s="1"/>
  <c r="AE1149" i="1" a="1"/>
  <c r="AE1149" i="1" s="1"/>
  <c r="AE1148" i="1" a="1"/>
  <c r="AE1148" i="1" s="1"/>
  <c r="AE1147" i="1" a="1"/>
  <c r="AE1147" i="1" s="1"/>
  <c r="AE1146" i="1" a="1"/>
  <c r="AE1146" i="1" s="1"/>
  <c r="AE1145" i="1" a="1"/>
  <c r="AE1145" i="1" s="1"/>
  <c r="AE1144" i="1" a="1"/>
  <c r="AE1144" i="1" s="1"/>
  <c r="AE1143" i="1" a="1"/>
  <c r="AE1143" i="1" s="1"/>
  <c r="AE1142" i="1" a="1"/>
  <c r="AE1142" i="1" s="1"/>
  <c r="AE1141" i="1" a="1"/>
  <c r="AE1141" i="1" s="1"/>
  <c r="AE1140" i="1" a="1"/>
  <c r="AE1140" i="1" s="1"/>
  <c r="AE1139" i="1" a="1"/>
  <c r="AE1139" i="1" s="1"/>
  <c r="AE1138" i="1" a="1"/>
  <c r="AE1138" i="1" s="1"/>
  <c r="AE1137" i="1"/>
  <c r="AE1137" i="1" a="1"/>
  <c r="AE1136" i="1" a="1"/>
  <c r="AE1136" i="1" s="1"/>
  <c r="AE1135" i="1" a="1"/>
  <c r="AE1135" i="1" s="1"/>
  <c r="AE1134" i="1" a="1"/>
  <c r="AE1134" i="1" s="1"/>
  <c r="AE1133" i="1" a="1"/>
  <c r="AE1133" i="1" s="1"/>
  <c r="AE1132" i="1" a="1"/>
  <c r="AE1132" i="1" s="1"/>
  <c r="AE1131" i="1" a="1"/>
  <c r="AE1131" i="1" s="1"/>
  <c r="AE1130" i="1" a="1"/>
  <c r="AE1130" i="1" s="1"/>
  <c r="AE1129" i="1" a="1"/>
  <c r="AE1129" i="1" s="1"/>
  <c r="AE1128" i="1" a="1"/>
  <c r="AE1128" i="1" s="1"/>
  <c r="AE1127" i="1" a="1"/>
  <c r="AE1127" i="1" s="1"/>
  <c r="AE1126" i="1" a="1"/>
  <c r="AE1126" i="1" s="1"/>
  <c r="AE1125" i="1" a="1"/>
  <c r="AE1125" i="1" s="1"/>
  <c r="AE1124" i="1" a="1"/>
  <c r="AE1124" i="1" s="1"/>
  <c r="AE1123" i="1" a="1"/>
  <c r="AE1123" i="1" s="1"/>
  <c r="AE1122" i="1" a="1"/>
  <c r="AE1122" i="1" s="1"/>
  <c r="AE1121" i="1" a="1"/>
  <c r="AE1121" i="1" s="1"/>
  <c r="AE1120" i="1" a="1"/>
  <c r="AE1120" i="1" s="1"/>
  <c r="AE1119" i="1" a="1"/>
  <c r="AE1119" i="1" s="1"/>
  <c r="AE1118" i="1" a="1"/>
  <c r="AE1118" i="1" s="1"/>
  <c r="AE1117" i="1" a="1"/>
  <c r="AE1117" i="1" s="1"/>
  <c r="AE1116" i="1" a="1"/>
  <c r="AE1116" i="1" s="1"/>
  <c r="AE1115" i="1" a="1"/>
  <c r="AE1115" i="1" s="1"/>
  <c r="AE1114" i="1" a="1"/>
  <c r="AE1114" i="1" s="1"/>
  <c r="AE1113" i="1"/>
  <c r="AE1113" i="1" a="1"/>
  <c r="AE1112" i="1" a="1"/>
  <c r="AE1112" i="1" s="1"/>
  <c r="AE1111" i="1" a="1"/>
  <c r="AE1111" i="1" s="1"/>
  <c r="AE1110" i="1" a="1"/>
  <c r="AE1110" i="1" s="1"/>
  <c r="AE1109" i="1" a="1"/>
  <c r="AE1109" i="1" s="1"/>
  <c r="AE1108" i="1" a="1"/>
  <c r="AE1108" i="1" s="1"/>
  <c r="AE1107" i="1" a="1"/>
  <c r="AE1107" i="1" s="1"/>
  <c r="AE1106" i="1" a="1"/>
  <c r="AE1106" i="1" s="1"/>
  <c r="AE1105" i="1" a="1"/>
  <c r="AE1105" i="1" s="1"/>
  <c r="AE1104" i="1" a="1"/>
  <c r="AE1104" i="1" s="1"/>
  <c r="AE1103" i="1" a="1"/>
  <c r="AE1103" i="1" s="1"/>
  <c r="AE1102" i="1" a="1"/>
  <c r="AE1102" i="1" s="1"/>
  <c r="AE1101" i="1" a="1"/>
  <c r="AE1101" i="1" s="1"/>
  <c r="AE1100" i="1" a="1"/>
  <c r="AE1100" i="1" s="1"/>
  <c r="AE1099" i="1" a="1"/>
  <c r="AE1099" i="1" s="1"/>
  <c r="AE1098" i="1" a="1"/>
  <c r="AE1098" i="1" s="1"/>
  <c r="AE1097" i="1" a="1"/>
  <c r="AE1097" i="1" s="1"/>
  <c r="AE1096" i="1" a="1"/>
  <c r="AE1096" i="1" s="1"/>
  <c r="AE1095" i="1" a="1"/>
  <c r="AE1095" i="1" s="1"/>
  <c r="AE1094" i="1" a="1"/>
  <c r="AE1094" i="1" s="1"/>
  <c r="AE1093" i="1" a="1"/>
  <c r="AE1093" i="1" s="1"/>
  <c r="AE1092" i="1" a="1"/>
  <c r="AE1092" i="1" s="1"/>
  <c r="AE1091" i="1" a="1"/>
  <c r="AE1091" i="1" s="1"/>
  <c r="AE1090" i="1" a="1"/>
  <c r="AE1090" i="1" s="1"/>
  <c r="AE1089" i="1"/>
  <c r="AE1089" i="1" a="1"/>
  <c r="AE1088" i="1" a="1"/>
  <c r="AE1088" i="1" s="1"/>
  <c r="AE1087" i="1" a="1"/>
  <c r="AE1087" i="1" s="1"/>
  <c r="AE1086" i="1" a="1"/>
  <c r="AE1086" i="1" s="1"/>
  <c r="AE1085" i="1" a="1"/>
  <c r="AE1085" i="1" s="1"/>
  <c r="AE1084" i="1" a="1"/>
  <c r="AE1084" i="1" s="1"/>
  <c r="AE1083" i="1"/>
  <c r="AE1083" i="1" a="1"/>
  <c r="AE1082" i="1" a="1"/>
  <c r="AE1082" i="1" s="1"/>
  <c r="AE1081" i="1" a="1"/>
  <c r="AE1081" i="1" s="1"/>
  <c r="AE1080" i="1" a="1"/>
  <c r="AE1080" i="1" s="1"/>
  <c r="AE1079" i="1" a="1"/>
  <c r="AE1079" i="1" s="1"/>
  <c r="AE1078" i="1" a="1"/>
  <c r="AE1078" i="1" s="1"/>
  <c r="AE1077" i="1"/>
  <c r="AE1077" i="1" a="1"/>
  <c r="AE1076" i="1" a="1"/>
  <c r="AE1076" i="1" s="1"/>
  <c r="AE1075" i="1" a="1"/>
  <c r="AE1075" i="1" s="1"/>
  <c r="AE1074" i="1" a="1"/>
  <c r="AE1074" i="1" s="1"/>
  <c r="AE1073" i="1" a="1"/>
  <c r="AE1073" i="1" s="1"/>
  <c r="AE1072" i="1"/>
  <c r="AE1072" i="1" a="1"/>
  <c r="AE1071" i="1" a="1"/>
  <c r="AE1071" i="1" s="1"/>
  <c r="AE1070" i="1" a="1"/>
  <c r="AE1070" i="1" s="1"/>
  <c r="AE1069" i="1" a="1"/>
  <c r="AE1069" i="1" s="1"/>
  <c r="AE1068" i="1" a="1"/>
  <c r="AE1068" i="1" s="1"/>
  <c r="AE1067" i="1" a="1"/>
  <c r="AE1067" i="1" s="1"/>
  <c r="AE1066" i="1" a="1"/>
  <c r="AE1066" i="1" s="1"/>
  <c r="AE1065" i="1" a="1"/>
  <c r="AE1065" i="1" s="1"/>
  <c r="AE1064" i="1" a="1"/>
  <c r="AE1064" i="1" s="1"/>
  <c r="AE1063" i="1" a="1"/>
  <c r="AE1063" i="1" s="1"/>
  <c r="AE1062" i="1" a="1"/>
  <c r="AE1062" i="1" s="1"/>
  <c r="AE1061" i="1" a="1"/>
  <c r="AE1061" i="1" s="1"/>
  <c r="AE1060" i="1"/>
  <c r="AE1060" i="1" a="1"/>
  <c r="AE1059" i="1" a="1"/>
  <c r="AE1059" i="1" s="1"/>
  <c r="AE1058" i="1" a="1"/>
  <c r="AE1058" i="1" s="1"/>
  <c r="AE1057" i="1" a="1"/>
  <c r="AE1057" i="1" s="1"/>
  <c r="AE1056" i="1" a="1"/>
  <c r="AE1056" i="1" s="1"/>
  <c r="AE1055" i="1" a="1"/>
  <c r="AE1055" i="1" s="1"/>
  <c r="AE1054" i="1"/>
  <c r="AE1054" i="1" a="1"/>
  <c r="AE1053" i="1" a="1"/>
  <c r="AE1053" i="1" s="1"/>
  <c r="AE1052" i="1" a="1"/>
  <c r="AE1052" i="1" s="1"/>
  <c r="AE1051" i="1" a="1"/>
  <c r="AE1051" i="1" s="1"/>
  <c r="AE1050" i="1" a="1"/>
  <c r="AE1050" i="1" s="1"/>
  <c r="AE1049" i="1" a="1"/>
  <c r="AE1049" i="1" s="1"/>
  <c r="AE1048" i="1" a="1"/>
  <c r="AE1048" i="1" s="1"/>
  <c r="AE1047" i="1" a="1"/>
  <c r="AE1047" i="1" s="1"/>
  <c r="AE1046" i="1" a="1"/>
  <c r="AE1046" i="1" s="1"/>
  <c r="AE1045" i="1" a="1"/>
  <c r="AE1045" i="1" s="1"/>
  <c r="AE1044" i="1" a="1"/>
  <c r="AE1044" i="1" s="1"/>
  <c r="AE1043" i="1" a="1"/>
  <c r="AE1043" i="1" s="1"/>
  <c r="AE1042" i="1"/>
  <c r="AE1042" i="1" a="1"/>
  <c r="AE1041" i="1" a="1"/>
  <c r="AE1041" i="1" s="1"/>
  <c r="AE1040" i="1" a="1"/>
  <c r="AE1040" i="1" s="1"/>
  <c r="AE1039" i="1" a="1"/>
  <c r="AE1039" i="1" s="1"/>
  <c r="AE1038" i="1" a="1"/>
  <c r="AE1038" i="1" s="1"/>
  <c r="AE1037" i="1" a="1"/>
  <c r="AE1037" i="1" s="1"/>
  <c r="AE1036" i="1"/>
  <c r="AE1036" i="1" a="1"/>
  <c r="AE1035" i="1"/>
  <c r="AE1035" i="1" a="1"/>
  <c r="AE1034" i="1" a="1"/>
  <c r="AE1034" i="1" s="1"/>
  <c r="AE1033" i="1" a="1"/>
  <c r="AE1033" i="1" s="1"/>
  <c r="AE1032" i="1" a="1"/>
  <c r="AE1032" i="1" s="1"/>
  <c r="AE1031" i="1" a="1"/>
  <c r="AE1031" i="1" s="1"/>
  <c r="AE1030" i="1" a="1"/>
  <c r="AE1030" i="1" s="1"/>
  <c r="AE1029" i="1" a="1"/>
  <c r="AE1029" i="1" s="1"/>
  <c r="AE1028" i="1" a="1"/>
  <c r="AE1028" i="1" s="1"/>
  <c r="AE1027" i="1" a="1"/>
  <c r="AE1027" i="1" s="1"/>
  <c r="AE1026" i="1" a="1"/>
  <c r="AE1026" i="1" s="1"/>
  <c r="AE1025" i="1" a="1"/>
  <c r="AE1025" i="1" s="1"/>
  <c r="AE1024" i="1"/>
  <c r="AE1024" i="1" a="1"/>
  <c r="AE1023" i="1" a="1"/>
  <c r="AE1023" i="1" s="1"/>
  <c r="AE1022" i="1" a="1"/>
  <c r="AE1022" i="1" s="1"/>
  <c r="AE1021" i="1" a="1"/>
  <c r="AE1021" i="1" s="1"/>
  <c r="AE1020" i="1" a="1"/>
  <c r="AE1020" i="1" s="1"/>
  <c r="AE1019" i="1" a="1"/>
  <c r="AE1019" i="1" s="1"/>
  <c r="AE1018" i="1"/>
  <c r="AE1018" i="1" a="1"/>
  <c r="AE1017" i="1" a="1"/>
  <c r="AE1017" i="1" s="1"/>
  <c r="AE1016" i="1" a="1"/>
  <c r="AE1016" i="1" s="1"/>
  <c r="AE1015" i="1" a="1"/>
  <c r="AE1015" i="1" s="1"/>
  <c r="AE1014" i="1" a="1"/>
  <c r="AE1014" i="1" s="1"/>
  <c r="AE1013" i="1" a="1"/>
  <c r="AE1013" i="1" s="1"/>
  <c r="AE1012" i="1" a="1"/>
  <c r="AE1012" i="1" s="1"/>
  <c r="AE1011" i="1" a="1"/>
  <c r="AE1011" i="1" s="1"/>
  <c r="AE1010" i="1" a="1"/>
  <c r="AE1010" i="1" s="1"/>
  <c r="AE1009" i="1" a="1"/>
  <c r="AE1009" i="1" s="1"/>
  <c r="AE1008" i="1" a="1"/>
  <c r="AE1008" i="1" s="1"/>
  <c r="AE1007" i="1" a="1"/>
  <c r="AE1007" i="1" s="1"/>
  <c r="AE1006" i="1"/>
  <c r="AE1006" i="1" a="1"/>
  <c r="AE1005" i="1" a="1"/>
  <c r="AE1005" i="1" s="1"/>
  <c r="AE1004" i="1" a="1"/>
  <c r="AE1004" i="1" s="1"/>
  <c r="AE1003" i="1" a="1"/>
  <c r="AE1003" i="1" s="1"/>
  <c r="AE1002" i="1" a="1"/>
  <c r="AE1002" i="1" s="1"/>
  <c r="AE1001" i="1" a="1"/>
  <c r="AE1001" i="1" s="1"/>
  <c r="AE1000" i="1"/>
  <c r="AE1000" i="1" a="1"/>
  <c r="AE999" i="1" a="1"/>
  <c r="AE999" i="1" s="1"/>
  <c r="AE998" i="1" a="1"/>
  <c r="AE998" i="1" s="1"/>
  <c r="AE997" i="1" a="1"/>
  <c r="AE997" i="1" s="1"/>
  <c r="AE996" i="1" a="1"/>
  <c r="AE996" i="1" s="1"/>
  <c r="AE995" i="1" a="1"/>
  <c r="AE995" i="1" s="1"/>
  <c r="AE994" i="1" a="1"/>
  <c r="AE994" i="1" s="1"/>
  <c r="AE993" i="1" a="1"/>
  <c r="AE993" i="1" s="1"/>
  <c r="AE992" i="1" a="1"/>
  <c r="AE992" i="1" s="1"/>
  <c r="AE991" i="1" a="1"/>
  <c r="AE991" i="1" s="1"/>
  <c r="AE990" i="1" a="1"/>
  <c r="AE990" i="1" s="1"/>
  <c r="AE989" i="1" a="1"/>
  <c r="AE989" i="1" s="1"/>
  <c r="AE988" i="1"/>
  <c r="AE988" i="1" a="1"/>
  <c r="AE987" i="1" a="1"/>
  <c r="AE987" i="1" s="1"/>
  <c r="AE986" i="1" a="1"/>
  <c r="AE986" i="1" s="1"/>
  <c r="AE985" i="1" a="1"/>
  <c r="AE985" i="1" s="1"/>
  <c r="AE984" i="1" a="1"/>
  <c r="AE984" i="1" s="1"/>
  <c r="AE983" i="1" a="1"/>
  <c r="AE983" i="1" s="1"/>
  <c r="AE982" i="1" a="1"/>
  <c r="AE982" i="1" s="1"/>
  <c r="AE981" i="1" a="1"/>
  <c r="AE981" i="1" s="1"/>
  <c r="AE980" i="1" a="1"/>
  <c r="AE980" i="1" s="1"/>
  <c r="AE979" i="1" a="1"/>
  <c r="AE979" i="1" s="1"/>
  <c r="AE978" i="1" a="1"/>
  <c r="AE978" i="1" s="1"/>
  <c r="AE977" i="1" a="1"/>
  <c r="AE977" i="1" s="1"/>
  <c r="AE976" i="1" a="1"/>
  <c r="AE976" i="1" s="1"/>
  <c r="AE975" i="1" a="1"/>
  <c r="AE975" i="1" s="1"/>
  <c r="AE974" i="1" a="1"/>
  <c r="AE974" i="1" s="1"/>
  <c r="AE973" i="1" a="1"/>
  <c r="AE973" i="1" s="1"/>
  <c r="AE972" i="1" a="1"/>
  <c r="AE972" i="1" s="1"/>
  <c r="AE971" i="1" a="1"/>
  <c r="AE971" i="1" s="1"/>
  <c r="AE970" i="1"/>
  <c r="AE970" i="1" a="1"/>
  <c r="AE969" i="1"/>
  <c r="AE969" i="1" a="1"/>
  <c r="AE968" i="1"/>
  <c r="AE968" i="1" a="1"/>
  <c r="AE967" i="1" a="1"/>
  <c r="AE967" i="1" s="1"/>
  <c r="AE966" i="1" a="1"/>
  <c r="AE966" i="1" s="1"/>
  <c r="AE965" i="1" a="1"/>
  <c r="AE965" i="1" s="1"/>
  <c r="AE964" i="1" a="1"/>
  <c r="AE964" i="1" s="1"/>
  <c r="AE963" i="1"/>
  <c r="AE963" i="1" a="1"/>
  <c r="AE962" i="1" a="1"/>
  <c r="AE962" i="1" s="1"/>
  <c r="AE961" i="1" a="1"/>
  <c r="AE961" i="1" s="1"/>
  <c r="AE960" i="1" a="1"/>
  <c r="AE960" i="1" s="1"/>
  <c r="AE959" i="1" a="1"/>
  <c r="AE959" i="1" s="1"/>
  <c r="AE958" i="1"/>
  <c r="AE958" i="1" a="1"/>
  <c r="AE957" i="1" a="1"/>
  <c r="AE957" i="1" s="1"/>
  <c r="AE956" i="1" a="1"/>
  <c r="AE956" i="1" s="1"/>
  <c r="AE955" i="1" a="1"/>
  <c r="AE955" i="1" s="1"/>
  <c r="AE954" i="1" a="1"/>
  <c r="AE954" i="1" s="1"/>
  <c r="AE953" i="1" a="1"/>
  <c r="AE953" i="1" s="1"/>
  <c r="AE952" i="1" a="1"/>
  <c r="AE952" i="1" s="1"/>
  <c r="AE951" i="1" a="1"/>
  <c r="AE951" i="1" s="1"/>
  <c r="AE950" i="1" a="1"/>
  <c r="AE950" i="1" s="1"/>
  <c r="AE949" i="1" a="1"/>
  <c r="AE949" i="1" s="1"/>
  <c r="AE948" i="1" a="1"/>
  <c r="AE948" i="1" s="1"/>
  <c r="AE947" i="1" a="1"/>
  <c r="AE947" i="1" s="1"/>
  <c r="AE946" i="1"/>
  <c r="AE946" i="1" a="1"/>
  <c r="AE945" i="1"/>
  <c r="AE945" i="1" a="1"/>
  <c r="AE944" i="1"/>
  <c r="AE944" i="1" a="1"/>
  <c r="AE943" i="1" a="1"/>
  <c r="AE943" i="1" s="1"/>
  <c r="AE942" i="1" a="1"/>
  <c r="AE942" i="1" s="1"/>
  <c r="AE941" i="1" a="1"/>
  <c r="AE941" i="1" s="1"/>
  <c r="AE940" i="1" a="1"/>
  <c r="AE940" i="1" s="1"/>
  <c r="AE939" i="1"/>
  <c r="AE939" i="1" a="1"/>
  <c r="AE938" i="1" a="1"/>
  <c r="AE938" i="1" s="1"/>
  <c r="AE937" i="1" a="1"/>
  <c r="AE937" i="1" s="1"/>
  <c r="AE936" i="1" a="1"/>
  <c r="AE936" i="1" s="1"/>
  <c r="AE935" i="1" a="1"/>
  <c r="AE935" i="1" s="1"/>
  <c r="AE934" i="1"/>
  <c r="AE934" i="1" a="1"/>
  <c r="AE933" i="1" a="1"/>
  <c r="AE933" i="1" s="1"/>
  <c r="AE932" i="1" a="1"/>
  <c r="AE932" i="1" s="1"/>
  <c r="AE931" i="1" a="1"/>
  <c r="AE931" i="1" s="1"/>
  <c r="AE930" i="1" a="1"/>
  <c r="AE930" i="1" s="1"/>
  <c r="AE929" i="1" a="1"/>
  <c r="AE929" i="1" s="1"/>
  <c r="AE928" i="1" a="1"/>
  <c r="AE928" i="1" s="1"/>
  <c r="AE927" i="1" a="1"/>
  <c r="AE927" i="1" s="1"/>
  <c r="AE926" i="1"/>
  <c r="AE926" i="1" a="1"/>
  <c r="AE925" i="1" a="1"/>
  <c r="AE925" i="1" s="1"/>
  <c r="AE924" i="1" a="1"/>
  <c r="AE924" i="1" s="1"/>
  <c r="AE923" i="1" a="1"/>
  <c r="AE923" i="1" s="1"/>
  <c r="AE922" i="1"/>
  <c r="AE922" i="1" a="1"/>
  <c r="AE921" i="1"/>
  <c r="AE921" i="1" a="1"/>
  <c r="AE920" i="1"/>
  <c r="AE920" i="1" a="1"/>
  <c r="AE919" i="1" a="1"/>
  <c r="AE919" i="1" s="1"/>
  <c r="AE918" i="1" a="1"/>
  <c r="AE918" i="1" s="1"/>
  <c r="AE917" i="1" a="1"/>
  <c r="AE917" i="1" s="1"/>
  <c r="AE916" i="1" a="1"/>
  <c r="AE916" i="1" s="1"/>
  <c r="AE915" i="1"/>
  <c r="AE915" i="1" a="1"/>
  <c r="AE914" i="1" a="1"/>
  <c r="AE914" i="1" s="1"/>
  <c r="AE913" i="1" a="1"/>
  <c r="AE913" i="1" s="1"/>
  <c r="AE912" i="1" a="1"/>
  <c r="AE912" i="1" s="1"/>
  <c r="AE911" i="1" a="1"/>
  <c r="AE911" i="1" s="1"/>
  <c r="AE910" i="1" a="1"/>
  <c r="AE910" i="1" s="1"/>
  <c r="AE909" i="1" a="1"/>
  <c r="AE909" i="1" s="1"/>
  <c r="AE908" i="1" a="1"/>
  <c r="AE908" i="1" s="1"/>
  <c r="AE907" i="1" a="1"/>
  <c r="AE907" i="1" s="1"/>
  <c r="AE906" i="1" a="1"/>
  <c r="AE906" i="1" s="1"/>
  <c r="AE905" i="1" a="1"/>
  <c r="AE905" i="1" s="1"/>
  <c r="AE904" i="1" a="1"/>
  <c r="AE904" i="1" s="1"/>
  <c r="AE903" i="1" a="1"/>
  <c r="AE903" i="1" s="1"/>
  <c r="AE902" i="1"/>
  <c r="AE902" i="1" a="1"/>
  <c r="AE901" i="1" a="1"/>
  <c r="AE901" i="1" s="1"/>
  <c r="AE900" i="1" a="1"/>
  <c r="AE900" i="1" s="1"/>
  <c r="AE899" i="1" a="1"/>
  <c r="AE899" i="1" s="1"/>
  <c r="AE898" i="1"/>
  <c r="AE898" i="1" a="1"/>
  <c r="AE897" i="1"/>
  <c r="AE897" i="1" a="1"/>
  <c r="AE896" i="1"/>
  <c r="AE896" i="1" a="1"/>
  <c r="AE895" i="1" a="1"/>
  <c r="AE895" i="1" s="1"/>
  <c r="AE894" i="1" a="1"/>
  <c r="AE894" i="1" s="1"/>
  <c r="AE893" i="1" a="1"/>
  <c r="AE893" i="1" s="1"/>
  <c r="AE892" i="1" a="1"/>
  <c r="AE892" i="1" s="1"/>
  <c r="AE891" i="1"/>
  <c r="AE891" i="1" a="1"/>
  <c r="AE890" i="1" a="1"/>
  <c r="AE890" i="1" s="1"/>
  <c r="AE889" i="1" a="1"/>
  <c r="AE889" i="1" s="1"/>
  <c r="AE888" i="1" a="1"/>
  <c r="AE888" i="1" s="1"/>
  <c r="AE887" i="1" a="1"/>
  <c r="AE887" i="1" s="1"/>
  <c r="AE886" i="1" a="1"/>
  <c r="AE886" i="1" s="1"/>
  <c r="AE885" i="1" a="1"/>
  <c r="AE885" i="1" s="1"/>
  <c r="AE884" i="1" a="1"/>
  <c r="AE884" i="1" s="1"/>
  <c r="AE883" i="1" a="1"/>
  <c r="AE883" i="1" s="1"/>
  <c r="AE882" i="1" a="1"/>
  <c r="AE882" i="1" s="1"/>
  <c r="AE881" i="1" a="1"/>
  <c r="AE881" i="1" s="1"/>
  <c r="AE880" i="1" a="1"/>
  <c r="AE880" i="1" s="1"/>
  <c r="AE879" i="1" a="1"/>
  <c r="AE879" i="1" s="1"/>
  <c r="AE878" i="1"/>
  <c r="AE878" i="1" a="1"/>
  <c r="AE877" i="1" a="1"/>
  <c r="AE877" i="1" s="1"/>
  <c r="AE876" i="1" a="1"/>
  <c r="AE876" i="1" s="1"/>
  <c r="AE875" i="1" a="1"/>
  <c r="AE875" i="1" s="1"/>
  <c r="AE874" i="1"/>
  <c r="AE874" i="1" a="1"/>
  <c r="AE873" i="1"/>
  <c r="AE873" i="1" a="1"/>
  <c r="AE872" i="1"/>
  <c r="AE872" i="1" a="1"/>
  <c r="AE871" i="1" a="1"/>
  <c r="AE871" i="1" s="1"/>
  <c r="AE870" i="1" a="1"/>
  <c r="AE870" i="1" s="1"/>
  <c r="AE869" i="1" a="1"/>
  <c r="AE869" i="1" s="1"/>
  <c r="AE868" i="1" a="1"/>
  <c r="AE868" i="1" s="1"/>
  <c r="AE867" i="1"/>
  <c r="AE867" i="1" a="1"/>
  <c r="AE866" i="1" a="1"/>
  <c r="AE866" i="1" s="1"/>
  <c r="AE865" i="1" a="1"/>
  <c r="AE865" i="1" s="1"/>
  <c r="AE864" i="1" a="1"/>
  <c r="AE864" i="1" s="1"/>
  <c r="AE863" i="1" a="1"/>
  <c r="AE863" i="1" s="1"/>
  <c r="AE862" i="1" a="1"/>
  <c r="AE862" i="1" s="1"/>
  <c r="AE861" i="1" a="1"/>
  <c r="AE861" i="1" s="1"/>
  <c r="AE860" i="1" a="1"/>
  <c r="AE860" i="1" s="1"/>
  <c r="AE859" i="1" a="1"/>
  <c r="AE859" i="1" s="1"/>
  <c r="AE858" i="1" a="1"/>
  <c r="AE858" i="1" s="1"/>
  <c r="AE857" i="1" a="1"/>
  <c r="AE857" i="1" s="1"/>
  <c r="AE856" i="1" a="1"/>
  <c r="AE856" i="1" s="1"/>
  <c r="AE855" i="1" a="1"/>
  <c r="AE855" i="1" s="1"/>
  <c r="AE854" i="1"/>
  <c r="AE854" i="1" a="1"/>
  <c r="AE853" i="1" a="1"/>
  <c r="AE853" i="1" s="1"/>
  <c r="AE852" i="1" a="1"/>
  <c r="AE852" i="1" s="1"/>
  <c r="AE851" i="1" a="1"/>
  <c r="AE851" i="1" s="1"/>
  <c r="AE850" i="1"/>
  <c r="AE850" i="1" a="1"/>
  <c r="AE849" i="1"/>
  <c r="AE849" i="1" a="1"/>
  <c r="AE848" i="1"/>
  <c r="AE848" i="1" a="1"/>
  <c r="AE847" i="1" a="1"/>
  <c r="AE847" i="1" s="1"/>
  <c r="AE846" i="1" a="1"/>
  <c r="AE846" i="1" s="1"/>
  <c r="AE845" i="1" a="1"/>
  <c r="AE845" i="1" s="1"/>
  <c r="AE844" i="1" a="1"/>
  <c r="AE844" i="1" s="1"/>
  <c r="AE843" i="1"/>
  <c r="AE843" i="1" a="1"/>
  <c r="AE842" i="1" a="1"/>
  <c r="AE842" i="1" s="1"/>
  <c r="AE841" i="1" a="1"/>
  <c r="AE841" i="1" s="1"/>
  <c r="AE840" i="1" a="1"/>
  <c r="AE840" i="1" s="1"/>
  <c r="AE839" i="1" a="1"/>
  <c r="AE839" i="1" s="1"/>
  <c r="AE838" i="1" a="1"/>
  <c r="AE838" i="1" s="1"/>
  <c r="AE837" i="1"/>
  <c r="AE837" i="1" a="1"/>
  <c r="AE836" i="1" a="1"/>
  <c r="AE836" i="1" s="1"/>
  <c r="AE835" i="1" a="1"/>
  <c r="AE835" i="1" s="1"/>
  <c r="AE834" i="1" a="1"/>
  <c r="AE834" i="1" s="1"/>
  <c r="AE833" i="1" a="1"/>
  <c r="AE833" i="1" s="1"/>
  <c r="AE832" i="1" a="1"/>
  <c r="AE832" i="1" s="1"/>
  <c r="AE831" i="1" a="1"/>
  <c r="AE831" i="1" s="1"/>
  <c r="AE830" i="1" a="1"/>
  <c r="AE830" i="1" s="1"/>
  <c r="AE829" i="1" a="1"/>
  <c r="AE829" i="1" s="1"/>
  <c r="AE828" i="1" a="1"/>
  <c r="AE828" i="1" s="1"/>
  <c r="AE827" i="1" a="1"/>
  <c r="AE827" i="1" s="1"/>
  <c r="AE826" i="1"/>
  <c r="AE826" i="1" a="1"/>
  <c r="AE825" i="1"/>
  <c r="AE825" i="1" a="1"/>
  <c r="AE824" i="1"/>
  <c r="AE824" i="1" a="1"/>
  <c r="AE823" i="1" a="1"/>
  <c r="AE823" i="1" s="1"/>
  <c r="AE822" i="1" a="1"/>
  <c r="AE822" i="1" s="1"/>
  <c r="AE821" i="1" a="1"/>
  <c r="AE821" i="1" s="1"/>
  <c r="AE820" i="1" a="1"/>
  <c r="AE820" i="1" s="1"/>
  <c r="AE819" i="1" a="1"/>
  <c r="AE819" i="1" s="1"/>
  <c r="AE818" i="1" a="1"/>
  <c r="AE818" i="1" s="1"/>
  <c r="AE817" i="1" a="1"/>
  <c r="AE817" i="1" s="1"/>
  <c r="AE816" i="1" a="1"/>
  <c r="AE816" i="1" s="1"/>
  <c r="AE815" i="1" a="1"/>
  <c r="AE815" i="1" s="1"/>
  <c r="AE814" i="1" a="1"/>
  <c r="AE814" i="1" s="1"/>
  <c r="AE813" i="1" a="1"/>
  <c r="AE813" i="1" s="1"/>
  <c r="AE812" i="1" a="1"/>
  <c r="AE812" i="1" s="1"/>
  <c r="AE811" i="1" a="1"/>
  <c r="AE811" i="1" s="1"/>
  <c r="AE810" i="1" a="1"/>
  <c r="AE810" i="1" s="1"/>
  <c r="AE809" i="1" a="1"/>
  <c r="AE809" i="1" s="1"/>
  <c r="AE808" i="1" a="1"/>
  <c r="AE808" i="1" s="1"/>
  <c r="AE807" i="1" a="1"/>
  <c r="AE807" i="1" s="1"/>
  <c r="AE806" i="1" a="1"/>
  <c r="AE806" i="1" s="1"/>
  <c r="AE805" i="1" a="1"/>
  <c r="AE805" i="1" s="1"/>
  <c r="AE804" i="1" a="1"/>
  <c r="AE804" i="1" s="1"/>
  <c r="AE803" i="1" a="1"/>
  <c r="AE803" i="1" s="1"/>
  <c r="AE802" i="1"/>
  <c r="AE802" i="1" a="1"/>
  <c r="AE801" i="1"/>
  <c r="AE801" i="1" a="1"/>
  <c r="AE800" i="1"/>
  <c r="AE800" i="1" a="1"/>
  <c r="AE799" i="1" a="1"/>
  <c r="AE799" i="1" s="1"/>
  <c r="AE798" i="1" a="1"/>
  <c r="AE798" i="1" s="1"/>
  <c r="AE797" i="1" a="1"/>
  <c r="AE797" i="1" s="1"/>
  <c r="AE796" i="1"/>
  <c r="AE796" i="1" a="1"/>
  <c r="AE795" i="1" a="1"/>
  <c r="AE795" i="1" s="1"/>
  <c r="AE794" i="1" a="1"/>
  <c r="AE794" i="1" s="1"/>
  <c r="AE793" i="1" a="1"/>
  <c r="AE793" i="1" s="1"/>
  <c r="AE792" i="1" a="1"/>
  <c r="AE792" i="1" s="1"/>
  <c r="AE791" i="1" a="1"/>
  <c r="AE791" i="1" s="1"/>
  <c r="AE790" i="1"/>
  <c r="AE790" i="1" a="1"/>
  <c r="AE789" i="1" a="1"/>
  <c r="AE789" i="1" s="1"/>
  <c r="AE788" i="1"/>
  <c r="AE788" i="1" a="1"/>
  <c r="AE787" i="1" a="1"/>
  <c r="AE787" i="1" s="1"/>
  <c r="AE786" i="1" a="1"/>
  <c r="AE786" i="1" s="1"/>
  <c r="AE785" i="1" a="1"/>
  <c r="AE785" i="1" s="1"/>
  <c r="AE784" i="1" a="1"/>
  <c r="AE784" i="1" s="1"/>
  <c r="AE783" i="1" a="1"/>
  <c r="AE783" i="1" s="1"/>
  <c r="AE782" i="1" a="1"/>
  <c r="AE782" i="1" s="1"/>
  <c r="AE781" i="1" a="1"/>
  <c r="AE781" i="1" s="1"/>
  <c r="AE780" i="1" a="1"/>
  <c r="AE780" i="1" s="1"/>
  <c r="AE779" i="1" a="1"/>
  <c r="AE779" i="1" s="1"/>
  <c r="AE778" i="1"/>
  <c r="AE778" i="1" a="1"/>
  <c r="AE777" i="1"/>
  <c r="AE777" i="1" a="1"/>
  <c r="AE776" i="1"/>
  <c r="AE776" i="1" a="1"/>
  <c r="AE775" i="1" a="1"/>
  <c r="AE775" i="1" s="1"/>
  <c r="AE774" i="1" a="1"/>
  <c r="AE774" i="1" s="1"/>
  <c r="AE773" i="1" a="1"/>
  <c r="AE773" i="1" s="1"/>
  <c r="AE772" i="1" a="1"/>
  <c r="AE772" i="1" s="1"/>
  <c r="AE771" i="1" a="1"/>
  <c r="AE771" i="1" s="1"/>
  <c r="AE770" i="1" a="1"/>
  <c r="AE770" i="1" s="1"/>
  <c r="AE769" i="1" a="1"/>
  <c r="AE769" i="1" s="1"/>
  <c r="AE768" i="1" a="1"/>
  <c r="AE768" i="1" s="1"/>
  <c r="AE767" i="1" a="1"/>
  <c r="AE767" i="1" s="1"/>
  <c r="AE766" i="1" a="1"/>
  <c r="AE766" i="1" s="1"/>
  <c r="AE765" i="1" a="1"/>
  <c r="AE765" i="1" s="1"/>
  <c r="AE764" i="1" a="1"/>
  <c r="AE764" i="1" s="1"/>
  <c r="AE763" i="1" a="1"/>
  <c r="AE763" i="1" s="1"/>
  <c r="AE762" i="1" a="1"/>
  <c r="AE762" i="1" s="1"/>
  <c r="AE761" i="1" a="1"/>
  <c r="AE761" i="1" s="1"/>
  <c r="AE760" i="1" a="1"/>
  <c r="AE760" i="1" s="1"/>
  <c r="AE759" i="1" a="1"/>
  <c r="AE759" i="1" s="1"/>
  <c r="AE758" i="1"/>
  <c r="AE758" i="1" a="1"/>
  <c r="AE757" i="1" a="1"/>
  <c r="AE757" i="1" s="1"/>
  <c r="AE756" i="1" a="1"/>
  <c r="AE756" i="1" s="1"/>
  <c r="AE755" i="1" a="1"/>
  <c r="AE755" i="1" s="1"/>
  <c r="AE754" i="1"/>
  <c r="AE754" i="1" a="1"/>
  <c r="AE753" i="1"/>
  <c r="AE753" i="1" a="1"/>
  <c r="AE752" i="1"/>
  <c r="AE752" i="1" a="1"/>
  <c r="AE751" i="1" a="1"/>
  <c r="AE751" i="1" s="1"/>
  <c r="AE750" i="1" a="1"/>
  <c r="AE750" i="1" s="1"/>
  <c r="AE749" i="1" a="1"/>
  <c r="AE749" i="1" s="1"/>
  <c r="AE748" i="1" a="1"/>
  <c r="AE748" i="1" s="1"/>
  <c r="AE747" i="1"/>
  <c r="AE747" i="1" a="1"/>
  <c r="AE746" i="1" a="1"/>
  <c r="AE746" i="1" s="1"/>
  <c r="AE745" i="1" a="1"/>
  <c r="AE745" i="1" s="1"/>
  <c r="AE744" i="1" a="1"/>
  <c r="AE744" i="1" s="1"/>
  <c r="AE743" i="1" a="1"/>
  <c r="AE743" i="1" s="1"/>
  <c r="AE742" i="1" a="1"/>
  <c r="AE742" i="1" s="1"/>
  <c r="AE741" i="1"/>
  <c r="AE741" i="1" a="1"/>
  <c r="AE740" i="1" a="1"/>
  <c r="AE740" i="1" s="1"/>
  <c r="AE739" i="1" a="1"/>
  <c r="AE739" i="1" s="1"/>
  <c r="AE738" i="1" a="1"/>
  <c r="AE738" i="1" s="1"/>
  <c r="AE737" i="1" a="1"/>
  <c r="AE737" i="1" s="1"/>
  <c r="AE736" i="1" a="1"/>
  <c r="AE736" i="1" s="1"/>
  <c r="AE735" i="1" a="1"/>
  <c r="AE735" i="1" s="1"/>
  <c r="AE734" i="1" a="1"/>
  <c r="AE734" i="1" s="1"/>
  <c r="AE733" i="1" a="1"/>
  <c r="AE733" i="1" s="1"/>
  <c r="AE732" i="1" a="1"/>
  <c r="AE732" i="1" s="1"/>
  <c r="AE731" i="1" a="1"/>
  <c r="AE731" i="1" s="1"/>
  <c r="AE730" i="1"/>
  <c r="AE730" i="1" a="1"/>
  <c r="AE729" i="1"/>
  <c r="AE729" i="1" a="1"/>
  <c r="AE728" i="1"/>
  <c r="AE728" i="1" a="1"/>
  <c r="AE727" i="1" a="1"/>
  <c r="AE727" i="1" s="1"/>
  <c r="AE726" i="1" a="1"/>
  <c r="AE726" i="1" s="1"/>
  <c r="AE725" i="1" a="1"/>
  <c r="AE725" i="1" s="1"/>
  <c r="AE724" i="1" a="1"/>
  <c r="AE724" i="1" s="1"/>
  <c r="AE723" i="1"/>
  <c r="AE723" i="1" a="1"/>
  <c r="AE722" i="1" a="1"/>
  <c r="AE722" i="1" s="1"/>
  <c r="AE721" i="1" a="1"/>
  <c r="AE721" i="1" s="1"/>
  <c r="AE720" i="1" a="1"/>
  <c r="AE720" i="1" s="1"/>
  <c r="AE719" i="1" a="1"/>
  <c r="AE719" i="1" s="1"/>
  <c r="AE718" i="1" a="1"/>
  <c r="AE718" i="1" s="1"/>
  <c r="AE717" i="1" a="1"/>
  <c r="AE717" i="1" s="1"/>
  <c r="AE716" i="1" a="1"/>
  <c r="AE716" i="1" s="1"/>
  <c r="AE715" i="1" a="1"/>
  <c r="AE715" i="1" s="1"/>
  <c r="AE714" i="1" a="1"/>
  <c r="AE714" i="1" s="1"/>
  <c r="AE713" i="1" a="1"/>
  <c r="AE713" i="1" s="1"/>
  <c r="AE712" i="1" a="1"/>
  <c r="AE712" i="1" s="1"/>
  <c r="AE711" i="1" a="1"/>
  <c r="AE711" i="1" s="1"/>
  <c r="AE710" i="1" a="1"/>
  <c r="AE710" i="1" s="1"/>
  <c r="AE709" i="1" a="1"/>
  <c r="AE709" i="1" s="1"/>
  <c r="AE708" i="1" a="1"/>
  <c r="AE708" i="1" s="1"/>
  <c r="AE707" i="1" a="1"/>
  <c r="AE707" i="1" s="1"/>
  <c r="AE706" i="1"/>
  <c r="AE706" i="1" a="1"/>
  <c r="AE705" i="1"/>
  <c r="AE705" i="1" a="1"/>
  <c r="AE704" i="1"/>
  <c r="AE704" i="1" a="1"/>
  <c r="AE703" i="1" a="1"/>
  <c r="AE703" i="1" s="1"/>
  <c r="AE702" i="1" a="1"/>
  <c r="AE702" i="1" s="1"/>
  <c r="AE701" i="1" a="1"/>
  <c r="AE701" i="1" s="1"/>
  <c r="AE700" i="1"/>
  <c r="AE700" i="1" a="1"/>
  <c r="AE699" i="1" a="1"/>
  <c r="AE699" i="1" s="1"/>
  <c r="AE698" i="1" a="1"/>
  <c r="AE698" i="1" s="1"/>
  <c r="AE697" i="1" a="1"/>
  <c r="AE697" i="1" s="1"/>
  <c r="AE696" i="1" a="1"/>
  <c r="AE696" i="1" s="1"/>
  <c r="AE695" i="1" a="1"/>
  <c r="AE695" i="1" s="1"/>
  <c r="AE694" i="1"/>
  <c r="AE694" i="1" a="1"/>
  <c r="AE693" i="1" a="1"/>
  <c r="AE693" i="1" s="1"/>
  <c r="AE692" i="1"/>
  <c r="AE692" i="1" a="1"/>
  <c r="AE691" i="1" a="1"/>
  <c r="AE691" i="1" s="1"/>
  <c r="AE690" i="1" a="1"/>
  <c r="AE690" i="1" s="1"/>
  <c r="AE689" i="1" a="1"/>
  <c r="AE689" i="1" s="1"/>
  <c r="AE688" i="1" a="1"/>
  <c r="AE688" i="1" s="1"/>
  <c r="AE687" i="1" a="1"/>
  <c r="AE687" i="1" s="1"/>
  <c r="AE686" i="1" a="1"/>
  <c r="AE686" i="1" s="1"/>
  <c r="AE685" i="1" a="1"/>
  <c r="AE685" i="1" s="1"/>
  <c r="AE684" i="1" a="1"/>
  <c r="AE684" i="1" s="1"/>
  <c r="AE683" i="1" a="1"/>
  <c r="AE683" i="1" s="1"/>
  <c r="AE682" i="1" a="1"/>
  <c r="AE682" i="1" s="1"/>
  <c r="AE681" i="1" a="1"/>
  <c r="AE681" i="1" s="1"/>
  <c r="AE680" i="1" a="1"/>
  <c r="AE680" i="1" s="1"/>
  <c r="AE679" i="1" a="1"/>
  <c r="AE679" i="1" s="1"/>
  <c r="AE678" i="1" a="1"/>
  <c r="AE678" i="1" s="1"/>
  <c r="AE677" i="1" a="1"/>
  <c r="AE677" i="1" s="1"/>
  <c r="AE676" i="1"/>
  <c r="AE676" i="1" a="1"/>
  <c r="AE675" i="1" a="1"/>
  <c r="AE675" i="1" s="1"/>
  <c r="AE674" i="1" a="1"/>
  <c r="AE674" i="1" s="1"/>
  <c r="AE673" i="1" a="1"/>
  <c r="AE673" i="1" s="1"/>
  <c r="AE672" i="1" a="1"/>
  <c r="AE672" i="1" s="1"/>
  <c r="AE671" i="1" a="1"/>
  <c r="AE671" i="1" s="1"/>
  <c r="AE670" i="1"/>
  <c r="AE670" i="1" a="1"/>
  <c r="AE669" i="1"/>
  <c r="AE669" i="1" a="1"/>
  <c r="AE668" i="1"/>
  <c r="AE668" i="1" a="1"/>
  <c r="AE667" i="1"/>
  <c r="AE667" i="1" a="1"/>
  <c r="AE666" i="1" a="1"/>
  <c r="AE666" i="1" s="1"/>
  <c r="AE665" i="1" a="1"/>
  <c r="AE665" i="1" s="1"/>
  <c r="AE664" i="1" a="1"/>
  <c r="AE664" i="1" s="1"/>
  <c r="AE663" i="1"/>
  <c r="AE663" i="1" a="1"/>
  <c r="AE662" i="1" a="1"/>
  <c r="AE662" i="1" s="1"/>
  <c r="AE661" i="1" a="1"/>
  <c r="AE661" i="1" s="1"/>
  <c r="AE660" i="1" a="1"/>
  <c r="AE660" i="1" s="1"/>
  <c r="AE659" i="1" a="1"/>
  <c r="AE659" i="1" s="1"/>
  <c r="AE658" i="1" a="1"/>
  <c r="AE658" i="1" s="1"/>
  <c r="AE657" i="1" a="1"/>
  <c r="AE657" i="1" s="1"/>
  <c r="AE656" i="1"/>
  <c r="AE656" i="1" a="1"/>
  <c r="AE655" i="1" a="1"/>
  <c r="AE655" i="1" s="1"/>
  <c r="AE654" i="1" a="1"/>
  <c r="AE654" i="1" s="1"/>
  <c r="AE653" i="1"/>
  <c r="AE653" i="1" a="1"/>
  <c r="AE652" i="1" a="1"/>
  <c r="AE652" i="1" s="1"/>
  <c r="AE651" i="1" a="1"/>
  <c r="AE651" i="1" s="1"/>
  <c r="AE650" i="1" a="1"/>
  <c r="AE650" i="1" s="1"/>
  <c r="AE649" i="1" a="1"/>
  <c r="AE649" i="1" s="1"/>
  <c r="AE648" i="1" a="1"/>
  <c r="AE648" i="1" s="1"/>
  <c r="AE647" i="1" a="1"/>
  <c r="AE647" i="1" s="1"/>
  <c r="AE646" i="1"/>
  <c r="AE646" i="1" a="1"/>
  <c r="AE645" i="1" a="1"/>
  <c r="AE645" i="1" s="1"/>
  <c r="AE644" i="1" a="1"/>
  <c r="AE644" i="1" s="1"/>
  <c r="AE643" i="1" a="1"/>
  <c r="AE643" i="1" s="1"/>
  <c r="AE642" i="1" a="1"/>
  <c r="AE642" i="1" s="1"/>
  <c r="AE641" i="1"/>
  <c r="AE641" i="1" a="1"/>
  <c r="AE640" i="1" a="1"/>
  <c r="AE640" i="1" s="1"/>
  <c r="AE639" i="1" a="1"/>
  <c r="AE639" i="1" s="1"/>
  <c r="AE638" i="1" a="1"/>
  <c r="AE638" i="1" s="1"/>
  <c r="AE637" i="1" a="1"/>
  <c r="AE637" i="1" s="1"/>
  <c r="AE636" i="1" a="1"/>
  <c r="AE636" i="1" s="1"/>
  <c r="AE635" i="1" a="1"/>
  <c r="AE635" i="1" s="1"/>
  <c r="AE634" i="1"/>
  <c r="AE634" i="1" a="1"/>
  <c r="AE633" i="1" a="1"/>
  <c r="AE633" i="1" s="1"/>
  <c r="AE632" i="1" a="1"/>
  <c r="AE632" i="1" s="1"/>
  <c r="AE631" i="1" a="1"/>
  <c r="AE631" i="1" s="1"/>
  <c r="AE630" i="1" a="1"/>
  <c r="AE630" i="1" s="1"/>
  <c r="AE629" i="1" a="1"/>
  <c r="AE629" i="1" s="1"/>
  <c r="AE628" i="1" a="1"/>
  <c r="AE628" i="1" s="1"/>
  <c r="AE627" i="1" a="1"/>
  <c r="AE627" i="1" s="1"/>
  <c r="AE626" i="1" a="1"/>
  <c r="AE626" i="1" s="1"/>
  <c r="AE625" i="1" a="1"/>
  <c r="AE625" i="1" s="1"/>
  <c r="AE624" i="1" a="1"/>
  <c r="AE624" i="1" s="1"/>
  <c r="AE623" i="1" a="1"/>
  <c r="AE623" i="1" s="1"/>
  <c r="AE622" i="1" a="1"/>
  <c r="AE622" i="1" s="1"/>
  <c r="AE621" i="1" a="1"/>
  <c r="AE621" i="1" s="1"/>
  <c r="AE620" i="1" a="1"/>
  <c r="AE620" i="1" s="1"/>
  <c r="AE619" i="1" a="1"/>
  <c r="AE619" i="1" s="1"/>
  <c r="AE618" i="1" a="1"/>
  <c r="AE618" i="1" s="1"/>
  <c r="AE617" i="1" a="1"/>
  <c r="AE617" i="1" s="1"/>
  <c r="AE616" i="1" a="1"/>
  <c r="AE616" i="1" s="1"/>
  <c r="AE615" i="1" a="1"/>
  <c r="AE615" i="1" s="1"/>
  <c r="AE614" i="1" a="1"/>
  <c r="AE614" i="1" s="1"/>
  <c r="AE613" i="1" a="1"/>
  <c r="AE613" i="1" s="1"/>
  <c r="AE612" i="1" a="1"/>
  <c r="AE612" i="1" s="1"/>
  <c r="AE611" i="1" a="1"/>
  <c r="AE611" i="1" s="1"/>
  <c r="AE610" i="1" a="1"/>
  <c r="AE610" i="1" s="1"/>
  <c r="AE609" i="1" a="1"/>
  <c r="AE609" i="1" s="1"/>
  <c r="AE608" i="1" a="1"/>
  <c r="AE608" i="1" s="1"/>
  <c r="AE607" i="1" a="1"/>
  <c r="AE607" i="1" s="1"/>
  <c r="AE606" i="1" a="1"/>
  <c r="AE606" i="1" s="1"/>
  <c r="AE605" i="1" a="1"/>
  <c r="AE605" i="1" s="1"/>
  <c r="AE604" i="1" a="1"/>
  <c r="AE604" i="1" s="1"/>
  <c r="AE603" i="1" a="1"/>
  <c r="AE603" i="1" s="1"/>
  <c r="AE602" i="1" a="1"/>
  <c r="AE602" i="1" s="1"/>
  <c r="AE601" i="1" a="1"/>
  <c r="AE601" i="1" s="1"/>
  <c r="AE600" i="1" a="1"/>
  <c r="AE600" i="1" s="1"/>
  <c r="AE599" i="1" a="1"/>
  <c r="AE599" i="1" s="1"/>
  <c r="AE598" i="1" a="1"/>
  <c r="AE598" i="1" s="1"/>
  <c r="AE597" i="1" a="1"/>
  <c r="AE597" i="1" s="1"/>
  <c r="AE596" i="1" a="1"/>
  <c r="AE596" i="1" s="1"/>
  <c r="AE595" i="1" a="1"/>
  <c r="AE595" i="1" s="1"/>
  <c r="AE594" i="1" a="1"/>
  <c r="AE594" i="1" s="1"/>
  <c r="AE593" i="1" a="1"/>
  <c r="AE593" i="1" s="1"/>
  <c r="AE592" i="1" a="1"/>
  <c r="AE592" i="1" s="1"/>
  <c r="AE591" i="1" a="1"/>
  <c r="AE591" i="1" s="1"/>
  <c r="AE590" i="1" a="1"/>
  <c r="AE590" i="1" s="1"/>
  <c r="AE589" i="1" a="1"/>
  <c r="AE589" i="1" s="1"/>
  <c r="AE588" i="1" a="1"/>
  <c r="AE588" i="1" s="1"/>
  <c r="AE587" i="1" a="1"/>
  <c r="AE587" i="1" s="1"/>
  <c r="AE586" i="1" a="1"/>
  <c r="AE586" i="1" s="1"/>
  <c r="AE585" i="1" a="1"/>
  <c r="AE585" i="1" s="1"/>
  <c r="AE584" i="1" a="1"/>
  <c r="AE584" i="1" s="1"/>
  <c r="AE583" i="1" a="1"/>
  <c r="AE583" i="1" s="1"/>
  <c r="AE582" i="1" a="1"/>
  <c r="AE582" i="1" s="1"/>
  <c r="AE581" i="1" a="1"/>
  <c r="AE581" i="1" s="1"/>
  <c r="AE580" i="1" a="1"/>
  <c r="AE580" i="1" s="1"/>
  <c r="AE579" i="1" a="1"/>
  <c r="AE579" i="1" s="1"/>
  <c r="AE578" i="1" a="1"/>
  <c r="AE578" i="1" s="1"/>
  <c r="AE577" i="1" a="1"/>
  <c r="AE577" i="1" s="1"/>
  <c r="AE576" i="1" a="1"/>
  <c r="AE576" i="1" s="1"/>
  <c r="AE575" i="1" a="1"/>
  <c r="AE575" i="1" s="1"/>
  <c r="AE574" i="1" a="1"/>
  <c r="AE574" i="1" s="1"/>
  <c r="AE573" i="1" a="1"/>
  <c r="AE573" i="1" s="1"/>
  <c r="AE572" i="1" a="1"/>
  <c r="AE572" i="1" s="1"/>
  <c r="AE571" i="1" a="1"/>
  <c r="AE571" i="1" s="1"/>
  <c r="AE570" i="1" a="1"/>
  <c r="AE570" i="1" s="1"/>
  <c r="AE569" i="1" a="1"/>
  <c r="AE569" i="1" s="1"/>
  <c r="AE568" i="1" a="1"/>
  <c r="AE568" i="1" s="1"/>
  <c r="AE567" i="1" a="1"/>
  <c r="AE567" i="1" s="1"/>
  <c r="AE566" i="1" a="1"/>
  <c r="AE566" i="1" s="1"/>
  <c r="AE565" i="1" a="1"/>
  <c r="AE565" i="1" s="1"/>
  <c r="AE564" i="1" a="1"/>
  <c r="AE564" i="1" s="1"/>
  <c r="AE563" i="1" a="1"/>
  <c r="AE563" i="1" s="1"/>
  <c r="AE562" i="1" a="1"/>
  <c r="AE562" i="1" s="1"/>
  <c r="AE561" i="1" a="1"/>
  <c r="AE561" i="1" s="1"/>
  <c r="AE560" i="1" a="1"/>
  <c r="AE560" i="1" s="1"/>
  <c r="AE559" i="1" a="1"/>
  <c r="AE559" i="1" s="1"/>
  <c r="AE558" i="1" a="1"/>
  <c r="AE558" i="1" s="1"/>
  <c r="AE557" i="1" a="1"/>
  <c r="AE557" i="1" s="1"/>
  <c r="AE556" i="1" a="1"/>
  <c r="AE556" i="1" s="1"/>
  <c r="AE555" i="1" a="1"/>
  <c r="AE555" i="1" s="1"/>
  <c r="AE554" i="1" a="1"/>
  <c r="AE554" i="1" s="1"/>
  <c r="AE553" i="1" a="1"/>
  <c r="AE553" i="1" s="1"/>
  <c r="AE552" i="1" a="1"/>
  <c r="AE552" i="1" s="1"/>
  <c r="AE551" i="1" a="1"/>
  <c r="AE551" i="1" s="1"/>
  <c r="AE550" i="1" a="1"/>
  <c r="AE550" i="1" s="1"/>
  <c r="AE549" i="1" a="1"/>
  <c r="AE549" i="1" s="1"/>
  <c r="AE548" i="1" a="1"/>
  <c r="AE548" i="1" s="1"/>
  <c r="AE547" i="1" a="1"/>
  <c r="AE547" i="1" s="1"/>
  <c r="AE546" i="1" a="1"/>
  <c r="AE546" i="1" s="1"/>
  <c r="AE545" i="1" a="1"/>
  <c r="AE545" i="1" s="1"/>
  <c r="AE544" i="1" a="1"/>
  <c r="AE544" i="1" s="1"/>
  <c r="AE543" i="1" a="1"/>
  <c r="AE543" i="1" s="1"/>
  <c r="AE542" i="1" a="1"/>
  <c r="AE542" i="1" s="1"/>
  <c r="AE541" i="1" a="1"/>
  <c r="AE541" i="1" s="1"/>
  <c r="AE540" i="1" a="1"/>
  <c r="AE540" i="1" s="1"/>
  <c r="AE539" i="1" a="1"/>
  <c r="AE539" i="1" s="1"/>
  <c r="AE538" i="1" a="1"/>
  <c r="AE538" i="1" s="1"/>
  <c r="AE537" i="1" a="1"/>
  <c r="AE537" i="1" s="1"/>
  <c r="AE536" i="1" a="1"/>
  <c r="AE536" i="1" s="1"/>
  <c r="AE535" i="1" a="1"/>
  <c r="AE535" i="1" s="1"/>
  <c r="AE534" i="1" a="1"/>
  <c r="AE534" i="1" s="1"/>
  <c r="AE533" i="1" a="1"/>
  <c r="AE533" i="1" s="1"/>
  <c r="AE532" i="1" a="1"/>
  <c r="AE532" i="1" s="1"/>
  <c r="AE531" i="1" a="1"/>
  <c r="AE531" i="1" s="1"/>
  <c r="AE530" i="1" a="1"/>
  <c r="AE530" i="1" s="1"/>
  <c r="AE529" i="1" a="1"/>
  <c r="AE529" i="1" s="1"/>
  <c r="AE528" i="1" a="1"/>
  <c r="AE528" i="1" s="1"/>
  <c r="AE527" i="1" a="1"/>
  <c r="AE527" i="1" s="1"/>
  <c r="AE526" i="1" a="1"/>
  <c r="AE526" i="1" s="1"/>
  <c r="AE525" i="1" a="1"/>
  <c r="AE525" i="1" s="1"/>
  <c r="AE524" i="1" a="1"/>
  <c r="AE524" i="1" s="1"/>
  <c r="AE523" i="1" a="1"/>
  <c r="AE523" i="1" s="1"/>
  <c r="AE522" i="1" a="1"/>
  <c r="AE522" i="1" s="1"/>
  <c r="AE521" i="1" a="1"/>
  <c r="AE521" i="1" s="1"/>
  <c r="AE520" i="1" a="1"/>
  <c r="AE520" i="1" s="1"/>
  <c r="AE519" i="1" a="1"/>
  <c r="AE519" i="1" s="1"/>
  <c r="AE518" i="1" a="1"/>
  <c r="AE518" i="1" s="1"/>
  <c r="AE517" i="1" a="1"/>
  <c r="AE517" i="1" s="1"/>
  <c r="AE516" i="1" a="1"/>
  <c r="AE516" i="1" s="1"/>
  <c r="AE515" i="1" a="1"/>
  <c r="AE515" i="1" s="1"/>
  <c r="AE514" i="1" a="1"/>
  <c r="AE514" i="1" s="1"/>
  <c r="AE513" i="1" a="1"/>
  <c r="AE513" i="1" s="1"/>
  <c r="AE512" i="1" a="1"/>
  <c r="AE512" i="1" s="1"/>
  <c r="AE511" i="1" a="1"/>
  <c r="AE511" i="1" s="1"/>
  <c r="AE510" i="1" a="1"/>
  <c r="AE510" i="1" s="1"/>
  <c r="AE509" i="1" a="1"/>
  <c r="AE509" i="1" s="1"/>
  <c r="AE508" i="1" a="1"/>
  <c r="AE508" i="1" s="1"/>
  <c r="AE507" i="1" a="1"/>
  <c r="AE507" i="1" s="1"/>
  <c r="AE506" i="1" a="1"/>
  <c r="AE506" i="1" s="1"/>
  <c r="AE505" i="1" a="1"/>
  <c r="AE505" i="1" s="1"/>
  <c r="AE504" i="1" a="1"/>
  <c r="AE504" i="1" s="1"/>
  <c r="AE503" i="1" a="1"/>
  <c r="AE503" i="1" s="1"/>
  <c r="AE502" i="1" a="1"/>
  <c r="AE502" i="1" s="1"/>
  <c r="AE501" i="1" a="1"/>
  <c r="AE501" i="1" s="1"/>
  <c r="AE500" i="1" a="1"/>
  <c r="AE500" i="1" s="1"/>
  <c r="AE499" i="1" a="1"/>
  <c r="AE499" i="1" s="1"/>
  <c r="AE498" i="1" a="1"/>
  <c r="AE498" i="1" s="1"/>
  <c r="AE497" i="1" a="1"/>
  <c r="AE497" i="1" s="1"/>
  <c r="AE496" i="1" a="1"/>
  <c r="AE496" i="1" s="1"/>
  <c r="AE495" i="1" a="1"/>
  <c r="AE495" i="1" s="1"/>
  <c r="AE494" i="1" a="1"/>
  <c r="AE494" i="1" s="1"/>
  <c r="AE493" i="1" a="1"/>
  <c r="AE493" i="1" s="1"/>
  <c r="AE492" i="1" a="1"/>
  <c r="AE492" i="1" s="1"/>
  <c r="AE491" i="1" a="1"/>
  <c r="AE491" i="1" s="1"/>
  <c r="AE490" i="1" a="1"/>
  <c r="AE490" i="1" s="1"/>
  <c r="AE489" i="1" a="1"/>
  <c r="AE489" i="1" s="1"/>
  <c r="AE488" i="1" a="1"/>
  <c r="AE488" i="1" s="1"/>
  <c r="AE487" i="1" a="1"/>
  <c r="AE487" i="1" s="1"/>
  <c r="AE486" i="1" a="1"/>
  <c r="AE486" i="1" s="1"/>
  <c r="AE485" i="1" a="1"/>
  <c r="AE485" i="1" s="1"/>
  <c r="AE484" i="1" a="1"/>
  <c r="AE484" i="1" s="1"/>
  <c r="AE483" i="1" a="1"/>
  <c r="AE483" i="1" s="1"/>
  <c r="AE482" i="1" a="1"/>
  <c r="AE482" i="1" s="1"/>
  <c r="AE481" i="1" a="1"/>
  <c r="AE481" i="1" s="1"/>
  <c r="AE480" i="1" a="1"/>
  <c r="AE480" i="1" s="1"/>
  <c r="AE479" i="1" a="1"/>
  <c r="AE479" i="1" s="1"/>
  <c r="AE478" i="1" a="1"/>
  <c r="AE478" i="1" s="1"/>
  <c r="AE477" i="1" a="1"/>
  <c r="AE477" i="1" s="1"/>
  <c r="AE476" i="1" a="1"/>
  <c r="AE476" i="1" s="1"/>
  <c r="AE475" i="1" a="1"/>
  <c r="AE475" i="1" s="1"/>
  <c r="AE474" i="1" a="1"/>
  <c r="AE474" i="1" s="1"/>
  <c r="AE473" i="1" a="1"/>
  <c r="AE473" i="1" s="1"/>
  <c r="AE472" i="1" a="1"/>
  <c r="AE472" i="1" s="1"/>
  <c r="AE471" i="1" a="1"/>
  <c r="AE471" i="1" s="1"/>
  <c r="AE470" i="1" a="1"/>
  <c r="AE470" i="1" s="1"/>
  <c r="AE469" i="1" a="1"/>
  <c r="AE469" i="1" s="1"/>
  <c r="AE468" i="1" a="1"/>
  <c r="AE468" i="1" s="1"/>
  <c r="AE467" i="1" a="1"/>
  <c r="AE467" i="1" s="1"/>
  <c r="AE466" i="1" a="1"/>
  <c r="AE466" i="1" s="1"/>
  <c r="AE465" i="1" a="1"/>
  <c r="AE465" i="1" s="1"/>
  <c r="AE464" i="1" a="1"/>
  <c r="AE464" i="1" s="1"/>
  <c r="AE463" i="1" a="1"/>
  <c r="AE463" i="1" s="1"/>
  <c r="AE462" i="1" a="1"/>
  <c r="AE462" i="1" s="1"/>
  <c r="AE461" i="1" a="1"/>
  <c r="AE461" i="1" s="1"/>
  <c r="AE460" i="1" a="1"/>
  <c r="AE460" i="1" s="1"/>
  <c r="AE459" i="1" a="1"/>
  <c r="AE459" i="1" s="1"/>
  <c r="AE458" i="1" a="1"/>
  <c r="AE458" i="1" s="1"/>
  <c r="AE457" i="1" a="1"/>
  <c r="AE457" i="1" s="1"/>
  <c r="AE456" i="1" a="1"/>
  <c r="AE456" i="1" s="1"/>
  <c r="AE455" i="1" a="1"/>
  <c r="AE455" i="1" s="1"/>
  <c r="AE454" i="1" a="1"/>
  <c r="AE454" i="1" s="1"/>
  <c r="AE453" i="1" a="1"/>
  <c r="AE453" i="1" s="1"/>
  <c r="AE452" i="1" a="1"/>
  <c r="AE452" i="1" s="1"/>
  <c r="AE451" i="1" a="1"/>
  <c r="AE451" i="1" s="1"/>
  <c r="AE450" i="1" a="1"/>
  <c r="AE450" i="1" s="1"/>
  <c r="AE449" i="1" a="1"/>
  <c r="AE449" i="1" s="1"/>
  <c r="AE448" i="1" a="1"/>
  <c r="AE448" i="1" s="1"/>
  <c r="AE447" i="1" a="1"/>
  <c r="AE447" i="1" s="1"/>
  <c r="AE446" i="1" a="1"/>
  <c r="AE446" i="1" s="1"/>
  <c r="AE445" i="1" a="1"/>
  <c r="AE445" i="1" s="1"/>
  <c r="AE444" i="1" a="1"/>
  <c r="AE444" i="1" s="1"/>
  <c r="AE443" i="1" a="1"/>
  <c r="AE443" i="1" s="1"/>
  <c r="AE442" i="1" a="1"/>
  <c r="AE442" i="1" s="1"/>
  <c r="AE441" i="1" a="1"/>
  <c r="AE441" i="1" s="1"/>
  <c r="AE440" i="1" a="1"/>
  <c r="AE440" i="1" s="1"/>
  <c r="AE439" i="1" a="1"/>
  <c r="AE439" i="1" s="1"/>
  <c r="AE438" i="1" a="1"/>
  <c r="AE438" i="1" s="1"/>
  <c r="AE437" i="1" a="1"/>
  <c r="AE437" i="1" s="1"/>
  <c r="AE436" i="1" a="1"/>
  <c r="AE436" i="1" s="1"/>
  <c r="AE435" i="1" a="1"/>
  <c r="AE435" i="1" s="1"/>
  <c r="AE434" i="1" a="1"/>
  <c r="AE434" i="1" s="1"/>
  <c r="AE433" i="1" a="1"/>
  <c r="AE433" i="1" s="1"/>
  <c r="AE432" i="1" a="1"/>
  <c r="AE432" i="1" s="1"/>
  <c r="AE431" i="1" a="1"/>
  <c r="AE431" i="1" s="1"/>
  <c r="AE430" i="1" a="1"/>
  <c r="AE430" i="1" s="1"/>
  <c r="AE429" i="1" a="1"/>
  <c r="AE429" i="1" s="1"/>
  <c r="AE428" i="1" a="1"/>
  <c r="AE428" i="1" s="1"/>
  <c r="AE427" i="1" a="1"/>
  <c r="AE427" i="1" s="1"/>
  <c r="AE426" i="1" a="1"/>
  <c r="AE426" i="1" s="1"/>
  <c r="AE425" i="1" a="1"/>
  <c r="AE425" i="1" s="1"/>
  <c r="AE424" i="1" a="1"/>
  <c r="AE424" i="1" s="1"/>
  <c r="AE423" i="1" a="1"/>
  <c r="AE423" i="1" s="1"/>
  <c r="AE422" i="1" a="1"/>
  <c r="AE422" i="1" s="1"/>
  <c r="AE421" i="1" a="1"/>
  <c r="AE421" i="1" s="1"/>
  <c r="AE420" i="1" a="1"/>
  <c r="AE420" i="1" s="1"/>
  <c r="AE419" i="1" a="1"/>
  <c r="AE419" i="1" s="1"/>
  <c r="AE418" i="1" a="1"/>
  <c r="AE418" i="1" s="1"/>
  <c r="AE417" i="1" a="1"/>
  <c r="AE417" i="1" s="1"/>
  <c r="AE416" i="1" a="1"/>
  <c r="AE416" i="1" s="1"/>
  <c r="AE415" i="1" a="1"/>
  <c r="AE415" i="1" s="1"/>
  <c r="AE414" i="1" a="1"/>
  <c r="AE414" i="1" s="1"/>
  <c r="AE413" i="1" a="1"/>
  <c r="AE413" i="1" s="1"/>
  <c r="AE412" i="1" a="1"/>
  <c r="AE412" i="1" s="1"/>
  <c r="AE411" i="1" a="1"/>
  <c r="AE411" i="1" s="1"/>
  <c r="AE410" i="1" a="1"/>
  <c r="AE410" i="1" s="1"/>
  <c r="AE409" i="1" a="1"/>
  <c r="AE409" i="1" s="1"/>
  <c r="AE408" i="1" a="1"/>
  <c r="AE408" i="1" s="1"/>
  <c r="AE407" i="1" a="1"/>
  <c r="AE407" i="1" s="1"/>
  <c r="AE406" i="1" a="1"/>
  <c r="AE406" i="1" s="1"/>
  <c r="AE405" i="1" a="1"/>
  <c r="AE405" i="1" s="1"/>
  <c r="AE404" i="1" a="1"/>
  <c r="AE404" i="1" s="1"/>
  <c r="AE403" i="1" a="1"/>
  <c r="AE403" i="1" s="1"/>
  <c r="AE402" i="1" a="1"/>
  <c r="AE402" i="1" s="1"/>
  <c r="AE401" i="1" a="1"/>
  <c r="AE401" i="1" s="1"/>
  <c r="AE400" i="1" a="1"/>
  <c r="AE400" i="1" s="1"/>
  <c r="AE399" i="1" a="1"/>
  <c r="AE399" i="1" s="1"/>
  <c r="AE398" i="1" a="1"/>
  <c r="AE398" i="1" s="1"/>
  <c r="AE397" i="1" a="1"/>
  <c r="AE397" i="1" s="1"/>
  <c r="AE396" i="1" a="1"/>
  <c r="AE396" i="1" s="1"/>
  <c r="AE395" i="1" a="1"/>
  <c r="AE395" i="1" s="1"/>
  <c r="AE394" i="1" a="1"/>
  <c r="AE394" i="1" s="1"/>
  <c r="AE393" i="1" a="1"/>
  <c r="AE393" i="1" s="1"/>
  <c r="AE392" i="1" a="1"/>
  <c r="AE392" i="1" s="1"/>
  <c r="AE391" i="1" a="1"/>
  <c r="AE391" i="1" s="1"/>
  <c r="AE390" i="1" a="1"/>
  <c r="AE390" i="1" s="1"/>
  <c r="AE389" i="1" a="1"/>
  <c r="AE389" i="1" s="1"/>
  <c r="AE388" i="1" a="1"/>
  <c r="AE388" i="1" s="1"/>
  <c r="AE387" i="1" a="1"/>
  <c r="AE387" i="1" s="1"/>
  <c r="AE386" i="1" a="1"/>
  <c r="AE386" i="1" s="1"/>
  <c r="AE385" i="1" a="1"/>
  <c r="AE385" i="1" s="1"/>
  <c r="AE384" i="1" a="1"/>
  <c r="AE384" i="1" s="1"/>
  <c r="AE383" i="1" a="1"/>
  <c r="AE383" i="1" s="1"/>
  <c r="AE382" i="1" a="1"/>
  <c r="AE382" i="1" s="1"/>
  <c r="AE381" i="1" a="1"/>
  <c r="AE381" i="1" s="1"/>
  <c r="AE380" i="1" a="1"/>
  <c r="AE380" i="1" s="1"/>
  <c r="AE379" i="1" a="1"/>
  <c r="AE379" i="1" s="1"/>
  <c r="AE378" i="1" a="1"/>
  <c r="AE378" i="1" s="1"/>
  <c r="AE377" i="1" a="1"/>
  <c r="AE377" i="1" s="1"/>
  <c r="AE376" i="1" a="1"/>
  <c r="AE376" i="1" s="1"/>
  <c r="AE375" i="1" a="1"/>
  <c r="AE375" i="1" s="1"/>
  <c r="AE374" i="1" a="1"/>
  <c r="AE374" i="1" s="1"/>
  <c r="AE373" i="1" a="1"/>
  <c r="AE373" i="1" s="1"/>
  <c r="AE372" i="1" a="1"/>
  <c r="AE372" i="1" s="1"/>
  <c r="AE371" i="1" a="1"/>
  <c r="AE371" i="1" s="1"/>
  <c r="AE370" i="1" a="1"/>
  <c r="AE370" i="1" s="1"/>
  <c r="AE369" i="1" a="1"/>
  <c r="AE369" i="1" s="1"/>
  <c r="AE368" i="1" a="1"/>
  <c r="AE368" i="1" s="1"/>
  <c r="AE367" i="1" a="1"/>
  <c r="AE367" i="1" s="1"/>
  <c r="AE366" i="1" a="1"/>
  <c r="AE366" i="1" s="1"/>
  <c r="AE365" i="1" a="1"/>
  <c r="AE365" i="1" s="1"/>
  <c r="AE364" i="1" a="1"/>
  <c r="AE364" i="1" s="1"/>
  <c r="AE363" i="1" a="1"/>
  <c r="AE363" i="1" s="1"/>
  <c r="AE362" i="1" a="1"/>
  <c r="AE362" i="1" s="1"/>
  <c r="AE361" i="1" a="1"/>
  <c r="AE361" i="1" s="1"/>
  <c r="AE360" i="1" a="1"/>
  <c r="AE360" i="1" s="1"/>
  <c r="AE359" i="1" a="1"/>
  <c r="AE359" i="1" s="1"/>
  <c r="AE358" i="1" a="1"/>
  <c r="AE358" i="1" s="1"/>
  <c r="AE357" i="1" a="1"/>
  <c r="AE357" i="1" s="1"/>
  <c r="AE356" i="1" a="1"/>
  <c r="AE356" i="1" s="1"/>
  <c r="AE355" i="1" a="1"/>
  <c r="AE355" i="1" s="1"/>
  <c r="AE354" i="1" a="1"/>
  <c r="AE354" i="1" s="1"/>
  <c r="AE353" i="1"/>
  <c r="AE353" i="1" a="1"/>
  <c r="AE352" i="1"/>
  <c r="AE352" i="1" a="1"/>
  <c r="AE351" i="1"/>
  <c r="AE351" i="1" a="1"/>
  <c r="AE350" i="1"/>
  <c r="AE350" i="1" a="1"/>
  <c r="AE349" i="1"/>
  <c r="AE349" i="1" a="1"/>
  <c r="AE348" i="1" a="1"/>
  <c r="AE348" i="1" s="1"/>
  <c r="AE347" i="1" a="1"/>
  <c r="AE347" i="1" s="1"/>
  <c r="AE346" i="1" a="1"/>
  <c r="AE346" i="1" s="1"/>
  <c r="AE345" i="1" a="1"/>
  <c r="AE345" i="1" s="1"/>
  <c r="AE344" i="1" a="1"/>
  <c r="AE344" i="1" s="1"/>
  <c r="AE343" i="1" a="1"/>
  <c r="AE343" i="1" s="1"/>
  <c r="AE342" i="1" a="1"/>
  <c r="AE342" i="1" s="1"/>
  <c r="AE341" i="1"/>
  <c r="AE341" i="1" a="1"/>
  <c r="AE340" i="1"/>
  <c r="AE340" i="1" a="1"/>
  <c r="AE339" i="1"/>
  <c r="AE339" i="1" a="1"/>
  <c r="AE338" i="1"/>
  <c r="AE338" i="1" a="1"/>
  <c r="AE337" i="1"/>
  <c r="AE337" i="1" a="1"/>
  <c r="AE336" i="1" a="1"/>
  <c r="AE336" i="1" s="1"/>
  <c r="AE335" i="1" a="1"/>
  <c r="AE335" i="1" s="1"/>
  <c r="AE334" i="1" a="1"/>
  <c r="AE334" i="1" s="1"/>
  <c r="AE333" i="1" a="1"/>
  <c r="AE333" i="1" s="1"/>
  <c r="AE332" i="1" a="1"/>
  <c r="AE332" i="1" s="1"/>
  <c r="AE331" i="1" a="1"/>
  <c r="AE331" i="1" s="1"/>
  <c r="AE330" i="1" a="1"/>
  <c r="AE330" i="1" s="1"/>
  <c r="AE329" i="1"/>
  <c r="AE329" i="1" a="1"/>
  <c r="AE328" i="1"/>
  <c r="AE328" i="1" a="1"/>
  <c r="AE327" i="1"/>
  <c r="AE327" i="1" a="1"/>
  <c r="AE326" i="1"/>
  <c r="AE326" i="1" a="1"/>
  <c r="AE325" i="1"/>
  <c r="AE325" i="1" a="1"/>
  <c r="AE324" i="1" a="1"/>
  <c r="AE324" i="1" s="1"/>
  <c r="AE323" i="1" a="1"/>
  <c r="AE323" i="1" s="1"/>
  <c r="AE322" i="1" a="1"/>
  <c r="AE322" i="1" s="1"/>
  <c r="AE321" i="1" a="1"/>
  <c r="AE321" i="1" s="1"/>
  <c r="AE320" i="1" a="1"/>
  <c r="AE320" i="1" s="1"/>
  <c r="AE319" i="1" a="1"/>
  <c r="AE319" i="1" s="1"/>
  <c r="AE318" i="1" a="1"/>
  <c r="AE318" i="1" s="1"/>
  <c r="AE317" i="1"/>
  <c r="AE317" i="1" a="1"/>
  <c r="AE316" i="1"/>
  <c r="AE316" i="1" a="1"/>
  <c r="AE315" i="1"/>
  <c r="AE315" i="1" a="1"/>
  <c r="AE314" i="1"/>
  <c r="AE314" i="1" a="1"/>
  <c r="AE313" i="1"/>
  <c r="AE313" i="1" a="1"/>
  <c r="AE312" i="1" a="1"/>
  <c r="AE312" i="1" s="1"/>
  <c r="AE311" i="1" a="1"/>
  <c r="AE311" i="1" s="1"/>
  <c r="AE310" i="1" a="1"/>
  <c r="AE310" i="1" s="1"/>
  <c r="AE309" i="1" a="1"/>
  <c r="AE309" i="1" s="1"/>
  <c r="AE308" i="1" a="1"/>
  <c r="AE308" i="1" s="1"/>
  <c r="AE307" i="1" a="1"/>
  <c r="AE307" i="1" s="1"/>
  <c r="AE306" i="1" a="1"/>
  <c r="AE306" i="1" s="1"/>
  <c r="AE305" i="1"/>
  <c r="AE305" i="1" a="1"/>
  <c r="AE304" i="1"/>
  <c r="AE304" i="1" a="1"/>
  <c r="AE303" i="1"/>
  <c r="AE303" i="1" a="1"/>
  <c r="AE302" i="1"/>
  <c r="AE302" i="1" a="1"/>
  <c r="AE301" i="1"/>
  <c r="AE301" i="1" a="1"/>
  <c r="AE300" i="1" a="1"/>
  <c r="AE300" i="1" s="1"/>
  <c r="AE299" i="1" a="1"/>
  <c r="AE299" i="1" s="1"/>
  <c r="AE298" i="1" a="1"/>
  <c r="AE298" i="1" s="1"/>
  <c r="AE297" i="1" a="1"/>
  <c r="AE297" i="1" s="1"/>
  <c r="AE296" i="1" a="1"/>
  <c r="AE296" i="1" s="1"/>
  <c r="AE295" i="1" a="1"/>
  <c r="AE295" i="1" s="1"/>
  <c r="AE294" i="1" a="1"/>
  <c r="AE294" i="1" s="1"/>
  <c r="AE293" i="1"/>
  <c r="AE293" i="1" a="1"/>
  <c r="AE292" i="1"/>
  <c r="AE292" i="1" a="1"/>
  <c r="AE291" i="1"/>
  <c r="AE291" i="1" a="1"/>
  <c r="AE290" i="1"/>
  <c r="AE290" i="1" a="1"/>
  <c r="AE289" i="1"/>
  <c r="AE289" i="1" a="1"/>
  <c r="AE288" i="1" a="1"/>
  <c r="AE288" i="1" s="1"/>
  <c r="AE287" i="1" a="1"/>
  <c r="AE287" i="1" s="1"/>
  <c r="AE286" i="1" a="1"/>
  <c r="AE286" i="1" s="1"/>
  <c r="AE285" i="1" a="1"/>
  <c r="AE285" i="1" s="1"/>
  <c r="AE284" i="1" a="1"/>
  <c r="AE284" i="1" s="1"/>
  <c r="AE283" i="1" a="1"/>
  <c r="AE283" i="1" s="1"/>
  <c r="AE282" i="1" a="1"/>
  <c r="AE282" i="1" s="1"/>
  <c r="AE281" i="1"/>
  <c r="AE281" i="1" a="1"/>
  <c r="AE280" i="1"/>
  <c r="AE280" i="1" a="1"/>
  <c r="AE279" i="1"/>
  <c r="AE279" i="1" a="1"/>
  <c r="AE278" i="1"/>
  <c r="AE278" i="1" a="1"/>
  <c r="AE277" i="1"/>
  <c r="AE277" i="1" a="1"/>
  <c r="AE276" i="1"/>
  <c r="AE276" i="1" a="1"/>
  <c r="AE275" i="1"/>
  <c r="AE275" i="1" a="1"/>
  <c r="AE274" i="1"/>
  <c r="AE274" i="1" a="1"/>
  <c r="AE273" i="1"/>
  <c r="AE273" i="1" a="1"/>
  <c r="AE272" i="1"/>
  <c r="AE272" i="1" a="1"/>
  <c r="AE271" i="1"/>
  <c r="AE271" i="1" a="1"/>
  <c r="AE270" i="1"/>
  <c r="AE270" i="1" a="1"/>
  <c r="AE269" i="1"/>
  <c r="AE269" i="1" a="1"/>
  <c r="AE268" i="1"/>
  <c r="AE268" i="1" a="1"/>
  <c r="AE267" i="1"/>
  <c r="AE267" i="1" a="1"/>
  <c r="AE266" i="1"/>
  <c r="AE266" i="1" a="1"/>
  <c r="AE265" i="1"/>
  <c r="AE265" i="1" a="1"/>
  <c r="AE264" i="1"/>
  <c r="AE264" i="1" a="1"/>
  <c r="AE263" i="1"/>
  <c r="AE263" i="1" a="1"/>
  <c r="AE262" i="1"/>
  <c r="AE262" i="1" a="1"/>
  <c r="AE261" i="1"/>
  <c r="AE261" i="1" a="1"/>
  <c r="AE260" i="1"/>
  <c r="AE260" i="1" a="1"/>
  <c r="AE259" i="1"/>
  <c r="AE259" i="1" a="1"/>
  <c r="AE258" i="1"/>
  <c r="AE258" i="1" a="1"/>
  <c r="AE257" i="1"/>
  <c r="AE257" i="1" a="1"/>
  <c r="AE256" i="1"/>
  <c r="AE256" i="1" a="1"/>
  <c r="AE255" i="1"/>
  <c r="AE255" i="1" a="1"/>
  <c r="AE254" i="1"/>
  <c r="AE254" i="1" a="1"/>
  <c r="AE253" i="1"/>
  <c r="AE253" i="1" a="1"/>
  <c r="AE252" i="1"/>
  <c r="AE252" i="1" a="1"/>
  <c r="AE251" i="1"/>
  <c r="AE251" i="1" a="1"/>
  <c r="AE250" i="1"/>
  <c r="AE250" i="1" a="1"/>
  <c r="AE249" i="1"/>
  <c r="AE249" i="1" a="1"/>
  <c r="AE248" i="1"/>
  <c r="AE248" i="1" a="1"/>
  <c r="AE247" i="1"/>
  <c r="AE247" i="1" a="1"/>
  <c r="AE246" i="1"/>
  <c r="AE246" i="1" a="1"/>
  <c r="AE245" i="1"/>
  <c r="AE245" i="1" a="1"/>
  <c r="AE244" i="1"/>
  <c r="AE244" i="1" a="1"/>
  <c r="AE243" i="1"/>
  <c r="AE243" i="1" a="1"/>
  <c r="AE242" i="1"/>
  <c r="AE242" i="1" a="1"/>
  <c r="AE241" i="1"/>
  <c r="AE241" i="1" a="1"/>
  <c r="AE240" i="1"/>
  <c r="AE240" i="1" a="1"/>
  <c r="AE239" i="1"/>
  <c r="AE239" i="1" a="1"/>
  <c r="AE238" i="1"/>
  <c r="AE238" i="1" a="1"/>
  <c r="AE237" i="1"/>
  <c r="AE237" i="1" a="1"/>
  <c r="AE236" i="1"/>
  <c r="AE236" i="1" a="1"/>
  <c r="AE235" i="1" a="1"/>
  <c r="AE235" i="1" s="1"/>
  <c r="AE234" i="1"/>
  <c r="AE234" i="1" a="1"/>
  <c r="AE233" i="1"/>
  <c r="AE233" i="1" a="1"/>
  <c r="AE232" i="1"/>
  <c r="AE232" i="1" a="1"/>
  <c r="AE231" i="1"/>
  <c r="AE231" i="1" a="1"/>
  <c r="AE230" i="1"/>
  <c r="AE230" i="1" a="1"/>
  <c r="AE229" i="1" a="1"/>
  <c r="AE229" i="1" s="1"/>
  <c r="AE228" i="1"/>
  <c r="AE228" i="1" a="1"/>
  <c r="AE227" i="1"/>
  <c r="AE227" i="1" a="1"/>
  <c r="AE226" i="1"/>
  <c r="AE226" i="1" a="1"/>
  <c r="AE225" i="1" a="1"/>
  <c r="AE225" i="1" s="1"/>
  <c r="AE224" i="1"/>
  <c r="AE224" i="1" a="1"/>
  <c r="AE223" i="1" a="1"/>
  <c r="AE223" i="1" s="1"/>
  <c r="AE222" i="1"/>
  <c r="AE222" i="1" a="1"/>
  <c r="AE221" i="1"/>
  <c r="AE221" i="1" a="1"/>
  <c r="AE220" i="1"/>
  <c r="AE220" i="1" a="1"/>
  <c r="AE219" i="1" a="1"/>
  <c r="AE219" i="1" s="1"/>
  <c r="AE218" i="1"/>
  <c r="AE218" i="1" a="1"/>
  <c r="AE217" i="1" a="1"/>
  <c r="AE217" i="1" s="1"/>
  <c r="AE216" i="1"/>
  <c r="AE216" i="1" a="1"/>
  <c r="AE215" i="1"/>
  <c r="AE215" i="1" a="1"/>
  <c r="AE214" i="1"/>
  <c r="AE214" i="1" a="1"/>
  <c r="AE213" i="1" a="1"/>
  <c r="AE213" i="1" s="1"/>
  <c r="AE212" i="1"/>
  <c r="AE212" i="1" a="1"/>
  <c r="AE211" i="1" a="1"/>
  <c r="AE211" i="1" s="1"/>
  <c r="AE210" i="1"/>
  <c r="AE210" i="1" a="1"/>
  <c r="AE209" i="1"/>
  <c r="AE209" i="1" a="1"/>
  <c r="AE208" i="1"/>
  <c r="AE208" i="1" a="1"/>
  <c r="AE207" i="1" a="1"/>
  <c r="AE207" i="1" s="1"/>
  <c r="AE206" i="1"/>
  <c r="AE206" i="1" a="1"/>
  <c r="AE205" i="1" a="1"/>
  <c r="AE205" i="1" s="1"/>
  <c r="AE204" i="1"/>
  <c r="AE204" i="1" a="1"/>
  <c r="AE203" i="1"/>
  <c r="AE203" i="1" a="1"/>
  <c r="AE202" i="1"/>
  <c r="AE202" i="1" a="1"/>
  <c r="AE201" i="1" a="1"/>
  <c r="AE201" i="1" s="1"/>
  <c r="AE200" i="1"/>
  <c r="AE200" i="1" a="1"/>
  <c r="AE199" i="1" a="1"/>
  <c r="AE199" i="1" s="1"/>
  <c r="AE198" i="1"/>
  <c r="AE198" i="1" a="1"/>
  <c r="AE197" i="1"/>
  <c r="AE197" i="1" a="1"/>
  <c r="AE196" i="1"/>
  <c r="AE196" i="1" a="1"/>
  <c r="AE195" i="1" a="1"/>
  <c r="AE195" i="1" s="1"/>
  <c r="AE194" i="1"/>
  <c r="AE194" i="1" a="1"/>
  <c r="AE193" i="1" a="1"/>
  <c r="AE193" i="1" s="1"/>
  <c r="AE192" i="1"/>
  <c r="AE192" i="1" a="1"/>
  <c r="AE191" i="1"/>
  <c r="AE191" i="1" a="1"/>
  <c r="AE190" i="1"/>
  <c r="AE190" i="1" a="1"/>
  <c r="AE189" i="1" a="1"/>
  <c r="AE189" i="1" s="1"/>
  <c r="AE188" i="1"/>
  <c r="AE188" i="1" a="1"/>
  <c r="AE187" i="1" a="1"/>
  <c r="AE187" i="1" s="1"/>
  <c r="AE186" i="1"/>
  <c r="AE186" i="1" a="1"/>
  <c r="AE185" i="1"/>
  <c r="AE185" i="1" a="1"/>
  <c r="AE184" i="1"/>
  <c r="AE184" i="1" a="1"/>
  <c r="AE183" i="1" a="1"/>
  <c r="AE183" i="1" s="1"/>
  <c r="AE182" i="1"/>
  <c r="AE182" i="1" a="1"/>
  <c r="AE181" i="1" a="1"/>
  <c r="AE181" i="1" s="1"/>
  <c r="AE180" i="1"/>
  <c r="AE180" i="1" a="1"/>
  <c r="AE179" i="1"/>
  <c r="AE179" i="1" a="1"/>
  <c r="AE178" i="1"/>
  <c r="AE178" i="1" a="1"/>
  <c r="AE177" i="1" a="1"/>
  <c r="AE177" i="1" s="1"/>
  <c r="AE176" i="1"/>
  <c r="AE176" i="1" a="1"/>
  <c r="AE175" i="1" a="1"/>
  <c r="AE175" i="1" s="1"/>
  <c r="AE174" i="1"/>
  <c r="AE174" i="1" a="1"/>
  <c r="AE173" i="1"/>
  <c r="AE173" i="1" a="1"/>
  <c r="AE172" i="1"/>
  <c r="AE172" i="1" a="1"/>
  <c r="AE171" i="1" a="1"/>
  <c r="AE171" i="1" s="1"/>
  <c r="AE170" i="1"/>
  <c r="AE170" i="1" a="1"/>
  <c r="AE169" i="1" a="1"/>
  <c r="AE169" i="1" s="1"/>
  <c r="AE168" i="1"/>
  <c r="AE168" i="1" a="1"/>
  <c r="AE167" i="1"/>
  <c r="AE167" i="1" a="1"/>
  <c r="AE166" i="1"/>
  <c r="AE166" i="1" a="1"/>
  <c r="AE165" i="1" a="1"/>
  <c r="AE165" i="1" s="1"/>
  <c r="AE164" i="1"/>
  <c r="AE164" i="1" a="1"/>
  <c r="AE163" i="1" a="1"/>
  <c r="AE163" i="1" s="1"/>
  <c r="AE162" i="1"/>
  <c r="AE162" i="1" a="1"/>
  <c r="AE161" i="1"/>
  <c r="AE161" i="1" a="1"/>
  <c r="AE160" i="1"/>
  <c r="AE160" i="1" a="1"/>
  <c r="AE159" i="1" a="1"/>
  <c r="AE159" i="1" s="1"/>
  <c r="AE158" i="1"/>
  <c r="AE158" i="1" a="1"/>
  <c r="AE157" i="1" a="1"/>
  <c r="AE157" i="1" s="1"/>
  <c r="AE156" i="1"/>
  <c r="AE156" i="1" a="1"/>
  <c r="AE155" i="1" a="1"/>
  <c r="AE155" i="1" s="1"/>
  <c r="AE154" i="1"/>
  <c r="AE154" i="1" a="1"/>
  <c r="AE153" i="1" a="1"/>
  <c r="AE153" i="1" s="1"/>
  <c r="AE152" i="1"/>
  <c r="AE152" i="1" a="1"/>
  <c r="AE151" i="1" a="1"/>
  <c r="AE151" i="1" s="1"/>
  <c r="AE150" i="1"/>
  <c r="AE150" i="1" a="1"/>
  <c r="AE149" i="1" a="1"/>
  <c r="AE149" i="1" s="1"/>
  <c r="AE148" i="1"/>
  <c r="AE148" i="1" a="1"/>
  <c r="AE147" i="1" a="1"/>
  <c r="AE147" i="1" s="1"/>
  <c r="AE146" i="1"/>
  <c r="AE146" i="1" a="1"/>
  <c r="AE145" i="1" a="1"/>
  <c r="AE145" i="1" s="1"/>
  <c r="AE144" i="1"/>
  <c r="AE144" i="1" a="1"/>
  <c r="AE143" i="1" a="1"/>
  <c r="AE143" i="1" s="1"/>
  <c r="AE142" i="1"/>
  <c r="AE142" i="1" a="1"/>
  <c r="AE141" i="1" a="1"/>
  <c r="AE141" i="1" s="1"/>
  <c r="AE140" i="1"/>
  <c r="AE140" i="1" a="1"/>
  <c r="AE139" i="1" a="1"/>
  <c r="AE139" i="1" s="1"/>
  <c r="AE138" i="1"/>
  <c r="AE138" i="1" a="1"/>
  <c r="AE137" i="1" a="1"/>
  <c r="AE137" i="1" s="1"/>
  <c r="AE136" i="1"/>
  <c r="AE136" i="1" a="1"/>
  <c r="AE135" i="1" a="1"/>
  <c r="AE135" i="1" s="1"/>
  <c r="AE134" i="1"/>
  <c r="AE134" i="1" a="1"/>
  <c r="AE133" i="1" a="1"/>
  <c r="AE133" i="1" s="1"/>
  <c r="AE132" i="1"/>
  <c r="AE132" i="1" a="1"/>
  <c r="AE131" i="1" a="1"/>
  <c r="AE131" i="1" s="1"/>
  <c r="AE130" i="1"/>
  <c r="AE130" i="1" a="1"/>
  <c r="AE129" i="1" a="1"/>
  <c r="AE129" i="1" s="1"/>
  <c r="AE128" i="1"/>
  <c r="AE128" i="1" a="1"/>
  <c r="AE127" i="1" a="1"/>
  <c r="AE127" i="1" s="1"/>
  <c r="AE126" i="1"/>
  <c r="AE126" i="1" a="1"/>
  <c r="AE125" i="1" a="1"/>
  <c r="AE125" i="1" s="1"/>
  <c r="AE124" i="1"/>
  <c r="AE124" i="1" a="1"/>
  <c r="AE123" i="1" a="1"/>
  <c r="AE123" i="1" s="1"/>
  <c r="AE122" i="1"/>
  <c r="AE122" i="1" a="1"/>
  <c r="AE121" i="1" a="1"/>
  <c r="AE121" i="1" s="1"/>
  <c r="AE120" i="1"/>
  <c r="AE120" i="1" a="1"/>
  <c r="AE119" i="1" a="1"/>
  <c r="AE119" i="1" s="1"/>
  <c r="AE118" i="1"/>
  <c r="AE118" i="1" a="1"/>
  <c r="AE117" i="1" a="1"/>
  <c r="AE117" i="1" s="1"/>
  <c r="AE116" i="1"/>
  <c r="AE116" i="1" a="1"/>
  <c r="AE115" i="1" a="1"/>
  <c r="AE115" i="1" s="1"/>
  <c r="AE114" i="1"/>
  <c r="AE114" i="1" a="1"/>
  <c r="AE113" i="1" a="1"/>
  <c r="AE113" i="1" s="1"/>
  <c r="AE112" i="1"/>
  <c r="AE112" i="1" a="1"/>
  <c r="AE111" i="1" a="1"/>
  <c r="AE111" i="1" s="1"/>
  <c r="AE110" i="1"/>
  <c r="AE110" i="1" a="1"/>
  <c r="AE109" i="1" a="1"/>
  <c r="AE109" i="1" s="1"/>
  <c r="AE108" i="1"/>
  <c r="AE108" i="1" a="1"/>
  <c r="AE107" i="1" a="1"/>
  <c r="AE107" i="1" s="1"/>
  <c r="AE106" i="1"/>
  <c r="AE106" i="1" a="1"/>
  <c r="AE105" i="1" a="1"/>
  <c r="AE105" i="1" s="1"/>
  <c r="AE104" i="1"/>
  <c r="AE104" i="1" a="1"/>
  <c r="AE103" i="1" a="1"/>
  <c r="AE103" i="1" s="1"/>
  <c r="AE102" i="1"/>
  <c r="AE102" i="1" a="1"/>
  <c r="AE101" i="1" a="1"/>
  <c r="AE101" i="1" s="1"/>
  <c r="AE100" i="1"/>
  <c r="AE100" i="1" a="1"/>
  <c r="AE99" i="1" a="1"/>
  <c r="AE99" i="1" s="1"/>
  <c r="AE98" i="1"/>
  <c r="AE98" i="1" a="1"/>
  <c r="AE97" i="1" a="1"/>
  <c r="AE97" i="1" s="1"/>
  <c r="AE96" i="1"/>
  <c r="AE96" i="1" a="1"/>
  <c r="AE95" i="1" a="1"/>
  <c r="AE95" i="1" s="1"/>
  <c r="AE94" i="1"/>
  <c r="AE94" i="1" a="1"/>
  <c r="AE93" i="1" a="1"/>
  <c r="AE93" i="1" s="1"/>
  <c r="AE92" i="1"/>
  <c r="AE92" i="1" a="1"/>
  <c r="AE91" i="1" a="1"/>
  <c r="AE91" i="1" s="1"/>
  <c r="AE90" i="1"/>
  <c r="AE90" i="1" a="1"/>
  <c r="AE89" i="1" a="1"/>
  <c r="AE89" i="1" s="1"/>
  <c r="AE88" i="1"/>
  <c r="AE88" i="1" a="1"/>
  <c r="AE87" i="1" a="1"/>
  <c r="AE87" i="1" s="1"/>
  <c r="AE86" i="1"/>
  <c r="AE86" i="1" a="1"/>
  <c r="AE85" i="1" a="1"/>
  <c r="AE85" i="1" s="1"/>
  <c r="AE84" i="1"/>
  <c r="AE84" i="1" a="1"/>
  <c r="AE83" i="1" a="1"/>
  <c r="AE83" i="1" s="1"/>
  <c r="AE82" i="1"/>
  <c r="AE82" i="1" a="1"/>
  <c r="AE81" i="1" a="1"/>
  <c r="AE81" i="1" s="1"/>
  <c r="AE80" i="1"/>
  <c r="AE80" i="1" a="1"/>
  <c r="AE79" i="1" a="1"/>
  <c r="AE79" i="1" s="1"/>
  <c r="AE78" i="1"/>
  <c r="AE78" i="1" a="1"/>
  <c r="AE77" i="1" a="1"/>
  <c r="AE77" i="1" s="1"/>
  <c r="AE76" i="1"/>
  <c r="AE76" i="1" a="1"/>
  <c r="AE75" i="1" a="1"/>
  <c r="AE75" i="1" s="1"/>
  <c r="AE74" i="1"/>
  <c r="AE74" i="1" a="1"/>
  <c r="AE73" i="1" a="1"/>
  <c r="AE73" i="1" s="1"/>
  <c r="AE72" i="1"/>
  <c r="AE72" i="1" a="1"/>
  <c r="AE71" i="1" a="1"/>
  <c r="AE71" i="1" s="1"/>
  <c r="AE70" i="1"/>
  <c r="AE70" i="1" a="1"/>
  <c r="AE69" i="1" a="1"/>
  <c r="AE69" i="1" s="1"/>
  <c r="AE68" i="1"/>
  <c r="AE68" i="1" a="1"/>
  <c r="AE67" i="1" a="1"/>
  <c r="AE67" i="1" s="1"/>
  <c r="AE66" i="1"/>
  <c r="AE66" i="1" a="1"/>
  <c r="AE65" i="1" a="1"/>
  <c r="AE65" i="1" s="1"/>
  <c r="AE64" i="1"/>
  <c r="AE64" i="1" a="1"/>
  <c r="AE63" i="1" a="1"/>
  <c r="AE63" i="1" s="1"/>
  <c r="AE62" i="1"/>
  <c r="AE62" i="1" a="1"/>
  <c r="AE61" i="1" a="1"/>
  <c r="AE61" i="1" s="1"/>
  <c r="AE60" i="1"/>
  <c r="AE60" i="1" a="1"/>
  <c r="AE59" i="1" a="1"/>
  <c r="AE59" i="1" s="1"/>
  <c r="AE58" i="1"/>
  <c r="AE58" i="1" a="1"/>
  <c r="AE57" i="1" a="1"/>
  <c r="AE57" i="1" s="1"/>
  <c r="AE56" i="1"/>
  <c r="AE56" i="1" a="1"/>
  <c r="AE55" i="1" a="1"/>
  <c r="AE55" i="1" s="1"/>
  <c r="AE54" i="1"/>
  <c r="AE54" i="1" a="1"/>
  <c r="AE53" i="1" a="1"/>
  <c r="AE53" i="1" s="1"/>
  <c r="AE52" i="1"/>
  <c r="AE52" i="1" a="1"/>
  <c r="AE51" i="1" a="1"/>
  <c r="AE51" i="1" s="1"/>
  <c r="AE50" i="1"/>
  <c r="AE50" i="1" a="1"/>
  <c r="AE49" i="1" a="1"/>
  <c r="AE49" i="1" s="1"/>
  <c r="AE48" i="1"/>
  <c r="AE48" i="1" a="1"/>
  <c r="AE47" i="1" a="1"/>
  <c r="AE47" i="1" s="1"/>
  <c r="AE46" i="1"/>
  <c r="AE46" i="1" a="1"/>
  <c r="AE45" i="1" a="1"/>
  <c r="AE45" i="1" s="1"/>
  <c r="AE44" i="1"/>
  <c r="AE44" i="1" a="1"/>
  <c r="AE43" i="1" a="1"/>
  <c r="AE43" i="1" s="1"/>
  <c r="AE42" i="1"/>
  <c r="AE42" i="1" a="1"/>
  <c r="AE41" i="1" a="1"/>
  <c r="AE41" i="1" s="1"/>
  <c r="AE40" i="1"/>
  <c r="AE40" i="1" a="1"/>
  <c r="AE39" i="1" a="1"/>
  <c r="AE39" i="1" s="1"/>
  <c r="AE38" i="1"/>
  <c r="AE38" i="1" a="1"/>
  <c r="AE37" i="1" a="1"/>
  <c r="AE37" i="1" s="1"/>
  <c r="AE36" i="1"/>
  <c r="AE36" i="1" a="1"/>
  <c r="AE35" i="1" a="1"/>
  <c r="AE35" i="1" s="1"/>
  <c r="AE34" i="1"/>
  <c r="AE34" i="1" a="1"/>
  <c r="AE33" i="1" a="1"/>
  <c r="AE33" i="1" s="1"/>
  <c r="AE32" i="1"/>
  <c r="AE32" i="1" a="1"/>
  <c r="AE31" i="1" a="1"/>
  <c r="AE31" i="1" s="1"/>
  <c r="AE30" i="1"/>
  <c r="AE30" i="1" a="1"/>
  <c r="AE29" i="1" a="1"/>
  <c r="AE29" i="1" s="1"/>
  <c r="AE28" i="1"/>
  <c r="AE28" i="1" a="1"/>
  <c r="AE27" i="1" a="1"/>
  <c r="AE27" i="1" s="1"/>
  <c r="AE26" i="1"/>
  <c r="AE26" i="1" a="1"/>
  <c r="AE25" i="1" a="1"/>
  <c r="AE25" i="1" s="1"/>
  <c r="AE24" i="1"/>
  <c r="AE24" i="1" a="1"/>
  <c r="AE23" i="1" a="1"/>
  <c r="AE23" i="1" s="1"/>
  <c r="AE22" i="1"/>
  <c r="AE22" i="1" a="1"/>
  <c r="AE21" i="1" a="1"/>
  <c r="AE21" i="1" s="1"/>
  <c r="AE20" i="1"/>
  <c r="AE20" i="1" a="1"/>
  <c r="AE19" i="1" a="1"/>
  <c r="AE19" i="1" s="1"/>
  <c r="AE18" i="1"/>
  <c r="AE18" i="1" a="1"/>
  <c r="AE17" i="1" a="1"/>
  <c r="AE17" i="1" s="1"/>
  <c r="AE16" i="1"/>
  <c r="AE16" i="1" a="1"/>
  <c r="AE15" i="1" a="1"/>
  <c r="AE15" i="1" s="1"/>
  <c r="AE14" i="1"/>
  <c r="AE14" i="1" a="1"/>
  <c r="AE13" i="1" a="1"/>
  <c r="AE13" i="1" s="1"/>
  <c r="AE12" i="1"/>
  <c r="AE12" i="1" a="1"/>
  <c r="AE11" i="1" a="1"/>
  <c r="AE11" i="1" s="1"/>
  <c r="AE10" i="1"/>
  <c r="AE10" i="1" a="1"/>
  <c r="AE9" i="1" a="1"/>
  <c r="AE9" i="1" s="1"/>
  <c r="AE8" i="1"/>
  <c r="AE8" i="1" a="1"/>
  <c r="AE7" i="1" a="1"/>
  <c r="AE7" i="1" s="1"/>
  <c r="AE6" i="1"/>
  <c r="AE6" i="1" a="1"/>
  <c r="AE5" i="1" a="1"/>
  <c r="AE5" i="1" s="1"/>
  <c r="AE4" i="1"/>
  <c r="AE4" i="1" a="1"/>
  <c r="AE3" i="1" a="1"/>
  <c r="AE3" i="1" s="1"/>
  <c r="AE2" i="1" a="1"/>
  <c r="AE2" i="1" s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2" i="1"/>
  <c r="AD1171" i="1" a="1"/>
  <c r="AD1171" i="1" s="1"/>
  <c r="AD1170" i="1" a="1"/>
  <c r="AD1170" i="1" s="1"/>
  <c r="AD1169" i="1" a="1"/>
  <c r="AD1169" i="1" s="1"/>
  <c r="AD1168" i="1" a="1"/>
  <c r="AD1168" i="1" s="1"/>
  <c r="AD1167" i="1" a="1"/>
  <c r="AD1167" i="1" s="1"/>
  <c r="AD1166" i="1" a="1"/>
  <c r="AD1166" i="1" s="1"/>
  <c r="AD1165" i="1" a="1"/>
  <c r="AD1165" i="1" s="1"/>
  <c r="AD1164" i="1" a="1"/>
  <c r="AD1164" i="1" s="1"/>
  <c r="AD1163" i="1" a="1"/>
  <c r="AD1163" i="1" s="1"/>
  <c r="AD1162" i="1" a="1"/>
  <c r="AD1162" i="1" s="1"/>
  <c r="AD1161" i="1" a="1"/>
  <c r="AD1161" i="1" s="1"/>
  <c r="AD1160" i="1" a="1"/>
  <c r="AD1160" i="1" s="1"/>
  <c r="AD1159" i="1" a="1"/>
  <c r="AD1159" i="1" s="1"/>
  <c r="AD1158" i="1" a="1"/>
  <c r="AD1158" i="1" s="1"/>
  <c r="AD1157" i="1" a="1"/>
  <c r="AD1157" i="1" s="1"/>
  <c r="AD1156" i="1" a="1"/>
  <c r="AD1156" i="1" s="1"/>
  <c r="AD1155" i="1" a="1"/>
  <c r="AD1155" i="1" s="1"/>
  <c r="AD1154" i="1" a="1"/>
  <c r="AD1154" i="1" s="1"/>
  <c r="AD1153" i="1" a="1"/>
  <c r="AD1153" i="1" s="1"/>
  <c r="AD1152" i="1" a="1"/>
  <c r="AD1152" i="1" s="1"/>
  <c r="AD1151" i="1" a="1"/>
  <c r="AD1151" i="1" s="1"/>
  <c r="AD1150" i="1" a="1"/>
  <c r="AD1150" i="1" s="1"/>
  <c r="AD1149" i="1" a="1"/>
  <c r="AD1149" i="1" s="1"/>
  <c r="AD1148" i="1" a="1"/>
  <c r="AD1148" i="1" s="1"/>
  <c r="AD1147" i="1" a="1"/>
  <c r="AD1147" i="1" s="1"/>
  <c r="AD1146" i="1" a="1"/>
  <c r="AD1146" i="1" s="1"/>
  <c r="AD1145" i="1" a="1"/>
  <c r="AD1145" i="1" s="1"/>
  <c r="AD1144" i="1" a="1"/>
  <c r="AD1144" i="1" s="1"/>
  <c r="AD1143" i="1" a="1"/>
  <c r="AD1143" i="1" s="1"/>
  <c r="AD1142" i="1" a="1"/>
  <c r="AD1142" i="1" s="1"/>
  <c r="AD1141" i="1" a="1"/>
  <c r="AD1141" i="1" s="1"/>
  <c r="AD1140" i="1" a="1"/>
  <c r="AD1140" i="1" s="1"/>
  <c r="AD1139" i="1" a="1"/>
  <c r="AD1139" i="1" s="1"/>
  <c r="AD1138" i="1" a="1"/>
  <c r="AD1138" i="1" s="1"/>
  <c r="AD1137" i="1" a="1"/>
  <c r="AD1137" i="1" s="1"/>
  <c r="AD1136" i="1" a="1"/>
  <c r="AD1136" i="1" s="1"/>
  <c r="AD1135" i="1" a="1"/>
  <c r="AD1135" i="1" s="1"/>
  <c r="AD1134" i="1" a="1"/>
  <c r="AD1134" i="1" s="1"/>
  <c r="AD1133" i="1" a="1"/>
  <c r="AD1133" i="1" s="1"/>
  <c r="AD1132" i="1" a="1"/>
  <c r="AD1132" i="1" s="1"/>
  <c r="AD1131" i="1" a="1"/>
  <c r="AD1131" i="1" s="1"/>
  <c r="AD1130" i="1" a="1"/>
  <c r="AD1130" i="1" s="1"/>
  <c r="AD1129" i="1" a="1"/>
  <c r="AD1129" i="1" s="1"/>
  <c r="AD1128" i="1" a="1"/>
  <c r="AD1128" i="1" s="1"/>
  <c r="AD1127" i="1" a="1"/>
  <c r="AD1127" i="1" s="1"/>
  <c r="AD1126" i="1" a="1"/>
  <c r="AD1126" i="1" s="1"/>
  <c r="AD1125" i="1" a="1"/>
  <c r="AD1125" i="1" s="1"/>
  <c r="AD1124" i="1" a="1"/>
  <c r="AD1124" i="1" s="1"/>
  <c r="AD1123" i="1" a="1"/>
  <c r="AD1123" i="1" s="1"/>
  <c r="AD1122" i="1" a="1"/>
  <c r="AD1122" i="1" s="1"/>
  <c r="AD1121" i="1" a="1"/>
  <c r="AD1121" i="1" s="1"/>
  <c r="AD1120" i="1" a="1"/>
  <c r="AD1120" i="1" s="1"/>
  <c r="AD1119" i="1" a="1"/>
  <c r="AD1119" i="1" s="1"/>
  <c r="AD1118" i="1" a="1"/>
  <c r="AD1118" i="1" s="1"/>
  <c r="AD1117" i="1" a="1"/>
  <c r="AD1117" i="1" s="1"/>
  <c r="AD1116" i="1" a="1"/>
  <c r="AD1116" i="1" s="1"/>
  <c r="AD1115" i="1" a="1"/>
  <c r="AD1115" i="1" s="1"/>
  <c r="AD1114" i="1" a="1"/>
  <c r="AD1114" i="1" s="1"/>
  <c r="AD1113" i="1" a="1"/>
  <c r="AD1113" i="1" s="1"/>
  <c r="AD1112" i="1" a="1"/>
  <c r="AD1112" i="1" s="1"/>
  <c r="AD1111" i="1" a="1"/>
  <c r="AD1111" i="1" s="1"/>
  <c r="AD1110" i="1" a="1"/>
  <c r="AD1110" i="1" s="1"/>
  <c r="AD1109" i="1" a="1"/>
  <c r="AD1109" i="1" s="1"/>
  <c r="AD1108" i="1" a="1"/>
  <c r="AD1108" i="1" s="1"/>
  <c r="AD1107" i="1" a="1"/>
  <c r="AD1107" i="1" s="1"/>
  <c r="AD1106" i="1" a="1"/>
  <c r="AD1106" i="1" s="1"/>
  <c r="AD1105" i="1" a="1"/>
  <c r="AD1105" i="1" s="1"/>
  <c r="AD1104" i="1" a="1"/>
  <c r="AD1104" i="1" s="1"/>
  <c r="AD1103" i="1" a="1"/>
  <c r="AD1103" i="1" s="1"/>
  <c r="AD1102" i="1" a="1"/>
  <c r="AD1102" i="1" s="1"/>
  <c r="AD1101" i="1" a="1"/>
  <c r="AD1101" i="1" s="1"/>
  <c r="AD1100" i="1" a="1"/>
  <c r="AD1100" i="1" s="1"/>
  <c r="AD1099" i="1" a="1"/>
  <c r="AD1099" i="1" s="1"/>
  <c r="AD1098" i="1" a="1"/>
  <c r="AD1098" i="1" s="1"/>
  <c r="AD1097" i="1" a="1"/>
  <c r="AD1097" i="1" s="1"/>
  <c r="AD1096" i="1" a="1"/>
  <c r="AD1096" i="1" s="1"/>
  <c r="AD1095" i="1" a="1"/>
  <c r="AD1095" i="1" s="1"/>
  <c r="AD1094" i="1" a="1"/>
  <c r="AD1094" i="1" s="1"/>
  <c r="AD1093" i="1" a="1"/>
  <c r="AD1093" i="1" s="1"/>
  <c r="AD1092" i="1" a="1"/>
  <c r="AD1092" i="1" s="1"/>
  <c r="AD1091" i="1" a="1"/>
  <c r="AD1091" i="1" s="1"/>
  <c r="AD1090" i="1" a="1"/>
  <c r="AD1090" i="1" s="1"/>
  <c r="AD1089" i="1" a="1"/>
  <c r="AD1089" i="1" s="1"/>
  <c r="AD1088" i="1" a="1"/>
  <c r="AD1088" i="1" s="1"/>
  <c r="AD1087" i="1" a="1"/>
  <c r="AD1087" i="1" s="1"/>
  <c r="AD1086" i="1" a="1"/>
  <c r="AD1086" i="1" s="1"/>
  <c r="AD1085" i="1" a="1"/>
  <c r="AD1085" i="1" s="1"/>
  <c r="AD1084" i="1" a="1"/>
  <c r="AD1084" i="1" s="1"/>
  <c r="AD1083" i="1" a="1"/>
  <c r="AD1083" i="1" s="1"/>
  <c r="AD1082" i="1" a="1"/>
  <c r="AD1082" i="1" s="1"/>
  <c r="AD1081" i="1" a="1"/>
  <c r="AD1081" i="1" s="1"/>
  <c r="AD1080" i="1" a="1"/>
  <c r="AD1080" i="1" s="1"/>
  <c r="AD1079" i="1" a="1"/>
  <c r="AD1079" i="1" s="1"/>
  <c r="AD1078" i="1" a="1"/>
  <c r="AD1078" i="1" s="1"/>
  <c r="AD1077" i="1" a="1"/>
  <c r="AD1077" i="1" s="1"/>
  <c r="AD1076" i="1" a="1"/>
  <c r="AD1076" i="1" s="1"/>
  <c r="AD1075" i="1" a="1"/>
  <c r="AD1075" i="1" s="1"/>
  <c r="AD1074" i="1" a="1"/>
  <c r="AD1074" i="1" s="1"/>
  <c r="AD1073" i="1" a="1"/>
  <c r="AD1073" i="1" s="1"/>
  <c r="AD1072" i="1" a="1"/>
  <c r="AD1072" i="1" s="1"/>
  <c r="AD1071" i="1" a="1"/>
  <c r="AD1071" i="1" s="1"/>
  <c r="AD1070" i="1" a="1"/>
  <c r="AD1070" i="1" s="1"/>
  <c r="AD1069" i="1" a="1"/>
  <c r="AD1069" i="1" s="1"/>
  <c r="AD1068" i="1" a="1"/>
  <c r="AD1068" i="1" s="1"/>
  <c r="AD1067" i="1" a="1"/>
  <c r="AD1067" i="1" s="1"/>
  <c r="AD1066" i="1" a="1"/>
  <c r="AD1066" i="1" s="1"/>
  <c r="AD1065" i="1" a="1"/>
  <c r="AD1065" i="1" s="1"/>
  <c r="AD1064" i="1" a="1"/>
  <c r="AD1064" i="1" s="1"/>
  <c r="AD1063" i="1" a="1"/>
  <c r="AD1063" i="1" s="1"/>
  <c r="AD1062" i="1" a="1"/>
  <c r="AD1062" i="1" s="1"/>
  <c r="AD1061" i="1" a="1"/>
  <c r="AD1061" i="1" s="1"/>
  <c r="AD1060" i="1" a="1"/>
  <c r="AD1060" i="1" s="1"/>
  <c r="AD1059" i="1" a="1"/>
  <c r="AD1059" i="1" s="1"/>
  <c r="AD1058" i="1" a="1"/>
  <c r="AD1058" i="1" s="1"/>
  <c r="AD1057" i="1" a="1"/>
  <c r="AD1057" i="1" s="1"/>
  <c r="AD1056" i="1" a="1"/>
  <c r="AD1056" i="1" s="1"/>
  <c r="AD1055" i="1" a="1"/>
  <c r="AD1055" i="1" s="1"/>
  <c r="AD1054" i="1" a="1"/>
  <c r="AD1054" i="1" s="1"/>
  <c r="AD1053" i="1" a="1"/>
  <c r="AD1053" i="1" s="1"/>
  <c r="AD1052" i="1" a="1"/>
  <c r="AD1052" i="1" s="1"/>
  <c r="AD1051" i="1" a="1"/>
  <c r="AD1051" i="1" s="1"/>
  <c r="AD1050" i="1" a="1"/>
  <c r="AD1050" i="1" s="1"/>
  <c r="AD1049" i="1" a="1"/>
  <c r="AD1049" i="1" s="1"/>
  <c r="AD1048" i="1" a="1"/>
  <c r="AD1048" i="1" s="1"/>
  <c r="AD1047" i="1" a="1"/>
  <c r="AD1047" i="1" s="1"/>
  <c r="AD1046" i="1" a="1"/>
  <c r="AD1046" i="1" s="1"/>
  <c r="AD1045" i="1" a="1"/>
  <c r="AD1045" i="1" s="1"/>
  <c r="AD1044" i="1" a="1"/>
  <c r="AD1044" i="1" s="1"/>
  <c r="AD1043" i="1" a="1"/>
  <c r="AD1043" i="1" s="1"/>
  <c r="AD1042" i="1" a="1"/>
  <c r="AD1042" i="1" s="1"/>
  <c r="AD1041" i="1" a="1"/>
  <c r="AD1041" i="1" s="1"/>
  <c r="AD1040" i="1" a="1"/>
  <c r="AD1040" i="1" s="1"/>
  <c r="AD1039" i="1" a="1"/>
  <c r="AD1039" i="1" s="1"/>
  <c r="AD1038" i="1" a="1"/>
  <c r="AD1038" i="1" s="1"/>
  <c r="AD1037" i="1" a="1"/>
  <c r="AD1037" i="1" s="1"/>
  <c r="AD1036" i="1" a="1"/>
  <c r="AD1036" i="1" s="1"/>
  <c r="AD1035" i="1" a="1"/>
  <c r="AD1035" i="1" s="1"/>
  <c r="AD1034" i="1" a="1"/>
  <c r="AD1034" i="1" s="1"/>
  <c r="AD1033" i="1" a="1"/>
  <c r="AD1033" i="1" s="1"/>
  <c r="AD1032" i="1" a="1"/>
  <c r="AD1032" i="1" s="1"/>
  <c r="AD1031" i="1" a="1"/>
  <c r="AD1031" i="1" s="1"/>
  <c r="AD1030" i="1" a="1"/>
  <c r="AD1030" i="1" s="1"/>
  <c r="AD1029" i="1" a="1"/>
  <c r="AD1029" i="1" s="1"/>
  <c r="AD1028" i="1" a="1"/>
  <c r="AD1028" i="1" s="1"/>
  <c r="AD1027" i="1" a="1"/>
  <c r="AD1027" i="1" s="1"/>
  <c r="AD1026" i="1" a="1"/>
  <c r="AD1026" i="1" s="1"/>
  <c r="AD1025" i="1" a="1"/>
  <c r="AD1025" i="1" s="1"/>
  <c r="AD1024" i="1" a="1"/>
  <c r="AD1024" i="1" s="1"/>
  <c r="AD1023" i="1" a="1"/>
  <c r="AD1023" i="1" s="1"/>
  <c r="AD1022" i="1" a="1"/>
  <c r="AD1022" i="1" s="1"/>
  <c r="AD1021" i="1" a="1"/>
  <c r="AD1021" i="1" s="1"/>
  <c r="AD1020" i="1" a="1"/>
  <c r="AD1020" i="1" s="1"/>
  <c r="AD1019" i="1" a="1"/>
  <c r="AD1019" i="1" s="1"/>
  <c r="AD1018" i="1" a="1"/>
  <c r="AD1018" i="1" s="1"/>
  <c r="AD1017" i="1" a="1"/>
  <c r="AD1017" i="1" s="1"/>
  <c r="AD1016" i="1" a="1"/>
  <c r="AD1016" i="1" s="1"/>
  <c r="AD1015" i="1" a="1"/>
  <c r="AD1015" i="1" s="1"/>
  <c r="AD1014" i="1" a="1"/>
  <c r="AD1014" i="1" s="1"/>
  <c r="AD1013" i="1" a="1"/>
  <c r="AD1013" i="1" s="1"/>
  <c r="AD1012" i="1" a="1"/>
  <c r="AD1012" i="1" s="1"/>
  <c r="AD1011" i="1" a="1"/>
  <c r="AD1011" i="1" s="1"/>
  <c r="AD1010" i="1" a="1"/>
  <c r="AD1010" i="1" s="1"/>
  <c r="AD1009" i="1" a="1"/>
  <c r="AD1009" i="1" s="1"/>
  <c r="AD1008" i="1" a="1"/>
  <c r="AD1008" i="1" s="1"/>
  <c r="AD1007" i="1" a="1"/>
  <c r="AD1007" i="1" s="1"/>
  <c r="AD1006" i="1" a="1"/>
  <c r="AD1006" i="1" s="1"/>
  <c r="AD1005" i="1" a="1"/>
  <c r="AD1005" i="1" s="1"/>
  <c r="AD1004" i="1" a="1"/>
  <c r="AD1004" i="1" s="1"/>
  <c r="AD1003" i="1" a="1"/>
  <c r="AD1003" i="1" s="1"/>
  <c r="AD1002" i="1" a="1"/>
  <c r="AD1002" i="1" s="1"/>
  <c r="AD1001" i="1" a="1"/>
  <c r="AD1001" i="1" s="1"/>
  <c r="AD1000" i="1" a="1"/>
  <c r="AD1000" i="1" s="1"/>
  <c r="AD999" i="1" a="1"/>
  <c r="AD999" i="1" s="1"/>
  <c r="AD998" i="1" a="1"/>
  <c r="AD998" i="1" s="1"/>
  <c r="AD997" i="1" a="1"/>
  <c r="AD997" i="1" s="1"/>
  <c r="AD996" i="1" a="1"/>
  <c r="AD996" i="1" s="1"/>
  <c r="AD995" i="1" a="1"/>
  <c r="AD995" i="1" s="1"/>
  <c r="AD994" i="1" a="1"/>
  <c r="AD994" i="1" s="1"/>
  <c r="AD993" i="1" a="1"/>
  <c r="AD993" i="1" s="1"/>
  <c r="AD992" i="1"/>
  <c r="AD992" i="1" a="1"/>
  <c r="AD991" i="1" a="1"/>
  <c r="AD991" i="1" s="1"/>
  <c r="AD990" i="1" a="1"/>
  <c r="AD990" i="1" s="1"/>
  <c r="AD989" i="1" a="1"/>
  <c r="AD989" i="1" s="1"/>
  <c r="AD988" i="1" a="1"/>
  <c r="AD988" i="1" s="1"/>
  <c r="AD987" i="1" a="1"/>
  <c r="AD987" i="1" s="1"/>
  <c r="AD986" i="1" a="1"/>
  <c r="AD986" i="1" s="1"/>
  <c r="AD985" i="1" a="1"/>
  <c r="AD985" i="1" s="1"/>
  <c r="AD984" i="1" a="1"/>
  <c r="AD984" i="1" s="1"/>
  <c r="AD983" i="1" a="1"/>
  <c r="AD983" i="1" s="1"/>
  <c r="AD982" i="1" a="1"/>
  <c r="AD982" i="1" s="1"/>
  <c r="AD981" i="1" a="1"/>
  <c r="AD981" i="1" s="1"/>
  <c r="AD980" i="1"/>
  <c r="AD980" i="1" a="1"/>
  <c r="AD979" i="1" a="1"/>
  <c r="AD979" i="1" s="1"/>
  <c r="AD978" i="1" a="1"/>
  <c r="AD978" i="1" s="1"/>
  <c r="AD977" i="1" a="1"/>
  <c r="AD977" i="1" s="1"/>
  <c r="AD976" i="1" a="1"/>
  <c r="AD976" i="1" s="1"/>
  <c r="AD975" i="1" a="1"/>
  <c r="AD975" i="1" s="1"/>
  <c r="AD974" i="1" a="1"/>
  <c r="AD974" i="1" s="1"/>
  <c r="AD973" i="1" a="1"/>
  <c r="AD973" i="1" s="1"/>
  <c r="AD972" i="1" a="1"/>
  <c r="AD972" i="1" s="1"/>
  <c r="AD971" i="1" a="1"/>
  <c r="AD971" i="1" s="1"/>
  <c r="AD970" i="1" a="1"/>
  <c r="AD970" i="1" s="1"/>
  <c r="AD969" i="1" a="1"/>
  <c r="AD969" i="1" s="1"/>
  <c r="AD968" i="1" a="1"/>
  <c r="AD968" i="1" s="1"/>
  <c r="AD967" i="1" a="1"/>
  <c r="AD967" i="1" s="1"/>
  <c r="AD966" i="1" a="1"/>
  <c r="AD966" i="1" s="1"/>
  <c r="AD965" i="1" a="1"/>
  <c r="AD965" i="1" s="1"/>
  <c r="AD964" i="1" a="1"/>
  <c r="AD964" i="1" s="1"/>
  <c r="AD963" i="1" a="1"/>
  <c r="AD963" i="1" s="1"/>
  <c r="AD962" i="1" a="1"/>
  <c r="AD962" i="1" s="1"/>
  <c r="AD961" i="1" a="1"/>
  <c r="AD961" i="1" s="1"/>
  <c r="AD960" i="1" a="1"/>
  <c r="AD960" i="1" s="1"/>
  <c r="AD959" i="1" a="1"/>
  <c r="AD959" i="1" s="1"/>
  <c r="AD958" i="1" a="1"/>
  <c r="AD958" i="1" s="1"/>
  <c r="AD957" i="1" a="1"/>
  <c r="AD957" i="1" s="1"/>
  <c r="AD956" i="1"/>
  <c r="AD956" i="1" a="1"/>
  <c r="AD955" i="1" a="1"/>
  <c r="AD955" i="1" s="1"/>
  <c r="AD954" i="1" a="1"/>
  <c r="AD954" i="1" s="1"/>
  <c r="AD953" i="1" a="1"/>
  <c r="AD953" i="1" s="1"/>
  <c r="AD952" i="1" a="1"/>
  <c r="AD952" i="1" s="1"/>
  <c r="AD951" i="1" a="1"/>
  <c r="AD951" i="1" s="1"/>
  <c r="AD950" i="1" a="1"/>
  <c r="AD950" i="1" s="1"/>
  <c r="AD949" i="1" a="1"/>
  <c r="AD949" i="1" s="1"/>
  <c r="AD948" i="1" a="1"/>
  <c r="AD948" i="1" s="1"/>
  <c r="AD947" i="1" a="1"/>
  <c r="AD947" i="1" s="1"/>
  <c r="AD946" i="1" a="1"/>
  <c r="AD946" i="1" s="1"/>
  <c r="AD945" i="1" a="1"/>
  <c r="AD945" i="1" s="1"/>
  <c r="AD944" i="1"/>
  <c r="AD944" i="1" a="1"/>
  <c r="AD943" i="1" a="1"/>
  <c r="AD943" i="1" s="1"/>
  <c r="AD942" i="1" a="1"/>
  <c r="AD942" i="1" s="1"/>
  <c r="AD941" i="1" a="1"/>
  <c r="AD941" i="1" s="1"/>
  <c r="AD940" i="1" a="1"/>
  <c r="AD940" i="1" s="1"/>
  <c r="AD939" i="1" a="1"/>
  <c r="AD939" i="1" s="1"/>
  <c r="AD938" i="1"/>
  <c r="AD938" i="1" a="1"/>
  <c r="AD937" i="1" a="1"/>
  <c r="AD937" i="1" s="1"/>
  <c r="AD936" i="1" a="1"/>
  <c r="AD936" i="1" s="1"/>
  <c r="AD935" i="1" a="1"/>
  <c r="AD935" i="1" s="1"/>
  <c r="AD934" i="1" a="1"/>
  <c r="AD934" i="1" s="1"/>
  <c r="AD933" i="1" a="1"/>
  <c r="AD933" i="1" s="1"/>
  <c r="AD932" i="1" a="1"/>
  <c r="AD932" i="1" s="1"/>
  <c r="AD931" i="1" a="1"/>
  <c r="AD931" i="1" s="1"/>
  <c r="AD930" i="1" a="1"/>
  <c r="AD930" i="1" s="1"/>
  <c r="AD929" i="1" a="1"/>
  <c r="AD929" i="1" s="1"/>
  <c r="AD928" i="1" a="1"/>
  <c r="AD928" i="1" s="1"/>
  <c r="AD927" i="1" a="1"/>
  <c r="AD927" i="1" s="1"/>
  <c r="AD926" i="1" a="1"/>
  <c r="AD926" i="1" s="1"/>
  <c r="AD925" i="1" a="1"/>
  <c r="AD925" i="1" s="1"/>
  <c r="AD924" i="1" a="1"/>
  <c r="AD924" i="1" s="1"/>
  <c r="AD923" i="1" a="1"/>
  <c r="AD923" i="1" s="1"/>
  <c r="AD922" i="1" a="1"/>
  <c r="AD922" i="1" s="1"/>
  <c r="AD921" i="1" a="1"/>
  <c r="AD921" i="1" s="1"/>
  <c r="AD920" i="1"/>
  <c r="AD920" i="1" a="1"/>
  <c r="AD919" i="1" a="1"/>
  <c r="AD919" i="1" s="1"/>
  <c r="AD918" i="1" a="1"/>
  <c r="AD918" i="1" s="1"/>
  <c r="AD917" i="1" a="1"/>
  <c r="AD917" i="1" s="1"/>
  <c r="AD916" i="1" a="1"/>
  <c r="AD916" i="1" s="1"/>
  <c r="AD915" i="1" a="1"/>
  <c r="AD915" i="1" s="1"/>
  <c r="AD914" i="1" a="1"/>
  <c r="AD914" i="1" s="1"/>
  <c r="AD913" i="1" a="1"/>
  <c r="AD913" i="1" s="1"/>
  <c r="AD912" i="1" a="1"/>
  <c r="AD912" i="1" s="1"/>
  <c r="AD911" i="1" a="1"/>
  <c r="AD911" i="1" s="1"/>
  <c r="AD910" i="1" a="1"/>
  <c r="AD910" i="1" s="1"/>
  <c r="AD909" i="1" a="1"/>
  <c r="AD909" i="1" s="1"/>
  <c r="AD908" i="1"/>
  <c r="AD908" i="1" a="1"/>
  <c r="AD907" i="1" a="1"/>
  <c r="AD907" i="1" s="1"/>
  <c r="AD906" i="1" a="1"/>
  <c r="AD906" i="1" s="1"/>
  <c r="AD905" i="1" a="1"/>
  <c r="AD905" i="1" s="1"/>
  <c r="AD904" i="1" a="1"/>
  <c r="AD904" i="1" s="1"/>
  <c r="AD903" i="1" a="1"/>
  <c r="AD903" i="1" s="1"/>
  <c r="AD902" i="1" a="1"/>
  <c r="AD902" i="1" s="1"/>
  <c r="AD901" i="1" a="1"/>
  <c r="AD901" i="1" s="1"/>
  <c r="AD900" i="1" a="1"/>
  <c r="AD900" i="1" s="1"/>
  <c r="AD899" i="1" a="1"/>
  <c r="AD899" i="1" s="1"/>
  <c r="AD898" i="1" a="1"/>
  <c r="AD898" i="1" s="1"/>
  <c r="AD897" i="1" a="1"/>
  <c r="AD897" i="1" s="1"/>
  <c r="AD896" i="1" a="1"/>
  <c r="AD896" i="1" s="1"/>
  <c r="AD895" i="1" a="1"/>
  <c r="AD895" i="1" s="1"/>
  <c r="AD894" i="1" a="1"/>
  <c r="AD894" i="1" s="1"/>
  <c r="AD893" i="1" a="1"/>
  <c r="AD893" i="1" s="1"/>
  <c r="AD892" i="1" a="1"/>
  <c r="AD892" i="1" s="1"/>
  <c r="AD891" i="1" a="1"/>
  <c r="AD891" i="1" s="1"/>
  <c r="AD890" i="1" a="1"/>
  <c r="AD890" i="1" s="1"/>
  <c r="AD889" i="1" a="1"/>
  <c r="AD889" i="1" s="1"/>
  <c r="AD888" i="1" a="1"/>
  <c r="AD888" i="1" s="1"/>
  <c r="AD887" i="1" a="1"/>
  <c r="AD887" i="1" s="1"/>
  <c r="AD886" i="1" a="1"/>
  <c r="AD886" i="1" s="1"/>
  <c r="AD885" i="1" a="1"/>
  <c r="AD885" i="1" s="1"/>
  <c r="AD884" i="1"/>
  <c r="AD884" i="1" a="1"/>
  <c r="AD883" i="1" a="1"/>
  <c r="AD883" i="1" s="1"/>
  <c r="AD882" i="1" a="1"/>
  <c r="AD882" i="1" s="1"/>
  <c r="AD881" i="1" a="1"/>
  <c r="AD881" i="1" s="1"/>
  <c r="AD880" i="1"/>
  <c r="AD880" i="1" a="1"/>
  <c r="AD879" i="1" a="1"/>
  <c r="AD879" i="1" s="1"/>
  <c r="AD878" i="1"/>
  <c r="AD878" i="1" a="1"/>
  <c r="AD877" i="1" a="1"/>
  <c r="AD877" i="1" s="1"/>
  <c r="AD876" i="1" a="1"/>
  <c r="AD876" i="1" s="1"/>
  <c r="AD875" i="1" a="1"/>
  <c r="AD875" i="1" s="1"/>
  <c r="AD874" i="1" a="1"/>
  <c r="AD874" i="1" s="1"/>
  <c r="AD873" i="1" a="1"/>
  <c r="AD873" i="1" s="1"/>
  <c r="AD872" i="1"/>
  <c r="AD872" i="1" a="1"/>
  <c r="AD871" i="1" a="1"/>
  <c r="AD871" i="1" s="1"/>
  <c r="AD870" i="1" a="1"/>
  <c r="AD870" i="1" s="1"/>
  <c r="AD869" i="1" a="1"/>
  <c r="AD869" i="1" s="1"/>
  <c r="AD868" i="1"/>
  <c r="AD868" i="1" a="1"/>
  <c r="AD867" i="1" a="1"/>
  <c r="AD867" i="1" s="1"/>
  <c r="AD866" i="1" a="1"/>
  <c r="AD866" i="1" s="1"/>
  <c r="AD865" i="1" a="1"/>
  <c r="AD865" i="1" s="1"/>
  <c r="AD864" i="1" a="1"/>
  <c r="AD864" i="1" s="1"/>
  <c r="AD863" i="1" a="1"/>
  <c r="AD863" i="1" s="1"/>
  <c r="AD862" i="1"/>
  <c r="AD862" i="1" a="1"/>
  <c r="AD861" i="1" a="1"/>
  <c r="AD861" i="1" s="1"/>
  <c r="AD860" i="1"/>
  <c r="AD860" i="1" a="1"/>
  <c r="AD859" i="1" a="1"/>
  <c r="AD859" i="1" s="1"/>
  <c r="AD858" i="1" a="1"/>
  <c r="AD858" i="1" s="1"/>
  <c r="AD857" i="1" a="1"/>
  <c r="AD857" i="1" s="1"/>
  <c r="AD856" i="1"/>
  <c r="AD856" i="1" a="1"/>
  <c r="AD855" i="1" a="1"/>
  <c r="AD855" i="1" s="1"/>
  <c r="AD854" i="1" a="1"/>
  <c r="AD854" i="1" s="1"/>
  <c r="AD853" i="1" a="1"/>
  <c r="AD853" i="1" s="1"/>
  <c r="AD852" i="1" a="1"/>
  <c r="AD852" i="1" s="1"/>
  <c r="AD851" i="1" a="1"/>
  <c r="AD851" i="1" s="1"/>
  <c r="AD850" i="1" a="1"/>
  <c r="AD850" i="1" s="1"/>
  <c r="AD849" i="1" a="1"/>
  <c r="AD849" i="1" s="1"/>
  <c r="AD848" i="1"/>
  <c r="AD848" i="1" a="1"/>
  <c r="AD847" i="1" a="1"/>
  <c r="AD847" i="1" s="1"/>
  <c r="AD846" i="1" a="1"/>
  <c r="AD846" i="1" s="1"/>
  <c r="AD845" i="1" a="1"/>
  <c r="AD845" i="1" s="1"/>
  <c r="AD844" i="1"/>
  <c r="AD844" i="1" a="1"/>
  <c r="AD843" i="1" a="1"/>
  <c r="AD843" i="1" s="1"/>
  <c r="AD842" i="1" a="1"/>
  <c r="AD842" i="1" s="1"/>
  <c r="AD841" i="1" a="1"/>
  <c r="AD841" i="1" s="1"/>
  <c r="AD840" i="1" a="1"/>
  <c r="AD840" i="1" s="1"/>
  <c r="AD839" i="1"/>
  <c r="AD839" i="1" a="1"/>
  <c r="AD838" i="1" a="1"/>
  <c r="AD838" i="1" s="1"/>
  <c r="AD837" i="1" a="1"/>
  <c r="AD837" i="1" s="1"/>
  <c r="AD836" i="1" a="1"/>
  <c r="AD836" i="1" s="1"/>
  <c r="AD835" i="1" a="1"/>
  <c r="AD835" i="1" s="1"/>
  <c r="AD834" i="1" a="1"/>
  <c r="AD834" i="1" s="1"/>
  <c r="AD833" i="1" a="1"/>
  <c r="AD833" i="1" s="1"/>
  <c r="AD832" i="1"/>
  <c r="AD832" i="1" a="1"/>
  <c r="AD831" i="1" a="1"/>
  <c r="AD831" i="1" s="1"/>
  <c r="AD830" i="1" a="1"/>
  <c r="AD830" i="1" s="1"/>
  <c r="AD829" i="1" a="1"/>
  <c r="AD829" i="1" s="1"/>
  <c r="AD828" i="1" a="1"/>
  <c r="AD828" i="1" s="1"/>
  <c r="AD827" i="1"/>
  <c r="AD827" i="1" a="1"/>
  <c r="AD826" i="1" a="1"/>
  <c r="AD826" i="1" s="1"/>
  <c r="AD825" i="1" a="1"/>
  <c r="AD825" i="1" s="1"/>
  <c r="AD824" i="1"/>
  <c r="AD824" i="1" a="1"/>
  <c r="AD823" i="1" a="1"/>
  <c r="AD823" i="1" s="1"/>
  <c r="AD822" i="1" a="1"/>
  <c r="AD822" i="1" s="1"/>
  <c r="AD821" i="1" a="1"/>
  <c r="AD821" i="1" s="1"/>
  <c r="AD820" i="1"/>
  <c r="AD820" i="1" a="1"/>
  <c r="AD819" i="1" a="1"/>
  <c r="AD819" i="1" s="1"/>
  <c r="AD818" i="1" a="1"/>
  <c r="AD818" i="1" s="1"/>
  <c r="AD817" i="1" a="1"/>
  <c r="AD817" i="1" s="1"/>
  <c r="AD816" i="1" a="1"/>
  <c r="AD816" i="1" s="1"/>
  <c r="AD815" i="1" a="1"/>
  <c r="AD815" i="1" s="1"/>
  <c r="AD814" i="1" a="1"/>
  <c r="AD814" i="1" s="1"/>
  <c r="AD813" i="1" a="1"/>
  <c r="AD813" i="1" s="1"/>
  <c r="AD812" i="1" a="1"/>
  <c r="AD812" i="1" s="1"/>
  <c r="AD811" i="1" a="1"/>
  <c r="AD811" i="1" s="1"/>
  <c r="AD810" i="1" a="1"/>
  <c r="AD810" i="1" s="1"/>
  <c r="AD809" i="1" a="1"/>
  <c r="AD809" i="1" s="1"/>
  <c r="AD808" i="1"/>
  <c r="AD808" i="1" a="1"/>
  <c r="AD807" i="1" a="1"/>
  <c r="AD807" i="1" s="1"/>
  <c r="AD806" i="1" a="1"/>
  <c r="AD806" i="1" s="1"/>
  <c r="AD805" i="1" a="1"/>
  <c r="AD805" i="1" s="1"/>
  <c r="AD804" i="1" a="1"/>
  <c r="AD804" i="1" s="1"/>
  <c r="AD803" i="1"/>
  <c r="AD803" i="1" a="1"/>
  <c r="AD802" i="1" a="1"/>
  <c r="AD802" i="1" s="1"/>
  <c r="AD801" i="1" a="1"/>
  <c r="AD801" i="1" s="1"/>
  <c r="AD800" i="1"/>
  <c r="AD800" i="1" a="1"/>
  <c r="AD799" i="1" a="1"/>
  <c r="AD799" i="1" s="1"/>
  <c r="AD798" i="1" a="1"/>
  <c r="AD798" i="1" s="1"/>
  <c r="AD797" i="1" a="1"/>
  <c r="AD797" i="1" s="1"/>
  <c r="AD796" i="1" a="1"/>
  <c r="AD796" i="1" s="1"/>
  <c r="AD795" i="1" a="1"/>
  <c r="AD795" i="1" s="1"/>
  <c r="AD794" i="1" a="1"/>
  <c r="AD794" i="1" s="1"/>
  <c r="AD793" i="1" a="1"/>
  <c r="AD793" i="1" s="1"/>
  <c r="AD792" i="1" a="1"/>
  <c r="AD792" i="1" s="1"/>
  <c r="AD791" i="1"/>
  <c r="AD791" i="1" a="1"/>
  <c r="AD790" i="1" a="1"/>
  <c r="AD790" i="1" s="1"/>
  <c r="AD789" i="1" a="1"/>
  <c r="AD789" i="1" s="1"/>
  <c r="AD788" i="1" a="1"/>
  <c r="AD788" i="1" s="1"/>
  <c r="AD787" i="1"/>
  <c r="AD787" i="1" a="1"/>
  <c r="AD786" i="1" a="1"/>
  <c r="AD786" i="1" s="1"/>
  <c r="AD785" i="1"/>
  <c r="AD785" i="1" a="1"/>
  <c r="AD784" i="1" a="1"/>
  <c r="AD784" i="1" s="1"/>
  <c r="AD783" i="1" a="1"/>
  <c r="AD783" i="1" s="1"/>
  <c r="AD782" i="1" a="1"/>
  <c r="AD782" i="1" s="1"/>
  <c r="AD781" i="1"/>
  <c r="AD781" i="1" a="1"/>
  <c r="AD780" i="1" a="1"/>
  <c r="AD780" i="1" s="1"/>
  <c r="AD779" i="1" a="1"/>
  <c r="AD779" i="1" s="1"/>
  <c r="AD778" i="1"/>
  <c r="AD778" i="1" a="1"/>
  <c r="AD777" i="1" a="1"/>
  <c r="AD777" i="1" s="1"/>
  <c r="AD776" i="1"/>
  <c r="AD776" i="1" a="1"/>
  <c r="AD775" i="1" a="1"/>
  <c r="AD775" i="1" s="1"/>
  <c r="AD774" i="1" a="1"/>
  <c r="AD774" i="1" s="1"/>
  <c r="AD773" i="1" a="1"/>
  <c r="AD773" i="1" s="1"/>
  <c r="AD772" i="1" a="1"/>
  <c r="AD772" i="1" s="1"/>
  <c r="AD771" i="1" a="1"/>
  <c r="AD771" i="1" s="1"/>
  <c r="AD770" i="1" a="1"/>
  <c r="AD770" i="1" s="1"/>
  <c r="AD769" i="1"/>
  <c r="AD769" i="1" a="1"/>
  <c r="AD768" i="1" a="1"/>
  <c r="AD768" i="1" s="1"/>
  <c r="AD767" i="1" a="1"/>
  <c r="AD767" i="1" s="1"/>
  <c r="AD766" i="1"/>
  <c r="AD766" i="1" a="1"/>
  <c r="AD765" i="1" a="1"/>
  <c r="AD765" i="1" s="1"/>
  <c r="AD764" i="1" a="1"/>
  <c r="AD764" i="1" s="1"/>
  <c r="AD763" i="1" a="1"/>
  <c r="AD763" i="1" s="1"/>
  <c r="AD762" i="1" a="1"/>
  <c r="AD762" i="1" s="1"/>
  <c r="AD761" i="1" a="1"/>
  <c r="AD761" i="1" s="1"/>
  <c r="AD760" i="1"/>
  <c r="AD760" i="1" a="1"/>
  <c r="AD759" i="1" a="1"/>
  <c r="AD759" i="1" s="1"/>
  <c r="AD758" i="1"/>
  <c r="AD758" i="1" a="1"/>
  <c r="AD757" i="1" a="1"/>
  <c r="AD757" i="1" s="1"/>
  <c r="AD756" i="1" a="1"/>
  <c r="AD756" i="1" s="1"/>
  <c r="AD755" i="1" a="1"/>
  <c r="AD755" i="1" s="1"/>
  <c r="AD754" i="1" a="1"/>
  <c r="AD754" i="1" s="1"/>
  <c r="AD753" i="1" a="1"/>
  <c r="AD753" i="1" s="1"/>
  <c r="AD752" i="1" a="1"/>
  <c r="AD752" i="1" s="1"/>
  <c r="AD751" i="1"/>
  <c r="AD751" i="1" a="1"/>
  <c r="AD750" i="1" a="1"/>
  <c r="AD750" i="1" s="1"/>
  <c r="AD749" i="1"/>
  <c r="AD749" i="1" a="1"/>
  <c r="AD748" i="1"/>
  <c r="AD748" i="1" a="1"/>
  <c r="AD747" i="1" a="1"/>
  <c r="AD747" i="1" s="1"/>
  <c r="AD746" i="1" a="1"/>
  <c r="AD746" i="1" s="1"/>
  <c r="AD745" i="1"/>
  <c r="AD745" i="1" a="1"/>
  <c r="AD744" i="1" a="1"/>
  <c r="AD744" i="1" s="1"/>
  <c r="AD743" i="1" a="1"/>
  <c r="AD743" i="1" s="1"/>
  <c r="AD742" i="1" a="1"/>
  <c r="AD742" i="1" s="1"/>
  <c r="AD741" i="1" a="1"/>
  <c r="AD741" i="1" s="1"/>
  <c r="AD740" i="1"/>
  <c r="AD740" i="1" a="1"/>
  <c r="AD739" i="1" a="1"/>
  <c r="AD739" i="1" s="1"/>
  <c r="AD738" i="1" a="1"/>
  <c r="AD738" i="1" s="1"/>
  <c r="AD737" i="1" a="1"/>
  <c r="AD737" i="1" s="1"/>
  <c r="AD736" i="1" a="1"/>
  <c r="AD736" i="1" s="1"/>
  <c r="AD735" i="1" a="1"/>
  <c r="AD735" i="1" s="1"/>
  <c r="AD734" i="1" a="1"/>
  <c r="AD734" i="1" s="1"/>
  <c r="AD733" i="1"/>
  <c r="AD733" i="1" a="1"/>
  <c r="AD732" i="1" a="1"/>
  <c r="AD732" i="1" s="1"/>
  <c r="AD731" i="1"/>
  <c r="AD731" i="1" a="1"/>
  <c r="AD730" i="1" a="1"/>
  <c r="AD730" i="1" s="1"/>
  <c r="AD729" i="1" a="1"/>
  <c r="AD729" i="1" s="1"/>
  <c r="AD728" i="1" a="1"/>
  <c r="AD728" i="1" s="1"/>
  <c r="AD727" i="1"/>
  <c r="AD727" i="1" a="1"/>
  <c r="AD726" i="1" a="1"/>
  <c r="AD726" i="1" s="1"/>
  <c r="AD725" i="1" a="1"/>
  <c r="AD725" i="1" s="1"/>
  <c r="AD724" i="1"/>
  <c r="AD724" i="1" a="1"/>
  <c r="AD723" i="1" a="1"/>
  <c r="AD723" i="1" s="1"/>
  <c r="AD722" i="1"/>
  <c r="AD722" i="1" a="1"/>
  <c r="AD721" i="1" a="1"/>
  <c r="AD721" i="1" s="1"/>
  <c r="AD720" i="1" a="1"/>
  <c r="AD720" i="1" s="1"/>
  <c r="AD719" i="1" a="1"/>
  <c r="AD719" i="1" s="1"/>
  <c r="AD718" i="1" a="1"/>
  <c r="AD718" i="1" s="1"/>
  <c r="AD717" i="1" a="1"/>
  <c r="AD717" i="1" s="1"/>
  <c r="AD716" i="1"/>
  <c r="AD716" i="1" a="1"/>
  <c r="AD715" i="1"/>
  <c r="AD715" i="1" a="1"/>
  <c r="AD714" i="1" a="1"/>
  <c r="AD714" i="1" s="1"/>
  <c r="AD713" i="1" a="1"/>
  <c r="AD713" i="1" s="1"/>
  <c r="AD712" i="1"/>
  <c r="AD712" i="1" a="1"/>
  <c r="AD711" i="1" a="1"/>
  <c r="AD711" i="1" s="1"/>
  <c r="AD710" i="1" a="1"/>
  <c r="AD710" i="1" s="1"/>
  <c r="AD709" i="1" a="1"/>
  <c r="AD709" i="1" s="1"/>
  <c r="AD708" i="1" a="1"/>
  <c r="AD708" i="1" s="1"/>
  <c r="AD707" i="1" a="1"/>
  <c r="AD707" i="1" s="1"/>
  <c r="AD706" i="1"/>
  <c r="AD706" i="1" a="1"/>
  <c r="AD705" i="1" a="1"/>
  <c r="AD705" i="1" s="1"/>
  <c r="AD704" i="1"/>
  <c r="AD704" i="1" a="1"/>
  <c r="AD703" i="1" a="1"/>
  <c r="AD703" i="1" s="1"/>
  <c r="AD702" i="1" a="1"/>
  <c r="AD702" i="1" s="1"/>
  <c r="AD701" i="1" a="1"/>
  <c r="AD701" i="1" s="1"/>
  <c r="AD700" i="1" a="1"/>
  <c r="AD700" i="1" s="1"/>
  <c r="AD699" i="1" a="1"/>
  <c r="AD699" i="1" s="1"/>
  <c r="AD698" i="1" a="1"/>
  <c r="AD698" i="1" s="1"/>
  <c r="AD697" i="1"/>
  <c r="AD697" i="1" a="1"/>
  <c r="AD696" i="1" a="1"/>
  <c r="AD696" i="1" s="1"/>
  <c r="AD695" i="1"/>
  <c r="AD695" i="1" a="1"/>
  <c r="AD694" i="1"/>
  <c r="AD694" i="1" a="1"/>
  <c r="AD693" i="1" a="1"/>
  <c r="AD693" i="1" s="1"/>
  <c r="AD692" i="1" a="1"/>
  <c r="AD692" i="1" s="1"/>
  <c r="AD691" i="1"/>
  <c r="AD691" i="1" a="1"/>
  <c r="AD690" i="1" a="1"/>
  <c r="AD690" i="1" s="1"/>
  <c r="AD689" i="1" a="1"/>
  <c r="AD689" i="1" s="1"/>
  <c r="AD688" i="1" a="1"/>
  <c r="AD688" i="1" s="1"/>
  <c r="AD687" i="1" a="1"/>
  <c r="AD687" i="1" s="1"/>
  <c r="AD686" i="1"/>
  <c r="AD686" i="1" a="1"/>
  <c r="AD685" i="1" a="1"/>
  <c r="AD685" i="1" s="1"/>
  <c r="AD684" i="1" a="1"/>
  <c r="AD684" i="1" s="1"/>
  <c r="AD683" i="1"/>
  <c r="AD683" i="1" a="1"/>
  <c r="AD682" i="1" a="1"/>
  <c r="AD682" i="1" s="1"/>
  <c r="AD681" i="1" a="1"/>
  <c r="AD681" i="1" s="1"/>
  <c r="AD680" i="1" a="1"/>
  <c r="AD680" i="1" s="1"/>
  <c r="AD679" i="1"/>
  <c r="AD679" i="1" a="1"/>
  <c r="AD678" i="1" a="1"/>
  <c r="AD678" i="1" s="1"/>
  <c r="AD677" i="1"/>
  <c r="AD677" i="1" a="1"/>
  <c r="AD676" i="1" a="1"/>
  <c r="AD676" i="1" s="1"/>
  <c r="AD675" i="1" a="1"/>
  <c r="AD675" i="1" s="1"/>
  <c r="AD674" i="1" a="1"/>
  <c r="AD674" i="1" s="1"/>
  <c r="AD673" i="1"/>
  <c r="AD673" i="1" a="1"/>
  <c r="AD672" i="1" a="1"/>
  <c r="AD672" i="1" s="1"/>
  <c r="AD671" i="1" a="1"/>
  <c r="AD671" i="1" s="1"/>
  <c r="AD670" i="1"/>
  <c r="AD670" i="1" a="1"/>
  <c r="AD669" i="1" a="1"/>
  <c r="AD669" i="1" s="1"/>
  <c r="AD668" i="1"/>
  <c r="AD668" i="1" a="1"/>
  <c r="AD667" i="1" a="1"/>
  <c r="AD667" i="1" s="1"/>
  <c r="AD666" i="1" a="1"/>
  <c r="AD666" i="1" s="1"/>
  <c r="AD665" i="1" a="1"/>
  <c r="AD665" i="1" s="1"/>
  <c r="AD664" i="1" a="1"/>
  <c r="AD664" i="1" s="1"/>
  <c r="AD663" i="1" a="1"/>
  <c r="AD663" i="1" s="1"/>
  <c r="AD662" i="1" a="1"/>
  <c r="AD662" i="1" s="1"/>
  <c r="AD661" i="1"/>
  <c r="AD661" i="1" a="1"/>
  <c r="AD660" i="1" a="1"/>
  <c r="AD660" i="1" s="1"/>
  <c r="AD659" i="1" a="1"/>
  <c r="AD659" i="1" s="1"/>
  <c r="AD658" i="1"/>
  <c r="AD658" i="1" a="1"/>
  <c r="AD657" i="1"/>
  <c r="AD657" i="1" a="1"/>
  <c r="AD656" i="1" a="1"/>
  <c r="AD656" i="1" s="1"/>
  <c r="AD655" i="1"/>
  <c r="AD655" i="1" a="1"/>
  <c r="AD654" i="1" a="1"/>
  <c r="AD654" i="1" s="1"/>
  <c r="AD653" i="1"/>
  <c r="AD653" i="1" a="1"/>
  <c r="AD652" i="1"/>
  <c r="AD652" i="1" a="1"/>
  <c r="AD651" i="1" a="1"/>
  <c r="AD651" i="1" s="1"/>
  <c r="AD650" i="1" a="1"/>
  <c r="AD650" i="1" s="1"/>
  <c r="AD649" i="1" a="1"/>
  <c r="AD649" i="1" s="1"/>
  <c r="AD648" i="1" a="1"/>
  <c r="AD648" i="1" s="1"/>
  <c r="AD647" i="1"/>
  <c r="AD647" i="1" a="1"/>
  <c r="AD646" i="1"/>
  <c r="AD646" i="1" a="1"/>
  <c r="AD645" i="1"/>
  <c r="AD645" i="1" a="1"/>
  <c r="AD644" i="1"/>
  <c r="AD644" i="1" a="1"/>
  <c r="AD643" i="1" a="1"/>
  <c r="AD643" i="1" s="1"/>
  <c r="AD642" i="1" a="1"/>
  <c r="AD642" i="1" s="1"/>
  <c r="AD641" i="1" a="1"/>
  <c r="AD641" i="1" s="1"/>
  <c r="AD640" i="1"/>
  <c r="AD640" i="1" a="1"/>
  <c r="AD639" i="1"/>
  <c r="AD639" i="1" a="1"/>
  <c r="AD638" i="1" a="1"/>
  <c r="AD638" i="1" s="1"/>
  <c r="AD637" i="1" a="1"/>
  <c r="AD637" i="1" s="1"/>
  <c r="AD636" i="1" a="1"/>
  <c r="AD636" i="1" s="1"/>
  <c r="AD635" i="1"/>
  <c r="AD635" i="1" a="1"/>
  <c r="AD634" i="1"/>
  <c r="AD634" i="1" a="1"/>
  <c r="AD633" i="1" a="1"/>
  <c r="AD633" i="1" s="1"/>
  <c r="AD632" i="1"/>
  <c r="AD632" i="1" a="1"/>
  <c r="AD631" i="1"/>
  <c r="AD631" i="1" a="1"/>
  <c r="AD630" i="1" a="1"/>
  <c r="AD630" i="1" s="1"/>
  <c r="AD629" i="1" a="1"/>
  <c r="AD629" i="1" s="1"/>
  <c r="AD628" i="1" a="1"/>
  <c r="AD628" i="1" s="1"/>
  <c r="AD627" i="1"/>
  <c r="AD627" i="1" a="1"/>
  <c r="AD626" i="1"/>
  <c r="AD626" i="1" a="1"/>
  <c r="AD625" i="1" a="1"/>
  <c r="AD625" i="1" s="1"/>
  <c r="AD624" i="1" a="1"/>
  <c r="AD624" i="1" s="1"/>
  <c r="AD623" i="1" a="1"/>
  <c r="AD623" i="1" s="1"/>
  <c r="AD622" i="1"/>
  <c r="AD622" i="1" a="1"/>
  <c r="AD621" i="1"/>
  <c r="AD621" i="1" a="1"/>
  <c r="AD620" i="1" a="1"/>
  <c r="AD620" i="1" s="1"/>
  <c r="AD619" i="1"/>
  <c r="AD619" i="1" a="1"/>
  <c r="AD618" i="1" a="1"/>
  <c r="AD618" i="1" s="1"/>
  <c r="AD617" i="1" a="1"/>
  <c r="AD617" i="1" s="1"/>
  <c r="AD616" i="1" a="1"/>
  <c r="AD616" i="1" s="1"/>
  <c r="AD615" i="1" a="1"/>
  <c r="AD615" i="1" s="1"/>
  <c r="AD614" i="1"/>
  <c r="AD614" i="1" a="1"/>
  <c r="AD613" i="1"/>
  <c r="AD613" i="1" a="1"/>
  <c r="AD612" i="1" a="1"/>
  <c r="AD612" i="1" s="1"/>
  <c r="AD611" i="1"/>
  <c r="AD611" i="1" a="1"/>
  <c r="AD610" i="1" a="1"/>
  <c r="AD610" i="1" s="1"/>
  <c r="AD609" i="1"/>
  <c r="AD609" i="1" a="1"/>
  <c r="AD608" i="1"/>
  <c r="AD608" i="1" a="1"/>
  <c r="AD607" i="1" a="1"/>
  <c r="AD607" i="1" s="1"/>
  <c r="AD606" i="1" a="1"/>
  <c r="AD606" i="1" s="1"/>
  <c r="AD605" i="1" a="1"/>
  <c r="AD605" i="1" s="1"/>
  <c r="AD604" i="1" a="1"/>
  <c r="AD604" i="1" s="1"/>
  <c r="AD603" i="1" a="1"/>
  <c r="AD603" i="1" s="1"/>
  <c r="AD602" i="1" a="1"/>
  <c r="AD602" i="1" s="1"/>
  <c r="AD601" i="1" a="1"/>
  <c r="AD601" i="1" s="1"/>
  <c r="AD600" i="1" a="1"/>
  <c r="AD600" i="1" s="1"/>
  <c r="AD599" i="1"/>
  <c r="AD599" i="1" a="1"/>
  <c r="AD598" i="1"/>
  <c r="AD598" i="1" a="1"/>
  <c r="AD597" i="1" a="1"/>
  <c r="AD597" i="1" s="1"/>
  <c r="AD596" i="1"/>
  <c r="AD596" i="1" a="1"/>
  <c r="AD595" i="1"/>
  <c r="AD595" i="1" a="1"/>
  <c r="AD594" i="1" a="1"/>
  <c r="AD594" i="1" s="1"/>
  <c r="AD593" i="1"/>
  <c r="AD593" i="1" a="1"/>
  <c r="AD592" i="1" a="1"/>
  <c r="AD592" i="1" s="1"/>
  <c r="AD591" i="1" a="1"/>
  <c r="AD591" i="1" s="1"/>
  <c r="AD590" i="1" a="1"/>
  <c r="AD590" i="1" s="1"/>
  <c r="AD589" i="1" a="1"/>
  <c r="AD589" i="1" s="1"/>
  <c r="AD588" i="1" a="1"/>
  <c r="AD588" i="1" s="1"/>
  <c r="AD587" i="1" a="1"/>
  <c r="AD587" i="1" s="1"/>
  <c r="AD586" i="1"/>
  <c r="AD586" i="1" a="1"/>
  <c r="AD585" i="1"/>
  <c r="AD585" i="1" a="1"/>
  <c r="AD584" i="1" a="1"/>
  <c r="AD584" i="1" s="1"/>
  <c r="AD583" i="1"/>
  <c r="AD583" i="1" a="1"/>
  <c r="AD582" i="1" a="1"/>
  <c r="AD582" i="1" s="1"/>
  <c r="AD581" i="1" a="1"/>
  <c r="AD581" i="1" s="1"/>
  <c r="AD580" i="1"/>
  <c r="AD580" i="1" a="1"/>
  <c r="AD579" i="1" a="1"/>
  <c r="AD579" i="1" s="1"/>
  <c r="AD578" i="1" a="1"/>
  <c r="AD578" i="1" s="1"/>
  <c r="AD577" i="1" a="1"/>
  <c r="AD577" i="1" s="1"/>
  <c r="AD576" i="1" a="1"/>
  <c r="AD576" i="1" s="1"/>
  <c r="AD575" i="1"/>
  <c r="AD575" i="1" a="1"/>
  <c r="AD574" i="1" a="1"/>
  <c r="AD574" i="1" s="1"/>
  <c r="AD573" i="1"/>
  <c r="AD573" i="1" a="1"/>
  <c r="AD572" i="1"/>
  <c r="AD572" i="1" a="1"/>
  <c r="AD571" i="1" a="1"/>
  <c r="AD571" i="1" s="1"/>
  <c r="AD570" i="1" a="1"/>
  <c r="AD570" i="1" s="1"/>
  <c r="AD569" i="1" a="1"/>
  <c r="AD569" i="1" s="1"/>
  <c r="AD568" i="1" a="1"/>
  <c r="AD568" i="1" s="1"/>
  <c r="AD567" i="1"/>
  <c r="AD567" i="1" a="1"/>
  <c r="AD566" i="1" a="1"/>
  <c r="AD566" i="1" s="1"/>
  <c r="AD565" i="1" a="1"/>
  <c r="AD565" i="1" s="1"/>
  <c r="AD564" i="1" a="1"/>
  <c r="AD564" i="1" s="1"/>
  <c r="AD563" i="1"/>
  <c r="AD563" i="1" a="1"/>
  <c r="AD562" i="1"/>
  <c r="AD562" i="1" a="1"/>
  <c r="AD561" i="1" a="1"/>
  <c r="AD561" i="1" s="1"/>
  <c r="AD560" i="1"/>
  <c r="AD560" i="1" a="1"/>
  <c r="AD559" i="1"/>
  <c r="AD559" i="1" a="1"/>
  <c r="AD558" i="1" a="1"/>
  <c r="AD558" i="1" s="1"/>
  <c r="AD557" i="1"/>
  <c r="AD557" i="1" a="1"/>
  <c r="AD556" i="1" a="1"/>
  <c r="AD556" i="1" s="1"/>
  <c r="AD555" i="1" a="1"/>
  <c r="AD555" i="1" s="1"/>
  <c r="AD554" i="1"/>
  <c r="AD554" i="1" a="1"/>
  <c r="AD553" i="1" a="1"/>
  <c r="AD553" i="1" s="1"/>
  <c r="AD552" i="1" a="1"/>
  <c r="AD552" i="1" s="1"/>
  <c r="AD551" i="1" a="1"/>
  <c r="AD551" i="1" s="1"/>
  <c r="AD550" i="1"/>
  <c r="AD550" i="1" a="1"/>
  <c r="AD549" i="1"/>
  <c r="AD549" i="1" a="1"/>
  <c r="AD548" i="1" a="1"/>
  <c r="AD548" i="1" s="1"/>
  <c r="AD547" i="1"/>
  <c r="AD547" i="1" a="1"/>
  <c r="AD546" i="1" a="1"/>
  <c r="AD546" i="1" s="1"/>
  <c r="AD545" i="1" a="1"/>
  <c r="AD545" i="1" s="1"/>
  <c r="AD544" i="1"/>
  <c r="AD544" i="1" a="1"/>
  <c r="AD543" i="1" a="1"/>
  <c r="AD543" i="1" s="1"/>
  <c r="AD542" i="1" a="1"/>
  <c r="AD542" i="1" s="1"/>
  <c r="AD541" i="1"/>
  <c r="AD541" i="1" a="1"/>
  <c r="AD540" i="1" a="1"/>
  <c r="AD540" i="1" s="1"/>
  <c r="AD539" i="1"/>
  <c r="AD539" i="1" a="1"/>
  <c r="AD538" i="1" a="1"/>
  <c r="AD538" i="1" s="1"/>
  <c r="AD537" i="1"/>
  <c r="AD537" i="1" a="1"/>
  <c r="AD536" i="1"/>
  <c r="AD536" i="1" a="1"/>
  <c r="AD535" i="1" a="1"/>
  <c r="AD535" i="1" s="1"/>
  <c r="AD534" i="1" a="1"/>
  <c r="AD534" i="1" s="1"/>
  <c r="AD533" i="1" a="1"/>
  <c r="AD533" i="1" s="1"/>
  <c r="AD532" i="1" a="1"/>
  <c r="AD532" i="1" s="1"/>
  <c r="AD531" i="1" a="1"/>
  <c r="AD531" i="1" s="1"/>
  <c r="AD530" i="1" a="1"/>
  <c r="AD530" i="1" s="1"/>
  <c r="AD529" i="1" a="1"/>
  <c r="AD529" i="1" s="1"/>
  <c r="AD528" i="1" a="1"/>
  <c r="AD528" i="1" s="1"/>
  <c r="AD527" i="1"/>
  <c r="AD527" i="1" a="1"/>
  <c r="AD526" i="1"/>
  <c r="AD526" i="1" a="1"/>
  <c r="AD525" i="1" a="1"/>
  <c r="AD525" i="1" s="1"/>
  <c r="AD524" i="1"/>
  <c r="AD524" i="1" a="1"/>
  <c r="AD523" i="1"/>
  <c r="AD523" i="1" a="1"/>
  <c r="AD522" i="1" a="1"/>
  <c r="AD522" i="1" s="1"/>
  <c r="AD521" i="1" a="1"/>
  <c r="AD521" i="1" s="1"/>
  <c r="AD520" i="1" a="1"/>
  <c r="AD520" i="1" s="1"/>
  <c r="AD519" i="1" a="1"/>
  <c r="AD519" i="1" s="1"/>
  <c r="AD518" i="1" a="1"/>
  <c r="AD518" i="1" s="1"/>
  <c r="AD517" i="1" a="1"/>
  <c r="AD517" i="1" s="1"/>
  <c r="AD516" i="1" a="1"/>
  <c r="AD516" i="1" s="1"/>
  <c r="AD515" i="1" a="1"/>
  <c r="AD515" i="1" s="1"/>
  <c r="AD514" i="1"/>
  <c r="AD514" i="1" a="1"/>
  <c r="AD513" i="1"/>
  <c r="AD513" i="1" a="1"/>
  <c r="AD512" i="1" a="1"/>
  <c r="AD512" i="1" s="1"/>
  <c r="AD511" i="1"/>
  <c r="AD511" i="1" a="1"/>
  <c r="AD510" i="1" a="1"/>
  <c r="AD510" i="1" s="1"/>
  <c r="AD509" i="1"/>
  <c r="AD509" i="1" a="1"/>
  <c r="AD508" i="1" a="1"/>
  <c r="AD508" i="1" s="1"/>
  <c r="AD507" i="1" a="1"/>
  <c r="AD507" i="1" s="1"/>
  <c r="AD506" i="1" a="1"/>
  <c r="AD506" i="1" s="1"/>
  <c r="AD505" i="1" a="1"/>
  <c r="AD505" i="1" s="1"/>
  <c r="AD504" i="1" a="1"/>
  <c r="AD504" i="1" s="1"/>
  <c r="AD503" i="1"/>
  <c r="AD503" i="1" a="1"/>
  <c r="AD502" i="1" a="1"/>
  <c r="AD502" i="1" s="1"/>
  <c r="AD501" i="1"/>
  <c r="AD501" i="1" a="1"/>
  <c r="AD500" i="1"/>
  <c r="AD500" i="1" a="1"/>
  <c r="AD499" i="1" a="1"/>
  <c r="AD499" i="1" s="1"/>
  <c r="AD498" i="1" a="1"/>
  <c r="AD498" i="1" s="1"/>
  <c r="AD497" i="1" a="1"/>
  <c r="AD497" i="1" s="1"/>
  <c r="AD496" i="1" a="1"/>
  <c r="AD496" i="1" s="1"/>
  <c r="AD495" i="1" a="1"/>
  <c r="AD495" i="1" s="1"/>
  <c r="AD494" i="1" a="1"/>
  <c r="AD494" i="1" s="1"/>
  <c r="AD493" i="1" a="1"/>
  <c r="AD493" i="1" s="1"/>
  <c r="AD492" i="1" a="1"/>
  <c r="AD492" i="1" s="1"/>
  <c r="AD491" i="1"/>
  <c r="AD491" i="1" a="1"/>
  <c r="AD490" i="1"/>
  <c r="AD490" i="1" a="1"/>
  <c r="AD489" i="1" a="1"/>
  <c r="AD489" i="1" s="1"/>
  <c r="AD488" i="1"/>
  <c r="AD488" i="1" a="1"/>
  <c r="AD487" i="1"/>
  <c r="AD487" i="1" a="1"/>
  <c r="AD486" i="1" a="1"/>
  <c r="AD486" i="1" s="1"/>
  <c r="AD485" i="1" a="1"/>
  <c r="AD485" i="1" s="1"/>
  <c r="AD484" i="1" a="1"/>
  <c r="AD484" i="1" s="1"/>
  <c r="AD483" i="1" a="1"/>
  <c r="AD483" i="1" s="1"/>
  <c r="AD482" i="1" a="1"/>
  <c r="AD482" i="1" s="1"/>
  <c r="AD481" i="1" a="1"/>
  <c r="AD481" i="1" s="1"/>
  <c r="AD480" i="1" a="1"/>
  <c r="AD480" i="1" s="1"/>
  <c r="AD479" i="1" a="1"/>
  <c r="AD479" i="1" s="1"/>
  <c r="AD478" i="1"/>
  <c r="AD478" i="1" a="1"/>
  <c r="AD477" i="1"/>
  <c r="AD477" i="1" a="1"/>
  <c r="AD476" i="1" a="1"/>
  <c r="AD476" i="1" s="1"/>
  <c r="AD475" i="1"/>
  <c r="AD475" i="1" a="1"/>
  <c r="AD474" i="1" a="1"/>
  <c r="AD474" i="1" s="1"/>
  <c r="AD473" i="1" a="1"/>
  <c r="AD473" i="1" s="1"/>
  <c r="AD472" i="1" a="1"/>
  <c r="AD472" i="1" s="1"/>
  <c r="AD471" i="1" a="1"/>
  <c r="AD471" i="1" s="1"/>
  <c r="AD470" i="1" a="1"/>
  <c r="AD470" i="1" s="1"/>
  <c r="AD469" i="1" a="1"/>
  <c r="AD469" i="1" s="1"/>
  <c r="AD468" i="1" a="1"/>
  <c r="AD468" i="1" s="1"/>
  <c r="AD467" i="1"/>
  <c r="AD467" i="1" a="1"/>
  <c r="AD466" i="1" a="1"/>
  <c r="AD466" i="1" s="1"/>
  <c r="AD465" i="1"/>
  <c r="AD465" i="1" a="1"/>
  <c r="AD464" i="1"/>
  <c r="AD464" i="1" a="1"/>
  <c r="AD463" i="1" a="1"/>
  <c r="AD463" i="1" s="1"/>
  <c r="AD462" i="1" a="1"/>
  <c r="AD462" i="1" s="1"/>
  <c r="AD461" i="1" a="1"/>
  <c r="AD461" i="1" s="1"/>
  <c r="AD460" i="1" a="1"/>
  <c r="AD460" i="1" s="1"/>
  <c r="AD459" i="1" a="1"/>
  <c r="AD459" i="1" s="1"/>
  <c r="AD458" i="1" a="1"/>
  <c r="AD458" i="1" s="1"/>
  <c r="AD457" i="1"/>
  <c r="AD457" i="1" a="1"/>
  <c r="AD456" i="1" a="1"/>
  <c r="AD456" i="1" s="1"/>
  <c r="AD455" i="1"/>
  <c r="AD455" i="1" a="1"/>
  <c r="AD454" i="1"/>
  <c r="AD454" i="1" a="1"/>
  <c r="AD453" i="1" a="1"/>
  <c r="AD453" i="1" s="1"/>
  <c r="AD452" i="1"/>
  <c r="AD452" i="1" a="1"/>
  <c r="AD451" i="1"/>
  <c r="AD451" i="1" a="1"/>
  <c r="AD450" i="1" a="1"/>
  <c r="AD450" i="1" s="1"/>
  <c r="AD449" i="1" a="1"/>
  <c r="AD449" i="1" s="1"/>
  <c r="AD448" i="1" a="1"/>
  <c r="AD448" i="1" s="1"/>
  <c r="AD447" i="1" a="1"/>
  <c r="AD447" i="1" s="1"/>
  <c r="AD446" i="1" a="1"/>
  <c r="AD446" i="1" s="1"/>
  <c r="AD445" i="1" a="1"/>
  <c r="AD445" i="1" s="1"/>
  <c r="AD444" i="1" a="1"/>
  <c r="AD444" i="1" s="1"/>
  <c r="AD443" i="1" a="1"/>
  <c r="AD443" i="1" s="1"/>
  <c r="AD442" i="1"/>
  <c r="AD442" i="1" a="1"/>
  <c r="AD441" i="1"/>
  <c r="AD441" i="1" a="1"/>
  <c r="AD440" i="1" a="1"/>
  <c r="AD440" i="1" s="1"/>
  <c r="AD439" i="1"/>
  <c r="AD439" i="1" a="1"/>
  <c r="AD438" i="1" a="1"/>
  <c r="AD438" i="1" s="1"/>
  <c r="AD437" i="1"/>
  <c r="AD437" i="1" a="1"/>
  <c r="AD436" i="1" a="1"/>
  <c r="AD436" i="1" s="1"/>
  <c r="AD435" i="1" a="1"/>
  <c r="AD435" i="1" s="1"/>
  <c r="AD434" i="1" a="1"/>
  <c r="AD434" i="1" s="1"/>
  <c r="AD433" i="1" a="1"/>
  <c r="AD433" i="1" s="1"/>
  <c r="AD432" i="1" a="1"/>
  <c r="AD432" i="1" s="1"/>
  <c r="AD431" i="1"/>
  <c r="AD431" i="1" a="1"/>
  <c r="AD430" i="1" a="1"/>
  <c r="AD430" i="1" s="1"/>
  <c r="AD429" i="1"/>
  <c r="AD429" i="1" a="1"/>
  <c r="AD428" i="1"/>
  <c r="AD428" i="1" a="1"/>
  <c r="AD427" i="1" a="1"/>
  <c r="AD427" i="1" s="1"/>
  <c r="AD426" i="1" a="1"/>
  <c r="AD426" i="1" s="1"/>
  <c r="AD425" i="1" a="1"/>
  <c r="AD425" i="1" s="1"/>
  <c r="AD424" i="1"/>
  <c r="AD424" i="1" a="1"/>
  <c r="AD423" i="1" a="1"/>
  <c r="AD423" i="1" s="1"/>
  <c r="AD422" i="1" a="1"/>
  <c r="AD422" i="1" s="1"/>
  <c r="AD421" i="1" a="1"/>
  <c r="AD421" i="1" s="1"/>
  <c r="AD420" i="1" a="1"/>
  <c r="AD420" i="1" s="1"/>
  <c r="AD419" i="1"/>
  <c r="AD419" i="1" a="1"/>
  <c r="AD418" i="1"/>
  <c r="AD418" i="1" a="1"/>
  <c r="AD417" i="1" a="1"/>
  <c r="AD417" i="1" s="1"/>
  <c r="AD416" i="1"/>
  <c r="AD416" i="1" a="1"/>
  <c r="AD415" i="1"/>
  <c r="AD415" i="1" a="1"/>
  <c r="AD414" i="1" a="1"/>
  <c r="AD414" i="1" s="1"/>
  <c r="AD413" i="1" a="1"/>
  <c r="AD413" i="1" s="1"/>
  <c r="AD412" i="1" a="1"/>
  <c r="AD412" i="1" s="1"/>
  <c r="AD411" i="1"/>
  <c r="AD411" i="1" a="1"/>
  <c r="AD410" i="1" a="1"/>
  <c r="AD410" i="1" s="1"/>
  <c r="AD409" i="1" a="1"/>
  <c r="AD409" i="1" s="1"/>
  <c r="AD408" i="1" a="1"/>
  <c r="AD408" i="1" s="1"/>
  <c r="AD407" i="1" a="1"/>
  <c r="AD407" i="1" s="1"/>
  <c r="AD406" i="1"/>
  <c r="AD406" i="1" a="1"/>
  <c r="AD405" i="1"/>
  <c r="AD405" i="1" a="1"/>
  <c r="AD404" i="1" a="1"/>
  <c r="AD404" i="1" s="1"/>
  <c r="AD403" i="1"/>
  <c r="AD403" i="1" a="1"/>
  <c r="AD402" i="1" a="1"/>
  <c r="AD402" i="1" s="1"/>
  <c r="AD401" i="1" a="1"/>
  <c r="AD401" i="1" s="1"/>
  <c r="AD400" i="1" a="1"/>
  <c r="AD400" i="1" s="1"/>
  <c r="AD399" i="1" a="1"/>
  <c r="AD399" i="1" s="1"/>
  <c r="AD398" i="1"/>
  <c r="AD398" i="1" a="1"/>
  <c r="AD397" i="1" a="1"/>
  <c r="AD397" i="1" s="1"/>
  <c r="AD396" i="1" a="1"/>
  <c r="AD396" i="1" s="1"/>
  <c r="AD395" i="1"/>
  <c r="AD395" i="1" a="1"/>
  <c r="AD394" i="1" a="1"/>
  <c r="AD394" i="1" s="1"/>
  <c r="AD393" i="1"/>
  <c r="AD393" i="1" a="1"/>
  <c r="AD392" i="1"/>
  <c r="AD392" i="1" a="1"/>
  <c r="AD391" i="1" a="1"/>
  <c r="AD391" i="1" s="1"/>
  <c r="AD390" i="1" a="1"/>
  <c r="AD390" i="1" s="1"/>
  <c r="AD389" i="1" a="1"/>
  <c r="AD389" i="1" s="1"/>
  <c r="AD388" i="1" a="1"/>
  <c r="AD388" i="1" s="1"/>
  <c r="AD387" i="1" a="1"/>
  <c r="AD387" i="1" s="1"/>
  <c r="AD386" i="1" a="1"/>
  <c r="AD386" i="1" s="1"/>
  <c r="AD385" i="1"/>
  <c r="AD385" i="1" a="1"/>
  <c r="AD384" i="1" a="1"/>
  <c r="AD384" i="1" s="1"/>
  <c r="AD383" i="1"/>
  <c r="AD383" i="1" a="1"/>
  <c r="AD382" i="1"/>
  <c r="AD382" i="1" a="1"/>
  <c r="AD381" i="1" a="1"/>
  <c r="AD381" i="1" s="1"/>
  <c r="AD380" i="1"/>
  <c r="AD380" i="1" a="1"/>
  <c r="AD379" i="1"/>
  <c r="AD379" i="1" a="1"/>
  <c r="AD378" i="1" a="1"/>
  <c r="AD378" i="1" s="1"/>
  <c r="AD377" i="1" a="1"/>
  <c r="AD377" i="1" s="1"/>
  <c r="AD376" i="1" a="1"/>
  <c r="AD376" i="1" s="1"/>
  <c r="AD375" i="1" a="1"/>
  <c r="AD375" i="1" s="1"/>
  <c r="AD374" i="1" a="1"/>
  <c r="AD374" i="1" s="1"/>
  <c r="AD373" i="1" a="1"/>
  <c r="AD373" i="1" s="1"/>
  <c r="AD372" i="1" a="1"/>
  <c r="AD372" i="1" s="1"/>
  <c r="AD371" i="1" a="1"/>
  <c r="AD371" i="1" s="1"/>
  <c r="AD370" i="1"/>
  <c r="AD370" i="1" a="1"/>
  <c r="AD369" i="1"/>
  <c r="AD369" i="1" a="1"/>
  <c r="AD368" i="1" a="1"/>
  <c r="AD368" i="1" s="1"/>
  <c r="AD367" i="1"/>
  <c r="AD367" i="1" a="1"/>
  <c r="AD366" i="1" a="1"/>
  <c r="AD366" i="1" s="1"/>
  <c r="AD365" i="1" a="1"/>
  <c r="AD365" i="1" s="1"/>
  <c r="AD364" i="1" a="1"/>
  <c r="AD364" i="1" s="1"/>
  <c r="AD363" i="1" a="1"/>
  <c r="AD363" i="1" s="1"/>
  <c r="AD362" i="1" a="1"/>
  <c r="AD362" i="1" s="1"/>
  <c r="AD361" i="1" a="1"/>
  <c r="AD361" i="1" s="1"/>
  <c r="AD360" i="1" a="1"/>
  <c r="AD360" i="1" s="1"/>
  <c r="AD359" i="1"/>
  <c r="AD359" i="1" a="1"/>
  <c r="AD358" i="1" a="1"/>
  <c r="AD358" i="1" s="1"/>
  <c r="AD357" i="1"/>
  <c r="AD357" i="1" a="1"/>
  <c r="AD356" i="1"/>
  <c r="AD356" i="1" a="1"/>
  <c r="AD355" i="1" a="1"/>
  <c r="AD355" i="1" s="1"/>
  <c r="AD354" i="1" a="1"/>
  <c r="AD354" i="1" s="1"/>
  <c r="AD353" i="1" a="1"/>
  <c r="AD353" i="1" s="1"/>
  <c r="AD352" i="1" a="1"/>
  <c r="AD352" i="1" s="1"/>
  <c r="AD351" i="1" a="1"/>
  <c r="AD351" i="1" s="1"/>
  <c r="AD350" i="1" a="1"/>
  <c r="AD350" i="1" s="1"/>
  <c r="AD349" i="1" a="1"/>
  <c r="AD349" i="1" s="1"/>
  <c r="AD348" i="1" a="1"/>
  <c r="AD348" i="1" s="1"/>
  <c r="AD347" i="1"/>
  <c r="AD347" i="1" a="1"/>
  <c r="AD346" i="1"/>
  <c r="AD346" i="1" a="1"/>
  <c r="AD345" i="1" a="1"/>
  <c r="AD345" i="1" s="1"/>
  <c r="AD344" i="1"/>
  <c r="AD344" i="1" a="1"/>
  <c r="AD343" i="1"/>
  <c r="AD343" i="1" a="1"/>
  <c r="AD342" i="1" a="1"/>
  <c r="AD342" i="1" s="1"/>
  <c r="AD341" i="1" a="1"/>
  <c r="AD341" i="1" s="1"/>
  <c r="AD340" i="1" a="1"/>
  <c r="AD340" i="1" s="1"/>
  <c r="AD339" i="1" a="1"/>
  <c r="AD339" i="1" s="1"/>
  <c r="AD338" i="1" a="1"/>
  <c r="AD338" i="1" s="1"/>
  <c r="AD337" i="1" a="1"/>
  <c r="AD337" i="1" s="1"/>
  <c r="AD336" i="1" a="1"/>
  <c r="AD336" i="1" s="1"/>
  <c r="AD335" i="1" a="1"/>
  <c r="AD335" i="1" s="1"/>
  <c r="AD334" i="1"/>
  <c r="AD334" i="1" a="1"/>
  <c r="AD333" i="1"/>
  <c r="AD333" i="1" a="1"/>
  <c r="AD332" i="1" a="1"/>
  <c r="AD332" i="1" s="1"/>
  <c r="AD331" i="1"/>
  <c r="AD331" i="1" a="1"/>
  <c r="AD330" i="1" a="1"/>
  <c r="AD330" i="1" s="1"/>
  <c r="AD329" i="1" a="1"/>
  <c r="AD329" i="1" s="1"/>
  <c r="AD328" i="1" a="1"/>
  <c r="AD328" i="1" s="1"/>
  <c r="AD327" i="1" a="1"/>
  <c r="AD327" i="1" s="1"/>
  <c r="AD326" i="1" a="1"/>
  <c r="AD326" i="1" s="1"/>
  <c r="AD325" i="1" a="1"/>
  <c r="AD325" i="1" s="1"/>
  <c r="AD324" i="1" a="1"/>
  <c r="AD324" i="1" s="1"/>
  <c r="AD323" i="1"/>
  <c r="AD323" i="1" a="1"/>
  <c r="AD322" i="1" a="1"/>
  <c r="AD322" i="1" s="1"/>
  <c r="AD321" i="1"/>
  <c r="AD321" i="1" a="1"/>
  <c r="AD320" i="1"/>
  <c r="AD320" i="1" a="1"/>
  <c r="AD319" i="1" a="1"/>
  <c r="AD319" i="1" s="1"/>
  <c r="AD318" i="1" a="1"/>
  <c r="AD318" i="1" s="1"/>
  <c r="AD317" i="1" a="1"/>
  <c r="AD317" i="1" s="1"/>
  <c r="AD316" i="1" a="1"/>
  <c r="AD316" i="1" s="1"/>
  <c r="AD315" i="1" a="1"/>
  <c r="AD315" i="1" s="1"/>
  <c r="AD314" i="1" a="1"/>
  <c r="AD314" i="1" s="1"/>
  <c r="AD313" i="1" a="1"/>
  <c r="AD313" i="1" s="1"/>
  <c r="AD312" i="1" a="1"/>
  <c r="AD312" i="1" s="1"/>
  <c r="AD311" i="1"/>
  <c r="AD311" i="1" a="1"/>
  <c r="AD310" i="1"/>
  <c r="AD310" i="1" a="1"/>
  <c r="AD309" i="1" a="1"/>
  <c r="AD309" i="1" s="1"/>
  <c r="AD308" i="1"/>
  <c r="AD308" i="1" a="1"/>
  <c r="AD307" i="1"/>
  <c r="AD307" i="1" a="1"/>
  <c r="AD306" i="1" a="1"/>
  <c r="AD306" i="1" s="1"/>
  <c r="AD305" i="1" a="1"/>
  <c r="AD305" i="1" s="1"/>
  <c r="AD304" i="1" a="1"/>
  <c r="AD304" i="1" s="1"/>
  <c r="AD303" i="1" a="1"/>
  <c r="AD303" i="1" s="1"/>
  <c r="AD302" i="1" a="1"/>
  <c r="AD302" i="1" s="1"/>
  <c r="AD301" i="1" a="1"/>
  <c r="AD301" i="1" s="1"/>
  <c r="AD300" i="1" a="1"/>
  <c r="AD300" i="1" s="1"/>
  <c r="AD299" i="1" a="1"/>
  <c r="AD299" i="1" s="1"/>
  <c r="AD298" i="1"/>
  <c r="AD298" i="1" a="1"/>
  <c r="AD297" i="1"/>
  <c r="AD297" i="1" a="1"/>
  <c r="AD296" i="1" a="1"/>
  <c r="AD296" i="1" s="1"/>
  <c r="AD295" i="1"/>
  <c r="AD295" i="1" a="1"/>
  <c r="AD294" i="1" a="1"/>
  <c r="AD294" i="1" s="1"/>
  <c r="AD293" i="1" a="1"/>
  <c r="AD293" i="1" s="1"/>
  <c r="AD292" i="1" a="1"/>
  <c r="AD292" i="1" s="1"/>
  <c r="AD291" i="1" a="1"/>
  <c r="AD291" i="1" s="1"/>
  <c r="AD290" i="1" a="1"/>
  <c r="AD290" i="1" s="1"/>
  <c r="AD289" i="1" a="1"/>
  <c r="AD289" i="1" s="1"/>
  <c r="AD288" i="1" a="1"/>
  <c r="AD288" i="1" s="1"/>
  <c r="AD287" i="1"/>
  <c r="AD287" i="1" a="1"/>
  <c r="AD286" i="1" a="1"/>
  <c r="AD286" i="1" s="1"/>
  <c r="AD285" i="1"/>
  <c r="AD285" i="1" a="1"/>
  <c r="AD284" i="1"/>
  <c r="AD284" i="1" a="1"/>
  <c r="AD283" i="1" a="1"/>
  <c r="AD283" i="1" s="1"/>
  <c r="AD282" i="1" a="1"/>
  <c r="AD282" i="1" s="1"/>
  <c r="AD281" i="1" a="1"/>
  <c r="AD281" i="1" s="1"/>
  <c r="AD280" i="1" a="1"/>
  <c r="AD280" i="1" s="1"/>
  <c r="AD279" i="1" a="1"/>
  <c r="AD279" i="1" s="1"/>
  <c r="AD278" i="1" a="1"/>
  <c r="AD278" i="1" s="1"/>
  <c r="AD277" i="1" a="1"/>
  <c r="AD277" i="1" s="1"/>
  <c r="AD276" i="1" a="1"/>
  <c r="AD276" i="1" s="1"/>
  <c r="AD275" i="1"/>
  <c r="AD275" i="1" a="1"/>
  <c r="AD274" i="1"/>
  <c r="AD274" i="1" a="1"/>
  <c r="AD273" i="1" a="1"/>
  <c r="AD273" i="1" s="1"/>
  <c r="AD272" i="1"/>
  <c r="AD272" i="1" a="1"/>
  <c r="AD271" i="1"/>
  <c r="AD271" i="1" a="1"/>
  <c r="AD270" i="1" a="1"/>
  <c r="AD270" i="1" s="1"/>
  <c r="AD269" i="1" a="1"/>
  <c r="AD269" i="1" s="1"/>
  <c r="AD268" i="1" a="1"/>
  <c r="AD268" i="1" s="1"/>
  <c r="AD267" i="1" a="1"/>
  <c r="AD267" i="1" s="1"/>
  <c r="AD266" i="1" a="1"/>
  <c r="AD266" i="1" s="1"/>
  <c r="AD265" i="1" a="1"/>
  <c r="AD265" i="1" s="1"/>
  <c r="AD264" i="1" a="1"/>
  <c r="AD264" i="1" s="1"/>
  <c r="AD263" i="1" a="1"/>
  <c r="AD263" i="1" s="1"/>
  <c r="AD262" i="1"/>
  <c r="AD262" i="1" a="1"/>
  <c r="AD261" i="1"/>
  <c r="AD261" i="1" a="1"/>
  <c r="AD260" i="1" a="1"/>
  <c r="AD260" i="1" s="1"/>
  <c r="AD259" i="1"/>
  <c r="AD259" i="1" a="1"/>
  <c r="AD258" i="1" a="1"/>
  <c r="AD258" i="1" s="1"/>
  <c r="AD257" i="1" a="1"/>
  <c r="AD257" i="1" s="1"/>
  <c r="AD256" i="1" a="1"/>
  <c r="AD256" i="1" s="1"/>
  <c r="AD255" i="1" a="1"/>
  <c r="AD255" i="1" s="1"/>
  <c r="AD254" i="1" a="1"/>
  <c r="AD254" i="1" s="1"/>
  <c r="AD253" i="1" a="1"/>
  <c r="AD253" i="1" s="1"/>
  <c r="AD252" i="1" a="1"/>
  <c r="AD252" i="1" s="1"/>
  <c r="AD251" i="1"/>
  <c r="AD251" i="1" a="1"/>
  <c r="AD250" i="1" a="1"/>
  <c r="AD250" i="1" s="1"/>
  <c r="AD249" i="1"/>
  <c r="AD249" i="1" a="1"/>
  <c r="AD248" i="1"/>
  <c r="AD248" i="1" a="1"/>
  <c r="AD247" i="1" a="1"/>
  <c r="AD247" i="1" s="1"/>
  <c r="AD246" i="1" a="1"/>
  <c r="AD246" i="1" s="1"/>
  <c r="AD245" i="1" a="1"/>
  <c r="AD245" i="1" s="1"/>
  <c r="AD244" i="1" a="1"/>
  <c r="AD244" i="1" s="1"/>
  <c r="AD243" i="1" a="1"/>
  <c r="AD243" i="1" s="1"/>
  <c r="AD242" i="1" a="1"/>
  <c r="AD242" i="1" s="1"/>
  <c r="AD241" i="1" a="1"/>
  <c r="AD241" i="1" s="1"/>
  <c r="AD240" i="1" a="1"/>
  <c r="AD240" i="1" s="1"/>
  <c r="AD239" i="1"/>
  <c r="AD239" i="1" a="1"/>
  <c r="AD238" i="1"/>
  <c r="AD238" i="1" a="1"/>
  <c r="AD237" i="1" a="1"/>
  <c r="AD237" i="1" s="1"/>
  <c r="AD236" i="1"/>
  <c r="AD236" i="1" a="1"/>
  <c r="AD235" i="1"/>
  <c r="AD235" i="1" a="1"/>
  <c r="AD234" i="1" a="1"/>
  <c r="AD234" i="1" s="1"/>
  <c r="AD233" i="1"/>
  <c r="AD233" i="1" a="1"/>
  <c r="AD232" i="1"/>
  <c r="AD232" i="1" a="1"/>
  <c r="AD231" i="1" a="1"/>
  <c r="AD231" i="1" s="1"/>
  <c r="AD230" i="1"/>
  <c r="AD230" i="1" a="1"/>
  <c r="AD229" i="1"/>
  <c r="AD229" i="1" a="1"/>
  <c r="AD228" i="1" a="1"/>
  <c r="AD228" i="1" s="1"/>
  <c r="AD227" i="1"/>
  <c r="AD227" i="1" a="1"/>
  <c r="AD226" i="1"/>
  <c r="AD226" i="1" a="1"/>
  <c r="AD225" i="1" a="1"/>
  <c r="AD225" i="1" s="1"/>
  <c r="AD224" i="1"/>
  <c r="AD224" i="1" a="1"/>
  <c r="AD223" i="1"/>
  <c r="AD223" i="1" a="1"/>
  <c r="AD222" i="1" a="1"/>
  <c r="AD222" i="1" s="1"/>
  <c r="AD221" i="1"/>
  <c r="AD221" i="1" a="1"/>
  <c r="AD220" i="1"/>
  <c r="AD220" i="1" a="1"/>
  <c r="AD219" i="1" a="1"/>
  <c r="AD219" i="1" s="1"/>
  <c r="AD218" i="1"/>
  <c r="AD218" i="1" a="1"/>
  <c r="AD217" i="1"/>
  <c r="AD217" i="1" a="1"/>
  <c r="AD216" i="1" a="1"/>
  <c r="AD216" i="1" s="1"/>
  <c r="AD215" i="1"/>
  <c r="AD215" i="1" a="1"/>
  <c r="AD214" i="1"/>
  <c r="AD214" i="1" a="1"/>
  <c r="AD213" i="1" a="1"/>
  <c r="AD213" i="1" s="1"/>
  <c r="AD212" i="1"/>
  <c r="AD212" i="1" a="1"/>
  <c r="AD211" i="1"/>
  <c r="AD211" i="1" a="1"/>
  <c r="AD210" i="1" a="1"/>
  <c r="AD210" i="1" s="1"/>
  <c r="AD209" i="1"/>
  <c r="AD209" i="1" a="1"/>
  <c r="AD208" i="1"/>
  <c r="AD208" i="1" a="1"/>
  <c r="AD207" i="1" a="1"/>
  <c r="AD207" i="1" s="1"/>
  <c r="AD206" i="1"/>
  <c r="AD206" i="1" a="1"/>
  <c r="AD205" i="1"/>
  <c r="AD205" i="1" a="1"/>
  <c r="AD204" i="1" a="1"/>
  <c r="AD204" i="1" s="1"/>
  <c r="AD203" i="1"/>
  <c r="AD203" i="1" a="1"/>
  <c r="AD202" i="1"/>
  <c r="AD202" i="1" a="1"/>
  <c r="AD201" i="1" a="1"/>
  <c r="AD201" i="1" s="1"/>
  <c r="AD200" i="1"/>
  <c r="AD200" i="1" a="1"/>
  <c r="AD199" i="1"/>
  <c r="AD199" i="1" a="1"/>
  <c r="AD198" i="1" a="1"/>
  <c r="AD198" i="1" s="1"/>
  <c r="AD197" i="1"/>
  <c r="AD197" i="1" a="1"/>
  <c r="AD196" i="1"/>
  <c r="AD196" i="1" a="1"/>
  <c r="AD195" i="1" a="1"/>
  <c r="AD195" i="1" s="1"/>
  <c r="AD194" i="1"/>
  <c r="AD194" i="1" a="1"/>
  <c r="AD193" i="1"/>
  <c r="AD193" i="1" a="1"/>
  <c r="AD192" i="1" a="1"/>
  <c r="AD192" i="1" s="1"/>
  <c r="AD191" i="1"/>
  <c r="AD191" i="1" a="1"/>
  <c r="AD190" i="1"/>
  <c r="AD190" i="1" a="1"/>
  <c r="AD189" i="1" a="1"/>
  <c r="AD189" i="1" s="1"/>
  <c r="AD188" i="1"/>
  <c r="AD188" i="1" a="1"/>
  <c r="AD187" i="1"/>
  <c r="AD187" i="1" a="1"/>
  <c r="AD186" i="1" a="1"/>
  <c r="AD186" i="1" s="1"/>
  <c r="AD185" i="1"/>
  <c r="AD185" i="1" a="1"/>
  <c r="AD184" i="1"/>
  <c r="AD184" i="1" a="1"/>
  <c r="AD183" i="1" a="1"/>
  <c r="AD183" i="1" s="1"/>
  <c r="AD182" i="1"/>
  <c r="AD182" i="1" a="1"/>
  <c r="AD181" i="1"/>
  <c r="AD181" i="1" a="1"/>
  <c r="AD180" i="1" a="1"/>
  <c r="AD180" i="1" s="1"/>
  <c r="AD179" i="1"/>
  <c r="AD179" i="1" a="1"/>
  <c r="AD178" i="1"/>
  <c r="AD178" i="1" a="1"/>
  <c r="AD177" i="1" a="1"/>
  <c r="AD177" i="1" s="1"/>
  <c r="AD176" i="1"/>
  <c r="AD176" i="1" a="1"/>
  <c r="AD175" i="1"/>
  <c r="AD175" i="1" a="1"/>
  <c r="AD174" i="1" a="1"/>
  <c r="AD174" i="1" s="1"/>
  <c r="AD173" i="1"/>
  <c r="AD173" i="1" a="1"/>
  <c r="AD172" i="1"/>
  <c r="AD172" i="1" a="1"/>
  <c r="AD171" i="1" a="1"/>
  <c r="AD171" i="1" s="1"/>
  <c r="AD170" i="1"/>
  <c r="AD170" i="1" a="1"/>
  <c r="AD169" i="1"/>
  <c r="AD169" i="1" a="1"/>
  <c r="AD168" i="1" a="1"/>
  <c r="AD168" i="1" s="1"/>
  <c r="AD167" i="1"/>
  <c r="AD167" i="1" a="1"/>
  <c r="AD166" i="1"/>
  <c r="AD166" i="1" a="1"/>
  <c r="AD165" i="1" a="1"/>
  <c r="AD165" i="1" s="1"/>
  <c r="AD164" i="1"/>
  <c r="AD164" i="1" a="1"/>
  <c r="AD163" i="1"/>
  <c r="AD163" i="1" a="1"/>
  <c r="AD162" i="1" a="1"/>
  <c r="AD162" i="1" s="1"/>
  <c r="AD161" i="1"/>
  <c r="AD161" i="1" a="1"/>
  <c r="AD160" i="1"/>
  <c r="AD160" i="1" a="1"/>
  <c r="AD159" i="1" a="1"/>
  <c r="AD159" i="1" s="1"/>
  <c r="AD158" i="1"/>
  <c r="AD158" i="1" a="1"/>
  <c r="AD157" i="1"/>
  <c r="AD157" i="1" a="1"/>
  <c r="AD156" i="1" a="1"/>
  <c r="AD156" i="1" s="1"/>
  <c r="AD155" i="1"/>
  <c r="AD155" i="1" a="1"/>
  <c r="AD154" i="1"/>
  <c r="AD154" i="1" a="1"/>
  <c r="AD153" i="1" a="1"/>
  <c r="AD153" i="1" s="1"/>
  <c r="AD152" i="1" a="1"/>
  <c r="AD152" i="1" s="1"/>
  <c r="AD151" i="1"/>
  <c r="AD151" i="1" a="1"/>
  <c r="AD150" i="1" a="1"/>
  <c r="AD150" i="1" s="1"/>
  <c r="AD149" i="1"/>
  <c r="AD149" i="1" a="1"/>
  <c r="AD148" i="1"/>
  <c r="AD148" i="1" a="1"/>
  <c r="AD147" i="1" a="1"/>
  <c r="AD147" i="1" s="1"/>
  <c r="AD146" i="1" a="1"/>
  <c r="AD146" i="1" s="1"/>
  <c r="AD145" i="1"/>
  <c r="AD145" i="1" a="1"/>
  <c r="AD144" i="1" a="1"/>
  <c r="AD144" i="1" s="1"/>
  <c r="AD143" i="1"/>
  <c r="AD143" i="1" a="1"/>
  <c r="AD142" i="1"/>
  <c r="AD142" i="1" a="1"/>
  <c r="AD141" i="1" a="1"/>
  <c r="AD141" i="1" s="1"/>
  <c r="AD140" i="1" a="1"/>
  <c r="AD140" i="1" s="1"/>
  <c r="AD139" i="1"/>
  <c r="AD139" i="1" a="1"/>
  <c r="AD138" i="1" a="1"/>
  <c r="AD138" i="1" s="1"/>
  <c r="AD137" i="1"/>
  <c r="AD137" i="1" a="1"/>
  <c r="AD136" i="1"/>
  <c r="AD136" i="1" a="1"/>
  <c r="AD135" i="1" a="1"/>
  <c r="AD135" i="1" s="1"/>
  <c r="AD134" i="1" a="1"/>
  <c r="AD134" i="1" s="1"/>
  <c r="AD133" i="1"/>
  <c r="AD133" i="1" a="1"/>
  <c r="AD132" i="1" a="1"/>
  <c r="AD132" i="1" s="1"/>
  <c r="AD131" i="1"/>
  <c r="AD131" i="1" a="1"/>
  <c r="AD130" i="1"/>
  <c r="AD130" i="1" a="1"/>
  <c r="AD129" i="1" a="1"/>
  <c r="AD129" i="1" s="1"/>
  <c r="AD128" i="1" a="1"/>
  <c r="AD128" i="1" s="1"/>
  <c r="AD127" i="1"/>
  <c r="AD127" i="1" a="1"/>
  <c r="AD126" i="1" a="1"/>
  <c r="AD126" i="1" s="1"/>
  <c r="AD125" i="1"/>
  <c r="AD125" i="1" a="1"/>
  <c r="AD124" i="1"/>
  <c r="AD124" i="1" a="1"/>
  <c r="AD123" i="1" a="1"/>
  <c r="AD123" i="1" s="1"/>
  <c r="AD122" i="1" a="1"/>
  <c r="AD122" i="1" s="1"/>
  <c r="AD121" i="1"/>
  <c r="AD121" i="1" a="1"/>
  <c r="AD120" i="1" a="1"/>
  <c r="AD120" i="1" s="1"/>
  <c r="AD119" i="1"/>
  <c r="AD119" i="1" a="1"/>
  <c r="AD118" i="1"/>
  <c r="AD118" i="1" a="1"/>
  <c r="AD117" i="1" a="1"/>
  <c r="AD117" i="1" s="1"/>
  <c r="AD116" i="1" a="1"/>
  <c r="AD116" i="1" s="1"/>
  <c r="AD115" i="1"/>
  <c r="AD115" i="1" a="1"/>
  <c r="AD114" i="1" a="1"/>
  <c r="AD114" i="1" s="1"/>
  <c r="AD113" i="1"/>
  <c r="AD113" i="1" a="1"/>
  <c r="AD112" i="1"/>
  <c r="AD112" i="1" a="1"/>
  <c r="AD111" i="1" a="1"/>
  <c r="AD111" i="1" s="1"/>
  <c r="AD110" i="1" a="1"/>
  <c r="AD110" i="1" s="1"/>
  <c r="AD109" i="1"/>
  <c r="AD109" i="1" a="1"/>
  <c r="AD108" i="1" a="1"/>
  <c r="AD108" i="1" s="1"/>
  <c r="AD107" i="1"/>
  <c r="AD107" i="1" a="1"/>
  <c r="AD106" i="1"/>
  <c r="AD106" i="1" a="1"/>
  <c r="AD105" i="1" a="1"/>
  <c r="AD105" i="1" s="1"/>
  <c r="AD104" i="1" a="1"/>
  <c r="AD104" i="1" s="1"/>
  <c r="AD103" i="1"/>
  <c r="AD103" i="1" a="1"/>
  <c r="AD102" i="1" a="1"/>
  <c r="AD102" i="1" s="1"/>
  <c r="AD101" i="1" a="1"/>
  <c r="AD101" i="1" s="1"/>
  <c r="AD100" i="1"/>
  <c r="AD100" i="1" a="1"/>
  <c r="AD99" i="1" a="1"/>
  <c r="AD99" i="1" s="1"/>
  <c r="AD98" i="1" a="1"/>
  <c r="AD98" i="1" s="1"/>
  <c r="AD97" i="1"/>
  <c r="AD97" i="1" a="1"/>
  <c r="AD96" i="1" a="1"/>
  <c r="AD96" i="1" s="1"/>
  <c r="AD95" i="1" a="1"/>
  <c r="AD95" i="1" s="1"/>
  <c r="AD94" i="1"/>
  <c r="AD94" i="1" a="1"/>
  <c r="AD93" i="1" a="1"/>
  <c r="AD93" i="1" s="1"/>
  <c r="AD92" i="1" a="1"/>
  <c r="AD92" i="1" s="1"/>
  <c r="AD91" i="1"/>
  <c r="AD91" i="1" a="1"/>
  <c r="AD90" i="1" a="1"/>
  <c r="AD90" i="1" s="1"/>
  <c r="AD89" i="1" a="1"/>
  <c r="AD89" i="1" s="1"/>
  <c r="AD88" i="1"/>
  <c r="AD88" i="1" a="1"/>
  <c r="AD87" i="1" a="1"/>
  <c r="AD87" i="1" s="1"/>
  <c r="AD86" i="1" a="1"/>
  <c r="AD86" i="1" s="1"/>
  <c r="AD85" i="1"/>
  <c r="AD85" i="1" a="1"/>
  <c r="AD84" i="1" a="1"/>
  <c r="AD84" i="1" s="1"/>
  <c r="AD83" i="1" a="1"/>
  <c r="AD83" i="1" s="1"/>
  <c r="AD82" i="1"/>
  <c r="AD82" i="1" a="1"/>
  <c r="AD81" i="1" a="1"/>
  <c r="AD81" i="1" s="1"/>
  <c r="AD80" i="1" a="1"/>
  <c r="AD80" i="1" s="1"/>
  <c r="AD79" i="1"/>
  <c r="AD79" i="1" a="1"/>
  <c r="AD78" i="1" a="1"/>
  <c r="AD78" i="1" s="1"/>
  <c r="AD77" i="1" a="1"/>
  <c r="AD77" i="1" s="1"/>
  <c r="AD76" i="1"/>
  <c r="AD76" i="1" a="1"/>
  <c r="AD75" i="1" a="1"/>
  <c r="AD75" i="1" s="1"/>
  <c r="AD74" i="1" a="1"/>
  <c r="AD74" i="1" s="1"/>
  <c r="AD73" i="1"/>
  <c r="AD73" i="1" a="1"/>
  <c r="AD72" i="1" a="1"/>
  <c r="AD72" i="1" s="1"/>
  <c r="AD71" i="1" a="1"/>
  <c r="AD71" i="1" s="1"/>
  <c r="AD70" i="1"/>
  <c r="AD70" i="1" a="1"/>
  <c r="AD69" i="1" a="1"/>
  <c r="AD69" i="1" s="1"/>
  <c r="AD68" i="1" a="1"/>
  <c r="AD68" i="1" s="1"/>
  <c r="AD67" i="1"/>
  <c r="AD67" i="1" a="1"/>
  <c r="AD66" i="1" a="1"/>
  <c r="AD66" i="1" s="1"/>
  <c r="AD65" i="1" a="1"/>
  <c r="AD65" i="1" s="1"/>
  <c r="AD64" i="1"/>
  <c r="AD64" i="1" a="1"/>
  <c r="AD63" i="1" a="1"/>
  <c r="AD63" i="1" s="1"/>
  <c r="AD62" i="1" a="1"/>
  <c r="AD62" i="1" s="1"/>
  <c r="AD61" i="1"/>
  <c r="AD61" i="1" a="1"/>
  <c r="AD60" i="1" a="1"/>
  <c r="AD60" i="1" s="1"/>
  <c r="AD59" i="1" a="1"/>
  <c r="AD59" i="1" s="1"/>
  <c r="AD58" i="1"/>
  <c r="AD58" i="1" a="1"/>
  <c r="AD57" i="1" a="1"/>
  <c r="AD57" i="1" s="1"/>
  <c r="AD56" i="1" a="1"/>
  <c r="AD56" i="1" s="1"/>
  <c r="AD55" i="1"/>
  <c r="AD55" i="1" a="1"/>
  <c r="AD54" i="1" a="1"/>
  <c r="AD54" i="1" s="1"/>
  <c r="AD53" i="1" a="1"/>
  <c r="AD53" i="1" s="1"/>
  <c r="AD52" i="1"/>
  <c r="AD52" i="1" a="1"/>
  <c r="AD51" i="1" a="1"/>
  <c r="AD51" i="1" s="1"/>
  <c r="AD50" i="1" a="1"/>
  <c r="AD50" i="1" s="1"/>
  <c r="AD49" i="1"/>
  <c r="AD49" i="1" a="1"/>
  <c r="AD48" i="1" a="1"/>
  <c r="AD48" i="1" s="1"/>
  <c r="AD47" i="1" a="1"/>
  <c r="AD47" i="1" s="1"/>
  <c r="AD46" i="1"/>
  <c r="AD46" i="1" a="1"/>
  <c r="AD45" i="1" a="1"/>
  <c r="AD45" i="1" s="1"/>
  <c r="AD44" i="1" a="1"/>
  <c r="AD44" i="1" s="1"/>
  <c r="AD43" i="1"/>
  <c r="AD43" i="1" a="1"/>
  <c r="AD42" i="1" a="1"/>
  <c r="AD42" i="1" s="1"/>
  <c r="AD41" i="1" a="1"/>
  <c r="AD41" i="1" s="1"/>
  <c r="AD40" i="1"/>
  <c r="AD40" i="1" a="1"/>
  <c r="AD39" i="1" a="1"/>
  <c r="AD39" i="1" s="1"/>
  <c r="AD38" i="1" a="1"/>
  <c r="AD38" i="1" s="1"/>
  <c r="AD37" i="1"/>
  <c r="AD37" i="1" a="1"/>
  <c r="AD36" i="1" a="1"/>
  <c r="AD36" i="1" s="1"/>
  <c r="AD35" i="1" a="1"/>
  <c r="AD35" i="1" s="1"/>
  <c r="AD34" i="1" a="1"/>
  <c r="AD34" i="1" s="1"/>
  <c r="AD33" i="1" a="1"/>
  <c r="AD33" i="1" s="1"/>
  <c r="AD32" i="1" a="1"/>
  <c r="AD32" i="1" s="1"/>
  <c r="AD31" i="1"/>
  <c r="AD31" i="1" a="1"/>
  <c r="AD30" i="1" a="1"/>
  <c r="AD30" i="1" s="1"/>
  <c r="AD29" i="1" a="1"/>
  <c r="AD29" i="1" s="1"/>
  <c r="AD28" i="1" a="1"/>
  <c r="AD28" i="1" s="1"/>
  <c r="AD27" i="1" a="1"/>
  <c r="AD27" i="1" s="1"/>
  <c r="AD26" i="1" a="1"/>
  <c r="AD26" i="1" s="1"/>
  <c r="AD25" i="1"/>
  <c r="AD25" i="1" a="1"/>
  <c r="AD24" i="1" a="1"/>
  <c r="AD24" i="1" s="1"/>
  <c r="AD23" i="1" a="1"/>
  <c r="AD23" i="1" s="1"/>
  <c r="AD22" i="1" a="1"/>
  <c r="AD22" i="1" s="1"/>
  <c r="AD21" i="1" a="1"/>
  <c r="AD21" i="1" s="1"/>
  <c r="AD20" i="1" a="1"/>
  <c r="AD20" i="1" s="1"/>
  <c r="AD19" i="1"/>
  <c r="AD19" i="1" a="1"/>
  <c r="AD18" i="1" a="1"/>
  <c r="AD18" i="1" s="1"/>
  <c r="AD17" i="1" a="1"/>
  <c r="AD17" i="1" s="1"/>
  <c r="AD16" i="1" a="1"/>
  <c r="AD16" i="1" s="1"/>
  <c r="AD15" i="1" a="1"/>
  <c r="AD15" i="1" s="1"/>
  <c r="AD14" i="1" a="1"/>
  <c r="AD14" i="1" s="1"/>
  <c r="AD13" i="1"/>
  <c r="AD13" i="1" a="1"/>
  <c r="AD12" i="1" a="1"/>
  <c r="AD12" i="1" s="1"/>
  <c r="AD11" i="1" a="1"/>
  <c r="AD11" i="1" s="1"/>
  <c r="AD10" i="1" a="1"/>
  <c r="AD10" i="1" s="1"/>
  <c r="AD9" i="1" a="1"/>
  <c r="AD9" i="1" s="1"/>
  <c r="AD8" i="1" a="1"/>
  <c r="AD8" i="1" s="1"/>
  <c r="AD7" i="1"/>
  <c r="AD7" i="1" a="1"/>
  <c r="AD6" i="1" a="1"/>
  <c r="AD6" i="1" s="1"/>
  <c r="AD5" i="1" a="1"/>
  <c r="AD5" i="1" s="1"/>
  <c r="AD4" i="1" a="1"/>
  <c r="AD4" i="1" s="1"/>
  <c r="AD3" i="1" a="1"/>
  <c r="AD3" i="1" s="1"/>
  <c r="AD2" i="1" a="1"/>
  <c r="AD2" i="1" s="1"/>
  <c r="AM112" i="1"/>
  <c r="AM111" i="1"/>
  <c r="AM110" i="1"/>
  <c r="AM109" i="1"/>
  <c r="AM108" i="1"/>
  <c r="AM107" i="1"/>
  <c r="AM106" i="1"/>
  <c r="AM105" i="1"/>
  <c r="AM104" i="1"/>
  <c r="AM103" i="1"/>
  <c r="AM102" i="1"/>
  <c r="AM101" i="1"/>
  <c r="AM100" i="1"/>
  <c r="AM99" i="1"/>
  <c r="AM98" i="1"/>
  <c r="AM97" i="1"/>
  <c r="AM96" i="1"/>
  <c r="AM95" i="1"/>
  <c r="AM94" i="1"/>
  <c r="AM93" i="1"/>
  <c r="AM92" i="1"/>
  <c r="AM91" i="1"/>
  <c r="AM90" i="1"/>
  <c r="AM89" i="1"/>
  <c r="AM88" i="1"/>
  <c r="AM87" i="1"/>
  <c r="AM86" i="1"/>
  <c r="AM85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AM55" i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<sst xmlns="http://schemas.openxmlformats.org/spreadsheetml/2006/main" count="18973" uniqueCount="2418">
  <si>
    <t>Days To Complete</t>
  </si>
  <si>
    <t>Target Ticker</t>
  </si>
  <si>
    <t>Acquirer Ticker</t>
  </si>
  <si>
    <t>Announce Date</t>
  </si>
  <si>
    <t>Announced Total Value (mil.)</t>
  </si>
  <si>
    <t>Payment Type</t>
  </si>
  <si>
    <t>TV/EBITDA</t>
  </si>
  <si>
    <t>Target Industry Sector</t>
  </si>
  <si>
    <t>Target Industry Group</t>
  </si>
  <si>
    <t>Target Industry Subgroup</t>
  </si>
  <si>
    <t>Acquirer Termination Fee</t>
  </si>
  <si>
    <t>Target Termination Fee</t>
  </si>
  <si>
    <t>Announced Premium</t>
  </si>
  <si>
    <t>Announced Equity Value (mil.)</t>
  </si>
  <si>
    <t>Target Country/Region</t>
  </si>
  <si>
    <t>Acquirer Country/Region</t>
  </si>
  <si>
    <t>Nature of Bid</t>
  </si>
  <si>
    <t>Target Sales/Revenue/Turnover</t>
  </si>
  <si>
    <t>Target Trailg 12 Mth Operating Margin</t>
  </si>
  <si>
    <t>Deal Attributes</t>
  </si>
  <si>
    <t>Additional Stake Purchase</t>
  </si>
  <si>
    <t>Competing Bid</t>
  </si>
  <si>
    <t>Cross Border</t>
  </si>
  <si>
    <t>Going Private</t>
  </si>
  <si>
    <t>PE Buyout</t>
  </si>
  <si>
    <t>Tender Offer</t>
  </si>
  <si>
    <t>Log TV</t>
  </si>
  <si>
    <t>Log Revenue</t>
  </si>
  <si>
    <t>Log Equity Value</t>
  </si>
  <si>
    <t>CWAN US</t>
  </si>
  <si>
    <t>Cash</t>
  </si>
  <si>
    <t>Technology</t>
  </si>
  <si>
    <t>Software &amp; Tech Services</t>
  </si>
  <si>
    <t>Software</t>
  </si>
  <si>
    <t>United States</t>
  </si>
  <si>
    <t>Friendly</t>
  </si>
  <si>
    <t>Company Takeover, Private Equity, PE Buyout, Going Private, Cross Border</t>
  </si>
  <si>
    <t>No</t>
  </si>
  <si>
    <t>Yes</t>
  </si>
  <si>
    <t>CNTA US</t>
  </si>
  <si>
    <t>LLY US</t>
  </si>
  <si>
    <t>Health Care</t>
  </si>
  <si>
    <t>Biotech &amp; Pharma</t>
  </si>
  <si>
    <t>Company Takeover</t>
  </si>
  <si>
    <t>RUP CN</t>
  </si>
  <si>
    <t>AEM CN</t>
  </si>
  <si>
    <t>Stock</t>
  </si>
  <si>
    <t>Materials</t>
  </si>
  <si>
    <t>Metals &amp; Mining</t>
  </si>
  <si>
    <t>Canada</t>
  </si>
  <si>
    <t>KW US</t>
  </si>
  <si>
    <t>Real Estate</t>
  </si>
  <si>
    <t>Real Estate Owners &amp; Developers</t>
  </si>
  <si>
    <t>Company Takeover, Cross Border, Additional Stake Purchase, Management Buyout</t>
  </si>
  <si>
    <t>KALV US</t>
  </si>
  <si>
    <t>97612Z IM</t>
  </si>
  <si>
    <t>Italy</t>
  </si>
  <si>
    <t>Cross Border, Tender Offer, Company Takeover</t>
  </si>
  <si>
    <t>MASI US</t>
  </si>
  <si>
    <t>DHR US</t>
  </si>
  <si>
    <t>Medical Equipment &amp; Devices</t>
  </si>
  <si>
    <t>RPR-U CN</t>
  </si>
  <si>
    <t>CKI CN</t>
  </si>
  <si>
    <t>FFIC US</t>
  </si>
  <si>
    <t>OCFC US</t>
  </si>
  <si>
    <t>Financials</t>
  </si>
  <si>
    <t>Banking</t>
  </si>
  <si>
    <t>THR US</t>
  </si>
  <si>
    <t>CECO US</t>
  </si>
  <si>
    <t>Cash or Stock</t>
  </si>
  <si>
    <t>Industrials</t>
  </si>
  <si>
    <t>Industrial Products</t>
  </si>
  <si>
    <t>Machinery</t>
  </si>
  <si>
    <t>AMWD US</t>
  </si>
  <si>
    <t>MBC US</t>
  </si>
  <si>
    <t>Consumer Discretionary</t>
  </si>
  <si>
    <t>Consumer Discretionary Products</t>
  </si>
  <si>
    <t>Home Construction</t>
  </si>
  <si>
    <t>VRE US</t>
  </si>
  <si>
    <t>REIT</t>
  </si>
  <si>
    <t>Going Private, Private Equity, PE Buyout, Company Takeover</t>
  </si>
  <si>
    <t>MCW US</t>
  </si>
  <si>
    <t>24469Z US</t>
  </si>
  <si>
    <t>Retail &amp; Whsle - Discretionary</t>
  </si>
  <si>
    <t>Retail - Discretionary</t>
  </si>
  <si>
    <t>Going Private, Company Takeover, PE Buyout, Private Equity, Additional Stake Purchase</t>
  </si>
  <si>
    <t>SLNO US</t>
  </si>
  <si>
    <t>NBIX US</t>
  </si>
  <si>
    <t>Company Takeover, Tender Offer</t>
  </si>
  <si>
    <t>APLS US</t>
  </si>
  <si>
    <t>BIIB US</t>
  </si>
  <si>
    <t>Company Takeover, Tender Offer, Squeeze out</t>
  </si>
  <si>
    <t>CSGS US</t>
  </si>
  <si>
    <t>6701 JP</t>
  </si>
  <si>
    <t>Industrial Services</t>
  </si>
  <si>
    <t>Commercial Support Services</t>
  </si>
  <si>
    <t>Japan</t>
  </si>
  <si>
    <t>Company Takeover, Cross Border</t>
  </si>
  <si>
    <t>EHAB US</t>
  </si>
  <si>
    <t>884187Z US</t>
  </si>
  <si>
    <t>Health Care Facilities &amp; Svcs</t>
  </si>
  <si>
    <t>Private Equity, Company Takeover, PE Buyout, Going Private</t>
  </si>
  <si>
    <t>TPH US</t>
  </si>
  <si>
    <t>1911 JP</t>
  </si>
  <si>
    <t>Cross Border, Company Takeover</t>
  </si>
  <si>
    <t>SNCY US</t>
  </si>
  <si>
    <t>ALGT US</t>
  </si>
  <si>
    <t>Cash and Stock</t>
  </si>
  <si>
    <t>Transportation &amp; Logistics</t>
  </si>
  <si>
    <t>UDMY US</t>
  </si>
  <si>
    <t>COUR US</t>
  </si>
  <si>
    <t>Consumer Discretionary Services</t>
  </si>
  <si>
    <t>Consumer Services</t>
  </si>
  <si>
    <t>Company Takeover, Going Private</t>
  </si>
  <si>
    <t>CTLP US</t>
  </si>
  <si>
    <t>0943566D US</t>
  </si>
  <si>
    <t>CTRA US</t>
  </si>
  <si>
    <t>DVN US</t>
  </si>
  <si>
    <t>Energy</t>
  </si>
  <si>
    <t>Oil &amp; Gas</t>
  </si>
  <si>
    <t>Oil &amp; Gas Supply Chain</t>
  </si>
  <si>
    <t>TERN US</t>
  </si>
  <si>
    <t>MRK US</t>
  </si>
  <si>
    <t>PKST US</t>
  </si>
  <si>
    <t>BAM CN</t>
  </si>
  <si>
    <t>SOY CN</t>
  </si>
  <si>
    <t>0809797D US</t>
  </si>
  <si>
    <t>Consumer Staples</t>
  </si>
  <si>
    <t>Consumer Staple Products</t>
  </si>
  <si>
    <t>Food</t>
  </si>
  <si>
    <t>Going Private, Company Takeover, Cross Border</t>
  </si>
  <si>
    <t>GDEN US</t>
  </si>
  <si>
    <t>VICI US</t>
  </si>
  <si>
    <t>Leisure Facilities &amp; Services</t>
  </si>
  <si>
    <t>ACLX US</t>
  </si>
  <si>
    <t>GILD US</t>
  </si>
  <si>
    <t>Additional Stake Purchase, Company Takeover, Tender Offer, Squeeze out</t>
  </si>
  <si>
    <t>ECN CN</t>
  </si>
  <si>
    <t>Financial Services</t>
  </si>
  <si>
    <t>Specialty Finance</t>
  </si>
  <si>
    <t>Company Takeover, Cross Border, Private Equity, Going Private</t>
  </si>
  <si>
    <t>FOLD US</t>
  </si>
  <si>
    <t>BMRN US</t>
  </si>
  <si>
    <t>SEMR US</t>
  </si>
  <si>
    <t>ADBE US</t>
  </si>
  <si>
    <t>DAWN US</t>
  </si>
  <si>
    <t>2296308D FP</t>
  </si>
  <si>
    <t>France</t>
  </si>
  <si>
    <t>HTBK US</t>
  </si>
  <si>
    <t>CVBF US</t>
  </si>
  <si>
    <t>RBX CN</t>
  </si>
  <si>
    <t>PDI AU</t>
  </si>
  <si>
    <t>Australia</t>
  </si>
  <si>
    <t>Cross Border, Company Takeover, Reverse Merger</t>
  </si>
  <si>
    <t>FOM CN</t>
  </si>
  <si>
    <t>ELD CN</t>
  </si>
  <si>
    <t>Turkey</t>
  </si>
  <si>
    <t>SEE US</t>
  </si>
  <si>
    <t>5056Z US</t>
  </si>
  <si>
    <t>Containers &amp; Packaging</t>
  </si>
  <si>
    <t>PE Buyout, Private Equity, Company Takeover, Going Private</t>
  </si>
  <si>
    <t>HOLX US</t>
  </si>
  <si>
    <t>Private Equity, Company Takeover, PE Buyout</t>
  </si>
  <si>
    <t>AL US</t>
  </si>
  <si>
    <t>Company Takeover, Private Equity, Cross Border, PE Buyout</t>
  </si>
  <si>
    <t>OS US</t>
  </si>
  <si>
    <t>United Kingdom</t>
  </si>
  <si>
    <t>Company Takeover, Cross Border, Private Equity, PE Buyout, Going Private</t>
  </si>
  <si>
    <t>GLDD US</t>
  </si>
  <si>
    <t>685748Z US</t>
  </si>
  <si>
    <t>Engineering &amp; Construction</t>
  </si>
  <si>
    <t>Tender Offer, Going Private, Company Takeover</t>
  </si>
  <si>
    <t>FFWM US</t>
  </si>
  <si>
    <t>FSUN US</t>
  </si>
  <si>
    <t>GCG/A CN</t>
  </si>
  <si>
    <t>1407Z CN</t>
  </si>
  <si>
    <t>Asset Management</t>
  </si>
  <si>
    <t>EXAS US</t>
  </si>
  <si>
    <t>ABT US</t>
  </si>
  <si>
    <t>NGD CN</t>
  </si>
  <si>
    <t>CDE US</t>
  </si>
  <si>
    <t>Company Takeover, Cross Border, Reverse Merger</t>
  </si>
  <si>
    <t>TGNA US</t>
  </si>
  <si>
    <t>NXST US</t>
  </si>
  <si>
    <t>Communications</t>
  </si>
  <si>
    <t>Media</t>
  </si>
  <si>
    <t>Entertainment Content</t>
  </si>
  <si>
    <t>CFLT US</t>
  </si>
  <si>
    <t>IBM US</t>
  </si>
  <si>
    <t>Company Takeover, PE Buyout, Private Equity</t>
  </si>
  <si>
    <t>CHTH US</t>
  </si>
  <si>
    <t>SNDA US</t>
  </si>
  <si>
    <t>ALEX US</t>
  </si>
  <si>
    <t>Going Private, Company Takeover, Private Equity</t>
  </si>
  <si>
    <t>VTYX US</t>
  </si>
  <si>
    <t>RAPT US</t>
  </si>
  <si>
    <t>GSK LN</t>
  </si>
  <si>
    <t>GDI CN</t>
  </si>
  <si>
    <t>Going Private, PE Buyout, Private Equity, Company Takeover</t>
  </si>
  <si>
    <t>RNAM US</t>
  </si>
  <si>
    <t>NOVN SW</t>
  </si>
  <si>
    <t>FRGE US</t>
  </si>
  <si>
    <t>SCHW US</t>
  </si>
  <si>
    <t>Institutional Financial Svcs</t>
  </si>
  <si>
    <t>AHL US</t>
  </si>
  <si>
    <t>8630 JP</t>
  </si>
  <si>
    <t>Insurance</t>
  </si>
  <si>
    <t>Bermuda</t>
  </si>
  <si>
    <t>MOFG US</t>
  </si>
  <si>
    <t>NIC US</t>
  </si>
  <si>
    <t>ZEUS US</t>
  </si>
  <si>
    <t>RYZ US</t>
  </si>
  <si>
    <t>Steel</t>
  </si>
  <si>
    <t>AVDL US</t>
  </si>
  <si>
    <t>ALKS US</t>
  </si>
  <si>
    <t>Company Takeover, Competing Bid</t>
  </si>
  <si>
    <t>CYBR US</t>
  </si>
  <si>
    <t>PANW US</t>
  </si>
  <si>
    <t>THS US</t>
  </si>
  <si>
    <t>300808Z IM</t>
  </si>
  <si>
    <t>Company Takeover, Going Private, PE Buyout, Private Equity</t>
  </si>
  <si>
    <t>DVAX US</t>
  </si>
  <si>
    <t>SAN FP</t>
  </si>
  <si>
    <t>HI US</t>
  </si>
  <si>
    <t>71194Z US</t>
  </si>
  <si>
    <t>Company Takeover, Private Equity, PE Buyout, Going Private</t>
  </si>
  <si>
    <t>NVA CN</t>
  </si>
  <si>
    <t>OVV US</t>
  </si>
  <si>
    <t>Cross Border, Company Takeover, Additional Stake Purchase</t>
  </si>
  <si>
    <t>DAY US</t>
  </si>
  <si>
    <t>129626Z US</t>
  </si>
  <si>
    <t>PCH US</t>
  </si>
  <si>
    <t>RYN US</t>
  </si>
  <si>
    <t>CMA US</t>
  </si>
  <si>
    <t>FITB US</t>
  </si>
  <si>
    <t>CADE US</t>
  </si>
  <si>
    <t>HBAN US</t>
  </si>
  <si>
    <t>REVG US</t>
  </si>
  <si>
    <t>TEX US</t>
  </si>
  <si>
    <t>Transportation Equipment</t>
  </si>
  <si>
    <t>JAMF US</t>
  </si>
  <si>
    <t>20635Z US</t>
  </si>
  <si>
    <t>Company Takeover, Going Private, Private Equity, PE Buyout</t>
  </si>
  <si>
    <t>CIVI US</t>
  </si>
  <si>
    <t>SM US</t>
  </si>
  <si>
    <t>Company Takeover, Reverse Merger</t>
  </si>
  <si>
    <t>PLYM US</t>
  </si>
  <si>
    <t>GES US</t>
  </si>
  <si>
    <t>AUTH US</t>
  </si>
  <si>
    <t>FYBR US</t>
  </si>
  <si>
    <t>VZ US</t>
  </si>
  <si>
    <t>Telecommunications</t>
  </si>
  <si>
    <t>SMLR US</t>
  </si>
  <si>
    <t>ASST US</t>
  </si>
  <si>
    <t>DENN US</t>
  </si>
  <si>
    <t>Private Equity, Going Private, Company Takeover, PE Buyout</t>
  </si>
  <si>
    <t>DNTL CN</t>
  </si>
  <si>
    <t>26026Z US</t>
  </si>
  <si>
    <t>PE Buyout, Cross Border, Private Equity, Company Takeover, Going Private</t>
  </si>
  <si>
    <t>HOUS US</t>
  </si>
  <si>
    <t>COMP US</t>
  </si>
  <si>
    <t>Real Estate Services</t>
  </si>
  <si>
    <t>CDTX US</t>
  </si>
  <si>
    <t>SNV US</t>
  </si>
  <si>
    <t>PNFP US</t>
  </si>
  <si>
    <t>WOW US</t>
  </si>
  <si>
    <t>Cable &amp; Satellite</t>
  </si>
  <si>
    <t>Company Takeover, Private Equity, PE Buyout, Additional Stake Purchase, Going Private</t>
  </si>
  <si>
    <t>IAS US</t>
  </si>
  <si>
    <t>893791Z CN</t>
  </si>
  <si>
    <t>IT Services</t>
  </si>
  <si>
    <t>KEC CN</t>
  </si>
  <si>
    <t>2305707D CN</t>
  </si>
  <si>
    <t>Renewable Energy</t>
  </si>
  <si>
    <t>PGRE US</t>
  </si>
  <si>
    <t>RITM US</t>
  </si>
  <si>
    <t>BRY US</t>
  </si>
  <si>
    <t>CRC US</t>
  </si>
  <si>
    <t>ALE US</t>
  </si>
  <si>
    <t>Utilities</t>
  </si>
  <si>
    <t>Electric Utilities</t>
  </si>
  <si>
    <t>Cross Border, Company Takeover, Going Private, PE Buyout, Private Equity</t>
  </si>
  <si>
    <t>VTLE US</t>
  </si>
  <si>
    <t>CRGY US</t>
  </si>
  <si>
    <t>K US</t>
  </si>
  <si>
    <t>4614Z US</t>
  </si>
  <si>
    <t>Going Private, Company Takeover</t>
  </si>
  <si>
    <t>ODP US</t>
  </si>
  <si>
    <t>743428Z US</t>
  </si>
  <si>
    <t>HSII US</t>
  </si>
  <si>
    <t>AKRO US</t>
  </si>
  <si>
    <t>NOVOB DC</t>
  </si>
  <si>
    <t>Denmark</t>
  </si>
  <si>
    <t>SCS US</t>
  </si>
  <si>
    <t>HNI US</t>
  </si>
  <si>
    <t>Home &amp; Office Products</t>
  </si>
  <si>
    <t>SSUP US</t>
  </si>
  <si>
    <t>Cash and Debt</t>
  </si>
  <si>
    <t>Automotive</t>
  </si>
  <si>
    <t>Private Equity, Company Takeover, Going Private, PE Buyout</t>
  </si>
  <si>
    <t>PRO US</t>
  </si>
  <si>
    <t>Private Equity, Company Takeover, Going Private, Secondary Transaction</t>
  </si>
  <si>
    <t>SPR US</t>
  </si>
  <si>
    <t>BA US</t>
  </si>
  <si>
    <t>Aerospace &amp; Defense</t>
  </si>
  <si>
    <t>HBI US</t>
  </si>
  <si>
    <t>GIL CN</t>
  </si>
  <si>
    <t>Apparel &amp; Textile Products</t>
  </si>
  <si>
    <t>IPG US</t>
  </si>
  <si>
    <t>OMC US</t>
  </si>
  <si>
    <t>Advertising &amp; Marketing</t>
  </si>
  <si>
    <t>VRNT US</t>
  </si>
  <si>
    <t>PE Buyout, Company Takeover, Private Equity, Going Private</t>
  </si>
  <si>
    <t>PINC US</t>
  </si>
  <si>
    <t>1822748D US</t>
  </si>
  <si>
    <t>VMEO US</t>
  </si>
  <si>
    <t>Company Takeover, Cross Border, Going Private</t>
  </si>
  <si>
    <t>SRDX US</t>
  </si>
  <si>
    <t>Private Equity, PE Buyout, Company Takeover, Going Private</t>
  </si>
  <si>
    <t>INFA US</t>
  </si>
  <si>
    <t>CRM US</t>
  </si>
  <si>
    <t>Company Takeover, Additional Stake Purchase</t>
  </si>
  <si>
    <t>MEG CN</t>
  </si>
  <si>
    <t>CVE CN</t>
  </si>
  <si>
    <t>MTSR US</t>
  </si>
  <si>
    <t>PFE US</t>
  </si>
  <si>
    <t>MRC US</t>
  </si>
  <si>
    <t>DNOW US</t>
  </si>
  <si>
    <t>Industrial Support Services</t>
  </si>
  <si>
    <t>AND CN</t>
  </si>
  <si>
    <t>UPS US</t>
  </si>
  <si>
    <t>TIXT CN</t>
  </si>
  <si>
    <t>T CN</t>
  </si>
  <si>
    <t>HONE US</t>
  </si>
  <si>
    <t>EBC US</t>
  </si>
  <si>
    <t>ETNB US</t>
  </si>
  <si>
    <t>ROP SW</t>
  </si>
  <si>
    <t>TRML US</t>
  </si>
  <si>
    <t>Tender Offer, Company Takeover</t>
  </si>
  <si>
    <t>FN CN</t>
  </si>
  <si>
    <t>MLNK US</t>
  </si>
  <si>
    <t>804856Z US</t>
  </si>
  <si>
    <t>PBPB US</t>
  </si>
  <si>
    <t>1039759Z US</t>
  </si>
  <si>
    <t>SSL CN</t>
  </si>
  <si>
    <t>RGLD US</t>
  </si>
  <si>
    <t>PHLT US</t>
  </si>
  <si>
    <t>1659431D US</t>
  </si>
  <si>
    <t>VBTX US</t>
  </si>
  <si>
    <t>ZIMV US</t>
  </si>
  <si>
    <t>1011231D FP</t>
  </si>
  <si>
    <t>Company Takeover, Going Private, Cross Border</t>
  </si>
  <si>
    <t>AVDX US</t>
  </si>
  <si>
    <t>ARIS US</t>
  </si>
  <si>
    <t>WES US</t>
  </si>
  <si>
    <t>Oil &amp; Gas Services &amp; Equip</t>
  </si>
  <si>
    <t>COOP US</t>
  </si>
  <si>
    <t>RKT US</t>
  </si>
  <si>
    <t>KLG US</t>
  </si>
  <si>
    <t>0852591D LX</t>
  </si>
  <si>
    <t>Luxembourg</t>
  </si>
  <si>
    <t>BASE US</t>
  </si>
  <si>
    <t>1992552D US</t>
  </si>
  <si>
    <t>SPTN US</t>
  </si>
  <si>
    <t>22983Z US</t>
  </si>
  <si>
    <t>Retail &amp; Wholesale - Staples</t>
  </si>
  <si>
    <t>Retail - Consumer Staples</t>
  </si>
  <si>
    <t>SKX US</t>
  </si>
  <si>
    <t>4071428Z US</t>
  </si>
  <si>
    <t>Company Takeover, PE Buyout, Private Equity, Going Private</t>
  </si>
  <si>
    <t>OLO US</t>
  </si>
  <si>
    <t>Company Takeover, Private Equity, PE Buyout</t>
  </si>
  <si>
    <t>FL US</t>
  </si>
  <si>
    <t>DKS US</t>
  </si>
  <si>
    <t>MAG CN</t>
  </si>
  <si>
    <t>PAAS CN</t>
  </si>
  <si>
    <t>GMS US</t>
  </si>
  <si>
    <t>HD US</t>
  </si>
  <si>
    <t>Company Takeover, Competing Bid, Tender Offer</t>
  </si>
  <si>
    <t>PPBI US</t>
  </si>
  <si>
    <t>COLB US</t>
  </si>
  <si>
    <t>BRKL US</t>
  </si>
  <si>
    <t>BBT US</t>
  </si>
  <si>
    <t>BRDG US</t>
  </si>
  <si>
    <t>APO US</t>
  </si>
  <si>
    <t>9996201D US</t>
  </si>
  <si>
    <t>MCHB US</t>
  </si>
  <si>
    <t>Reverse Merger, Company Takeover</t>
  </si>
  <si>
    <t>WBA US</t>
  </si>
  <si>
    <t>9875574Z US</t>
  </si>
  <si>
    <t>DNB US</t>
  </si>
  <si>
    <t>8376046Z US</t>
  </si>
  <si>
    <t>STR US</t>
  </si>
  <si>
    <t>VNOM US</t>
  </si>
  <si>
    <t>CIX CN</t>
  </si>
  <si>
    <t>1448162D UH</t>
  </si>
  <si>
    <t>United Arab Emirates</t>
  </si>
  <si>
    <t>AMED US</t>
  </si>
  <si>
    <t>UNH US</t>
  </si>
  <si>
    <t>Unsolicited to Friendly</t>
  </si>
  <si>
    <t>GRAH US</t>
  </si>
  <si>
    <t>AHR US</t>
  </si>
  <si>
    <t>PARA US</t>
  </si>
  <si>
    <t>1400604D US</t>
  </si>
  <si>
    <t>NVEE US</t>
  </si>
  <si>
    <t>TIC US</t>
  </si>
  <si>
    <t>British Virgin Islands</t>
  </si>
  <si>
    <t>ETWO US</t>
  </si>
  <si>
    <t>WTC AU</t>
  </si>
  <si>
    <t>NDOI US</t>
  </si>
  <si>
    <t>MNKTQ US</t>
  </si>
  <si>
    <t>VERV US</t>
  </si>
  <si>
    <t>TGI US</t>
  </si>
  <si>
    <t>INE CN</t>
  </si>
  <si>
    <t>1118Z CN</t>
  </si>
  <si>
    <t>FARO US</t>
  </si>
  <si>
    <t>AME US</t>
  </si>
  <si>
    <t>Electrical Equipment</t>
  </si>
  <si>
    <t>BPMC US</t>
  </si>
  <si>
    <t>Tender Offer, Company Takeover, Squeeze out</t>
  </si>
  <si>
    <t>HES US</t>
  </si>
  <si>
    <t>CVX US</t>
  </si>
  <si>
    <t>ANSS US</t>
  </si>
  <si>
    <t>SNPS US</t>
  </si>
  <si>
    <t>CHX US</t>
  </si>
  <si>
    <t>SLB US</t>
  </si>
  <si>
    <t>RDUS US</t>
  </si>
  <si>
    <t>8015 JP</t>
  </si>
  <si>
    <t>ESGR US</t>
  </si>
  <si>
    <t>Additional Stake Purchase, PE Buyout, Private Equity, Company Takeover, Going Private</t>
  </si>
  <si>
    <t>JNPR US</t>
  </si>
  <si>
    <t>HPE US</t>
  </si>
  <si>
    <t>Tech Hardware &amp; Semiconductors</t>
  </si>
  <si>
    <t>Technology Hardware</t>
  </si>
  <si>
    <t>YERB/U CN</t>
  </si>
  <si>
    <t>BNKK US</t>
  </si>
  <si>
    <t>Beverages</t>
  </si>
  <si>
    <t>SWTX US</t>
  </si>
  <si>
    <t>MRK GR</t>
  </si>
  <si>
    <t>Germany</t>
  </si>
  <si>
    <t>RDFN US</t>
  </si>
  <si>
    <t>EBTC US</t>
  </si>
  <si>
    <t>INDB US</t>
  </si>
  <si>
    <t>AZEK US</t>
  </si>
  <si>
    <t>JHX AU</t>
  </si>
  <si>
    <t>EVRI US</t>
  </si>
  <si>
    <t>2462742D US</t>
  </si>
  <si>
    <t>PE Buyout, Private Equity, Company Takeover</t>
  </si>
  <si>
    <t>AGS US</t>
  </si>
  <si>
    <t>1372344D US</t>
  </si>
  <si>
    <t>PE Buyout, Going Private, Company Takeover, Private Equity</t>
  </si>
  <si>
    <t>RGLS US</t>
  </si>
  <si>
    <t>LSEA US</t>
  </si>
  <si>
    <t>NWHM US</t>
  </si>
  <si>
    <t>Company Takeover, Going Private, Tender Offer</t>
  </si>
  <si>
    <t>CXB CN</t>
  </si>
  <si>
    <t>EQX CN</t>
  </si>
  <si>
    <t>X US</t>
  </si>
  <si>
    <t>5401 JP</t>
  </si>
  <si>
    <t>PLYA US</t>
  </si>
  <si>
    <t>H US</t>
  </si>
  <si>
    <t>Company Takeover, Additional Stake Purchase, Tender Offer</t>
  </si>
  <si>
    <t>HEES US</t>
  </si>
  <si>
    <t>HRI US</t>
  </si>
  <si>
    <t>Company Takeover, Competing Bid, Tender Offer, Squeeze out</t>
  </si>
  <si>
    <t>JWN US</t>
  </si>
  <si>
    <t>Mexico</t>
  </si>
  <si>
    <t>Additional Stake Purchase, Going Private, Company Takeover</t>
  </si>
  <si>
    <t>DFS US</t>
  </si>
  <si>
    <t>COF US</t>
  </si>
  <si>
    <t>VRN CN</t>
  </si>
  <si>
    <t>WCP CN</t>
  </si>
  <si>
    <t>BERY US</t>
  </si>
  <si>
    <t>AMCR US</t>
  </si>
  <si>
    <t>BECN US</t>
  </si>
  <si>
    <t>QXO US</t>
  </si>
  <si>
    <t>Hostile to Friendly</t>
  </si>
  <si>
    <t>CTS CN</t>
  </si>
  <si>
    <t>61128Z US</t>
  </si>
  <si>
    <t>Company Takeover, Cross Border, Going Private, PE Buyout, Private Equity</t>
  </si>
  <si>
    <t>CMRX US</t>
  </si>
  <si>
    <t>JAZZ US</t>
  </si>
  <si>
    <t>PDCO US</t>
  </si>
  <si>
    <t>2560713D US</t>
  </si>
  <si>
    <t>FNA US</t>
  </si>
  <si>
    <t>ZBH US</t>
  </si>
  <si>
    <t>ENFN US</t>
  </si>
  <si>
    <t>ML US</t>
  </si>
  <si>
    <t>GEN US</t>
  </si>
  <si>
    <t>SWI US</t>
  </si>
  <si>
    <t>0212567D US</t>
  </si>
  <si>
    <t>TIFS LN</t>
  </si>
  <si>
    <t>ABCT CN</t>
  </si>
  <si>
    <t>Unsolicited</t>
  </si>
  <si>
    <t>AMPS US</t>
  </si>
  <si>
    <t>3561950Z US</t>
  </si>
  <si>
    <t>PYCR US</t>
  </si>
  <si>
    <t>PAYX US</t>
  </si>
  <si>
    <t>ATSG US</t>
  </si>
  <si>
    <t>0599141D US</t>
  </si>
  <si>
    <t>Going Private, PE Buyout, Company Takeover, Private Equity</t>
  </si>
  <si>
    <t>ACCD US</t>
  </si>
  <si>
    <t>2540719D US</t>
  </si>
  <si>
    <t>ITCI US</t>
  </si>
  <si>
    <t>JNJ US</t>
  </si>
  <si>
    <t>PTVE US</t>
  </si>
  <si>
    <t>1158424D US</t>
  </si>
  <si>
    <t>SASR US</t>
  </si>
  <si>
    <t>AUB US</t>
  </si>
  <si>
    <t>FBMS US</t>
  </si>
  <si>
    <t>RNST US</t>
  </si>
  <si>
    <t>ALTR US</t>
  </si>
  <si>
    <t>SIE GR</t>
  </si>
  <si>
    <t>EDR US</t>
  </si>
  <si>
    <t>17155Z US</t>
  </si>
  <si>
    <t>SFTC CN</t>
  </si>
  <si>
    <t>1653126D US</t>
  </si>
  <si>
    <t>AZPN US</t>
  </si>
  <si>
    <t>EMR US</t>
  </si>
  <si>
    <t>Company Takeover, Additional Stake Purchase, Tender Offer, Squeeze out</t>
  </si>
  <si>
    <t>PFC US</t>
  </si>
  <si>
    <t>WSBC US</t>
  </si>
  <si>
    <t>CFB US</t>
  </si>
  <si>
    <t>BUSE US</t>
  </si>
  <si>
    <t>INFN US</t>
  </si>
  <si>
    <t>NOKIA FH</t>
  </si>
  <si>
    <t>Finland</t>
  </si>
  <si>
    <t>MTTR US</t>
  </si>
  <si>
    <t>CSGP US</t>
  </si>
  <si>
    <t>HCP US</t>
  </si>
  <si>
    <t>NARI US</t>
  </si>
  <si>
    <t>SYK US</t>
  </si>
  <si>
    <t>SIL CN</t>
  </si>
  <si>
    <t>ZUO US</t>
  </si>
  <si>
    <t>Singapore</t>
  </si>
  <si>
    <t>HRX CN</t>
  </si>
  <si>
    <t>21380Z US</t>
  </si>
  <si>
    <t>Cross Border, PE Buyout, Private Equity, Company Takeover, Going Private</t>
  </si>
  <si>
    <t>ROIC US</t>
  </si>
  <si>
    <t>BX US</t>
  </si>
  <si>
    <t>SUM US</t>
  </si>
  <si>
    <t>0873823D US</t>
  </si>
  <si>
    <t>Construction Materials</t>
  </si>
  <si>
    <t>BALY US</t>
  </si>
  <si>
    <t>3875406Z US</t>
  </si>
  <si>
    <t>Additional Stake Purchase, Private Equity, PE Buyout, Company Takeover, Going Private</t>
  </si>
  <si>
    <t>RVNC US</t>
  </si>
  <si>
    <t>CLWB US</t>
  </si>
  <si>
    <t>Tender Offer, Company Takeover, Going Private</t>
  </si>
  <si>
    <t>CDMO US</t>
  </si>
  <si>
    <t>Going Private, Cross Border, PE Buyout, Private Equity, Company Takeover</t>
  </si>
  <si>
    <t>CWB CN</t>
  </si>
  <si>
    <t>NA CN</t>
  </si>
  <si>
    <t>SCWX US</t>
  </si>
  <si>
    <t>1784721D LN</t>
  </si>
  <si>
    <t>HTLF US</t>
  </si>
  <si>
    <t>UMBF US</t>
  </si>
  <si>
    <t>ENLC US</t>
  </si>
  <si>
    <t>OKE US</t>
  </si>
  <si>
    <t>Company Takeover, Additional Stake Purchase, Reverse Merger</t>
  </si>
  <si>
    <t>2566642D US</t>
  </si>
  <si>
    <t>SMAR US</t>
  </si>
  <si>
    <t>FIL CN</t>
  </si>
  <si>
    <t>GATO US</t>
  </si>
  <si>
    <t>AG CN</t>
  </si>
  <si>
    <t>ARCH US</t>
  </si>
  <si>
    <t>CNR US</t>
  </si>
  <si>
    <t>OBDE US</t>
  </si>
  <si>
    <t>OBDC US</t>
  </si>
  <si>
    <t>PSTX US</t>
  </si>
  <si>
    <t>IBTX US</t>
  </si>
  <si>
    <t>SSB US</t>
  </si>
  <si>
    <t>CNSL US</t>
  </si>
  <si>
    <t>PE Buyout, Company Takeover, Cross Border, Private Equity, Additional Stake Purchase, Going Private</t>
  </si>
  <si>
    <t>NAPA US</t>
  </si>
  <si>
    <t>1513190D US</t>
  </si>
  <si>
    <t>AGR US</t>
  </si>
  <si>
    <t>IBE SM</t>
  </si>
  <si>
    <t>Spain</t>
  </si>
  <si>
    <t>CTLT US</t>
  </si>
  <si>
    <t>3651071Z DC</t>
  </si>
  <si>
    <t>Private Equity, PE Buyout, Going Private, Cross Border, Company Takeover</t>
  </si>
  <si>
    <t>ACRG/A/U CN</t>
  </si>
  <si>
    <t>WEED CN</t>
  </si>
  <si>
    <t>Tobacco &amp; Cannabis</t>
  </si>
  <si>
    <t>LBPH US</t>
  </si>
  <si>
    <t>HLUNB DC</t>
  </si>
  <si>
    <t>Tender Offer, Cross Border, Company Takeover</t>
  </si>
  <si>
    <t>VZIO US</t>
  </si>
  <si>
    <t>WMT US</t>
  </si>
  <si>
    <t>VSTO US</t>
  </si>
  <si>
    <t>2623275D CP</t>
  </si>
  <si>
    <t>Leisure Products</t>
  </si>
  <si>
    <t>Czech Republic</t>
  </si>
  <si>
    <t>ENV US</t>
  </si>
  <si>
    <t>MRO US</t>
  </si>
  <si>
    <t>COP US</t>
  </si>
  <si>
    <t>HAYN US</t>
  </si>
  <si>
    <t>ACX SM</t>
  </si>
  <si>
    <t>RCM US</t>
  </si>
  <si>
    <t>PE Buyout, Additional Stake Purchase, Company Takeover, Private Equity, Competing Bid, Going Private</t>
  </si>
  <si>
    <t>NVEI CN</t>
  </si>
  <si>
    <t>13620Z US</t>
  </si>
  <si>
    <t>Company Takeover, PE Buyout, Going Private, Cross Border, Private Equity</t>
  </si>
  <si>
    <t>AXNX US</t>
  </si>
  <si>
    <t>BSX US</t>
  </si>
  <si>
    <t>TWKS US</t>
  </si>
  <si>
    <t>6212Z LN</t>
  </si>
  <si>
    <t>Company Takeover, Going Private, Additional Stake Purchase, PE Buyout, Cross Border, Private Equity</t>
  </si>
  <si>
    <t>INST US</t>
  </si>
  <si>
    <t>SRCL US</t>
  </si>
  <si>
    <t>WM US</t>
  </si>
  <si>
    <t>STLC CN</t>
  </si>
  <si>
    <t>CLF US</t>
  </si>
  <si>
    <t>STER US</t>
  </si>
  <si>
    <t>FA US</t>
  </si>
  <si>
    <t>OSK CN</t>
  </si>
  <si>
    <t>GFI SJ</t>
  </si>
  <si>
    <t>South Africa</t>
  </si>
  <si>
    <t>PETQ US</t>
  </si>
  <si>
    <t>1839936D LN</t>
  </si>
  <si>
    <t>PE Buyout, Cross Border, Company Takeover, Going Private, Private Equity</t>
  </si>
  <si>
    <t>SQSP US</t>
  </si>
  <si>
    <t>727032Z LN</t>
  </si>
  <si>
    <t>Cross Border, Going Private, Private Equity, PE Buyout, Company Takeover, Tender Offer</t>
  </si>
  <si>
    <t>CHUY US</t>
  </si>
  <si>
    <t>DRI US</t>
  </si>
  <si>
    <t>TELL US</t>
  </si>
  <si>
    <t>WDS AU</t>
  </si>
  <si>
    <t>VGR US</t>
  </si>
  <si>
    <t>2914 JP</t>
  </si>
  <si>
    <t>Cross Border, Company Takeover, Tender Offer</t>
  </si>
  <si>
    <t>AAN US</t>
  </si>
  <si>
    <t>1781760D US</t>
  </si>
  <si>
    <t>CR CN</t>
  </si>
  <si>
    <t>TOU CN</t>
  </si>
  <si>
    <t>PRFT US</t>
  </si>
  <si>
    <t>1071Z SS</t>
  </si>
  <si>
    <t>Sweden</t>
  </si>
  <si>
    <t>Cross Border, Company Takeover, Private Equity, Going Private, PE Buyout</t>
  </si>
  <si>
    <t>ZZZ CN</t>
  </si>
  <si>
    <t>FFH CN</t>
  </si>
  <si>
    <t>SWN US</t>
  </si>
  <si>
    <t>EXE US</t>
  </si>
  <si>
    <t>PWSC US</t>
  </si>
  <si>
    <t>6821Z US</t>
  </si>
  <si>
    <t>HA US</t>
  </si>
  <si>
    <t>ALK US</t>
  </si>
  <si>
    <t>SILK US</t>
  </si>
  <si>
    <t>AMK US</t>
  </si>
  <si>
    <t>DO US</t>
  </si>
  <si>
    <t>NE US</t>
  </si>
  <si>
    <t>EBIXQ US</t>
  </si>
  <si>
    <t>ERAAYA IN</t>
  </si>
  <si>
    <t>India</t>
  </si>
  <si>
    <t>Cross Border, Company Takeover, Bankruptcy/Liquidation</t>
  </si>
  <si>
    <t>CPLF CN</t>
  </si>
  <si>
    <t>IFSB SS</t>
  </si>
  <si>
    <t>Cross Border, Going Private, Company Takeover</t>
  </si>
  <si>
    <t>ATRI US</t>
  </si>
  <si>
    <t>NDSN US</t>
  </si>
  <si>
    <t>MORF US</t>
  </si>
  <si>
    <t>PLC CN</t>
  </si>
  <si>
    <t>KRR CN</t>
  </si>
  <si>
    <t>WGX AU</t>
  </si>
  <si>
    <t>Company Takeover, Cross Border, Competing Bid</t>
  </si>
  <si>
    <t>FREE US</t>
  </si>
  <si>
    <t>2289689D US</t>
  </si>
  <si>
    <t>CERE US</t>
  </si>
  <si>
    <t>ABBV US</t>
  </si>
  <si>
    <t>SLCA US</t>
  </si>
  <si>
    <t>SBOW US</t>
  </si>
  <si>
    <t>HIBB US</t>
  </si>
  <si>
    <t>JD/ LN</t>
  </si>
  <si>
    <t>ETRN US</t>
  </si>
  <si>
    <t>EQT US</t>
  </si>
  <si>
    <t>RGD CN</t>
  </si>
  <si>
    <t>GMIN CN</t>
  </si>
  <si>
    <t>AR CN</t>
  </si>
  <si>
    <t>AGI CN</t>
  </si>
  <si>
    <t>CATC US</t>
  </si>
  <si>
    <t>NWLI US</t>
  </si>
  <si>
    <t>0608951D US</t>
  </si>
  <si>
    <t>OSG US</t>
  </si>
  <si>
    <t>Going Private, Company Takeover, Tender Offer</t>
  </si>
  <si>
    <t>WRK US</t>
  </si>
  <si>
    <t>SW US</t>
  </si>
  <si>
    <t>Ireland</t>
  </si>
  <si>
    <t>WIRE US</t>
  </si>
  <si>
    <t>PRY IM</t>
  </si>
  <si>
    <t>EVBG US</t>
  </si>
  <si>
    <t>SIX US</t>
  </si>
  <si>
    <t>9933644D US</t>
  </si>
  <si>
    <t>AIRC US</t>
  </si>
  <si>
    <t>MODN US</t>
  </si>
  <si>
    <t>389272Z US</t>
  </si>
  <si>
    <t>SNPO US</t>
  </si>
  <si>
    <t>REZI US</t>
  </si>
  <si>
    <t>DCPH US</t>
  </si>
  <si>
    <t>4528 JP</t>
  </si>
  <si>
    <t>8765154Z US</t>
  </si>
  <si>
    <t>Private Equity, Majority purchase</t>
  </si>
  <si>
    <t>FUSN US</t>
  </si>
  <si>
    <t>AZN LN</t>
  </si>
  <si>
    <t>ERF CN</t>
  </si>
  <si>
    <t>CHRD US</t>
  </si>
  <si>
    <t>SWAV US</t>
  </si>
  <si>
    <t>2450449D US</t>
  </si>
  <si>
    <t>ALPN US</t>
  </si>
  <si>
    <t>VRTX US</t>
  </si>
  <si>
    <t>TAST US</t>
  </si>
  <si>
    <t>QSR CN</t>
  </si>
  <si>
    <t>Company Takeover, Additional Stake Purchase, Cross Border</t>
  </si>
  <si>
    <t>SP US</t>
  </si>
  <si>
    <t>1866871D US</t>
  </si>
  <si>
    <t>LBAI US</t>
  </si>
  <si>
    <t>PFS US</t>
  </si>
  <si>
    <t>DOOR US</t>
  </si>
  <si>
    <t>OC US</t>
  </si>
  <si>
    <t>PXD US</t>
  </si>
  <si>
    <t>XOM US</t>
  </si>
  <si>
    <t>NS US</t>
  </si>
  <si>
    <t>SUN US</t>
  </si>
  <si>
    <t>AEL US</t>
  </si>
  <si>
    <t>BNT CN</t>
  </si>
  <si>
    <t>TCN CN</t>
  </si>
  <si>
    <t>PE Buyout, Company Takeover, Cross Border, Private Equity, Going Private</t>
  </si>
  <si>
    <t>MDC US</t>
  </si>
  <si>
    <t>1928 JP</t>
  </si>
  <si>
    <t>KAMN US</t>
  </si>
  <si>
    <t>1698480D US</t>
  </si>
  <si>
    <t>EGLE US</t>
  </si>
  <si>
    <t>SBLK US</t>
  </si>
  <si>
    <t>Greece</t>
  </si>
  <si>
    <t>DSKE US</t>
  </si>
  <si>
    <t>TFII CN</t>
  </si>
  <si>
    <t>CCLP US</t>
  </si>
  <si>
    <t>KGS US</t>
  </si>
  <si>
    <t>CPE US</t>
  </si>
  <si>
    <t>APA US</t>
  </si>
  <si>
    <t>PGTI US</t>
  </si>
  <si>
    <t>2350627D US</t>
  </si>
  <si>
    <t>Competing Bid, Company Takeover, Going Private</t>
  </si>
  <si>
    <t>CBAY US</t>
  </si>
  <si>
    <t>NBLY CN</t>
  </si>
  <si>
    <t>4092033Z CN</t>
  </si>
  <si>
    <t>SPLK US</t>
  </si>
  <si>
    <t>CSCO US</t>
  </si>
  <si>
    <t>KRTX US</t>
  </si>
  <si>
    <t>BMY US</t>
  </si>
  <si>
    <t>AYX US</t>
  </si>
  <si>
    <t>Going Private, Private Equity, Company Takeover, PE Buyout</t>
  </si>
  <si>
    <t>SOVO US</t>
  </si>
  <si>
    <t>CPB US</t>
  </si>
  <si>
    <t>AMAM US</t>
  </si>
  <si>
    <t>ENGH US</t>
  </si>
  <si>
    <t>VST US</t>
  </si>
  <si>
    <t>2392595D US</t>
  </si>
  <si>
    <t>DOC US</t>
  </si>
  <si>
    <t>LBC US</t>
  </si>
  <si>
    <t>WAFD US</t>
  </si>
  <si>
    <t>ROVR US</t>
  </si>
  <si>
    <t>Internet Media &amp; Services</t>
  </si>
  <si>
    <t>RYZB US</t>
  </si>
  <si>
    <t>ICVX US</t>
  </si>
  <si>
    <t>PLCE US</t>
  </si>
  <si>
    <t>MEET JR</t>
  </si>
  <si>
    <t>Jordan</t>
  </si>
  <si>
    <t>Cross Border, Majority purchase</t>
  </si>
  <si>
    <t>IMGN US</t>
  </si>
  <si>
    <t>STFR US</t>
  </si>
  <si>
    <t>IRT US</t>
  </si>
  <si>
    <t>ESMT US</t>
  </si>
  <si>
    <t>MRTX US</t>
  </si>
  <si>
    <t>SRC US</t>
  </si>
  <si>
    <t>O US</t>
  </si>
  <si>
    <t>BVH US</t>
  </si>
  <si>
    <t>HGV US</t>
  </si>
  <si>
    <t>LGT/A CN</t>
  </si>
  <si>
    <t>Going Private, Company Takeover, Private Equity, Cross Border, PE Buyout</t>
  </si>
  <si>
    <t>CHS US</t>
  </si>
  <si>
    <t>PE Buyout, Going Private, Private Equity, Company Takeover</t>
  </si>
  <si>
    <t>DISH US</t>
  </si>
  <si>
    <t>ECHO US</t>
  </si>
  <si>
    <t>RPT US</t>
  </si>
  <si>
    <t>KIM US</t>
  </si>
  <si>
    <t>HHRS CN</t>
  </si>
  <si>
    <t>PNT US</t>
  </si>
  <si>
    <t>SGEN US</t>
  </si>
  <si>
    <t>HEP US</t>
  </si>
  <si>
    <t>DINO US</t>
  </si>
  <si>
    <t>PACW US</t>
  </si>
  <si>
    <t>BANC US</t>
  </si>
  <si>
    <t>GHL US</t>
  </si>
  <si>
    <t>8411 JP</t>
  </si>
  <si>
    <t>VRTV US</t>
  </si>
  <si>
    <t>Wholesale - Discretionary</t>
  </si>
  <si>
    <t>AVTA US</t>
  </si>
  <si>
    <t>RCAPQ US</t>
  </si>
  <si>
    <t>HT US</t>
  </si>
  <si>
    <t>730174Z US</t>
  </si>
  <si>
    <t>VMW US</t>
  </si>
  <si>
    <t>AVGO US</t>
  </si>
  <si>
    <t>SCU US</t>
  </si>
  <si>
    <t>ARGO US</t>
  </si>
  <si>
    <t>CCF US</t>
  </si>
  <si>
    <t>KKR US</t>
  </si>
  <si>
    <t>Private Equity, PE Buyout, Company Takeover</t>
  </si>
  <si>
    <t>NXGN US</t>
  </si>
  <si>
    <t>ICPT US</t>
  </si>
  <si>
    <t>1482853D IM</t>
  </si>
  <si>
    <t>NEWR US</t>
  </si>
  <si>
    <t>TWNK US</t>
  </si>
  <si>
    <t>SJM US</t>
  </si>
  <si>
    <t>AVID US</t>
  </si>
  <si>
    <t>147458Z US</t>
  </si>
  <si>
    <t>TRHC US</t>
  </si>
  <si>
    <t>344021Z US</t>
  </si>
  <si>
    <t>CEQP US</t>
  </si>
  <si>
    <t>ET US</t>
  </si>
  <si>
    <t>DEN US</t>
  </si>
  <si>
    <t>ESTE US</t>
  </si>
  <si>
    <t>PR US</t>
  </si>
  <si>
    <t>Private Equity, Majority purchase, Cross Border</t>
  </si>
  <si>
    <t>CIR US</t>
  </si>
  <si>
    <t>Going Private, Company Takeover, Private Equity, PE Buyout</t>
  </si>
  <si>
    <t>HCCI US</t>
  </si>
  <si>
    <t>51033Z US</t>
  </si>
  <si>
    <t>THRN US</t>
  </si>
  <si>
    <t>63090Z US</t>
  </si>
  <si>
    <t>Company Takeover, PE Buyout, Private Equity, Going Private, Tender Offer</t>
  </si>
  <si>
    <t>ATVI US</t>
  </si>
  <si>
    <t>MSFT US</t>
  </si>
  <si>
    <t>NATI US</t>
  </si>
  <si>
    <t>Additional Stake Purchase, Company Takeover</t>
  </si>
  <si>
    <t>RNW CN</t>
  </si>
  <si>
    <t>TA CN</t>
  </si>
  <si>
    <t>HZNP US</t>
  </si>
  <si>
    <t>AMGN US</t>
  </si>
  <si>
    <t>PIPE CN</t>
  </si>
  <si>
    <t>SCR CN</t>
  </si>
  <si>
    <t>2505298D US</t>
  </si>
  <si>
    <t>TRTN US</t>
  </si>
  <si>
    <t>BIPC CN</t>
  </si>
  <si>
    <t>RETA US</t>
  </si>
  <si>
    <t>MMP US</t>
  </si>
  <si>
    <t>RADI US</t>
  </si>
  <si>
    <t>Cross Border, Company Takeover, Private Equity, PE Buyout, Going Private</t>
  </si>
  <si>
    <t>RTL US</t>
  </si>
  <si>
    <t>GNL US</t>
  </si>
  <si>
    <t>BKI US</t>
  </si>
  <si>
    <t>ICE US</t>
  </si>
  <si>
    <t>HCG CN</t>
  </si>
  <si>
    <t>2209250D US</t>
  </si>
  <si>
    <t>Company Takeover, Cross Border, Going Private, Additional Stake Purchase</t>
  </si>
  <si>
    <t>NUVA US</t>
  </si>
  <si>
    <t>GMED US</t>
  </si>
  <si>
    <t>FOCS US</t>
  </si>
  <si>
    <t>NEX US</t>
  </si>
  <si>
    <t>PTEN US</t>
  </si>
  <si>
    <t>MBIC US</t>
  </si>
  <si>
    <t>BEEP US</t>
  </si>
  <si>
    <t>FORG US</t>
  </si>
  <si>
    <t>FRG US</t>
  </si>
  <si>
    <t>Company Takeover, Going Private, Management Buyout, Additional Stake Purchase</t>
  </si>
  <si>
    <t>ARNC US</t>
  </si>
  <si>
    <t>UBA US</t>
  </si>
  <si>
    <t>REG US</t>
  </si>
  <si>
    <t>KDNY US</t>
  </si>
  <si>
    <t>Switzerland</t>
  </si>
  <si>
    <t>DICE US</t>
  </si>
  <si>
    <t>PDCE US</t>
  </si>
  <si>
    <t>UNS CN</t>
  </si>
  <si>
    <t>LKQ US</t>
  </si>
  <si>
    <t>UNVR US</t>
  </si>
  <si>
    <t>Chemicals</t>
  </si>
  <si>
    <t>ABST CN</t>
  </si>
  <si>
    <t>1783747D US</t>
  </si>
  <si>
    <t>PE Buyout, Company Takeover, Cross Border, Going Private, Private Equity</t>
  </si>
  <si>
    <t>AJRD US</t>
  </si>
  <si>
    <t>LHX US</t>
  </si>
  <si>
    <t>LSI US</t>
  </si>
  <si>
    <t>EXR US</t>
  </si>
  <si>
    <t>ISEE US</t>
  </si>
  <si>
    <t>4503 JP</t>
  </si>
  <si>
    <t>DSEY US</t>
  </si>
  <si>
    <t>0955847D US</t>
  </si>
  <si>
    <t>USX US</t>
  </si>
  <si>
    <t>KNX US</t>
  </si>
  <si>
    <t>2563956D CN</t>
  </si>
  <si>
    <t>INDT US</t>
  </si>
  <si>
    <t>Additional Stake Purchase, Company Takeover, PE Buyout, Private Equity, Going Private</t>
  </si>
  <si>
    <t>XM US</t>
  </si>
  <si>
    <t>Cross Border, Additional Stake Purchase, Company Takeover, Going Private, Private Equity, PE Buyout</t>
  </si>
  <si>
    <t>CTIC US</t>
  </si>
  <si>
    <t>SOBI SS</t>
  </si>
  <si>
    <t>Tender Offer, Company Takeover, Cross Border</t>
  </si>
  <si>
    <t>CMMC CN</t>
  </si>
  <si>
    <t>HBM CN</t>
  </si>
  <si>
    <t>ROCC US</t>
  </si>
  <si>
    <t>BTE CN</t>
  </si>
  <si>
    <t>RXDX US</t>
  </si>
  <si>
    <t>CVT US</t>
  </si>
  <si>
    <t>DCP US</t>
  </si>
  <si>
    <t>PSX US</t>
  </si>
  <si>
    <t>Company Takeover, Joint Venture</t>
  </si>
  <si>
    <t>RUTH US</t>
  </si>
  <si>
    <t>HSKA US</t>
  </si>
  <si>
    <t>MGI US</t>
  </si>
  <si>
    <t>13716Z US</t>
  </si>
  <si>
    <t>KBAL US</t>
  </si>
  <si>
    <t>MNTV US</t>
  </si>
  <si>
    <t>BRMK US</t>
  </si>
  <si>
    <t>RC US</t>
  </si>
  <si>
    <t>AQUA US</t>
  </si>
  <si>
    <t>XYL US</t>
  </si>
  <si>
    <t>TA US</t>
  </si>
  <si>
    <t>BP/ LN</t>
  </si>
  <si>
    <t>SUMO US</t>
  </si>
  <si>
    <t>Company Takeover, Private Equity, Going Private, PE Buyout</t>
  </si>
  <si>
    <t>MAXR US</t>
  </si>
  <si>
    <t>OSH US</t>
  </si>
  <si>
    <t>CVS US</t>
  </si>
  <si>
    <t>PRVB US</t>
  </si>
  <si>
    <t>CSII US</t>
  </si>
  <si>
    <t>SBB CN</t>
  </si>
  <si>
    <t>BTO CN</t>
  </si>
  <si>
    <t>ATCX US</t>
  </si>
  <si>
    <t>395737Z US</t>
  </si>
  <si>
    <t>MAGT CN</t>
  </si>
  <si>
    <t>Cross Border, PE Buyout, Company Takeover, Going Private, Private Equity</t>
  </si>
  <si>
    <t>SJR/B CN</t>
  </si>
  <si>
    <t>RCI/B CN</t>
  </si>
  <si>
    <t>YRI CN</t>
  </si>
  <si>
    <t>Competing Bid, Company Takeover</t>
  </si>
  <si>
    <t>DCT US</t>
  </si>
  <si>
    <t>2238067D US</t>
  </si>
  <si>
    <t>SAFE US</t>
  </si>
  <si>
    <t>SGFY US</t>
  </si>
  <si>
    <t>AIMC US</t>
  </si>
  <si>
    <t>RRX US</t>
  </si>
  <si>
    <t>ATCO US</t>
  </si>
  <si>
    <t>Company Takeover, Management Buyout, Additional Stake Purchase, Going Private</t>
  </si>
  <si>
    <t>EVOP US</t>
  </si>
  <si>
    <t>GPN US</t>
  </si>
  <si>
    <t>IAA US</t>
  </si>
  <si>
    <t>RBA CN</t>
  </si>
  <si>
    <t>AAWW US</t>
  </si>
  <si>
    <t>VVNT US</t>
  </si>
  <si>
    <t>NRG US</t>
  </si>
  <si>
    <t>MYOV US</t>
  </si>
  <si>
    <t>4506 JP</t>
  </si>
  <si>
    <t>Additional Stake Purchase, Company Takeover, Cross Border</t>
  </si>
  <si>
    <t>ALBO US</t>
  </si>
  <si>
    <t>IPN FP</t>
  </si>
  <si>
    <t>Company Takeover, Tender Offer, Cross Border</t>
  </si>
  <si>
    <t>UMPQ US</t>
  </si>
  <si>
    <t>COWN US</t>
  </si>
  <si>
    <t>TD CN</t>
  </si>
  <si>
    <t>COUP US</t>
  </si>
  <si>
    <t>RFP US</t>
  </si>
  <si>
    <t>8370997Z CN</t>
  </si>
  <si>
    <t>Forestry, Paper &amp; Wood Products</t>
  </si>
  <si>
    <t>CINC US</t>
  </si>
  <si>
    <t>Company Takeover, Cross Border, Tender Offer</t>
  </si>
  <si>
    <t>LHCG US</t>
  </si>
  <si>
    <t>ONEM US</t>
  </si>
  <si>
    <t>AMZN US</t>
  </si>
  <si>
    <t>PAYA US</t>
  </si>
  <si>
    <t>SMU-U CN</t>
  </si>
  <si>
    <t>STOR US</t>
  </si>
  <si>
    <t>PE Buyout, Private Equity, Cross Border, Going Private</t>
  </si>
  <si>
    <t>KNBE US</t>
  </si>
  <si>
    <t>SJI US</t>
  </si>
  <si>
    <t>Gas &amp; Water Utilities</t>
  </si>
  <si>
    <t>VIVO US</t>
  </si>
  <si>
    <t>South Korea</t>
  </si>
  <si>
    <t>Company Takeover, PE Buyout, Private Equity, Cross Border, Going Private</t>
  </si>
  <si>
    <t>BNFT US</t>
  </si>
  <si>
    <t>VOYA US</t>
  </si>
  <si>
    <t>MMX CN</t>
  </si>
  <si>
    <t>TFPM CN</t>
  </si>
  <si>
    <t>SW CN</t>
  </si>
  <si>
    <t>SMTC US</t>
  </si>
  <si>
    <t>IMGO US</t>
  </si>
  <si>
    <t>Company Takeover, Tender Offer, Private Equity, PE Buyout</t>
  </si>
  <si>
    <t>USER US</t>
  </si>
  <si>
    <t>POSH US</t>
  </si>
  <si>
    <t>035420 KS</t>
  </si>
  <si>
    <t>E-Commerce Discretionary</t>
  </si>
  <si>
    <t>Company Takeover, Cross Border, Private Equity, PE Buyout</t>
  </si>
  <si>
    <t>MNRL US</t>
  </si>
  <si>
    <t>LFG US</t>
  </si>
  <si>
    <t>ABMD US</t>
  </si>
  <si>
    <t>BTRS US</t>
  </si>
  <si>
    <t>PE Buyout, Private Equity, Cross Border, Going Private, Company Takeover</t>
  </si>
  <si>
    <t>SWCH US</t>
  </si>
  <si>
    <t>DBRG US</t>
  </si>
  <si>
    <t>FBC US</t>
  </si>
  <si>
    <t>FLG US</t>
  </si>
  <si>
    <t>PBFX US</t>
  </si>
  <si>
    <t>PBF US</t>
  </si>
  <si>
    <t>Company Takeover, Additional Stake Purchase, Majority purchase</t>
  </si>
  <si>
    <t>CLR US</t>
  </si>
  <si>
    <t>Company Takeover, Tender Offer, Additional Stake Purchase, Going Private, Tender Offer</t>
  </si>
  <si>
    <t>ZEN US</t>
  </si>
  <si>
    <t>AERI US</t>
  </si>
  <si>
    <t>ALC SW</t>
  </si>
  <si>
    <t>2454227D US</t>
  </si>
  <si>
    <t>CSVI US</t>
  </si>
  <si>
    <t>ECOM US</t>
  </si>
  <si>
    <t>CHUBA US</t>
  </si>
  <si>
    <t>RECP CN</t>
  </si>
  <si>
    <t>TWTR US</t>
  </si>
  <si>
    <t>Company Takeover, Additional Stake Purchase, Going Private</t>
  </si>
  <si>
    <t>CCXI US</t>
  </si>
  <si>
    <t>Y US</t>
  </si>
  <si>
    <t>BRK/A US</t>
  </si>
  <si>
    <t>AVLR US</t>
  </si>
  <si>
    <t>SHLX US</t>
  </si>
  <si>
    <t>SHEL LN</t>
  </si>
  <si>
    <t>Netherlands</t>
  </si>
  <si>
    <t>Additional Stake Purchase, Cross Border, Company Takeover</t>
  </si>
  <si>
    <t>PING US</t>
  </si>
  <si>
    <t>FMTX US</t>
  </si>
  <si>
    <t>CVET US</t>
  </si>
  <si>
    <t>PE Buyout, Additional Stake Purchase, Private Equity, Company Takeover, Going Private</t>
  </si>
  <si>
    <t>EXTN US</t>
  </si>
  <si>
    <t>EFX CN</t>
  </si>
  <si>
    <t>NLSN US</t>
  </si>
  <si>
    <t>TMX US</t>
  </si>
  <si>
    <t>RTO LN</t>
  </si>
  <si>
    <t>IEA US</t>
  </si>
  <si>
    <t>MTZ US</t>
  </si>
  <si>
    <t>GBT US</t>
  </si>
  <si>
    <t>BRG US</t>
  </si>
  <si>
    <t>CHNG US</t>
  </si>
  <si>
    <t>2177859D US</t>
  </si>
  <si>
    <t>DRE US</t>
  </si>
  <si>
    <t>PLD US</t>
  </si>
  <si>
    <t>CTXS US</t>
  </si>
  <si>
    <t>HNGR US</t>
  </si>
  <si>
    <t>ABTX US</t>
  </si>
  <si>
    <t>STEL US</t>
  </si>
  <si>
    <t>IBG CN</t>
  </si>
  <si>
    <t>ARCAD NA</t>
  </si>
  <si>
    <t>GCP US</t>
  </si>
  <si>
    <t>SGO FP</t>
  </si>
  <si>
    <t>HMLP US</t>
  </si>
  <si>
    <t>HLNG NO</t>
  </si>
  <si>
    <t>Norway</t>
  </si>
  <si>
    <t>Cross Border, Company Takeover, Going Private</t>
  </si>
  <si>
    <t>MANT US</t>
  </si>
  <si>
    <t>CG US</t>
  </si>
  <si>
    <t>CTT US</t>
  </si>
  <si>
    <t>AVST LN</t>
  </si>
  <si>
    <t>LWRK CN</t>
  </si>
  <si>
    <t>MGMB US</t>
  </si>
  <si>
    <t>POLY US</t>
  </si>
  <si>
    <t>HPQ US</t>
  </si>
  <si>
    <t>RTLR US</t>
  </si>
  <si>
    <t>FANG US</t>
  </si>
  <si>
    <t>TPTX US</t>
  </si>
  <si>
    <t>NSR CN</t>
  </si>
  <si>
    <t>2542797D US</t>
  </si>
  <si>
    <t>2302767D US</t>
  </si>
  <si>
    <t>Cross Border, Company Takeover, Private Equity, Tender Offer, PE Buyout, Going Private</t>
  </si>
  <si>
    <t>ACC US</t>
  </si>
  <si>
    <t>MTOR US</t>
  </si>
  <si>
    <t>CMI US</t>
  </si>
  <si>
    <t>NPTN US</t>
  </si>
  <si>
    <t>LITE US</t>
  </si>
  <si>
    <t>Semiconductors</t>
  </si>
  <si>
    <t>WBT US</t>
  </si>
  <si>
    <t>1483267D IM</t>
  </si>
  <si>
    <t>Competing Bid, Company Takeover, Cross Border, Going Private</t>
  </si>
  <si>
    <t>2540264D US</t>
  </si>
  <si>
    <t>PE Buyout, Company Takeover, Going Private, Private Equity, Additional Stake Purchase</t>
  </si>
  <si>
    <t>SAFM US</t>
  </si>
  <si>
    <t>2536085D US</t>
  </si>
  <si>
    <t>ERICB SS</t>
  </si>
  <si>
    <t>NTUS US</t>
  </si>
  <si>
    <t>9990721D US</t>
  </si>
  <si>
    <t>HR US</t>
  </si>
  <si>
    <t>MIC US</t>
  </si>
  <si>
    <t>1264605D US</t>
  </si>
  <si>
    <t>PSB US</t>
  </si>
  <si>
    <t>CDK US</t>
  </si>
  <si>
    <t>BN CN</t>
  </si>
  <si>
    <t>Private Equity, PE Buyout, Company Takeover, Cross Border, Tender Offer, Squeeze out, Going Private</t>
  </si>
  <si>
    <t>CCMP US</t>
  </si>
  <si>
    <t>ENTG US</t>
  </si>
  <si>
    <t>2592541D US</t>
  </si>
  <si>
    <t>MATV US</t>
  </si>
  <si>
    <t>2150994D US</t>
  </si>
  <si>
    <t>COHR US</t>
  </si>
  <si>
    <t>SRRA US</t>
  </si>
  <si>
    <t>Cross Border, Company Takeover, PE Buyout, Going Private, Private Equity</t>
  </si>
  <si>
    <t>WLL US</t>
  </si>
  <si>
    <t>TVTY US</t>
  </si>
  <si>
    <t>574765Z US</t>
  </si>
  <si>
    <t>ITP CN</t>
  </si>
  <si>
    <t>APTS US</t>
  </si>
  <si>
    <t>MSP US</t>
  </si>
  <si>
    <t>1651738D US</t>
  </si>
  <si>
    <t>PLAN US</t>
  </si>
  <si>
    <t>REGI US</t>
  </si>
  <si>
    <t>CERN US</t>
  </si>
  <si>
    <t>ORCL US</t>
  </si>
  <si>
    <t>TSC US</t>
  </si>
  <si>
    <t>RJF US</t>
  </si>
  <si>
    <t>OCDX US</t>
  </si>
  <si>
    <t>QDEL US</t>
  </si>
  <si>
    <t>ANAT US</t>
  </si>
  <si>
    <t>ATRS US</t>
  </si>
  <si>
    <t>HALO US</t>
  </si>
  <si>
    <t>ZNGA US</t>
  </si>
  <si>
    <t>TTWO US</t>
  </si>
  <si>
    <t>MIME US</t>
  </si>
  <si>
    <t>2061517D US</t>
  </si>
  <si>
    <t>EPAY US</t>
  </si>
  <si>
    <t>XENT US</t>
  </si>
  <si>
    <t>MDT US</t>
  </si>
  <si>
    <t>1337 HK</t>
  </si>
  <si>
    <t>ECOL US</t>
  </si>
  <si>
    <t>RSG US</t>
  </si>
  <si>
    <t>MGP US</t>
  </si>
  <si>
    <t>FOE US</t>
  </si>
  <si>
    <t>1583377D US</t>
  </si>
  <si>
    <t>STXB US</t>
  </si>
  <si>
    <t>SFNC US</t>
  </si>
  <si>
    <t>HMHC US</t>
  </si>
  <si>
    <t>3311331Z US</t>
  </si>
  <si>
    <t>Publishing &amp; Broadcasting</t>
  </si>
  <si>
    <t>Private Equity, Company Takeover, PE Buyout, Tender Offer, Going Private</t>
  </si>
  <si>
    <t>ISBC US</t>
  </si>
  <si>
    <t>CFG US</t>
  </si>
  <si>
    <t>PBCT US</t>
  </si>
  <si>
    <t>MTB US</t>
  </si>
  <si>
    <t>2289879D US</t>
  </si>
  <si>
    <t>BPMP US</t>
  </si>
  <si>
    <t>Company Takeover, Cross Border, Additional Stake Purchase</t>
  </si>
  <si>
    <t>VRS US</t>
  </si>
  <si>
    <t>BILL SS</t>
  </si>
  <si>
    <t>APR US</t>
  </si>
  <si>
    <t>ACH US</t>
  </si>
  <si>
    <t>GSKY US</t>
  </si>
  <si>
    <t>GS US</t>
  </si>
  <si>
    <t>CONE US</t>
  </si>
  <si>
    <t>FRTA US</t>
  </si>
  <si>
    <t>HXOH US</t>
  </si>
  <si>
    <t>0704811D US</t>
  </si>
  <si>
    <t>Company Takeover, PE Buyout, Competing Bid, Private Equity, Going Private</t>
  </si>
  <si>
    <t>KRA US</t>
  </si>
  <si>
    <t>000210 KS</t>
  </si>
  <si>
    <t>ARNA US</t>
  </si>
  <si>
    <t>PVG CN</t>
  </si>
  <si>
    <t>NCM AU</t>
  </si>
  <si>
    <t>PSXP US</t>
  </si>
  <si>
    <t>2564126D US</t>
  </si>
  <si>
    <t>JACK US</t>
  </si>
  <si>
    <t>ZGNX US</t>
  </si>
  <si>
    <t>UCB BB</t>
  </si>
  <si>
    <t>Belgium</t>
  </si>
  <si>
    <t>NUAN US</t>
  </si>
  <si>
    <t>CUF-U CN</t>
  </si>
  <si>
    <t>Company Takeover, Private Equity, PE Buyout, Cross Border, Going Private</t>
  </si>
  <si>
    <t>CPLG US</t>
  </si>
  <si>
    <t>MCFE US</t>
  </si>
  <si>
    <t>Private Equity, PE Buyout, Going Private, Company Takeover, Cross Border</t>
  </si>
  <si>
    <t>STFC US</t>
  </si>
  <si>
    <t>2262691Z US</t>
  </si>
  <si>
    <t>2499073D US</t>
  </si>
  <si>
    <t>SPGI US</t>
  </si>
  <si>
    <t>MNR US</t>
  </si>
  <si>
    <t>ILPT US</t>
  </si>
  <si>
    <t>RRD US</t>
  </si>
  <si>
    <t>0221781D US</t>
  </si>
  <si>
    <t>Additional Stake Purchase, Company Takeover, PE Buyout, Competing Bid, Going Private</t>
  </si>
  <si>
    <t>GBR CN</t>
  </si>
  <si>
    <t>K CN</t>
  </si>
  <si>
    <t>SIRR US</t>
  </si>
  <si>
    <t>BBDC US</t>
  </si>
  <si>
    <t>FMBI US</t>
  </si>
  <si>
    <t>ONB US</t>
  </si>
  <si>
    <t>PAE US</t>
  </si>
  <si>
    <t>1777945D US</t>
  </si>
  <si>
    <t>XLNX US</t>
  </si>
  <si>
    <t>AMD US</t>
  </si>
  <si>
    <t>KL CN</t>
  </si>
  <si>
    <t>OMP US</t>
  </si>
  <si>
    <t>STL US</t>
  </si>
  <si>
    <t>WBS US</t>
  </si>
  <si>
    <t>GWB US</t>
  </si>
  <si>
    <t>FIBK US</t>
  </si>
  <si>
    <t>NLC CN</t>
  </si>
  <si>
    <t>2899 HK</t>
  </si>
  <si>
    <t>China</t>
  </si>
  <si>
    <t>GSC CN</t>
  </si>
  <si>
    <t>600988 CH</t>
  </si>
  <si>
    <t>SC US</t>
  </si>
  <si>
    <t>SAN SM</t>
  </si>
  <si>
    <t>TGP US</t>
  </si>
  <si>
    <t>MGLN US</t>
  </si>
  <si>
    <t>CNC US</t>
  </si>
  <si>
    <t>CIT US</t>
  </si>
  <si>
    <t>FCNCA US</t>
  </si>
  <si>
    <t>ATH US</t>
  </si>
  <si>
    <t>PE Buyout, Company Takeover, Private Equity, Additional Stake Purchase</t>
  </si>
  <si>
    <t>BMTC US</t>
  </si>
  <si>
    <t>WSFS US</t>
  </si>
  <si>
    <t>RBNC US</t>
  </si>
  <si>
    <t>UCB US</t>
  </si>
  <si>
    <t>DRNA US</t>
  </si>
  <si>
    <t>2297634D US</t>
  </si>
  <si>
    <t>AMT US</t>
  </si>
  <si>
    <t>ZIXI US</t>
  </si>
  <si>
    <t>OTEX CN</t>
  </si>
  <si>
    <t>Tender Offer, Cross Border, Company Takeover, Squeeze out</t>
  </si>
  <si>
    <t>LMRK US</t>
  </si>
  <si>
    <t>0717654D US</t>
  </si>
  <si>
    <t>SRX CN</t>
  </si>
  <si>
    <t>CNQ CN</t>
  </si>
  <si>
    <t>LAACZ US</t>
  </si>
  <si>
    <t>CUBE US</t>
  </si>
  <si>
    <t>KSU US</t>
  </si>
  <si>
    <t>CP CN</t>
  </si>
  <si>
    <t>HRC US</t>
  </si>
  <si>
    <t>BAX US</t>
  </si>
  <si>
    <t>PPD US</t>
  </si>
  <si>
    <t>TMO US</t>
  </si>
  <si>
    <t>CXP US</t>
  </si>
  <si>
    <t>21429Z US</t>
  </si>
  <si>
    <t>ENBL US</t>
  </si>
  <si>
    <t>MDP US</t>
  </si>
  <si>
    <t>GTN US</t>
  </si>
  <si>
    <t>RAVN US</t>
  </si>
  <si>
    <t>CNH US</t>
  </si>
  <si>
    <t>Industrial Intermediate Prod</t>
  </si>
  <si>
    <t>CVA US</t>
  </si>
  <si>
    <t>UFS US</t>
  </si>
  <si>
    <t>2318624D US</t>
  </si>
  <si>
    <t>PE Buyout, Company Takeover, Cross Border, Private Equity, Going Private, Management Buyout</t>
  </si>
  <si>
    <t>XLRN US</t>
  </si>
  <si>
    <t>384877Z US</t>
  </si>
  <si>
    <t>CAI US</t>
  </si>
  <si>
    <t>8593 JP</t>
  </si>
  <si>
    <t>TRIL CN</t>
  </si>
  <si>
    <t>EBSB US</t>
  </si>
  <si>
    <t>CNBKA US</t>
  </si>
  <si>
    <t>XONE US</t>
  </si>
  <si>
    <t>DM US</t>
  </si>
  <si>
    <t>KDMN US</t>
  </si>
  <si>
    <t>QADB US</t>
  </si>
  <si>
    <t>PE Buyout, Company Takeover, Going Private, Private Equity</t>
  </si>
  <si>
    <t>IPL CN</t>
  </si>
  <si>
    <t>Hostile</t>
  </si>
  <si>
    <t>VEI US</t>
  </si>
  <si>
    <t>XOG US</t>
  </si>
  <si>
    <t>VER US</t>
  </si>
  <si>
    <t>MDLA US</t>
  </si>
  <si>
    <t>9966911D US</t>
  </si>
  <si>
    <t>RPAI US</t>
  </si>
  <si>
    <t>KRG US</t>
  </si>
  <si>
    <t>SIC US</t>
  </si>
  <si>
    <t>53815Z US</t>
  </si>
  <si>
    <t>WIR/U CN</t>
  </si>
  <si>
    <t>BREITII US</t>
  </si>
  <si>
    <t>2311171D CN</t>
  </si>
  <si>
    <t>PENN US</t>
  </si>
  <si>
    <t>CSOD US</t>
  </si>
  <si>
    <t>CLDR US</t>
  </si>
  <si>
    <t>LONE US</t>
  </si>
  <si>
    <t>STMP US</t>
  </si>
  <si>
    <t>HARV CN</t>
  </si>
  <si>
    <t>TRUL CN</t>
  </si>
  <si>
    <t>XEC US</t>
  </si>
  <si>
    <t>LDL US</t>
  </si>
  <si>
    <t>1657605D US</t>
  </si>
  <si>
    <t>ALTA US</t>
  </si>
  <si>
    <t>GBCI US</t>
  </si>
  <si>
    <t>2587987D CN</t>
  </si>
  <si>
    <t>GRA US</t>
  </si>
  <si>
    <t>0204657D US</t>
  </si>
  <si>
    <t>SNR US</t>
  </si>
  <si>
    <t>VTR US</t>
  </si>
  <si>
    <t>2218484D US</t>
  </si>
  <si>
    <t>Company Takeover, Cross Border, Additional Stake Purchase, Tender Offer</t>
  </si>
  <si>
    <t>CBB US</t>
  </si>
  <si>
    <t>779672Z US</t>
  </si>
  <si>
    <t>CORE US</t>
  </si>
  <si>
    <t>PFGC US</t>
  </si>
  <si>
    <t>Wholesale - Consumer Staples</t>
  </si>
  <si>
    <t>ORBC US</t>
  </si>
  <si>
    <t>PFPT US</t>
  </si>
  <si>
    <t>QTS US</t>
  </si>
  <si>
    <t>SYKE US</t>
  </si>
  <si>
    <t>1296003D FP</t>
  </si>
  <si>
    <t>MXIM US</t>
  </si>
  <si>
    <t>ADI US</t>
  </si>
  <si>
    <t>USCR US</t>
  </si>
  <si>
    <t>VMC US</t>
  </si>
  <si>
    <t>VVID US</t>
  </si>
  <si>
    <t>BAYN GR</t>
  </si>
  <si>
    <t>Company Takeover, Cross Border, Private Equity, PE Seller, Secondary Transaction, PE Buyout</t>
  </si>
  <si>
    <t>2447428D US</t>
  </si>
  <si>
    <t>2946429Z LN</t>
  </si>
  <si>
    <t>Company Takeover, Going Private, Cross Border, Tender Offer</t>
  </si>
  <si>
    <t>WRI US</t>
  </si>
  <si>
    <t>TLND US</t>
  </si>
  <si>
    <t>PE Buyout, Company Takeover, Private Equity, Tender Offer, Going Private</t>
  </si>
  <si>
    <t>BPY-U CN</t>
  </si>
  <si>
    <t>PE Buyout, Company Takeover, Going Private, Cross Border, Private Equity, Additional Stake Purchase</t>
  </si>
  <si>
    <t>HOME US</t>
  </si>
  <si>
    <t>6902Z US</t>
  </si>
  <si>
    <t>ALXN US</t>
  </si>
  <si>
    <t>WORK US</t>
  </si>
  <si>
    <t>KNL US</t>
  </si>
  <si>
    <t>MLKN US</t>
  </si>
  <si>
    <t>CNST US</t>
  </si>
  <si>
    <t>MOR GR</t>
  </si>
  <si>
    <t>DSSI US</t>
  </si>
  <si>
    <t>INSW US</t>
  </si>
  <si>
    <t>LMNX US</t>
  </si>
  <si>
    <t>DIA IM</t>
  </si>
  <si>
    <t>MSGN US</t>
  </si>
  <si>
    <t>SPHR US</t>
  </si>
  <si>
    <t>TEV CN</t>
  </si>
  <si>
    <t>SES CN</t>
  </si>
  <si>
    <t>ROXG CN</t>
  </si>
  <si>
    <t>FVI CN</t>
  </si>
  <si>
    <t>PRAH US</t>
  </si>
  <si>
    <t>ICLR US</t>
  </si>
  <si>
    <t>NAV US</t>
  </si>
  <si>
    <t>8TRA GR</t>
  </si>
  <si>
    <t>BPFH US</t>
  </si>
  <si>
    <t>SIVBQ US</t>
  </si>
  <si>
    <t>FSKR US</t>
  </si>
  <si>
    <t>FSK US</t>
  </si>
  <si>
    <t>STAY US</t>
  </si>
  <si>
    <t>9990620D US</t>
  </si>
  <si>
    <t>TKWY NA</t>
  </si>
  <si>
    <t>TCF US</t>
  </si>
  <si>
    <t>CTB US</t>
  </si>
  <si>
    <t>GT US</t>
  </si>
  <si>
    <t>CLGX US</t>
  </si>
  <si>
    <t>PE Buyout, Company Takeover, Private Equity</t>
  </si>
  <si>
    <t>WIFI US</t>
  </si>
  <si>
    <t>1427123D US</t>
  </si>
  <si>
    <t>CMD US</t>
  </si>
  <si>
    <t>STE US</t>
  </si>
  <si>
    <t>BCI CN</t>
  </si>
  <si>
    <t>GFN US</t>
  </si>
  <si>
    <t>URI US</t>
  </si>
  <si>
    <t>FFG US</t>
  </si>
  <si>
    <t>4527936Z US</t>
  </si>
  <si>
    <t>2464209D US</t>
  </si>
  <si>
    <t>PE Buyout, Company Takeover, Private Equity, Additional Stake Purchase, Going Private</t>
  </si>
  <si>
    <t>AEGN US</t>
  </si>
  <si>
    <t>161147Z US</t>
  </si>
  <si>
    <t>ATP CN</t>
  </si>
  <si>
    <t>0849702D US</t>
  </si>
  <si>
    <t>FLIR US</t>
  </si>
  <si>
    <t>TDY US</t>
  </si>
  <si>
    <t>PRSP US</t>
  </si>
  <si>
    <t>0153451D US</t>
  </si>
  <si>
    <t>APHA CN</t>
  </si>
  <si>
    <t>TLRY US</t>
  </si>
  <si>
    <t>WDR US</t>
  </si>
  <si>
    <t>MQG AU</t>
  </si>
  <si>
    <t>Company Takeover, Cross Border, Private Equity</t>
  </si>
  <si>
    <t>GLUU US</t>
  </si>
  <si>
    <t>EA US</t>
  </si>
  <si>
    <t>RP US</t>
  </si>
  <si>
    <t>GNMK US</t>
  </si>
  <si>
    <t>EGOV US</t>
  </si>
  <si>
    <t>TYL US</t>
  </si>
  <si>
    <t>IPHI US</t>
  </si>
  <si>
    <t>MRVL US</t>
  </si>
  <si>
    <t>FPRX US</t>
  </si>
  <si>
    <t>MIK US</t>
  </si>
  <si>
    <t>9990822D US</t>
  </si>
  <si>
    <t>CKH US</t>
  </si>
  <si>
    <t>30850Z US</t>
  </si>
  <si>
    <t>PE Buyout, Company Takeover, Squeeze out, Private Equity, Tender Offer, Going Private</t>
  </si>
  <si>
    <t>VAR US</t>
  </si>
  <si>
    <t>SHL GR</t>
  </si>
  <si>
    <t>HYGO US</t>
  </si>
  <si>
    <t>NFE US</t>
  </si>
  <si>
    <t>PL CN</t>
  </si>
  <si>
    <t>DRX LN</t>
  </si>
  <si>
    <t>VII CN</t>
  </si>
  <si>
    <t>ARX CN</t>
  </si>
  <si>
    <t>MTSC US</t>
  </si>
  <si>
    <t>APH US</t>
  </si>
  <si>
    <t>2637188D US</t>
  </si>
  <si>
    <t>MIC CN</t>
  </si>
  <si>
    <t>BBU-U CN</t>
  </si>
  <si>
    <t>HMSY US</t>
  </si>
  <si>
    <t>9340321Z US</t>
  </si>
  <si>
    <t>PAND US</t>
  </si>
  <si>
    <t>GEENQ US</t>
  </si>
  <si>
    <t>PE Buyout, Company Takeover, Private Equity, Bankruptcy/Liquidation</t>
  </si>
  <si>
    <t>ANH US</t>
  </si>
  <si>
    <t>QEP US</t>
  </si>
  <si>
    <t>VIE US</t>
  </si>
  <si>
    <t>TCP US</t>
  </si>
  <si>
    <t>TRP CN</t>
  </si>
  <si>
    <t>ACIA US</t>
  </si>
  <si>
    <t>2336307D US</t>
  </si>
  <si>
    <t>MS US</t>
  </si>
  <si>
    <t>1935157D US</t>
  </si>
  <si>
    <t>SPNT US</t>
  </si>
  <si>
    <t>TOG CN</t>
  </si>
  <si>
    <t>PEO CN</t>
  </si>
  <si>
    <t>TGZ CN</t>
  </si>
  <si>
    <t>9990526D CN</t>
  </si>
  <si>
    <t>Ivory Coast</t>
  </si>
  <si>
    <t>VRTU US</t>
  </si>
  <si>
    <t>Hong Kong</t>
  </si>
  <si>
    <t>EIGI US</t>
  </si>
  <si>
    <t>1917130D US</t>
  </si>
  <si>
    <t>PHIA NA</t>
  </si>
  <si>
    <t>CLCT US</t>
  </si>
  <si>
    <t>OSB CN</t>
  </si>
  <si>
    <t>WFG CN</t>
  </si>
  <si>
    <t>FBM US</t>
  </si>
  <si>
    <t>EIDX US</t>
  </si>
  <si>
    <t>BBIO US</t>
  </si>
  <si>
    <t>CLR CN</t>
  </si>
  <si>
    <t>PBH CN</t>
  </si>
  <si>
    <t>ARA US</t>
  </si>
  <si>
    <t>PRVL US</t>
  </si>
  <si>
    <t>CXO US</t>
  </si>
  <si>
    <t>1334534D US</t>
  </si>
  <si>
    <t>FIT US</t>
  </si>
  <si>
    <t>GOOGL US</t>
  </si>
  <si>
    <t>PE US</t>
  </si>
  <si>
    <t>2078185D US</t>
  </si>
  <si>
    <t>MC FP</t>
  </si>
  <si>
    <t>WPX US</t>
  </si>
  <si>
    <t>CLOV US</t>
  </si>
  <si>
    <t>Reverse Merger, Company Takeover, Private Equity</t>
  </si>
  <si>
    <t>HSE CN</t>
  </si>
  <si>
    <t>NGHC US</t>
  </si>
  <si>
    <t>ALL US</t>
  </si>
  <si>
    <t>BMCH US</t>
  </si>
  <si>
    <t>BLDR US</t>
  </si>
  <si>
    <t>GANS US</t>
  </si>
  <si>
    <t>1530Z US</t>
  </si>
  <si>
    <t>TCO US</t>
  </si>
  <si>
    <t>SPG US</t>
  </si>
  <si>
    <t>HDS US</t>
  </si>
  <si>
    <t>GLIBA US</t>
  </si>
  <si>
    <t>LBRDA US</t>
  </si>
  <si>
    <t>DNKN US</t>
  </si>
  <si>
    <t>0208044D US</t>
  </si>
  <si>
    <t>Company Takeover, Tender Offer, Going Private</t>
  </si>
  <si>
    <t>EMIS US</t>
  </si>
  <si>
    <t>BSTC US</t>
  </si>
  <si>
    <t>ENDPQ US</t>
  </si>
  <si>
    <t>MOBL US</t>
  </si>
  <si>
    <t>3911784Z US</t>
  </si>
  <si>
    <t>MYOK US</t>
  </si>
  <si>
    <t>AMAG US</t>
  </si>
  <si>
    <t>1684779D NA</t>
  </si>
  <si>
    <t>Company Takeover, Cross Border, Tender Offer, Going Private</t>
  </si>
  <si>
    <t>MR US</t>
  </si>
  <si>
    <t>WMGI US</t>
  </si>
  <si>
    <t>2571135D US</t>
  </si>
  <si>
    <t>1297953D US</t>
  </si>
  <si>
    <t>NVU-U CN</t>
  </si>
  <si>
    <t>PE Buyout, Company Takeover, Private Equity, Additional Stake Purchase, Real Estate, Going Private</t>
  </si>
  <si>
    <t>LVGO US</t>
  </si>
  <si>
    <t>TDOC US</t>
  </si>
  <si>
    <t>GNCIQ US</t>
  </si>
  <si>
    <t>600664 CH</t>
  </si>
  <si>
    <t>Company Takeover, Cross Border, Bankruptcy/Liquidation</t>
  </si>
  <si>
    <t>ADSW US</t>
  </si>
  <si>
    <t>IMMU US</t>
  </si>
  <si>
    <t>RST US</t>
  </si>
  <si>
    <t>ABCD US</t>
  </si>
  <si>
    <t>IPLP CN</t>
  </si>
  <si>
    <t>PE Buyout, Company Takeover, Cross Border, Private Equity</t>
  </si>
  <si>
    <t>AIMT US</t>
  </si>
  <si>
    <t>NESN SW</t>
  </si>
  <si>
    <t>Company Takeover, Squeeze out, Cross Border, Additional Stake Purchase, Tender Offer</t>
  </si>
  <si>
    <t>VSLR US</t>
  </si>
  <si>
    <t>RUN US</t>
  </si>
  <si>
    <t>1981718D US</t>
  </si>
  <si>
    <t>NBL US</t>
  </si>
  <si>
    <t>ETFC US</t>
  </si>
  <si>
    <t>MNTA US</t>
  </si>
  <si>
    <t>PRNB US</t>
  </si>
  <si>
    <t>MJCO US</t>
  </si>
  <si>
    <t>ASR CN</t>
  </si>
  <si>
    <t>SSRM CN</t>
  </si>
  <si>
    <t>LOGM US</t>
  </si>
  <si>
    <t>FSCT US</t>
  </si>
  <si>
    <t>FSB US</t>
  </si>
  <si>
    <t>FBK US</t>
  </si>
  <si>
    <t>LM US</t>
  </si>
  <si>
    <t>BEN US</t>
  </si>
  <si>
    <t>TERP US</t>
  </si>
  <si>
    <t>9213421D CN</t>
  </si>
  <si>
    <t>COTY US</t>
  </si>
  <si>
    <t>Household Products</t>
  </si>
  <si>
    <t>Convertible, Private Placement, Private Equity</t>
  </si>
  <si>
    <t>1964632D US</t>
  </si>
  <si>
    <t>0555061D US</t>
  </si>
  <si>
    <t>1816375D US</t>
  </si>
  <si>
    <t>CZR US</t>
  </si>
  <si>
    <t>SMF CN</t>
  </si>
  <si>
    <t>PTLA US</t>
  </si>
  <si>
    <t>IBKC US</t>
  </si>
  <si>
    <t>FHN US</t>
  </si>
  <si>
    <t>MINI US</t>
  </si>
  <si>
    <t>WSC US</t>
  </si>
  <si>
    <t>1812209D US</t>
  </si>
  <si>
    <t>MTCH US</t>
  </si>
  <si>
    <t>TECD US</t>
  </si>
  <si>
    <t>AXE US</t>
  </si>
  <si>
    <t>WCC US</t>
  </si>
  <si>
    <t>EQM US</t>
  </si>
  <si>
    <t>2301306D US</t>
  </si>
  <si>
    <t>2327 TT</t>
  </si>
  <si>
    <t>Taiwan</t>
  </si>
  <si>
    <t>CSFL US</t>
  </si>
  <si>
    <t>TIVO US</t>
  </si>
  <si>
    <t>ADEA US</t>
  </si>
  <si>
    <t>OPB US</t>
  </si>
  <si>
    <t>HYCT US</t>
  </si>
  <si>
    <t>HYMC US</t>
  </si>
  <si>
    <t>WBC US</t>
  </si>
  <si>
    <t>0296891D GR</t>
  </si>
  <si>
    <t>AGN US</t>
  </si>
  <si>
    <t>POPE US</t>
  </si>
  <si>
    <t>TSGI CN</t>
  </si>
  <si>
    <t>FLUT US</t>
  </si>
  <si>
    <t>CARO US</t>
  </si>
  <si>
    <t>UBSI US</t>
  </si>
  <si>
    <t>CY US</t>
  </si>
  <si>
    <t>IFX GR</t>
  </si>
  <si>
    <t>TGE US</t>
  </si>
  <si>
    <t>PE Buyout, Competing Bid, Company Takeover, Going Private, Cross Border, Private Equity, Additional Stake Purchase</t>
  </si>
  <si>
    <t>FTSV US</t>
  </si>
  <si>
    <t>RTN US</t>
  </si>
  <si>
    <t>RTX US</t>
  </si>
  <si>
    <t>RARX US</t>
  </si>
  <si>
    <t>ACI CN</t>
  </si>
  <si>
    <t>1897377D US</t>
  </si>
  <si>
    <t>TMUS US</t>
  </si>
  <si>
    <t>OMN US</t>
  </si>
  <si>
    <t>SYNT LN</t>
  </si>
  <si>
    <t>AYR US</t>
  </si>
  <si>
    <t>WAAS US</t>
  </si>
  <si>
    <t>3726978Z BB</t>
  </si>
  <si>
    <t>2607452D US</t>
  </si>
  <si>
    <t>6971 JP</t>
  </si>
  <si>
    <t>PEGI US</t>
  </si>
  <si>
    <t>AKS US</t>
  </si>
  <si>
    <t>LMC CN</t>
  </si>
  <si>
    <t>ZAYO US</t>
  </si>
  <si>
    <t>CNL CN</t>
  </si>
  <si>
    <t>HBC CN</t>
  </si>
  <si>
    <t>PE Buyout, Company Takeover, Going Private, Cross Border, Management Buyout, Private Equity, Additional Stake Purchase</t>
  </si>
  <si>
    <t>9998522D US</t>
  </si>
  <si>
    <t>PRMW CN</t>
  </si>
  <si>
    <t>1934798D US</t>
  </si>
  <si>
    <t>PWF CN</t>
  </si>
  <si>
    <t>POW CN</t>
  </si>
  <si>
    <t>LTS US</t>
  </si>
  <si>
    <t>1522085D US</t>
  </si>
  <si>
    <t>IPHS US</t>
  </si>
  <si>
    <t>0277677D US</t>
  </si>
  <si>
    <t>DPLO US</t>
  </si>
  <si>
    <t>WLH US</t>
  </si>
  <si>
    <t>TMHC US</t>
  </si>
  <si>
    <t>LPT US</t>
  </si>
  <si>
    <t>DGC CN</t>
  </si>
  <si>
    <t>CBPX US</t>
  </si>
  <si>
    <t>CISN US</t>
  </si>
  <si>
    <t>WCG US</t>
  </si>
  <si>
    <t>THOR US</t>
  </si>
  <si>
    <t>ARQL US</t>
  </si>
  <si>
    <t>BOLD US</t>
  </si>
  <si>
    <t>SRCI US</t>
  </si>
  <si>
    <t>2461881D US</t>
  </si>
  <si>
    <t>WAIR US</t>
  </si>
  <si>
    <t>PGF CN</t>
  </si>
  <si>
    <t>CONA CN</t>
  </si>
  <si>
    <t>IDDP US</t>
  </si>
  <si>
    <t>MDCO US</t>
  </si>
  <si>
    <t>ETO LN</t>
  </si>
  <si>
    <t>HAS US</t>
  </si>
  <si>
    <t>GWR US</t>
  </si>
  <si>
    <t>PVTL US</t>
  </si>
  <si>
    <t>CARB US</t>
  </si>
  <si>
    <t>CRZO US</t>
  </si>
  <si>
    <t>PSDO US</t>
  </si>
  <si>
    <t>2496Z LN</t>
  </si>
  <si>
    <t>KML CN</t>
  </si>
  <si>
    <t>PPL CN</t>
  </si>
  <si>
    <t>ONCE US</t>
  </si>
  <si>
    <t>WJA CN</t>
  </si>
  <si>
    <t>ONEX CN</t>
  </si>
  <si>
    <t>DRG-U CN</t>
  </si>
  <si>
    <t>2370058D US</t>
  </si>
  <si>
    <t>TFC US</t>
  </si>
  <si>
    <t>VSI US</t>
  </si>
  <si>
    <t>ROAN US</t>
  </si>
  <si>
    <t>1697990D US</t>
  </si>
  <si>
    <t>VIAB US</t>
  </si>
  <si>
    <t>2568368D US</t>
  </si>
  <si>
    <t>CBM US</t>
  </si>
  <si>
    <t>ORIT US</t>
  </si>
  <si>
    <t>VLY US</t>
  </si>
  <si>
    <t>CELG US</t>
  </si>
  <si>
    <t>MCRN US</t>
  </si>
  <si>
    <t>9749933D US</t>
  </si>
  <si>
    <t>TDAY US</t>
  </si>
  <si>
    <t>DOVA US</t>
  </si>
  <si>
    <t>GHDX US</t>
  </si>
  <si>
    <t>BPL US</t>
  </si>
  <si>
    <t>559435Z AU</t>
  </si>
  <si>
    <t>LTXB US</t>
  </si>
  <si>
    <t>PB US</t>
  </si>
  <si>
    <t>NRCG US</t>
  </si>
  <si>
    <t>UBNK US</t>
  </si>
  <si>
    <t>CJ US</t>
  </si>
  <si>
    <t>MDSO US</t>
  </si>
  <si>
    <t>DSY FP</t>
  </si>
  <si>
    <t>CVRS US</t>
  </si>
  <si>
    <t>RTEC US</t>
  </si>
  <si>
    <t>ONTO US</t>
  </si>
  <si>
    <t>ALDR US</t>
  </si>
  <si>
    <t>ISCA US</t>
  </si>
  <si>
    <t>1358117D US</t>
  </si>
  <si>
    <t>TYPE US</t>
  </si>
  <si>
    <t>3069467Z US</t>
  </si>
  <si>
    <t>2319518D US</t>
  </si>
  <si>
    <t>1580196D US</t>
  </si>
  <si>
    <t>CTWS US</t>
  </si>
  <si>
    <t>HTO US</t>
  </si>
  <si>
    <t>CBLK US</t>
  </si>
  <si>
    <t>VSM US</t>
  </si>
  <si>
    <t>2606902D US</t>
  </si>
  <si>
    <t>1725739D US</t>
  </si>
  <si>
    <t>VNR CN</t>
  </si>
  <si>
    <t>OAK US</t>
  </si>
  <si>
    <t>NRE US</t>
  </si>
  <si>
    <t>CS FP</t>
  </si>
  <si>
    <t>TOWR US</t>
  </si>
  <si>
    <t>1670610D US</t>
  </si>
  <si>
    <t>RUF/U CN</t>
  </si>
  <si>
    <t>0461694D US</t>
  </si>
  <si>
    <t>Company Takeover, Cross Border, Going Private, PE Buyout</t>
  </si>
  <si>
    <t>SFLY US</t>
  </si>
  <si>
    <t>CRAY US</t>
  </si>
  <si>
    <t>DFRG US</t>
  </si>
  <si>
    <t>FNSR US</t>
  </si>
  <si>
    <t>2512543D US</t>
  </si>
  <si>
    <t>TSS US</t>
  </si>
  <si>
    <t>CHSP US</t>
  </si>
  <si>
    <t>PK US</t>
  </si>
  <si>
    <t>PCMI US</t>
  </si>
  <si>
    <t>NSIT US</t>
  </si>
  <si>
    <t>WAGE US</t>
  </si>
  <si>
    <t>HQY US</t>
  </si>
  <si>
    <t>APU US</t>
  </si>
  <si>
    <t>UGI US</t>
  </si>
  <si>
    <t>2616271D US</t>
  </si>
  <si>
    <t>OXY US</t>
  </si>
  <si>
    <t>BKS US</t>
  </si>
  <si>
    <t>978325Z US</t>
  </si>
  <si>
    <t>CTRL US</t>
  </si>
  <si>
    <t>1010537D US</t>
  </si>
  <si>
    <t>DATA US</t>
  </si>
  <si>
    <t>9745633D US</t>
  </si>
  <si>
    <t>WP US</t>
  </si>
  <si>
    <t>FIS US</t>
  </si>
  <si>
    <t>1832555D US</t>
  </si>
  <si>
    <t>ANDX US</t>
  </si>
  <si>
    <t>MPLX US</t>
  </si>
  <si>
    <t>Majority purchase</t>
  </si>
  <si>
    <t>FDC US</t>
  </si>
  <si>
    <t>FISV US</t>
  </si>
  <si>
    <t>LEXEA US</t>
  </si>
  <si>
    <t>EXPE US</t>
  </si>
  <si>
    <t>EFII US</t>
  </si>
  <si>
    <t>8210273Z US</t>
  </si>
  <si>
    <t>AGB CN</t>
  </si>
  <si>
    <t>SBM AU</t>
  </si>
  <si>
    <t>BRSS US</t>
  </si>
  <si>
    <t>2740681Z GR</t>
  </si>
  <si>
    <t>RHT US</t>
  </si>
  <si>
    <t>2259062D US</t>
  </si>
  <si>
    <t>JLL US</t>
  </si>
  <si>
    <t>1927294D US</t>
  </si>
  <si>
    <t>LABL US</t>
  </si>
  <si>
    <t>SFS US</t>
  </si>
  <si>
    <t>QTNA US</t>
  </si>
  <si>
    <t>ON US</t>
  </si>
  <si>
    <t>TIER US</t>
  </si>
  <si>
    <t>CUZ US</t>
  </si>
  <si>
    <t>STUS/A CN</t>
  </si>
  <si>
    <t>N.A.</t>
  </si>
  <si>
    <t>KEYW US</t>
  </si>
  <si>
    <t>9990213D US</t>
  </si>
  <si>
    <t>BMS US</t>
  </si>
  <si>
    <t>NITE US</t>
  </si>
  <si>
    <t>TVPT US</t>
  </si>
  <si>
    <t>NAVG US</t>
  </si>
  <si>
    <t>HIG US</t>
  </si>
  <si>
    <t>HIFR US</t>
  </si>
  <si>
    <t>SRE US</t>
  </si>
  <si>
    <t>2291909D US</t>
  </si>
  <si>
    <t>OHI US</t>
  </si>
  <si>
    <t>MPMQ US</t>
  </si>
  <si>
    <t>Private Placement, Company Takeover, Cross Border, Private Equity, Going Private, PE Buyout</t>
  </si>
  <si>
    <t>2604374D US</t>
  </si>
  <si>
    <t>SUM CN</t>
  </si>
  <si>
    <t>1074556D LX</t>
  </si>
  <si>
    <t>Austria</t>
  </si>
  <si>
    <t>Cross Border, Private Equity, Majority purchase, Additional Stake Purchase, Tender Offer</t>
  </si>
  <si>
    <t>2390302D US</t>
  </si>
  <si>
    <t>7685199Z GR</t>
  </si>
  <si>
    <t>1861468D CN</t>
  </si>
  <si>
    <t>NEM US</t>
  </si>
  <si>
    <t>CMTA US</t>
  </si>
  <si>
    <t>AGTF CN</t>
  </si>
  <si>
    <t>Company Takeover, Going Private, Management Buyout</t>
  </si>
  <si>
    <t>OSIR US</t>
  </si>
  <si>
    <t>SN/ LN</t>
  </si>
  <si>
    <t>RDC US</t>
  </si>
  <si>
    <t>VALPQ US</t>
  </si>
  <si>
    <t>ARRS US</t>
  </si>
  <si>
    <t>VISN US</t>
  </si>
  <si>
    <t>IDTI US</t>
  </si>
  <si>
    <t>6723 JP</t>
  </si>
  <si>
    <t>NCOM US</t>
  </si>
  <si>
    <t>BHBK US</t>
  </si>
  <si>
    <t>MBFI US</t>
  </si>
  <si>
    <t>TFCFA US</t>
  </si>
  <si>
    <t>DIS US</t>
  </si>
  <si>
    <t>ESL US</t>
  </si>
  <si>
    <t>TDG US</t>
  </si>
  <si>
    <t>9966611D US</t>
  </si>
  <si>
    <t>AM US</t>
  </si>
  <si>
    <t>Related Party Transaction, Company Takeover, Majority purchase</t>
  </si>
  <si>
    <t>NTRI US</t>
  </si>
  <si>
    <t>NSU CN</t>
  </si>
  <si>
    <t>Company Takeover, Squeeze out, Cross Border, Tender Offer</t>
  </si>
  <si>
    <t>1933924D US</t>
  </si>
  <si>
    <t>NXEO US</t>
  </si>
  <si>
    <t>REN US</t>
  </si>
  <si>
    <t>BNCL US</t>
  </si>
  <si>
    <t>ITG US</t>
  </si>
  <si>
    <t>VIRT US</t>
  </si>
  <si>
    <t>9953211D US</t>
  </si>
  <si>
    <t>TLP US</t>
  </si>
  <si>
    <t>180323Z US</t>
  </si>
  <si>
    <t>THO CN</t>
  </si>
  <si>
    <t>NXTM US</t>
  </si>
  <si>
    <t>1410712D GR</t>
  </si>
  <si>
    <t>1853748D CN</t>
  </si>
  <si>
    <t>ESI CN</t>
  </si>
  <si>
    <t>Unsolicited to Hostile</t>
  </si>
  <si>
    <t>Company Takeover, Going Private, Additional Stake Purchase, Tender Offer</t>
  </si>
  <si>
    <t>LOXO US</t>
  </si>
  <si>
    <t>Company Takeover, Squeeze out, Tender Offer</t>
  </si>
  <si>
    <t>2512660D US</t>
  </si>
  <si>
    <t>NFX US</t>
  </si>
  <si>
    <t>1885807D US</t>
  </si>
  <si>
    <t>1806854D US</t>
  </si>
  <si>
    <t>ESIO US</t>
  </si>
  <si>
    <t>MKSI US</t>
  </si>
  <si>
    <t>VVC US</t>
  </si>
  <si>
    <t>CNP US</t>
  </si>
  <si>
    <t>P US</t>
  </si>
  <si>
    <t>9210611D US</t>
  </si>
  <si>
    <t>SEND US</t>
  </si>
  <si>
    <t>TWLO US</t>
  </si>
  <si>
    <t>WRD US</t>
  </si>
  <si>
    <t>ESND US</t>
  </si>
  <si>
    <t>2619871D US</t>
  </si>
  <si>
    <t>ANCX US</t>
  </si>
  <si>
    <t>ENLK US</t>
  </si>
  <si>
    <t>1851869D US</t>
  </si>
  <si>
    <t>D US</t>
  </si>
  <si>
    <t>BOJA US</t>
  </si>
  <si>
    <t>SAP GR</t>
  </si>
  <si>
    <t>TSRO US</t>
  </si>
  <si>
    <t>EGL US</t>
  </si>
  <si>
    <t>SAIC US</t>
  </si>
  <si>
    <t>IMPV US</t>
  </si>
  <si>
    <t>EQGP US</t>
  </si>
  <si>
    <t>Option Agreement, Company Takeover, Additional Stake Purchase</t>
  </si>
  <si>
    <t>APTI US</t>
  </si>
  <si>
    <t>VLP US</t>
  </si>
  <si>
    <t>VLO US</t>
  </si>
  <si>
    <t>SHP LN</t>
  </si>
  <si>
    <t>4502 JP</t>
  </si>
  <si>
    <t>CVON US</t>
  </si>
  <si>
    <t>2270Z LN</t>
  </si>
  <si>
    <t>HDP US</t>
  </si>
  <si>
    <t>SCG US</t>
  </si>
  <si>
    <t>SIR US</t>
  </si>
  <si>
    <t>OPITQ US</t>
  </si>
  <si>
    <t>FCB US</t>
  </si>
  <si>
    <t>MSPP US</t>
  </si>
  <si>
    <t>GBNK US</t>
  </si>
  <si>
    <t>STBZ US</t>
  </si>
  <si>
    <t>GNBC US</t>
  </si>
  <si>
    <t>ECYT US</t>
  </si>
  <si>
    <t>ESRX US</t>
  </si>
  <si>
    <t>CI US</t>
  </si>
  <si>
    <t>XOXO US</t>
  </si>
  <si>
    <t>2679513Z US</t>
  </si>
  <si>
    <t>EEP US</t>
  </si>
  <si>
    <t>ENB CN</t>
  </si>
  <si>
    <t>CCT US</t>
  </si>
  <si>
    <t>EEQ US</t>
  </si>
  <si>
    <t>PXX CN</t>
  </si>
  <si>
    <t>IPCO SS</t>
  </si>
  <si>
    <t>SEP US</t>
  </si>
  <si>
    <t>KERX US</t>
  </si>
  <si>
    <t>AKBA US</t>
  </si>
  <si>
    <t>OCLR US</t>
  </si>
  <si>
    <t>FCE/A US</t>
  </si>
  <si>
    <t>SONC US</t>
  </si>
  <si>
    <t>ENS US</t>
  </si>
  <si>
    <t>Industrials, Industrials, Technology</t>
  </si>
  <si>
    <t>Industrial Products, Industrial Products, Tech Hardware &amp; Semiconductors</t>
  </si>
  <si>
    <t>Electrical Equipment, Electrical Equipment, Technology Hardware</t>
  </si>
  <si>
    <t>ARII US</t>
  </si>
  <si>
    <t>1349933D US</t>
  </si>
  <si>
    <t>LHO US</t>
  </si>
  <si>
    <t>PEB US</t>
  </si>
  <si>
    <t>MITL US</t>
  </si>
  <si>
    <t>0111436D LN</t>
  </si>
  <si>
    <t>EGN US</t>
  </si>
  <si>
    <t>AFSI US</t>
  </si>
  <si>
    <t>PE Buyout, Company Takeover, Cross Border, Management Buyout, Private Equity, Going Private</t>
  </si>
  <si>
    <t>AET US</t>
  </si>
  <si>
    <t>COL US</t>
  </si>
  <si>
    <t>LPNT US</t>
  </si>
  <si>
    <t>3355228Z US</t>
  </si>
  <si>
    <t>IL US</t>
  </si>
  <si>
    <t>SSNC US</t>
  </si>
  <si>
    <t>Company Takeover, Private Equity</t>
  </si>
  <si>
    <t>KMG US</t>
  </si>
  <si>
    <t>REXXQ US</t>
  </si>
  <si>
    <t>0562792D US</t>
  </si>
  <si>
    <t>ENF CN</t>
  </si>
  <si>
    <t>KTWO US</t>
  </si>
  <si>
    <t>2326248D US</t>
  </si>
  <si>
    <t>KS US</t>
  </si>
  <si>
    <t>CPPY US</t>
  </si>
  <si>
    <t>WPC US</t>
  </si>
  <si>
    <t>CHP-U CN</t>
  </si>
  <si>
    <t>WN CN</t>
  </si>
  <si>
    <t>Majority purchase, Additional Stake Purchase</t>
  </si>
  <si>
    <t>PF US</t>
  </si>
  <si>
    <t>CAG US</t>
  </si>
  <si>
    <t>SVU US</t>
  </si>
  <si>
    <t>UNFI US</t>
  </si>
  <si>
    <t>ETP US</t>
  </si>
  <si>
    <t>ECI CN</t>
  </si>
  <si>
    <t>BIP US</t>
  </si>
  <si>
    <t>XRM US</t>
  </si>
  <si>
    <t>ANDR AV</t>
  </si>
  <si>
    <t>PNK US</t>
  </si>
  <si>
    <t>EVHC US</t>
  </si>
  <si>
    <t>9990531D US</t>
  </si>
  <si>
    <t>WEB US</t>
  </si>
  <si>
    <t>GPT US</t>
  </si>
  <si>
    <t>PE Buyout, Company Takeover, Private Equity, Real Estate, Going Private</t>
  </si>
  <si>
    <t>KLXI US</t>
  </si>
  <si>
    <t>SYNT US</t>
  </si>
  <si>
    <t>ATO FP</t>
  </si>
  <si>
    <t>CVG US</t>
  </si>
  <si>
    <t>SNX US</t>
  </si>
  <si>
    <t>1909395D US</t>
  </si>
  <si>
    <t>XCRA US</t>
  </si>
  <si>
    <t>COHU US</t>
  </si>
  <si>
    <t>1752683D US</t>
  </si>
  <si>
    <t>ANDV US</t>
  </si>
  <si>
    <t>MPC US</t>
  </si>
  <si>
    <t>COBZ US</t>
  </si>
  <si>
    <t>BOKF US</t>
  </si>
  <si>
    <t>TPCA US</t>
  </si>
  <si>
    <t>1719848D US</t>
  </si>
  <si>
    <t>114208Z US</t>
  </si>
  <si>
    <t>CQH US</t>
  </si>
  <si>
    <t>LNG US</t>
  </si>
  <si>
    <t>1831877D US</t>
  </si>
  <si>
    <t>MTGE US</t>
  </si>
  <si>
    <t>NLY US</t>
  </si>
  <si>
    <t>1859004D US</t>
  </si>
  <si>
    <t>VAC US</t>
  </si>
  <si>
    <t>RRX CN</t>
  </si>
  <si>
    <t>COTV US</t>
  </si>
  <si>
    <t>1926554D US</t>
  </si>
  <si>
    <t>1817382D US</t>
  </si>
  <si>
    <t>SHLM US</t>
  </si>
  <si>
    <t>LYB US</t>
  </si>
  <si>
    <t>1885525D US</t>
  </si>
  <si>
    <t>PE Buyout, Company Takeover, Going Private, Cross Border, Private Equity</t>
  </si>
  <si>
    <t>WPZ US</t>
  </si>
  <si>
    <t>WMB US</t>
  </si>
  <si>
    <t>1774631D CN</t>
  </si>
  <si>
    <t>S32 AU</t>
  </si>
  <si>
    <t>CYHT US</t>
  </si>
  <si>
    <t>CYS US</t>
  </si>
  <si>
    <t>TWO US</t>
  </si>
  <si>
    <t>FMI US</t>
  </si>
  <si>
    <t>ABAX US</t>
  </si>
  <si>
    <t>ZTS US</t>
  </si>
  <si>
    <t>CPLA US</t>
  </si>
  <si>
    <t>STRA US</t>
  </si>
  <si>
    <t>NSM US</t>
  </si>
  <si>
    <t>QCP US</t>
  </si>
  <si>
    <t>WELL US</t>
  </si>
  <si>
    <t>1796579D CN</t>
  </si>
  <si>
    <t>ACB CN</t>
  </si>
  <si>
    <t>RMP US</t>
  </si>
  <si>
    <t>1842126D US</t>
  </si>
  <si>
    <t>RSPP US</t>
  </si>
  <si>
    <t>FNGN US</t>
  </si>
  <si>
    <t>2042261D US</t>
  </si>
  <si>
    <t>AIG US</t>
  </si>
  <si>
    <t>1013340Z US</t>
  </si>
  <si>
    <t>Energy, Energy, Energy</t>
  </si>
  <si>
    <t>Oil &amp; Gas, Oil &amp; Gas, Oil &amp; Gas</t>
  </si>
  <si>
    <t>Oil &amp; Gas Supply Chain, Oil &amp; Gas Supply Chain, Oil &amp; Gas Supply Chain</t>
  </si>
  <si>
    <t>PE Buyout, Company Takeover, Private Equity, Majority purchase</t>
  </si>
  <si>
    <t>BWP US</t>
  </si>
  <si>
    <t>L US</t>
  </si>
  <si>
    <t>GPNC US</t>
  </si>
  <si>
    <t>9999966D US</t>
  </si>
  <si>
    <t>SPB US</t>
  </si>
  <si>
    <t>WGL US</t>
  </si>
  <si>
    <t>ALA CN</t>
  </si>
  <si>
    <t>Elec &amp; Gas Marketing &amp; Trading</t>
  </si>
  <si>
    <t>CAVM US</t>
  </si>
  <si>
    <t>9995577D US</t>
  </si>
  <si>
    <t>IPCC US</t>
  </si>
  <si>
    <t>KMPR US</t>
  </si>
  <si>
    <t>HCOM US</t>
  </si>
  <si>
    <t>TEP US</t>
  </si>
  <si>
    <t>KND US</t>
  </si>
  <si>
    <t>ARMO US</t>
  </si>
  <si>
    <t>ALOG US</t>
  </si>
  <si>
    <t>2823370Z US</t>
  </si>
  <si>
    <t>CAFD US</t>
  </si>
  <si>
    <t>0203642D SW</t>
  </si>
  <si>
    <t>ASHG US</t>
  </si>
  <si>
    <t>CRH US</t>
  </si>
  <si>
    <t>HAWK US</t>
  </si>
  <si>
    <t>GNRT US</t>
  </si>
  <si>
    <t>CMBT BB</t>
  </si>
  <si>
    <t>OA US</t>
  </si>
  <si>
    <t>NOC US</t>
  </si>
  <si>
    <t>2290985D US</t>
  </si>
  <si>
    <t>AHGP US</t>
  </si>
  <si>
    <t>ARLP US</t>
  </si>
  <si>
    <t>SPE CN</t>
  </si>
  <si>
    <t>VET CN</t>
  </si>
  <si>
    <t>FMSA US</t>
  </si>
  <si>
    <t>CVIAQ US</t>
  </si>
  <si>
    <t>MSCC US</t>
  </si>
  <si>
    <t>MCHP US</t>
  </si>
  <si>
    <t>AAR-U CN</t>
  </si>
  <si>
    <t>PE Buyout, Company Takeover, Cross Border, Private Equity, Real Estate, Going Private</t>
  </si>
  <si>
    <t>AVXS US</t>
  </si>
  <si>
    <t>PJC/A CN</t>
  </si>
  <si>
    <t>MRU CN</t>
  </si>
  <si>
    <t>CBI US</t>
  </si>
  <si>
    <t>MDRIQ US</t>
  </si>
  <si>
    <t>REF-U CN</t>
  </si>
  <si>
    <t>MBBYF US</t>
  </si>
  <si>
    <t>INTC US</t>
  </si>
  <si>
    <t>MULE US</t>
  </si>
  <si>
    <t>STB CN</t>
  </si>
  <si>
    <t>CMED CN</t>
  </si>
  <si>
    <t>APLP US</t>
  </si>
  <si>
    <t>AROC US</t>
  </si>
  <si>
    <t>1811045D US</t>
  </si>
  <si>
    <t>GIS US</t>
  </si>
  <si>
    <t>DST US</t>
  </si>
  <si>
    <t>PGEM US</t>
  </si>
  <si>
    <t>1824906D US</t>
  </si>
  <si>
    <t>CALD US</t>
  </si>
  <si>
    <t>1940857D US</t>
  </si>
  <si>
    <t>500735Z FP</t>
  </si>
  <si>
    <t>PE Buyout, Company Takeover, Private Equity, Going Private, Cross Border</t>
  </si>
  <si>
    <t>CSRA US</t>
  </si>
  <si>
    <t>GD US</t>
  </si>
  <si>
    <t>AVO CN</t>
  </si>
  <si>
    <t>MSI US</t>
  </si>
  <si>
    <t>MSFG US</t>
  </si>
  <si>
    <t>FFBC US</t>
  </si>
  <si>
    <t>AFAM US</t>
  </si>
  <si>
    <t>LNCE US</t>
  </si>
  <si>
    <t>QVCAQ US</t>
  </si>
  <si>
    <t>CPN US</t>
  </si>
  <si>
    <t>BIVV US</t>
  </si>
  <si>
    <t>1667208D US</t>
  </si>
  <si>
    <t>3405 JP</t>
  </si>
  <si>
    <t>2558202D US</t>
  </si>
  <si>
    <t>WBD US</t>
  </si>
  <si>
    <t>JUNO US</t>
  </si>
  <si>
    <t>1903130D US</t>
  </si>
  <si>
    <t>CINE LN</t>
  </si>
  <si>
    <t>ENTL US</t>
  </si>
  <si>
    <t>STRP US</t>
  </si>
  <si>
    <t>DEL US</t>
  </si>
  <si>
    <t>1868126D US</t>
  </si>
  <si>
    <t>8818Z US</t>
  </si>
  <si>
    <t>SCMP US</t>
  </si>
  <si>
    <t>CAA US</t>
  </si>
  <si>
    <t>LEN US</t>
  </si>
  <si>
    <t>CUDA US</t>
  </si>
  <si>
    <t>AXY CN</t>
  </si>
  <si>
    <t>BWLD US</t>
  </si>
  <si>
    <t>8453169Z US</t>
  </si>
  <si>
    <t>BSFT US</t>
  </si>
  <si>
    <t>2008551D US</t>
  </si>
  <si>
    <t>BETR US</t>
  </si>
  <si>
    <t>HSY US</t>
  </si>
  <si>
    <t>IXYS US</t>
  </si>
  <si>
    <t>LFUS US</t>
  </si>
  <si>
    <t>BOBE US</t>
  </si>
  <si>
    <t>POST US</t>
  </si>
  <si>
    <t>SSNI US</t>
  </si>
  <si>
    <t>ITRI US</t>
  </si>
  <si>
    <t>HSNI US</t>
  </si>
  <si>
    <t>USAB US</t>
  </si>
  <si>
    <t>XBKS US</t>
  </si>
  <si>
    <t>BCR US</t>
  </si>
  <si>
    <t>BDX US</t>
  </si>
  <si>
    <t>1865332D US</t>
  </si>
  <si>
    <t>PE Buyout, Company Takeover, Cross Border, Private Equity, Additional Stake Purchase, Tender Offer, Infrastructure/Real Assets, Going Private</t>
  </si>
  <si>
    <t>2060389D US</t>
  </si>
  <si>
    <t>9984 JP</t>
  </si>
  <si>
    <t>GIMO US</t>
  </si>
  <si>
    <t>ARCX US</t>
  </si>
  <si>
    <t>1534420D KY</t>
  </si>
  <si>
    <t>Cayman Islands</t>
  </si>
  <si>
    <t>PMC US</t>
  </si>
  <si>
    <t>CBF US</t>
  </si>
  <si>
    <t>FGL US</t>
  </si>
  <si>
    <t>PSTB US</t>
  </si>
  <si>
    <t>TIL NO</t>
  </si>
  <si>
    <t>TNK US</t>
  </si>
  <si>
    <t>RIC CN</t>
  </si>
  <si>
    <t>VWR US</t>
  </si>
  <si>
    <t>4465452Z US</t>
  </si>
  <si>
    <t>TMB CN</t>
  </si>
  <si>
    <t>RYAM US</t>
  </si>
  <si>
    <t>1888299D US</t>
  </si>
  <si>
    <t>SNC US</t>
  </si>
  <si>
    <t>MKL US</t>
  </si>
  <si>
    <t>LMOS US</t>
  </si>
  <si>
    <t>PE Buyout, Company Takeover, Cross Border, Private Equity, Infrastructure/Real Assets, Going Private</t>
  </si>
  <si>
    <t>SFR US</t>
  </si>
  <si>
    <t>INVH US</t>
  </si>
  <si>
    <t>1850242D US</t>
  </si>
  <si>
    <t>2192176D US</t>
  </si>
  <si>
    <t>2869270Z US</t>
  </si>
  <si>
    <t>DDC CN</t>
  </si>
  <si>
    <t>3043451Z US</t>
  </si>
  <si>
    <t>PCBK US</t>
  </si>
  <si>
    <t>HFC US</t>
  </si>
  <si>
    <t>Undisclosed</t>
  </si>
  <si>
    <t>WNRL US</t>
  </si>
  <si>
    <t>CUNB US</t>
  </si>
  <si>
    <t>LDR US</t>
  </si>
  <si>
    <t>FTV US</t>
  </si>
  <si>
    <t>Cross Border, Private Equity, Majority purchase, Additional Stake Purchase</t>
  </si>
  <si>
    <t>PKY US</t>
  </si>
  <si>
    <t>3682Z CN</t>
  </si>
  <si>
    <t>WSTC US</t>
  </si>
  <si>
    <t>ATW US</t>
  </si>
  <si>
    <t>PTHN US</t>
  </si>
  <si>
    <t>VSN CN</t>
  </si>
  <si>
    <t>DGI US</t>
  </si>
  <si>
    <t>KITE US</t>
  </si>
  <si>
    <t>AF US</t>
  </si>
  <si>
    <t>FPO US</t>
  </si>
  <si>
    <t>NEFF US</t>
  </si>
  <si>
    <t>9895420D US</t>
  </si>
  <si>
    <t>PRXL US</t>
  </si>
  <si>
    <t>2166332Z LN</t>
  </si>
  <si>
    <t>1899786D US</t>
  </si>
  <si>
    <t>IFC CN</t>
  </si>
  <si>
    <t>SGBK US</t>
  </si>
  <si>
    <t>HOMB US</t>
  </si>
  <si>
    <t>TOO US</t>
  </si>
  <si>
    <t>Private Placement, Cross Border, Majority purchase</t>
  </si>
  <si>
    <t>2222499D US</t>
  </si>
  <si>
    <t>WBMD US</t>
  </si>
  <si>
    <t>1005501D US</t>
  </si>
  <si>
    <t>MYCC US</t>
  </si>
  <si>
    <t>TET CN</t>
  </si>
  <si>
    <t>POU CN</t>
  </si>
  <si>
    <t>DFT US</t>
  </si>
  <si>
    <t>DLR US</t>
  </si>
  <si>
    <t>1850925D US</t>
  </si>
  <si>
    <t>9876444D US</t>
  </si>
  <si>
    <t>NDQ CN</t>
  </si>
  <si>
    <t>FCH US</t>
  </si>
  <si>
    <t>RLJ US</t>
  </si>
  <si>
    <t>AMRI US</t>
  </si>
  <si>
    <t>WFM US</t>
  </si>
  <si>
    <t>CCP US</t>
  </si>
  <si>
    <t>SBRA US</t>
  </si>
  <si>
    <t>SPNC US</t>
  </si>
  <si>
    <t>1824551D US</t>
  </si>
  <si>
    <t>KCG US</t>
  </si>
  <si>
    <t>PNRA US</t>
  </si>
  <si>
    <t>KATE US</t>
  </si>
  <si>
    <t>TPR US</t>
  </si>
  <si>
    <t>CCN US</t>
  </si>
  <si>
    <t>2293892D CN</t>
  </si>
  <si>
    <t>1853725D CN</t>
  </si>
  <si>
    <t>PE Buyout, Company Takeover, Cross Border, Private Equity, Additional Stake Purchase, Bankruptcy/Liquidation, Going Private</t>
  </si>
  <si>
    <t>OKS US</t>
  </si>
  <si>
    <t>TRR US</t>
  </si>
  <si>
    <t>DH CN</t>
  </si>
  <si>
    <t>BNCN US</t>
  </si>
  <si>
    <t>MJN US</t>
  </si>
  <si>
    <t>RKT LN</t>
  </si>
  <si>
    <t>APFH US</t>
  </si>
  <si>
    <t>TSN US</t>
  </si>
  <si>
    <t>FRC CN</t>
  </si>
  <si>
    <t>TCW CN</t>
  </si>
  <si>
    <t>MPSX US</t>
  </si>
  <si>
    <t>UTEK US</t>
  </si>
  <si>
    <t>VECO US</t>
  </si>
  <si>
    <t>SBY US</t>
  </si>
  <si>
    <t>MST-U CN</t>
  </si>
  <si>
    <t>17274Z US</t>
  </si>
  <si>
    <t>ZLTQ US</t>
  </si>
  <si>
    <t>CWEI US</t>
  </si>
  <si>
    <t>AIRM US</t>
  </si>
  <si>
    <t>XXIA US</t>
  </si>
  <si>
    <t>KEYS US</t>
  </si>
  <si>
    <t>2594161D US</t>
  </si>
  <si>
    <t>PLKI US</t>
  </si>
  <si>
    <t>SCAI US</t>
  </si>
  <si>
    <t>CYNO US</t>
  </si>
  <si>
    <t>APPD US</t>
  </si>
  <si>
    <t>CLCD US</t>
  </si>
  <si>
    <t>ARIA US</t>
  </si>
  <si>
    <t>SAMR</t>
  </si>
  <si>
    <t>EC</t>
  </si>
  <si>
    <t>CFIUS</t>
  </si>
  <si>
    <t xml:space="preserve">LUM / CMOC </t>
  </si>
  <si>
    <t>FIL / Lundi</t>
  </si>
  <si>
    <t>NVEI / Adven</t>
  </si>
  <si>
    <t>VLN / Flows</t>
  </si>
  <si>
    <t>PVG / Newcr</t>
  </si>
  <si>
    <t>GSS / Chife</t>
  </si>
  <si>
    <t>NLC / Zijin</t>
  </si>
  <si>
    <t>GUY / Zijin</t>
  </si>
  <si>
    <t>CNL / Zijin</t>
  </si>
  <si>
    <t>NSU / Zijin</t>
  </si>
  <si>
    <t>TMB / Rayon</t>
  </si>
  <si>
    <t>SEE / Clayt</t>
  </si>
  <si>
    <t>HOLX / Black</t>
  </si>
  <si>
    <t xml:space="preserve">HI / Lone </t>
  </si>
  <si>
    <t>AL / Sumit</t>
  </si>
  <si>
    <t>ZK / Geely</t>
  </si>
  <si>
    <t>IPG / Omnic</t>
  </si>
  <si>
    <t>PTVE / Novol</t>
  </si>
  <si>
    <t>BERY / Amcor</t>
  </si>
  <si>
    <t>ALTM / Rio T</t>
  </si>
  <si>
    <t>ARCH / CONSO</t>
  </si>
  <si>
    <t>ALE / Canad</t>
  </si>
  <si>
    <t>ANSS / Synop</t>
  </si>
  <si>
    <t>HOLI / Ascen</t>
  </si>
  <si>
    <t>TGH / Stone</t>
  </si>
  <si>
    <t>CPRI / Tapes</t>
  </si>
  <si>
    <t>VRTV / Clayt</t>
  </si>
  <si>
    <t>LTHM / Allke</t>
  </si>
  <si>
    <t>ARNC / Apoll</t>
  </si>
  <si>
    <t>NATI / Emers</t>
  </si>
  <si>
    <t>TRTN / Brook</t>
  </si>
  <si>
    <t>UNVR / Apoll</t>
  </si>
  <si>
    <t>DSEY / Solen</t>
  </si>
  <si>
    <t>RADI / EQT A</t>
  </si>
  <si>
    <t>AQUA / Xylem</t>
  </si>
  <si>
    <t>ATCO / Fairf</t>
  </si>
  <si>
    <t>AIMC / Regal</t>
  </si>
  <si>
    <t>AAWW / Apoll</t>
  </si>
  <si>
    <t>ZEN / Hellm</t>
  </si>
  <si>
    <t>VMW / Broad</t>
  </si>
  <si>
    <t>CVET / Clayt</t>
  </si>
  <si>
    <t>POLY / HP In</t>
  </si>
  <si>
    <t>TEN / Apoll</t>
  </si>
  <si>
    <t>MTOR / Cummi</t>
  </si>
  <si>
    <t>ATVI / Micro</t>
  </si>
  <si>
    <t>CCMP / Enteg</t>
  </si>
  <si>
    <t xml:space="preserve">FLOW / Lone </t>
  </si>
  <si>
    <t>CONE / Globa</t>
  </si>
  <si>
    <t>MCFE / Adven</t>
  </si>
  <si>
    <t>NPTN / Lumen</t>
  </si>
  <si>
    <t>RRD / Atlas</t>
  </si>
  <si>
    <t>ROG / DuPon</t>
  </si>
  <si>
    <t>KRA / DL Ch</t>
  </si>
  <si>
    <t>HRC / Baxte</t>
  </si>
  <si>
    <t>SAFM / Cargi</t>
  </si>
  <si>
    <t>VNE / Magna</t>
  </si>
  <si>
    <t>ATC / MKS I</t>
  </si>
  <si>
    <t>CLDR / Clayt</t>
  </si>
  <si>
    <t>UFS / Paper</t>
  </si>
  <si>
    <t>FOE / Ameri</t>
  </si>
  <si>
    <t>TEDU / Mr. S</t>
  </si>
  <si>
    <t xml:space="preserve">MX / Wise </t>
  </si>
  <si>
    <t>COHR / II-VI</t>
  </si>
  <si>
    <t>CTB / The G</t>
  </si>
  <si>
    <t>COHR / Lumen</t>
  </si>
  <si>
    <t>FLIR / Teled</t>
  </si>
  <si>
    <t>MTSC / Ampho</t>
  </si>
  <si>
    <t>IPHI / Marve</t>
  </si>
  <si>
    <t>XLNX / Advan</t>
  </si>
  <si>
    <t xml:space="preserve">DOYU / HUYA </t>
  </si>
  <si>
    <t>SOGO / Tence</t>
  </si>
  <si>
    <t>VAR / Sieme</t>
  </si>
  <si>
    <t>MXIM / Analo</t>
  </si>
  <si>
    <t>BITA / Tence</t>
  </si>
  <si>
    <t>WLTW / Aon P</t>
  </si>
  <si>
    <t>DLPH / BorgW</t>
  </si>
  <si>
    <t>HXL / Woodw</t>
  </si>
  <si>
    <t>IFF / DuPon</t>
  </si>
  <si>
    <t xml:space="preserve">TIF / LVMH </t>
  </si>
  <si>
    <t>KEM / Yageo</t>
  </si>
  <si>
    <t>MYL / Pfize</t>
  </si>
  <si>
    <t>MCRN / Hille</t>
  </si>
  <si>
    <t>ACIA / Cisco</t>
  </si>
  <si>
    <t>AGN / AbbVi</t>
  </si>
  <si>
    <t>CY / Infin</t>
  </si>
  <si>
    <t>IR / Gardn</t>
  </si>
  <si>
    <t>VSM / Merck</t>
  </si>
  <si>
    <t>WBC / ZF Fr</t>
  </si>
  <si>
    <t>QTNA / ON Se</t>
  </si>
  <si>
    <t>OAK / Brook</t>
  </si>
  <si>
    <t>VSM / Enteg</t>
  </si>
  <si>
    <t>FNSR / II-VI</t>
  </si>
  <si>
    <t>ESIO / MKS I</t>
  </si>
  <si>
    <t>MPMQ / SJL P</t>
  </si>
  <si>
    <t>IDTI / Renes</t>
  </si>
  <si>
    <t>BMS / Amcor</t>
  </si>
  <si>
    <t>USG / Gebr.</t>
  </si>
  <si>
    <t>ORBK / KLA-T</t>
  </si>
  <si>
    <t>OCLR / Lumen</t>
  </si>
  <si>
    <t>MSCC / Micro</t>
  </si>
  <si>
    <t>SHLM / Lyond</t>
  </si>
  <si>
    <t xml:space="preserve">FOX / Walt </t>
  </si>
  <si>
    <t>CAVM / Marve</t>
  </si>
  <si>
    <t>JASO / Mr. B</t>
  </si>
  <si>
    <t>COL / Unite</t>
  </si>
  <si>
    <t>PMC / KKR &amp;</t>
  </si>
  <si>
    <t>GSOL / Black</t>
  </si>
  <si>
    <t>HUN / Clari</t>
  </si>
  <si>
    <t>BCR / Becto</t>
  </si>
  <si>
    <t xml:space="preserve">XCRA / Sino </t>
  </si>
  <si>
    <t>MJN / Recki</t>
  </si>
  <si>
    <t>SAMR Reference List</t>
  </si>
  <si>
    <t>Ticker Root</t>
  </si>
  <si>
    <t>FOLD / BioMa</t>
  </si>
  <si>
    <t>SPNS / Adven</t>
  </si>
  <si>
    <t>WOW / Digit</t>
  </si>
  <si>
    <t>AVDX / TPG (</t>
  </si>
  <si>
    <t>SKX / 3G Ca</t>
  </si>
  <si>
    <t>DNB / Clear</t>
  </si>
  <si>
    <t>TGI / Warbu</t>
  </si>
  <si>
    <t>B / Apoll</t>
  </si>
  <si>
    <t>SMAR / Black</t>
  </si>
  <si>
    <t xml:space="preserve">K / Mars </t>
  </si>
  <si>
    <t>RCM / Tower</t>
  </si>
  <si>
    <t>PARA / Skyda</t>
  </si>
  <si>
    <t>SPR / Boein</t>
  </si>
  <si>
    <t>INFN / Nokia</t>
  </si>
  <si>
    <t xml:space="preserve">CTLT / Novo </t>
  </si>
  <si>
    <t>JNPR / Hewle</t>
  </si>
  <si>
    <t>AYX / Clear</t>
  </si>
  <si>
    <t>X / Nippo</t>
  </si>
  <si>
    <t>SPLK / Cisco</t>
  </si>
  <si>
    <t>WRK / Smurf</t>
  </si>
  <si>
    <t>NEWR / Franc</t>
  </si>
  <si>
    <t>SYNH / Ellio</t>
  </si>
  <si>
    <t>SGEN / Pfize</t>
  </si>
  <si>
    <t>FOCS / Clayt</t>
  </si>
  <si>
    <t>INDT / Cente</t>
  </si>
  <si>
    <t>IRBT / Amazo</t>
  </si>
  <si>
    <t>NTUS / Archi</t>
  </si>
  <si>
    <t>NLSN / Ellio</t>
  </si>
  <si>
    <t>Y / Berks</t>
  </si>
  <si>
    <t>REGI / Chevr</t>
  </si>
  <si>
    <t>CTXS / Vista</t>
  </si>
  <si>
    <t>CERN / Oracl</t>
  </si>
  <si>
    <t>WBT / Ali H</t>
  </si>
  <si>
    <t>T / Disco</t>
  </si>
  <si>
    <t>GRA / Stand</t>
  </si>
  <si>
    <t>PPD / Therm</t>
  </si>
  <si>
    <t>NUAN / Micro</t>
  </si>
  <si>
    <t>CATM / Apoll</t>
  </si>
  <si>
    <t>ALXN / Astra</t>
  </si>
  <si>
    <t xml:space="preserve">INFO / S&amp;P </t>
  </si>
  <si>
    <t>DII.B / Cerbe</t>
  </si>
  <si>
    <t>EIGI / Clear</t>
  </si>
  <si>
    <t xml:space="preserve">WTRE / Arch </t>
  </si>
  <si>
    <t>MVC / Barin</t>
  </si>
  <si>
    <t>LM / Frank</t>
  </si>
  <si>
    <t>TECD / Apoll</t>
  </si>
  <si>
    <t>FIT / Alpha</t>
  </si>
  <si>
    <t>AXE / Clayt</t>
  </si>
  <si>
    <t>CETV / PPF G</t>
  </si>
  <si>
    <t>CISN / Plati</t>
  </si>
  <si>
    <t>DRG / Black</t>
  </si>
  <si>
    <t>CBM / Permi</t>
  </si>
  <si>
    <t>GCI / New M</t>
  </si>
  <si>
    <t>OMN / Synth</t>
  </si>
  <si>
    <t>GWR / Brook</t>
  </si>
  <si>
    <t>TRZ / Air C</t>
  </si>
  <si>
    <t>BID / BidFa</t>
  </si>
  <si>
    <t>RTN / Unite</t>
  </si>
  <si>
    <t>TSS / Globa</t>
  </si>
  <si>
    <t>AVP / Natur</t>
  </si>
  <si>
    <t>ZAYO / Digit</t>
  </si>
  <si>
    <t>WP / Fidel</t>
  </si>
  <si>
    <t>LABL / Plati</t>
  </si>
  <si>
    <t>LXFT / DXC T</t>
  </si>
  <si>
    <t>CELG / Brist</t>
  </si>
  <si>
    <t xml:space="preserve">BEL / LVMH </t>
  </si>
  <si>
    <t>ARRS / Comms</t>
  </si>
  <si>
    <t>RHT / Inter</t>
  </si>
  <si>
    <t>LLL / Harri</t>
  </si>
  <si>
    <t>ESL / Trans</t>
  </si>
  <si>
    <t>NXEO / Univa</t>
  </si>
  <si>
    <t>AHL / Apoll</t>
  </si>
  <si>
    <t>CA / Broad</t>
  </si>
  <si>
    <t>CVG / SYNNE</t>
  </si>
  <si>
    <t>FRUT / Inter</t>
  </si>
  <si>
    <t>KLXI / Boein</t>
  </si>
  <si>
    <t>PAY / Franc</t>
  </si>
  <si>
    <t>XL / AXA G</t>
  </si>
  <si>
    <t>VR / Ameri</t>
  </si>
  <si>
    <t>BGC / Prysm</t>
  </si>
  <si>
    <t>OA / North</t>
  </si>
  <si>
    <t>SNI / Disco</t>
  </si>
  <si>
    <t>PRXL / Pampl</t>
  </si>
  <si>
    <t>AMRI / Carly</t>
  </si>
  <si>
    <t>PTHN / Therm</t>
  </si>
  <si>
    <t>VWR / Avant</t>
  </si>
  <si>
    <t>NORD / Canad</t>
  </si>
  <si>
    <t>FIG / SoftB</t>
  </si>
  <si>
    <t>MPSX / WestR</t>
  </si>
  <si>
    <t>EC REF</t>
  </si>
  <si>
    <t>Ticker root</t>
  </si>
  <si>
    <t>ASCU / Hudba</t>
  </si>
  <si>
    <t>ONTF / Black</t>
  </si>
  <si>
    <t>CSGS / NEC C</t>
  </si>
  <si>
    <t>DAY / Thoma</t>
  </si>
  <si>
    <t>ETWO / WiseT</t>
  </si>
  <si>
    <t>RDUS / Toyot</t>
  </si>
  <si>
    <t>CIX / Mubad</t>
  </si>
  <si>
    <t>USAP / Apera</t>
  </si>
  <si>
    <t>TELL / Woods</t>
  </si>
  <si>
    <t xml:space="preserve">DM / Nano </t>
  </si>
  <si>
    <t>AY / Energ</t>
  </si>
  <si>
    <t>PRFT / EQT A</t>
  </si>
  <si>
    <t>CHX / SLB (</t>
  </si>
  <si>
    <t>VSTO / Czech</t>
  </si>
  <si>
    <t>HAYN / Aceri</t>
  </si>
  <si>
    <t>TGAN / Renes</t>
  </si>
  <si>
    <t xml:space="preserve">LVOX / NICE </t>
  </si>
  <si>
    <t>CTG / Ceged</t>
  </si>
  <si>
    <t>SQNS / Renes</t>
  </si>
  <si>
    <t>DM / Strat</t>
  </si>
  <si>
    <t>EMAN / Samsu</t>
  </si>
  <si>
    <t>MAXR / Adven</t>
  </si>
  <si>
    <t>COUP / Thoma</t>
  </si>
  <si>
    <t>OPNT / Indiv</t>
  </si>
  <si>
    <t>AVEO / LG Ch</t>
  </si>
  <si>
    <t xml:space="preserve">STOR / GIC </t>
  </si>
  <si>
    <t>VIVO / SD Bi</t>
  </si>
  <si>
    <t>USAK / DB Sc</t>
  </si>
  <si>
    <t xml:space="preserve">FSTX / Sino </t>
  </si>
  <si>
    <t>SWCH / Digit</t>
  </si>
  <si>
    <t>MIME / Permi</t>
  </si>
  <si>
    <t>VG / Erics</t>
  </si>
  <si>
    <t xml:space="preserve">ZIXI / Open </t>
  </si>
  <si>
    <t>INOV / Nordi</t>
  </si>
  <si>
    <t>GPX / Learn</t>
  </si>
  <si>
    <t>CVA / EQT I</t>
  </si>
  <si>
    <t>RAVN / CNH I</t>
  </si>
  <si>
    <t>MIC / Argo</t>
  </si>
  <si>
    <t>KSU / Canad</t>
  </si>
  <si>
    <t>LMNX / DiaSo</t>
  </si>
  <si>
    <t>ORBC / GI Pa</t>
  </si>
  <si>
    <t>PROS / Tower</t>
  </si>
  <si>
    <t>BEAT / Konin</t>
  </si>
  <si>
    <t>TCP / TC En</t>
  </si>
  <si>
    <t>WDR / Macqu</t>
  </si>
  <si>
    <t>NAV / TRATO</t>
  </si>
  <si>
    <t>ALSK / Macqu</t>
  </si>
  <si>
    <t>PNM / Avang</t>
  </si>
  <si>
    <t>PRCP / Atlas</t>
  </si>
  <si>
    <t>VRTU / Barin</t>
  </si>
  <si>
    <t>CBMG / Mr. B</t>
  </si>
  <si>
    <t xml:space="preserve">GRUB / Just </t>
  </si>
  <si>
    <t>CBB / Macqu</t>
  </si>
  <si>
    <t>WLT</t>
  </si>
  <si>
    <t>CFIUS 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</si>
</sst>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3" fillId="0" borderId="1" xfId="0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14" fontId="3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11" fontId="3" fillId="0" borderId="1" xfId="0" applyNumberFormat="1" applyFont="1" applyBorder="1" applyAlignment="1">
      <alignment horizontal="right" wrapText="1"/>
    </xf>
    <xf numFmtId="0" fontId="5" fillId="0" borderId="0" xfId="0" applyFont="1"/>
    <xf numFmtId="0" fontId="1" fillId="0" borderId="2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3" fillId="0" borderId="3" xfId="0" applyFont="1" applyBorder="1" applyAlignment="1">
      <alignment horizontal="right" wrapText="1"/>
    </xf>
    <xf numFmtId="0" fontId="4" fillId="0" borderId="3" xfId="0" applyFont="1" applyBorder="1" applyAlignment="1">
      <alignment horizontal="right" wrapText="1"/>
    </xf>
  </cellXfs>
  <cellStyles count="1">
    <cellStyle name="Normal" xfId="0" builtinId="0"/>
  </cellStyles>
  <dxfs count="3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19" formatCode="m/d/yyyy"/>
      <alignment horizontal="righ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left style="medium">
          <color rgb="FFCCCCCC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63874D-32EC-4836-A32A-83542FA28706}" name="Table1" displayName="Table1" ref="A1:AF1171" totalsRowShown="0" headerRowDxfId="0" tableBorderDxfId="30">
  <autoFilter ref="A1:AF1171" xr:uid="{2963874D-32EC-4836-A32A-83542FA28706}"/>
  <tableColumns count="32">
    <tableColumn id="1" xr3:uid="{6C1220F4-96ED-464E-A05E-66A118A415CC}" name="Days To Complete" dataDxfId="29"/>
    <tableColumn id="2" xr3:uid="{57ECFB71-F3BC-4798-BEC0-BD2B8360EB4D}" name="Target Ticker" dataDxfId="28"/>
    <tableColumn id="3" xr3:uid="{BB909AA5-93A9-4012-807C-589A69CFADA0}" name="Acquirer Ticker" dataDxfId="27"/>
    <tableColumn id="4" xr3:uid="{09530F4B-6E90-4363-9333-D529ED7E34F0}" name="Announce Date" dataDxfId="26"/>
    <tableColumn id="5" xr3:uid="{A2BE5701-ED07-4C81-9361-9C1760E26D17}" name="Announced Total Value (mil.)" dataDxfId="25"/>
    <tableColumn id="6" xr3:uid="{15BECC28-DE51-45BD-BA8C-9AB7C7934F43}" name="Payment Type" dataDxfId="24"/>
    <tableColumn id="7" xr3:uid="{2A70A808-F29E-4FC5-88A2-7B68DCCB2F0B}" name="TV/EBITDA" dataDxfId="23"/>
    <tableColumn id="8" xr3:uid="{805B8934-094E-4D7C-A4DA-17A2F850D772}" name="Target Industry Sector" dataDxfId="22"/>
    <tableColumn id="9" xr3:uid="{D7EE85AC-EF97-41F5-8EBB-40DBA4B17B75}" name="Target Industry Group" dataDxfId="21"/>
    <tableColumn id="10" xr3:uid="{4E9F1C53-C87E-4560-AAC7-C160DC093B63}" name="Target Industry Subgroup" dataDxfId="20"/>
    <tableColumn id="11" xr3:uid="{4CF274FE-85F8-479D-B0AE-FBAFB7432415}" name="Acquirer Termination Fee" dataDxfId="19"/>
    <tableColumn id="12" xr3:uid="{6C8CB4EE-C6D7-47FF-B743-4853B2C46977}" name="Target Termination Fee" dataDxfId="18"/>
    <tableColumn id="13" xr3:uid="{9E37D4B5-C711-413E-AAEA-88A4B7BC95EF}" name="Announced Premium" dataDxfId="17"/>
    <tableColumn id="14" xr3:uid="{2C7921E1-4E41-4DB0-83C2-B6DE340BC18E}" name="Announced Equity Value (mil.)" dataDxfId="16"/>
    <tableColumn id="15" xr3:uid="{B7157509-4EDB-4C0C-947B-3CEF5A730A0D}" name="Target Country/Region" dataDxfId="15"/>
    <tableColumn id="16" xr3:uid="{349D6340-D793-46C7-94C5-787FAD3F5748}" name="Acquirer Country/Region" dataDxfId="14"/>
    <tableColumn id="17" xr3:uid="{B727D6A2-EBD6-4010-BD0D-00FFFC3C1413}" name="Nature of Bid" dataDxfId="13"/>
    <tableColumn id="18" xr3:uid="{F7997C2F-699E-4713-B2BB-083BECEB422A}" name="Target Sales/Revenue/Turnover" dataDxfId="12"/>
    <tableColumn id="19" xr3:uid="{AB872D35-AFC1-4865-85EA-701D6E08FC09}" name="Target Trailg 12 Mth Operating Margin" dataDxfId="11"/>
    <tableColumn id="20" xr3:uid="{A06CE0F7-4A24-43AF-A415-423A5F98404C}" name="Deal Attributes" dataDxfId="10"/>
    <tableColumn id="21" xr3:uid="{49D3C2C3-5BAF-41CB-9830-04A98B1384D9}" name="Additional Stake Purchase" dataDxfId="9"/>
    <tableColumn id="22" xr3:uid="{CF80ACF4-9813-4040-8A14-7F7E3DB413F0}" name="Competing Bid" dataDxfId="8"/>
    <tableColumn id="23" xr3:uid="{A3F0F568-BB72-4964-A036-6617AB463814}" name="Cross Border" dataDxfId="7"/>
    <tableColumn id="24" xr3:uid="{AC98AB54-CF3E-478B-ABD9-3025D14E5B48}" name="Going Private" dataDxfId="6"/>
    <tableColumn id="25" xr3:uid="{9536D5D6-7C5D-43E8-8D1A-0A945040AC1F}" name="PE Buyout" dataDxfId="5"/>
    <tableColumn id="26" xr3:uid="{B6BE76AE-C993-489D-843B-F68B7C968332}" name="Tender Offer" dataDxfId="4"/>
    <tableColumn id="27" xr3:uid="{F991390D-23CA-4052-9239-2F021B449744}" name="Log TV" dataDxfId="3"/>
    <tableColumn id="28" xr3:uid="{5FCA419F-F13A-4969-98C3-12AFBD4F27A1}" name="Log Revenue" dataDxfId="2"/>
    <tableColumn id="29" xr3:uid="{457E9F56-B717-4B32-8E6B-E7B5F9DA1880}" name="Log Equity Value" dataDxfId="1"/>
    <tableColumn id="30" xr3:uid="{724BE09E-D572-42C9-8B57-49E24C030236}" name="SAMR">
      <calculatedColumnFormula array="1">IF(SUMPRODUCT(--($AM$2:$AM$112=TRIM(LEFT($B2,IFERROR(FIND(" ",$B2)-1,LEN($B2))))))&gt;0,1,0)</calculatedColumnFormula>
    </tableColumn>
    <tableColumn id="31" xr3:uid="{611E4DD4-1C22-4620-BA12-4999EBD7C5CE}" name="EC">
      <calculatedColumnFormula array="1">IF(SUMPRODUCT(--($AO$2:$AO$145=TRIM(LEFT($B2,IFERROR(FIND(" ",$B2)-1,LEN($B2))))))&gt;0,1,0)</calculatedColumnFormula>
    </tableColumn>
    <tableColumn id="32" xr3:uid="{06429F0B-899A-4216-910E-43E402699312}" name="CFIUS">
      <calculatedColumnFormula array="1">IF(SUMPRODUCT(--($AQ$2:$AQ$71=TRIM(LEFT($B2,IFERROR(FIND(" ",$B2)-1,LEN($B2))))))&gt;0,1,0)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EFFC30-1E96-4D1B-919D-C109539B0D69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0c09f41-72cf-4e95-8c38-8911e894640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290C0-1EE3-450F-9C50-86C3D7D2A79B}">
  <dimension ref="A1:AQ1171"/>
  <sheetViews>
    <sheetView tabSelected="1" workbookViewId="0"/>
  </sheetViews>
  <sheetFormatPr defaultRowHeight="15" x14ac:dyDescent="0.25"/>
  <cols>
    <col min="1" max="1" width="19.5703125" customWidth="1"/>
    <col min="2" max="2" width="15.140625" customWidth="1"/>
    <col min="3" max="4" width="17" customWidth="1"/>
    <col min="5" max="5" width="29.5703125" customWidth="1"/>
    <col min="6" max="6" width="16.140625" customWidth="1"/>
    <col min="7" max="7" width="12.85546875" customWidth="1"/>
    <col min="8" max="8" width="23.140625" customWidth="1"/>
    <col min="9" max="9" width="22.85546875" customWidth="1"/>
    <col min="10" max="10" width="26.140625" customWidth="1"/>
    <col min="11" max="11" width="26.42578125" customWidth="1"/>
    <col min="12" max="12" width="24.5703125" customWidth="1"/>
    <col min="13" max="13" width="22.28515625" customWidth="1"/>
    <col min="14" max="14" width="30.5703125" customWidth="1"/>
    <col min="15" max="15" width="23.5703125" customWidth="1"/>
    <col min="16" max="16" width="25.42578125" customWidth="1"/>
    <col min="17" max="17" width="15" customWidth="1"/>
    <col min="18" max="18" width="31.85546875" customWidth="1"/>
    <col min="19" max="19" width="37.7109375" customWidth="1"/>
    <col min="20" max="20" width="16.42578125" customWidth="1"/>
    <col min="21" max="21" width="27.140625" customWidth="1"/>
    <col min="22" max="22" width="16.5703125" customWidth="1"/>
    <col min="23" max="23" width="14.7109375" customWidth="1"/>
    <col min="24" max="24" width="15.5703125" customWidth="1"/>
    <col min="25" max="25" width="12.42578125" customWidth="1"/>
    <col min="26" max="26" width="14.5703125" customWidth="1"/>
    <col min="27" max="27" width="9.5703125" customWidth="1"/>
    <col min="28" max="28" width="15.140625" customWidth="1"/>
    <col min="29" max="29" width="18.5703125" customWidth="1"/>
    <col min="34" max="34" width="12.85546875" customWidth="1"/>
  </cols>
  <sheetData>
    <row r="1" spans="1:43" ht="65.25" thickBot="1" x14ac:dyDescent="0.3">
      <c r="A1" s="1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10" t="s">
        <v>2156</v>
      </c>
      <c r="AE1" s="10" t="s">
        <v>2157</v>
      </c>
      <c r="AF1" s="10" t="s">
        <v>2158</v>
      </c>
      <c r="AL1" s="10" t="s">
        <v>2270</v>
      </c>
      <c r="AM1" s="11" t="s">
        <v>2271</v>
      </c>
      <c r="AN1" t="s">
        <v>2361</v>
      </c>
      <c r="AO1" t="s">
        <v>2362</v>
      </c>
      <c r="AP1" t="s">
        <v>2417</v>
      </c>
      <c r="AQ1" t="s">
        <v>2271</v>
      </c>
    </row>
    <row r="2" spans="1:43" ht="165.75" thickBot="1" x14ac:dyDescent="0.3">
      <c r="A2" s="13">
        <v>134</v>
      </c>
      <c r="B2" s="4" t="s">
        <v>29</v>
      </c>
      <c r="C2" s="2"/>
      <c r="D2" s="5">
        <v>46012</v>
      </c>
      <c r="E2" s="3">
        <v>7892.89</v>
      </c>
      <c r="F2" s="4" t="s">
        <v>30</v>
      </c>
      <c r="G2" s="3">
        <v>234.8</v>
      </c>
      <c r="H2" s="4" t="s">
        <v>31</v>
      </c>
      <c r="I2" s="4" t="s">
        <v>32</v>
      </c>
      <c r="J2" s="4" t="s">
        <v>33</v>
      </c>
      <c r="K2" s="4"/>
      <c r="L2" s="4"/>
      <c r="M2" s="3">
        <v>13.41</v>
      </c>
      <c r="N2" s="3">
        <v>7074.18</v>
      </c>
      <c r="O2" s="4" t="s">
        <v>34</v>
      </c>
      <c r="P2" s="4" t="s">
        <v>34</v>
      </c>
      <c r="Q2" s="4" t="s">
        <v>35</v>
      </c>
      <c r="R2" s="3">
        <v>731.36800000000005</v>
      </c>
      <c r="S2" s="3">
        <v>-0.69986400000000004</v>
      </c>
      <c r="T2" s="4" t="s">
        <v>36</v>
      </c>
      <c r="U2" s="2" t="s">
        <v>37</v>
      </c>
      <c r="V2" s="2" t="s">
        <v>37</v>
      </c>
      <c r="W2" s="2" t="s">
        <v>38</v>
      </c>
      <c r="X2" s="2" t="s">
        <v>38</v>
      </c>
      <c r="Y2" s="2" t="s">
        <v>38</v>
      </c>
      <c r="Z2" s="2" t="s">
        <v>37</v>
      </c>
      <c r="AA2" s="6">
        <v>3.8972360500000001</v>
      </c>
      <c r="AB2" s="6">
        <v>2.864135954</v>
      </c>
      <c r="AC2" s="6">
        <v>3.849676106</v>
      </c>
      <c r="AD2" cm="1">
        <f t="array" ref="AD2">IF(SUMPRODUCT(--($AM$2:$AM$112=TRIM(LEFT($B2,IFERROR(FIND(" ",$B2)-1,LEN($B2))))))&gt;0,1,0)</f>
        <v>0</v>
      </c>
      <c r="AE2" cm="1">
        <f t="array" ref="AE2">IF(SUMPRODUCT(--($AO$2:$AO$145=TRIM(LEFT($B2,IFERROR(FIND(" ",$B2)-1,LEN($B2))))))&gt;0,1,0)</f>
        <v>0</v>
      </c>
      <c r="AF2" cm="1">
        <f t="array" ref="AF2">IF(SUMPRODUCT(--($AQ$2:$AQ$71=TRIM(LEFT($B2,IFERROR(FIND(" ",$B2)-1,LEN($B2))))))&gt;0,1,0)</f>
        <v>0</v>
      </c>
      <c r="AL2" t="s">
        <v>2159</v>
      </c>
      <c r="AM2" t="str">
        <f>TRIM(LEFT(AL2,FIND("/",AL2)-1))</f>
        <v>LUM</v>
      </c>
      <c r="AN2" t="s">
        <v>2272</v>
      </c>
      <c r="AO2" t="str">
        <f>TRIM(LEFT(AN2,FIND("/",AN2)-1))</f>
        <v>FOLD</v>
      </c>
      <c r="AP2" t="s">
        <v>2363</v>
      </c>
      <c r="AQ2" t="str">
        <f>TRIM(LEFT(AP2,FIND("/",AP2)-1))</f>
        <v>ASCU</v>
      </c>
    </row>
    <row r="3" spans="1:43" ht="45.75" thickBot="1" x14ac:dyDescent="0.3">
      <c r="A3" s="14">
        <v>63</v>
      </c>
      <c r="B3" s="4" t="s">
        <v>39</v>
      </c>
      <c r="C3" s="4" t="s">
        <v>40</v>
      </c>
      <c r="D3" s="7">
        <v>46112</v>
      </c>
      <c r="E3" s="3">
        <v>5488.19</v>
      </c>
      <c r="F3" s="4" t="s">
        <v>30</v>
      </c>
      <c r="G3" s="4"/>
      <c r="H3" s="4" t="s">
        <v>41</v>
      </c>
      <c r="I3" s="4" t="s">
        <v>41</v>
      </c>
      <c r="J3" s="4" t="s">
        <v>42</v>
      </c>
      <c r="K3" s="4"/>
      <c r="L3" s="4"/>
      <c r="M3" s="3">
        <v>38.25</v>
      </c>
      <c r="N3" s="3">
        <v>5616.14</v>
      </c>
      <c r="O3" s="4" t="s">
        <v>34</v>
      </c>
      <c r="P3" s="4" t="s">
        <v>34</v>
      </c>
      <c r="Q3" s="4" t="s">
        <v>35</v>
      </c>
      <c r="R3" s="3">
        <v>15</v>
      </c>
      <c r="S3" s="2"/>
      <c r="T3" s="4" t="s">
        <v>43</v>
      </c>
      <c r="U3" s="2" t="s">
        <v>37</v>
      </c>
      <c r="V3" s="2" t="s">
        <v>37</v>
      </c>
      <c r="W3" s="2" t="s">
        <v>37</v>
      </c>
      <c r="X3" s="2" t="s">
        <v>37</v>
      </c>
      <c r="Y3" s="2" t="s">
        <v>37</v>
      </c>
      <c r="Z3" s="2" t="s">
        <v>37</v>
      </c>
      <c r="AA3" s="6">
        <v>3.7394291380000002</v>
      </c>
      <c r="AB3" s="6">
        <v>1.1760912590000001</v>
      </c>
      <c r="AC3" s="6">
        <v>3.7494379250000001</v>
      </c>
      <c r="AD3" cm="1">
        <f t="array" ref="AD3">IF(SUMPRODUCT(--($AM$2:$AM$112=TRIM(LEFT($B3,IFERROR(FIND(" ",$B3)-1,LEN($B3))))))&gt;0,1,0)</f>
        <v>0</v>
      </c>
      <c r="AE3" cm="1">
        <f t="array" ref="AE3">IF(SUMPRODUCT(--($AO$2:$AO$145=TRIM(LEFT($B3,IFERROR(FIND(" ",$B3)-1,LEN($B3))))))&gt;0,1,0)</f>
        <v>0</v>
      </c>
      <c r="AF3" cm="1">
        <f t="array" ref="AF3">IF(SUMPRODUCT(--($AQ$2:$AQ$71=TRIM(LEFT($B3,IFERROR(FIND(" ",$B3)-1,LEN($B3))))))&gt;0,1,0)</f>
        <v>0</v>
      </c>
      <c r="AL3" t="s">
        <v>2160</v>
      </c>
      <c r="AM3" t="str">
        <f t="shared" ref="AM3:AO66" si="0">TRIM(LEFT(AL3,FIND("/",AL3)-1))</f>
        <v>FIL</v>
      </c>
      <c r="AN3" t="s">
        <v>2170</v>
      </c>
      <c r="AO3" t="str">
        <f t="shared" ref="AO3:AO66" si="1">TRIM(LEFT(AN3,FIND("/",AN3)-1))</f>
        <v>SEE</v>
      </c>
      <c r="AP3" t="s">
        <v>2364</v>
      </c>
      <c r="AQ3" t="str">
        <f t="shared" ref="AQ3:AQ66" si="2">TRIM(LEFT(AP3,FIND("/",AP3)-1))</f>
        <v>ONTF</v>
      </c>
    </row>
    <row r="4" spans="1:43" ht="45.75" thickBot="1" x14ac:dyDescent="0.3">
      <c r="A4" s="13">
        <v>44</v>
      </c>
      <c r="B4" s="4" t="s">
        <v>44</v>
      </c>
      <c r="C4" s="4" t="s">
        <v>45</v>
      </c>
      <c r="D4" s="7">
        <v>46132</v>
      </c>
      <c r="E4" s="3">
        <v>1935.3</v>
      </c>
      <c r="F4" s="4" t="s">
        <v>46</v>
      </c>
      <c r="G4" s="4"/>
      <c r="H4" s="4" t="s">
        <v>47</v>
      </c>
      <c r="I4" s="4" t="s">
        <v>47</v>
      </c>
      <c r="J4" s="4" t="s">
        <v>48</v>
      </c>
      <c r="K4" s="4"/>
      <c r="L4" s="4"/>
      <c r="M4" s="3">
        <v>74.349999999999994</v>
      </c>
      <c r="N4" s="3">
        <v>1935.3</v>
      </c>
      <c r="O4" s="4" t="s">
        <v>49</v>
      </c>
      <c r="P4" s="4" t="s">
        <v>49</v>
      </c>
      <c r="Q4" s="4" t="s">
        <v>35</v>
      </c>
      <c r="R4" s="2"/>
      <c r="S4" s="2"/>
      <c r="T4" s="4" t="s">
        <v>43</v>
      </c>
      <c r="U4" s="2" t="s">
        <v>37</v>
      </c>
      <c r="V4" s="2" t="s">
        <v>37</v>
      </c>
      <c r="W4" s="2" t="s">
        <v>37</v>
      </c>
      <c r="X4" s="2" t="s">
        <v>37</v>
      </c>
      <c r="Y4" s="2" t="s">
        <v>37</v>
      </c>
      <c r="Z4" s="2" t="s">
        <v>37</v>
      </c>
      <c r="AA4" s="6">
        <v>3.2867482969999999</v>
      </c>
      <c r="AB4" s="2"/>
      <c r="AC4" s="6">
        <v>3.2867482969999999</v>
      </c>
      <c r="AD4" cm="1">
        <f t="array" ref="AD4">IF(SUMPRODUCT(--($AM$2:$AM$112=TRIM(LEFT($B4,IFERROR(FIND(" ",$B4)-1,LEN($B4))))))&gt;0,1,0)</f>
        <v>0</v>
      </c>
      <c r="AE4" cm="1">
        <f t="array" ref="AE4">IF(SUMPRODUCT(--($AO$2:$AO$145=TRIM(LEFT($B4,IFERROR(FIND(" ",$B4)-1,LEN($B4))))))&gt;0,1,0)</f>
        <v>0</v>
      </c>
      <c r="AF4" cm="1">
        <f t="array" ref="AF4">IF(SUMPRODUCT(--($AQ$2:$AQ$71=TRIM(LEFT($B4,IFERROR(FIND(" ",$B4)-1,LEN($B4))))))&gt;0,1,0)</f>
        <v>0</v>
      </c>
      <c r="AL4" t="s">
        <v>2161</v>
      </c>
      <c r="AM4" t="str">
        <f t="shared" si="0"/>
        <v>NVEI</v>
      </c>
      <c r="AN4" t="s">
        <v>2171</v>
      </c>
      <c r="AO4" t="str">
        <f t="shared" si="1"/>
        <v>HOLX</v>
      </c>
      <c r="AP4" t="s">
        <v>2365</v>
      </c>
      <c r="AQ4" t="str">
        <f t="shared" si="2"/>
        <v>CSGS</v>
      </c>
    </row>
    <row r="5" spans="1:43" ht="180.75" thickBot="1" x14ac:dyDescent="0.3">
      <c r="A5" s="13">
        <v>86</v>
      </c>
      <c r="B5" s="4" t="s">
        <v>50</v>
      </c>
      <c r="C5" s="2"/>
      <c r="D5" s="7">
        <v>46070</v>
      </c>
      <c r="E5" s="3">
        <v>1038.74</v>
      </c>
      <c r="F5" s="4" t="s">
        <v>30</v>
      </c>
      <c r="G5" s="3">
        <v>4.55</v>
      </c>
      <c r="H5" s="4" t="s">
        <v>51</v>
      </c>
      <c r="I5" s="4" t="s">
        <v>51</v>
      </c>
      <c r="J5" s="4" t="s">
        <v>52</v>
      </c>
      <c r="K5" s="4"/>
      <c r="L5" s="3">
        <v>42.7</v>
      </c>
      <c r="M5" s="3">
        <v>10.53</v>
      </c>
      <c r="N5" s="3">
        <v>1038.74</v>
      </c>
      <c r="O5" s="4" t="s">
        <v>34</v>
      </c>
      <c r="P5" s="4" t="s">
        <v>49</v>
      </c>
      <c r="Q5" s="4" t="s">
        <v>35</v>
      </c>
      <c r="R5" s="3">
        <v>501</v>
      </c>
      <c r="S5" s="3">
        <v>47.091200000000001</v>
      </c>
      <c r="T5" s="4" t="s">
        <v>53</v>
      </c>
      <c r="U5" s="2" t="s">
        <v>38</v>
      </c>
      <c r="V5" s="2" t="s">
        <v>37</v>
      </c>
      <c r="W5" s="2" t="s">
        <v>38</v>
      </c>
      <c r="X5" s="2" t="s">
        <v>37</v>
      </c>
      <c r="Y5" s="2" t="s">
        <v>37</v>
      </c>
      <c r="Z5" s="2" t="s">
        <v>37</v>
      </c>
      <c r="AA5" s="6">
        <v>3.0165068559999999</v>
      </c>
      <c r="AB5" s="6">
        <v>2.6998377260000002</v>
      </c>
      <c r="AC5" s="6">
        <v>3.0165068559999999</v>
      </c>
      <c r="AD5" cm="1">
        <f t="array" ref="AD5">IF(SUMPRODUCT(--($AM$2:$AM$112=TRIM(LEFT($B5,IFERROR(FIND(" ",$B5)-1,LEN($B5))))))&gt;0,1,0)</f>
        <v>0</v>
      </c>
      <c r="AE5" cm="1">
        <f t="array" ref="AE5">IF(SUMPRODUCT(--($AO$2:$AO$145=TRIM(LEFT($B5,IFERROR(FIND(" ",$B5)-1,LEN($B5))))))&gt;0,1,0)</f>
        <v>0</v>
      </c>
      <c r="AF5" cm="1">
        <f t="array" ref="AF5">IF(SUMPRODUCT(--($AQ$2:$AQ$71=TRIM(LEFT($B5,IFERROR(FIND(" ",$B5)-1,LEN($B5))))))&gt;0,1,0)</f>
        <v>0</v>
      </c>
      <c r="AL5" t="s">
        <v>2162</v>
      </c>
      <c r="AM5" t="str">
        <f t="shared" si="0"/>
        <v>VLN</v>
      </c>
      <c r="AN5" t="s">
        <v>2172</v>
      </c>
      <c r="AO5" t="str">
        <f t="shared" si="1"/>
        <v>HI</v>
      </c>
      <c r="AP5" t="s">
        <v>2171</v>
      </c>
      <c r="AQ5" t="str">
        <f t="shared" si="2"/>
        <v>HOLX</v>
      </c>
    </row>
    <row r="6" spans="1:43" ht="105.75" thickBot="1" x14ac:dyDescent="0.3">
      <c r="A6" s="13">
        <v>33</v>
      </c>
      <c r="B6" s="4" t="s">
        <v>54</v>
      </c>
      <c r="C6" s="4" t="s">
        <v>55</v>
      </c>
      <c r="D6" s="7">
        <v>46141</v>
      </c>
      <c r="E6" s="3">
        <v>1223.43</v>
      </c>
      <c r="F6" s="4" t="s">
        <v>30</v>
      </c>
      <c r="G6" s="4"/>
      <c r="H6" s="4" t="s">
        <v>41</v>
      </c>
      <c r="I6" s="4" t="s">
        <v>41</v>
      </c>
      <c r="J6" s="4" t="s">
        <v>42</v>
      </c>
      <c r="K6" s="4"/>
      <c r="L6" s="4"/>
      <c r="M6" s="3">
        <v>36.200000000000003</v>
      </c>
      <c r="N6" s="3">
        <v>1383.01</v>
      </c>
      <c r="O6" s="4" t="s">
        <v>34</v>
      </c>
      <c r="P6" s="4" t="s">
        <v>56</v>
      </c>
      <c r="Q6" s="4" t="s">
        <v>35</v>
      </c>
      <c r="R6" s="2"/>
      <c r="S6" s="2"/>
      <c r="T6" s="4" t="s">
        <v>57</v>
      </c>
      <c r="U6" s="2" t="s">
        <v>37</v>
      </c>
      <c r="V6" s="2" t="s">
        <v>37</v>
      </c>
      <c r="W6" s="2" t="s">
        <v>38</v>
      </c>
      <c r="X6" s="2" t="s">
        <v>37</v>
      </c>
      <c r="Y6" s="2" t="s">
        <v>37</v>
      </c>
      <c r="Z6" s="2" t="s">
        <v>38</v>
      </c>
      <c r="AA6" s="6">
        <v>3.0875791260000001</v>
      </c>
      <c r="AB6" s="2"/>
      <c r="AC6" s="6">
        <v>3.1408253199999998</v>
      </c>
      <c r="AD6" cm="1">
        <f t="array" ref="AD6">IF(SUMPRODUCT(--($AM$2:$AM$112=TRIM(LEFT($B6,IFERROR(FIND(" ",$B6)-1,LEN($B6))))))&gt;0,1,0)</f>
        <v>0</v>
      </c>
      <c r="AE6" cm="1">
        <f t="array" ref="AE6">IF(SUMPRODUCT(--($AO$2:$AO$145=TRIM(LEFT($B6,IFERROR(FIND(" ",$B6)-1,LEN($B6))))))&gt;0,1,0)</f>
        <v>0</v>
      </c>
      <c r="AF6" cm="1">
        <f t="array" ref="AF6">IF(SUMPRODUCT(--($AQ$2:$AQ$71=TRIM(LEFT($B6,IFERROR(FIND(" ",$B6)-1,LEN($B6))))))&gt;0,1,0)</f>
        <v>0</v>
      </c>
      <c r="AL6" t="s">
        <v>2163</v>
      </c>
      <c r="AM6" t="str">
        <f t="shared" si="0"/>
        <v>PVG</v>
      </c>
      <c r="AN6" t="s">
        <v>2273</v>
      </c>
      <c r="AO6" t="str">
        <f t="shared" si="1"/>
        <v>SPNS</v>
      </c>
      <c r="AP6" t="s">
        <v>2172</v>
      </c>
      <c r="AQ6" t="str">
        <f t="shared" si="2"/>
        <v>HI</v>
      </c>
    </row>
    <row r="7" spans="1:43" ht="60.75" thickBot="1" x14ac:dyDescent="0.3">
      <c r="A7" s="13">
        <v>83</v>
      </c>
      <c r="B7" s="4" t="s">
        <v>58</v>
      </c>
      <c r="C7" s="4" t="s">
        <v>59</v>
      </c>
      <c r="D7" s="7">
        <v>46070</v>
      </c>
      <c r="E7" s="3">
        <v>9668.51</v>
      </c>
      <c r="F7" s="4" t="s">
        <v>30</v>
      </c>
      <c r="G7" s="3">
        <v>27.72</v>
      </c>
      <c r="H7" s="4" t="s">
        <v>41</v>
      </c>
      <c r="I7" s="4" t="s">
        <v>41</v>
      </c>
      <c r="J7" s="4" t="s">
        <v>60</v>
      </c>
      <c r="K7" s="4"/>
      <c r="L7" s="3">
        <v>305</v>
      </c>
      <c r="M7" s="3">
        <v>30.37</v>
      </c>
      <c r="N7" s="3">
        <v>9668.51</v>
      </c>
      <c r="O7" s="4" t="s">
        <v>34</v>
      </c>
      <c r="P7" s="4" t="s">
        <v>34</v>
      </c>
      <c r="Q7" s="4" t="s">
        <v>35</v>
      </c>
      <c r="R7" s="3">
        <v>1526.9</v>
      </c>
      <c r="S7" s="3">
        <v>24.043800000000001</v>
      </c>
      <c r="T7" s="4" t="s">
        <v>43</v>
      </c>
      <c r="U7" s="2" t="s">
        <v>37</v>
      </c>
      <c r="V7" s="2" t="s">
        <v>37</v>
      </c>
      <c r="W7" s="2" t="s">
        <v>37</v>
      </c>
      <c r="X7" s="2" t="s">
        <v>37</v>
      </c>
      <c r="Y7" s="2" t="s">
        <v>37</v>
      </c>
      <c r="Z7" s="2" t="s">
        <v>37</v>
      </c>
      <c r="AA7" s="6">
        <v>3.9853595510000002</v>
      </c>
      <c r="AB7" s="6">
        <v>3.1838105950000002</v>
      </c>
      <c r="AC7" s="6">
        <v>3.9853595510000002</v>
      </c>
      <c r="AD7" cm="1">
        <f t="array" ref="AD7">IF(SUMPRODUCT(--($AM$2:$AM$112=TRIM(LEFT($B7,IFERROR(FIND(" ",$B7)-1,LEN($B7))))))&gt;0,1,0)</f>
        <v>0</v>
      </c>
      <c r="AE7" cm="1">
        <f t="array" ref="AE7">IF(SUMPRODUCT(--($AO$2:$AO$145=TRIM(LEFT($B7,IFERROR(FIND(" ",$B7)-1,LEN($B7))))))&gt;0,1,0)</f>
        <v>0</v>
      </c>
      <c r="AF7" cm="1">
        <f t="array" ref="AF7">IF(SUMPRODUCT(--($AQ$2:$AQ$71=TRIM(LEFT($B7,IFERROR(FIND(" ",$B7)-1,LEN($B7))))))&gt;0,1,0)</f>
        <v>0</v>
      </c>
      <c r="AL7" t="s">
        <v>2164</v>
      </c>
      <c r="AM7" t="str">
        <f t="shared" si="0"/>
        <v>GSS</v>
      </c>
      <c r="AN7" t="s">
        <v>2274</v>
      </c>
      <c r="AO7" t="str">
        <f t="shared" si="1"/>
        <v>WOW</v>
      </c>
      <c r="AP7" t="s">
        <v>2173</v>
      </c>
      <c r="AQ7" t="str">
        <f t="shared" si="2"/>
        <v>AL</v>
      </c>
    </row>
    <row r="8" spans="1:43" ht="90.75" thickBot="1" x14ac:dyDescent="0.3">
      <c r="A8" s="13">
        <v>49</v>
      </c>
      <c r="B8" s="4" t="s">
        <v>61</v>
      </c>
      <c r="C8" s="4" t="s">
        <v>62</v>
      </c>
      <c r="D8" s="7">
        <v>46108</v>
      </c>
      <c r="E8" s="3">
        <v>801.47</v>
      </c>
      <c r="F8" s="4" t="s">
        <v>46</v>
      </c>
      <c r="G8" s="3">
        <v>13.94</v>
      </c>
      <c r="H8" s="4" t="s">
        <v>51</v>
      </c>
      <c r="I8" s="4" t="s">
        <v>51</v>
      </c>
      <c r="J8" s="4" t="s">
        <v>52</v>
      </c>
      <c r="K8" s="4"/>
      <c r="L8" s="4"/>
      <c r="M8" s="4"/>
      <c r="N8" s="3">
        <v>2.97</v>
      </c>
      <c r="O8" s="4" t="s">
        <v>49</v>
      </c>
      <c r="P8" s="4" t="s">
        <v>49</v>
      </c>
      <c r="Q8" s="4" t="s">
        <v>35</v>
      </c>
      <c r="R8" s="3">
        <v>132.64599999999999</v>
      </c>
      <c r="S8" s="3">
        <v>42.787199999999999</v>
      </c>
      <c r="T8" s="4" t="s">
        <v>43</v>
      </c>
      <c r="U8" s="2" t="s">
        <v>37</v>
      </c>
      <c r="V8" s="2" t="s">
        <v>37</v>
      </c>
      <c r="W8" s="2" t="s">
        <v>37</v>
      </c>
      <c r="X8" s="2" t="s">
        <v>37</v>
      </c>
      <c r="Y8" s="2" t="s">
        <v>37</v>
      </c>
      <c r="Z8" s="2" t="s">
        <v>37</v>
      </c>
      <c r="AA8" s="6">
        <v>2.9038872709999999</v>
      </c>
      <c r="AB8" s="6">
        <v>2.1226941579999998</v>
      </c>
      <c r="AC8" s="6">
        <v>0.47275644929999999</v>
      </c>
      <c r="AD8" cm="1">
        <f t="array" ref="AD8">IF(SUMPRODUCT(--($AM$2:$AM$112=TRIM(LEFT($B8,IFERROR(FIND(" ",$B8)-1,LEN($B8))))))&gt;0,1,0)</f>
        <v>0</v>
      </c>
      <c r="AE8" cm="1">
        <f t="array" ref="AE8">IF(SUMPRODUCT(--($AO$2:$AO$145=TRIM(LEFT($B8,IFERROR(FIND(" ",$B8)-1,LEN($B8))))))&gt;0,1,0)</f>
        <v>0</v>
      </c>
      <c r="AF8" cm="1">
        <f t="array" ref="AF8">IF(SUMPRODUCT(--($AQ$2:$AQ$71=TRIM(LEFT($B8,IFERROR(FIND(" ",$B8)-1,LEN($B8))))))&gt;0,1,0)</f>
        <v>0</v>
      </c>
      <c r="AL8" t="s">
        <v>2165</v>
      </c>
      <c r="AM8" t="str">
        <f t="shared" si="0"/>
        <v>NLC</v>
      </c>
      <c r="AN8" t="s">
        <v>2275</v>
      </c>
      <c r="AO8" t="str">
        <f t="shared" si="1"/>
        <v>AVDX</v>
      </c>
      <c r="AP8" t="s">
        <v>2366</v>
      </c>
      <c r="AQ8" t="str">
        <f t="shared" si="2"/>
        <v>DAY</v>
      </c>
    </row>
    <row r="9" spans="1:43" ht="45.75" thickBot="1" x14ac:dyDescent="0.3">
      <c r="A9" s="13">
        <v>112</v>
      </c>
      <c r="B9" s="4" t="s">
        <v>63</v>
      </c>
      <c r="C9" s="4" t="s">
        <v>64</v>
      </c>
      <c r="D9" s="7">
        <v>46020</v>
      </c>
      <c r="E9" s="3">
        <v>567.59</v>
      </c>
      <c r="F9" s="4" t="s">
        <v>46</v>
      </c>
      <c r="G9" s="4"/>
      <c r="H9" s="4" t="s">
        <v>65</v>
      </c>
      <c r="I9" s="4" t="s">
        <v>66</v>
      </c>
      <c r="J9" s="4" t="s">
        <v>66</v>
      </c>
      <c r="K9" s="4"/>
      <c r="L9" s="4"/>
      <c r="M9" s="3">
        <v>-1.1000000000000001</v>
      </c>
      <c r="N9" s="3">
        <v>567.59</v>
      </c>
      <c r="O9" s="4" t="s">
        <v>34</v>
      </c>
      <c r="P9" s="4" t="s">
        <v>34</v>
      </c>
      <c r="Q9" s="4" t="s">
        <v>35</v>
      </c>
      <c r="R9" s="3">
        <v>489.62900000000002</v>
      </c>
      <c r="S9" s="3">
        <v>20.4513</v>
      </c>
      <c r="T9" s="4" t="s">
        <v>43</v>
      </c>
      <c r="U9" s="2" t="s">
        <v>37</v>
      </c>
      <c r="V9" s="2" t="s">
        <v>37</v>
      </c>
      <c r="W9" s="2" t="s">
        <v>37</v>
      </c>
      <c r="X9" s="2" t="s">
        <v>37</v>
      </c>
      <c r="Y9" s="2" t="s">
        <v>37</v>
      </c>
      <c r="Z9" s="2" t="s">
        <v>37</v>
      </c>
      <c r="AA9" s="6">
        <v>2.7540347349999998</v>
      </c>
      <c r="AB9" s="6">
        <v>2.6898671329999999</v>
      </c>
      <c r="AC9" s="6">
        <v>2.7540347349999998</v>
      </c>
      <c r="AD9" cm="1">
        <f t="array" ref="AD9">IF(SUMPRODUCT(--($AM$2:$AM$112=TRIM(LEFT($B9,IFERROR(FIND(" ",$B9)-1,LEN($B9))))))&gt;0,1,0)</f>
        <v>0</v>
      </c>
      <c r="AE9" cm="1">
        <f t="array" ref="AE9">IF(SUMPRODUCT(--($AO$2:$AO$145=TRIM(LEFT($B9,IFERROR(FIND(" ",$B9)-1,LEN($B9))))))&gt;0,1,0)</f>
        <v>0</v>
      </c>
      <c r="AF9" cm="1">
        <f t="array" ref="AF9">IF(SUMPRODUCT(--($AQ$2:$AQ$71=TRIM(LEFT($B9,IFERROR(FIND(" ",$B9)-1,LEN($B9))))))&gt;0,1,0)</f>
        <v>0</v>
      </c>
      <c r="AL9" t="s">
        <v>2166</v>
      </c>
      <c r="AM9" t="str">
        <f t="shared" si="0"/>
        <v>GUY</v>
      </c>
      <c r="AN9" t="s">
        <v>2276</v>
      </c>
      <c r="AO9" t="str">
        <f t="shared" si="1"/>
        <v>SKX</v>
      </c>
      <c r="AP9" t="s">
        <v>2367</v>
      </c>
      <c r="AQ9" t="str">
        <f t="shared" si="2"/>
        <v>ETWO</v>
      </c>
    </row>
    <row r="10" spans="1:43" ht="45.75" thickBot="1" x14ac:dyDescent="0.3">
      <c r="A10" s="13">
        <v>70</v>
      </c>
      <c r="B10" s="4" t="s">
        <v>67</v>
      </c>
      <c r="C10" s="4" t="s">
        <v>68</v>
      </c>
      <c r="D10" s="7">
        <v>46077</v>
      </c>
      <c r="E10" s="3">
        <v>4165.2299999999996</v>
      </c>
      <c r="F10" s="4" t="s">
        <v>69</v>
      </c>
      <c r="G10" s="3">
        <v>39.17</v>
      </c>
      <c r="H10" s="4" t="s">
        <v>70</v>
      </c>
      <c r="I10" s="4" t="s">
        <v>71</v>
      </c>
      <c r="J10" s="4" t="s">
        <v>72</v>
      </c>
      <c r="K10" s="4"/>
      <c r="L10" s="4"/>
      <c r="M10" s="3">
        <v>154.16999999999999</v>
      </c>
      <c r="N10" s="3">
        <v>4051.91</v>
      </c>
      <c r="O10" s="4" t="s">
        <v>34</v>
      </c>
      <c r="P10" s="4" t="s">
        <v>34</v>
      </c>
      <c r="Q10" s="4" t="s">
        <v>35</v>
      </c>
      <c r="R10" s="3">
        <v>536.26300000000003</v>
      </c>
      <c r="S10" s="3">
        <v>13.1911</v>
      </c>
      <c r="T10" s="4" t="s">
        <v>43</v>
      </c>
      <c r="U10" s="2" t="s">
        <v>37</v>
      </c>
      <c r="V10" s="2" t="s">
        <v>37</v>
      </c>
      <c r="W10" s="2" t="s">
        <v>37</v>
      </c>
      <c r="X10" s="2" t="s">
        <v>37</v>
      </c>
      <c r="Y10" s="2" t="s">
        <v>37</v>
      </c>
      <c r="Z10" s="2" t="s">
        <v>37</v>
      </c>
      <c r="AA10" s="6">
        <v>3.6196389880000002</v>
      </c>
      <c r="AB10" s="6">
        <v>2.729377833</v>
      </c>
      <c r="AC10" s="6">
        <v>3.60765979</v>
      </c>
      <c r="AD10" cm="1">
        <f t="array" ref="AD10">IF(SUMPRODUCT(--($AM$2:$AM$112=TRIM(LEFT($B10,IFERROR(FIND(" ",$B10)-1,LEN($B10))))))&gt;0,1,0)</f>
        <v>0</v>
      </c>
      <c r="AE10" cm="1">
        <f t="array" ref="AE10">IF(SUMPRODUCT(--($AO$2:$AO$145=TRIM(LEFT($B10,IFERROR(FIND(" ",$B10)-1,LEN($B10))))))&gt;0,1,0)</f>
        <v>0</v>
      </c>
      <c r="AF10" cm="1">
        <f t="array" ref="AF10">IF(SUMPRODUCT(--($AQ$2:$AQ$71=TRIM(LEFT($B10,IFERROR(FIND(" ",$B10)-1,LEN($B10))))))&gt;0,1,0)</f>
        <v>0</v>
      </c>
      <c r="AL10" t="s">
        <v>2167</v>
      </c>
      <c r="AM10" t="str">
        <f t="shared" si="0"/>
        <v>CNL</v>
      </c>
      <c r="AN10" t="s">
        <v>2277</v>
      </c>
      <c r="AO10" t="str">
        <f t="shared" si="1"/>
        <v>DNB</v>
      </c>
      <c r="AP10" t="s">
        <v>2368</v>
      </c>
      <c r="AQ10" t="str">
        <f t="shared" si="2"/>
        <v>RDUS</v>
      </c>
    </row>
    <row r="11" spans="1:43" ht="75.75" thickBot="1" x14ac:dyDescent="0.3">
      <c r="A11" s="13">
        <v>213</v>
      </c>
      <c r="B11" s="4" t="s">
        <v>73</v>
      </c>
      <c r="C11" s="4" t="s">
        <v>74</v>
      </c>
      <c r="D11" s="7">
        <v>45875</v>
      </c>
      <c r="E11" s="3">
        <v>1321.3</v>
      </c>
      <c r="F11" s="4" t="s">
        <v>46</v>
      </c>
      <c r="G11" s="3">
        <v>5.63</v>
      </c>
      <c r="H11" s="4" t="s">
        <v>75</v>
      </c>
      <c r="I11" s="4" t="s">
        <v>76</v>
      </c>
      <c r="J11" s="4" t="s">
        <v>77</v>
      </c>
      <c r="K11" s="3">
        <v>35</v>
      </c>
      <c r="L11" s="3">
        <v>25</v>
      </c>
      <c r="M11" s="3">
        <v>8.24</v>
      </c>
      <c r="N11" s="3">
        <v>856.91</v>
      </c>
      <c r="O11" s="4" t="s">
        <v>34</v>
      </c>
      <c r="P11" s="4" t="s">
        <v>34</v>
      </c>
      <c r="Q11" s="4" t="s">
        <v>35</v>
      </c>
      <c r="R11" s="3">
        <v>1709.59</v>
      </c>
      <c r="S11" s="3">
        <v>1.85328</v>
      </c>
      <c r="T11" s="4" t="s">
        <v>43</v>
      </c>
      <c r="U11" s="2" t="s">
        <v>37</v>
      </c>
      <c r="V11" s="2" t="s">
        <v>37</v>
      </c>
      <c r="W11" s="2" t="s">
        <v>37</v>
      </c>
      <c r="X11" s="2" t="s">
        <v>37</v>
      </c>
      <c r="Y11" s="2" t="s">
        <v>37</v>
      </c>
      <c r="Z11" s="2" t="s">
        <v>37</v>
      </c>
      <c r="AA11" s="6">
        <v>3.1210014350000002</v>
      </c>
      <c r="AB11" s="6">
        <v>3.2328919690000002</v>
      </c>
      <c r="AC11" s="6">
        <v>2.9329352110000002</v>
      </c>
      <c r="AD11" cm="1">
        <f t="array" ref="AD11">IF(SUMPRODUCT(--($AM$2:$AM$112=TRIM(LEFT($B11,IFERROR(FIND(" ",$B11)-1,LEN($B11))))))&gt;0,1,0)</f>
        <v>0</v>
      </c>
      <c r="AE11" cm="1">
        <f t="array" ref="AE11">IF(SUMPRODUCT(--($AO$2:$AO$145=TRIM(LEFT($B11,IFERROR(FIND(" ",$B11)-1,LEN($B11))))))&gt;0,1,0)</f>
        <v>0</v>
      </c>
      <c r="AF11" cm="1">
        <f t="array" ref="AF11">IF(SUMPRODUCT(--($AQ$2:$AQ$71=TRIM(LEFT($B11,IFERROR(FIND(" ",$B11)-1,LEN($B11))))))&gt;0,1,0)</f>
        <v>0</v>
      </c>
      <c r="AL11" t="s">
        <v>2168</v>
      </c>
      <c r="AM11" t="str">
        <f t="shared" si="0"/>
        <v>NSU</v>
      </c>
      <c r="AN11" t="s">
        <v>2278</v>
      </c>
      <c r="AO11" t="str">
        <f t="shared" si="1"/>
        <v>TGI</v>
      </c>
      <c r="AP11" t="s">
        <v>2369</v>
      </c>
      <c r="AQ11" t="str">
        <f t="shared" si="2"/>
        <v>CIX</v>
      </c>
    </row>
    <row r="12" spans="1:43" ht="144" thickBot="1" x14ac:dyDescent="0.3">
      <c r="A12" s="13">
        <v>68</v>
      </c>
      <c r="B12" s="4" t="s">
        <v>78</v>
      </c>
      <c r="C12" s="2"/>
      <c r="D12" s="7">
        <v>46076</v>
      </c>
      <c r="E12" s="3">
        <v>1775.1</v>
      </c>
      <c r="F12" s="4" t="s">
        <v>30</v>
      </c>
      <c r="G12" s="3">
        <v>14.71</v>
      </c>
      <c r="H12" s="4" t="s">
        <v>51</v>
      </c>
      <c r="I12" s="4" t="s">
        <v>51</v>
      </c>
      <c r="J12" s="4" t="s">
        <v>79</v>
      </c>
      <c r="K12" s="4"/>
      <c r="L12" s="4"/>
      <c r="M12" s="3">
        <v>19.670000000000002</v>
      </c>
      <c r="N12" s="3">
        <v>1775.1</v>
      </c>
      <c r="O12" s="4" t="s">
        <v>34</v>
      </c>
      <c r="P12" s="4" t="s">
        <v>34</v>
      </c>
      <c r="Q12" s="4" t="s">
        <v>35</v>
      </c>
      <c r="R12" s="3">
        <v>288.43400000000003</v>
      </c>
      <c r="S12" s="3">
        <v>9.6048600000000004</v>
      </c>
      <c r="T12" s="8" t="s">
        <v>80</v>
      </c>
      <c r="U12" s="2" t="s">
        <v>37</v>
      </c>
      <c r="V12" s="2" t="s">
        <v>37</v>
      </c>
      <c r="W12" s="2" t="s">
        <v>37</v>
      </c>
      <c r="X12" s="2" t="s">
        <v>38</v>
      </c>
      <c r="Y12" s="2" t="s">
        <v>38</v>
      </c>
      <c r="Z12" s="2" t="s">
        <v>37</v>
      </c>
      <c r="AA12" s="6">
        <v>3.2492228239999998</v>
      </c>
      <c r="AB12" s="6">
        <v>2.4600464529999999</v>
      </c>
      <c r="AC12" s="6">
        <v>3.2492228239999998</v>
      </c>
      <c r="AD12" cm="1">
        <f t="array" ref="AD12">IF(SUMPRODUCT(--($AM$2:$AM$112=TRIM(LEFT($B12,IFERROR(FIND(" ",$B12)-1,LEN($B12))))))&gt;0,1,0)</f>
        <v>0</v>
      </c>
      <c r="AE12" cm="1">
        <f t="array" ref="AE12">IF(SUMPRODUCT(--($AO$2:$AO$145=TRIM(LEFT($B12,IFERROR(FIND(" ",$B12)-1,LEN($B12))))))&gt;0,1,0)</f>
        <v>0</v>
      </c>
      <c r="AF12" cm="1">
        <f t="array" ref="AF12">IF(SUMPRODUCT(--($AQ$2:$AQ$71=TRIM(LEFT($B12,IFERROR(FIND(" ",$B12)-1,LEN($B12))))))&gt;0,1,0)</f>
        <v>0</v>
      </c>
      <c r="AL12" t="s">
        <v>2169</v>
      </c>
      <c r="AM12" t="str">
        <f t="shared" si="0"/>
        <v>TMB</v>
      </c>
      <c r="AN12" t="s">
        <v>2175</v>
      </c>
      <c r="AO12" t="str">
        <f t="shared" si="1"/>
        <v>IPG</v>
      </c>
      <c r="AP12" t="s">
        <v>2370</v>
      </c>
      <c r="AQ12" t="str">
        <f t="shared" si="2"/>
        <v>USAP</v>
      </c>
    </row>
    <row r="13" spans="1:43" ht="195.75" thickBot="1" x14ac:dyDescent="0.3">
      <c r="A13" s="13">
        <v>66</v>
      </c>
      <c r="B13" s="4" t="s">
        <v>81</v>
      </c>
      <c r="C13" s="4" t="s">
        <v>82</v>
      </c>
      <c r="D13" s="7">
        <v>46071</v>
      </c>
      <c r="E13" s="3">
        <v>758.52</v>
      </c>
      <c r="F13" s="4" t="s">
        <v>30</v>
      </c>
      <c r="G13" s="3">
        <v>5.56</v>
      </c>
      <c r="H13" s="4" t="s">
        <v>75</v>
      </c>
      <c r="I13" s="4" t="s">
        <v>83</v>
      </c>
      <c r="J13" s="4" t="s">
        <v>84</v>
      </c>
      <c r="K13" s="4"/>
      <c r="L13" s="4"/>
      <c r="M13" s="3">
        <v>20.47</v>
      </c>
      <c r="N13" s="3">
        <v>758.52</v>
      </c>
      <c r="O13" s="4" t="s">
        <v>34</v>
      </c>
      <c r="P13" s="4" t="s">
        <v>34</v>
      </c>
      <c r="Q13" s="4" t="s">
        <v>35</v>
      </c>
      <c r="R13" s="3">
        <v>1051.73</v>
      </c>
      <c r="S13" s="3">
        <v>19.311699999999998</v>
      </c>
      <c r="T13" s="4" t="s">
        <v>85</v>
      </c>
      <c r="U13" s="2" t="s">
        <v>38</v>
      </c>
      <c r="V13" s="2" t="s">
        <v>37</v>
      </c>
      <c r="W13" s="2" t="s">
        <v>37</v>
      </c>
      <c r="X13" s="2" t="s">
        <v>38</v>
      </c>
      <c r="Y13" s="2" t="s">
        <v>38</v>
      </c>
      <c r="Z13" s="2" t="s">
        <v>37</v>
      </c>
      <c r="AA13" s="6">
        <v>2.879967036</v>
      </c>
      <c r="AB13" s="6">
        <v>3.0219042620000001</v>
      </c>
      <c r="AC13" s="6">
        <v>2.879967036</v>
      </c>
      <c r="AD13" cm="1">
        <f t="array" ref="AD13">IF(SUMPRODUCT(--($AM$2:$AM$112=TRIM(LEFT($B13,IFERROR(FIND(" ",$B13)-1,LEN($B13))))))&gt;0,1,0)</f>
        <v>0</v>
      </c>
      <c r="AE13" cm="1">
        <f t="array" ref="AE13">IF(SUMPRODUCT(--($AO$2:$AO$145=TRIM(LEFT($B13,IFERROR(FIND(" ",$B13)-1,LEN($B13))))))&gt;0,1,0)</f>
        <v>0</v>
      </c>
      <c r="AF13" cm="1">
        <f t="array" ref="AF13">IF(SUMPRODUCT(--($AQ$2:$AQ$71=TRIM(LEFT($B13,IFERROR(FIND(" ",$B13)-1,LEN($B13))))))&gt;0,1,0)</f>
        <v>0</v>
      </c>
      <c r="AL13" t="s">
        <v>2170</v>
      </c>
      <c r="AM13" t="str">
        <f t="shared" si="0"/>
        <v>SEE</v>
      </c>
      <c r="AN13" t="s">
        <v>2176</v>
      </c>
      <c r="AO13" t="str">
        <f t="shared" si="1"/>
        <v>PTVE</v>
      </c>
      <c r="AP13" t="s">
        <v>2178</v>
      </c>
      <c r="AQ13" t="str">
        <f t="shared" si="2"/>
        <v>ALTM</v>
      </c>
    </row>
    <row r="14" spans="1:43" ht="75.75" thickBot="1" x14ac:dyDescent="0.3">
      <c r="A14" s="13">
        <v>32</v>
      </c>
      <c r="B14" s="4" t="s">
        <v>86</v>
      </c>
      <c r="C14" s="4" t="s">
        <v>87</v>
      </c>
      <c r="D14" s="7">
        <v>46118</v>
      </c>
      <c r="E14" s="3">
        <v>2900</v>
      </c>
      <c r="F14" s="4" t="s">
        <v>30</v>
      </c>
      <c r="G14" s="3">
        <v>236.08</v>
      </c>
      <c r="H14" s="4" t="s">
        <v>41</v>
      </c>
      <c r="I14" s="4" t="s">
        <v>41</v>
      </c>
      <c r="J14" s="4" t="s">
        <v>42</v>
      </c>
      <c r="K14" s="4"/>
      <c r="L14" s="4"/>
      <c r="M14" s="4"/>
      <c r="N14" s="3">
        <v>3333.21</v>
      </c>
      <c r="O14" s="4" t="s">
        <v>34</v>
      </c>
      <c r="P14" s="4" t="s">
        <v>34</v>
      </c>
      <c r="Q14" s="4" t="s">
        <v>35</v>
      </c>
      <c r="R14" s="3">
        <v>190.405</v>
      </c>
      <c r="S14" s="3">
        <v>30.327200000000001</v>
      </c>
      <c r="T14" s="4" t="s">
        <v>88</v>
      </c>
      <c r="U14" s="2" t="s">
        <v>37</v>
      </c>
      <c r="V14" s="2" t="s">
        <v>37</v>
      </c>
      <c r="W14" s="2" t="s">
        <v>37</v>
      </c>
      <c r="X14" s="2" t="s">
        <v>37</v>
      </c>
      <c r="Y14" s="2" t="s">
        <v>37</v>
      </c>
      <c r="Z14" s="2" t="s">
        <v>38</v>
      </c>
      <c r="AA14" s="6">
        <v>3.4623979980000001</v>
      </c>
      <c r="AB14" s="6">
        <v>2.2796783490000001</v>
      </c>
      <c r="AC14" s="6">
        <v>3.5228626759999999</v>
      </c>
      <c r="AD14" cm="1">
        <f t="array" ref="AD14">IF(SUMPRODUCT(--($AM$2:$AM$112=TRIM(LEFT($B14,IFERROR(FIND(" ",$B14)-1,LEN($B14))))))&gt;0,1,0)</f>
        <v>0</v>
      </c>
      <c r="AE14" cm="1">
        <f t="array" ref="AE14">IF(SUMPRODUCT(--($AO$2:$AO$145=TRIM(LEFT($B14,IFERROR(FIND(" ",$B14)-1,LEN($B14))))))&gt;0,1,0)</f>
        <v>0</v>
      </c>
      <c r="AF14" cm="1">
        <f t="array" ref="AF14">IF(SUMPRODUCT(--($AQ$2:$AQ$71=TRIM(LEFT($B14,IFERROR(FIND(" ",$B14)-1,LEN($B14))))))&gt;0,1,0)</f>
        <v>0</v>
      </c>
      <c r="AL14" t="s">
        <v>2171</v>
      </c>
      <c r="AM14" t="str">
        <f t="shared" si="0"/>
        <v>HOLX</v>
      </c>
      <c r="AN14" t="s">
        <v>2177</v>
      </c>
      <c r="AO14" t="str">
        <f t="shared" si="1"/>
        <v>BERY</v>
      </c>
      <c r="AP14" t="s">
        <v>2371</v>
      </c>
      <c r="AQ14" t="str">
        <f t="shared" si="2"/>
        <v>TELL</v>
      </c>
    </row>
    <row r="15" spans="1:43" ht="105.75" thickBot="1" x14ac:dyDescent="0.3">
      <c r="A15" s="13">
        <v>34</v>
      </c>
      <c r="B15" s="4" t="s">
        <v>89</v>
      </c>
      <c r="C15" s="4" t="s">
        <v>90</v>
      </c>
      <c r="D15" s="7">
        <v>46112</v>
      </c>
      <c r="E15" s="3">
        <v>5249.15</v>
      </c>
      <c r="F15" s="4" t="s">
        <v>30</v>
      </c>
      <c r="G15" s="3">
        <v>77.78</v>
      </c>
      <c r="H15" s="4" t="s">
        <v>41</v>
      </c>
      <c r="I15" s="4" t="s">
        <v>41</v>
      </c>
      <c r="J15" s="4" t="s">
        <v>42</v>
      </c>
      <c r="K15" s="4"/>
      <c r="L15" s="4"/>
      <c r="M15" s="3">
        <v>120.69</v>
      </c>
      <c r="N15" s="3">
        <v>5241.03</v>
      </c>
      <c r="O15" s="4" t="s">
        <v>34</v>
      </c>
      <c r="P15" s="4" t="s">
        <v>34</v>
      </c>
      <c r="Q15" s="4" t="s">
        <v>35</v>
      </c>
      <c r="R15" s="3">
        <v>1003.78</v>
      </c>
      <c r="S15" s="3">
        <v>14.948399999999999</v>
      </c>
      <c r="T15" s="4" t="s">
        <v>91</v>
      </c>
      <c r="U15" s="2" t="s">
        <v>37</v>
      </c>
      <c r="V15" s="2" t="s">
        <v>37</v>
      </c>
      <c r="W15" s="2" t="s">
        <v>37</v>
      </c>
      <c r="X15" s="2" t="s">
        <v>37</v>
      </c>
      <c r="Y15" s="2" t="s">
        <v>37</v>
      </c>
      <c r="Z15" s="2" t="s">
        <v>38</v>
      </c>
      <c r="AA15" s="6">
        <v>3.7200889830000001</v>
      </c>
      <c r="AB15" s="6">
        <v>3.0016385379999999</v>
      </c>
      <c r="AC15" s="6">
        <v>3.719416646</v>
      </c>
      <c r="AD15" cm="1">
        <f t="array" ref="AD15">IF(SUMPRODUCT(--($AM$2:$AM$112=TRIM(LEFT($B15,IFERROR(FIND(" ",$B15)-1,LEN($B15))))))&gt;0,1,0)</f>
        <v>0</v>
      </c>
      <c r="AE15" cm="1">
        <f t="array" ref="AE15">IF(SUMPRODUCT(--($AO$2:$AO$145=TRIM(LEFT($B15,IFERROR(FIND(" ",$B15)-1,LEN($B15))))))&gt;0,1,0)</f>
        <v>0</v>
      </c>
      <c r="AF15" cm="1">
        <f t="array" ref="AF15">IF(SUMPRODUCT(--($AQ$2:$AQ$71=TRIM(LEFT($B15,IFERROR(FIND(" ",$B15)-1,LEN($B15))))))&gt;0,1,0)</f>
        <v>0</v>
      </c>
      <c r="AL15" t="s">
        <v>2172</v>
      </c>
      <c r="AM15" t="str">
        <f t="shared" si="0"/>
        <v>HI</v>
      </c>
      <c r="AN15" t="s">
        <v>2279</v>
      </c>
      <c r="AO15" t="str">
        <f t="shared" si="1"/>
        <v>B</v>
      </c>
      <c r="AP15" t="s">
        <v>2372</v>
      </c>
      <c r="AQ15" t="str">
        <f t="shared" si="2"/>
        <v>DM</v>
      </c>
    </row>
    <row r="16" spans="1:43" ht="75.75" thickBot="1" x14ac:dyDescent="0.3">
      <c r="A16" s="13">
        <v>143</v>
      </c>
      <c r="B16" s="4" t="s">
        <v>92</v>
      </c>
      <c r="C16" s="4" t="s">
        <v>93</v>
      </c>
      <c r="D16" s="7">
        <v>45959</v>
      </c>
      <c r="E16" s="3">
        <v>2740.67</v>
      </c>
      <c r="F16" s="4" t="s">
        <v>30</v>
      </c>
      <c r="G16" s="3">
        <v>12.73</v>
      </c>
      <c r="H16" s="4" t="s">
        <v>70</v>
      </c>
      <c r="I16" s="4" t="s">
        <v>94</v>
      </c>
      <c r="J16" s="4" t="s">
        <v>95</v>
      </c>
      <c r="K16" s="4"/>
      <c r="L16" s="4"/>
      <c r="M16" s="3">
        <v>23.62</v>
      </c>
      <c r="N16" s="3">
        <v>2321.61</v>
      </c>
      <c r="O16" s="4" t="s">
        <v>34</v>
      </c>
      <c r="P16" s="4" t="s">
        <v>96</v>
      </c>
      <c r="Q16" s="4" t="s">
        <v>35</v>
      </c>
      <c r="R16" s="3">
        <v>1223.29</v>
      </c>
      <c r="S16" s="3">
        <v>10.055</v>
      </c>
      <c r="T16" s="4" t="s">
        <v>97</v>
      </c>
      <c r="U16" s="2" t="s">
        <v>37</v>
      </c>
      <c r="V16" s="2" t="s">
        <v>37</v>
      </c>
      <c r="W16" s="2" t="s">
        <v>38</v>
      </c>
      <c r="X16" s="2" t="s">
        <v>37</v>
      </c>
      <c r="Y16" s="2" t="s">
        <v>37</v>
      </c>
      <c r="Z16" s="2" t="s">
        <v>37</v>
      </c>
      <c r="AA16" s="6">
        <v>3.437856746</v>
      </c>
      <c r="AB16" s="6">
        <v>3.0875294260000001</v>
      </c>
      <c r="AC16" s="6">
        <v>3.3657892660000002</v>
      </c>
      <c r="AD16" cm="1">
        <f t="array" ref="AD16">IF(SUMPRODUCT(--($AM$2:$AM$112=TRIM(LEFT($B16,IFERROR(FIND(" ",$B16)-1,LEN($B16))))))&gt;0,1,0)</f>
        <v>0</v>
      </c>
      <c r="AE16" cm="1">
        <f t="array" ref="AE16">IF(SUMPRODUCT(--($AO$2:$AO$145=TRIM(LEFT($B16,IFERROR(FIND(" ",$B16)-1,LEN($B16))))))&gt;0,1,0)</f>
        <v>0</v>
      </c>
      <c r="AF16" cm="1">
        <f t="array" ref="AF16">IF(SUMPRODUCT(--($AQ$2:$AQ$71=TRIM(LEFT($B16,IFERROR(FIND(" ",$B16)-1,LEN($B16))))))&gt;0,1,0)</f>
        <v>1</v>
      </c>
      <c r="AL16" t="s">
        <v>2173</v>
      </c>
      <c r="AM16" t="str">
        <f t="shared" si="0"/>
        <v>AL</v>
      </c>
      <c r="AN16" t="s">
        <v>2280</v>
      </c>
      <c r="AO16" t="str">
        <f t="shared" si="1"/>
        <v>SMAR</v>
      </c>
      <c r="AP16" t="s">
        <v>2285</v>
      </c>
      <c r="AQ16" t="str">
        <f t="shared" si="2"/>
        <v>INFN</v>
      </c>
    </row>
    <row r="17" spans="1:43" ht="135.75" thickBot="1" x14ac:dyDescent="0.3">
      <c r="A17" s="13">
        <v>60</v>
      </c>
      <c r="B17" s="4" t="s">
        <v>98</v>
      </c>
      <c r="C17" s="4" t="s">
        <v>99</v>
      </c>
      <c r="D17" s="7">
        <v>46076</v>
      </c>
      <c r="E17" s="3">
        <v>1157.98</v>
      </c>
      <c r="F17" s="4" t="s">
        <v>30</v>
      </c>
      <c r="G17" s="3">
        <v>18.98</v>
      </c>
      <c r="H17" s="4" t="s">
        <v>41</v>
      </c>
      <c r="I17" s="4" t="s">
        <v>41</v>
      </c>
      <c r="J17" s="4" t="s">
        <v>100</v>
      </c>
      <c r="K17" s="3">
        <v>44.612299999999998</v>
      </c>
      <c r="L17" s="3">
        <v>24.536799999999999</v>
      </c>
      <c r="M17" s="3">
        <v>26.2</v>
      </c>
      <c r="N17" s="3">
        <v>698.38</v>
      </c>
      <c r="O17" s="4" t="s">
        <v>34</v>
      </c>
      <c r="P17" s="4" t="s">
        <v>34</v>
      </c>
      <c r="Q17" s="4" t="s">
        <v>35</v>
      </c>
      <c r="R17" s="3">
        <v>1060</v>
      </c>
      <c r="S17" s="3">
        <v>2.7702100000000001</v>
      </c>
      <c r="T17" s="4" t="s">
        <v>101</v>
      </c>
      <c r="U17" s="2" t="s">
        <v>37</v>
      </c>
      <c r="V17" s="2" t="s">
        <v>37</v>
      </c>
      <c r="W17" s="2" t="s">
        <v>37</v>
      </c>
      <c r="X17" s="2" t="s">
        <v>38</v>
      </c>
      <c r="Y17" s="2" t="s">
        <v>38</v>
      </c>
      <c r="Z17" s="2" t="s">
        <v>37</v>
      </c>
      <c r="AA17" s="6">
        <v>3.063701059</v>
      </c>
      <c r="AB17" s="6">
        <v>3.025305865</v>
      </c>
      <c r="AC17" s="6">
        <v>2.8440917940000001</v>
      </c>
      <c r="AD17" cm="1">
        <f t="array" ref="AD17">IF(SUMPRODUCT(--($AM$2:$AM$112=TRIM(LEFT($B17,IFERROR(FIND(" ",$B17)-1,LEN($B17))))))&gt;0,1,0)</f>
        <v>0</v>
      </c>
      <c r="AE17" cm="1">
        <f t="array" ref="AE17">IF(SUMPRODUCT(--($AO$2:$AO$145=TRIM(LEFT($B17,IFERROR(FIND(" ",$B17)-1,LEN($B17))))))&gt;0,1,0)</f>
        <v>0</v>
      </c>
      <c r="AF17" cm="1">
        <f t="array" ref="AF17">IF(SUMPRODUCT(--($AQ$2:$AQ$71=TRIM(LEFT($B17,IFERROR(FIND(" ",$B17)-1,LEN($B17))))))&gt;0,1,0)</f>
        <v>0</v>
      </c>
      <c r="AL17" t="s">
        <v>2174</v>
      </c>
      <c r="AM17" t="str">
        <f t="shared" si="0"/>
        <v>ZK</v>
      </c>
      <c r="AN17" t="s">
        <v>2281</v>
      </c>
      <c r="AO17" t="str">
        <f t="shared" si="1"/>
        <v>K</v>
      </c>
      <c r="AP17" t="s">
        <v>2373</v>
      </c>
      <c r="AQ17" t="str">
        <f t="shared" si="2"/>
        <v>AY</v>
      </c>
    </row>
    <row r="18" spans="1:43" ht="75.75" thickBot="1" x14ac:dyDescent="0.3">
      <c r="A18" s="13">
        <v>65</v>
      </c>
      <c r="B18" s="4" t="s">
        <v>102</v>
      </c>
      <c r="C18" s="4" t="s">
        <v>103</v>
      </c>
      <c r="D18" s="7">
        <v>46066</v>
      </c>
      <c r="E18" s="3">
        <v>4442.63</v>
      </c>
      <c r="F18" s="4" t="s">
        <v>30</v>
      </c>
      <c r="G18" s="3">
        <v>12.84</v>
      </c>
      <c r="H18" s="4" t="s">
        <v>75</v>
      </c>
      <c r="I18" s="4" t="s">
        <v>76</v>
      </c>
      <c r="J18" s="4" t="s">
        <v>77</v>
      </c>
      <c r="K18" s="4"/>
      <c r="L18" s="4"/>
      <c r="M18" s="3">
        <v>35.21</v>
      </c>
      <c r="N18" s="3">
        <v>4039.81</v>
      </c>
      <c r="O18" s="4" t="s">
        <v>34</v>
      </c>
      <c r="P18" s="4" t="s">
        <v>96</v>
      </c>
      <c r="Q18" s="4" t="s">
        <v>35</v>
      </c>
      <c r="R18" s="3">
        <v>3470.7</v>
      </c>
      <c r="S18" s="3">
        <v>7.0912100000000002</v>
      </c>
      <c r="T18" s="4" t="s">
        <v>104</v>
      </c>
      <c r="U18" s="2" t="s">
        <v>37</v>
      </c>
      <c r="V18" s="2" t="s">
        <v>37</v>
      </c>
      <c r="W18" s="2" t="s">
        <v>38</v>
      </c>
      <c r="X18" s="2" t="s">
        <v>37</v>
      </c>
      <c r="Y18" s="2" t="s">
        <v>37</v>
      </c>
      <c r="Z18" s="2" t="s">
        <v>37</v>
      </c>
      <c r="AA18" s="6">
        <v>3.647640145</v>
      </c>
      <c r="AB18" s="6">
        <v>3.5404170760000002</v>
      </c>
      <c r="AC18" s="6">
        <v>3.6063609400000001</v>
      </c>
      <c r="AD18" cm="1">
        <f t="array" ref="AD18">IF(SUMPRODUCT(--($AM$2:$AM$112=TRIM(LEFT($B18,IFERROR(FIND(" ",$B18)-1,LEN($B18))))))&gt;0,1,0)</f>
        <v>0</v>
      </c>
      <c r="AE18" cm="1">
        <f t="array" ref="AE18">IF(SUMPRODUCT(--($AO$2:$AO$145=TRIM(LEFT($B18,IFERROR(FIND(" ",$B18)-1,LEN($B18))))))&gt;0,1,0)</f>
        <v>0</v>
      </c>
      <c r="AF18" cm="1">
        <f t="array" ref="AF18">IF(SUMPRODUCT(--($AQ$2:$AQ$71=TRIM(LEFT($B18,IFERROR(FIND(" ",$B18)-1,LEN($B18))))))&gt;0,1,0)</f>
        <v>0</v>
      </c>
      <c r="AL18" t="s">
        <v>2175</v>
      </c>
      <c r="AM18" t="str">
        <f t="shared" si="0"/>
        <v>IPG</v>
      </c>
      <c r="AN18" t="s">
        <v>2282</v>
      </c>
      <c r="AO18" t="str">
        <f t="shared" si="1"/>
        <v>RCM</v>
      </c>
      <c r="AP18" t="s">
        <v>2180</v>
      </c>
      <c r="AQ18" t="str">
        <f t="shared" si="2"/>
        <v>ALE</v>
      </c>
    </row>
    <row r="19" spans="1:43" ht="45.75" thickBot="1" x14ac:dyDescent="0.3">
      <c r="A19" s="13">
        <v>89</v>
      </c>
      <c r="B19" s="4" t="s">
        <v>105</v>
      </c>
      <c r="C19" s="4" t="s">
        <v>106</v>
      </c>
      <c r="D19" s="7">
        <v>46033</v>
      </c>
      <c r="E19" s="3">
        <v>934.19</v>
      </c>
      <c r="F19" s="4" t="s">
        <v>107</v>
      </c>
      <c r="G19" s="3">
        <v>4.68</v>
      </c>
      <c r="H19" s="4" t="s">
        <v>70</v>
      </c>
      <c r="I19" s="4" t="s">
        <v>94</v>
      </c>
      <c r="J19" s="4" t="s">
        <v>108</v>
      </c>
      <c r="K19" s="4"/>
      <c r="L19" s="4"/>
      <c r="M19" s="3">
        <v>19.510000000000002</v>
      </c>
      <c r="N19" s="3">
        <v>934.19</v>
      </c>
      <c r="O19" s="4" t="s">
        <v>34</v>
      </c>
      <c r="P19" s="4" t="s">
        <v>34</v>
      </c>
      <c r="Q19" s="4" t="s">
        <v>35</v>
      </c>
      <c r="R19" s="3">
        <v>1126.77</v>
      </c>
      <c r="S19" s="3">
        <v>7.1326299999999998</v>
      </c>
      <c r="T19" s="4" t="s">
        <v>43</v>
      </c>
      <c r="U19" s="2" t="s">
        <v>37</v>
      </c>
      <c r="V19" s="2" t="s">
        <v>37</v>
      </c>
      <c r="W19" s="2" t="s">
        <v>37</v>
      </c>
      <c r="X19" s="2" t="s">
        <v>37</v>
      </c>
      <c r="Y19" s="2" t="s">
        <v>37</v>
      </c>
      <c r="Z19" s="2" t="s">
        <v>37</v>
      </c>
      <c r="AA19" s="6">
        <v>2.9704352140000001</v>
      </c>
      <c r="AB19" s="6">
        <v>3.0518352750000002</v>
      </c>
      <c r="AC19" s="6">
        <v>2.9704352140000001</v>
      </c>
      <c r="AD19" cm="1">
        <f t="array" ref="AD19">IF(SUMPRODUCT(--($AM$2:$AM$112=TRIM(LEFT($B19,IFERROR(FIND(" ",$B19)-1,LEN($B19))))))&gt;0,1,0)</f>
        <v>0</v>
      </c>
      <c r="AE19" cm="1">
        <f t="array" ref="AE19">IF(SUMPRODUCT(--($AO$2:$AO$145=TRIM(LEFT($B19,IFERROR(FIND(" ",$B19)-1,LEN($B19))))))&gt;0,1,0)</f>
        <v>0</v>
      </c>
      <c r="AF19" cm="1">
        <f t="array" ref="AF19">IF(SUMPRODUCT(--($AQ$2:$AQ$71=TRIM(LEFT($B19,IFERROR(FIND(" ",$B19)-1,LEN($B19))))))&gt;0,1,0)</f>
        <v>0</v>
      </c>
      <c r="AL19" t="s">
        <v>2176</v>
      </c>
      <c r="AM19" t="str">
        <f t="shared" si="0"/>
        <v>PTVE</v>
      </c>
      <c r="AN19" t="s">
        <v>2160</v>
      </c>
      <c r="AO19" t="str">
        <f t="shared" si="1"/>
        <v>FIL</v>
      </c>
      <c r="AP19" t="s">
        <v>2374</v>
      </c>
      <c r="AQ19" t="str">
        <f t="shared" si="2"/>
        <v>PRFT</v>
      </c>
    </row>
    <row r="20" spans="1:43" ht="75.75" thickBot="1" x14ac:dyDescent="0.3">
      <c r="A20" s="13">
        <v>105</v>
      </c>
      <c r="B20" s="4" t="s">
        <v>109</v>
      </c>
      <c r="C20" s="4" t="s">
        <v>110</v>
      </c>
      <c r="D20" s="7">
        <v>46008</v>
      </c>
      <c r="E20" s="3">
        <v>622.07000000000005</v>
      </c>
      <c r="F20" s="4" t="s">
        <v>46</v>
      </c>
      <c r="G20" s="4"/>
      <c r="H20" s="4" t="s">
        <v>75</v>
      </c>
      <c r="I20" s="4" t="s">
        <v>111</v>
      </c>
      <c r="J20" s="4" t="s">
        <v>112</v>
      </c>
      <c r="K20" s="3">
        <v>40.5</v>
      </c>
      <c r="L20" s="4"/>
      <c r="M20" s="3">
        <v>25.59</v>
      </c>
      <c r="N20" s="3">
        <v>949.05</v>
      </c>
      <c r="O20" s="4" t="s">
        <v>34</v>
      </c>
      <c r="P20" s="4" t="s">
        <v>34</v>
      </c>
      <c r="Q20" s="4" t="s">
        <v>35</v>
      </c>
      <c r="R20" s="3">
        <v>789.84400000000005</v>
      </c>
      <c r="S20" s="3">
        <v>-1.5609200000000001</v>
      </c>
      <c r="T20" s="4" t="s">
        <v>113</v>
      </c>
      <c r="U20" s="2" t="s">
        <v>37</v>
      </c>
      <c r="V20" s="2" t="s">
        <v>37</v>
      </c>
      <c r="W20" s="2" t="s">
        <v>37</v>
      </c>
      <c r="X20" s="2" t="s">
        <v>38</v>
      </c>
      <c r="Y20" s="2" t="s">
        <v>37</v>
      </c>
      <c r="Z20" s="2" t="s">
        <v>37</v>
      </c>
      <c r="AA20" s="6">
        <v>2.7938392580000002</v>
      </c>
      <c r="AB20" s="6">
        <v>2.897541323</v>
      </c>
      <c r="AC20" s="6">
        <v>2.9772890940000001</v>
      </c>
      <c r="AD20" cm="1">
        <f t="array" ref="AD20">IF(SUMPRODUCT(--($AM$2:$AM$112=TRIM(LEFT($B20,IFERROR(FIND(" ",$B20)-1,LEN($B20))))))&gt;0,1,0)</f>
        <v>0</v>
      </c>
      <c r="AE20" cm="1">
        <f t="array" ref="AE20">IF(SUMPRODUCT(--($AO$2:$AO$145=TRIM(LEFT($B20,IFERROR(FIND(" ",$B20)-1,LEN($B20))))))&gt;0,1,0)</f>
        <v>0</v>
      </c>
      <c r="AF20" cm="1">
        <f t="array" ref="AF20">IF(SUMPRODUCT(--($AQ$2:$AQ$71=TRIM(LEFT($B20,IFERROR(FIND(" ",$B20)-1,LEN($B20))))))&gt;0,1,0)</f>
        <v>0</v>
      </c>
      <c r="AL20" t="s">
        <v>2177</v>
      </c>
      <c r="AM20" t="str">
        <f t="shared" si="0"/>
        <v>BERY</v>
      </c>
      <c r="AN20" t="s">
        <v>2283</v>
      </c>
      <c r="AO20" t="str">
        <f t="shared" si="1"/>
        <v>PARA</v>
      </c>
      <c r="AP20" t="s">
        <v>2375</v>
      </c>
      <c r="AQ20" t="str">
        <f t="shared" si="2"/>
        <v>CHX</v>
      </c>
    </row>
    <row r="21" spans="1:43" ht="75.75" thickBot="1" x14ac:dyDescent="0.3">
      <c r="A21" s="13">
        <v>236</v>
      </c>
      <c r="B21" s="4" t="s">
        <v>114</v>
      </c>
      <c r="C21" s="4" t="s">
        <v>115</v>
      </c>
      <c r="D21" s="7">
        <v>45824</v>
      </c>
      <c r="E21" s="3">
        <v>821.44</v>
      </c>
      <c r="F21" s="4" t="s">
        <v>30</v>
      </c>
      <c r="G21" s="3">
        <v>28.43</v>
      </c>
      <c r="H21" s="4" t="s">
        <v>31</v>
      </c>
      <c r="I21" s="4" t="s">
        <v>32</v>
      </c>
      <c r="J21" s="4" t="s">
        <v>33</v>
      </c>
      <c r="K21" s="4"/>
      <c r="L21" s="4"/>
      <c r="M21" s="3">
        <v>26.92</v>
      </c>
      <c r="N21" s="3">
        <v>818.25</v>
      </c>
      <c r="O21" s="4" t="s">
        <v>34</v>
      </c>
      <c r="P21" s="4" t="s">
        <v>34</v>
      </c>
      <c r="Q21" s="4" t="s">
        <v>35</v>
      </c>
      <c r="R21" s="3">
        <v>302.548</v>
      </c>
      <c r="S21" s="3">
        <v>2.37765</v>
      </c>
      <c r="T21" s="4" t="s">
        <v>113</v>
      </c>
      <c r="U21" s="2" t="s">
        <v>37</v>
      </c>
      <c r="V21" s="2" t="s">
        <v>37</v>
      </c>
      <c r="W21" s="2" t="s">
        <v>37</v>
      </c>
      <c r="X21" s="2" t="s">
        <v>38</v>
      </c>
      <c r="Y21" s="2" t="s">
        <v>37</v>
      </c>
      <c r="Z21" s="2" t="s">
        <v>37</v>
      </c>
      <c r="AA21" s="6">
        <v>2.9145758470000001</v>
      </c>
      <c r="AB21" s="6">
        <v>2.4807942860000001</v>
      </c>
      <c r="AC21" s="6">
        <v>2.9128860140000001</v>
      </c>
      <c r="AD21" cm="1">
        <f t="array" ref="AD21">IF(SUMPRODUCT(--($AM$2:$AM$112=TRIM(LEFT($B21,IFERROR(FIND(" ",$B21)-1,LEN($B21))))))&gt;0,1,0)</f>
        <v>0</v>
      </c>
      <c r="AE21" cm="1">
        <f t="array" ref="AE21">IF(SUMPRODUCT(--($AO$2:$AO$145=TRIM(LEFT($B21,IFERROR(FIND(" ",$B21)-1,LEN($B21))))))&gt;0,1,0)</f>
        <v>0</v>
      </c>
      <c r="AF21" cm="1">
        <f t="array" ref="AF21">IF(SUMPRODUCT(--($AQ$2:$AQ$71=TRIM(LEFT($B21,IFERROR(FIND(" ",$B21)-1,LEN($B21))))))&gt;0,1,0)</f>
        <v>0</v>
      </c>
      <c r="AL21" t="s">
        <v>2178</v>
      </c>
      <c r="AM21" t="str">
        <f t="shared" si="0"/>
        <v>ALTM</v>
      </c>
      <c r="AN21" t="s">
        <v>2284</v>
      </c>
      <c r="AO21" t="str">
        <f t="shared" si="1"/>
        <v>SPR</v>
      </c>
      <c r="AP21" t="s">
        <v>2376</v>
      </c>
      <c r="AQ21" t="str">
        <f t="shared" si="2"/>
        <v>VSTO</v>
      </c>
    </row>
    <row r="22" spans="1:43" ht="45.75" thickBot="1" x14ac:dyDescent="0.3">
      <c r="A22" s="13">
        <v>69</v>
      </c>
      <c r="B22" s="4" t="s">
        <v>116</v>
      </c>
      <c r="C22" s="4" t="s">
        <v>117</v>
      </c>
      <c r="D22" s="7">
        <v>46055</v>
      </c>
      <c r="E22" s="3">
        <v>23961.19</v>
      </c>
      <c r="F22" s="4" t="s">
        <v>46</v>
      </c>
      <c r="G22" s="3">
        <v>4.8499999999999996</v>
      </c>
      <c r="H22" s="4" t="s">
        <v>118</v>
      </c>
      <c r="I22" s="4" t="s">
        <v>119</v>
      </c>
      <c r="J22" s="4" t="s">
        <v>120</v>
      </c>
      <c r="K22" s="3">
        <v>865</v>
      </c>
      <c r="L22" s="3">
        <v>865</v>
      </c>
      <c r="M22" s="3">
        <v>-0.64</v>
      </c>
      <c r="N22" s="3">
        <v>19942.189999999999</v>
      </c>
      <c r="O22" s="4" t="s">
        <v>34</v>
      </c>
      <c r="P22" s="4" t="s">
        <v>34</v>
      </c>
      <c r="Q22" s="4" t="s">
        <v>35</v>
      </c>
      <c r="R22" s="3">
        <v>7645</v>
      </c>
      <c r="S22" s="3">
        <v>31.165500000000002</v>
      </c>
      <c r="T22" s="4" t="s">
        <v>43</v>
      </c>
      <c r="U22" s="2" t="s">
        <v>37</v>
      </c>
      <c r="V22" s="2" t="s">
        <v>37</v>
      </c>
      <c r="W22" s="2" t="s">
        <v>37</v>
      </c>
      <c r="X22" s="2" t="s">
        <v>37</v>
      </c>
      <c r="Y22" s="2" t="s">
        <v>37</v>
      </c>
      <c r="Z22" s="2" t="s">
        <v>37</v>
      </c>
      <c r="AA22" s="6">
        <v>4.3795083830000001</v>
      </c>
      <c r="AB22" s="6">
        <v>3.88337749</v>
      </c>
      <c r="AC22" s="6">
        <v>4.2997728500000001</v>
      </c>
      <c r="AD22" cm="1">
        <f t="array" ref="AD22">IF(SUMPRODUCT(--($AM$2:$AM$112=TRIM(LEFT($B22,IFERROR(FIND(" ",$B22)-1,LEN($B22))))))&gt;0,1,0)</f>
        <v>0</v>
      </c>
      <c r="AE22" cm="1">
        <f t="array" ref="AE22">IF(SUMPRODUCT(--($AO$2:$AO$145=TRIM(LEFT($B22,IFERROR(FIND(" ",$B22)-1,LEN($B22))))))&gt;0,1,0)</f>
        <v>0</v>
      </c>
      <c r="AF22" cm="1">
        <f t="array" ref="AF22">IF(SUMPRODUCT(--($AQ$2:$AQ$71=TRIM(LEFT($B22,IFERROR(FIND(" ",$B22)-1,LEN($B22))))))&gt;0,1,0)</f>
        <v>0</v>
      </c>
      <c r="AL22" t="s">
        <v>2179</v>
      </c>
      <c r="AM22" t="str">
        <f t="shared" si="0"/>
        <v>ARCH</v>
      </c>
      <c r="AN22" t="s">
        <v>2285</v>
      </c>
      <c r="AO22" t="str">
        <f t="shared" si="1"/>
        <v>INFN</v>
      </c>
      <c r="AP22" t="s">
        <v>2377</v>
      </c>
      <c r="AQ22" t="str">
        <f t="shared" si="2"/>
        <v>HAYN</v>
      </c>
    </row>
    <row r="23" spans="1:43" ht="105.75" thickBot="1" x14ac:dyDescent="0.3">
      <c r="A23" s="13">
        <v>31</v>
      </c>
      <c r="B23" s="4" t="s">
        <v>121</v>
      </c>
      <c r="C23" s="4" t="s">
        <v>122</v>
      </c>
      <c r="D23" s="7">
        <v>46106</v>
      </c>
      <c r="E23" s="3">
        <v>5470.06</v>
      </c>
      <c r="F23" s="4" t="s">
        <v>30</v>
      </c>
      <c r="G23" s="4"/>
      <c r="H23" s="4" t="s">
        <v>41</v>
      </c>
      <c r="I23" s="4" t="s">
        <v>41</v>
      </c>
      <c r="J23" s="4" t="s">
        <v>42</v>
      </c>
      <c r="K23" s="3">
        <v>270</v>
      </c>
      <c r="L23" s="3">
        <v>235</v>
      </c>
      <c r="M23" s="3">
        <v>17.8</v>
      </c>
      <c r="N23" s="3">
        <v>5764.67</v>
      </c>
      <c r="O23" s="4" t="s">
        <v>34</v>
      </c>
      <c r="P23" s="4" t="s">
        <v>34</v>
      </c>
      <c r="Q23" s="4" t="s">
        <v>35</v>
      </c>
      <c r="R23" s="2"/>
      <c r="S23" s="2"/>
      <c r="T23" s="4" t="s">
        <v>91</v>
      </c>
      <c r="U23" s="2" t="s">
        <v>37</v>
      </c>
      <c r="V23" s="2" t="s">
        <v>37</v>
      </c>
      <c r="W23" s="2" t="s">
        <v>37</v>
      </c>
      <c r="X23" s="2" t="s">
        <v>37</v>
      </c>
      <c r="Y23" s="2" t="s">
        <v>37</v>
      </c>
      <c r="Z23" s="2" t="s">
        <v>38</v>
      </c>
      <c r="AA23" s="6">
        <v>3.7379920900000001</v>
      </c>
      <c r="AB23" s="2"/>
      <c r="AC23" s="6">
        <v>3.7607744510000001</v>
      </c>
      <c r="AD23" cm="1">
        <f t="array" ref="AD23">IF(SUMPRODUCT(--($AM$2:$AM$112=TRIM(LEFT($B23,IFERROR(FIND(" ",$B23)-1,LEN($B23))))))&gt;0,1,0)</f>
        <v>0</v>
      </c>
      <c r="AE23" cm="1">
        <f t="array" ref="AE23">IF(SUMPRODUCT(--($AO$2:$AO$145=TRIM(LEFT($B23,IFERROR(FIND(" ",$B23)-1,LEN($B23))))))&gt;0,1,0)</f>
        <v>0</v>
      </c>
      <c r="AF23" cm="1">
        <f t="array" ref="AF23">IF(SUMPRODUCT(--($AQ$2:$AQ$71=TRIM(LEFT($B23,IFERROR(FIND(" ",$B23)-1,LEN($B23))))))&gt;0,1,0)</f>
        <v>0</v>
      </c>
      <c r="AL23" t="s">
        <v>2180</v>
      </c>
      <c r="AM23" t="str">
        <f t="shared" si="0"/>
        <v>ALE</v>
      </c>
      <c r="AN23" t="s">
        <v>2180</v>
      </c>
      <c r="AO23" t="str">
        <f t="shared" si="1"/>
        <v>ALE</v>
      </c>
      <c r="AP23" t="s">
        <v>2378</v>
      </c>
      <c r="AQ23" t="str">
        <f t="shared" si="2"/>
        <v>TGAN</v>
      </c>
    </row>
    <row r="24" spans="1:43" ht="75.75" thickBot="1" x14ac:dyDescent="0.3">
      <c r="A24" s="13">
        <v>68</v>
      </c>
      <c r="B24" s="4" t="s">
        <v>123</v>
      </c>
      <c r="C24" s="4" t="s">
        <v>124</v>
      </c>
      <c r="D24" s="7">
        <v>46055</v>
      </c>
      <c r="E24" s="3">
        <v>1485.65</v>
      </c>
      <c r="F24" s="4" t="s">
        <v>30</v>
      </c>
      <c r="G24" s="3">
        <v>51.96</v>
      </c>
      <c r="H24" s="4" t="s">
        <v>51</v>
      </c>
      <c r="I24" s="4" t="s">
        <v>51</v>
      </c>
      <c r="J24" s="4" t="s">
        <v>79</v>
      </c>
      <c r="K24" s="4"/>
      <c r="L24" s="3">
        <v>16</v>
      </c>
      <c r="M24" s="3">
        <v>47.23</v>
      </c>
      <c r="N24" s="3">
        <v>772.61</v>
      </c>
      <c r="O24" s="4" t="s">
        <v>34</v>
      </c>
      <c r="P24" s="4" t="s">
        <v>49</v>
      </c>
      <c r="Q24" s="4" t="s">
        <v>35</v>
      </c>
      <c r="R24" s="3">
        <v>105.98099999999999</v>
      </c>
      <c r="S24" s="3">
        <v>-207.827</v>
      </c>
      <c r="T24" s="4" t="s">
        <v>104</v>
      </c>
      <c r="U24" s="2" t="s">
        <v>37</v>
      </c>
      <c r="V24" s="2" t="s">
        <v>37</v>
      </c>
      <c r="W24" s="2" t="s">
        <v>38</v>
      </c>
      <c r="X24" s="2" t="s">
        <v>37</v>
      </c>
      <c r="Y24" s="2" t="s">
        <v>37</v>
      </c>
      <c r="Z24" s="2" t="s">
        <v>37</v>
      </c>
      <c r="AA24" s="6">
        <v>3.1719165070000002</v>
      </c>
      <c r="AB24" s="6">
        <v>2.025228013</v>
      </c>
      <c r="AC24" s="6">
        <v>2.8879603249999999</v>
      </c>
      <c r="AD24" cm="1">
        <f t="array" ref="AD24">IF(SUMPRODUCT(--($AM$2:$AM$112=TRIM(LEFT($B24,IFERROR(FIND(" ",$B24)-1,LEN($B24))))))&gt;0,1,0)</f>
        <v>0</v>
      </c>
      <c r="AE24" cm="1">
        <f t="array" ref="AE24">IF(SUMPRODUCT(--($AO$2:$AO$145=TRIM(LEFT($B24,IFERROR(FIND(" ",$B24)-1,LEN($B24))))))&gt;0,1,0)</f>
        <v>0</v>
      </c>
      <c r="AF24" cm="1">
        <f t="array" ref="AF24">IF(SUMPRODUCT(--($AQ$2:$AQ$71=TRIM(LEFT($B24,IFERROR(FIND(" ",$B24)-1,LEN($B24))))))&gt;0,1,0)</f>
        <v>0</v>
      </c>
      <c r="AL24" t="s">
        <v>2181</v>
      </c>
      <c r="AM24" t="str">
        <f t="shared" si="0"/>
        <v>ANSS</v>
      </c>
      <c r="AN24" t="s">
        <v>2161</v>
      </c>
      <c r="AO24" t="str">
        <f t="shared" si="1"/>
        <v>NVEI</v>
      </c>
      <c r="AP24" t="s">
        <v>2289</v>
      </c>
      <c r="AQ24" t="str">
        <f t="shared" si="2"/>
        <v>X</v>
      </c>
    </row>
    <row r="25" spans="1:43" ht="105.75" thickBot="1" x14ac:dyDescent="0.3">
      <c r="A25" s="13">
        <v>64</v>
      </c>
      <c r="B25" s="4" t="s">
        <v>125</v>
      </c>
      <c r="C25" s="4" t="s">
        <v>126</v>
      </c>
      <c r="D25" s="7">
        <v>46059</v>
      </c>
      <c r="E25" s="3">
        <v>1159.1500000000001</v>
      </c>
      <c r="F25" s="4" t="s">
        <v>30</v>
      </c>
      <c r="G25" s="3">
        <v>12.03</v>
      </c>
      <c r="H25" s="4" t="s">
        <v>127</v>
      </c>
      <c r="I25" s="4" t="s">
        <v>128</v>
      </c>
      <c r="J25" s="4" t="s">
        <v>129</v>
      </c>
      <c r="K25" s="4"/>
      <c r="L25" s="4"/>
      <c r="M25" s="3">
        <v>40.08</v>
      </c>
      <c r="N25" s="3">
        <v>785.14</v>
      </c>
      <c r="O25" s="4" t="s">
        <v>49</v>
      </c>
      <c r="P25" s="4" t="s">
        <v>34</v>
      </c>
      <c r="Q25" s="4" t="s">
        <v>35</v>
      </c>
      <c r="R25" s="3">
        <v>817.71500000000003</v>
      </c>
      <c r="S25" s="3">
        <v>4.8466800000000001</v>
      </c>
      <c r="T25" s="4" t="s">
        <v>130</v>
      </c>
      <c r="U25" s="2" t="s">
        <v>37</v>
      </c>
      <c r="V25" s="2" t="s">
        <v>37</v>
      </c>
      <c r="W25" s="2" t="s">
        <v>38</v>
      </c>
      <c r="X25" s="2" t="s">
        <v>38</v>
      </c>
      <c r="Y25" s="2" t="s">
        <v>37</v>
      </c>
      <c r="Z25" s="2" t="s">
        <v>37</v>
      </c>
      <c r="AA25" s="6">
        <v>3.0641396400000001</v>
      </c>
      <c r="AB25" s="6">
        <v>2.9126019639999998</v>
      </c>
      <c r="AC25" s="6">
        <v>2.8949471039999999</v>
      </c>
      <c r="AD25" cm="1">
        <f t="array" ref="AD25">IF(SUMPRODUCT(--($AM$2:$AM$112=TRIM(LEFT($B25,IFERROR(FIND(" ",$B25)-1,LEN($B25))))))&gt;0,1,0)</f>
        <v>0</v>
      </c>
      <c r="AE25" cm="1">
        <f t="array" ref="AE25">IF(SUMPRODUCT(--($AO$2:$AO$145=TRIM(LEFT($B25,IFERROR(FIND(" ",$B25)-1,LEN($B25))))))&gt;0,1,0)</f>
        <v>0</v>
      </c>
      <c r="AF25" cm="1">
        <f t="array" ref="AF25">IF(SUMPRODUCT(--($AQ$2:$AQ$71=TRIM(LEFT($B25,IFERROR(FIND(" ",$B25)-1,LEN($B25))))))&gt;0,1,0)</f>
        <v>0</v>
      </c>
      <c r="AL25" t="s">
        <v>2182</v>
      </c>
      <c r="AM25" t="str">
        <f t="shared" si="0"/>
        <v>HOLI</v>
      </c>
      <c r="AN25" t="s">
        <v>2286</v>
      </c>
      <c r="AO25" t="str">
        <f t="shared" si="1"/>
        <v>CTLT</v>
      </c>
      <c r="AP25" t="s">
        <v>2379</v>
      </c>
      <c r="AQ25" t="str">
        <f t="shared" si="2"/>
        <v>LVOX</v>
      </c>
    </row>
    <row r="26" spans="1:43" ht="75.75" thickBot="1" x14ac:dyDescent="0.3">
      <c r="A26" s="13">
        <v>127</v>
      </c>
      <c r="B26" s="4" t="s">
        <v>131</v>
      </c>
      <c r="C26" s="4" t="s">
        <v>132</v>
      </c>
      <c r="D26" s="7">
        <v>45967</v>
      </c>
      <c r="E26" s="3">
        <v>1189.1099999999999</v>
      </c>
      <c r="F26" s="4" t="s">
        <v>46</v>
      </c>
      <c r="G26" s="3">
        <v>5.34</v>
      </c>
      <c r="H26" s="4" t="s">
        <v>75</v>
      </c>
      <c r="I26" s="4" t="s">
        <v>111</v>
      </c>
      <c r="J26" s="4" t="s">
        <v>133</v>
      </c>
      <c r="K26" s="3">
        <v>10</v>
      </c>
      <c r="L26" s="3">
        <v>37</v>
      </c>
      <c r="M26" s="3">
        <v>27.22</v>
      </c>
      <c r="N26" s="3">
        <v>725.01</v>
      </c>
      <c r="O26" s="4" t="s">
        <v>34</v>
      </c>
      <c r="P26" s="4" t="s">
        <v>34</v>
      </c>
      <c r="Q26" s="4" t="s">
        <v>35</v>
      </c>
      <c r="R26" s="3">
        <v>634.91099999999994</v>
      </c>
      <c r="S26" s="3">
        <v>3.3911799999999999</v>
      </c>
      <c r="T26" s="4" t="s">
        <v>43</v>
      </c>
      <c r="U26" s="2" t="s">
        <v>37</v>
      </c>
      <c r="V26" s="2" t="s">
        <v>37</v>
      </c>
      <c r="W26" s="2" t="s">
        <v>37</v>
      </c>
      <c r="X26" s="2" t="s">
        <v>37</v>
      </c>
      <c r="Y26" s="2" t="s">
        <v>37</v>
      </c>
      <c r="Z26" s="2" t="s">
        <v>37</v>
      </c>
      <c r="AA26" s="6">
        <v>3.075222031</v>
      </c>
      <c r="AB26" s="6">
        <v>2.8027128509999999</v>
      </c>
      <c r="AC26" s="6">
        <v>2.8603439970000002</v>
      </c>
      <c r="AD26" cm="1">
        <f t="array" ref="AD26">IF(SUMPRODUCT(--($AM$2:$AM$112=TRIM(LEFT($B26,IFERROR(FIND(" ",$B26)-1,LEN($B26))))))&gt;0,1,0)</f>
        <v>0</v>
      </c>
      <c r="AE26" cm="1">
        <f t="array" ref="AE26">IF(SUMPRODUCT(--($AO$2:$AO$145=TRIM(LEFT($B26,IFERROR(FIND(" ",$B26)-1,LEN($B26))))))&gt;0,1,0)</f>
        <v>0</v>
      </c>
      <c r="AF26" cm="1">
        <f t="array" ref="AF26">IF(SUMPRODUCT(--($AQ$2:$AQ$71=TRIM(LEFT($B26,IFERROR(FIND(" ",$B26)-1,LEN($B26))))))&gt;0,1,0)</f>
        <v>0</v>
      </c>
      <c r="AL26" t="s">
        <v>2183</v>
      </c>
      <c r="AM26" t="str">
        <f t="shared" si="0"/>
        <v>TGH</v>
      </c>
      <c r="AN26" t="s">
        <v>2181</v>
      </c>
      <c r="AO26" t="str">
        <f t="shared" si="1"/>
        <v>ANSS</v>
      </c>
      <c r="AP26" t="s">
        <v>2380</v>
      </c>
      <c r="AQ26" t="str">
        <f t="shared" si="2"/>
        <v>CTG</v>
      </c>
    </row>
    <row r="27" spans="1:43" ht="165.75" thickBot="1" x14ac:dyDescent="0.3">
      <c r="A27" s="13">
        <v>48</v>
      </c>
      <c r="B27" s="4" t="s">
        <v>134</v>
      </c>
      <c r="C27" s="4" t="s">
        <v>135</v>
      </c>
      <c r="D27" s="7">
        <v>46076</v>
      </c>
      <c r="E27" s="3">
        <v>5360.74</v>
      </c>
      <c r="F27" s="4" t="s">
        <v>30</v>
      </c>
      <c r="G27" s="4"/>
      <c r="H27" s="4" t="s">
        <v>41</v>
      </c>
      <c r="I27" s="4" t="s">
        <v>41</v>
      </c>
      <c r="J27" s="4" t="s">
        <v>42</v>
      </c>
      <c r="K27" s="4"/>
      <c r="L27" s="3">
        <v>260</v>
      </c>
      <c r="M27" s="3">
        <v>68.41</v>
      </c>
      <c r="N27" s="3">
        <v>5884.92</v>
      </c>
      <c r="O27" s="4" t="s">
        <v>34</v>
      </c>
      <c r="P27" s="4" t="s">
        <v>34</v>
      </c>
      <c r="Q27" s="4" t="s">
        <v>35</v>
      </c>
      <c r="R27" s="3">
        <v>22.286000000000001</v>
      </c>
      <c r="S27" s="3">
        <v>-1135.6099999999999</v>
      </c>
      <c r="T27" s="4" t="s">
        <v>136</v>
      </c>
      <c r="U27" s="2" t="s">
        <v>38</v>
      </c>
      <c r="V27" s="2" t="s">
        <v>37</v>
      </c>
      <c r="W27" s="2" t="s">
        <v>37</v>
      </c>
      <c r="X27" s="2" t="s">
        <v>37</v>
      </c>
      <c r="Y27" s="2" t="s">
        <v>37</v>
      </c>
      <c r="Z27" s="2" t="s">
        <v>38</v>
      </c>
      <c r="AA27" s="6">
        <v>3.7292247440000001</v>
      </c>
      <c r="AB27" s="6">
        <v>1.3480321260000001</v>
      </c>
      <c r="AC27" s="6">
        <v>3.769740563</v>
      </c>
      <c r="AD27" cm="1">
        <f t="array" ref="AD27">IF(SUMPRODUCT(--($AM$2:$AM$112=TRIM(LEFT($B27,IFERROR(FIND(" ",$B27)-1,LEN($B27))))))&gt;0,1,0)</f>
        <v>0</v>
      </c>
      <c r="AE27" cm="1">
        <f t="array" ref="AE27">IF(SUMPRODUCT(--($AO$2:$AO$145=TRIM(LEFT($B27,IFERROR(FIND(" ",$B27)-1,LEN($B27))))))&gt;0,1,0)</f>
        <v>0</v>
      </c>
      <c r="AF27" cm="1">
        <f t="array" ref="AF27">IF(SUMPRODUCT(--($AQ$2:$AQ$71=TRIM(LEFT($B27,IFERROR(FIND(" ",$B27)-1,LEN($B27))))))&gt;0,1,0)</f>
        <v>0</v>
      </c>
      <c r="AL27" t="s">
        <v>2184</v>
      </c>
      <c r="AM27" t="str">
        <f t="shared" si="0"/>
        <v>CPRI</v>
      </c>
      <c r="AN27" t="s">
        <v>2287</v>
      </c>
      <c r="AO27" t="str">
        <f t="shared" si="1"/>
        <v>JNPR</v>
      </c>
      <c r="AP27" t="s">
        <v>2381</v>
      </c>
      <c r="AQ27" t="str">
        <f t="shared" si="2"/>
        <v>SQNS</v>
      </c>
    </row>
    <row r="28" spans="1:43" ht="135.75" thickBot="1" x14ac:dyDescent="0.3">
      <c r="A28" s="13">
        <v>119</v>
      </c>
      <c r="B28" s="4" t="s">
        <v>137</v>
      </c>
      <c r="C28" s="2"/>
      <c r="D28" s="7">
        <v>45975</v>
      </c>
      <c r="E28" s="3">
        <v>622.16999999999996</v>
      </c>
      <c r="F28" s="4" t="s">
        <v>30</v>
      </c>
      <c r="G28" s="3">
        <v>6.7</v>
      </c>
      <c r="H28" s="4" t="s">
        <v>65</v>
      </c>
      <c r="I28" s="4" t="s">
        <v>138</v>
      </c>
      <c r="J28" s="4" t="s">
        <v>139</v>
      </c>
      <c r="K28" s="4"/>
      <c r="L28" s="4"/>
      <c r="M28" s="3">
        <v>8.81</v>
      </c>
      <c r="N28" s="3">
        <v>622.16999999999996</v>
      </c>
      <c r="O28" s="4" t="s">
        <v>49</v>
      </c>
      <c r="P28" s="4" t="s">
        <v>49</v>
      </c>
      <c r="Q28" s="4" t="s">
        <v>35</v>
      </c>
      <c r="R28" s="3">
        <v>273.79199999999997</v>
      </c>
      <c r="S28" s="3">
        <v>16.084499999999998</v>
      </c>
      <c r="T28" s="4" t="s">
        <v>140</v>
      </c>
      <c r="U28" s="2" t="s">
        <v>37</v>
      </c>
      <c r="V28" s="2" t="s">
        <v>37</v>
      </c>
      <c r="W28" s="2" t="s">
        <v>38</v>
      </c>
      <c r="X28" s="2" t="s">
        <v>38</v>
      </c>
      <c r="Y28" s="2" t="s">
        <v>37</v>
      </c>
      <c r="Z28" s="2" t="s">
        <v>37</v>
      </c>
      <c r="AA28" s="6">
        <v>2.7939090659999999</v>
      </c>
      <c r="AB28" s="6">
        <v>2.4374207540000001</v>
      </c>
      <c r="AC28" s="6">
        <v>2.7939090659999999</v>
      </c>
      <c r="AD28" cm="1">
        <f t="array" ref="AD28">IF(SUMPRODUCT(--($AM$2:$AM$112=TRIM(LEFT($B28,IFERROR(FIND(" ",$B28)-1,LEN($B28))))))&gt;0,1,0)</f>
        <v>0</v>
      </c>
      <c r="AE28" cm="1">
        <f t="array" ref="AE28">IF(SUMPRODUCT(--($AO$2:$AO$145=TRIM(LEFT($B28,IFERROR(FIND(" ",$B28)-1,LEN($B28))))))&gt;0,1,0)</f>
        <v>0</v>
      </c>
      <c r="AF28" cm="1">
        <f t="array" ref="AF28">IF(SUMPRODUCT(--($AQ$2:$AQ$71=TRIM(LEFT($B28,IFERROR(FIND(" ",$B28)-1,LEN($B28))))))&gt;0,1,0)</f>
        <v>0</v>
      </c>
      <c r="AL28" t="s">
        <v>2185</v>
      </c>
      <c r="AM28" t="str">
        <f t="shared" si="0"/>
        <v>VRTV</v>
      </c>
      <c r="AN28" t="s">
        <v>2288</v>
      </c>
      <c r="AO28" t="str">
        <f t="shared" si="1"/>
        <v>AYX</v>
      </c>
      <c r="AP28" t="s">
        <v>2382</v>
      </c>
      <c r="AQ28" t="str">
        <f t="shared" si="2"/>
        <v>DM</v>
      </c>
    </row>
    <row r="29" spans="1:43" ht="45.75" thickBot="1" x14ac:dyDescent="0.3">
      <c r="A29" s="13">
        <v>93</v>
      </c>
      <c r="B29" s="4" t="s">
        <v>141</v>
      </c>
      <c r="C29" s="4" t="s">
        <v>142</v>
      </c>
      <c r="D29" s="7">
        <v>46010</v>
      </c>
      <c r="E29" s="3">
        <v>4710.71</v>
      </c>
      <c r="F29" s="4" t="s">
        <v>30</v>
      </c>
      <c r="G29" s="3">
        <v>117.41</v>
      </c>
      <c r="H29" s="4" t="s">
        <v>41</v>
      </c>
      <c r="I29" s="4" t="s">
        <v>41</v>
      </c>
      <c r="J29" s="4" t="s">
        <v>42</v>
      </c>
      <c r="K29" s="4"/>
      <c r="L29" s="4"/>
      <c r="M29" s="3">
        <v>43.92</v>
      </c>
      <c r="N29" s="3">
        <v>4531.7299999999996</v>
      </c>
      <c r="O29" s="4" t="s">
        <v>34</v>
      </c>
      <c r="P29" s="4" t="s">
        <v>34</v>
      </c>
      <c r="Q29" s="4" t="s">
        <v>35</v>
      </c>
      <c r="R29" s="3">
        <v>634.21</v>
      </c>
      <c r="S29" s="3">
        <v>5.1700499999999998</v>
      </c>
      <c r="T29" s="4" t="s">
        <v>43</v>
      </c>
      <c r="U29" s="2" t="s">
        <v>37</v>
      </c>
      <c r="V29" s="2" t="s">
        <v>37</v>
      </c>
      <c r="W29" s="2" t="s">
        <v>37</v>
      </c>
      <c r="X29" s="2" t="s">
        <v>37</v>
      </c>
      <c r="Y29" s="2" t="s">
        <v>37</v>
      </c>
      <c r="Z29" s="2" t="s">
        <v>37</v>
      </c>
      <c r="AA29" s="6">
        <v>3.673086369</v>
      </c>
      <c r="AB29" s="6">
        <v>2.8022330860000002</v>
      </c>
      <c r="AC29" s="6">
        <v>3.6562640270000002</v>
      </c>
      <c r="AD29" cm="1">
        <f t="array" ref="AD29">IF(SUMPRODUCT(--($AM$2:$AM$112=TRIM(LEFT($B29,IFERROR(FIND(" ",$B29)-1,LEN($B29))))))&gt;0,1,0)</f>
        <v>0</v>
      </c>
      <c r="AE29" cm="1">
        <f t="array" ref="AE29">IF(SUMPRODUCT(--($AO$2:$AO$145=TRIM(LEFT($B29,IFERROR(FIND(" ",$B29)-1,LEN($B29))))))&gt;0,1,0)</f>
        <v>1</v>
      </c>
      <c r="AF29" cm="1">
        <f t="array" ref="AF29">IF(SUMPRODUCT(--($AQ$2:$AQ$71=TRIM(LEFT($B29,IFERROR(FIND(" ",$B29)-1,LEN($B29))))))&gt;0,1,0)</f>
        <v>0</v>
      </c>
      <c r="AL29" t="s">
        <v>2186</v>
      </c>
      <c r="AM29" t="str">
        <f t="shared" si="0"/>
        <v>LTHM</v>
      </c>
      <c r="AN29" t="s">
        <v>2289</v>
      </c>
      <c r="AO29" t="str">
        <f t="shared" si="1"/>
        <v>X</v>
      </c>
      <c r="AP29" t="s">
        <v>2383</v>
      </c>
      <c r="AQ29" t="str">
        <f t="shared" si="2"/>
        <v>EMAN</v>
      </c>
    </row>
    <row r="30" spans="1:43" ht="45.75" thickBot="1" x14ac:dyDescent="0.3">
      <c r="A30" s="13">
        <v>115</v>
      </c>
      <c r="B30" s="4" t="s">
        <v>143</v>
      </c>
      <c r="C30" s="4" t="s">
        <v>144</v>
      </c>
      <c r="D30" s="7">
        <v>45980</v>
      </c>
      <c r="E30" s="3">
        <v>1528.45</v>
      </c>
      <c r="F30" s="4" t="s">
        <v>30</v>
      </c>
      <c r="G30" s="3">
        <v>64.66</v>
      </c>
      <c r="H30" s="4" t="s">
        <v>31</v>
      </c>
      <c r="I30" s="4" t="s">
        <v>32</v>
      </c>
      <c r="J30" s="4" t="s">
        <v>33</v>
      </c>
      <c r="K30" s="4"/>
      <c r="L30" s="3">
        <v>63</v>
      </c>
      <c r="M30" s="3">
        <v>63.42</v>
      </c>
      <c r="N30" s="3">
        <v>1790.2</v>
      </c>
      <c r="O30" s="4" t="s">
        <v>34</v>
      </c>
      <c r="P30" s="4" t="s">
        <v>34</v>
      </c>
      <c r="Q30" s="4" t="s">
        <v>35</v>
      </c>
      <c r="R30" s="3">
        <v>443.64400000000001</v>
      </c>
      <c r="S30" s="3">
        <v>-5.1419600000000001</v>
      </c>
      <c r="T30" s="4" t="s">
        <v>43</v>
      </c>
      <c r="U30" s="2" t="s">
        <v>37</v>
      </c>
      <c r="V30" s="2" t="s">
        <v>37</v>
      </c>
      <c r="W30" s="2" t="s">
        <v>37</v>
      </c>
      <c r="X30" s="2" t="s">
        <v>37</v>
      </c>
      <c r="Y30" s="2" t="s">
        <v>37</v>
      </c>
      <c r="Z30" s="2" t="s">
        <v>37</v>
      </c>
      <c r="AA30" s="6">
        <v>3.1842512360000002</v>
      </c>
      <c r="AB30" s="6">
        <v>2.6470346120000001</v>
      </c>
      <c r="AC30" s="6">
        <v>3.2529015530000001</v>
      </c>
      <c r="AD30" cm="1">
        <f t="array" ref="AD30">IF(SUMPRODUCT(--($AM$2:$AM$112=TRIM(LEFT($B30,IFERROR(FIND(" ",$B30)-1,LEN($B30))))))&gt;0,1,0)</f>
        <v>0</v>
      </c>
      <c r="AE30" cm="1">
        <f t="array" ref="AE30">IF(SUMPRODUCT(--($AO$2:$AO$145=TRIM(LEFT($B30,IFERROR(FIND(" ",$B30)-1,LEN($B30))))))&gt;0,1,0)</f>
        <v>0</v>
      </c>
      <c r="AF30" cm="1">
        <f t="array" ref="AF30">IF(SUMPRODUCT(--($AQ$2:$AQ$71=TRIM(LEFT($B30,IFERROR(FIND(" ",$B30)-1,LEN($B30))))))&gt;0,1,0)</f>
        <v>0</v>
      </c>
      <c r="AL30" t="s">
        <v>2187</v>
      </c>
      <c r="AM30" t="str">
        <f t="shared" si="0"/>
        <v>ARNC</v>
      </c>
      <c r="AN30" t="s">
        <v>2290</v>
      </c>
      <c r="AO30" t="str">
        <f t="shared" si="1"/>
        <v>SPLK</v>
      </c>
      <c r="AP30" t="s">
        <v>2186</v>
      </c>
      <c r="AQ30" t="str">
        <f t="shared" si="2"/>
        <v>LTHM</v>
      </c>
    </row>
    <row r="31" spans="1:43" ht="75.75" thickBot="1" x14ac:dyDescent="0.3">
      <c r="A31" s="13">
        <v>36</v>
      </c>
      <c r="B31" s="4" t="s">
        <v>145</v>
      </c>
      <c r="C31" s="4" t="s">
        <v>146</v>
      </c>
      <c r="D31" s="7">
        <v>46087</v>
      </c>
      <c r="E31" s="3">
        <v>2016.41</v>
      </c>
      <c r="F31" s="4" t="s">
        <v>30</v>
      </c>
      <c r="G31" s="4"/>
      <c r="H31" s="4" t="s">
        <v>41</v>
      </c>
      <c r="I31" s="4" t="s">
        <v>41</v>
      </c>
      <c r="J31" s="4" t="s">
        <v>42</v>
      </c>
      <c r="K31" s="4"/>
      <c r="L31" s="4"/>
      <c r="M31" s="3">
        <v>88.72</v>
      </c>
      <c r="N31" s="2"/>
      <c r="O31" s="4" t="s">
        <v>34</v>
      </c>
      <c r="P31" s="4" t="s">
        <v>147</v>
      </c>
      <c r="Q31" s="4" t="s">
        <v>35</v>
      </c>
      <c r="R31" s="3">
        <v>158.18199999999999</v>
      </c>
      <c r="S31" s="3">
        <v>-80.761399999999995</v>
      </c>
      <c r="T31" s="4" t="s">
        <v>88</v>
      </c>
      <c r="U31" s="2" t="s">
        <v>37</v>
      </c>
      <c r="V31" s="2" t="s">
        <v>37</v>
      </c>
      <c r="W31" s="2" t="s">
        <v>37</v>
      </c>
      <c r="X31" s="2" t="s">
        <v>37</v>
      </c>
      <c r="Y31" s="2" t="s">
        <v>37</v>
      </c>
      <c r="Z31" s="2" t="s">
        <v>38</v>
      </c>
      <c r="AA31" s="6">
        <v>3.3045788429999998</v>
      </c>
      <c r="AB31" s="6">
        <v>2.1991570619999998</v>
      </c>
      <c r="AC31" s="2"/>
      <c r="AD31" cm="1">
        <f t="array" ref="AD31">IF(SUMPRODUCT(--($AM$2:$AM$112=TRIM(LEFT($B31,IFERROR(FIND(" ",$B31)-1,LEN($B31))))))&gt;0,1,0)</f>
        <v>0</v>
      </c>
      <c r="AE31" cm="1">
        <f t="array" ref="AE31">IF(SUMPRODUCT(--($AO$2:$AO$145=TRIM(LEFT($B31,IFERROR(FIND(" ",$B31)-1,LEN($B31))))))&gt;0,1,0)</f>
        <v>0</v>
      </c>
      <c r="AF31" cm="1">
        <f t="array" ref="AF31">IF(SUMPRODUCT(--($AQ$2:$AQ$71=TRIM(LEFT($B31,IFERROR(FIND(" ",$B31)-1,LEN($B31))))))&gt;0,1,0)</f>
        <v>0</v>
      </c>
      <c r="AL31" t="s">
        <v>2188</v>
      </c>
      <c r="AM31" t="str">
        <f t="shared" si="0"/>
        <v>NATI</v>
      </c>
      <c r="AN31" t="s">
        <v>2291</v>
      </c>
      <c r="AO31" t="str">
        <f t="shared" si="1"/>
        <v>WRK</v>
      </c>
      <c r="AP31" t="s">
        <v>2189</v>
      </c>
      <c r="AQ31" t="str">
        <f t="shared" si="2"/>
        <v>TRTN</v>
      </c>
    </row>
    <row r="32" spans="1:43" ht="45.75" thickBot="1" x14ac:dyDescent="0.3">
      <c r="A32" s="13">
        <v>89</v>
      </c>
      <c r="B32" s="4" t="s">
        <v>148</v>
      </c>
      <c r="C32" s="4" t="s">
        <v>149</v>
      </c>
      <c r="D32" s="7">
        <v>46008</v>
      </c>
      <c r="E32" s="3">
        <v>784.16</v>
      </c>
      <c r="F32" s="4" t="s">
        <v>46</v>
      </c>
      <c r="G32" s="4"/>
      <c r="H32" s="4" t="s">
        <v>65</v>
      </c>
      <c r="I32" s="4" t="s">
        <v>66</v>
      </c>
      <c r="J32" s="4" t="s">
        <v>66</v>
      </c>
      <c r="K32" s="3">
        <v>32.450000000000003</v>
      </c>
      <c r="L32" s="3">
        <v>32.450000000000003</v>
      </c>
      <c r="M32" s="3">
        <v>13.78</v>
      </c>
      <c r="N32" s="3">
        <v>784.16</v>
      </c>
      <c r="O32" s="4" t="s">
        <v>34</v>
      </c>
      <c r="P32" s="4" t="s">
        <v>34</v>
      </c>
      <c r="Q32" s="4" t="s">
        <v>35</v>
      </c>
      <c r="R32" s="3">
        <v>269.08800000000002</v>
      </c>
      <c r="S32" s="3">
        <v>34.329799999999999</v>
      </c>
      <c r="T32" s="4" t="s">
        <v>43</v>
      </c>
      <c r="U32" s="2" t="s">
        <v>37</v>
      </c>
      <c r="V32" s="2" t="s">
        <v>37</v>
      </c>
      <c r="W32" s="2" t="s">
        <v>37</v>
      </c>
      <c r="X32" s="2" t="s">
        <v>37</v>
      </c>
      <c r="Y32" s="2" t="s">
        <v>37</v>
      </c>
      <c r="Z32" s="2" t="s">
        <v>37</v>
      </c>
      <c r="AA32" s="6">
        <v>2.894404685</v>
      </c>
      <c r="AB32" s="6">
        <v>2.4298943309999999</v>
      </c>
      <c r="AC32" s="6">
        <v>2.894404685</v>
      </c>
      <c r="AD32" cm="1">
        <f t="array" ref="AD32">IF(SUMPRODUCT(--($AM$2:$AM$112=TRIM(LEFT($B32,IFERROR(FIND(" ",$B32)-1,LEN($B32))))))&gt;0,1,0)</f>
        <v>0</v>
      </c>
      <c r="AE32" cm="1">
        <f t="array" ref="AE32">IF(SUMPRODUCT(--($AO$2:$AO$145=TRIM(LEFT($B32,IFERROR(FIND(" ",$B32)-1,LEN($B32))))))&gt;0,1,0)</f>
        <v>0</v>
      </c>
      <c r="AF32" cm="1">
        <f t="array" ref="AF32">IF(SUMPRODUCT(--($AQ$2:$AQ$71=TRIM(LEFT($B32,IFERROR(FIND(" ",$B32)-1,LEN($B32))))))&gt;0,1,0)</f>
        <v>0</v>
      </c>
      <c r="AL32" t="s">
        <v>2189</v>
      </c>
      <c r="AM32" t="str">
        <f t="shared" si="0"/>
        <v>TRTN</v>
      </c>
      <c r="AN32" t="s">
        <v>2184</v>
      </c>
      <c r="AO32" t="str">
        <f t="shared" si="1"/>
        <v>CPRI</v>
      </c>
      <c r="AP32" t="s">
        <v>2190</v>
      </c>
      <c r="AQ32" t="str">
        <f t="shared" si="2"/>
        <v>UNVR</v>
      </c>
    </row>
    <row r="33" spans="1:43" ht="105.75" thickBot="1" x14ac:dyDescent="0.3">
      <c r="A33" s="13">
        <v>141</v>
      </c>
      <c r="B33" s="4" t="s">
        <v>150</v>
      </c>
      <c r="C33" s="4" t="s">
        <v>151</v>
      </c>
      <c r="D33" s="7">
        <v>45936</v>
      </c>
      <c r="E33" s="3">
        <v>703.03</v>
      </c>
      <c r="F33" s="4" t="s">
        <v>46</v>
      </c>
      <c r="G33" s="3">
        <v>11.63</v>
      </c>
      <c r="H33" s="4" t="s">
        <v>47</v>
      </c>
      <c r="I33" s="4" t="s">
        <v>47</v>
      </c>
      <c r="J33" s="4" t="s">
        <v>48</v>
      </c>
      <c r="K33" s="4"/>
      <c r="L33" s="4"/>
      <c r="M33" s="3">
        <v>0.78</v>
      </c>
      <c r="N33" s="3">
        <v>714.34</v>
      </c>
      <c r="O33" s="4" t="s">
        <v>49</v>
      </c>
      <c r="P33" s="4" t="s">
        <v>152</v>
      </c>
      <c r="Q33" s="4" t="s">
        <v>35</v>
      </c>
      <c r="R33" s="3">
        <v>159.23500000000001</v>
      </c>
      <c r="S33" s="3">
        <v>17.980899999999998</v>
      </c>
      <c r="T33" s="4" t="s">
        <v>153</v>
      </c>
      <c r="U33" s="2" t="s">
        <v>37</v>
      </c>
      <c r="V33" s="2" t="s">
        <v>37</v>
      </c>
      <c r="W33" s="2" t="s">
        <v>38</v>
      </c>
      <c r="X33" s="2" t="s">
        <v>37</v>
      </c>
      <c r="Y33" s="2" t="s">
        <v>37</v>
      </c>
      <c r="Z33" s="2" t="s">
        <v>37</v>
      </c>
      <c r="AA33" s="6">
        <v>2.8469738580000001</v>
      </c>
      <c r="AB33" s="6">
        <v>2.202038532</v>
      </c>
      <c r="AC33" s="6">
        <v>2.8539049689999998</v>
      </c>
      <c r="AD33" cm="1">
        <f t="array" ref="AD33">IF(SUMPRODUCT(--($AM$2:$AM$112=TRIM(LEFT($B33,IFERROR(FIND(" ",$B33)-1,LEN($B33))))))&gt;0,1,0)</f>
        <v>0</v>
      </c>
      <c r="AE33" cm="1">
        <f t="array" ref="AE33">IF(SUMPRODUCT(--($AO$2:$AO$145=TRIM(LEFT($B33,IFERROR(FIND(" ",$B33)-1,LEN($B33))))))&gt;0,1,0)</f>
        <v>0</v>
      </c>
      <c r="AF33" cm="1">
        <f t="array" ref="AF33">IF(SUMPRODUCT(--($AQ$2:$AQ$71=TRIM(LEFT($B33,IFERROR(FIND(" ",$B33)-1,LEN($B33))))))&gt;0,1,0)</f>
        <v>0</v>
      </c>
      <c r="AL33" t="s">
        <v>2190</v>
      </c>
      <c r="AM33" t="str">
        <f t="shared" si="0"/>
        <v>UNVR</v>
      </c>
      <c r="AN33" t="s">
        <v>2292</v>
      </c>
      <c r="AO33" t="str">
        <f t="shared" si="1"/>
        <v>NEWR</v>
      </c>
      <c r="AP33" t="s">
        <v>2296</v>
      </c>
      <c r="AQ33" t="str">
        <f t="shared" si="2"/>
        <v>INDT</v>
      </c>
    </row>
    <row r="34" spans="1:43" ht="75.75" thickBot="1" x14ac:dyDescent="0.3">
      <c r="A34" s="13">
        <v>54</v>
      </c>
      <c r="B34" s="4" t="s">
        <v>154</v>
      </c>
      <c r="C34" s="4" t="s">
        <v>155</v>
      </c>
      <c r="D34" s="7">
        <v>46055</v>
      </c>
      <c r="E34" s="3">
        <v>2343.3200000000002</v>
      </c>
      <c r="F34" s="4" t="s">
        <v>107</v>
      </c>
      <c r="G34" s="4"/>
      <c r="H34" s="4" t="s">
        <v>47</v>
      </c>
      <c r="I34" s="4" t="s">
        <v>47</v>
      </c>
      <c r="J34" s="4" t="s">
        <v>48</v>
      </c>
      <c r="K34" s="4"/>
      <c r="L34" s="4"/>
      <c r="M34" s="3">
        <v>6.8</v>
      </c>
      <c r="N34" s="3">
        <v>2586.39</v>
      </c>
      <c r="O34" s="4" t="s">
        <v>49</v>
      </c>
      <c r="P34" s="4" t="s">
        <v>156</v>
      </c>
      <c r="Q34" s="4" t="s">
        <v>35</v>
      </c>
      <c r="R34" s="2"/>
      <c r="S34" s="2"/>
      <c r="T34" s="4" t="s">
        <v>104</v>
      </c>
      <c r="U34" s="2" t="s">
        <v>37</v>
      </c>
      <c r="V34" s="2" t="s">
        <v>37</v>
      </c>
      <c r="W34" s="2" t="s">
        <v>38</v>
      </c>
      <c r="X34" s="2" t="s">
        <v>37</v>
      </c>
      <c r="Y34" s="2" t="s">
        <v>37</v>
      </c>
      <c r="Z34" s="2" t="s">
        <v>37</v>
      </c>
      <c r="AA34" s="6">
        <v>3.3698315989999998</v>
      </c>
      <c r="AB34" s="2"/>
      <c r="AC34" s="6">
        <v>3.4126940120000002</v>
      </c>
      <c r="AD34" cm="1">
        <f t="array" ref="AD34">IF(SUMPRODUCT(--($AM$2:$AM$112=TRIM(LEFT($B34,IFERROR(FIND(" ",$B34)-1,LEN($B34))))))&gt;0,1,0)</f>
        <v>0</v>
      </c>
      <c r="AE34" cm="1">
        <f t="array" ref="AE34">IF(SUMPRODUCT(--($AO$2:$AO$145=TRIM(LEFT($B34,IFERROR(FIND(" ",$B34)-1,LEN($B34))))))&gt;0,1,0)</f>
        <v>0</v>
      </c>
      <c r="AF34" cm="1">
        <f t="array" ref="AF34">IF(SUMPRODUCT(--($AQ$2:$AQ$71=TRIM(LEFT($B34,IFERROR(FIND(" ",$B34)-1,LEN($B34))))))&gt;0,1,0)</f>
        <v>0</v>
      </c>
      <c r="AL34" t="s">
        <v>2191</v>
      </c>
      <c r="AM34" t="str">
        <f t="shared" si="0"/>
        <v>DSEY</v>
      </c>
      <c r="AN34" t="s">
        <v>2293</v>
      </c>
      <c r="AO34" t="str">
        <f t="shared" si="1"/>
        <v>SYNH</v>
      </c>
      <c r="AP34" t="s">
        <v>2384</v>
      </c>
      <c r="AQ34" t="str">
        <f t="shared" si="2"/>
        <v>MAXR</v>
      </c>
    </row>
    <row r="35" spans="1:43" ht="135.75" thickBot="1" x14ac:dyDescent="0.3">
      <c r="A35" s="13">
        <v>104</v>
      </c>
      <c r="B35" s="4" t="s">
        <v>157</v>
      </c>
      <c r="C35" s="4" t="s">
        <v>158</v>
      </c>
      <c r="D35" s="7">
        <v>45978</v>
      </c>
      <c r="E35" s="3">
        <v>10199.74</v>
      </c>
      <c r="F35" s="4" t="s">
        <v>30</v>
      </c>
      <c r="G35" s="3">
        <v>10.06</v>
      </c>
      <c r="H35" s="4" t="s">
        <v>47</v>
      </c>
      <c r="I35" s="4" t="s">
        <v>47</v>
      </c>
      <c r="J35" s="4" t="s">
        <v>159</v>
      </c>
      <c r="K35" s="4"/>
      <c r="L35" s="4"/>
      <c r="M35" s="3">
        <v>17.04</v>
      </c>
      <c r="N35" s="3">
        <v>6201.24</v>
      </c>
      <c r="O35" s="4" t="s">
        <v>34</v>
      </c>
      <c r="P35" s="4" t="s">
        <v>34</v>
      </c>
      <c r="Q35" s="4" t="s">
        <v>35</v>
      </c>
      <c r="R35" s="3">
        <v>5359.8</v>
      </c>
      <c r="S35" s="3">
        <v>13.5397</v>
      </c>
      <c r="T35" s="4" t="s">
        <v>160</v>
      </c>
      <c r="U35" s="2" t="s">
        <v>37</v>
      </c>
      <c r="V35" s="2" t="s">
        <v>37</v>
      </c>
      <c r="W35" s="2" t="s">
        <v>37</v>
      </c>
      <c r="X35" s="2" t="s">
        <v>38</v>
      </c>
      <c r="Y35" s="2" t="s">
        <v>38</v>
      </c>
      <c r="Z35" s="2" t="s">
        <v>37</v>
      </c>
      <c r="AA35" s="6">
        <v>4.0085891010000001</v>
      </c>
      <c r="AB35" s="6">
        <v>3.7291485839999998</v>
      </c>
      <c r="AC35" s="6">
        <v>3.7924785399999998</v>
      </c>
      <c r="AD35" cm="1">
        <f t="array" ref="AD35">IF(SUMPRODUCT(--($AM$2:$AM$112=TRIM(LEFT($B35,IFERROR(FIND(" ",$B35)-1,LEN($B35))))))&gt;0,1,0)</f>
        <v>1</v>
      </c>
      <c r="AE35" cm="1">
        <f t="array" ref="AE35">IF(SUMPRODUCT(--($AO$2:$AO$145=TRIM(LEFT($B35,IFERROR(FIND(" ",$B35)-1,LEN($B35))))))&gt;0,1,0)</f>
        <v>1</v>
      </c>
      <c r="AF35" cm="1">
        <f t="array" ref="AF35">IF(SUMPRODUCT(--($AQ$2:$AQ$71=TRIM(LEFT($B35,IFERROR(FIND(" ",$B35)-1,LEN($B35))))))&gt;0,1,0)</f>
        <v>0</v>
      </c>
      <c r="AL35" t="s">
        <v>2192</v>
      </c>
      <c r="AM35" t="str">
        <f t="shared" si="0"/>
        <v>RADI</v>
      </c>
      <c r="AN35" t="s">
        <v>2187</v>
      </c>
      <c r="AO35" t="str">
        <f t="shared" si="1"/>
        <v>ARNC</v>
      </c>
      <c r="AP35" t="s">
        <v>2385</v>
      </c>
      <c r="AQ35" t="str">
        <f t="shared" si="2"/>
        <v>COUP</v>
      </c>
    </row>
    <row r="36" spans="1:43" ht="105.75" thickBot="1" x14ac:dyDescent="0.3">
      <c r="A36" s="13">
        <v>122</v>
      </c>
      <c r="B36" s="4" t="s">
        <v>161</v>
      </c>
      <c r="C36" s="2"/>
      <c r="D36" s="7">
        <v>45951</v>
      </c>
      <c r="E36" s="3">
        <v>17547.27</v>
      </c>
      <c r="F36" s="4" t="s">
        <v>30</v>
      </c>
      <c r="G36" s="3">
        <v>16.75</v>
      </c>
      <c r="H36" s="4" t="s">
        <v>41</v>
      </c>
      <c r="I36" s="4" t="s">
        <v>41</v>
      </c>
      <c r="J36" s="4" t="s">
        <v>60</v>
      </c>
      <c r="K36" s="3">
        <v>900</v>
      </c>
      <c r="L36" s="3">
        <v>540</v>
      </c>
      <c r="M36" s="3">
        <v>12.32</v>
      </c>
      <c r="N36" s="3">
        <v>16903.87</v>
      </c>
      <c r="O36" s="4" t="s">
        <v>34</v>
      </c>
      <c r="P36" s="4" t="s">
        <v>34</v>
      </c>
      <c r="Q36" s="4" t="s">
        <v>35</v>
      </c>
      <c r="R36" s="3">
        <v>4100.5</v>
      </c>
      <c r="S36" s="3">
        <v>17.487400000000001</v>
      </c>
      <c r="T36" s="4" t="s">
        <v>162</v>
      </c>
      <c r="U36" s="2" t="s">
        <v>37</v>
      </c>
      <c r="V36" s="2" t="s">
        <v>37</v>
      </c>
      <c r="W36" s="2" t="s">
        <v>37</v>
      </c>
      <c r="X36" s="2" t="s">
        <v>37</v>
      </c>
      <c r="Y36" s="2" t="s">
        <v>38</v>
      </c>
      <c r="Z36" s="2" t="s">
        <v>37</v>
      </c>
      <c r="AA36" s="6">
        <v>4.2442095589999997</v>
      </c>
      <c r="AB36" s="6">
        <v>3.6128368160000002</v>
      </c>
      <c r="AC36" s="6">
        <v>4.2279861439999999</v>
      </c>
      <c r="AD36" cm="1">
        <f t="array" ref="AD36">IF(SUMPRODUCT(--($AM$2:$AM$112=TRIM(LEFT($B36,IFERROR(FIND(" ",$B36)-1,LEN($B36))))))&gt;0,1,0)</f>
        <v>1</v>
      </c>
      <c r="AE36" cm="1">
        <f t="array" ref="AE36">IF(SUMPRODUCT(--($AO$2:$AO$145=TRIM(LEFT($B36,IFERROR(FIND(" ",$B36)-1,LEN($B36))))))&gt;0,1,0)</f>
        <v>1</v>
      </c>
      <c r="AF36" cm="1">
        <f t="array" ref="AF36">IF(SUMPRODUCT(--($AQ$2:$AQ$71=TRIM(LEFT($B36,IFERROR(FIND(" ",$B36)-1,LEN($B36))))))&gt;0,1,0)</f>
        <v>1</v>
      </c>
      <c r="AL36" t="s">
        <v>2193</v>
      </c>
      <c r="AM36" t="str">
        <f t="shared" si="0"/>
        <v>AQUA</v>
      </c>
      <c r="AN36" t="s">
        <v>2188</v>
      </c>
      <c r="AO36" t="str">
        <f t="shared" si="1"/>
        <v>NATI</v>
      </c>
      <c r="AP36" t="s">
        <v>2386</v>
      </c>
      <c r="AQ36" t="str">
        <f t="shared" si="2"/>
        <v>OPNT</v>
      </c>
    </row>
    <row r="37" spans="1:43" ht="135.75" thickBot="1" x14ac:dyDescent="0.3">
      <c r="A37" s="13">
        <v>157</v>
      </c>
      <c r="B37" s="4" t="s">
        <v>163</v>
      </c>
      <c r="C37" s="2"/>
      <c r="D37" s="7">
        <v>45902</v>
      </c>
      <c r="E37" s="3">
        <v>7264.73</v>
      </c>
      <c r="F37" s="4" t="s">
        <v>30</v>
      </c>
      <c r="G37" s="3">
        <v>2.89</v>
      </c>
      <c r="H37" s="4" t="s">
        <v>65</v>
      </c>
      <c r="I37" s="4" t="s">
        <v>138</v>
      </c>
      <c r="J37" s="4" t="s">
        <v>139</v>
      </c>
      <c r="K37" s="4"/>
      <c r="L37" s="4"/>
      <c r="M37" s="3">
        <v>12.37</v>
      </c>
      <c r="N37" s="3">
        <v>7264.73</v>
      </c>
      <c r="O37" s="4" t="s">
        <v>34</v>
      </c>
      <c r="P37" s="4" t="s">
        <v>96</v>
      </c>
      <c r="Q37" s="4" t="s">
        <v>35</v>
      </c>
      <c r="R37" s="3">
        <v>3015.75</v>
      </c>
      <c r="S37" s="3">
        <v>63.982999999999997</v>
      </c>
      <c r="T37" s="4" t="s">
        <v>164</v>
      </c>
      <c r="U37" s="2" t="s">
        <v>37</v>
      </c>
      <c r="V37" s="2" t="s">
        <v>37</v>
      </c>
      <c r="W37" s="2" t="s">
        <v>38</v>
      </c>
      <c r="X37" s="2" t="s">
        <v>37</v>
      </c>
      <c r="Y37" s="2" t="s">
        <v>38</v>
      </c>
      <c r="Z37" s="2" t="s">
        <v>37</v>
      </c>
      <c r="AA37" s="6">
        <v>3.8612194780000002</v>
      </c>
      <c r="AB37" s="6">
        <v>3.4793953360000001</v>
      </c>
      <c r="AC37" s="6">
        <v>3.8612194780000002</v>
      </c>
      <c r="AD37" cm="1">
        <f t="array" ref="AD37">IF(SUMPRODUCT(--($AM$2:$AM$112=TRIM(LEFT($B37,IFERROR(FIND(" ",$B37)-1,LEN($B37))))))&gt;0,1,0)</f>
        <v>1</v>
      </c>
      <c r="AE37" cm="1">
        <f t="array" ref="AE37">IF(SUMPRODUCT(--($AO$2:$AO$145=TRIM(LEFT($B37,IFERROR(FIND(" ",$B37)-1,LEN($B37))))))&gt;0,1,0)</f>
        <v>0</v>
      </c>
      <c r="AF37" cm="1">
        <f t="array" ref="AF37">IF(SUMPRODUCT(--($AQ$2:$AQ$71=TRIM(LEFT($B37,IFERROR(FIND(" ",$B37)-1,LEN($B37))))))&gt;0,1,0)</f>
        <v>1</v>
      </c>
      <c r="AL37" t="s">
        <v>2194</v>
      </c>
      <c r="AM37" t="str">
        <f t="shared" si="0"/>
        <v>ATCO</v>
      </c>
      <c r="AN37" t="s">
        <v>2189</v>
      </c>
      <c r="AO37" t="str">
        <f t="shared" si="1"/>
        <v>TRTN</v>
      </c>
      <c r="AP37" t="s">
        <v>2387</v>
      </c>
      <c r="AQ37" t="str">
        <f t="shared" si="2"/>
        <v>AVEO</v>
      </c>
    </row>
    <row r="38" spans="1:43" ht="165.75" thickBot="1" x14ac:dyDescent="0.3">
      <c r="A38" s="13">
        <v>63</v>
      </c>
      <c r="B38" s="4" t="s">
        <v>165</v>
      </c>
      <c r="C38" s="2"/>
      <c r="D38" s="7">
        <v>46028</v>
      </c>
      <c r="E38" s="3">
        <v>6400</v>
      </c>
      <c r="F38" s="4" t="s">
        <v>30</v>
      </c>
      <c r="G38" s="4"/>
      <c r="H38" s="4" t="s">
        <v>31</v>
      </c>
      <c r="I38" s="4" t="s">
        <v>32</v>
      </c>
      <c r="J38" s="4" t="s">
        <v>33</v>
      </c>
      <c r="K38" s="4"/>
      <c r="L38" s="4"/>
      <c r="M38" s="4"/>
      <c r="N38" s="3">
        <v>7036.15</v>
      </c>
      <c r="O38" s="4" t="s">
        <v>34</v>
      </c>
      <c r="P38" s="4" t="s">
        <v>166</v>
      </c>
      <c r="Q38" s="4" t="s">
        <v>35</v>
      </c>
      <c r="R38" s="3">
        <v>601.93399999999997</v>
      </c>
      <c r="S38" s="3">
        <v>-15.7492</v>
      </c>
      <c r="T38" s="4" t="s">
        <v>167</v>
      </c>
      <c r="U38" s="2" t="s">
        <v>37</v>
      </c>
      <c r="V38" s="2" t="s">
        <v>37</v>
      </c>
      <c r="W38" s="2" t="s">
        <v>38</v>
      </c>
      <c r="X38" s="2" t="s">
        <v>38</v>
      </c>
      <c r="Y38" s="2" t="s">
        <v>38</v>
      </c>
      <c r="Z38" s="2" t="s">
        <v>37</v>
      </c>
      <c r="AA38" s="6">
        <v>3.806179974</v>
      </c>
      <c r="AB38" s="6">
        <v>2.7795488750000001</v>
      </c>
      <c r="AC38" s="6">
        <v>3.847335089</v>
      </c>
      <c r="AD38" cm="1">
        <f t="array" ref="AD38">IF(SUMPRODUCT(--($AM$2:$AM$112=TRIM(LEFT($B38,IFERROR(FIND(" ",$B38)-1,LEN($B38))))))&gt;0,1,0)</f>
        <v>0</v>
      </c>
      <c r="AE38" cm="1">
        <f t="array" ref="AE38">IF(SUMPRODUCT(--($AO$2:$AO$145=TRIM(LEFT($B38,IFERROR(FIND(" ",$B38)-1,LEN($B38))))))&gt;0,1,0)</f>
        <v>0</v>
      </c>
      <c r="AF38" cm="1">
        <f t="array" ref="AF38">IF(SUMPRODUCT(--($AQ$2:$AQ$71=TRIM(LEFT($B38,IFERROR(FIND(" ",$B38)-1,LEN($B38))))))&gt;0,1,0)</f>
        <v>0</v>
      </c>
      <c r="AL38" t="s">
        <v>2195</v>
      </c>
      <c r="AM38" t="str">
        <f t="shared" si="0"/>
        <v>AIMC</v>
      </c>
      <c r="AN38" t="s">
        <v>2190</v>
      </c>
      <c r="AO38" t="str">
        <f t="shared" si="1"/>
        <v>UNVR</v>
      </c>
      <c r="AP38" t="s">
        <v>2388</v>
      </c>
      <c r="AQ38" t="str">
        <f t="shared" si="2"/>
        <v>STOR</v>
      </c>
    </row>
    <row r="39" spans="1:43" ht="105.75" thickBot="1" x14ac:dyDescent="0.3">
      <c r="A39" s="13">
        <v>37</v>
      </c>
      <c r="B39" s="4" t="s">
        <v>168</v>
      </c>
      <c r="C39" s="4" t="s">
        <v>169</v>
      </c>
      <c r="D39" s="7">
        <v>46064</v>
      </c>
      <c r="E39" s="3">
        <v>1628.07</v>
      </c>
      <c r="F39" s="4" t="s">
        <v>30</v>
      </c>
      <c r="G39" s="3">
        <v>7.34</v>
      </c>
      <c r="H39" s="4" t="s">
        <v>70</v>
      </c>
      <c r="I39" s="4" t="s">
        <v>94</v>
      </c>
      <c r="J39" s="4" t="s">
        <v>170</v>
      </c>
      <c r="K39" s="4"/>
      <c r="L39" s="4"/>
      <c r="M39" s="3">
        <v>12.47</v>
      </c>
      <c r="N39" s="3">
        <v>1155.99</v>
      </c>
      <c r="O39" s="4" t="s">
        <v>34</v>
      </c>
      <c r="P39" s="4" t="s">
        <v>34</v>
      </c>
      <c r="Q39" s="4" t="s">
        <v>35</v>
      </c>
      <c r="R39" s="3">
        <v>888.27700000000004</v>
      </c>
      <c r="S39" s="3">
        <v>14.386100000000001</v>
      </c>
      <c r="T39" s="4" t="s">
        <v>171</v>
      </c>
      <c r="U39" s="2" t="s">
        <v>37</v>
      </c>
      <c r="V39" s="2" t="s">
        <v>37</v>
      </c>
      <c r="W39" s="2" t="s">
        <v>37</v>
      </c>
      <c r="X39" s="2" t="s">
        <v>38</v>
      </c>
      <c r="Y39" s="2" t="s">
        <v>37</v>
      </c>
      <c r="Z39" s="2" t="s">
        <v>38</v>
      </c>
      <c r="AA39" s="6">
        <v>3.2116730740000001</v>
      </c>
      <c r="AB39" s="6">
        <v>2.948548417</v>
      </c>
      <c r="AC39" s="6">
        <v>3.0629540770000001</v>
      </c>
      <c r="AD39" cm="1">
        <f t="array" ref="AD39">IF(SUMPRODUCT(--($AM$2:$AM$112=TRIM(LEFT($B39,IFERROR(FIND(" ",$B39)-1,LEN($B39))))))&gt;0,1,0)</f>
        <v>0</v>
      </c>
      <c r="AE39" cm="1">
        <f t="array" ref="AE39">IF(SUMPRODUCT(--($AO$2:$AO$145=TRIM(LEFT($B39,IFERROR(FIND(" ",$B39)-1,LEN($B39))))))&gt;0,1,0)</f>
        <v>0</v>
      </c>
      <c r="AF39" cm="1">
        <f t="array" ref="AF39">IF(SUMPRODUCT(--($AQ$2:$AQ$71=TRIM(LEFT($B39,IFERROR(FIND(" ",$B39)-1,LEN($B39))))))&gt;0,1,0)</f>
        <v>0</v>
      </c>
      <c r="AL39" t="s">
        <v>2196</v>
      </c>
      <c r="AM39" t="str">
        <f t="shared" si="0"/>
        <v>AAWW</v>
      </c>
      <c r="AN39" t="s">
        <v>2294</v>
      </c>
      <c r="AO39" t="str">
        <f t="shared" si="1"/>
        <v>SGEN</v>
      </c>
      <c r="AP39" t="s">
        <v>2389</v>
      </c>
      <c r="AQ39" t="str">
        <f t="shared" si="2"/>
        <v>VIVO</v>
      </c>
    </row>
    <row r="40" spans="1:43" ht="45.75" thickBot="1" x14ac:dyDescent="0.3">
      <c r="A40" s="13">
        <v>113</v>
      </c>
      <c r="B40" s="4" t="s">
        <v>172</v>
      </c>
      <c r="C40" s="4" t="s">
        <v>173</v>
      </c>
      <c r="D40" s="7">
        <v>45957</v>
      </c>
      <c r="E40" s="3">
        <v>526.27</v>
      </c>
      <c r="F40" s="4" t="s">
        <v>46</v>
      </c>
      <c r="G40" s="4"/>
      <c r="H40" s="4" t="s">
        <v>65</v>
      </c>
      <c r="I40" s="4" t="s">
        <v>66</v>
      </c>
      <c r="J40" s="4" t="s">
        <v>66</v>
      </c>
      <c r="K40" s="4"/>
      <c r="L40" s="4"/>
      <c r="M40" s="3">
        <v>13.67</v>
      </c>
      <c r="N40" s="3">
        <v>526.27</v>
      </c>
      <c r="O40" s="4" t="s">
        <v>34</v>
      </c>
      <c r="P40" s="4" t="s">
        <v>34</v>
      </c>
      <c r="Q40" s="4" t="s">
        <v>35</v>
      </c>
      <c r="R40" s="3">
        <v>588.36300000000006</v>
      </c>
      <c r="S40" s="3">
        <v>-30.473700000000001</v>
      </c>
      <c r="T40" s="4" t="s">
        <v>43</v>
      </c>
      <c r="U40" s="2" t="s">
        <v>37</v>
      </c>
      <c r="V40" s="2" t="s">
        <v>37</v>
      </c>
      <c r="W40" s="2" t="s">
        <v>37</v>
      </c>
      <c r="X40" s="2" t="s">
        <v>37</v>
      </c>
      <c r="Y40" s="2" t="s">
        <v>37</v>
      </c>
      <c r="Z40" s="2" t="s">
        <v>37</v>
      </c>
      <c r="AA40" s="6">
        <v>2.721208614</v>
      </c>
      <c r="AB40" s="6">
        <v>2.7696453540000001</v>
      </c>
      <c r="AC40" s="6">
        <v>2.721208614</v>
      </c>
      <c r="AD40" cm="1">
        <f t="array" ref="AD40">IF(SUMPRODUCT(--($AM$2:$AM$112=TRIM(LEFT($B40,IFERROR(FIND(" ",$B40)-1,LEN($B40))))))&gt;0,1,0)</f>
        <v>0</v>
      </c>
      <c r="AE40" cm="1">
        <f t="array" ref="AE40">IF(SUMPRODUCT(--($AO$2:$AO$145=TRIM(LEFT($B40,IFERROR(FIND(" ",$B40)-1,LEN($B40))))))&gt;0,1,0)</f>
        <v>0</v>
      </c>
      <c r="AF40" cm="1">
        <f t="array" ref="AF40">IF(SUMPRODUCT(--($AQ$2:$AQ$71=TRIM(LEFT($B40,IFERROR(FIND(" ",$B40)-1,LEN($B40))))))&gt;0,1,0)</f>
        <v>0</v>
      </c>
      <c r="AL40" t="s">
        <v>2197</v>
      </c>
      <c r="AM40" t="str">
        <f t="shared" si="0"/>
        <v>ZEN</v>
      </c>
      <c r="AN40" t="s">
        <v>2191</v>
      </c>
      <c r="AO40" t="str">
        <f t="shared" si="1"/>
        <v>DSEY</v>
      </c>
      <c r="AP40" t="s">
        <v>2390</v>
      </c>
      <c r="AQ40" t="str">
        <f t="shared" si="2"/>
        <v>USAK</v>
      </c>
    </row>
    <row r="41" spans="1:43" ht="75.75" thickBot="1" x14ac:dyDescent="0.3">
      <c r="A41" s="13">
        <v>150</v>
      </c>
      <c r="B41" s="4" t="s">
        <v>174</v>
      </c>
      <c r="C41" s="4" t="s">
        <v>175</v>
      </c>
      <c r="D41" s="7">
        <v>45897</v>
      </c>
      <c r="E41" s="3">
        <v>1079.6099999999999</v>
      </c>
      <c r="F41" s="4" t="s">
        <v>30</v>
      </c>
      <c r="G41" s="3">
        <v>10.29</v>
      </c>
      <c r="H41" s="4" t="s">
        <v>65</v>
      </c>
      <c r="I41" s="4" t="s">
        <v>138</v>
      </c>
      <c r="J41" s="4" t="s">
        <v>176</v>
      </c>
      <c r="K41" s="4"/>
      <c r="L41" s="4"/>
      <c r="M41" s="3">
        <v>65.53</v>
      </c>
      <c r="N41" s="3">
        <v>1079.6099999999999</v>
      </c>
      <c r="O41" s="4" t="s">
        <v>49</v>
      </c>
      <c r="P41" s="4" t="s">
        <v>49</v>
      </c>
      <c r="Q41" s="4" t="s">
        <v>35</v>
      </c>
      <c r="R41" s="3">
        <v>292.63299999999998</v>
      </c>
      <c r="S41" s="3">
        <v>36.985599999999998</v>
      </c>
      <c r="T41" s="4" t="s">
        <v>113</v>
      </c>
      <c r="U41" s="2" t="s">
        <v>37</v>
      </c>
      <c r="V41" s="2" t="s">
        <v>37</v>
      </c>
      <c r="W41" s="2" t="s">
        <v>37</v>
      </c>
      <c r="X41" s="2" t="s">
        <v>38</v>
      </c>
      <c r="Y41" s="2" t="s">
        <v>37</v>
      </c>
      <c r="Z41" s="2" t="s">
        <v>37</v>
      </c>
      <c r="AA41" s="6">
        <v>3.033266899</v>
      </c>
      <c r="AB41" s="6">
        <v>2.4663233</v>
      </c>
      <c r="AC41" s="6">
        <v>3.033266899</v>
      </c>
      <c r="AD41" cm="1">
        <f t="array" ref="AD41">IF(SUMPRODUCT(--($AM$2:$AM$112=TRIM(LEFT($B41,IFERROR(FIND(" ",$B41)-1,LEN($B41))))))&gt;0,1,0)</f>
        <v>0</v>
      </c>
      <c r="AE41" cm="1">
        <f t="array" ref="AE41">IF(SUMPRODUCT(--($AO$2:$AO$145=TRIM(LEFT($B41,IFERROR(FIND(" ",$B41)-1,LEN($B41))))))&gt;0,1,0)</f>
        <v>0</v>
      </c>
      <c r="AF41" cm="1">
        <f t="array" ref="AF41">IF(SUMPRODUCT(--($AQ$2:$AQ$71=TRIM(LEFT($B41,IFERROR(FIND(" ",$B41)-1,LEN($B41))))))&gt;0,1,0)</f>
        <v>0</v>
      </c>
      <c r="AL41" t="s">
        <v>2198</v>
      </c>
      <c r="AM41" t="str">
        <f t="shared" si="0"/>
        <v>VMW</v>
      </c>
      <c r="AN41" t="s">
        <v>2192</v>
      </c>
      <c r="AO41" t="str">
        <f t="shared" si="1"/>
        <v>RADI</v>
      </c>
      <c r="AP41" t="s">
        <v>2197</v>
      </c>
      <c r="AQ41" t="str">
        <f t="shared" si="2"/>
        <v>ZEN</v>
      </c>
    </row>
    <row r="42" spans="1:43" ht="75.75" thickBot="1" x14ac:dyDescent="0.3">
      <c r="A42" s="13">
        <v>89</v>
      </c>
      <c r="B42" s="4" t="s">
        <v>177</v>
      </c>
      <c r="C42" s="4" t="s">
        <v>178</v>
      </c>
      <c r="D42" s="7">
        <v>45981</v>
      </c>
      <c r="E42" s="3">
        <v>21428.17</v>
      </c>
      <c r="F42" s="4" t="s">
        <v>30</v>
      </c>
      <c r="G42" s="4"/>
      <c r="H42" s="4" t="s">
        <v>41</v>
      </c>
      <c r="I42" s="4" t="s">
        <v>41</v>
      </c>
      <c r="J42" s="4" t="s">
        <v>60</v>
      </c>
      <c r="K42" s="4"/>
      <c r="L42" s="3">
        <v>628.69399999999996</v>
      </c>
      <c r="M42" s="3">
        <v>55.93</v>
      </c>
      <c r="N42" s="3">
        <v>19894.490000000002</v>
      </c>
      <c r="O42" s="4" t="s">
        <v>34</v>
      </c>
      <c r="P42" s="4" t="s">
        <v>34</v>
      </c>
      <c r="Q42" s="4" t="s">
        <v>35</v>
      </c>
      <c r="R42" s="3">
        <v>3246.99</v>
      </c>
      <c r="S42" s="3">
        <v>-6.3535199999999996</v>
      </c>
      <c r="T42" s="4" t="s">
        <v>113</v>
      </c>
      <c r="U42" s="2" t="s">
        <v>37</v>
      </c>
      <c r="V42" s="2" t="s">
        <v>37</v>
      </c>
      <c r="W42" s="2" t="s">
        <v>37</v>
      </c>
      <c r="X42" s="2" t="s">
        <v>38</v>
      </c>
      <c r="Y42" s="2" t="s">
        <v>37</v>
      </c>
      <c r="Z42" s="2" t="s">
        <v>37</v>
      </c>
      <c r="AA42" s="6">
        <v>4.3309850829999998</v>
      </c>
      <c r="AB42" s="6">
        <v>3.5114809509999998</v>
      </c>
      <c r="AC42" s="6">
        <v>4.2987328099999997</v>
      </c>
      <c r="AD42" cm="1">
        <f t="array" ref="AD42">IF(SUMPRODUCT(--($AM$2:$AM$112=TRIM(LEFT($B42,IFERROR(FIND(" ",$B42)-1,LEN($B42))))))&gt;0,1,0)</f>
        <v>0</v>
      </c>
      <c r="AE42" cm="1">
        <f t="array" ref="AE42">IF(SUMPRODUCT(--($AO$2:$AO$145=TRIM(LEFT($B42,IFERROR(FIND(" ",$B42)-1,LEN($B42))))))&gt;0,1,0)</f>
        <v>0</v>
      </c>
      <c r="AF42" cm="1">
        <f t="array" ref="AF42">IF(SUMPRODUCT(--($AQ$2:$AQ$71=TRIM(LEFT($B42,IFERROR(FIND(" ",$B42)-1,LEN($B42))))))&gt;0,1,0)</f>
        <v>0</v>
      </c>
      <c r="AL42" t="s">
        <v>2199</v>
      </c>
      <c r="AM42" t="str">
        <f t="shared" si="0"/>
        <v>CVET</v>
      </c>
      <c r="AN42" t="s">
        <v>2295</v>
      </c>
      <c r="AO42" t="str">
        <f t="shared" si="1"/>
        <v>FOCS</v>
      </c>
      <c r="AP42" t="s">
        <v>2391</v>
      </c>
      <c r="AQ42" t="str">
        <f t="shared" si="2"/>
        <v>FSTX</v>
      </c>
    </row>
    <row r="43" spans="1:43" ht="105.75" thickBot="1" x14ac:dyDescent="0.3">
      <c r="A43" s="13">
        <v>102</v>
      </c>
      <c r="B43" s="4" t="s">
        <v>179</v>
      </c>
      <c r="C43" s="4" t="s">
        <v>180</v>
      </c>
      <c r="D43" s="7">
        <v>45964</v>
      </c>
      <c r="E43" s="3">
        <v>7997.6</v>
      </c>
      <c r="F43" s="4" t="s">
        <v>46</v>
      </c>
      <c r="G43" s="3">
        <v>18.579999999999998</v>
      </c>
      <c r="H43" s="4" t="s">
        <v>47</v>
      </c>
      <c r="I43" s="4" t="s">
        <v>47</v>
      </c>
      <c r="J43" s="4" t="s">
        <v>48</v>
      </c>
      <c r="K43" s="4"/>
      <c r="L43" s="4"/>
      <c r="M43" s="3">
        <v>40.67</v>
      </c>
      <c r="N43" s="3">
        <v>7726.2</v>
      </c>
      <c r="O43" s="4" t="s">
        <v>49</v>
      </c>
      <c r="P43" s="4" t="s">
        <v>34</v>
      </c>
      <c r="Q43" s="4" t="s">
        <v>35</v>
      </c>
      <c r="R43" s="3">
        <v>1476.1</v>
      </c>
      <c r="S43" s="3">
        <v>77.928299999999993</v>
      </c>
      <c r="T43" s="4" t="s">
        <v>181</v>
      </c>
      <c r="U43" s="2" t="s">
        <v>37</v>
      </c>
      <c r="V43" s="2" t="s">
        <v>37</v>
      </c>
      <c r="W43" s="2" t="s">
        <v>38</v>
      </c>
      <c r="X43" s="2" t="s">
        <v>37</v>
      </c>
      <c r="Y43" s="2" t="s">
        <v>37</v>
      </c>
      <c r="Z43" s="2" t="s">
        <v>37</v>
      </c>
      <c r="AA43" s="6">
        <v>3.9029596789999998</v>
      </c>
      <c r="AB43" s="6">
        <v>3.1691157799999998</v>
      </c>
      <c r="AC43" s="6">
        <v>3.887965946</v>
      </c>
      <c r="AD43" cm="1">
        <f t="array" ref="AD43">IF(SUMPRODUCT(--($AM$2:$AM$112=TRIM(LEFT($B43,IFERROR(FIND(" ",$B43)-1,LEN($B43))))))&gt;0,1,0)</f>
        <v>0</v>
      </c>
      <c r="AE43" cm="1">
        <f t="array" ref="AE43">IF(SUMPRODUCT(--($AO$2:$AO$145=TRIM(LEFT($B43,IFERROR(FIND(" ",$B43)-1,LEN($B43))))))&gt;0,1,0)</f>
        <v>0</v>
      </c>
      <c r="AF43" cm="1">
        <f t="array" ref="AF43">IF(SUMPRODUCT(--($AQ$2:$AQ$71=TRIM(LEFT($B43,IFERROR(FIND(" ",$B43)-1,LEN($B43))))))&gt;0,1,0)</f>
        <v>0</v>
      </c>
      <c r="AL43" t="s">
        <v>2200</v>
      </c>
      <c r="AM43" t="str">
        <f t="shared" si="0"/>
        <v>POLY</v>
      </c>
      <c r="AN43" t="s">
        <v>2296</v>
      </c>
      <c r="AO43" t="str">
        <f t="shared" si="1"/>
        <v>INDT</v>
      </c>
      <c r="AP43" t="s">
        <v>2392</v>
      </c>
      <c r="AQ43" t="str">
        <f t="shared" si="2"/>
        <v>SWCH</v>
      </c>
    </row>
    <row r="44" spans="1:43" ht="45.75" thickBot="1" x14ac:dyDescent="0.3">
      <c r="A44" s="13">
        <v>154</v>
      </c>
      <c r="B44" s="4" t="s">
        <v>182</v>
      </c>
      <c r="C44" s="4" t="s">
        <v>183</v>
      </c>
      <c r="D44" s="7">
        <v>45888</v>
      </c>
      <c r="E44" s="3">
        <v>5359.57</v>
      </c>
      <c r="F44" s="4" t="s">
        <v>30</v>
      </c>
      <c r="G44" s="3">
        <v>5.86</v>
      </c>
      <c r="H44" s="4" t="s">
        <v>184</v>
      </c>
      <c r="I44" s="4" t="s">
        <v>185</v>
      </c>
      <c r="J44" s="4" t="s">
        <v>186</v>
      </c>
      <c r="K44" s="4"/>
      <c r="L44" s="4"/>
      <c r="M44" s="3">
        <v>24.51</v>
      </c>
      <c r="N44" s="3">
        <v>3539.3</v>
      </c>
      <c r="O44" s="4" t="s">
        <v>34</v>
      </c>
      <c r="P44" s="4" t="s">
        <v>34</v>
      </c>
      <c r="Q44" s="4" t="s">
        <v>35</v>
      </c>
      <c r="R44" s="3">
        <v>2712</v>
      </c>
      <c r="S44" s="3">
        <v>16.3337</v>
      </c>
      <c r="T44" s="4" t="s">
        <v>43</v>
      </c>
      <c r="U44" s="2" t="s">
        <v>37</v>
      </c>
      <c r="V44" s="2" t="s">
        <v>37</v>
      </c>
      <c r="W44" s="2" t="s">
        <v>37</v>
      </c>
      <c r="X44" s="2" t="s">
        <v>37</v>
      </c>
      <c r="Y44" s="2" t="s">
        <v>37</v>
      </c>
      <c r="Z44" s="2" t="s">
        <v>37</v>
      </c>
      <c r="AA44" s="6">
        <v>3.7291299480000002</v>
      </c>
      <c r="AB44" s="6">
        <v>3.4332896850000001</v>
      </c>
      <c r="AC44" s="6">
        <v>3.5489173759999999</v>
      </c>
      <c r="AD44" cm="1">
        <f t="array" ref="AD44">IF(SUMPRODUCT(--($AM$2:$AM$112=TRIM(LEFT($B44,IFERROR(FIND(" ",$B44)-1,LEN($B44))))))&gt;0,1,0)</f>
        <v>0</v>
      </c>
      <c r="AE44" cm="1">
        <f t="array" ref="AE44">IF(SUMPRODUCT(--($AO$2:$AO$145=TRIM(LEFT($B44,IFERROR(FIND(" ",$B44)-1,LEN($B44))))))&gt;0,1,0)</f>
        <v>0</v>
      </c>
      <c r="AF44" cm="1">
        <f t="array" ref="AF44">IF(SUMPRODUCT(--($AQ$2:$AQ$71=TRIM(LEFT($B44,IFERROR(FIND(" ",$B44)-1,LEN($B44))))))&gt;0,1,0)</f>
        <v>0</v>
      </c>
      <c r="AL44" t="s">
        <v>2201</v>
      </c>
      <c r="AM44" t="str">
        <f t="shared" si="0"/>
        <v>TEN</v>
      </c>
      <c r="AN44" t="s">
        <v>2194</v>
      </c>
      <c r="AO44" t="str">
        <f t="shared" si="1"/>
        <v>ATCO</v>
      </c>
      <c r="AP44" t="s">
        <v>2393</v>
      </c>
      <c r="AQ44" t="str">
        <f t="shared" si="2"/>
        <v>MIME</v>
      </c>
    </row>
    <row r="45" spans="1:43" ht="105.75" thickBot="1" x14ac:dyDescent="0.3">
      <c r="A45" s="13">
        <v>73</v>
      </c>
      <c r="B45" s="4" t="s">
        <v>187</v>
      </c>
      <c r="C45" s="4" t="s">
        <v>188</v>
      </c>
      <c r="D45" s="7">
        <v>45999</v>
      </c>
      <c r="E45" s="3">
        <v>10898.34</v>
      </c>
      <c r="F45" s="4" t="s">
        <v>30</v>
      </c>
      <c r="G45" s="4"/>
      <c r="H45" s="4" t="s">
        <v>31</v>
      </c>
      <c r="I45" s="4" t="s">
        <v>32</v>
      </c>
      <c r="J45" s="4" t="s">
        <v>33</v>
      </c>
      <c r="K45" s="4"/>
      <c r="L45" s="3">
        <v>453.6</v>
      </c>
      <c r="M45" s="3">
        <v>36.58</v>
      </c>
      <c r="N45" s="3">
        <v>10898.34</v>
      </c>
      <c r="O45" s="4" t="s">
        <v>34</v>
      </c>
      <c r="P45" s="4" t="s">
        <v>34</v>
      </c>
      <c r="Q45" s="4" t="s">
        <v>35</v>
      </c>
      <c r="R45" s="3">
        <v>1166.75</v>
      </c>
      <c r="S45" s="3">
        <v>-32.5779</v>
      </c>
      <c r="T45" s="4" t="s">
        <v>189</v>
      </c>
      <c r="U45" s="2" t="s">
        <v>37</v>
      </c>
      <c r="V45" s="2" t="s">
        <v>37</v>
      </c>
      <c r="W45" s="2" t="s">
        <v>37</v>
      </c>
      <c r="X45" s="2" t="s">
        <v>37</v>
      </c>
      <c r="Y45" s="2" t="s">
        <v>38</v>
      </c>
      <c r="Z45" s="2" t="s">
        <v>37</v>
      </c>
      <c r="AA45" s="6">
        <v>4.0373603530000004</v>
      </c>
      <c r="AB45" s="6">
        <v>3.06697781</v>
      </c>
      <c r="AC45" s="6">
        <v>4.0373603530000004</v>
      </c>
      <c r="AD45" cm="1">
        <f t="array" ref="AD45">IF(SUMPRODUCT(--($AM$2:$AM$112=TRIM(LEFT($B45,IFERROR(FIND(" ",$B45)-1,LEN($B45))))))&gt;0,1,0)</f>
        <v>0</v>
      </c>
      <c r="AE45" cm="1">
        <f t="array" ref="AE45">IF(SUMPRODUCT(--($AO$2:$AO$145=TRIM(LEFT($B45,IFERROR(FIND(" ",$B45)-1,LEN($B45))))))&gt;0,1,0)</f>
        <v>0</v>
      </c>
      <c r="AF45" cm="1">
        <f t="array" ref="AF45">IF(SUMPRODUCT(--($AQ$2:$AQ$71=TRIM(LEFT($B45,IFERROR(FIND(" ",$B45)-1,LEN($B45))))))&gt;0,1,0)</f>
        <v>0</v>
      </c>
      <c r="AL45" t="s">
        <v>2202</v>
      </c>
      <c r="AM45" t="str">
        <f t="shared" si="0"/>
        <v>MTOR</v>
      </c>
      <c r="AN45" t="s">
        <v>2195</v>
      </c>
      <c r="AO45" t="str">
        <f t="shared" si="1"/>
        <v>AIMC</v>
      </c>
      <c r="AP45" t="s">
        <v>2394</v>
      </c>
      <c r="AQ45" t="str">
        <f t="shared" si="2"/>
        <v>VG</v>
      </c>
    </row>
    <row r="46" spans="1:43" ht="45.75" thickBot="1" x14ac:dyDescent="0.3">
      <c r="A46" s="13">
        <v>94</v>
      </c>
      <c r="B46" s="4" t="s">
        <v>190</v>
      </c>
      <c r="C46" s="4" t="s">
        <v>191</v>
      </c>
      <c r="D46" s="7">
        <v>45966</v>
      </c>
      <c r="E46" s="3">
        <v>1010.7</v>
      </c>
      <c r="F46" s="4" t="s">
        <v>107</v>
      </c>
      <c r="G46" s="3">
        <v>12.39</v>
      </c>
      <c r="H46" s="4" t="s">
        <v>51</v>
      </c>
      <c r="I46" s="4" t="s">
        <v>51</v>
      </c>
      <c r="J46" s="4" t="s">
        <v>79</v>
      </c>
      <c r="K46" s="4"/>
      <c r="L46" s="4"/>
      <c r="M46" s="3">
        <v>76.56</v>
      </c>
      <c r="N46" s="3">
        <v>1010.7</v>
      </c>
      <c r="O46" s="4" t="s">
        <v>34</v>
      </c>
      <c r="P46" s="4" t="s">
        <v>34</v>
      </c>
      <c r="Q46" s="4" t="s">
        <v>35</v>
      </c>
      <c r="R46" s="3">
        <v>365.96</v>
      </c>
      <c r="S46" s="3">
        <v>8.7783200000000008</v>
      </c>
      <c r="T46" s="4" t="s">
        <v>43</v>
      </c>
      <c r="U46" s="2" t="s">
        <v>37</v>
      </c>
      <c r="V46" s="2" t="s">
        <v>37</v>
      </c>
      <c r="W46" s="2" t="s">
        <v>37</v>
      </c>
      <c r="X46" s="2" t="s">
        <v>37</v>
      </c>
      <c r="Y46" s="2" t="s">
        <v>37</v>
      </c>
      <c r="Z46" s="2" t="s">
        <v>37</v>
      </c>
      <c r="AA46" s="6">
        <v>3.0046222660000002</v>
      </c>
      <c r="AB46" s="6">
        <v>2.563433619</v>
      </c>
      <c r="AC46" s="6">
        <v>3.0046222660000002</v>
      </c>
      <c r="AD46" cm="1">
        <f t="array" ref="AD46">IF(SUMPRODUCT(--($AM$2:$AM$112=TRIM(LEFT($B46,IFERROR(FIND(" ",$B46)-1,LEN($B46))))))&gt;0,1,0)</f>
        <v>0</v>
      </c>
      <c r="AE46" cm="1">
        <f t="array" ref="AE46">IF(SUMPRODUCT(--($AO$2:$AO$145=TRIM(LEFT($B46,IFERROR(FIND(" ",$B46)-1,LEN($B46))))))&gt;0,1,0)</f>
        <v>0</v>
      </c>
      <c r="AF46" cm="1">
        <f t="array" ref="AF46">IF(SUMPRODUCT(--($AQ$2:$AQ$71=TRIM(LEFT($B46,IFERROR(FIND(" ",$B46)-1,LEN($B46))))))&gt;0,1,0)</f>
        <v>0</v>
      </c>
      <c r="AL46" t="s">
        <v>2203</v>
      </c>
      <c r="AM46" t="str">
        <f t="shared" si="0"/>
        <v>ATVI</v>
      </c>
      <c r="AN46" t="s">
        <v>2297</v>
      </c>
      <c r="AO46" t="str">
        <f t="shared" si="1"/>
        <v>IRBT</v>
      </c>
      <c r="AP46" t="s">
        <v>2207</v>
      </c>
      <c r="AQ46" t="str">
        <f t="shared" si="2"/>
        <v>MCFE</v>
      </c>
    </row>
    <row r="47" spans="1:43" ht="105.75" thickBot="1" x14ac:dyDescent="0.3">
      <c r="A47" s="13">
        <v>70</v>
      </c>
      <c r="B47" s="4" t="s">
        <v>192</v>
      </c>
      <c r="C47" s="2"/>
      <c r="D47" s="7">
        <v>45999</v>
      </c>
      <c r="E47" s="3">
        <v>2300</v>
      </c>
      <c r="F47" s="4" t="s">
        <v>30</v>
      </c>
      <c r="G47" s="3">
        <v>19.809999999999999</v>
      </c>
      <c r="H47" s="4" t="s">
        <v>51</v>
      </c>
      <c r="I47" s="4" t="s">
        <v>51</v>
      </c>
      <c r="J47" s="4" t="s">
        <v>79</v>
      </c>
      <c r="K47" s="3">
        <v>155.30000000000001</v>
      </c>
      <c r="L47" s="3">
        <v>50.5</v>
      </c>
      <c r="M47" s="4"/>
      <c r="N47" s="3">
        <v>2300</v>
      </c>
      <c r="O47" s="4" t="s">
        <v>34</v>
      </c>
      <c r="P47" s="4" t="s">
        <v>34</v>
      </c>
      <c r="Q47" s="4" t="s">
        <v>35</v>
      </c>
      <c r="R47" s="3">
        <v>206.673</v>
      </c>
      <c r="S47" s="3">
        <v>38.717700000000001</v>
      </c>
      <c r="T47" s="4" t="s">
        <v>193</v>
      </c>
      <c r="U47" s="2" t="s">
        <v>37</v>
      </c>
      <c r="V47" s="2" t="s">
        <v>37</v>
      </c>
      <c r="W47" s="2" t="s">
        <v>37</v>
      </c>
      <c r="X47" s="2" t="s">
        <v>38</v>
      </c>
      <c r="Y47" s="2" t="s">
        <v>37</v>
      </c>
      <c r="Z47" s="2" t="s">
        <v>37</v>
      </c>
      <c r="AA47" s="6">
        <v>3.361727836</v>
      </c>
      <c r="AB47" s="6">
        <v>2.3152837439999998</v>
      </c>
      <c r="AC47" s="6">
        <v>3.361727836</v>
      </c>
      <c r="AD47" cm="1">
        <f t="array" ref="AD47">IF(SUMPRODUCT(--($AM$2:$AM$112=TRIM(LEFT($B47,IFERROR(FIND(" ",$B47)-1,LEN($B47))))))&gt;0,1,0)</f>
        <v>0</v>
      </c>
      <c r="AE47" cm="1">
        <f t="array" ref="AE47">IF(SUMPRODUCT(--($AO$2:$AO$145=TRIM(LEFT($B47,IFERROR(FIND(" ",$B47)-1,LEN($B47))))))&gt;0,1,0)</f>
        <v>0</v>
      </c>
      <c r="AF47" cm="1">
        <f t="array" ref="AF47">IF(SUMPRODUCT(--($AQ$2:$AQ$71=TRIM(LEFT($B47,IFERROR(FIND(" ",$B47)-1,LEN($B47))))))&gt;0,1,0)</f>
        <v>0</v>
      </c>
      <c r="AL47" t="s">
        <v>2204</v>
      </c>
      <c r="AM47" t="str">
        <f t="shared" si="0"/>
        <v>CCMP</v>
      </c>
      <c r="AN47" t="s">
        <v>2196</v>
      </c>
      <c r="AO47" t="str">
        <f t="shared" si="1"/>
        <v>AAWW</v>
      </c>
      <c r="AP47" t="s">
        <v>2395</v>
      </c>
      <c r="AQ47" t="str">
        <f t="shared" si="2"/>
        <v>ZIXI</v>
      </c>
    </row>
    <row r="48" spans="1:43" ht="45.75" thickBot="1" x14ac:dyDescent="0.3">
      <c r="A48" s="13">
        <v>42</v>
      </c>
      <c r="B48" s="4" t="s">
        <v>194</v>
      </c>
      <c r="C48" s="4" t="s">
        <v>40</v>
      </c>
      <c r="D48" s="7">
        <v>46029</v>
      </c>
      <c r="E48" s="3">
        <v>816.41</v>
      </c>
      <c r="F48" s="4" t="s">
        <v>30</v>
      </c>
      <c r="G48" s="4"/>
      <c r="H48" s="4" t="s">
        <v>41</v>
      </c>
      <c r="I48" s="4" t="s">
        <v>41</v>
      </c>
      <c r="J48" s="4" t="s">
        <v>42</v>
      </c>
      <c r="K48" s="4"/>
      <c r="L48" s="3">
        <v>44</v>
      </c>
      <c r="M48" s="3">
        <v>61.49</v>
      </c>
      <c r="N48" s="3">
        <v>999.02</v>
      </c>
      <c r="O48" s="4" t="s">
        <v>34</v>
      </c>
      <c r="P48" s="4" t="s">
        <v>34</v>
      </c>
      <c r="Q48" s="4" t="s">
        <v>35</v>
      </c>
      <c r="R48" s="2"/>
      <c r="S48" s="2"/>
      <c r="T48" s="4" t="s">
        <v>43</v>
      </c>
      <c r="U48" s="2" t="s">
        <v>37</v>
      </c>
      <c r="V48" s="2" t="s">
        <v>37</v>
      </c>
      <c r="W48" s="2" t="s">
        <v>37</v>
      </c>
      <c r="X48" s="2" t="s">
        <v>37</v>
      </c>
      <c r="Y48" s="2" t="s">
        <v>37</v>
      </c>
      <c r="Z48" s="2" t="s">
        <v>37</v>
      </c>
      <c r="AA48" s="6">
        <v>2.9119083159999999</v>
      </c>
      <c r="AB48" s="2"/>
      <c r="AC48" s="6">
        <v>2.999574183</v>
      </c>
      <c r="AD48" cm="1">
        <f t="array" ref="AD48">IF(SUMPRODUCT(--($AM$2:$AM$112=TRIM(LEFT($B48,IFERROR(FIND(" ",$B48)-1,LEN($B48))))))&gt;0,1,0)</f>
        <v>0</v>
      </c>
      <c r="AE48" cm="1">
        <f t="array" ref="AE48">IF(SUMPRODUCT(--($AO$2:$AO$145=TRIM(LEFT($B48,IFERROR(FIND(" ",$B48)-1,LEN($B48))))))&gt;0,1,0)</f>
        <v>0</v>
      </c>
      <c r="AF48" cm="1">
        <f t="array" ref="AF48">IF(SUMPRODUCT(--($AQ$2:$AQ$71=TRIM(LEFT($B48,IFERROR(FIND(" ",$B48)-1,LEN($B48))))))&gt;0,1,0)</f>
        <v>0</v>
      </c>
      <c r="AL48" t="s">
        <v>2205</v>
      </c>
      <c r="AM48" t="str">
        <f t="shared" si="0"/>
        <v>FLOW</v>
      </c>
      <c r="AN48" t="s">
        <v>2197</v>
      </c>
      <c r="AO48" t="str">
        <f t="shared" si="1"/>
        <v>ZEN</v>
      </c>
      <c r="AP48" t="s">
        <v>2211</v>
      </c>
      <c r="AQ48" t="str">
        <f t="shared" si="2"/>
        <v>KRA</v>
      </c>
    </row>
    <row r="49" spans="1:43" ht="75.75" thickBot="1" x14ac:dyDescent="0.3">
      <c r="A49" s="13">
        <v>32</v>
      </c>
      <c r="B49" s="4" t="s">
        <v>195</v>
      </c>
      <c r="C49" s="4" t="s">
        <v>196</v>
      </c>
      <c r="D49" s="7">
        <v>46042</v>
      </c>
      <c r="E49" s="3">
        <v>1452.48</v>
      </c>
      <c r="F49" s="4" t="s">
        <v>30</v>
      </c>
      <c r="G49" s="4"/>
      <c r="H49" s="4" t="s">
        <v>41</v>
      </c>
      <c r="I49" s="4" t="s">
        <v>41</v>
      </c>
      <c r="J49" s="4" t="s">
        <v>42</v>
      </c>
      <c r="K49" s="4"/>
      <c r="L49" s="3">
        <v>78.400000000000006</v>
      </c>
      <c r="M49" s="3">
        <v>72.03</v>
      </c>
      <c r="N49" s="3">
        <v>1607.23</v>
      </c>
      <c r="O49" s="4" t="s">
        <v>34</v>
      </c>
      <c r="P49" s="4" t="s">
        <v>34</v>
      </c>
      <c r="Q49" s="4" t="s">
        <v>35</v>
      </c>
      <c r="R49" s="2"/>
      <c r="S49" s="2"/>
      <c r="T49" s="4" t="s">
        <v>88</v>
      </c>
      <c r="U49" s="2" t="s">
        <v>37</v>
      </c>
      <c r="V49" s="2" t="s">
        <v>37</v>
      </c>
      <c r="W49" s="2" t="s">
        <v>37</v>
      </c>
      <c r="X49" s="2" t="s">
        <v>37</v>
      </c>
      <c r="Y49" s="2" t="s">
        <v>37</v>
      </c>
      <c r="Z49" s="2" t="s">
        <v>38</v>
      </c>
      <c r="AA49" s="6">
        <v>3.1621101610000002</v>
      </c>
      <c r="AB49" s="2"/>
      <c r="AC49" s="6">
        <v>3.20607803</v>
      </c>
      <c r="AD49" cm="1">
        <f t="array" ref="AD49">IF(SUMPRODUCT(--($AM$2:$AM$112=TRIM(LEFT($B49,IFERROR(FIND(" ",$B49)-1,LEN($B49))))))&gt;0,1,0)</f>
        <v>0</v>
      </c>
      <c r="AE49" cm="1">
        <f t="array" ref="AE49">IF(SUMPRODUCT(--($AO$2:$AO$145=TRIM(LEFT($B49,IFERROR(FIND(" ",$B49)-1,LEN($B49))))))&gt;0,1,0)</f>
        <v>0</v>
      </c>
      <c r="AF49" cm="1">
        <f t="array" ref="AF49">IF(SUMPRODUCT(--($AQ$2:$AQ$71=TRIM(LEFT($B49,IFERROR(FIND(" ",$B49)-1,LEN($B49))))))&gt;0,1,0)</f>
        <v>0</v>
      </c>
      <c r="AL49" t="s">
        <v>2206</v>
      </c>
      <c r="AM49" t="str">
        <f t="shared" si="0"/>
        <v>CONE</v>
      </c>
      <c r="AN49" t="s">
        <v>2198</v>
      </c>
      <c r="AO49" t="str">
        <f t="shared" si="1"/>
        <v>VMW</v>
      </c>
      <c r="AP49" t="s">
        <v>2396</v>
      </c>
      <c r="AQ49" t="str">
        <f t="shared" si="2"/>
        <v>INOV</v>
      </c>
    </row>
    <row r="50" spans="1:43" ht="135.75" thickBot="1" x14ac:dyDescent="0.3">
      <c r="A50" s="13">
        <v>52</v>
      </c>
      <c r="B50" s="4" t="s">
        <v>197</v>
      </c>
      <c r="C50" s="2"/>
      <c r="D50" s="7">
        <v>46014</v>
      </c>
      <c r="E50" s="3">
        <v>633.30999999999995</v>
      </c>
      <c r="F50" s="4" t="s">
        <v>30</v>
      </c>
      <c r="G50" s="3">
        <v>7</v>
      </c>
      <c r="H50" s="4" t="s">
        <v>70</v>
      </c>
      <c r="I50" s="4" t="s">
        <v>94</v>
      </c>
      <c r="J50" s="4" t="s">
        <v>95</v>
      </c>
      <c r="K50" s="3">
        <v>30</v>
      </c>
      <c r="L50" s="3">
        <v>20</v>
      </c>
      <c r="M50" s="3">
        <v>29.65</v>
      </c>
      <c r="N50" s="3">
        <v>394.79</v>
      </c>
      <c r="O50" s="4" t="s">
        <v>49</v>
      </c>
      <c r="P50" s="4" t="s">
        <v>49</v>
      </c>
      <c r="Q50" s="4" t="s">
        <v>35</v>
      </c>
      <c r="R50" s="3">
        <v>1865.24</v>
      </c>
      <c r="S50" s="3">
        <v>2.2240199999999999</v>
      </c>
      <c r="T50" s="4" t="s">
        <v>198</v>
      </c>
      <c r="U50" s="2" t="s">
        <v>37</v>
      </c>
      <c r="V50" s="2" t="s">
        <v>37</v>
      </c>
      <c r="W50" s="2" t="s">
        <v>37</v>
      </c>
      <c r="X50" s="2" t="s">
        <v>38</v>
      </c>
      <c r="Y50" s="2" t="s">
        <v>38</v>
      </c>
      <c r="Z50" s="2" t="s">
        <v>37</v>
      </c>
      <c r="AA50" s="6">
        <v>2.8016163459999999</v>
      </c>
      <c r="AB50" s="6">
        <v>3.2707347200000001</v>
      </c>
      <c r="AC50" s="6">
        <v>2.596366143</v>
      </c>
      <c r="AD50" cm="1">
        <f t="array" ref="AD50">IF(SUMPRODUCT(--($AM$2:$AM$112=TRIM(LEFT($B50,IFERROR(FIND(" ",$B50)-1,LEN($B50))))))&gt;0,1,0)</f>
        <v>0</v>
      </c>
      <c r="AE50" cm="1">
        <f t="array" ref="AE50">IF(SUMPRODUCT(--($AO$2:$AO$145=TRIM(LEFT($B50,IFERROR(FIND(" ",$B50)-1,LEN($B50))))))&gt;0,1,0)</f>
        <v>0</v>
      </c>
      <c r="AF50" cm="1">
        <f t="array" ref="AF50">IF(SUMPRODUCT(--($AQ$2:$AQ$71=TRIM(LEFT($B50,IFERROR(FIND(" ",$B50)-1,LEN($B50))))))&gt;0,1,0)</f>
        <v>0</v>
      </c>
      <c r="AL50" t="s">
        <v>2207</v>
      </c>
      <c r="AM50" t="str">
        <f t="shared" si="0"/>
        <v>MCFE</v>
      </c>
      <c r="AN50" t="s">
        <v>2199</v>
      </c>
      <c r="AO50" t="str">
        <f t="shared" si="1"/>
        <v>CVET</v>
      </c>
      <c r="AP50" t="s">
        <v>2397</v>
      </c>
      <c r="AQ50" t="str">
        <f t="shared" si="2"/>
        <v>GPX</v>
      </c>
    </row>
    <row r="51" spans="1:43" ht="45.75" thickBot="1" x14ac:dyDescent="0.3">
      <c r="A51" s="13">
        <v>91</v>
      </c>
      <c r="B51" s="4" t="s">
        <v>199</v>
      </c>
      <c r="C51" s="4" t="s">
        <v>200</v>
      </c>
      <c r="D51" s="7">
        <v>45956</v>
      </c>
      <c r="E51" s="3">
        <v>8760.43</v>
      </c>
      <c r="F51" s="4" t="s">
        <v>30</v>
      </c>
      <c r="G51" s="4"/>
      <c r="H51" s="4" t="s">
        <v>41</v>
      </c>
      <c r="I51" s="4" t="s">
        <v>41</v>
      </c>
      <c r="J51" s="4" t="s">
        <v>42</v>
      </c>
      <c r="K51" s="4"/>
      <c r="L51" s="3">
        <v>450</v>
      </c>
      <c r="M51" s="3">
        <v>51.71</v>
      </c>
      <c r="N51" s="3">
        <v>9938.44</v>
      </c>
      <c r="O51" s="4" t="s">
        <v>34</v>
      </c>
      <c r="P51" s="4" t="s">
        <v>34</v>
      </c>
      <c r="Q51" s="4" t="s">
        <v>35</v>
      </c>
      <c r="R51" s="3">
        <v>18.754999999999999</v>
      </c>
      <c r="S51" s="3">
        <v>-3977.3</v>
      </c>
      <c r="T51" s="4" t="s">
        <v>43</v>
      </c>
      <c r="U51" s="2" t="s">
        <v>37</v>
      </c>
      <c r="V51" s="2" t="s">
        <v>37</v>
      </c>
      <c r="W51" s="2" t="s">
        <v>37</v>
      </c>
      <c r="X51" s="2" t="s">
        <v>37</v>
      </c>
      <c r="Y51" s="2" t="s">
        <v>37</v>
      </c>
      <c r="Z51" s="2" t="s">
        <v>37</v>
      </c>
      <c r="AA51" s="6">
        <v>3.9425254239999998</v>
      </c>
      <c r="AB51" s="6">
        <v>1.2731170679999999</v>
      </c>
      <c r="AC51" s="6">
        <v>3.9973182199999999</v>
      </c>
      <c r="AD51" cm="1">
        <f t="array" ref="AD51">IF(SUMPRODUCT(--($AM$2:$AM$112=TRIM(LEFT($B51,IFERROR(FIND(" ",$B51)-1,LEN($B51))))))&gt;0,1,0)</f>
        <v>0</v>
      </c>
      <c r="AE51" cm="1">
        <f t="array" ref="AE51">IF(SUMPRODUCT(--($AO$2:$AO$145=TRIM(LEFT($B51,IFERROR(FIND(" ",$B51)-1,LEN($B51))))))&gt;0,1,0)</f>
        <v>0</v>
      </c>
      <c r="AF51" cm="1">
        <f t="array" ref="AF51">IF(SUMPRODUCT(--($AQ$2:$AQ$71=TRIM(LEFT($B51,IFERROR(FIND(" ",$B51)-1,LEN($B51))))))&gt;0,1,0)</f>
        <v>0</v>
      </c>
      <c r="AL51" t="s">
        <v>2208</v>
      </c>
      <c r="AM51" t="str">
        <f t="shared" si="0"/>
        <v>NPTN</v>
      </c>
      <c r="AN51" t="s">
        <v>2298</v>
      </c>
      <c r="AO51" t="str">
        <f t="shared" si="1"/>
        <v>NTUS</v>
      </c>
      <c r="AP51" t="s">
        <v>2398</v>
      </c>
      <c r="AQ51" t="str">
        <f t="shared" si="2"/>
        <v>CVA</v>
      </c>
    </row>
    <row r="52" spans="1:43" ht="60.75" thickBot="1" x14ac:dyDescent="0.3">
      <c r="A52" s="13">
        <v>83</v>
      </c>
      <c r="B52" s="4" t="s">
        <v>201</v>
      </c>
      <c r="C52" s="4" t="s">
        <v>202</v>
      </c>
      <c r="D52" s="7">
        <v>45967</v>
      </c>
      <c r="E52" s="3">
        <v>612.05999999999995</v>
      </c>
      <c r="F52" s="4" t="s">
        <v>30</v>
      </c>
      <c r="G52" s="4"/>
      <c r="H52" s="4" t="s">
        <v>65</v>
      </c>
      <c r="I52" s="4" t="s">
        <v>138</v>
      </c>
      <c r="J52" s="4" t="s">
        <v>203</v>
      </c>
      <c r="K52" s="4"/>
      <c r="L52" s="4"/>
      <c r="M52" s="3">
        <v>136.66999999999999</v>
      </c>
      <c r="N52" s="3">
        <v>612.05999999999995</v>
      </c>
      <c r="O52" s="4" t="s">
        <v>34</v>
      </c>
      <c r="P52" s="4" t="s">
        <v>34</v>
      </c>
      <c r="Q52" s="4" t="s">
        <v>35</v>
      </c>
      <c r="R52" s="3">
        <v>79.328999999999994</v>
      </c>
      <c r="S52" s="3">
        <v>-73.803899999999999</v>
      </c>
      <c r="T52" s="4" t="s">
        <v>43</v>
      </c>
      <c r="U52" s="2" t="s">
        <v>37</v>
      </c>
      <c r="V52" s="2" t="s">
        <v>37</v>
      </c>
      <c r="W52" s="2" t="s">
        <v>37</v>
      </c>
      <c r="X52" s="2" t="s">
        <v>37</v>
      </c>
      <c r="Y52" s="2" t="s">
        <v>37</v>
      </c>
      <c r="Z52" s="2" t="s">
        <v>37</v>
      </c>
      <c r="AA52" s="6">
        <v>2.7867939979999998</v>
      </c>
      <c r="AB52" s="6">
        <v>1.8994319799999999</v>
      </c>
      <c r="AC52" s="6">
        <v>2.7867939979999998</v>
      </c>
      <c r="AD52" cm="1">
        <f t="array" ref="AD52">IF(SUMPRODUCT(--($AM$2:$AM$112=TRIM(LEFT($B52,IFERROR(FIND(" ",$B52)-1,LEN($B52))))))&gt;0,1,0)</f>
        <v>0</v>
      </c>
      <c r="AE52" cm="1">
        <f t="array" ref="AE52">IF(SUMPRODUCT(--($AO$2:$AO$145=TRIM(LEFT($B52,IFERROR(FIND(" ",$B52)-1,LEN($B52))))))&gt;0,1,0)</f>
        <v>0</v>
      </c>
      <c r="AF52" cm="1">
        <f t="array" ref="AF52">IF(SUMPRODUCT(--($AQ$2:$AQ$71=TRIM(LEFT($B52,IFERROR(FIND(" ",$B52)-1,LEN($B52))))))&gt;0,1,0)</f>
        <v>0</v>
      </c>
      <c r="AL52" t="s">
        <v>2209</v>
      </c>
      <c r="AM52" t="str">
        <f t="shared" si="0"/>
        <v>RRD</v>
      </c>
      <c r="AN52" t="s">
        <v>2299</v>
      </c>
      <c r="AO52" t="str">
        <f t="shared" si="1"/>
        <v>NLSN</v>
      </c>
      <c r="AP52" t="s">
        <v>2399</v>
      </c>
      <c r="AQ52" t="str">
        <f t="shared" si="2"/>
        <v>RAVN</v>
      </c>
    </row>
    <row r="53" spans="1:43" ht="75.75" thickBot="1" x14ac:dyDescent="0.3">
      <c r="A53" s="13">
        <v>130</v>
      </c>
      <c r="B53" s="4" t="s">
        <v>204</v>
      </c>
      <c r="C53" s="4" t="s">
        <v>205</v>
      </c>
      <c r="D53" s="7">
        <v>45896</v>
      </c>
      <c r="E53" s="3">
        <v>3443.94</v>
      </c>
      <c r="F53" s="4" t="s">
        <v>30</v>
      </c>
      <c r="G53" s="4"/>
      <c r="H53" s="4" t="s">
        <v>65</v>
      </c>
      <c r="I53" s="4" t="s">
        <v>206</v>
      </c>
      <c r="J53" s="4" t="s">
        <v>206</v>
      </c>
      <c r="K53" s="4"/>
      <c r="L53" s="4"/>
      <c r="M53" s="3">
        <v>22.92</v>
      </c>
      <c r="N53" s="3">
        <v>3443.94</v>
      </c>
      <c r="O53" s="4" t="s">
        <v>207</v>
      </c>
      <c r="P53" s="4" t="s">
        <v>96</v>
      </c>
      <c r="Q53" s="4" t="s">
        <v>35</v>
      </c>
      <c r="R53" s="3">
        <v>3219.6</v>
      </c>
      <c r="S53" s="2"/>
      <c r="T53" s="4" t="s">
        <v>104</v>
      </c>
      <c r="U53" s="2" t="s">
        <v>37</v>
      </c>
      <c r="V53" s="2" t="s">
        <v>37</v>
      </c>
      <c r="W53" s="2" t="s">
        <v>38</v>
      </c>
      <c r="X53" s="2" t="s">
        <v>37</v>
      </c>
      <c r="Y53" s="2" t="s">
        <v>37</v>
      </c>
      <c r="Z53" s="2" t="s">
        <v>37</v>
      </c>
      <c r="AA53" s="6">
        <v>3.5370555769999998</v>
      </c>
      <c r="AB53" s="6">
        <v>3.5078019189999998</v>
      </c>
      <c r="AC53" s="6">
        <v>3.5370555769999998</v>
      </c>
      <c r="AD53" cm="1">
        <f t="array" ref="AD53">IF(SUMPRODUCT(--($AM$2:$AM$112=TRIM(LEFT($B53,IFERROR(FIND(" ",$B53)-1,LEN($B53))))))&gt;0,1,0)</f>
        <v>0</v>
      </c>
      <c r="AE53" cm="1">
        <f t="array" ref="AE53">IF(SUMPRODUCT(--($AO$2:$AO$145=TRIM(LEFT($B53,IFERROR(FIND(" ",$B53)-1,LEN($B53))))))&gt;0,1,0)</f>
        <v>1</v>
      </c>
      <c r="AF53" cm="1">
        <f t="array" ref="AF53">IF(SUMPRODUCT(--($AQ$2:$AQ$71=TRIM(LEFT($B53,IFERROR(FIND(" ",$B53)-1,LEN($B53))))))&gt;0,1,0)</f>
        <v>0</v>
      </c>
      <c r="AL53" t="s">
        <v>2210</v>
      </c>
      <c r="AM53" t="str">
        <f t="shared" si="0"/>
        <v>ROG</v>
      </c>
      <c r="AN53" t="s">
        <v>2200</v>
      </c>
      <c r="AO53" t="str">
        <f t="shared" si="1"/>
        <v>POLY</v>
      </c>
      <c r="AP53" t="s">
        <v>2400</v>
      </c>
      <c r="AQ53" t="str">
        <f t="shared" si="2"/>
        <v>MIC</v>
      </c>
    </row>
    <row r="54" spans="1:43" ht="45.75" thickBot="1" x14ac:dyDescent="0.3">
      <c r="A54" s="13">
        <v>84</v>
      </c>
      <c r="B54" s="4" t="s">
        <v>208</v>
      </c>
      <c r="C54" s="4" t="s">
        <v>209</v>
      </c>
      <c r="D54" s="7">
        <v>45953</v>
      </c>
      <c r="E54" s="3">
        <v>863.37</v>
      </c>
      <c r="F54" s="4" t="s">
        <v>46</v>
      </c>
      <c r="G54" s="4"/>
      <c r="H54" s="4" t="s">
        <v>65</v>
      </c>
      <c r="I54" s="4" t="s">
        <v>66</v>
      </c>
      <c r="J54" s="4" t="s">
        <v>66</v>
      </c>
      <c r="K54" s="4"/>
      <c r="L54" s="4"/>
      <c r="M54" s="3">
        <v>46.19</v>
      </c>
      <c r="N54" s="3">
        <v>863.37</v>
      </c>
      <c r="O54" s="4" t="s">
        <v>34</v>
      </c>
      <c r="P54" s="4" t="s">
        <v>34</v>
      </c>
      <c r="Q54" s="4" t="s">
        <v>35</v>
      </c>
      <c r="R54" s="3">
        <v>206.02699999999999</v>
      </c>
      <c r="S54" s="3">
        <v>31.306899999999999</v>
      </c>
      <c r="T54" s="4" t="s">
        <v>43</v>
      </c>
      <c r="U54" s="2" t="s">
        <v>37</v>
      </c>
      <c r="V54" s="2" t="s">
        <v>37</v>
      </c>
      <c r="W54" s="2" t="s">
        <v>37</v>
      </c>
      <c r="X54" s="2" t="s">
        <v>37</v>
      </c>
      <c r="Y54" s="2" t="s">
        <v>37</v>
      </c>
      <c r="Z54" s="2" t="s">
        <v>37</v>
      </c>
      <c r="AA54" s="6">
        <v>2.9361969540000001</v>
      </c>
      <c r="AB54" s="6">
        <v>2.313924139</v>
      </c>
      <c r="AC54" s="6">
        <v>2.9361969540000001</v>
      </c>
      <c r="AD54" cm="1">
        <f t="array" ref="AD54">IF(SUMPRODUCT(--($AM$2:$AM$112=TRIM(LEFT($B54,IFERROR(FIND(" ",$B54)-1,LEN($B54))))))&gt;0,1,0)</f>
        <v>0</v>
      </c>
      <c r="AE54" cm="1">
        <f t="array" ref="AE54">IF(SUMPRODUCT(--($AO$2:$AO$145=TRIM(LEFT($B54,IFERROR(FIND(" ",$B54)-1,LEN($B54))))))&gt;0,1,0)</f>
        <v>0</v>
      </c>
      <c r="AF54" cm="1">
        <f t="array" ref="AF54">IF(SUMPRODUCT(--($AQ$2:$AQ$71=TRIM(LEFT($B54,IFERROR(FIND(" ",$B54)-1,LEN($B54))))))&gt;0,1,0)</f>
        <v>0</v>
      </c>
      <c r="AL54" t="s">
        <v>2211</v>
      </c>
      <c r="AM54" t="str">
        <f t="shared" si="0"/>
        <v>KRA</v>
      </c>
      <c r="AN54" t="s">
        <v>2300</v>
      </c>
      <c r="AO54" t="str">
        <f t="shared" si="1"/>
        <v>Y</v>
      </c>
      <c r="AP54" t="s">
        <v>2401</v>
      </c>
      <c r="AQ54" t="str">
        <f t="shared" si="2"/>
        <v>KSU</v>
      </c>
    </row>
    <row r="55" spans="1:43" ht="45.75" thickBot="1" x14ac:dyDescent="0.3">
      <c r="A55" s="13">
        <v>81</v>
      </c>
      <c r="B55" s="4" t="s">
        <v>210</v>
      </c>
      <c r="C55" s="4" t="s">
        <v>211</v>
      </c>
      <c r="D55" s="7">
        <v>45958</v>
      </c>
      <c r="E55" s="3">
        <v>705.33</v>
      </c>
      <c r="F55" s="4" t="s">
        <v>46</v>
      </c>
      <c r="G55" s="3">
        <v>8.1199999999999992</v>
      </c>
      <c r="H55" s="4" t="s">
        <v>47</v>
      </c>
      <c r="I55" s="4" t="s">
        <v>47</v>
      </c>
      <c r="J55" s="4" t="s">
        <v>212</v>
      </c>
      <c r="K55" s="3">
        <v>15</v>
      </c>
      <c r="L55" s="3">
        <v>15</v>
      </c>
      <c r="M55" s="3">
        <v>36.32</v>
      </c>
      <c r="N55" s="3">
        <v>442.82</v>
      </c>
      <c r="O55" s="4" t="s">
        <v>34</v>
      </c>
      <c r="P55" s="4" t="s">
        <v>34</v>
      </c>
      <c r="Q55" s="4" t="s">
        <v>35</v>
      </c>
      <c r="R55" s="3">
        <v>1941.67</v>
      </c>
      <c r="S55" s="3">
        <v>1.8659600000000001</v>
      </c>
      <c r="T55" s="4" t="s">
        <v>43</v>
      </c>
      <c r="U55" s="2" t="s">
        <v>37</v>
      </c>
      <c r="V55" s="2" t="s">
        <v>37</v>
      </c>
      <c r="W55" s="2" t="s">
        <v>37</v>
      </c>
      <c r="X55" s="2" t="s">
        <v>37</v>
      </c>
      <c r="Y55" s="2" t="s">
        <v>37</v>
      </c>
      <c r="Z55" s="2" t="s">
        <v>37</v>
      </c>
      <c r="AA55" s="6">
        <v>2.8483923560000002</v>
      </c>
      <c r="AB55" s="6">
        <v>3.288175421</v>
      </c>
      <c r="AC55" s="6">
        <v>2.6462272279999999</v>
      </c>
      <c r="AD55" cm="1">
        <f t="array" ref="AD55">IF(SUMPRODUCT(--($AM$2:$AM$112=TRIM(LEFT($B55,IFERROR(FIND(" ",$B55)-1,LEN($B55))))))&gt;0,1,0)</f>
        <v>0</v>
      </c>
      <c r="AE55" cm="1">
        <f t="array" ref="AE55">IF(SUMPRODUCT(--($AO$2:$AO$145=TRIM(LEFT($B55,IFERROR(FIND(" ",$B55)-1,LEN($B55))))))&gt;0,1,0)</f>
        <v>0</v>
      </c>
      <c r="AF55" cm="1">
        <f t="array" ref="AF55">IF(SUMPRODUCT(--($AQ$2:$AQ$71=TRIM(LEFT($B55,IFERROR(FIND(" ",$B55)-1,LEN($B55))))))&gt;0,1,0)</f>
        <v>0</v>
      </c>
      <c r="AL55" t="s">
        <v>2212</v>
      </c>
      <c r="AM55" t="str">
        <f t="shared" si="0"/>
        <v>HRC</v>
      </c>
      <c r="AN55" t="s">
        <v>2301</v>
      </c>
      <c r="AO55" t="str">
        <f t="shared" si="1"/>
        <v>REGI</v>
      </c>
      <c r="AP55" t="s">
        <v>2402</v>
      </c>
      <c r="AQ55" t="str">
        <f t="shared" si="2"/>
        <v>LMNX</v>
      </c>
    </row>
    <row r="56" spans="1:43" ht="90.75" thickBot="1" x14ac:dyDescent="0.3">
      <c r="A56" s="13">
        <v>83</v>
      </c>
      <c r="B56" s="4" t="s">
        <v>213</v>
      </c>
      <c r="C56" s="4" t="s">
        <v>214</v>
      </c>
      <c r="D56" s="7">
        <v>45952</v>
      </c>
      <c r="E56" s="3">
        <v>2039.05</v>
      </c>
      <c r="F56" s="4" t="s">
        <v>30</v>
      </c>
      <c r="G56" s="4"/>
      <c r="H56" s="4" t="s">
        <v>41</v>
      </c>
      <c r="I56" s="4" t="s">
        <v>41</v>
      </c>
      <c r="J56" s="4" t="s">
        <v>42</v>
      </c>
      <c r="K56" s="4"/>
      <c r="L56" s="4"/>
      <c r="M56" s="3">
        <v>9.3800000000000008</v>
      </c>
      <c r="N56" s="3">
        <v>2039.05</v>
      </c>
      <c r="O56" s="4" t="s">
        <v>34</v>
      </c>
      <c r="P56" s="4" t="s">
        <v>34</v>
      </c>
      <c r="Q56" s="4" t="s">
        <v>35</v>
      </c>
      <c r="R56" s="3">
        <v>169.11699999999999</v>
      </c>
      <c r="S56" s="3">
        <v>1.82</v>
      </c>
      <c r="T56" s="4" t="s">
        <v>215</v>
      </c>
      <c r="U56" s="2" t="s">
        <v>37</v>
      </c>
      <c r="V56" s="2" t="s">
        <v>38</v>
      </c>
      <c r="W56" s="2" t="s">
        <v>37</v>
      </c>
      <c r="X56" s="2" t="s">
        <v>37</v>
      </c>
      <c r="Y56" s="2" t="s">
        <v>37</v>
      </c>
      <c r="Z56" s="2" t="s">
        <v>37</v>
      </c>
      <c r="AA56" s="6">
        <v>3.3094278749999999</v>
      </c>
      <c r="AB56" s="6">
        <v>2.2281872659999999</v>
      </c>
      <c r="AC56" s="6">
        <v>3.3094278749999999</v>
      </c>
      <c r="AD56" cm="1">
        <f t="array" ref="AD56">IF(SUMPRODUCT(--($AM$2:$AM$112=TRIM(LEFT($B56,IFERROR(FIND(" ",$B56)-1,LEN($B56))))))&gt;0,1,0)</f>
        <v>0</v>
      </c>
      <c r="AE56" cm="1">
        <f t="array" ref="AE56">IF(SUMPRODUCT(--($AO$2:$AO$145=TRIM(LEFT($B56,IFERROR(FIND(" ",$B56)-1,LEN($B56))))))&gt;0,1,0)</f>
        <v>0</v>
      </c>
      <c r="AF56" cm="1">
        <f t="array" ref="AF56">IF(SUMPRODUCT(--($AQ$2:$AQ$71=TRIM(LEFT($B56,IFERROR(FIND(" ",$B56)-1,LEN($B56))))))&gt;0,1,0)</f>
        <v>0</v>
      </c>
      <c r="AL56" t="s">
        <v>2213</v>
      </c>
      <c r="AM56" t="str">
        <f t="shared" si="0"/>
        <v>SAFM</v>
      </c>
      <c r="AN56" t="s">
        <v>2201</v>
      </c>
      <c r="AO56" t="str">
        <f t="shared" si="1"/>
        <v>TEN</v>
      </c>
      <c r="AP56" t="s">
        <v>2403</v>
      </c>
      <c r="AQ56" t="str">
        <f t="shared" si="2"/>
        <v>ORBC</v>
      </c>
    </row>
    <row r="57" spans="1:43" ht="45.75" thickBot="1" x14ac:dyDescent="0.3">
      <c r="A57" s="13">
        <v>142</v>
      </c>
      <c r="B57" s="4" t="s">
        <v>216</v>
      </c>
      <c r="C57" s="4" t="s">
        <v>217</v>
      </c>
      <c r="D57" s="7">
        <v>45868</v>
      </c>
      <c r="E57" s="3">
        <v>22963.38</v>
      </c>
      <c r="F57" s="4" t="s">
        <v>107</v>
      </c>
      <c r="G57" s="4"/>
      <c r="H57" s="4" t="s">
        <v>31</v>
      </c>
      <c r="I57" s="4" t="s">
        <v>32</v>
      </c>
      <c r="J57" s="4" t="s">
        <v>33</v>
      </c>
      <c r="K57" s="3">
        <v>1000</v>
      </c>
      <c r="L57" s="3">
        <v>750</v>
      </c>
      <c r="M57" s="3">
        <v>23.94</v>
      </c>
      <c r="N57" s="3">
        <v>23739.49</v>
      </c>
      <c r="O57" s="4" t="s">
        <v>34</v>
      </c>
      <c r="P57" s="4" t="s">
        <v>34</v>
      </c>
      <c r="Q57" s="4" t="s">
        <v>35</v>
      </c>
      <c r="R57" s="3">
        <v>1361.12</v>
      </c>
      <c r="S57" s="3">
        <v>-9.6366399999999999</v>
      </c>
      <c r="T57" s="4" t="s">
        <v>43</v>
      </c>
      <c r="U57" s="2" t="s">
        <v>37</v>
      </c>
      <c r="V57" s="2" t="s">
        <v>37</v>
      </c>
      <c r="W57" s="2" t="s">
        <v>37</v>
      </c>
      <c r="X57" s="2" t="s">
        <v>37</v>
      </c>
      <c r="Y57" s="2" t="s">
        <v>37</v>
      </c>
      <c r="Z57" s="2" t="s">
        <v>37</v>
      </c>
      <c r="AA57" s="6">
        <v>4.361035813</v>
      </c>
      <c r="AB57" s="6">
        <v>3.1338964150000002</v>
      </c>
      <c r="AC57" s="6">
        <v>4.375471385</v>
      </c>
      <c r="AD57" cm="1">
        <f t="array" ref="AD57">IF(SUMPRODUCT(--($AM$2:$AM$112=TRIM(LEFT($B57,IFERROR(FIND(" ",$B57)-1,LEN($B57))))))&gt;0,1,0)</f>
        <v>0</v>
      </c>
      <c r="AE57" cm="1">
        <f t="array" ref="AE57">IF(SUMPRODUCT(--($AO$2:$AO$145=TRIM(LEFT($B57,IFERROR(FIND(" ",$B57)-1,LEN($B57))))))&gt;0,1,0)</f>
        <v>0</v>
      </c>
      <c r="AF57" cm="1">
        <f t="array" ref="AF57">IF(SUMPRODUCT(--($AQ$2:$AQ$71=TRIM(LEFT($B57,IFERROR(FIND(" ",$B57)-1,LEN($B57))))))&gt;0,1,0)</f>
        <v>0</v>
      </c>
      <c r="AL57" t="s">
        <v>2214</v>
      </c>
      <c r="AM57" t="str">
        <f t="shared" si="0"/>
        <v>VNE</v>
      </c>
      <c r="AN57" t="s">
        <v>2202</v>
      </c>
      <c r="AO57" t="str">
        <f t="shared" si="1"/>
        <v>MTOR</v>
      </c>
      <c r="AP57" t="s">
        <v>2220</v>
      </c>
      <c r="AQ57" t="str">
        <f t="shared" si="2"/>
        <v>MX</v>
      </c>
    </row>
    <row r="58" spans="1:43" ht="135.75" thickBot="1" x14ac:dyDescent="0.3">
      <c r="A58" s="13">
        <v>68</v>
      </c>
      <c r="B58" s="4" t="s">
        <v>218</v>
      </c>
      <c r="C58" s="4" t="s">
        <v>219</v>
      </c>
      <c r="D58" s="7">
        <v>45971</v>
      </c>
      <c r="E58" s="3">
        <v>2766.55</v>
      </c>
      <c r="F58" s="4" t="s">
        <v>30</v>
      </c>
      <c r="G58" s="3">
        <v>9.33</v>
      </c>
      <c r="H58" s="4" t="s">
        <v>127</v>
      </c>
      <c r="I58" s="4" t="s">
        <v>128</v>
      </c>
      <c r="J58" s="4" t="s">
        <v>129</v>
      </c>
      <c r="K58" s="4"/>
      <c r="L58" s="4"/>
      <c r="M58" s="3">
        <v>18.55</v>
      </c>
      <c r="N58" s="3">
        <v>1136.25</v>
      </c>
      <c r="O58" s="4" t="s">
        <v>34</v>
      </c>
      <c r="P58" s="4" t="s">
        <v>56</v>
      </c>
      <c r="Q58" s="4" t="s">
        <v>35</v>
      </c>
      <c r="R58" s="3">
        <v>3354</v>
      </c>
      <c r="S58" s="3">
        <v>-4.5503600000000004</v>
      </c>
      <c r="T58" s="4" t="s">
        <v>220</v>
      </c>
      <c r="U58" s="2" t="s">
        <v>37</v>
      </c>
      <c r="V58" s="2" t="s">
        <v>37</v>
      </c>
      <c r="W58" s="2" t="s">
        <v>37</v>
      </c>
      <c r="X58" s="2" t="s">
        <v>38</v>
      </c>
      <c r="Y58" s="2" t="s">
        <v>38</v>
      </c>
      <c r="Z58" s="2" t="s">
        <v>37</v>
      </c>
      <c r="AA58" s="6">
        <v>3.4419385240000002</v>
      </c>
      <c r="AB58" s="6">
        <v>3.5255630579999999</v>
      </c>
      <c r="AC58" s="6">
        <v>3.0554738960000001</v>
      </c>
      <c r="AD58" cm="1">
        <f t="array" ref="AD58">IF(SUMPRODUCT(--($AM$2:$AM$112=TRIM(LEFT($B58,IFERROR(FIND(" ",$B58)-1,LEN($B58))))))&gt;0,1,0)</f>
        <v>0</v>
      </c>
      <c r="AE58" cm="1">
        <f t="array" ref="AE58">IF(SUMPRODUCT(--($AO$2:$AO$145=TRIM(LEFT($B58,IFERROR(FIND(" ",$B58)-1,LEN($B58))))))&gt;0,1,0)</f>
        <v>0</v>
      </c>
      <c r="AF58" cm="1">
        <f t="array" ref="AF58">IF(SUMPRODUCT(--($AQ$2:$AQ$71=TRIM(LEFT($B58,IFERROR(FIND(" ",$B58)-1,LEN($B58))))))&gt;0,1,0)</f>
        <v>0</v>
      </c>
      <c r="AL58" t="s">
        <v>2215</v>
      </c>
      <c r="AM58" t="str">
        <f t="shared" si="0"/>
        <v>ATC</v>
      </c>
      <c r="AN58" t="s">
        <v>2302</v>
      </c>
      <c r="AO58" t="str">
        <f t="shared" si="1"/>
        <v>CTXS</v>
      </c>
      <c r="AP58" t="s">
        <v>2404</v>
      </c>
      <c r="AQ58" t="str">
        <f t="shared" si="2"/>
        <v>PROS</v>
      </c>
    </row>
    <row r="59" spans="1:43" ht="75.75" thickBot="1" x14ac:dyDescent="0.3">
      <c r="A59" s="13">
        <v>36</v>
      </c>
      <c r="B59" s="4" t="s">
        <v>221</v>
      </c>
      <c r="C59" s="4" t="s">
        <v>222</v>
      </c>
      <c r="D59" s="7">
        <v>46015</v>
      </c>
      <c r="E59" s="3">
        <v>1820.13</v>
      </c>
      <c r="F59" s="4" t="s">
        <v>30</v>
      </c>
      <c r="G59" s="3">
        <v>293.24</v>
      </c>
      <c r="H59" s="4" t="s">
        <v>41</v>
      </c>
      <c r="I59" s="4" t="s">
        <v>41</v>
      </c>
      <c r="J59" s="4" t="s">
        <v>42</v>
      </c>
      <c r="K59" s="3">
        <v>116.774</v>
      </c>
      <c r="L59" s="3">
        <v>77.849500000000006</v>
      </c>
      <c r="M59" s="3">
        <v>41.2</v>
      </c>
      <c r="N59" s="3">
        <v>1820.13</v>
      </c>
      <c r="O59" s="4" t="s">
        <v>34</v>
      </c>
      <c r="P59" s="4" t="s">
        <v>34</v>
      </c>
      <c r="Q59" s="4" t="s">
        <v>35</v>
      </c>
      <c r="R59" s="3">
        <v>277.24599999999998</v>
      </c>
      <c r="S59" s="3">
        <v>3.1581100000000002</v>
      </c>
      <c r="T59" s="4" t="s">
        <v>88</v>
      </c>
      <c r="U59" s="2" t="s">
        <v>37</v>
      </c>
      <c r="V59" s="2" t="s">
        <v>37</v>
      </c>
      <c r="W59" s="2" t="s">
        <v>37</v>
      </c>
      <c r="X59" s="2" t="s">
        <v>37</v>
      </c>
      <c r="Y59" s="2" t="s">
        <v>37</v>
      </c>
      <c r="Z59" s="2" t="s">
        <v>38</v>
      </c>
      <c r="AA59" s="6">
        <v>3.2601024079999998</v>
      </c>
      <c r="AB59" s="6">
        <v>2.4428652890000002</v>
      </c>
      <c r="AC59" s="6">
        <v>3.2601024079999998</v>
      </c>
      <c r="AD59" cm="1">
        <f t="array" ref="AD59">IF(SUMPRODUCT(--($AM$2:$AM$112=TRIM(LEFT($B59,IFERROR(FIND(" ",$B59)-1,LEN($B59))))))&gt;0,1,0)</f>
        <v>0</v>
      </c>
      <c r="AE59" cm="1">
        <f t="array" ref="AE59">IF(SUMPRODUCT(--($AO$2:$AO$145=TRIM(LEFT($B59,IFERROR(FIND(" ",$B59)-1,LEN($B59))))))&gt;0,1,0)</f>
        <v>0</v>
      </c>
      <c r="AF59" cm="1">
        <f t="array" ref="AF59">IF(SUMPRODUCT(--($AQ$2:$AQ$71=TRIM(LEFT($B59,IFERROR(FIND(" ",$B59)-1,LEN($B59))))))&gt;0,1,0)</f>
        <v>0</v>
      </c>
      <c r="AL59" t="s">
        <v>2216</v>
      </c>
      <c r="AM59" t="str">
        <f t="shared" si="0"/>
        <v>CLDR</v>
      </c>
      <c r="AN59" t="s">
        <v>2203</v>
      </c>
      <c r="AO59" t="str">
        <f t="shared" si="1"/>
        <v>ATVI</v>
      </c>
      <c r="AP59" t="s">
        <v>2405</v>
      </c>
      <c r="AQ59" t="str">
        <f t="shared" si="2"/>
        <v>BEAT</v>
      </c>
    </row>
    <row r="60" spans="1:43" ht="135.75" thickBot="1" x14ac:dyDescent="0.3">
      <c r="A60" s="13">
        <v>85</v>
      </c>
      <c r="B60" s="4" t="s">
        <v>223</v>
      </c>
      <c r="C60" s="4" t="s">
        <v>224</v>
      </c>
      <c r="D60" s="7">
        <v>45945</v>
      </c>
      <c r="E60" s="3">
        <v>3866.33</v>
      </c>
      <c r="F60" s="4" t="s">
        <v>30</v>
      </c>
      <c r="G60" s="3">
        <v>14.51</v>
      </c>
      <c r="H60" s="4" t="s">
        <v>70</v>
      </c>
      <c r="I60" s="4" t="s">
        <v>71</v>
      </c>
      <c r="J60" s="4" t="s">
        <v>72</v>
      </c>
      <c r="K60" s="3">
        <v>138</v>
      </c>
      <c r="L60" s="3">
        <v>69</v>
      </c>
      <c r="M60" s="3">
        <v>24.75</v>
      </c>
      <c r="N60" s="3">
        <v>2255.4299999999998</v>
      </c>
      <c r="O60" s="4" t="s">
        <v>34</v>
      </c>
      <c r="P60" s="4" t="s">
        <v>34</v>
      </c>
      <c r="Q60" s="4" t="s">
        <v>35</v>
      </c>
      <c r="R60" s="3">
        <v>2673.8</v>
      </c>
      <c r="S60" s="3">
        <v>2.3837000000000002</v>
      </c>
      <c r="T60" s="4" t="s">
        <v>225</v>
      </c>
      <c r="U60" s="2" t="s">
        <v>37</v>
      </c>
      <c r="V60" s="2" t="s">
        <v>37</v>
      </c>
      <c r="W60" s="2" t="s">
        <v>37</v>
      </c>
      <c r="X60" s="2" t="s">
        <v>38</v>
      </c>
      <c r="Y60" s="2" t="s">
        <v>38</v>
      </c>
      <c r="Z60" s="2" t="s">
        <v>37</v>
      </c>
      <c r="AA60" s="6">
        <v>3.5872989190000002</v>
      </c>
      <c r="AB60" s="6">
        <v>3.4271289189999998</v>
      </c>
      <c r="AC60" s="6">
        <v>3.3532293530000001</v>
      </c>
      <c r="AD60" cm="1">
        <f t="array" ref="AD60">IF(SUMPRODUCT(--($AM$2:$AM$112=TRIM(LEFT($B60,IFERROR(FIND(" ",$B60)-1,LEN($B60))))))&gt;0,1,0)</f>
        <v>1</v>
      </c>
      <c r="AE60" cm="1">
        <f t="array" ref="AE60">IF(SUMPRODUCT(--($AO$2:$AO$145=TRIM(LEFT($B60,IFERROR(FIND(" ",$B60)-1,LEN($B60))))))&gt;0,1,0)</f>
        <v>1</v>
      </c>
      <c r="AF60" cm="1">
        <f t="array" ref="AF60">IF(SUMPRODUCT(--($AQ$2:$AQ$71=TRIM(LEFT($B60,IFERROR(FIND(" ",$B60)-1,LEN($B60))))))&gt;0,1,0)</f>
        <v>1</v>
      </c>
      <c r="AL60" t="s">
        <v>2217</v>
      </c>
      <c r="AM60" t="str">
        <f t="shared" si="0"/>
        <v>UFS</v>
      </c>
      <c r="AN60" t="s">
        <v>2303</v>
      </c>
      <c r="AO60" t="str">
        <f t="shared" si="1"/>
        <v>CERN</v>
      </c>
      <c r="AP60" t="s">
        <v>2406</v>
      </c>
      <c r="AQ60" t="str">
        <f t="shared" si="2"/>
        <v>TCP</v>
      </c>
    </row>
    <row r="61" spans="1:43" ht="150.75" thickBot="1" x14ac:dyDescent="0.3">
      <c r="A61" s="13">
        <v>68</v>
      </c>
      <c r="B61" s="4" t="s">
        <v>226</v>
      </c>
      <c r="C61" s="4" t="s">
        <v>227</v>
      </c>
      <c r="D61" s="7">
        <v>45965</v>
      </c>
      <c r="E61" s="3">
        <v>2512.3200000000002</v>
      </c>
      <c r="F61" s="4" t="s">
        <v>69</v>
      </c>
      <c r="G61" s="3">
        <v>6.64</v>
      </c>
      <c r="H61" s="4" t="s">
        <v>118</v>
      </c>
      <c r="I61" s="4" t="s">
        <v>119</v>
      </c>
      <c r="J61" s="4" t="s">
        <v>120</v>
      </c>
      <c r="K61" s="4"/>
      <c r="L61" s="4"/>
      <c r="M61" s="3">
        <v>11</v>
      </c>
      <c r="N61" s="3">
        <v>2238.7399999999998</v>
      </c>
      <c r="O61" s="4" t="s">
        <v>49</v>
      </c>
      <c r="P61" s="4" t="s">
        <v>34</v>
      </c>
      <c r="Q61" s="4" t="s">
        <v>35</v>
      </c>
      <c r="R61" s="3">
        <v>810.798</v>
      </c>
      <c r="S61" s="3">
        <v>33.142499999999998</v>
      </c>
      <c r="T61" s="4" t="s">
        <v>228</v>
      </c>
      <c r="U61" s="2" t="s">
        <v>38</v>
      </c>
      <c r="V61" s="2" t="s">
        <v>37</v>
      </c>
      <c r="W61" s="2" t="s">
        <v>38</v>
      </c>
      <c r="X61" s="2" t="s">
        <v>37</v>
      </c>
      <c r="Y61" s="2" t="s">
        <v>37</v>
      </c>
      <c r="Z61" s="2" t="s">
        <v>37</v>
      </c>
      <c r="AA61" s="6">
        <v>3.4000749560000001</v>
      </c>
      <c r="AB61" s="6">
        <v>2.9089126689999998</v>
      </c>
      <c r="AC61" s="6">
        <v>3.350003659</v>
      </c>
      <c r="AD61" cm="1">
        <f t="array" ref="AD61">IF(SUMPRODUCT(--($AM$2:$AM$112=TRIM(LEFT($B61,IFERROR(FIND(" ",$B61)-1,LEN($B61))))))&gt;0,1,0)</f>
        <v>0</v>
      </c>
      <c r="AE61" cm="1">
        <f t="array" ref="AE61">IF(SUMPRODUCT(--($AO$2:$AO$145=TRIM(LEFT($B61,IFERROR(FIND(" ",$B61)-1,LEN($B61))))))&gt;0,1,0)</f>
        <v>0</v>
      </c>
      <c r="AF61" cm="1">
        <f t="array" ref="AF61">IF(SUMPRODUCT(--($AQ$2:$AQ$71=TRIM(LEFT($B61,IFERROR(FIND(" ",$B61)-1,LEN($B61))))))&gt;0,1,0)</f>
        <v>0</v>
      </c>
      <c r="AL61" t="s">
        <v>2218</v>
      </c>
      <c r="AM61" t="str">
        <f t="shared" si="0"/>
        <v>FOE</v>
      </c>
      <c r="AN61" t="s">
        <v>2205</v>
      </c>
      <c r="AO61" t="str">
        <f t="shared" si="1"/>
        <v>FLOW</v>
      </c>
      <c r="AP61" t="s">
        <v>2407</v>
      </c>
      <c r="AQ61" t="str">
        <f t="shared" si="2"/>
        <v>WDR</v>
      </c>
    </row>
    <row r="62" spans="1:43" ht="135.75" thickBot="1" x14ac:dyDescent="0.3">
      <c r="A62" s="13">
        <v>120</v>
      </c>
      <c r="B62" s="4" t="s">
        <v>229</v>
      </c>
      <c r="C62" s="4" t="s">
        <v>230</v>
      </c>
      <c r="D62" s="7">
        <v>45890</v>
      </c>
      <c r="E62" s="3">
        <v>11237.21</v>
      </c>
      <c r="F62" s="4" t="s">
        <v>30</v>
      </c>
      <c r="G62" s="3">
        <v>35.07</v>
      </c>
      <c r="H62" s="4" t="s">
        <v>31</v>
      </c>
      <c r="I62" s="4" t="s">
        <v>32</v>
      </c>
      <c r="J62" s="4" t="s">
        <v>33</v>
      </c>
      <c r="K62" s="4"/>
      <c r="L62" s="4"/>
      <c r="M62" s="3">
        <v>23.22</v>
      </c>
      <c r="N62" s="3">
        <v>11237.21</v>
      </c>
      <c r="O62" s="4" t="s">
        <v>34</v>
      </c>
      <c r="P62" s="4" t="s">
        <v>34</v>
      </c>
      <c r="Q62" s="4" t="s">
        <v>35</v>
      </c>
      <c r="R62" s="3">
        <v>1760</v>
      </c>
      <c r="S62" s="3">
        <v>6.9878</v>
      </c>
      <c r="T62" s="4" t="s">
        <v>160</v>
      </c>
      <c r="U62" s="2" t="s">
        <v>37</v>
      </c>
      <c r="V62" s="2" t="s">
        <v>37</v>
      </c>
      <c r="W62" s="2" t="s">
        <v>37</v>
      </c>
      <c r="X62" s="2" t="s">
        <v>38</v>
      </c>
      <c r="Y62" s="2" t="s">
        <v>38</v>
      </c>
      <c r="Z62" s="2" t="s">
        <v>37</v>
      </c>
      <c r="AA62" s="6">
        <v>4.0506584969999997</v>
      </c>
      <c r="AB62" s="6">
        <v>3.2455126679999999</v>
      </c>
      <c r="AC62" s="6">
        <v>4.0506584969999997</v>
      </c>
      <c r="AD62" cm="1">
        <f t="array" ref="AD62">IF(SUMPRODUCT(--($AM$2:$AM$112=TRIM(LEFT($B62,IFERROR(FIND(" ",$B62)-1,LEN($B62))))))&gt;0,1,0)</f>
        <v>0</v>
      </c>
      <c r="AE62" cm="1">
        <f t="array" ref="AE62">IF(SUMPRODUCT(--($AO$2:$AO$145=TRIM(LEFT($B62,IFERROR(FIND(" ",$B62)-1,LEN($B62))))))&gt;0,1,0)</f>
        <v>0</v>
      </c>
      <c r="AF62" cm="1">
        <f t="array" ref="AF62">IF(SUMPRODUCT(--($AQ$2:$AQ$71=TRIM(LEFT($B62,IFERROR(FIND(" ",$B62)-1,LEN($B62))))))&gt;0,1,0)</f>
        <v>1</v>
      </c>
      <c r="AL62" t="s">
        <v>2219</v>
      </c>
      <c r="AM62" t="str">
        <f t="shared" si="0"/>
        <v>TEDU</v>
      </c>
      <c r="AN62" t="s">
        <v>2206</v>
      </c>
      <c r="AO62" t="str">
        <f t="shared" si="1"/>
        <v>CONE</v>
      </c>
      <c r="AP62" t="s">
        <v>2408</v>
      </c>
      <c r="AQ62" t="str">
        <f t="shared" si="2"/>
        <v>NAV</v>
      </c>
    </row>
    <row r="63" spans="1:43" ht="45.75" thickBot="1" x14ac:dyDescent="0.3">
      <c r="A63" s="13">
        <v>81</v>
      </c>
      <c r="B63" s="4" t="s">
        <v>231</v>
      </c>
      <c r="C63" s="4" t="s">
        <v>232</v>
      </c>
      <c r="D63" s="7">
        <v>45944</v>
      </c>
      <c r="E63" s="3">
        <v>3731.38</v>
      </c>
      <c r="F63" s="4" t="s">
        <v>107</v>
      </c>
      <c r="G63" s="3">
        <v>24.91</v>
      </c>
      <c r="H63" s="4" t="s">
        <v>51</v>
      </c>
      <c r="I63" s="4" t="s">
        <v>51</v>
      </c>
      <c r="J63" s="4" t="s">
        <v>79</v>
      </c>
      <c r="K63" s="3">
        <v>159</v>
      </c>
      <c r="L63" s="3">
        <v>138</v>
      </c>
      <c r="M63" s="3">
        <v>17.82</v>
      </c>
      <c r="N63" s="3">
        <v>3731.38</v>
      </c>
      <c r="O63" s="4" t="s">
        <v>34</v>
      </c>
      <c r="P63" s="4" t="s">
        <v>34</v>
      </c>
      <c r="Q63" s="4" t="s">
        <v>35</v>
      </c>
      <c r="R63" s="3">
        <v>1062.08</v>
      </c>
      <c r="S63" s="3">
        <v>8.0450300000000006</v>
      </c>
      <c r="T63" s="4" t="s">
        <v>43</v>
      </c>
      <c r="U63" s="2" t="s">
        <v>37</v>
      </c>
      <c r="V63" s="2" t="s">
        <v>37</v>
      </c>
      <c r="W63" s="2" t="s">
        <v>37</v>
      </c>
      <c r="X63" s="2" t="s">
        <v>37</v>
      </c>
      <c r="Y63" s="2" t="s">
        <v>37</v>
      </c>
      <c r="Z63" s="2" t="s">
        <v>37</v>
      </c>
      <c r="AA63" s="6">
        <v>3.5718694790000001</v>
      </c>
      <c r="AB63" s="6">
        <v>3.026157231</v>
      </c>
      <c r="AC63" s="6">
        <v>3.5718694790000001</v>
      </c>
      <c r="AD63" cm="1">
        <f t="array" ref="AD63">IF(SUMPRODUCT(--($AM$2:$AM$112=TRIM(LEFT($B63,IFERROR(FIND(" ",$B63)-1,LEN($B63))))))&gt;0,1,0)</f>
        <v>0</v>
      </c>
      <c r="AE63" cm="1">
        <f t="array" ref="AE63">IF(SUMPRODUCT(--($AO$2:$AO$145=TRIM(LEFT($B63,IFERROR(FIND(" ",$B63)-1,LEN($B63))))))&gt;0,1,0)</f>
        <v>0</v>
      </c>
      <c r="AF63" cm="1">
        <f t="array" ref="AF63">IF(SUMPRODUCT(--($AQ$2:$AQ$71=TRIM(LEFT($B63,IFERROR(FIND(" ",$B63)-1,LEN($B63))))))&gt;0,1,0)</f>
        <v>0</v>
      </c>
      <c r="AL63" t="s">
        <v>2220</v>
      </c>
      <c r="AM63" t="str">
        <f t="shared" si="0"/>
        <v>MX</v>
      </c>
      <c r="AN63" t="s">
        <v>2207</v>
      </c>
      <c r="AO63" t="str">
        <f t="shared" si="1"/>
        <v>MCFE</v>
      </c>
      <c r="AP63" t="s">
        <v>2409</v>
      </c>
      <c r="AQ63" t="str">
        <f t="shared" si="2"/>
        <v>ALSK</v>
      </c>
    </row>
    <row r="64" spans="1:43" ht="45.75" thickBot="1" x14ac:dyDescent="0.3">
      <c r="A64" s="13">
        <v>86</v>
      </c>
      <c r="B64" s="4" t="s">
        <v>233</v>
      </c>
      <c r="C64" s="4" t="s">
        <v>234</v>
      </c>
      <c r="D64" s="7">
        <v>45936</v>
      </c>
      <c r="E64" s="3">
        <v>10851.35</v>
      </c>
      <c r="F64" s="4" t="s">
        <v>46</v>
      </c>
      <c r="G64" s="4"/>
      <c r="H64" s="4" t="s">
        <v>65</v>
      </c>
      <c r="I64" s="4" t="s">
        <v>66</v>
      </c>
      <c r="J64" s="4" t="s">
        <v>66</v>
      </c>
      <c r="K64" s="3">
        <v>500</v>
      </c>
      <c r="L64" s="3">
        <v>500</v>
      </c>
      <c r="M64" s="3">
        <v>21.86</v>
      </c>
      <c r="N64" s="3">
        <v>10851.35</v>
      </c>
      <c r="O64" s="4" t="s">
        <v>34</v>
      </c>
      <c r="P64" s="4" t="s">
        <v>34</v>
      </c>
      <c r="Q64" s="4" t="s">
        <v>35</v>
      </c>
      <c r="R64" s="3">
        <v>4798</v>
      </c>
      <c r="S64" s="3">
        <v>27.183599999999998</v>
      </c>
      <c r="T64" s="4" t="s">
        <v>43</v>
      </c>
      <c r="U64" s="2" t="s">
        <v>37</v>
      </c>
      <c r="V64" s="2" t="s">
        <v>37</v>
      </c>
      <c r="W64" s="2" t="s">
        <v>37</v>
      </c>
      <c r="X64" s="2" t="s">
        <v>37</v>
      </c>
      <c r="Y64" s="2" t="s">
        <v>37</v>
      </c>
      <c r="Z64" s="2" t="s">
        <v>37</v>
      </c>
      <c r="AA64" s="6">
        <v>4.035483771</v>
      </c>
      <c r="AB64" s="6">
        <v>3.6810602440000002</v>
      </c>
      <c r="AC64" s="6">
        <v>4.035483771</v>
      </c>
      <c r="AD64" cm="1">
        <f t="array" ref="AD64">IF(SUMPRODUCT(--($AM$2:$AM$112=TRIM(LEFT($B64,IFERROR(FIND(" ",$B64)-1,LEN($B64))))))&gt;0,1,0)</f>
        <v>0</v>
      </c>
      <c r="AE64" cm="1">
        <f t="array" ref="AE64">IF(SUMPRODUCT(--($AO$2:$AO$145=TRIM(LEFT($B64,IFERROR(FIND(" ",$B64)-1,LEN($B64))))))&gt;0,1,0)</f>
        <v>0</v>
      </c>
      <c r="AF64" cm="1">
        <f t="array" ref="AF64">IF(SUMPRODUCT(--($AQ$2:$AQ$71=TRIM(LEFT($B64,IFERROR(FIND(" ",$B64)-1,LEN($B64))))))&gt;0,1,0)</f>
        <v>0</v>
      </c>
      <c r="AL64" t="s">
        <v>2221</v>
      </c>
      <c r="AM64" t="str">
        <f t="shared" si="0"/>
        <v>COHR</v>
      </c>
      <c r="AN64" t="s">
        <v>2212</v>
      </c>
      <c r="AO64" t="str">
        <f t="shared" si="1"/>
        <v>HRC</v>
      </c>
      <c r="AP64" t="s">
        <v>2410</v>
      </c>
      <c r="AQ64" t="str">
        <f t="shared" si="2"/>
        <v>PNM</v>
      </c>
    </row>
    <row r="65" spans="1:43" ht="45.75" thickBot="1" x14ac:dyDescent="0.3">
      <c r="A65" s="13">
        <v>71</v>
      </c>
      <c r="B65" s="4" t="s">
        <v>235</v>
      </c>
      <c r="C65" s="4" t="s">
        <v>236</v>
      </c>
      <c r="D65" s="7">
        <v>45957</v>
      </c>
      <c r="E65" s="3">
        <v>7416.59</v>
      </c>
      <c r="F65" s="4" t="s">
        <v>46</v>
      </c>
      <c r="G65" s="4"/>
      <c r="H65" s="4" t="s">
        <v>65</v>
      </c>
      <c r="I65" s="4" t="s">
        <v>66</v>
      </c>
      <c r="J65" s="4" t="s">
        <v>66</v>
      </c>
      <c r="K65" s="3">
        <v>296</v>
      </c>
      <c r="L65" s="3">
        <v>296</v>
      </c>
      <c r="M65" s="3">
        <v>7.45</v>
      </c>
      <c r="N65" s="3">
        <v>7416.59</v>
      </c>
      <c r="O65" s="4" t="s">
        <v>34</v>
      </c>
      <c r="P65" s="4" t="s">
        <v>34</v>
      </c>
      <c r="Q65" s="4" t="s">
        <v>35</v>
      </c>
      <c r="R65" s="3">
        <v>3005.02</v>
      </c>
      <c r="S65" s="3">
        <v>35.3065</v>
      </c>
      <c r="T65" s="4" t="s">
        <v>43</v>
      </c>
      <c r="U65" s="2" t="s">
        <v>37</v>
      </c>
      <c r="V65" s="2" t="s">
        <v>37</v>
      </c>
      <c r="W65" s="2" t="s">
        <v>37</v>
      </c>
      <c r="X65" s="2" t="s">
        <v>37</v>
      </c>
      <c r="Y65" s="2" t="s">
        <v>37</v>
      </c>
      <c r="Z65" s="2" t="s">
        <v>37</v>
      </c>
      <c r="AA65" s="6">
        <v>3.870204271</v>
      </c>
      <c r="AB65" s="6">
        <v>3.4778473669999999</v>
      </c>
      <c r="AC65" s="6">
        <v>3.870204271</v>
      </c>
      <c r="AD65" cm="1">
        <f t="array" ref="AD65">IF(SUMPRODUCT(--($AM$2:$AM$112=TRIM(LEFT($B65,IFERROR(FIND(" ",$B65)-1,LEN($B65))))))&gt;0,1,0)</f>
        <v>0</v>
      </c>
      <c r="AE65" cm="1">
        <f t="array" ref="AE65">IF(SUMPRODUCT(--($AO$2:$AO$145=TRIM(LEFT($B65,IFERROR(FIND(" ",$B65)-1,LEN($B65))))))&gt;0,1,0)</f>
        <v>0</v>
      </c>
      <c r="AF65" cm="1">
        <f t="array" ref="AF65">IF(SUMPRODUCT(--($AQ$2:$AQ$71=TRIM(LEFT($B65,IFERROR(FIND(" ",$B65)-1,LEN($B65))))))&gt;0,1,0)</f>
        <v>0</v>
      </c>
      <c r="AL65" t="s">
        <v>2222</v>
      </c>
      <c r="AM65" t="str">
        <f t="shared" si="0"/>
        <v>CTB</v>
      </c>
      <c r="AN65" t="s">
        <v>2214</v>
      </c>
      <c r="AO65" t="str">
        <f t="shared" si="1"/>
        <v>VNE</v>
      </c>
      <c r="AP65" t="s">
        <v>2411</v>
      </c>
      <c r="AQ65" t="str">
        <f t="shared" si="2"/>
        <v>PRCP</v>
      </c>
    </row>
    <row r="66" spans="1:43" ht="60.75" thickBot="1" x14ac:dyDescent="0.3">
      <c r="A66" s="13">
        <v>68</v>
      </c>
      <c r="B66" s="4" t="s">
        <v>237</v>
      </c>
      <c r="C66" s="4" t="s">
        <v>238</v>
      </c>
      <c r="D66" s="7">
        <v>45960</v>
      </c>
      <c r="E66" s="3">
        <v>3102.05</v>
      </c>
      <c r="F66" s="4" t="s">
        <v>107</v>
      </c>
      <c r="G66" s="3">
        <v>26.79</v>
      </c>
      <c r="H66" s="4" t="s">
        <v>70</v>
      </c>
      <c r="I66" s="4" t="s">
        <v>71</v>
      </c>
      <c r="J66" s="4" t="s">
        <v>239</v>
      </c>
      <c r="K66" s="3">
        <v>128</v>
      </c>
      <c r="L66" s="3">
        <v>128</v>
      </c>
      <c r="M66" s="3">
        <v>7.99</v>
      </c>
      <c r="N66" s="3">
        <v>3024.65</v>
      </c>
      <c r="O66" s="4" t="s">
        <v>34</v>
      </c>
      <c r="P66" s="4" t="s">
        <v>34</v>
      </c>
      <c r="Q66" s="4" t="s">
        <v>35</v>
      </c>
      <c r="R66" s="3">
        <v>2463.5</v>
      </c>
      <c r="S66" s="3">
        <v>7.3959799999999998</v>
      </c>
      <c r="T66" s="4" t="s">
        <v>43</v>
      </c>
      <c r="U66" s="2" t="s">
        <v>37</v>
      </c>
      <c r="V66" s="2" t="s">
        <v>37</v>
      </c>
      <c r="W66" s="2" t="s">
        <v>37</v>
      </c>
      <c r="X66" s="2" t="s">
        <v>37</v>
      </c>
      <c r="Y66" s="2" t="s">
        <v>37</v>
      </c>
      <c r="Z66" s="2" t="s">
        <v>37</v>
      </c>
      <c r="AA66" s="6">
        <v>3.4916487940000001</v>
      </c>
      <c r="AB66" s="6">
        <v>3.3915525670000002</v>
      </c>
      <c r="AC66" s="6">
        <v>3.480675127</v>
      </c>
      <c r="AD66" cm="1">
        <f t="array" ref="AD66">IF(SUMPRODUCT(--($AM$2:$AM$112=TRIM(LEFT($B66,IFERROR(FIND(" ",$B66)-1,LEN($B66))))))&gt;0,1,0)</f>
        <v>0</v>
      </c>
      <c r="AE66" cm="1">
        <f t="array" ref="AE66">IF(SUMPRODUCT(--($AO$2:$AO$145=TRIM(LEFT($B66,IFERROR(FIND(" ",$B66)-1,LEN($B66))))))&gt;0,1,0)</f>
        <v>0</v>
      </c>
      <c r="AF66" cm="1">
        <f t="array" ref="AF66">IF(SUMPRODUCT(--($AQ$2:$AQ$71=TRIM(LEFT($B66,IFERROR(FIND(" ",$B66)-1,LEN($B66))))))&gt;0,1,0)</f>
        <v>0</v>
      </c>
      <c r="AL66" t="s">
        <v>2223</v>
      </c>
      <c r="AM66" t="str">
        <f t="shared" si="0"/>
        <v>COHR</v>
      </c>
      <c r="AN66" t="s">
        <v>2304</v>
      </c>
      <c r="AO66" t="str">
        <f t="shared" si="1"/>
        <v>WBT</v>
      </c>
      <c r="AP66" t="s">
        <v>2412</v>
      </c>
      <c r="AQ66" t="str">
        <f t="shared" si="2"/>
        <v>VRTU</v>
      </c>
    </row>
    <row r="67" spans="1:43" ht="135.75" thickBot="1" x14ac:dyDescent="0.3">
      <c r="A67" s="13">
        <v>69</v>
      </c>
      <c r="B67" s="4" t="s">
        <v>240</v>
      </c>
      <c r="C67" s="4" t="s">
        <v>241</v>
      </c>
      <c r="D67" s="7">
        <v>45959</v>
      </c>
      <c r="E67" s="3">
        <v>1645.02</v>
      </c>
      <c r="F67" s="4" t="s">
        <v>30</v>
      </c>
      <c r="G67" s="4"/>
      <c r="H67" s="4" t="s">
        <v>31</v>
      </c>
      <c r="I67" s="4" t="s">
        <v>32</v>
      </c>
      <c r="J67" s="4" t="s">
        <v>33</v>
      </c>
      <c r="K67" s="4"/>
      <c r="L67" s="4"/>
      <c r="M67" s="3">
        <v>25.72</v>
      </c>
      <c r="N67" s="3">
        <v>1733.52</v>
      </c>
      <c r="O67" s="4" t="s">
        <v>34</v>
      </c>
      <c r="P67" s="4" t="s">
        <v>34</v>
      </c>
      <c r="Q67" s="4" t="s">
        <v>35</v>
      </c>
      <c r="R67" s="3">
        <v>627.399</v>
      </c>
      <c r="S67" s="3">
        <v>-5.0264300000000004</v>
      </c>
      <c r="T67" s="4" t="s">
        <v>242</v>
      </c>
      <c r="U67" s="2" t="s">
        <v>37</v>
      </c>
      <c r="V67" s="2" t="s">
        <v>37</v>
      </c>
      <c r="W67" s="2" t="s">
        <v>37</v>
      </c>
      <c r="X67" s="2" t="s">
        <v>38</v>
      </c>
      <c r="Y67" s="2" t="s">
        <v>38</v>
      </c>
      <c r="Z67" s="2" t="s">
        <v>37</v>
      </c>
      <c r="AA67" s="6">
        <v>3.2161711820000001</v>
      </c>
      <c r="AB67" s="6">
        <v>2.7975438220000002</v>
      </c>
      <c r="AC67" s="6">
        <v>3.2389288569999999</v>
      </c>
      <c r="AD67" cm="1">
        <f t="array" ref="AD67">IF(SUMPRODUCT(--($AM$2:$AM$112=TRIM(LEFT($B67,IFERROR(FIND(" ",$B67)-1,LEN($B67))))))&gt;0,1,0)</f>
        <v>0</v>
      </c>
      <c r="AE67" cm="1">
        <f t="array" ref="AE67">IF(SUMPRODUCT(--($AO$2:$AO$145=TRIM(LEFT($B67,IFERROR(FIND(" ",$B67)-1,LEN($B67))))))&gt;0,1,0)</f>
        <v>0</v>
      </c>
      <c r="AF67" cm="1">
        <f t="array" ref="AF67">IF(SUMPRODUCT(--($AQ$2:$AQ$71=TRIM(LEFT($B67,IFERROR(FIND(" ",$B67)-1,LEN($B67))))))&gt;0,1,0)</f>
        <v>0</v>
      </c>
      <c r="AL67" t="s">
        <v>2224</v>
      </c>
      <c r="AM67" t="str">
        <f t="shared" ref="AM67:AO112" si="3">TRIM(LEFT(AL67,FIND("/",AL67)-1))</f>
        <v>FLIR</v>
      </c>
      <c r="AN67" t="s">
        <v>2216</v>
      </c>
      <c r="AO67" t="str">
        <f t="shared" ref="AO67:AO130" si="4">TRIM(LEFT(AN67,FIND("/",AN67)-1))</f>
        <v>CLDR</v>
      </c>
      <c r="AP67" t="s">
        <v>2413</v>
      </c>
      <c r="AQ67" t="str">
        <f t="shared" ref="AQ67:AQ71" si="5">TRIM(LEFT(AP67,FIND("/",AP67)-1))</f>
        <v>CBMG</v>
      </c>
    </row>
    <row r="68" spans="1:43" ht="75.75" thickBot="1" x14ac:dyDescent="0.3">
      <c r="A68" s="13">
        <v>65</v>
      </c>
      <c r="B68" s="4" t="s">
        <v>243</v>
      </c>
      <c r="C68" s="4" t="s">
        <v>244</v>
      </c>
      <c r="D68" s="7">
        <v>45964</v>
      </c>
      <c r="E68" s="3">
        <v>8289.0300000000007</v>
      </c>
      <c r="F68" s="4" t="s">
        <v>46</v>
      </c>
      <c r="G68" s="3">
        <v>2.31</v>
      </c>
      <c r="H68" s="4" t="s">
        <v>118</v>
      </c>
      <c r="I68" s="4" t="s">
        <v>119</v>
      </c>
      <c r="J68" s="4" t="s">
        <v>120</v>
      </c>
      <c r="K68" s="4"/>
      <c r="L68" s="4"/>
      <c r="M68" s="3">
        <v>8.2899999999999991</v>
      </c>
      <c r="N68" s="3">
        <v>2970.03</v>
      </c>
      <c r="O68" s="4" t="s">
        <v>34</v>
      </c>
      <c r="P68" s="4" t="s">
        <v>34</v>
      </c>
      <c r="Q68" s="4" t="s">
        <v>35</v>
      </c>
      <c r="R68" s="3">
        <v>5206.8100000000004</v>
      </c>
      <c r="S68" s="3">
        <v>22.859200000000001</v>
      </c>
      <c r="T68" s="4" t="s">
        <v>245</v>
      </c>
      <c r="U68" s="2" t="s">
        <v>37</v>
      </c>
      <c r="V68" s="2" t="s">
        <v>37</v>
      </c>
      <c r="W68" s="2" t="s">
        <v>37</v>
      </c>
      <c r="X68" s="2" t="s">
        <v>37</v>
      </c>
      <c r="Y68" s="2" t="s">
        <v>37</v>
      </c>
      <c r="Z68" s="2" t="s">
        <v>37</v>
      </c>
      <c r="AA68" s="6">
        <v>3.9185037110000001</v>
      </c>
      <c r="AB68" s="6">
        <v>3.7165717300000001</v>
      </c>
      <c r="AC68" s="6">
        <v>3.472760836</v>
      </c>
      <c r="AD68" cm="1">
        <f t="array" ref="AD68">IF(SUMPRODUCT(--($AM$2:$AM$112=TRIM(LEFT($B68,IFERROR(FIND(" ",$B68)-1,LEN($B68))))))&gt;0,1,0)</f>
        <v>0</v>
      </c>
      <c r="AE68" cm="1">
        <f t="array" ref="AE68">IF(SUMPRODUCT(--($AO$2:$AO$145=TRIM(LEFT($B68,IFERROR(FIND(" ",$B68)-1,LEN($B68))))))&gt;0,1,0)</f>
        <v>0</v>
      </c>
      <c r="AF68" cm="1">
        <f t="array" ref="AF68">IF(SUMPRODUCT(--($AQ$2:$AQ$71=TRIM(LEFT($B68,IFERROR(FIND(" ",$B68)-1,LEN($B68))))))&gt;0,1,0)</f>
        <v>0</v>
      </c>
      <c r="AL68" t="s">
        <v>2225</v>
      </c>
      <c r="AM68" t="str">
        <f t="shared" si="3"/>
        <v>MTSC</v>
      </c>
      <c r="AN68" t="s">
        <v>2305</v>
      </c>
      <c r="AO68" t="str">
        <f t="shared" si="4"/>
        <v>T</v>
      </c>
      <c r="AP68" t="s">
        <v>2230</v>
      </c>
      <c r="AQ68" t="str">
        <f t="shared" si="5"/>
        <v>VAR</v>
      </c>
    </row>
    <row r="69" spans="1:43" ht="45.75" thickBot="1" x14ac:dyDescent="0.3">
      <c r="A69" s="13">
        <v>69</v>
      </c>
      <c r="B69" s="4" t="s">
        <v>246</v>
      </c>
      <c r="C69" s="2"/>
      <c r="D69" s="7">
        <v>45954</v>
      </c>
      <c r="E69" s="3">
        <v>980.18</v>
      </c>
      <c r="F69" s="4" t="s">
        <v>30</v>
      </c>
      <c r="G69" s="3">
        <v>8.1199999999999992</v>
      </c>
      <c r="H69" s="4" t="s">
        <v>51</v>
      </c>
      <c r="I69" s="4" t="s">
        <v>51</v>
      </c>
      <c r="J69" s="4" t="s">
        <v>79</v>
      </c>
      <c r="K69" s="3">
        <v>70.2</v>
      </c>
      <c r="L69" s="3">
        <v>40.1</v>
      </c>
      <c r="M69" s="3">
        <v>0.3</v>
      </c>
      <c r="N69" s="3">
        <v>980.18</v>
      </c>
      <c r="O69" s="4" t="s">
        <v>34</v>
      </c>
      <c r="P69" s="4" t="s">
        <v>34</v>
      </c>
      <c r="Q69" s="4" t="s">
        <v>35</v>
      </c>
      <c r="R69" s="3">
        <v>198.35499999999999</v>
      </c>
      <c r="S69" s="3">
        <v>17.266200000000001</v>
      </c>
      <c r="T69" s="4" t="s">
        <v>43</v>
      </c>
      <c r="U69" s="2" t="s">
        <v>37</v>
      </c>
      <c r="V69" s="2" t="s">
        <v>37</v>
      </c>
      <c r="W69" s="2" t="s">
        <v>37</v>
      </c>
      <c r="X69" s="2" t="s">
        <v>37</v>
      </c>
      <c r="Y69" s="2" t="s">
        <v>37</v>
      </c>
      <c r="Z69" s="2" t="s">
        <v>37</v>
      </c>
      <c r="AA69" s="6">
        <v>2.9913058370000001</v>
      </c>
      <c r="AB69" s="6">
        <v>2.297443152</v>
      </c>
      <c r="AC69" s="6">
        <v>2.9913058370000001</v>
      </c>
      <c r="AD69" cm="1">
        <f t="array" ref="AD69">IF(SUMPRODUCT(--($AM$2:$AM$112=TRIM(LEFT($B69,IFERROR(FIND(" ",$B69)-1,LEN($B69))))))&gt;0,1,0)</f>
        <v>0</v>
      </c>
      <c r="AE69" cm="1">
        <f t="array" ref="AE69">IF(SUMPRODUCT(--($AO$2:$AO$145=TRIM(LEFT($B69,IFERROR(FIND(" ",$B69)-1,LEN($B69))))))&gt;0,1,0)</f>
        <v>0</v>
      </c>
      <c r="AF69" cm="1">
        <f t="array" ref="AF69">IF(SUMPRODUCT(--($AQ$2:$AQ$71=TRIM(LEFT($B69,IFERROR(FIND(" ",$B69)-1,LEN($B69))))))&gt;0,1,0)</f>
        <v>0</v>
      </c>
      <c r="AL69" t="s">
        <v>2226</v>
      </c>
      <c r="AM69" t="str">
        <f t="shared" si="3"/>
        <v>IPHI</v>
      </c>
      <c r="AN69" t="s">
        <v>2218</v>
      </c>
      <c r="AO69" t="str">
        <f t="shared" si="4"/>
        <v>FOE</v>
      </c>
      <c r="AP69" t="s">
        <v>2414</v>
      </c>
      <c r="AQ69" t="str">
        <f t="shared" si="5"/>
        <v>GRUB</v>
      </c>
    </row>
    <row r="70" spans="1:43" ht="75.75" thickBot="1" x14ac:dyDescent="0.3">
      <c r="A70" s="13">
        <v>113</v>
      </c>
      <c r="B70" s="4" t="s">
        <v>247</v>
      </c>
      <c r="C70" s="4" t="s">
        <v>248</v>
      </c>
      <c r="D70" s="7">
        <v>45889</v>
      </c>
      <c r="E70" s="3">
        <v>2288.12</v>
      </c>
      <c r="F70" s="4" t="s">
        <v>30</v>
      </c>
      <c r="G70" s="3">
        <v>4.7699999999999996</v>
      </c>
      <c r="H70" s="4" t="s">
        <v>75</v>
      </c>
      <c r="I70" s="4" t="s">
        <v>83</v>
      </c>
      <c r="J70" s="4" t="s">
        <v>84</v>
      </c>
      <c r="K70" s="4"/>
      <c r="L70" s="3">
        <v>23.297899999999998</v>
      </c>
      <c r="M70" s="3">
        <v>25.62</v>
      </c>
      <c r="N70" s="3">
        <v>871.28</v>
      </c>
      <c r="O70" s="4" t="s">
        <v>34</v>
      </c>
      <c r="P70" s="4" t="s">
        <v>34</v>
      </c>
      <c r="Q70" s="4" t="s">
        <v>35</v>
      </c>
      <c r="R70" s="3">
        <v>2995.27</v>
      </c>
      <c r="S70" s="3">
        <v>3.5494699999999999</v>
      </c>
      <c r="T70" s="4" t="s">
        <v>113</v>
      </c>
      <c r="U70" s="2" t="s">
        <v>37</v>
      </c>
      <c r="V70" s="2" t="s">
        <v>37</v>
      </c>
      <c r="W70" s="2" t="s">
        <v>37</v>
      </c>
      <c r="X70" s="2" t="s">
        <v>38</v>
      </c>
      <c r="Y70" s="2" t="s">
        <v>37</v>
      </c>
      <c r="Z70" s="2" t="s">
        <v>37</v>
      </c>
      <c r="AA70" s="6">
        <v>3.359478797</v>
      </c>
      <c r="AB70" s="6">
        <v>3.476435977</v>
      </c>
      <c r="AC70" s="6">
        <v>2.940157745</v>
      </c>
      <c r="AD70" cm="1">
        <f t="array" ref="AD70">IF(SUMPRODUCT(--($AM$2:$AM$112=TRIM(LEFT($B70,IFERROR(FIND(" ",$B70)-1,LEN($B70))))))&gt;0,1,0)</f>
        <v>0</v>
      </c>
      <c r="AE70" cm="1">
        <f t="array" ref="AE70">IF(SUMPRODUCT(--($AO$2:$AO$145=TRIM(LEFT($B70,IFERROR(FIND(" ",$B70)-1,LEN($B70))))))&gt;0,1,0)</f>
        <v>0</v>
      </c>
      <c r="AF70" cm="1">
        <f t="array" ref="AF70">IF(SUMPRODUCT(--($AQ$2:$AQ$71=TRIM(LEFT($B70,IFERROR(FIND(" ",$B70)-1,LEN($B70))))))&gt;0,1,0)</f>
        <v>0</v>
      </c>
      <c r="AL70" t="s">
        <v>2227</v>
      </c>
      <c r="AM70" t="str">
        <f t="shared" si="3"/>
        <v>XLNX</v>
      </c>
      <c r="AN70" t="s">
        <v>2306</v>
      </c>
      <c r="AO70" t="str">
        <f t="shared" si="4"/>
        <v>GRA</v>
      </c>
      <c r="AP70" t="s">
        <v>2415</v>
      </c>
      <c r="AQ70" t="str">
        <f t="shared" si="5"/>
        <v>CBB</v>
      </c>
    </row>
    <row r="71" spans="1:43" ht="45.75" thickBot="1" x14ac:dyDescent="0.3">
      <c r="A71" s="13">
        <v>360</v>
      </c>
      <c r="B71" s="4" t="s">
        <v>249</v>
      </c>
      <c r="C71" s="4" t="s">
        <v>250</v>
      </c>
      <c r="D71" s="7">
        <v>45540</v>
      </c>
      <c r="E71" s="3">
        <v>19637.73</v>
      </c>
      <c r="F71" s="4" t="s">
        <v>30</v>
      </c>
      <c r="G71" s="3">
        <v>10.3</v>
      </c>
      <c r="H71" s="4" t="s">
        <v>184</v>
      </c>
      <c r="I71" s="4" t="s">
        <v>251</v>
      </c>
      <c r="J71" s="4" t="s">
        <v>251</v>
      </c>
      <c r="K71" s="3">
        <v>590</v>
      </c>
      <c r="L71" s="3">
        <v>320</v>
      </c>
      <c r="M71" s="3">
        <v>33.35</v>
      </c>
      <c r="N71" s="3">
        <v>9585.73</v>
      </c>
      <c r="O71" s="4" t="s">
        <v>34</v>
      </c>
      <c r="P71" s="4" t="s">
        <v>34</v>
      </c>
      <c r="Q71" s="4" t="s">
        <v>35</v>
      </c>
      <c r="R71" s="3">
        <v>5937</v>
      </c>
      <c r="S71" s="3">
        <v>5.2898800000000001</v>
      </c>
      <c r="T71" s="4" t="s">
        <v>43</v>
      </c>
      <c r="U71" s="2" t="s">
        <v>37</v>
      </c>
      <c r="V71" s="2" t="s">
        <v>37</v>
      </c>
      <c r="W71" s="2" t="s">
        <v>37</v>
      </c>
      <c r="X71" s="2" t="s">
        <v>37</v>
      </c>
      <c r="Y71" s="2" t="s">
        <v>37</v>
      </c>
      <c r="Z71" s="2" t="s">
        <v>37</v>
      </c>
      <c r="AA71" s="6">
        <v>4.293091285</v>
      </c>
      <c r="AB71" s="6">
        <v>3.773567049</v>
      </c>
      <c r="AC71" s="6">
        <v>3.9816251920000001</v>
      </c>
      <c r="AD71" cm="1">
        <f t="array" ref="AD71">IF(SUMPRODUCT(--($AM$2:$AM$112=TRIM(LEFT($B71,IFERROR(FIND(" ",$B71)-1,LEN($B71))))))&gt;0,1,0)</f>
        <v>0</v>
      </c>
      <c r="AE71" cm="1">
        <f t="array" ref="AE71">IF(SUMPRODUCT(--($AO$2:$AO$145=TRIM(LEFT($B71,IFERROR(FIND(" ",$B71)-1,LEN($B71))))))&gt;0,1,0)</f>
        <v>0</v>
      </c>
      <c r="AF71" cm="1">
        <f t="array" ref="AF71">IF(SUMPRODUCT(--($AQ$2:$AQ$71=TRIM(LEFT($B71,IFERROR(FIND(" ",$B71)-1,LEN($B71))))))&gt;0,1,0)</f>
        <v>0</v>
      </c>
      <c r="AL71" t="s">
        <v>2228</v>
      </c>
      <c r="AM71" t="str">
        <f t="shared" si="3"/>
        <v>DOYU</v>
      </c>
      <c r="AN71" t="s">
        <v>2307</v>
      </c>
      <c r="AO71" t="str">
        <f t="shared" si="4"/>
        <v>PPD</v>
      </c>
      <c r="AP71" t="s">
        <v>2416</v>
      </c>
      <c r="AQ71" t="str">
        <f>TRIM(IFERROR(LEFT(AP71,FIND("/",AP71)-1),AP71))</f>
        <v>WLT</v>
      </c>
    </row>
    <row r="72" spans="1:43" ht="60.75" thickBot="1" x14ac:dyDescent="0.3">
      <c r="A72" s="13">
        <v>87</v>
      </c>
      <c r="B72" s="4" t="s">
        <v>252</v>
      </c>
      <c r="C72" s="4" t="s">
        <v>253</v>
      </c>
      <c r="D72" s="7">
        <v>45922</v>
      </c>
      <c r="E72" s="3">
        <v>1892.81</v>
      </c>
      <c r="F72" s="4" t="s">
        <v>46</v>
      </c>
      <c r="G72" s="3">
        <v>87.99</v>
      </c>
      <c r="H72" s="4" t="s">
        <v>41</v>
      </c>
      <c r="I72" s="4" t="s">
        <v>41</v>
      </c>
      <c r="J72" s="4" t="s">
        <v>60</v>
      </c>
      <c r="K72" s="4"/>
      <c r="L72" s="3">
        <v>49</v>
      </c>
      <c r="M72" s="4"/>
      <c r="N72" s="3">
        <v>1810.31</v>
      </c>
      <c r="O72" s="4" t="s">
        <v>34</v>
      </c>
      <c r="P72" s="4" t="s">
        <v>34</v>
      </c>
      <c r="Q72" s="4" t="s">
        <v>35</v>
      </c>
      <c r="R72" s="3">
        <v>56.293999999999997</v>
      </c>
      <c r="S72" s="3">
        <v>-94.712599999999995</v>
      </c>
      <c r="T72" s="4" t="s">
        <v>43</v>
      </c>
      <c r="U72" s="2" t="s">
        <v>37</v>
      </c>
      <c r="V72" s="2" t="s">
        <v>37</v>
      </c>
      <c r="W72" s="2" t="s">
        <v>37</v>
      </c>
      <c r="X72" s="2" t="s">
        <v>37</v>
      </c>
      <c r="Y72" s="2" t="s">
        <v>37</v>
      </c>
      <c r="Z72" s="2" t="s">
        <v>37</v>
      </c>
      <c r="AA72" s="6">
        <v>3.277107022</v>
      </c>
      <c r="AB72" s="6">
        <v>1.7504621090000001</v>
      </c>
      <c r="AC72" s="6">
        <v>3.25775295</v>
      </c>
      <c r="AD72" cm="1">
        <f t="array" ref="AD72">IF(SUMPRODUCT(--($AM$2:$AM$112=TRIM(LEFT($B72,IFERROR(FIND(" ",$B72)-1,LEN($B72))))))&gt;0,1,0)</f>
        <v>0</v>
      </c>
      <c r="AE72" cm="1">
        <f t="array" ref="AE72">IF(SUMPRODUCT(--($AO$2:$AO$145=TRIM(LEFT($B72,IFERROR(FIND(" ",$B72)-1,LEN($B72))))))&gt;0,1,0)</f>
        <v>0</v>
      </c>
      <c r="AF72" cm="1">
        <f t="array" ref="AF72">IF(SUMPRODUCT(--($AQ$2:$AQ$71=TRIM(LEFT($B72,IFERROR(FIND(" ",$B72)-1,LEN($B72))))))&gt;0,1,0)</f>
        <v>0</v>
      </c>
      <c r="AL72" t="s">
        <v>2229</v>
      </c>
      <c r="AM72" t="str">
        <f t="shared" si="3"/>
        <v>SOGO</v>
      </c>
      <c r="AN72" t="s">
        <v>2308</v>
      </c>
      <c r="AO72" t="str">
        <f t="shared" si="4"/>
        <v>NUAN</v>
      </c>
    </row>
    <row r="73" spans="1:43" ht="135.75" thickBot="1" x14ac:dyDescent="0.3">
      <c r="A73" s="13">
        <v>56</v>
      </c>
      <c r="B73" s="4" t="s">
        <v>254</v>
      </c>
      <c r="C73" s="2"/>
      <c r="D73" s="7">
        <v>45965</v>
      </c>
      <c r="E73" s="3">
        <v>738.12</v>
      </c>
      <c r="F73" s="4" t="s">
        <v>30</v>
      </c>
      <c r="G73" s="3">
        <v>12.3</v>
      </c>
      <c r="H73" s="4" t="s">
        <v>75</v>
      </c>
      <c r="I73" s="4" t="s">
        <v>111</v>
      </c>
      <c r="J73" s="4" t="s">
        <v>133</v>
      </c>
      <c r="K73" s="4"/>
      <c r="L73" s="4"/>
      <c r="M73" s="3">
        <v>31.36</v>
      </c>
      <c r="N73" s="3">
        <v>321.87</v>
      </c>
      <c r="O73" s="4" t="s">
        <v>34</v>
      </c>
      <c r="P73" s="4" t="s">
        <v>34</v>
      </c>
      <c r="Q73" s="4" t="s">
        <v>35</v>
      </c>
      <c r="R73" s="3">
        <v>452.334</v>
      </c>
      <c r="S73" s="3">
        <v>8.4490300000000005</v>
      </c>
      <c r="T73" s="4" t="s">
        <v>255</v>
      </c>
      <c r="U73" s="2" t="s">
        <v>37</v>
      </c>
      <c r="V73" s="2" t="s">
        <v>37</v>
      </c>
      <c r="W73" s="2" t="s">
        <v>37</v>
      </c>
      <c r="X73" s="2" t="s">
        <v>38</v>
      </c>
      <c r="Y73" s="2" t="s">
        <v>38</v>
      </c>
      <c r="Z73" s="2" t="s">
        <v>37</v>
      </c>
      <c r="AA73" s="6">
        <v>2.8681269729999999</v>
      </c>
      <c r="AB73" s="6">
        <v>2.6554592330000002</v>
      </c>
      <c r="AC73" s="6">
        <v>2.5076805000000002</v>
      </c>
      <c r="AD73" cm="1">
        <f t="array" ref="AD73">IF(SUMPRODUCT(--($AM$2:$AM$112=TRIM(LEFT($B73,IFERROR(FIND(" ",$B73)-1,LEN($B73))))))&gt;0,1,0)</f>
        <v>0</v>
      </c>
      <c r="AE73" cm="1">
        <f t="array" ref="AE73">IF(SUMPRODUCT(--($AO$2:$AO$145=TRIM(LEFT($B73,IFERROR(FIND(" ",$B73)-1,LEN($B73))))))&gt;0,1,0)</f>
        <v>0</v>
      </c>
      <c r="AF73" cm="1">
        <f t="array" ref="AF73">IF(SUMPRODUCT(--($AQ$2:$AQ$71=TRIM(LEFT($B73,IFERROR(FIND(" ",$B73)-1,LEN($B73))))))&gt;0,1,0)</f>
        <v>0</v>
      </c>
      <c r="AL73" t="s">
        <v>2230</v>
      </c>
      <c r="AM73" t="str">
        <f t="shared" si="3"/>
        <v>VAR</v>
      </c>
      <c r="AN73" t="s">
        <v>2309</v>
      </c>
      <c r="AO73" t="str">
        <f t="shared" si="4"/>
        <v>CATM</v>
      </c>
    </row>
    <row r="74" spans="1:43" ht="165.75" thickBot="1" x14ac:dyDescent="0.3">
      <c r="A74" s="13">
        <v>82</v>
      </c>
      <c r="B74" s="4" t="s">
        <v>256</v>
      </c>
      <c r="C74" s="4" t="s">
        <v>257</v>
      </c>
      <c r="D74" s="7">
        <v>45926</v>
      </c>
      <c r="E74" s="3">
        <v>2528.5500000000002</v>
      </c>
      <c r="F74" s="4" t="s">
        <v>30</v>
      </c>
      <c r="G74" s="3">
        <v>13.69</v>
      </c>
      <c r="H74" s="4" t="s">
        <v>41</v>
      </c>
      <c r="I74" s="4" t="s">
        <v>41</v>
      </c>
      <c r="J74" s="4" t="s">
        <v>100</v>
      </c>
      <c r="K74" s="4"/>
      <c r="L74" s="4"/>
      <c r="M74" s="3">
        <v>33.79</v>
      </c>
      <c r="N74" s="3">
        <v>1578.87</v>
      </c>
      <c r="O74" s="4" t="s">
        <v>49</v>
      </c>
      <c r="P74" s="4" t="s">
        <v>34</v>
      </c>
      <c r="Q74" s="4" t="s">
        <v>35</v>
      </c>
      <c r="R74" s="3">
        <v>1127.98</v>
      </c>
      <c r="S74" s="3">
        <v>5.11972</v>
      </c>
      <c r="T74" s="4" t="s">
        <v>258</v>
      </c>
      <c r="U74" s="2" t="s">
        <v>37</v>
      </c>
      <c r="V74" s="2" t="s">
        <v>37</v>
      </c>
      <c r="W74" s="2" t="s">
        <v>38</v>
      </c>
      <c r="X74" s="2" t="s">
        <v>38</v>
      </c>
      <c r="Y74" s="2" t="s">
        <v>38</v>
      </c>
      <c r="Z74" s="2" t="s">
        <v>37</v>
      </c>
      <c r="AA74" s="6">
        <v>3.4028715460000001</v>
      </c>
      <c r="AB74" s="6">
        <v>3.0523013990000001</v>
      </c>
      <c r="AC74" s="6">
        <v>3.1983463730000001</v>
      </c>
      <c r="AD74" cm="1">
        <f t="array" ref="AD74">IF(SUMPRODUCT(--($AM$2:$AM$112=TRIM(LEFT($B74,IFERROR(FIND(" ",$B74)-1,LEN($B74))))))&gt;0,1,0)</f>
        <v>0</v>
      </c>
      <c r="AE74" cm="1">
        <f t="array" ref="AE74">IF(SUMPRODUCT(--($AO$2:$AO$145=TRIM(LEFT($B74,IFERROR(FIND(" ",$B74)-1,LEN($B74))))))&gt;0,1,0)</f>
        <v>0</v>
      </c>
      <c r="AF74" cm="1">
        <f t="array" ref="AF74">IF(SUMPRODUCT(--($AQ$2:$AQ$71=TRIM(LEFT($B74,IFERROR(FIND(" ",$B74)-1,LEN($B74))))))&gt;0,1,0)</f>
        <v>0</v>
      </c>
      <c r="AL74" t="s">
        <v>2231</v>
      </c>
      <c r="AM74" t="str">
        <f t="shared" si="3"/>
        <v>MXIM</v>
      </c>
      <c r="AN74" t="s">
        <v>2310</v>
      </c>
      <c r="AO74" t="str">
        <f t="shared" si="4"/>
        <v>ALXN</v>
      </c>
    </row>
    <row r="75" spans="1:43" ht="45.75" thickBot="1" x14ac:dyDescent="0.3">
      <c r="A75" s="13">
        <v>80</v>
      </c>
      <c r="B75" s="4" t="s">
        <v>259</v>
      </c>
      <c r="C75" s="4" t="s">
        <v>260</v>
      </c>
      <c r="D75" s="7">
        <v>45922</v>
      </c>
      <c r="E75" s="3">
        <v>4578.62</v>
      </c>
      <c r="F75" s="4" t="s">
        <v>46</v>
      </c>
      <c r="G75" s="3">
        <v>13.96</v>
      </c>
      <c r="H75" s="4" t="s">
        <v>51</v>
      </c>
      <c r="I75" s="4" t="s">
        <v>51</v>
      </c>
      <c r="J75" s="4" t="s">
        <v>261</v>
      </c>
      <c r="K75" s="4"/>
      <c r="L75" s="4"/>
      <c r="M75" s="3">
        <v>105.45</v>
      </c>
      <c r="N75" s="3">
        <v>1496.62</v>
      </c>
      <c r="O75" s="4" t="s">
        <v>34</v>
      </c>
      <c r="P75" s="4" t="s">
        <v>34</v>
      </c>
      <c r="Q75" s="4" t="s">
        <v>35</v>
      </c>
      <c r="R75" s="3">
        <v>5692</v>
      </c>
      <c r="S75" s="3">
        <v>0.22131400000000001</v>
      </c>
      <c r="T75" s="4" t="s">
        <v>43</v>
      </c>
      <c r="U75" s="2" t="s">
        <v>37</v>
      </c>
      <c r="V75" s="2" t="s">
        <v>37</v>
      </c>
      <c r="W75" s="2" t="s">
        <v>37</v>
      </c>
      <c r="X75" s="2" t="s">
        <v>37</v>
      </c>
      <c r="Y75" s="2" t="s">
        <v>37</v>
      </c>
      <c r="Z75" s="2" t="s">
        <v>37</v>
      </c>
      <c r="AA75" s="6">
        <v>3.6607346010000001</v>
      </c>
      <c r="AB75" s="6">
        <v>3.7552648909999999</v>
      </c>
      <c r="AC75" s="6">
        <v>3.175111545</v>
      </c>
      <c r="AD75" cm="1">
        <f t="array" ref="AD75">IF(SUMPRODUCT(--($AM$2:$AM$112=TRIM(LEFT($B75,IFERROR(FIND(" ",$B75)-1,LEN($B75))))))&gt;0,1,0)</f>
        <v>0</v>
      </c>
      <c r="AE75" cm="1">
        <f t="array" ref="AE75">IF(SUMPRODUCT(--($AO$2:$AO$145=TRIM(LEFT($B75,IFERROR(FIND(" ",$B75)-1,LEN($B75))))))&gt;0,1,0)</f>
        <v>0</v>
      </c>
      <c r="AF75" cm="1">
        <f t="array" ref="AF75">IF(SUMPRODUCT(--($AQ$2:$AQ$71=TRIM(LEFT($B75,IFERROR(FIND(" ",$B75)-1,LEN($B75))))))&gt;0,1,0)</f>
        <v>0</v>
      </c>
      <c r="AL75" t="s">
        <v>2232</v>
      </c>
      <c r="AM75" t="str">
        <f t="shared" si="3"/>
        <v>BITA</v>
      </c>
      <c r="AN75" t="s">
        <v>2311</v>
      </c>
      <c r="AO75" t="str">
        <f t="shared" si="4"/>
        <v>INFO</v>
      </c>
    </row>
    <row r="76" spans="1:43" ht="105.75" thickBot="1" x14ac:dyDescent="0.3">
      <c r="A76" s="13">
        <v>40</v>
      </c>
      <c r="B76" s="4" t="s">
        <v>262</v>
      </c>
      <c r="C76" s="4" t="s">
        <v>122</v>
      </c>
      <c r="D76" s="7">
        <v>45975</v>
      </c>
      <c r="E76" s="3">
        <v>6672.15</v>
      </c>
      <c r="F76" s="4" t="s">
        <v>30</v>
      </c>
      <c r="G76" s="4"/>
      <c r="H76" s="4" t="s">
        <v>41</v>
      </c>
      <c r="I76" s="4" t="s">
        <v>41</v>
      </c>
      <c r="J76" s="4" t="s">
        <v>42</v>
      </c>
      <c r="K76" s="4"/>
      <c r="L76" s="4"/>
      <c r="M76" s="3">
        <v>116.01</v>
      </c>
      <c r="N76" s="3">
        <v>6963.82</v>
      </c>
      <c r="O76" s="4" t="s">
        <v>34</v>
      </c>
      <c r="P76" s="4" t="s">
        <v>34</v>
      </c>
      <c r="Q76" s="4" t="s">
        <v>35</v>
      </c>
      <c r="R76" s="3">
        <v>1.2749999999999999</v>
      </c>
      <c r="S76" s="2"/>
      <c r="T76" s="4" t="s">
        <v>91</v>
      </c>
      <c r="U76" s="2" t="s">
        <v>37</v>
      </c>
      <c r="V76" s="2" t="s">
        <v>37</v>
      </c>
      <c r="W76" s="2" t="s">
        <v>37</v>
      </c>
      <c r="X76" s="2" t="s">
        <v>37</v>
      </c>
      <c r="Y76" s="2" t="s">
        <v>37</v>
      </c>
      <c r="Z76" s="2" t="s">
        <v>38</v>
      </c>
      <c r="AA76" s="6">
        <v>3.8242658010000001</v>
      </c>
      <c r="AB76" s="6">
        <v>0.1055101848</v>
      </c>
      <c r="AC76" s="6">
        <v>3.8428475369999999</v>
      </c>
      <c r="AD76" cm="1">
        <f t="array" ref="AD76">IF(SUMPRODUCT(--($AM$2:$AM$112=TRIM(LEFT($B76,IFERROR(FIND(" ",$B76)-1,LEN($B76))))))&gt;0,1,0)</f>
        <v>0</v>
      </c>
      <c r="AE76" cm="1">
        <f t="array" ref="AE76">IF(SUMPRODUCT(--($AO$2:$AO$145=TRIM(LEFT($B76,IFERROR(FIND(" ",$B76)-1,LEN($B76))))))&gt;0,1,0)</f>
        <v>0</v>
      </c>
      <c r="AF76" cm="1">
        <f t="array" ref="AF76">IF(SUMPRODUCT(--($AQ$2:$AQ$71=TRIM(LEFT($B76,IFERROR(FIND(" ",$B76)-1,LEN($B76))))))&gt;0,1,0)</f>
        <v>0</v>
      </c>
      <c r="AL76" t="s">
        <v>2233</v>
      </c>
      <c r="AM76" t="str">
        <f t="shared" si="3"/>
        <v>WLTW</v>
      </c>
      <c r="AN76" t="s">
        <v>2312</v>
      </c>
      <c r="AO76" t="str">
        <f t="shared" si="4"/>
        <v>DII.B</v>
      </c>
    </row>
    <row r="77" spans="1:43" ht="45.75" thickBot="1" x14ac:dyDescent="0.3">
      <c r="A77" s="13">
        <v>117</v>
      </c>
      <c r="B77" s="4" t="s">
        <v>263</v>
      </c>
      <c r="C77" s="4" t="s">
        <v>264</v>
      </c>
      <c r="D77" s="7">
        <v>45862</v>
      </c>
      <c r="E77" s="3">
        <v>8368.2000000000007</v>
      </c>
      <c r="F77" s="4" t="s">
        <v>46</v>
      </c>
      <c r="G77" s="4"/>
      <c r="H77" s="4" t="s">
        <v>65</v>
      </c>
      <c r="I77" s="4" t="s">
        <v>66</v>
      </c>
      <c r="J77" s="4" t="s">
        <v>66</v>
      </c>
      <c r="K77" s="4"/>
      <c r="L77" s="4"/>
      <c r="M77" s="3">
        <v>10.9</v>
      </c>
      <c r="N77" s="3">
        <v>8368.2000000000007</v>
      </c>
      <c r="O77" s="4" t="s">
        <v>34</v>
      </c>
      <c r="P77" s="4" t="s">
        <v>34</v>
      </c>
      <c r="Q77" s="4" t="s">
        <v>35</v>
      </c>
      <c r="R77" s="3">
        <v>3433.19</v>
      </c>
      <c r="S77" s="3">
        <v>42.7881</v>
      </c>
      <c r="T77" s="4" t="s">
        <v>43</v>
      </c>
      <c r="U77" s="2" t="s">
        <v>37</v>
      </c>
      <c r="V77" s="2" t="s">
        <v>37</v>
      </c>
      <c r="W77" s="2" t="s">
        <v>37</v>
      </c>
      <c r="X77" s="2" t="s">
        <v>37</v>
      </c>
      <c r="Y77" s="2" t="s">
        <v>37</v>
      </c>
      <c r="Z77" s="2" t="s">
        <v>37</v>
      </c>
      <c r="AA77" s="6">
        <v>3.9226320509999999</v>
      </c>
      <c r="AB77" s="6">
        <v>3.535697839</v>
      </c>
      <c r="AC77" s="6">
        <v>3.9226320509999999</v>
      </c>
      <c r="AD77" cm="1">
        <f t="array" ref="AD77">IF(SUMPRODUCT(--($AM$2:$AM$112=TRIM(LEFT($B77,IFERROR(FIND(" ",$B77)-1,LEN($B77))))))&gt;0,1,0)</f>
        <v>0</v>
      </c>
      <c r="AE77" cm="1">
        <f t="array" ref="AE77">IF(SUMPRODUCT(--($AO$2:$AO$145=TRIM(LEFT($B77,IFERROR(FIND(" ",$B77)-1,LEN($B77))))))&gt;0,1,0)</f>
        <v>0</v>
      </c>
      <c r="AF77" cm="1">
        <f t="array" ref="AF77">IF(SUMPRODUCT(--($AQ$2:$AQ$71=TRIM(LEFT($B77,IFERROR(FIND(" ",$B77)-1,LEN($B77))))))&gt;0,1,0)</f>
        <v>0</v>
      </c>
      <c r="AL77" t="s">
        <v>2234</v>
      </c>
      <c r="AM77" t="str">
        <f t="shared" si="3"/>
        <v>DLPH</v>
      </c>
      <c r="AN77" t="s">
        <v>2313</v>
      </c>
      <c r="AO77" t="str">
        <f t="shared" si="4"/>
        <v>EIGI</v>
      </c>
    </row>
    <row r="78" spans="1:43" ht="180.75" thickBot="1" x14ac:dyDescent="0.3">
      <c r="A78" s="13">
        <v>103</v>
      </c>
      <c r="B78" s="4" t="s">
        <v>265</v>
      </c>
      <c r="C78" s="2"/>
      <c r="D78" s="7">
        <v>45880</v>
      </c>
      <c r="E78" s="3">
        <v>1302.27</v>
      </c>
      <c r="F78" s="4" t="s">
        <v>30</v>
      </c>
      <c r="G78" s="3">
        <v>6.59</v>
      </c>
      <c r="H78" s="4" t="s">
        <v>184</v>
      </c>
      <c r="I78" s="4" t="s">
        <v>185</v>
      </c>
      <c r="J78" s="4" t="s">
        <v>266</v>
      </c>
      <c r="K78" s="4"/>
      <c r="L78" s="4"/>
      <c r="M78" s="3">
        <v>45.03</v>
      </c>
      <c r="N78" s="3">
        <v>275.57</v>
      </c>
      <c r="O78" s="4" t="s">
        <v>34</v>
      </c>
      <c r="P78" s="4" t="s">
        <v>34</v>
      </c>
      <c r="Q78" s="4" t="s">
        <v>35</v>
      </c>
      <c r="R78" s="3">
        <v>630.9</v>
      </c>
      <c r="S78" s="3">
        <v>1.2186900000000001</v>
      </c>
      <c r="T78" s="4" t="s">
        <v>267</v>
      </c>
      <c r="U78" s="2" t="s">
        <v>38</v>
      </c>
      <c r="V78" s="2" t="s">
        <v>37</v>
      </c>
      <c r="W78" s="2" t="s">
        <v>37</v>
      </c>
      <c r="X78" s="2" t="s">
        <v>38</v>
      </c>
      <c r="Y78" s="2" t="s">
        <v>38</v>
      </c>
      <c r="Z78" s="2" t="s">
        <v>37</v>
      </c>
      <c r="AA78" s="6">
        <v>3.114701036</v>
      </c>
      <c r="AB78" s="6">
        <v>2.7999605270000001</v>
      </c>
      <c r="AC78" s="6">
        <v>2.440231936</v>
      </c>
      <c r="AD78" cm="1">
        <f t="array" ref="AD78">IF(SUMPRODUCT(--($AM$2:$AM$112=TRIM(LEFT($B78,IFERROR(FIND(" ",$B78)-1,LEN($B78))))))&gt;0,1,0)</f>
        <v>0</v>
      </c>
      <c r="AE78" cm="1">
        <f t="array" ref="AE78">IF(SUMPRODUCT(--($AO$2:$AO$145=TRIM(LEFT($B78,IFERROR(FIND(" ",$B78)-1,LEN($B78))))))&gt;0,1,0)</f>
        <v>1</v>
      </c>
      <c r="AF78" cm="1">
        <f t="array" ref="AF78">IF(SUMPRODUCT(--($AQ$2:$AQ$71=TRIM(LEFT($B78,IFERROR(FIND(" ",$B78)-1,LEN($B78))))))&gt;0,1,0)</f>
        <v>0</v>
      </c>
      <c r="AL78" t="s">
        <v>2235</v>
      </c>
      <c r="AM78" t="str">
        <f t="shared" si="3"/>
        <v>HXL</v>
      </c>
      <c r="AN78" t="s">
        <v>2227</v>
      </c>
      <c r="AO78" t="str">
        <f t="shared" si="4"/>
        <v>XLNX</v>
      </c>
    </row>
    <row r="79" spans="1:43" ht="165.75" thickBot="1" x14ac:dyDescent="0.3">
      <c r="A79" s="13">
        <v>66</v>
      </c>
      <c r="B79" s="4" t="s">
        <v>268</v>
      </c>
      <c r="C79" s="4" t="s">
        <v>269</v>
      </c>
      <c r="D79" s="7">
        <v>45924</v>
      </c>
      <c r="E79" s="3">
        <v>1648.6</v>
      </c>
      <c r="F79" s="4" t="s">
        <v>30</v>
      </c>
      <c r="G79" s="3">
        <v>12.21</v>
      </c>
      <c r="H79" s="4" t="s">
        <v>31</v>
      </c>
      <c r="I79" s="4" t="s">
        <v>32</v>
      </c>
      <c r="J79" s="4" t="s">
        <v>270</v>
      </c>
      <c r="K79" s="3">
        <v>100</v>
      </c>
      <c r="L79" s="3">
        <v>52.5</v>
      </c>
      <c r="M79" s="3">
        <v>18.8</v>
      </c>
      <c r="N79" s="3">
        <v>1711.48</v>
      </c>
      <c r="O79" s="4" t="s">
        <v>34</v>
      </c>
      <c r="P79" s="4" t="s">
        <v>49</v>
      </c>
      <c r="Q79" s="4" t="s">
        <v>35</v>
      </c>
      <c r="R79" s="3">
        <v>530.101</v>
      </c>
      <c r="S79" s="3">
        <v>10.557600000000001</v>
      </c>
      <c r="T79" s="4" t="s">
        <v>36</v>
      </c>
      <c r="U79" s="2" t="s">
        <v>37</v>
      </c>
      <c r="V79" s="2" t="s">
        <v>37</v>
      </c>
      <c r="W79" s="2" t="s">
        <v>38</v>
      </c>
      <c r="X79" s="2" t="s">
        <v>38</v>
      </c>
      <c r="Y79" s="2" t="s">
        <v>38</v>
      </c>
      <c r="Z79" s="2" t="s">
        <v>37</v>
      </c>
      <c r="AA79" s="6">
        <v>3.2171152959999998</v>
      </c>
      <c r="AB79" s="6">
        <v>2.7243586230000001</v>
      </c>
      <c r="AC79" s="6">
        <v>3.2333718280000001</v>
      </c>
      <c r="AD79" cm="1">
        <f t="array" ref="AD79">IF(SUMPRODUCT(--($AM$2:$AM$112=TRIM(LEFT($B79,IFERROR(FIND(" ",$B79)-1,LEN($B79))))))&gt;0,1,0)</f>
        <v>0</v>
      </c>
      <c r="AE79" cm="1">
        <f t="array" ref="AE79">IF(SUMPRODUCT(--($AO$2:$AO$145=TRIM(LEFT($B79,IFERROR(FIND(" ",$B79)-1,LEN($B79))))))&gt;0,1,0)</f>
        <v>0</v>
      </c>
      <c r="AF79" cm="1">
        <f t="array" ref="AF79">IF(SUMPRODUCT(--($AQ$2:$AQ$71=TRIM(LEFT($B79,IFERROR(FIND(" ",$B79)-1,LEN($B79))))))&gt;0,1,0)</f>
        <v>0</v>
      </c>
      <c r="AL79" t="s">
        <v>2236</v>
      </c>
      <c r="AM79" t="str">
        <f t="shared" si="3"/>
        <v>IFF</v>
      </c>
      <c r="AN79" t="s">
        <v>2314</v>
      </c>
      <c r="AO79" t="str">
        <f t="shared" si="4"/>
        <v>WTRE</v>
      </c>
    </row>
    <row r="80" spans="1:43" ht="45.75" thickBot="1" x14ac:dyDescent="0.3">
      <c r="A80" s="13">
        <v>40</v>
      </c>
      <c r="B80" s="4" t="s">
        <v>271</v>
      </c>
      <c r="C80" s="4" t="s">
        <v>272</v>
      </c>
      <c r="D80" s="7">
        <v>45958</v>
      </c>
      <c r="E80" s="3">
        <v>948.37</v>
      </c>
      <c r="F80" s="4" t="s">
        <v>30</v>
      </c>
      <c r="G80" s="3">
        <v>6.78</v>
      </c>
      <c r="H80" s="4" t="s">
        <v>118</v>
      </c>
      <c r="I80" s="4" t="s">
        <v>273</v>
      </c>
      <c r="J80" s="4" t="s">
        <v>273</v>
      </c>
      <c r="K80" s="4"/>
      <c r="L80" s="4"/>
      <c r="M80" s="3">
        <v>9.8000000000000007</v>
      </c>
      <c r="N80" s="3">
        <v>777.89</v>
      </c>
      <c r="O80" s="4" t="s">
        <v>49</v>
      </c>
      <c r="P80" s="4" t="s">
        <v>49</v>
      </c>
      <c r="Q80" s="4" t="s">
        <v>35</v>
      </c>
      <c r="R80" s="3">
        <v>347.084</v>
      </c>
      <c r="S80" s="3">
        <v>22.4741</v>
      </c>
      <c r="T80" s="4" t="s">
        <v>43</v>
      </c>
      <c r="U80" s="2" t="s">
        <v>37</v>
      </c>
      <c r="V80" s="2" t="s">
        <v>37</v>
      </c>
      <c r="W80" s="2" t="s">
        <v>37</v>
      </c>
      <c r="X80" s="2" t="s">
        <v>37</v>
      </c>
      <c r="Y80" s="2" t="s">
        <v>37</v>
      </c>
      <c r="Z80" s="2" t="s">
        <v>37</v>
      </c>
      <c r="AA80" s="6">
        <v>2.9769778069999999</v>
      </c>
      <c r="AB80" s="6">
        <v>2.5404345940000002</v>
      </c>
      <c r="AC80" s="6">
        <v>2.8909181890000002</v>
      </c>
      <c r="AD80" cm="1">
        <f t="array" ref="AD80">IF(SUMPRODUCT(--($AM$2:$AM$112=TRIM(LEFT($B80,IFERROR(FIND(" ",$B80)-1,LEN($B80))))))&gt;0,1,0)</f>
        <v>0</v>
      </c>
      <c r="AE80" cm="1">
        <f t="array" ref="AE80">IF(SUMPRODUCT(--($AO$2:$AO$145=TRIM(LEFT($B80,IFERROR(FIND(" ",$B80)-1,LEN($B80))))))&gt;0,1,0)</f>
        <v>0</v>
      </c>
      <c r="AF80" cm="1">
        <f t="array" ref="AF80">IF(SUMPRODUCT(--($AQ$2:$AQ$71=TRIM(LEFT($B80,IFERROR(FIND(" ",$B80)-1,LEN($B80))))))&gt;0,1,0)</f>
        <v>0</v>
      </c>
      <c r="AL80" t="s">
        <v>2237</v>
      </c>
      <c r="AM80" t="str">
        <f t="shared" si="3"/>
        <v>TIF</v>
      </c>
      <c r="AN80" t="s">
        <v>2315</v>
      </c>
      <c r="AO80" t="str">
        <f t="shared" si="4"/>
        <v>MVC</v>
      </c>
    </row>
    <row r="81" spans="1:41" ht="45.75" thickBot="1" x14ac:dyDescent="0.3">
      <c r="A81" s="13">
        <v>68</v>
      </c>
      <c r="B81" s="4" t="s">
        <v>274</v>
      </c>
      <c r="C81" s="4" t="s">
        <v>275</v>
      </c>
      <c r="D81" s="7">
        <v>45917</v>
      </c>
      <c r="E81" s="3">
        <v>1454.59</v>
      </c>
      <c r="F81" s="4" t="s">
        <v>30</v>
      </c>
      <c r="G81" s="3">
        <v>3.76</v>
      </c>
      <c r="H81" s="4" t="s">
        <v>51</v>
      </c>
      <c r="I81" s="4" t="s">
        <v>51</v>
      </c>
      <c r="J81" s="4" t="s">
        <v>79</v>
      </c>
      <c r="K81" s="4"/>
      <c r="L81" s="3">
        <v>59.7</v>
      </c>
      <c r="M81" s="3">
        <v>-6.92</v>
      </c>
      <c r="N81" s="3">
        <v>1454.59</v>
      </c>
      <c r="O81" s="4" t="s">
        <v>34</v>
      </c>
      <c r="P81" s="4" t="s">
        <v>34</v>
      </c>
      <c r="Q81" s="4" t="s">
        <v>35</v>
      </c>
      <c r="R81" s="3">
        <v>757.45100000000002</v>
      </c>
      <c r="S81" s="3">
        <v>13.159000000000001</v>
      </c>
      <c r="T81" s="4" t="s">
        <v>43</v>
      </c>
      <c r="U81" s="2" t="s">
        <v>37</v>
      </c>
      <c r="V81" s="2" t="s">
        <v>37</v>
      </c>
      <c r="W81" s="2" t="s">
        <v>37</v>
      </c>
      <c r="X81" s="2" t="s">
        <v>37</v>
      </c>
      <c r="Y81" s="2" t="s">
        <v>37</v>
      </c>
      <c r="Z81" s="2" t="s">
        <v>37</v>
      </c>
      <c r="AA81" s="6">
        <v>3.1627405980000001</v>
      </c>
      <c r="AB81" s="6">
        <v>2.8793545429999998</v>
      </c>
      <c r="AC81" s="6">
        <v>3.1627405980000001</v>
      </c>
      <c r="AD81" cm="1">
        <f t="array" ref="AD81">IF(SUMPRODUCT(--($AM$2:$AM$112=TRIM(LEFT($B81,IFERROR(FIND(" ",$B81)-1,LEN($B81))))))&gt;0,1,0)</f>
        <v>0</v>
      </c>
      <c r="AE81" cm="1">
        <f t="array" ref="AE81">IF(SUMPRODUCT(--($AO$2:$AO$145=TRIM(LEFT($B81,IFERROR(FIND(" ",$B81)-1,LEN($B81))))))&gt;0,1,0)</f>
        <v>0</v>
      </c>
      <c r="AF81" cm="1">
        <f t="array" ref="AF81">IF(SUMPRODUCT(--($AQ$2:$AQ$71=TRIM(LEFT($B81,IFERROR(FIND(" ",$B81)-1,LEN($B81))))))&gt;0,1,0)</f>
        <v>0</v>
      </c>
      <c r="AL81" t="s">
        <v>2238</v>
      </c>
      <c r="AM81" t="str">
        <f t="shared" si="3"/>
        <v>KEM</v>
      </c>
      <c r="AN81" t="s">
        <v>2230</v>
      </c>
      <c r="AO81" t="str">
        <f t="shared" si="4"/>
        <v>VAR</v>
      </c>
    </row>
    <row r="82" spans="1:41" ht="45.75" thickBot="1" x14ac:dyDescent="0.3">
      <c r="A82" s="13">
        <v>70</v>
      </c>
      <c r="B82" s="4" t="s">
        <v>276</v>
      </c>
      <c r="C82" s="4" t="s">
        <v>277</v>
      </c>
      <c r="D82" s="7">
        <v>45915</v>
      </c>
      <c r="E82" s="3">
        <v>622.62</v>
      </c>
      <c r="F82" s="4" t="s">
        <v>46</v>
      </c>
      <c r="G82" s="3">
        <v>2.6</v>
      </c>
      <c r="H82" s="4" t="s">
        <v>118</v>
      </c>
      <c r="I82" s="4" t="s">
        <v>119</v>
      </c>
      <c r="J82" s="4" t="s">
        <v>120</v>
      </c>
      <c r="K82" s="4"/>
      <c r="L82" s="4"/>
      <c r="M82" s="3">
        <v>14.59</v>
      </c>
      <c r="N82" s="3">
        <v>277.75</v>
      </c>
      <c r="O82" s="4" t="s">
        <v>34</v>
      </c>
      <c r="P82" s="4" t="s">
        <v>34</v>
      </c>
      <c r="Q82" s="4" t="s">
        <v>35</v>
      </c>
      <c r="R82" s="3">
        <v>776.50099999999998</v>
      </c>
      <c r="S82" s="3">
        <v>-9.0981000000000005</v>
      </c>
      <c r="T82" s="4" t="s">
        <v>43</v>
      </c>
      <c r="U82" s="2" t="s">
        <v>37</v>
      </c>
      <c r="V82" s="2" t="s">
        <v>37</v>
      </c>
      <c r="W82" s="2" t="s">
        <v>37</v>
      </c>
      <c r="X82" s="2" t="s">
        <v>37</v>
      </c>
      <c r="Y82" s="2" t="s">
        <v>37</v>
      </c>
      <c r="Z82" s="2" t="s">
        <v>37</v>
      </c>
      <c r="AA82" s="6">
        <v>2.7942230669999999</v>
      </c>
      <c r="AB82" s="6">
        <v>2.8901420189999998</v>
      </c>
      <c r="AC82" s="6">
        <v>2.4436540679999998</v>
      </c>
      <c r="AD82" cm="1">
        <f t="array" ref="AD82">IF(SUMPRODUCT(--($AM$2:$AM$112=TRIM(LEFT($B82,IFERROR(FIND(" ",$B82)-1,LEN($B82))))))&gt;0,1,0)</f>
        <v>0</v>
      </c>
      <c r="AE82" cm="1">
        <f t="array" ref="AE82">IF(SUMPRODUCT(--($AO$2:$AO$145=TRIM(LEFT($B82,IFERROR(FIND(" ",$B82)-1,LEN($B82))))))&gt;0,1,0)</f>
        <v>0</v>
      </c>
      <c r="AF82" cm="1">
        <f t="array" ref="AF82">IF(SUMPRODUCT(--($AQ$2:$AQ$71=TRIM(LEFT($B82,IFERROR(FIND(" ",$B82)-1,LEN($B82))))))&gt;0,1,0)</f>
        <v>0</v>
      </c>
      <c r="AL82" t="s">
        <v>2239</v>
      </c>
      <c r="AM82" t="str">
        <f t="shared" si="3"/>
        <v>MYL</v>
      </c>
      <c r="AN82" t="s">
        <v>2231</v>
      </c>
      <c r="AO82" t="str">
        <f t="shared" si="4"/>
        <v>MXIM</v>
      </c>
    </row>
    <row r="83" spans="1:41" ht="165.75" thickBot="1" x14ac:dyDescent="0.3">
      <c r="A83" s="13">
        <v>421</v>
      </c>
      <c r="B83" s="4" t="s">
        <v>278</v>
      </c>
      <c r="C83" s="2"/>
      <c r="D83" s="7">
        <v>45418</v>
      </c>
      <c r="E83" s="3">
        <v>5597.78</v>
      </c>
      <c r="F83" s="4" t="s">
        <v>30</v>
      </c>
      <c r="G83" s="3">
        <v>12.58</v>
      </c>
      <c r="H83" s="4" t="s">
        <v>279</v>
      </c>
      <c r="I83" s="4" t="s">
        <v>279</v>
      </c>
      <c r="J83" s="4" t="s">
        <v>280</v>
      </c>
      <c r="K83" s="4"/>
      <c r="L83" s="4"/>
      <c r="M83" s="3">
        <v>12.52</v>
      </c>
      <c r="N83" s="3">
        <v>3863.58</v>
      </c>
      <c r="O83" s="4" t="s">
        <v>34</v>
      </c>
      <c r="P83" s="4" t="s">
        <v>49</v>
      </c>
      <c r="Q83" s="4" t="s">
        <v>35</v>
      </c>
      <c r="R83" s="3">
        <v>1529.8</v>
      </c>
      <c r="S83" s="3">
        <v>9.2448200000000007</v>
      </c>
      <c r="T83" s="4" t="s">
        <v>281</v>
      </c>
      <c r="U83" s="2" t="s">
        <v>37</v>
      </c>
      <c r="V83" s="2" t="s">
        <v>37</v>
      </c>
      <c r="W83" s="2" t="s">
        <v>38</v>
      </c>
      <c r="X83" s="2" t="s">
        <v>38</v>
      </c>
      <c r="Y83" s="2" t="s">
        <v>38</v>
      </c>
      <c r="Z83" s="2" t="s">
        <v>37</v>
      </c>
      <c r="AA83" s="6">
        <v>3.7480158260000001</v>
      </c>
      <c r="AB83" s="6">
        <v>3.1846346570000001</v>
      </c>
      <c r="AC83" s="6">
        <v>3.5869899090000001</v>
      </c>
      <c r="AD83" cm="1">
        <f t="array" ref="AD83">IF(SUMPRODUCT(--($AM$2:$AM$112=TRIM(LEFT($B83,IFERROR(FIND(" ",$B83)-1,LEN($B83))))))&gt;0,1,0)</f>
        <v>1</v>
      </c>
      <c r="AE83" cm="1">
        <f t="array" ref="AE83">IF(SUMPRODUCT(--($AO$2:$AO$145=TRIM(LEFT($B83,IFERROR(FIND(" ",$B83)-1,LEN($B83))))))&gt;0,1,0)</f>
        <v>1</v>
      </c>
      <c r="AF83" cm="1">
        <f t="array" ref="AF83">IF(SUMPRODUCT(--($AQ$2:$AQ$71=TRIM(LEFT($B83,IFERROR(FIND(" ",$B83)-1,LEN($B83))))))&gt;0,1,0)</f>
        <v>1</v>
      </c>
      <c r="AL83" t="s">
        <v>2240</v>
      </c>
      <c r="AM83" t="str">
        <f t="shared" si="3"/>
        <v>MCRN</v>
      </c>
      <c r="AN83" t="s">
        <v>2233</v>
      </c>
      <c r="AO83" t="str">
        <f t="shared" si="4"/>
        <v>WLTW</v>
      </c>
    </row>
    <row r="84" spans="1:41" ht="45.75" thickBot="1" x14ac:dyDescent="0.3">
      <c r="A84" s="13">
        <v>81</v>
      </c>
      <c r="B84" s="4" t="s">
        <v>282</v>
      </c>
      <c r="C84" s="4" t="s">
        <v>283</v>
      </c>
      <c r="D84" s="7">
        <v>45894</v>
      </c>
      <c r="E84" s="3">
        <v>3053.93</v>
      </c>
      <c r="F84" s="4" t="s">
        <v>46</v>
      </c>
      <c r="G84" s="3">
        <v>3.75</v>
      </c>
      <c r="H84" s="4" t="s">
        <v>118</v>
      </c>
      <c r="I84" s="4" t="s">
        <v>119</v>
      </c>
      <c r="J84" s="4" t="s">
        <v>120</v>
      </c>
      <c r="K84" s="3">
        <v>76.900000000000006</v>
      </c>
      <c r="L84" s="3">
        <v>22.5</v>
      </c>
      <c r="M84" s="3">
        <v>9.61</v>
      </c>
      <c r="N84" s="3">
        <v>689.11</v>
      </c>
      <c r="O84" s="4" t="s">
        <v>34</v>
      </c>
      <c r="P84" s="4" t="s">
        <v>34</v>
      </c>
      <c r="Q84" s="4" t="s">
        <v>35</v>
      </c>
      <c r="R84" s="3">
        <v>1952.31</v>
      </c>
      <c r="S84" s="3">
        <v>-58.279899999999998</v>
      </c>
      <c r="T84" s="4" t="s">
        <v>43</v>
      </c>
      <c r="U84" s="2" t="s">
        <v>37</v>
      </c>
      <c r="V84" s="2" t="s">
        <v>37</v>
      </c>
      <c r="W84" s="2" t="s">
        <v>37</v>
      </c>
      <c r="X84" s="2" t="s">
        <v>37</v>
      </c>
      <c r="Y84" s="2" t="s">
        <v>37</v>
      </c>
      <c r="Z84" s="2" t="s">
        <v>37</v>
      </c>
      <c r="AA84" s="6">
        <v>3.4848590779999999</v>
      </c>
      <c r="AB84" s="6">
        <v>3.2905487789999999</v>
      </c>
      <c r="AC84" s="6">
        <v>2.8382885519999999</v>
      </c>
      <c r="AD84" cm="1">
        <f t="array" ref="AD84">IF(SUMPRODUCT(--($AM$2:$AM$112=TRIM(LEFT($B84,IFERROR(FIND(" ",$B84)-1,LEN($B84))))))&gt;0,1,0)</f>
        <v>0</v>
      </c>
      <c r="AE84" cm="1">
        <f t="array" ref="AE84">IF(SUMPRODUCT(--($AO$2:$AO$145=TRIM(LEFT($B84,IFERROR(FIND(" ",$B84)-1,LEN($B84))))))&gt;0,1,0)</f>
        <v>0</v>
      </c>
      <c r="AF84" cm="1">
        <f t="array" ref="AF84">IF(SUMPRODUCT(--($AQ$2:$AQ$71=TRIM(LEFT($B84,IFERROR(FIND(" ",$B84)-1,LEN($B84))))))&gt;0,1,0)</f>
        <v>0</v>
      </c>
      <c r="AL84" t="s">
        <v>2241</v>
      </c>
      <c r="AM84" t="str">
        <f t="shared" si="3"/>
        <v>ACIA</v>
      </c>
      <c r="AN84" t="s">
        <v>2316</v>
      </c>
      <c r="AO84" t="str">
        <f t="shared" si="4"/>
        <v>LM</v>
      </c>
    </row>
    <row r="85" spans="1:41" ht="75.75" thickBot="1" x14ac:dyDescent="0.3">
      <c r="A85" s="13">
        <v>347</v>
      </c>
      <c r="B85" s="4" t="s">
        <v>284</v>
      </c>
      <c r="C85" s="4" t="s">
        <v>285</v>
      </c>
      <c r="D85" s="7">
        <v>45518</v>
      </c>
      <c r="E85" s="3">
        <v>35478.03</v>
      </c>
      <c r="F85" s="4" t="s">
        <v>30</v>
      </c>
      <c r="G85" s="3">
        <v>17.21</v>
      </c>
      <c r="H85" s="4" t="s">
        <v>127</v>
      </c>
      <c r="I85" s="4" t="s">
        <v>128</v>
      </c>
      <c r="J85" s="4" t="s">
        <v>129</v>
      </c>
      <c r="K85" s="3">
        <v>1250</v>
      </c>
      <c r="L85" s="3">
        <v>800</v>
      </c>
      <c r="M85" s="4"/>
      <c r="N85" s="3">
        <v>29249.03</v>
      </c>
      <c r="O85" s="4" t="s">
        <v>34</v>
      </c>
      <c r="P85" s="4" t="s">
        <v>34</v>
      </c>
      <c r="Q85" s="4" t="s">
        <v>35</v>
      </c>
      <c r="R85" s="3">
        <v>12749</v>
      </c>
      <c r="S85" s="3">
        <v>14.6172</v>
      </c>
      <c r="T85" s="4" t="s">
        <v>286</v>
      </c>
      <c r="U85" s="2" t="s">
        <v>37</v>
      </c>
      <c r="V85" s="2" t="s">
        <v>37</v>
      </c>
      <c r="W85" s="2" t="s">
        <v>37</v>
      </c>
      <c r="X85" s="2" t="s">
        <v>38</v>
      </c>
      <c r="Y85" s="2" t="s">
        <v>37</v>
      </c>
      <c r="Z85" s="2" t="s">
        <v>37</v>
      </c>
      <c r="AA85" s="6">
        <v>4.5499594969999997</v>
      </c>
      <c r="AB85" s="6">
        <v>4.1054761209999997</v>
      </c>
      <c r="AC85" s="6">
        <v>4.4661114680000003</v>
      </c>
      <c r="AD85" cm="1">
        <f t="array" ref="AD85">IF(SUMPRODUCT(--($AM$2:$AM$112=TRIM(LEFT($B85,IFERROR(FIND(" ",$B85)-1,LEN($B85))))))&gt;0,1,0)</f>
        <v>0</v>
      </c>
      <c r="AE85" cm="1">
        <f t="array" ref="AE85">IF(SUMPRODUCT(--($AO$2:$AO$145=TRIM(LEFT($B85,IFERROR(FIND(" ",$B85)-1,LEN($B85))))))&gt;0,1,0)</f>
        <v>1</v>
      </c>
      <c r="AF85" cm="1">
        <f t="array" ref="AF85">IF(SUMPRODUCT(--($AQ$2:$AQ$71=TRIM(LEFT($B85,IFERROR(FIND(" ",$B85)-1,LEN($B85))))))&gt;0,1,0)</f>
        <v>0</v>
      </c>
      <c r="AL85" t="s">
        <v>2242</v>
      </c>
      <c r="AM85" t="str">
        <f t="shared" si="3"/>
        <v>AGN</v>
      </c>
      <c r="AN85" t="s">
        <v>2234</v>
      </c>
      <c r="AO85" t="str">
        <f t="shared" si="4"/>
        <v>DLPH</v>
      </c>
    </row>
    <row r="86" spans="1:41" ht="135.75" thickBot="1" x14ac:dyDescent="0.3">
      <c r="A86" s="13">
        <v>59</v>
      </c>
      <c r="B86" s="4" t="s">
        <v>287</v>
      </c>
      <c r="C86" s="4" t="s">
        <v>288</v>
      </c>
      <c r="D86" s="7">
        <v>45922</v>
      </c>
      <c r="E86" s="3">
        <v>1603.35</v>
      </c>
      <c r="F86" s="4" t="s">
        <v>30</v>
      </c>
      <c r="G86" s="3">
        <v>2.82</v>
      </c>
      <c r="H86" s="4" t="s">
        <v>75</v>
      </c>
      <c r="I86" s="4" t="s">
        <v>83</v>
      </c>
      <c r="J86" s="4" t="s">
        <v>84</v>
      </c>
      <c r="K86" s="4"/>
      <c r="L86" s="4"/>
      <c r="M86" s="3">
        <v>33.299999999999997</v>
      </c>
      <c r="N86" s="3">
        <v>842.35</v>
      </c>
      <c r="O86" s="4" t="s">
        <v>34</v>
      </c>
      <c r="P86" s="4" t="s">
        <v>34</v>
      </c>
      <c r="Q86" s="4" t="s">
        <v>35</v>
      </c>
      <c r="R86" s="3">
        <v>6990</v>
      </c>
      <c r="S86" s="3">
        <v>0.474441</v>
      </c>
      <c r="T86" s="4" t="s">
        <v>225</v>
      </c>
      <c r="U86" s="2" t="s">
        <v>37</v>
      </c>
      <c r="V86" s="2" t="s">
        <v>37</v>
      </c>
      <c r="W86" s="2" t="s">
        <v>37</v>
      </c>
      <c r="X86" s="2" t="s">
        <v>38</v>
      </c>
      <c r="Y86" s="2" t="s">
        <v>38</v>
      </c>
      <c r="Z86" s="2" t="s">
        <v>37</v>
      </c>
      <c r="AA86" s="6">
        <v>3.2050283359999998</v>
      </c>
      <c r="AB86" s="6">
        <v>3.8444771759999998</v>
      </c>
      <c r="AC86" s="6">
        <v>2.9254925799999998</v>
      </c>
      <c r="AD86" cm="1">
        <f t="array" ref="AD86">IF(SUMPRODUCT(--($AM$2:$AM$112=TRIM(LEFT($B86,IFERROR(FIND(" ",$B86)-1,LEN($B86))))))&gt;0,1,0)</f>
        <v>0</v>
      </c>
      <c r="AE86" cm="1">
        <f t="array" ref="AE86">IF(SUMPRODUCT(--($AO$2:$AO$145=TRIM(LEFT($B86,IFERROR(FIND(" ",$B86)-1,LEN($B86))))))&gt;0,1,0)</f>
        <v>0</v>
      </c>
      <c r="AF86" cm="1">
        <f t="array" ref="AF86">IF(SUMPRODUCT(--($AQ$2:$AQ$71=TRIM(LEFT($B86,IFERROR(FIND(" ",$B86)-1,LEN($B86))))))&gt;0,1,0)</f>
        <v>0</v>
      </c>
      <c r="AL86" t="s">
        <v>2243</v>
      </c>
      <c r="AM86" t="str">
        <f t="shared" si="3"/>
        <v>CY</v>
      </c>
      <c r="AN86" t="s">
        <v>2235</v>
      </c>
      <c r="AO86" t="str">
        <f t="shared" si="4"/>
        <v>HXL</v>
      </c>
    </row>
    <row r="87" spans="1:41" ht="135.75" thickBot="1" x14ac:dyDescent="0.3">
      <c r="A87" s="13">
        <v>49</v>
      </c>
      <c r="B87" s="4" t="s">
        <v>289</v>
      </c>
      <c r="C87" s="2"/>
      <c r="D87" s="7">
        <v>45936</v>
      </c>
      <c r="E87" s="3">
        <v>929.05</v>
      </c>
      <c r="F87" s="4" t="s">
        <v>30</v>
      </c>
      <c r="G87" s="3">
        <v>18.87</v>
      </c>
      <c r="H87" s="4" t="s">
        <v>70</v>
      </c>
      <c r="I87" s="4" t="s">
        <v>94</v>
      </c>
      <c r="J87" s="4" t="s">
        <v>95</v>
      </c>
      <c r="K87" s="4"/>
      <c r="L87" s="3">
        <v>38.9</v>
      </c>
      <c r="M87" s="3">
        <v>18.57</v>
      </c>
      <c r="N87" s="3">
        <v>1223.44</v>
      </c>
      <c r="O87" s="4" t="s">
        <v>34</v>
      </c>
      <c r="P87" s="4" t="s">
        <v>34</v>
      </c>
      <c r="Q87" s="4" t="s">
        <v>35</v>
      </c>
      <c r="R87" s="3">
        <v>1115.68</v>
      </c>
      <c r="S87" s="3">
        <v>3.0352999999999999</v>
      </c>
      <c r="T87" s="4" t="s">
        <v>225</v>
      </c>
      <c r="U87" s="2" t="s">
        <v>37</v>
      </c>
      <c r="V87" s="2" t="s">
        <v>37</v>
      </c>
      <c r="W87" s="2" t="s">
        <v>37</v>
      </c>
      <c r="X87" s="2" t="s">
        <v>38</v>
      </c>
      <c r="Y87" s="2" t="s">
        <v>38</v>
      </c>
      <c r="Z87" s="2" t="s">
        <v>37</v>
      </c>
      <c r="AA87" s="6">
        <v>2.9680390879999998</v>
      </c>
      <c r="AB87" s="6">
        <v>3.0475396479999999</v>
      </c>
      <c r="AC87" s="6">
        <v>3.0875826759999998</v>
      </c>
      <c r="AD87" cm="1">
        <f t="array" ref="AD87">IF(SUMPRODUCT(--($AM$2:$AM$112=TRIM(LEFT($B87,IFERROR(FIND(" ",$B87)-1,LEN($B87))))))&gt;0,1,0)</f>
        <v>0</v>
      </c>
      <c r="AE87" cm="1">
        <f t="array" ref="AE87">IF(SUMPRODUCT(--($AO$2:$AO$145=TRIM(LEFT($B87,IFERROR(FIND(" ",$B87)-1,LEN($B87))))))&gt;0,1,0)</f>
        <v>0</v>
      </c>
      <c r="AF87" cm="1">
        <f t="array" ref="AF87">IF(SUMPRODUCT(--($AQ$2:$AQ$71=TRIM(LEFT($B87,IFERROR(FIND(" ",$B87)-1,LEN($B87))))))&gt;0,1,0)</f>
        <v>0</v>
      </c>
      <c r="AL87" t="s">
        <v>2244</v>
      </c>
      <c r="AM87" t="str">
        <f t="shared" si="3"/>
        <v>IR</v>
      </c>
      <c r="AN87" t="s">
        <v>2236</v>
      </c>
      <c r="AO87" t="str">
        <f t="shared" si="4"/>
        <v>IFF</v>
      </c>
    </row>
    <row r="88" spans="1:41" ht="75.75" thickBot="1" x14ac:dyDescent="0.3">
      <c r="A88" s="13">
        <v>45</v>
      </c>
      <c r="B88" s="4" t="s">
        <v>290</v>
      </c>
      <c r="C88" s="4" t="s">
        <v>291</v>
      </c>
      <c r="D88" s="7">
        <v>45939</v>
      </c>
      <c r="E88" s="3">
        <v>4457.46</v>
      </c>
      <c r="F88" s="4" t="s">
        <v>30</v>
      </c>
      <c r="G88" s="4"/>
      <c r="H88" s="4" t="s">
        <v>41</v>
      </c>
      <c r="I88" s="4" t="s">
        <v>41</v>
      </c>
      <c r="J88" s="4" t="s">
        <v>42</v>
      </c>
      <c r="K88" s="4"/>
      <c r="L88" s="4"/>
      <c r="M88" s="3">
        <v>17.93</v>
      </c>
      <c r="N88" s="3">
        <v>4457.46</v>
      </c>
      <c r="O88" s="4" t="s">
        <v>34</v>
      </c>
      <c r="P88" s="4" t="s">
        <v>292</v>
      </c>
      <c r="Q88" s="4" t="s">
        <v>35</v>
      </c>
      <c r="R88" s="2"/>
      <c r="S88" s="2"/>
      <c r="T88" s="4" t="s">
        <v>97</v>
      </c>
      <c r="U88" s="2" t="s">
        <v>37</v>
      </c>
      <c r="V88" s="2" t="s">
        <v>37</v>
      </c>
      <c r="W88" s="2" t="s">
        <v>38</v>
      </c>
      <c r="X88" s="2" t="s">
        <v>37</v>
      </c>
      <c r="Y88" s="2" t="s">
        <v>37</v>
      </c>
      <c r="Z88" s="2" t="s">
        <v>37</v>
      </c>
      <c r="AA88" s="6">
        <v>3.6490874550000001</v>
      </c>
      <c r="AB88" s="2"/>
      <c r="AC88" s="6">
        <v>3.6490874550000001</v>
      </c>
      <c r="AD88" cm="1">
        <f t="array" ref="AD88">IF(SUMPRODUCT(--($AM$2:$AM$112=TRIM(LEFT($B88,IFERROR(FIND(" ",$B88)-1,LEN($B88))))))&gt;0,1,0)</f>
        <v>0</v>
      </c>
      <c r="AE88" cm="1">
        <f t="array" ref="AE88">IF(SUMPRODUCT(--($AO$2:$AO$145=TRIM(LEFT($B88,IFERROR(FIND(" ",$B88)-1,LEN($B88))))))&gt;0,1,0)</f>
        <v>0</v>
      </c>
      <c r="AF88" cm="1">
        <f t="array" ref="AF88">IF(SUMPRODUCT(--($AQ$2:$AQ$71=TRIM(LEFT($B88,IFERROR(FIND(" ",$B88)-1,LEN($B88))))))&gt;0,1,0)</f>
        <v>0</v>
      </c>
      <c r="AL88" t="s">
        <v>2245</v>
      </c>
      <c r="AM88" t="str">
        <f t="shared" si="3"/>
        <v>VSM</v>
      </c>
      <c r="AN88" t="s">
        <v>2237</v>
      </c>
      <c r="AO88" t="str">
        <f t="shared" si="4"/>
        <v>TIF</v>
      </c>
    </row>
    <row r="89" spans="1:41" ht="75.75" thickBot="1" x14ac:dyDescent="0.3">
      <c r="A89" s="13">
        <v>93</v>
      </c>
      <c r="B89" s="4" t="s">
        <v>293</v>
      </c>
      <c r="C89" s="4" t="s">
        <v>294</v>
      </c>
      <c r="D89" s="7">
        <v>45873</v>
      </c>
      <c r="E89" s="3">
        <v>2147.5700000000002</v>
      </c>
      <c r="F89" s="4" t="s">
        <v>107</v>
      </c>
      <c r="G89" s="3">
        <v>7.56</v>
      </c>
      <c r="H89" s="4" t="s">
        <v>75</v>
      </c>
      <c r="I89" s="4" t="s">
        <v>76</v>
      </c>
      <c r="J89" s="4" t="s">
        <v>295</v>
      </c>
      <c r="K89" s="3">
        <v>134</v>
      </c>
      <c r="L89" s="3">
        <v>67</v>
      </c>
      <c r="M89" s="3">
        <v>76.400000000000006</v>
      </c>
      <c r="N89" s="3">
        <v>1771.67</v>
      </c>
      <c r="O89" s="4" t="s">
        <v>34</v>
      </c>
      <c r="P89" s="4" t="s">
        <v>34</v>
      </c>
      <c r="Q89" s="4" t="s">
        <v>35</v>
      </c>
      <c r="R89" s="3">
        <v>3166</v>
      </c>
      <c r="S89" s="3">
        <v>3.9613399999999999</v>
      </c>
      <c r="T89" s="4" t="s">
        <v>43</v>
      </c>
      <c r="U89" s="2" t="s">
        <v>37</v>
      </c>
      <c r="V89" s="2" t="s">
        <v>37</v>
      </c>
      <c r="W89" s="2" t="s">
        <v>37</v>
      </c>
      <c r="X89" s="2" t="s">
        <v>37</v>
      </c>
      <c r="Y89" s="2" t="s">
        <v>37</v>
      </c>
      <c r="Z89" s="2" t="s">
        <v>37</v>
      </c>
      <c r="AA89" s="6">
        <v>3.3319473290000001</v>
      </c>
      <c r="AB89" s="6">
        <v>3.5005109110000001</v>
      </c>
      <c r="AC89" s="6">
        <v>3.2483828309999998</v>
      </c>
      <c r="AD89" cm="1">
        <f t="array" ref="AD89">IF(SUMPRODUCT(--($AM$2:$AM$112=TRIM(LEFT($B89,IFERROR(FIND(" ",$B89)-1,LEN($B89))))))&gt;0,1,0)</f>
        <v>0</v>
      </c>
      <c r="AE89" cm="1">
        <f t="array" ref="AE89">IF(SUMPRODUCT(--($AO$2:$AO$145=TRIM(LEFT($B89,IFERROR(FIND(" ",$B89)-1,LEN($B89))))))&gt;0,1,0)</f>
        <v>0</v>
      </c>
      <c r="AF89" cm="1">
        <f t="array" ref="AF89">IF(SUMPRODUCT(--($AQ$2:$AQ$71=TRIM(LEFT($B89,IFERROR(FIND(" ",$B89)-1,LEN($B89))))))&gt;0,1,0)</f>
        <v>0</v>
      </c>
      <c r="AL89" t="s">
        <v>2246</v>
      </c>
      <c r="AM89" t="str">
        <f t="shared" si="3"/>
        <v>WBC</v>
      </c>
      <c r="AN89" t="s">
        <v>2317</v>
      </c>
      <c r="AO89" t="str">
        <f t="shared" si="4"/>
        <v>TECD</v>
      </c>
    </row>
    <row r="90" spans="1:41" ht="135.75" thickBot="1" x14ac:dyDescent="0.3">
      <c r="A90" s="13">
        <v>112</v>
      </c>
      <c r="B90" s="4" t="s">
        <v>296</v>
      </c>
      <c r="C90" s="2"/>
      <c r="D90" s="7">
        <v>45846</v>
      </c>
      <c r="E90" s="3">
        <v>998.81</v>
      </c>
      <c r="F90" s="4" t="s">
        <v>297</v>
      </c>
      <c r="G90" s="3">
        <v>8.4</v>
      </c>
      <c r="H90" s="4" t="s">
        <v>75</v>
      </c>
      <c r="I90" s="4" t="s">
        <v>76</v>
      </c>
      <c r="J90" s="4" t="s">
        <v>298</v>
      </c>
      <c r="K90" s="4"/>
      <c r="L90" s="4"/>
      <c r="M90" s="4"/>
      <c r="N90" s="3">
        <v>559.29999999999995</v>
      </c>
      <c r="O90" s="4" t="s">
        <v>34</v>
      </c>
      <c r="P90" s="4" t="s">
        <v>34</v>
      </c>
      <c r="Q90" s="4" t="s">
        <v>35</v>
      </c>
      <c r="R90" s="3">
        <v>1267.3399999999999</v>
      </c>
      <c r="S90" s="3">
        <v>-15.1409</v>
      </c>
      <c r="T90" s="4" t="s">
        <v>299</v>
      </c>
      <c r="U90" s="2" t="s">
        <v>37</v>
      </c>
      <c r="V90" s="2" t="s">
        <v>37</v>
      </c>
      <c r="W90" s="2" t="s">
        <v>37</v>
      </c>
      <c r="X90" s="2" t="s">
        <v>38</v>
      </c>
      <c r="Y90" s="2" t="s">
        <v>38</v>
      </c>
      <c r="Z90" s="2" t="s">
        <v>37</v>
      </c>
      <c r="AA90" s="6">
        <v>2.9994828820000001</v>
      </c>
      <c r="AB90" s="6">
        <v>3.1028931420000001</v>
      </c>
      <c r="AC90" s="6">
        <v>2.747644819</v>
      </c>
      <c r="AD90" cm="1">
        <f t="array" ref="AD90">IF(SUMPRODUCT(--($AM$2:$AM$112=TRIM(LEFT($B90,IFERROR(FIND(" ",$B90)-1,LEN($B90))))))&gt;0,1,0)</f>
        <v>0</v>
      </c>
      <c r="AE90" cm="1">
        <f t="array" ref="AE90">IF(SUMPRODUCT(--($AO$2:$AO$145=TRIM(LEFT($B90,IFERROR(FIND(" ",$B90)-1,LEN($B90))))))&gt;0,1,0)</f>
        <v>0</v>
      </c>
      <c r="AF90" cm="1">
        <f t="array" ref="AF90">IF(SUMPRODUCT(--($AQ$2:$AQ$71=TRIM(LEFT($B90,IFERROR(FIND(" ",$B90)-1,LEN($B90))))))&gt;0,1,0)</f>
        <v>0</v>
      </c>
      <c r="AL90" t="s">
        <v>2247</v>
      </c>
      <c r="AM90" t="str">
        <f t="shared" si="3"/>
        <v>QTNA</v>
      </c>
      <c r="AN90" t="s">
        <v>2318</v>
      </c>
      <c r="AO90" t="str">
        <f t="shared" si="4"/>
        <v>FIT</v>
      </c>
    </row>
    <row r="91" spans="1:41" ht="165.75" thickBot="1" x14ac:dyDescent="0.3">
      <c r="A91" s="13">
        <v>57</v>
      </c>
      <c r="B91" s="4" t="s">
        <v>300</v>
      </c>
      <c r="C91" s="4" t="s">
        <v>230</v>
      </c>
      <c r="D91" s="7">
        <v>45922</v>
      </c>
      <c r="E91" s="3">
        <v>1283.49</v>
      </c>
      <c r="F91" s="4" t="s">
        <v>30</v>
      </c>
      <c r="G91" s="4"/>
      <c r="H91" s="4" t="s">
        <v>31</v>
      </c>
      <c r="I91" s="4" t="s">
        <v>32</v>
      </c>
      <c r="J91" s="4" t="s">
        <v>33</v>
      </c>
      <c r="K91" s="4"/>
      <c r="L91" s="4"/>
      <c r="M91" s="3">
        <v>50.73</v>
      </c>
      <c r="N91" s="3">
        <v>1118.48</v>
      </c>
      <c r="O91" s="4" t="s">
        <v>34</v>
      </c>
      <c r="P91" s="4" t="s">
        <v>34</v>
      </c>
      <c r="Q91" s="4" t="s">
        <v>35</v>
      </c>
      <c r="R91" s="3">
        <v>330.37200000000001</v>
      </c>
      <c r="S91" s="3">
        <v>-4.5088999999999997</v>
      </c>
      <c r="T91" s="4" t="s">
        <v>301</v>
      </c>
      <c r="U91" s="2" t="s">
        <v>37</v>
      </c>
      <c r="V91" s="2" t="s">
        <v>37</v>
      </c>
      <c r="W91" s="2" t="s">
        <v>37</v>
      </c>
      <c r="X91" s="2" t="s">
        <v>38</v>
      </c>
      <c r="Y91" s="2" t="s">
        <v>37</v>
      </c>
      <c r="Z91" s="2" t="s">
        <v>37</v>
      </c>
      <c r="AA91" s="6">
        <v>3.1083924889999999</v>
      </c>
      <c r="AB91" s="6">
        <v>2.5190032320000002</v>
      </c>
      <c r="AC91" s="6">
        <v>3.0486282230000001</v>
      </c>
      <c r="AD91" cm="1">
        <f t="array" ref="AD91">IF(SUMPRODUCT(--($AM$2:$AM$112=TRIM(LEFT($B91,IFERROR(FIND(" ",$B91)-1,LEN($B91))))))&gt;0,1,0)</f>
        <v>0</v>
      </c>
      <c r="AE91" cm="1">
        <f t="array" ref="AE91">IF(SUMPRODUCT(--($AO$2:$AO$145=TRIM(LEFT($B91,IFERROR(FIND(" ",$B91)-1,LEN($B91))))))&gt;0,1,0)</f>
        <v>0</v>
      </c>
      <c r="AF91" cm="1">
        <f t="array" ref="AF91">IF(SUMPRODUCT(--($AQ$2:$AQ$71=TRIM(LEFT($B91,IFERROR(FIND(" ",$B91)-1,LEN($B91))))))&gt;0,1,0)</f>
        <v>0</v>
      </c>
      <c r="AL91" t="s">
        <v>2248</v>
      </c>
      <c r="AM91" t="str">
        <f t="shared" si="3"/>
        <v>OAK</v>
      </c>
      <c r="AN91" t="s">
        <v>2319</v>
      </c>
      <c r="AO91" t="str">
        <f t="shared" si="4"/>
        <v>AXE</v>
      </c>
    </row>
    <row r="92" spans="1:41" ht="45.75" thickBot="1" x14ac:dyDescent="0.3">
      <c r="A92" s="13">
        <v>376</v>
      </c>
      <c r="B92" s="4" t="s">
        <v>302</v>
      </c>
      <c r="C92" s="4" t="s">
        <v>303</v>
      </c>
      <c r="D92" s="7">
        <v>45474</v>
      </c>
      <c r="E92" s="3">
        <v>7962.46</v>
      </c>
      <c r="F92" s="4" t="s">
        <v>46</v>
      </c>
      <c r="G92" s="3">
        <v>40.619999999999997</v>
      </c>
      <c r="H92" s="4" t="s">
        <v>70</v>
      </c>
      <c r="I92" s="4" t="s">
        <v>71</v>
      </c>
      <c r="J92" s="4" t="s">
        <v>304</v>
      </c>
      <c r="K92" s="3">
        <v>300</v>
      </c>
      <c r="L92" s="3">
        <v>150</v>
      </c>
      <c r="M92" s="3">
        <v>14.48</v>
      </c>
      <c r="N92" s="3">
        <v>4149.3599999999997</v>
      </c>
      <c r="O92" s="4" t="s">
        <v>34</v>
      </c>
      <c r="P92" s="4" t="s">
        <v>34</v>
      </c>
      <c r="Q92" s="4" t="s">
        <v>35</v>
      </c>
      <c r="R92" s="3">
        <v>6316.6</v>
      </c>
      <c r="S92" s="3">
        <v>-34.274900000000002</v>
      </c>
      <c r="T92" s="4" t="s">
        <v>43</v>
      </c>
      <c r="U92" s="2" t="s">
        <v>37</v>
      </c>
      <c r="V92" s="2" t="s">
        <v>37</v>
      </c>
      <c r="W92" s="2" t="s">
        <v>37</v>
      </c>
      <c r="X92" s="2" t="s">
        <v>37</v>
      </c>
      <c r="Y92" s="2" t="s">
        <v>37</v>
      </c>
      <c r="Z92" s="2" t="s">
        <v>37</v>
      </c>
      <c r="AA92" s="6">
        <v>3.9010472639999998</v>
      </c>
      <c r="AB92" s="6">
        <v>3.8004833759999999</v>
      </c>
      <c r="AC92" s="6">
        <v>3.6179811160000002</v>
      </c>
      <c r="AD92" cm="1">
        <f t="array" ref="AD92">IF(SUMPRODUCT(--($AM$2:$AM$112=TRIM(LEFT($B92,IFERROR(FIND(" ",$B92)-1,LEN($B92))))))&gt;0,1,0)</f>
        <v>0</v>
      </c>
      <c r="AE92" cm="1">
        <f t="array" ref="AE92">IF(SUMPRODUCT(--($AO$2:$AO$145=TRIM(LEFT($B92,IFERROR(FIND(" ",$B92)-1,LEN($B92))))))&gt;0,1,0)</f>
        <v>1</v>
      </c>
      <c r="AF92" cm="1">
        <f t="array" ref="AF92">IF(SUMPRODUCT(--($AQ$2:$AQ$71=TRIM(LEFT($B92,IFERROR(FIND(" ",$B92)-1,LEN($B92))))))&gt;0,1,0)</f>
        <v>0</v>
      </c>
      <c r="AL92" t="s">
        <v>2249</v>
      </c>
      <c r="AM92" t="str">
        <f t="shared" si="3"/>
        <v>VSM</v>
      </c>
      <c r="AN92" t="s">
        <v>2320</v>
      </c>
      <c r="AO92" t="str">
        <f t="shared" si="4"/>
        <v>CETV</v>
      </c>
    </row>
    <row r="93" spans="1:41" ht="75.75" thickBot="1" x14ac:dyDescent="0.3">
      <c r="A93" s="13">
        <v>79</v>
      </c>
      <c r="B93" s="4" t="s">
        <v>305</v>
      </c>
      <c r="C93" s="4" t="s">
        <v>306</v>
      </c>
      <c r="D93" s="7">
        <v>45882</v>
      </c>
      <c r="E93" s="3">
        <v>4518.07</v>
      </c>
      <c r="F93" s="4" t="s">
        <v>107</v>
      </c>
      <c r="G93" s="3">
        <v>16.87</v>
      </c>
      <c r="H93" s="4" t="s">
        <v>75</v>
      </c>
      <c r="I93" s="4" t="s">
        <v>76</v>
      </c>
      <c r="J93" s="4" t="s">
        <v>307</v>
      </c>
      <c r="K93" s="4"/>
      <c r="L93" s="4"/>
      <c r="M93" s="3">
        <v>34.26</v>
      </c>
      <c r="N93" s="3">
        <v>2152.75</v>
      </c>
      <c r="O93" s="4" t="s">
        <v>34</v>
      </c>
      <c r="P93" s="4" t="s">
        <v>49</v>
      </c>
      <c r="Q93" s="4" t="s">
        <v>35</v>
      </c>
      <c r="R93" s="3">
        <v>3507.44</v>
      </c>
      <c r="S93" s="3">
        <v>13.076000000000001</v>
      </c>
      <c r="T93" s="4" t="s">
        <v>97</v>
      </c>
      <c r="U93" s="2" t="s">
        <v>37</v>
      </c>
      <c r="V93" s="2" t="s">
        <v>37</v>
      </c>
      <c r="W93" s="2" t="s">
        <v>38</v>
      </c>
      <c r="X93" s="2" t="s">
        <v>37</v>
      </c>
      <c r="Y93" s="2" t="s">
        <v>37</v>
      </c>
      <c r="Z93" s="2" t="s">
        <v>37</v>
      </c>
      <c r="AA93" s="6">
        <v>3.6549529550000002</v>
      </c>
      <c r="AB93" s="6">
        <v>3.5449902510000002</v>
      </c>
      <c r="AC93" s="6">
        <v>3.3329935979999998</v>
      </c>
      <c r="AD93" cm="1">
        <f t="array" ref="AD93">IF(SUMPRODUCT(--($AM$2:$AM$112=TRIM(LEFT($B93,IFERROR(FIND(" ",$B93)-1,LEN($B93))))))&gt;0,1,0)</f>
        <v>0</v>
      </c>
      <c r="AE93" cm="1">
        <f t="array" ref="AE93">IF(SUMPRODUCT(--($AO$2:$AO$145=TRIM(LEFT($B93,IFERROR(FIND(" ",$B93)-1,LEN($B93))))))&gt;0,1,0)</f>
        <v>0</v>
      </c>
      <c r="AF93" cm="1">
        <f t="array" ref="AF93">IF(SUMPRODUCT(--($AQ$2:$AQ$71=TRIM(LEFT($B93,IFERROR(FIND(" ",$B93)-1,LEN($B93))))))&gt;0,1,0)</f>
        <v>0</v>
      </c>
      <c r="AL93" t="s">
        <v>2250</v>
      </c>
      <c r="AM93" t="str">
        <f t="shared" si="3"/>
        <v>FNSR</v>
      </c>
      <c r="AN93" t="s">
        <v>2321</v>
      </c>
      <c r="AO93" t="str">
        <f t="shared" si="4"/>
        <v>CISN</v>
      </c>
    </row>
    <row r="94" spans="1:41" ht="60.75" thickBot="1" x14ac:dyDescent="0.3">
      <c r="A94" s="13">
        <v>255</v>
      </c>
      <c r="B94" s="4" t="s">
        <v>308</v>
      </c>
      <c r="C94" s="4" t="s">
        <v>309</v>
      </c>
      <c r="D94" s="7">
        <v>45635</v>
      </c>
      <c r="E94" s="3">
        <v>15915.52</v>
      </c>
      <c r="F94" s="4" t="s">
        <v>46</v>
      </c>
      <c r="G94" s="3">
        <v>8</v>
      </c>
      <c r="H94" s="4" t="s">
        <v>184</v>
      </c>
      <c r="I94" s="4" t="s">
        <v>185</v>
      </c>
      <c r="J94" s="4" t="s">
        <v>310</v>
      </c>
      <c r="K94" s="3">
        <v>676</v>
      </c>
      <c r="L94" s="3">
        <v>439</v>
      </c>
      <c r="M94" s="3">
        <v>20.38</v>
      </c>
      <c r="N94" s="3">
        <v>13165.02</v>
      </c>
      <c r="O94" s="4" t="s">
        <v>34</v>
      </c>
      <c r="P94" s="4" t="s">
        <v>34</v>
      </c>
      <c r="Q94" s="4" t="s">
        <v>35</v>
      </c>
      <c r="R94" s="3">
        <v>10691.7</v>
      </c>
      <c r="S94" s="3">
        <v>9.6822800000000004</v>
      </c>
      <c r="T94" s="4" t="s">
        <v>43</v>
      </c>
      <c r="U94" s="2" t="s">
        <v>37</v>
      </c>
      <c r="V94" s="2" t="s">
        <v>37</v>
      </c>
      <c r="W94" s="2" t="s">
        <v>37</v>
      </c>
      <c r="X94" s="2" t="s">
        <v>37</v>
      </c>
      <c r="Y94" s="2" t="s">
        <v>37</v>
      </c>
      <c r="Z94" s="2" t="s">
        <v>37</v>
      </c>
      <c r="AA94" s="6">
        <v>4.2018208330000002</v>
      </c>
      <c r="AB94" s="6">
        <v>4.0290467640000003</v>
      </c>
      <c r="AC94" s="6">
        <v>4.1194215229999998</v>
      </c>
      <c r="AD94" cm="1">
        <f t="array" ref="AD94">IF(SUMPRODUCT(--($AM$2:$AM$112=TRIM(LEFT($B94,IFERROR(FIND(" ",$B94)-1,LEN($B94))))))&gt;0,1,0)</f>
        <v>1</v>
      </c>
      <c r="AE94" cm="1">
        <f t="array" ref="AE94">IF(SUMPRODUCT(--($AO$2:$AO$145=TRIM(LEFT($B94,IFERROR(FIND(" ",$B94)-1,LEN($B94))))))&gt;0,1,0)</f>
        <v>1</v>
      </c>
      <c r="AF94" cm="1">
        <f t="array" ref="AF94">IF(SUMPRODUCT(--($AQ$2:$AQ$71=TRIM(LEFT($B94,IFERROR(FIND(" ",$B94)-1,LEN($B94))))))&gt;0,1,0)</f>
        <v>0</v>
      </c>
      <c r="AL94" t="s">
        <v>2251</v>
      </c>
      <c r="AM94" t="str">
        <f t="shared" si="3"/>
        <v>ESIO</v>
      </c>
      <c r="AN94" t="s">
        <v>2322</v>
      </c>
      <c r="AO94" t="str">
        <f t="shared" si="4"/>
        <v>DRG</v>
      </c>
    </row>
    <row r="95" spans="1:41" ht="135.75" thickBot="1" x14ac:dyDescent="0.3">
      <c r="A95" s="13">
        <v>70</v>
      </c>
      <c r="B95" s="4" t="s">
        <v>311</v>
      </c>
      <c r="C95" s="4" t="s">
        <v>230</v>
      </c>
      <c r="D95" s="7">
        <v>45894</v>
      </c>
      <c r="E95" s="3">
        <v>1494.05</v>
      </c>
      <c r="F95" s="4" t="s">
        <v>30</v>
      </c>
      <c r="G95" s="3">
        <v>9.24</v>
      </c>
      <c r="H95" s="4" t="s">
        <v>31</v>
      </c>
      <c r="I95" s="4" t="s">
        <v>32</v>
      </c>
      <c r="J95" s="4" t="s">
        <v>33</v>
      </c>
      <c r="K95" s="4"/>
      <c r="L95" s="4"/>
      <c r="M95" s="3">
        <v>0.35</v>
      </c>
      <c r="N95" s="3">
        <v>1233.29</v>
      </c>
      <c r="O95" s="4" t="s">
        <v>34</v>
      </c>
      <c r="P95" s="4" t="s">
        <v>34</v>
      </c>
      <c r="Q95" s="4" t="s">
        <v>35</v>
      </c>
      <c r="R95" s="3">
        <v>909.18600000000004</v>
      </c>
      <c r="S95" s="3">
        <v>8.5577699999999997</v>
      </c>
      <c r="T95" s="4" t="s">
        <v>312</v>
      </c>
      <c r="U95" s="2" t="s">
        <v>37</v>
      </c>
      <c r="V95" s="2" t="s">
        <v>37</v>
      </c>
      <c r="W95" s="2" t="s">
        <v>37</v>
      </c>
      <c r="X95" s="2" t="s">
        <v>38</v>
      </c>
      <c r="Y95" s="2" t="s">
        <v>38</v>
      </c>
      <c r="Z95" s="2" t="s">
        <v>37</v>
      </c>
      <c r="AA95" s="6">
        <v>3.1743651320000001</v>
      </c>
      <c r="AB95" s="6">
        <v>2.9586527399999998</v>
      </c>
      <c r="AC95" s="6">
        <v>3.09106521</v>
      </c>
      <c r="AD95" cm="1">
        <f t="array" ref="AD95">IF(SUMPRODUCT(--($AM$2:$AM$112=TRIM(LEFT($B95,IFERROR(FIND(" ",$B95)-1,LEN($B95))))))&gt;0,1,0)</f>
        <v>0</v>
      </c>
      <c r="AE95" cm="1">
        <f t="array" ref="AE95">IF(SUMPRODUCT(--($AO$2:$AO$145=TRIM(LEFT($B95,IFERROR(FIND(" ",$B95)-1,LEN($B95))))))&gt;0,1,0)</f>
        <v>0</v>
      </c>
      <c r="AF95" cm="1">
        <f t="array" ref="AF95">IF(SUMPRODUCT(--($AQ$2:$AQ$71=TRIM(LEFT($B95,IFERROR(FIND(" ",$B95)-1,LEN($B95))))))&gt;0,1,0)</f>
        <v>0</v>
      </c>
      <c r="AL95" t="s">
        <v>2252</v>
      </c>
      <c r="AM95" t="str">
        <f t="shared" si="3"/>
        <v>MPMQ</v>
      </c>
      <c r="AN95" t="s">
        <v>2323</v>
      </c>
      <c r="AO95" t="str">
        <f t="shared" si="4"/>
        <v>CBM</v>
      </c>
    </row>
    <row r="96" spans="1:41" ht="135.75" thickBot="1" x14ac:dyDescent="0.3">
      <c r="A96" s="13">
        <v>48</v>
      </c>
      <c r="B96" s="4" t="s">
        <v>313</v>
      </c>
      <c r="C96" s="4" t="s">
        <v>314</v>
      </c>
      <c r="D96" s="7">
        <v>45922</v>
      </c>
      <c r="E96" s="3">
        <v>2539.6799999999998</v>
      </c>
      <c r="F96" s="4" t="s">
        <v>30</v>
      </c>
      <c r="G96" s="3">
        <v>20.12</v>
      </c>
      <c r="H96" s="4" t="s">
        <v>41</v>
      </c>
      <c r="I96" s="4" t="s">
        <v>41</v>
      </c>
      <c r="J96" s="4" t="s">
        <v>100</v>
      </c>
      <c r="K96" s="4"/>
      <c r="L96" s="4"/>
      <c r="M96" s="3">
        <v>7.66</v>
      </c>
      <c r="N96" s="3">
        <v>2332.0300000000002</v>
      </c>
      <c r="O96" s="4" t="s">
        <v>34</v>
      </c>
      <c r="P96" s="4" t="s">
        <v>34</v>
      </c>
      <c r="Q96" s="4" t="s">
        <v>35</v>
      </c>
      <c r="R96" s="2"/>
      <c r="S96" s="2"/>
      <c r="T96" s="4" t="s">
        <v>225</v>
      </c>
      <c r="U96" s="2" t="s">
        <v>37</v>
      </c>
      <c r="V96" s="2" t="s">
        <v>37</v>
      </c>
      <c r="W96" s="2" t="s">
        <v>37</v>
      </c>
      <c r="X96" s="2" t="s">
        <v>38</v>
      </c>
      <c r="Y96" s="2" t="s">
        <v>38</v>
      </c>
      <c r="Z96" s="2" t="s">
        <v>37</v>
      </c>
      <c r="AA96" s="6">
        <v>3.4047789989999999</v>
      </c>
      <c r="AB96" s="2"/>
      <c r="AC96" s="6">
        <v>3.3677341329999999</v>
      </c>
      <c r="AD96" cm="1">
        <f t="array" ref="AD96">IF(SUMPRODUCT(--($AM$2:$AM$112=TRIM(LEFT($B96,IFERROR(FIND(" ",$B96)-1,LEN($B96))))))&gt;0,1,0)</f>
        <v>0</v>
      </c>
      <c r="AE96" cm="1">
        <f t="array" ref="AE96">IF(SUMPRODUCT(--($AO$2:$AO$145=TRIM(LEFT($B96,IFERROR(FIND(" ",$B96)-1,LEN($B96))))))&gt;0,1,0)</f>
        <v>0</v>
      </c>
      <c r="AF96" cm="1">
        <f t="array" ref="AF96">IF(SUMPRODUCT(--($AQ$2:$AQ$71=TRIM(LEFT($B96,IFERROR(FIND(" ",$B96)-1,LEN($B96))))))&gt;0,1,0)</f>
        <v>0</v>
      </c>
      <c r="AL96" t="s">
        <v>2253</v>
      </c>
      <c r="AM96" t="str">
        <f t="shared" si="3"/>
        <v>IDTI</v>
      </c>
      <c r="AN96" t="s">
        <v>2324</v>
      </c>
      <c r="AO96" t="str">
        <f t="shared" si="4"/>
        <v>GCI</v>
      </c>
    </row>
    <row r="97" spans="1:41" ht="105.75" thickBot="1" x14ac:dyDescent="0.3">
      <c r="A97" s="13">
        <v>55</v>
      </c>
      <c r="B97" s="4" t="s">
        <v>315</v>
      </c>
      <c r="C97" s="2"/>
      <c r="D97" s="7">
        <v>45910</v>
      </c>
      <c r="E97" s="3">
        <v>1227.04</v>
      </c>
      <c r="F97" s="4" t="s">
        <v>30</v>
      </c>
      <c r="G97" s="3">
        <v>60.06</v>
      </c>
      <c r="H97" s="4" t="s">
        <v>31</v>
      </c>
      <c r="I97" s="4" t="s">
        <v>32</v>
      </c>
      <c r="J97" s="4" t="s">
        <v>33</v>
      </c>
      <c r="K97" s="3">
        <v>40.1</v>
      </c>
      <c r="L97" s="4"/>
      <c r="M97" s="3">
        <v>87.84</v>
      </c>
      <c r="N97" s="3">
        <v>1227.04</v>
      </c>
      <c r="O97" s="4" t="s">
        <v>34</v>
      </c>
      <c r="P97" s="4" t="s">
        <v>56</v>
      </c>
      <c r="Q97" s="4" t="s">
        <v>35</v>
      </c>
      <c r="R97" s="3">
        <v>417.00599999999997</v>
      </c>
      <c r="S97" s="3">
        <v>-1.3660699999999999</v>
      </c>
      <c r="T97" s="4" t="s">
        <v>316</v>
      </c>
      <c r="U97" s="2" t="s">
        <v>37</v>
      </c>
      <c r="V97" s="2" t="s">
        <v>37</v>
      </c>
      <c r="W97" s="2" t="s">
        <v>38</v>
      </c>
      <c r="X97" s="2" t="s">
        <v>38</v>
      </c>
      <c r="Y97" s="2" t="s">
        <v>37</v>
      </c>
      <c r="Z97" s="2" t="s">
        <v>37</v>
      </c>
      <c r="AA97" s="6">
        <v>3.0888587200000002</v>
      </c>
      <c r="AB97" s="6">
        <v>2.6201423039999998</v>
      </c>
      <c r="AC97" s="6">
        <v>3.0888587200000002</v>
      </c>
      <c r="AD97" cm="1">
        <f t="array" ref="AD97">IF(SUMPRODUCT(--($AM$2:$AM$112=TRIM(LEFT($B97,IFERROR(FIND(" ",$B97)-1,LEN($B97))))))&gt;0,1,0)</f>
        <v>0</v>
      </c>
      <c r="AE97" cm="1">
        <f t="array" ref="AE97">IF(SUMPRODUCT(--($AO$2:$AO$145=TRIM(LEFT($B97,IFERROR(FIND(" ",$B97)-1,LEN($B97))))))&gt;0,1,0)</f>
        <v>0</v>
      </c>
      <c r="AF97" cm="1">
        <f t="array" ref="AF97">IF(SUMPRODUCT(--($AQ$2:$AQ$71=TRIM(LEFT($B97,IFERROR(FIND(" ",$B97)-1,LEN($B97))))))&gt;0,1,0)</f>
        <v>0</v>
      </c>
      <c r="AL97" t="s">
        <v>2254</v>
      </c>
      <c r="AM97" t="str">
        <f t="shared" si="3"/>
        <v>BMS</v>
      </c>
      <c r="AN97" t="s">
        <v>2239</v>
      </c>
      <c r="AO97" t="str">
        <f t="shared" si="4"/>
        <v>MYL</v>
      </c>
    </row>
    <row r="98" spans="1:41" ht="135.75" thickBot="1" x14ac:dyDescent="0.3">
      <c r="A98" s="13">
        <v>387</v>
      </c>
      <c r="B98" s="4" t="s">
        <v>317</v>
      </c>
      <c r="C98" s="4" t="s">
        <v>257</v>
      </c>
      <c r="D98" s="7">
        <v>45441</v>
      </c>
      <c r="E98" s="3">
        <v>607.73</v>
      </c>
      <c r="F98" s="4" t="s">
        <v>30</v>
      </c>
      <c r="G98" s="3">
        <v>40.32</v>
      </c>
      <c r="H98" s="4" t="s">
        <v>41</v>
      </c>
      <c r="I98" s="4" t="s">
        <v>41</v>
      </c>
      <c r="J98" s="4" t="s">
        <v>60</v>
      </c>
      <c r="K98" s="4"/>
      <c r="L98" s="4"/>
      <c r="M98" s="3">
        <v>29.69</v>
      </c>
      <c r="N98" s="3">
        <v>615.01</v>
      </c>
      <c r="O98" s="4" t="s">
        <v>34</v>
      </c>
      <c r="P98" s="4" t="s">
        <v>34</v>
      </c>
      <c r="Q98" s="4" t="s">
        <v>35</v>
      </c>
      <c r="R98" s="3">
        <v>126.078</v>
      </c>
      <c r="S98" s="3">
        <v>-10.2201</v>
      </c>
      <c r="T98" s="4" t="s">
        <v>318</v>
      </c>
      <c r="U98" s="2" t="s">
        <v>37</v>
      </c>
      <c r="V98" s="2" t="s">
        <v>37</v>
      </c>
      <c r="W98" s="2" t="s">
        <v>37</v>
      </c>
      <c r="X98" s="2" t="s">
        <v>38</v>
      </c>
      <c r="Y98" s="2" t="s">
        <v>38</v>
      </c>
      <c r="Z98" s="2" t="s">
        <v>37</v>
      </c>
      <c r="AA98" s="6">
        <v>2.783710675</v>
      </c>
      <c r="AB98" s="6">
        <v>2.1006393110000001</v>
      </c>
      <c r="AC98" s="6">
        <v>2.7888821770000001</v>
      </c>
      <c r="AD98" cm="1">
        <f t="array" ref="AD98">IF(SUMPRODUCT(--($AM$2:$AM$112=TRIM(LEFT($B98,IFERROR(FIND(" ",$B98)-1,LEN($B98))))))&gt;0,1,0)</f>
        <v>0</v>
      </c>
      <c r="AE98" cm="1">
        <f t="array" ref="AE98">IF(SUMPRODUCT(--($AO$2:$AO$145=TRIM(LEFT($B98,IFERROR(FIND(" ",$B98)-1,LEN($B98))))))&gt;0,1,0)</f>
        <v>0</v>
      </c>
      <c r="AF98" cm="1">
        <f t="array" ref="AF98">IF(SUMPRODUCT(--($AQ$2:$AQ$71=TRIM(LEFT($B98,IFERROR(FIND(" ",$B98)-1,LEN($B98))))))&gt;0,1,0)</f>
        <v>0</v>
      </c>
      <c r="AL98" t="s">
        <v>2255</v>
      </c>
      <c r="AM98" t="str">
        <f t="shared" si="3"/>
        <v>USG</v>
      </c>
      <c r="AN98" t="s">
        <v>2325</v>
      </c>
      <c r="AO98" t="str">
        <f t="shared" si="4"/>
        <v>OMN</v>
      </c>
    </row>
    <row r="99" spans="1:41" ht="120.75" thickBot="1" x14ac:dyDescent="0.3">
      <c r="A99" s="13">
        <v>126</v>
      </c>
      <c r="B99" s="4" t="s">
        <v>319</v>
      </c>
      <c r="C99" s="4" t="s">
        <v>320</v>
      </c>
      <c r="D99" s="7">
        <v>45804</v>
      </c>
      <c r="E99" s="3">
        <v>8148.22</v>
      </c>
      <c r="F99" s="4" t="s">
        <v>30</v>
      </c>
      <c r="G99" s="3">
        <v>57.96</v>
      </c>
      <c r="H99" s="4" t="s">
        <v>31</v>
      </c>
      <c r="I99" s="4" t="s">
        <v>32</v>
      </c>
      <c r="J99" s="4" t="s">
        <v>33</v>
      </c>
      <c r="K99" s="4"/>
      <c r="L99" s="4"/>
      <c r="M99" s="3">
        <v>29.41</v>
      </c>
      <c r="N99" s="3">
        <v>7543.1</v>
      </c>
      <c r="O99" s="4" t="s">
        <v>34</v>
      </c>
      <c r="P99" s="4" t="s">
        <v>34</v>
      </c>
      <c r="Q99" s="4" t="s">
        <v>35</v>
      </c>
      <c r="R99" s="3">
        <v>1640.02</v>
      </c>
      <c r="S99" s="3">
        <v>9.4137900000000005</v>
      </c>
      <c r="T99" s="4" t="s">
        <v>321</v>
      </c>
      <c r="U99" s="2" t="s">
        <v>38</v>
      </c>
      <c r="V99" s="2" t="s">
        <v>37</v>
      </c>
      <c r="W99" s="2" t="s">
        <v>37</v>
      </c>
      <c r="X99" s="2" t="s">
        <v>37</v>
      </c>
      <c r="Y99" s="2" t="s">
        <v>37</v>
      </c>
      <c r="Z99" s="2" t="s">
        <v>37</v>
      </c>
      <c r="AA99" s="6">
        <v>3.9110627459999998</v>
      </c>
      <c r="AB99" s="6">
        <v>3.214849144</v>
      </c>
      <c r="AC99" s="6">
        <v>3.8775498650000002</v>
      </c>
      <c r="AD99" cm="1">
        <f t="array" ref="AD99">IF(SUMPRODUCT(--($AM$2:$AM$112=TRIM(LEFT($B99,IFERROR(FIND(" ",$B99)-1,LEN($B99))))))&gt;0,1,0)</f>
        <v>0</v>
      </c>
      <c r="AE99" cm="1">
        <f t="array" ref="AE99">IF(SUMPRODUCT(--($AO$2:$AO$145=TRIM(LEFT($B99,IFERROR(FIND(" ",$B99)-1,LEN($B99))))))&gt;0,1,0)</f>
        <v>0</v>
      </c>
      <c r="AF99" cm="1">
        <f t="array" ref="AF99">IF(SUMPRODUCT(--($AQ$2:$AQ$71=TRIM(LEFT($B99,IFERROR(FIND(" ",$B99)-1,LEN($B99))))))&gt;0,1,0)</f>
        <v>0</v>
      </c>
      <c r="AL99" t="s">
        <v>2256</v>
      </c>
      <c r="AM99" t="str">
        <f t="shared" si="3"/>
        <v>ORBK</v>
      </c>
      <c r="AN99" t="s">
        <v>2326</v>
      </c>
      <c r="AO99" t="str">
        <f t="shared" si="4"/>
        <v>GWR</v>
      </c>
    </row>
    <row r="100" spans="1:41" ht="45.75" thickBot="1" x14ac:dyDescent="0.3">
      <c r="A100" s="13">
        <v>62</v>
      </c>
      <c r="B100" s="4" t="s">
        <v>322</v>
      </c>
      <c r="C100" s="4" t="s">
        <v>323</v>
      </c>
      <c r="D100" s="7">
        <v>45891</v>
      </c>
      <c r="E100" s="3">
        <v>6145.19</v>
      </c>
      <c r="F100" s="4" t="s">
        <v>69</v>
      </c>
      <c r="G100" s="3">
        <v>5.68</v>
      </c>
      <c r="H100" s="4" t="s">
        <v>118</v>
      </c>
      <c r="I100" s="4" t="s">
        <v>119</v>
      </c>
      <c r="J100" s="4" t="s">
        <v>120</v>
      </c>
      <c r="K100" s="4"/>
      <c r="L100" s="4"/>
      <c r="M100" s="3">
        <v>3.65</v>
      </c>
      <c r="N100" s="3">
        <v>5527.74</v>
      </c>
      <c r="O100" s="4" t="s">
        <v>49</v>
      </c>
      <c r="P100" s="4" t="s">
        <v>49</v>
      </c>
      <c r="Q100" s="4" t="s">
        <v>35</v>
      </c>
      <c r="R100" s="3">
        <v>3758.96</v>
      </c>
      <c r="S100" s="3">
        <v>19.919899999999998</v>
      </c>
      <c r="T100" s="4" t="s">
        <v>43</v>
      </c>
      <c r="U100" s="2" t="s">
        <v>37</v>
      </c>
      <c r="V100" s="2" t="s">
        <v>37</v>
      </c>
      <c r="W100" s="2" t="s">
        <v>37</v>
      </c>
      <c r="X100" s="2" t="s">
        <v>37</v>
      </c>
      <c r="Y100" s="2" t="s">
        <v>37</v>
      </c>
      <c r="Z100" s="2" t="s">
        <v>37</v>
      </c>
      <c r="AA100" s="6">
        <v>3.7885353149999998</v>
      </c>
      <c r="AB100" s="6">
        <v>3.5750677039999998</v>
      </c>
      <c r="AC100" s="6">
        <v>3.7425476080000002</v>
      </c>
      <c r="AD100" cm="1">
        <f t="array" ref="AD100">IF(SUMPRODUCT(--($AM$2:$AM$112=TRIM(LEFT($B100,IFERROR(FIND(" ",$B100)-1,LEN($B100))))))&gt;0,1,0)</f>
        <v>0</v>
      </c>
      <c r="AE100" cm="1">
        <f t="array" ref="AE100">IF(SUMPRODUCT(--($AO$2:$AO$145=TRIM(LEFT($B100,IFERROR(FIND(" ",$B100)-1,LEN($B100))))))&gt;0,1,0)</f>
        <v>0</v>
      </c>
      <c r="AF100" cm="1">
        <f t="array" ref="AF100">IF(SUMPRODUCT(--($AQ$2:$AQ$71=TRIM(LEFT($B100,IFERROR(FIND(" ",$B100)-1,LEN($B100))))))&gt;0,1,0)</f>
        <v>0</v>
      </c>
      <c r="AL100" t="s">
        <v>2257</v>
      </c>
      <c r="AM100" t="str">
        <f t="shared" si="3"/>
        <v>OCLR</v>
      </c>
      <c r="AN100" t="s">
        <v>2327</v>
      </c>
      <c r="AO100" t="str">
        <f t="shared" si="4"/>
        <v>TRZ</v>
      </c>
    </row>
    <row r="101" spans="1:41" ht="90.75" thickBot="1" x14ac:dyDescent="0.3">
      <c r="A101" s="13">
        <v>40</v>
      </c>
      <c r="B101" s="4" t="s">
        <v>324</v>
      </c>
      <c r="C101" s="4" t="s">
        <v>325</v>
      </c>
      <c r="D101" s="7">
        <v>45922</v>
      </c>
      <c r="E101" s="3">
        <v>6539.2</v>
      </c>
      <c r="F101" s="4" t="s">
        <v>30</v>
      </c>
      <c r="G101" s="4"/>
      <c r="H101" s="4" t="s">
        <v>41</v>
      </c>
      <c r="I101" s="4" t="s">
        <v>41</v>
      </c>
      <c r="J101" s="4" t="s">
        <v>42</v>
      </c>
      <c r="K101" s="4"/>
      <c r="L101" s="3">
        <v>265</v>
      </c>
      <c r="M101" s="3">
        <v>13.97</v>
      </c>
      <c r="N101" s="3">
        <v>6891.64</v>
      </c>
      <c r="O101" s="4" t="s">
        <v>34</v>
      </c>
      <c r="P101" s="4" t="s">
        <v>34</v>
      </c>
      <c r="Q101" s="4" t="s">
        <v>35</v>
      </c>
      <c r="R101" s="2"/>
      <c r="S101" s="2"/>
      <c r="T101" s="4" t="s">
        <v>215</v>
      </c>
      <c r="U101" s="2" t="s">
        <v>37</v>
      </c>
      <c r="V101" s="2" t="s">
        <v>38</v>
      </c>
      <c r="W101" s="2" t="s">
        <v>37</v>
      </c>
      <c r="X101" s="2" t="s">
        <v>37</v>
      </c>
      <c r="Y101" s="2" t="s">
        <v>37</v>
      </c>
      <c r="Z101" s="2" t="s">
        <v>37</v>
      </c>
      <c r="AA101" s="6">
        <v>3.8155246200000001</v>
      </c>
      <c r="AB101" s="2"/>
      <c r="AC101" s="6">
        <v>3.8383225830000001</v>
      </c>
      <c r="AD101" cm="1">
        <f t="array" ref="AD101">IF(SUMPRODUCT(--($AM$2:$AM$112=TRIM(LEFT($B101,IFERROR(FIND(" ",$B101)-1,LEN($B101))))))&gt;0,1,0)</f>
        <v>0</v>
      </c>
      <c r="AE101" cm="1">
        <f t="array" ref="AE101">IF(SUMPRODUCT(--($AO$2:$AO$145=TRIM(LEFT($B101,IFERROR(FIND(" ",$B101)-1,LEN($B101))))))&gt;0,1,0)</f>
        <v>0</v>
      </c>
      <c r="AF101" cm="1">
        <f t="array" ref="AF101">IF(SUMPRODUCT(--($AQ$2:$AQ$71=TRIM(LEFT($B101,IFERROR(FIND(" ",$B101)-1,LEN($B101))))))&gt;0,1,0)</f>
        <v>0</v>
      </c>
      <c r="AL101" t="s">
        <v>2258</v>
      </c>
      <c r="AM101" t="str">
        <f t="shared" si="3"/>
        <v>MSCC</v>
      </c>
      <c r="AN101" t="s">
        <v>2242</v>
      </c>
      <c r="AO101" t="str">
        <f t="shared" si="4"/>
        <v>AGN</v>
      </c>
    </row>
    <row r="102" spans="1:41" ht="45.75" thickBot="1" x14ac:dyDescent="0.3">
      <c r="A102" s="13">
        <v>96</v>
      </c>
      <c r="B102" s="4" t="s">
        <v>326</v>
      </c>
      <c r="C102" s="4" t="s">
        <v>327</v>
      </c>
      <c r="D102" s="7">
        <v>45834</v>
      </c>
      <c r="E102" s="3">
        <v>1707.25</v>
      </c>
      <c r="F102" s="4" t="s">
        <v>46</v>
      </c>
      <c r="G102" s="3">
        <v>7.73</v>
      </c>
      <c r="H102" s="4" t="s">
        <v>70</v>
      </c>
      <c r="I102" s="4" t="s">
        <v>94</v>
      </c>
      <c r="J102" s="4" t="s">
        <v>328</v>
      </c>
      <c r="K102" s="4"/>
      <c r="L102" s="4"/>
      <c r="M102" s="3">
        <v>10.55</v>
      </c>
      <c r="N102" s="3">
        <v>1214.25</v>
      </c>
      <c r="O102" s="4" t="s">
        <v>34</v>
      </c>
      <c r="P102" s="4" t="s">
        <v>34</v>
      </c>
      <c r="Q102" s="4" t="s">
        <v>35</v>
      </c>
      <c r="R102" s="3">
        <v>3011</v>
      </c>
      <c r="S102" s="3">
        <v>1.68303</v>
      </c>
      <c r="T102" s="4" t="s">
        <v>43</v>
      </c>
      <c r="U102" s="2" t="s">
        <v>37</v>
      </c>
      <c r="V102" s="2" t="s">
        <v>37</v>
      </c>
      <c r="W102" s="2" t="s">
        <v>37</v>
      </c>
      <c r="X102" s="2" t="s">
        <v>37</v>
      </c>
      <c r="Y102" s="2" t="s">
        <v>37</v>
      </c>
      <c r="Z102" s="2" t="s">
        <v>37</v>
      </c>
      <c r="AA102" s="6">
        <v>3.2322971210000002</v>
      </c>
      <c r="AB102" s="6">
        <v>3.4787107559999999</v>
      </c>
      <c r="AC102" s="6">
        <v>3.084308112</v>
      </c>
      <c r="AD102" cm="1">
        <f t="array" ref="AD102">IF(SUMPRODUCT(--($AM$2:$AM$112=TRIM(LEFT($B102,IFERROR(FIND(" ",$B102)-1,LEN($B102))))))&gt;0,1,0)</f>
        <v>0</v>
      </c>
      <c r="AE102" cm="1">
        <f t="array" ref="AE102">IF(SUMPRODUCT(--($AO$2:$AO$145=TRIM(LEFT($B102,IFERROR(FIND(" ",$B102)-1,LEN($B102))))))&gt;0,1,0)</f>
        <v>0</v>
      </c>
      <c r="AF102" cm="1">
        <f t="array" ref="AF102">IF(SUMPRODUCT(--($AQ$2:$AQ$71=TRIM(LEFT($B102,IFERROR(FIND(" ",$B102)-1,LEN($B102))))))&gt;0,1,0)</f>
        <v>0</v>
      </c>
      <c r="AL102" t="s">
        <v>2259</v>
      </c>
      <c r="AM102" t="str">
        <f t="shared" si="3"/>
        <v>SHLM</v>
      </c>
      <c r="AN102" t="s">
        <v>2328</v>
      </c>
      <c r="AO102" t="str">
        <f t="shared" si="4"/>
        <v>BID</v>
      </c>
    </row>
    <row r="103" spans="1:41" ht="75.75" thickBot="1" x14ac:dyDescent="0.3">
      <c r="A103" s="13">
        <v>140</v>
      </c>
      <c r="B103" s="4" t="s">
        <v>329</v>
      </c>
      <c r="C103" s="4" t="s">
        <v>330</v>
      </c>
      <c r="D103" s="7">
        <v>45771</v>
      </c>
      <c r="E103" s="3">
        <v>1520.73</v>
      </c>
      <c r="F103" s="4" t="s">
        <v>30</v>
      </c>
      <c r="G103" s="3">
        <v>12.8</v>
      </c>
      <c r="H103" s="4" t="s">
        <v>70</v>
      </c>
      <c r="I103" s="4" t="s">
        <v>94</v>
      </c>
      <c r="J103" s="4" t="s">
        <v>108</v>
      </c>
      <c r="K103" s="4"/>
      <c r="L103" s="4"/>
      <c r="M103" s="3">
        <v>36.340000000000003</v>
      </c>
      <c r="N103" s="3">
        <v>1458.89</v>
      </c>
      <c r="O103" s="4" t="s">
        <v>49</v>
      </c>
      <c r="P103" s="4" t="s">
        <v>34</v>
      </c>
      <c r="Q103" s="4" t="s">
        <v>35</v>
      </c>
      <c r="R103" s="3">
        <v>474.87200000000001</v>
      </c>
      <c r="S103" s="3">
        <v>13.9856</v>
      </c>
      <c r="T103" s="4" t="s">
        <v>104</v>
      </c>
      <c r="U103" s="2" t="s">
        <v>37</v>
      </c>
      <c r="V103" s="2" t="s">
        <v>37</v>
      </c>
      <c r="W103" s="2" t="s">
        <v>38</v>
      </c>
      <c r="X103" s="2" t="s">
        <v>37</v>
      </c>
      <c r="Y103" s="2" t="s">
        <v>37</v>
      </c>
      <c r="Z103" s="2" t="s">
        <v>37</v>
      </c>
      <c r="AA103" s="6">
        <v>3.1820521140000002</v>
      </c>
      <c r="AB103" s="6">
        <v>2.6765765629999998</v>
      </c>
      <c r="AC103" s="6">
        <v>3.1640225470000001</v>
      </c>
      <c r="AD103" cm="1">
        <f t="array" ref="AD103">IF(SUMPRODUCT(--($AM$2:$AM$112=TRIM(LEFT($B103,IFERROR(FIND(" ",$B103)-1,LEN($B103))))))&gt;0,1,0)</f>
        <v>0</v>
      </c>
      <c r="AE103" cm="1">
        <f t="array" ref="AE103">IF(SUMPRODUCT(--($AO$2:$AO$145=TRIM(LEFT($B103,IFERROR(FIND(" ",$B103)-1,LEN($B103))))))&gt;0,1,0)</f>
        <v>0</v>
      </c>
      <c r="AF103" cm="1">
        <f t="array" ref="AF103">IF(SUMPRODUCT(--($AQ$2:$AQ$71=TRIM(LEFT($B103,IFERROR(FIND(" ",$B103)-1,LEN($B103))))))&gt;0,1,0)</f>
        <v>0</v>
      </c>
      <c r="AL103" t="s">
        <v>2260</v>
      </c>
      <c r="AM103" t="str">
        <f t="shared" si="3"/>
        <v>FOX</v>
      </c>
      <c r="AN103" t="s">
        <v>2329</v>
      </c>
      <c r="AO103" t="str">
        <f t="shared" si="4"/>
        <v>RTN</v>
      </c>
    </row>
    <row r="104" spans="1:41" ht="150.75" thickBot="1" x14ac:dyDescent="0.3">
      <c r="A104" s="13">
        <v>46</v>
      </c>
      <c r="B104" s="4" t="s">
        <v>331</v>
      </c>
      <c r="C104" s="4" t="s">
        <v>332</v>
      </c>
      <c r="D104" s="7">
        <v>45902</v>
      </c>
      <c r="E104" s="3">
        <v>1888.39</v>
      </c>
      <c r="F104" s="4" t="s">
        <v>69</v>
      </c>
      <c r="G104" s="3">
        <v>5.0999999999999996</v>
      </c>
      <c r="H104" s="4" t="s">
        <v>31</v>
      </c>
      <c r="I104" s="4" t="s">
        <v>32</v>
      </c>
      <c r="J104" s="4" t="s">
        <v>270</v>
      </c>
      <c r="K104" s="4"/>
      <c r="L104" s="4"/>
      <c r="M104" s="4"/>
      <c r="N104" s="3">
        <v>479.39</v>
      </c>
      <c r="O104" s="4" t="s">
        <v>34</v>
      </c>
      <c r="P104" s="4" t="s">
        <v>49</v>
      </c>
      <c r="Q104" s="4" t="s">
        <v>35</v>
      </c>
      <c r="R104" s="3">
        <v>2658</v>
      </c>
      <c r="S104" s="3">
        <v>-9.5658600000000007</v>
      </c>
      <c r="T104" s="4" t="s">
        <v>228</v>
      </c>
      <c r="U104" s="2" t="s">
        <v>38</v>
      </c>
      <c r="V104" s="2" t="s">
        <v>37</v>
      </c>
      <c r="W104" s="2" t="s">
        <v>38</v>
      </c>
      <c r="X104" s="2" t="s">
        <v>37</v>
      </c>
      <c r="Y104" s="2" t="s">
        <v>37</v>
      </c>
      <c r="Z104" s="2" t="s">
        <v>37</v>
      </c>
      <c r="AA104" s="6">
        <v>3.2760916920000001</v>
      </c>
      <c r="AB104" s="6">
        <v>3.4245549770000001</v>
      </c>
      <c r="AC104" s="6">
        <v>2.6806889699999998</v>
      </c>
      <c r="AD104" cm="1">
        <f t="array" ref="AD104">IF(SUMPRODUCT(--($AM$2:$AM$112=TRIM(LEFT($B104,IFERROR(FIND(" ",$B104)-1,LEN($B104))))))&gt;0,1,0)</f>
        <v>0</v>
      </c>
      <c r="AE104" cm="1">
        <f t="array" ref="AE104">IF(SUMPRODUCT(--($AO$2:$AO$145=TRIM(LEFT($B104,IFERROR(FIND(" ",$B104)-1,LEN($B104))))))&gt;0,1,0)</f>
        <v>0</v>
      </c>
      <c r="AF104" cm="1">
        <f t="array" ref="AF104">IF(SUMPRODUCT(--($AQ$2:$AQ$71=TRIM(LEFT($B104,IFERROR(FIND(" ",$B104)-1,LEN($B104))))))&gt;0,1,0)</f>
        <v>0</v>
      </c>
      <c r="AL104" t="s">
        <v>2261</v>
      </c>
      <c r="AM104" t="str">
        <f t="shared" si="3"/>
        <v>CAVM</v>
      </c>
      <c r="AN104" t="s">
        <v>2243</v>
      </c>
      <c r="AO104" t="str">
        <f t="shared" si="4"/>
        <v>CY</v>
      </c>
    </row>
    <row r="105" spans="1:41" ht="45.75" thickBot="1" x14ac:dyDescent="0.3">
      <c r="A105" s="13">
        <v>138</v>
      </c>
      <c r="B105" s="4" t="s">
        <v>333</v>
      </c>
      <c r="C105" s="4" t="s">
        <v>334</v>
      </c>
      <c r="D105" s="7">
        <v>45771</v>
      </c>
      <c r="E105" s="3">
        <v>507.31</v>
      </c>
      <c r="F105" s="4" t="s">
        <v>69</v>
      </c>
      <c r="G105" s="4"/>
      <c r="H105" s="4" t="s">
        <v>65</v>
      </c>
      <c r="I105" s="4" t="s">
        <v>66</v>
      </c>
      <c r="J105" s="4" t="s">
        <v>66</v>
      </c>
      <c r="K105" s="4"/>
      <c r="L105" s="4"/>
      <c r="M105" s="3">
        <v>19.68</v>
      </c>
      <c r="N105" s="3">
        <v>507.31</v>
      </c>
      <c r="O105" s="4" t="s">
        <v>34</v>
      </c>
      <c r="P105" s="4" t="s">
        <v>34</v>
      </c>
      <c r="Q105" s="4" t="s">
        <v>35</v>
      </c>
      <c r="R105" s="3">
        <v>318.32499999999999</v>
      </c>
      <c r="S105" s="3">
        <v>18.743200000000002</v>
      </c>
      <c r="T105" s="4" t="s">
        <v>43</v>
      </c>
      <c r="U105" s="2" t="s">
        <v>37</v>
      </c>
      <c r="V105" s="2" t="s">
        <v>37</v>
      </c>
      <c r="W105" s="2" t="s">
        <v>37</v>
      </c>
      <c r="X105" s="2" t="s">
        <v>37</v>
      </c>
      <c r="Y105" s="2" t="s">
        <v>37</v>
      </c>
      <c r="Z105" s="2" t="s">
        <v>37</v>
      </c>
      <c r="AA105" s="6">
        <v>2.705273423</v>
      </c>
      <c r="AB105" s="6">
        <v>2.5028707479999999</v>
      </c>
      <c r="AC105" s="6">
        <v>2.705273423</v>
      </c>
      <c r="AD105" cm="1">
        <f t="array" ref="AD105">IF(SUMPRODUCT(--($AM$2:$AM$112=TRIM(LEFT($B105,IFERROR(FIND(" ",$B105)-1,LEN($B105))))))&gt;0,1,0)</f>
        <v>0</v>
      </c>
      <c r="AE105" cm="1">
        <f t="array" ref="AE105">IF(SUMPRODUCT(--($AO$2:$AO$145=TRIM(LEFT($B105,IFERROR(FIND(" ",$B105)-1,LEN($B105))))))&gt;0,1,0)</f>
        <v>0</v>
      </c>
      <c r="AF105" cm="1">
        <f t="array" ref="AF105">IF(SUMPRODUCT(--($AQ$2:$AQ$71=TRIM(LEFT($B105,IFERROR(FIND(" ",$B105)-1,LEN($B105))))))&gt;0,1,0)</f>
        <v>0</v>
      </c>
      <c r="AL105" t="s">
        <v>2262</v>
      </c>
      <c r="AM105" t="str">
        <f t="shared" si="3"/>
        <v>JASO</v>
      </c>
      <c r="AN105" t="s">
        <v>2330</v>
      </c>
      <c r="AO105" t="str">
        <f t="shared" si="4"/>
        <v>TSS</v>
      </c>
    </row>
    <row r="106" spans="1:41" ht="75.75" thickBot="1" x14ac:dyDescent="0.3">
      <c r="A106" s="13">
        <v>33</v>
      </c>
      <c r="B106" s="4" t="s">
        <v>335</v>
      </c>
      <c r="C106" s="4" t="s">
        <v>336</v>
      </c>
      <c r="D106" s="7">
        <v>45917</v>
      </c>
      <c r="E106" s="3">
        <v>1626.92</v>
      </c>
      <c r="F106" s="4" t="s">
        <v>30</v>
      </c>
      <c r="G106" s="4"/>
      <c r="H106" s="4" t="s">
        <v>41</v>
      </c>
      <c r="I106" s="4" t="s">
        <v>41</v>
      </c>
      <c r="J106" s="4" t="s">
        <v>42</v>
      </c>
      <c r="K106" s="3">
        <v>79.900000000000006</v>
      </c>
      <c r="L106" s="3">
        <v>79.900000000000006</v>
      </c>
      <c r="M106" s="3">
        <v>63.56</v>
      </c>
      <c r="N106" s="3">
        <v>2150.4699999999998</v>
      </c>
      <c r="O106" s="4" t="s">
        <v>34</v>
      </c>
      <c r="P106" s="4" t="s">
        <v>34</v>
      </c>
      <c r="Q106" s="4" t="s">
        <v>35</v>
      </c>
      <c r="R106" s="2"/>
      <c r="S106" s="2"/>
      <c r="T106" s="4" t="s">
        <v>88</v>
      </c>
      <c r="U106" s="2" t="s">
        <v>37</v>
      </c>
      <c r="V106" s="2" t="s">
        <v>37</v>
      </c>
      <c r="W106" s="2" t="s">
        <v>37</v>
      </c>
      <c r="X106" s="2" t="s">
        <v>37</v>
      </c>
      <c r="Y106" s="2" t="s">
        <v>37</v>
      </c>
      <c r="Z106" s="2" t="s">
        <v>38</v>
      </c>
      <c r="AA106" s="6">
        <v>3.2113661979999999</v>
      </c>
      <c r="AB106" s="2"/>
      <c r="AC106" s="6">
        <v>3.3325333879999999</v>
      </c>
      <c r="AD106" cm="1">
        <f t="array" ref="AD106">IF(SUMPRODUCT(--($AM$2:$AM$112=TRIM(LEFT($B106,IFERROR(FIND(" ",$B106)-1,LEN($B106))))))&gt;0,1,0)</f>
        <v>0</v>
      </c>
      <c r="AE106" cm="1">
        <f t="array" ref="AE106">IF(SUMPRODUCT(--($AO$2:$AO$145=TRIM(LEFT($B106,IFERROR(FIND(" ",$B106)-1,LEN($B106))))))&gt;0,1,0)</f>
        <v>0</v>
      </c>
      <c r="AF106" cm="1">
        <f t="array" ref="AF106">IF(SUMPRODUCT(--($AQ$2:$AQ$71=TRIM(LEFT($B106,IFERROR(FIND(" ",$B106)-1,LEN($B106))))))&gt;0,1,0)</f>
        <v>0</v>
      </c>
      <c r="AL106" t="s">
        <v>2263</v>
      </c>
      <c r="AM106" t="str">
        <f t="shared" si="3"/>
        <v>COL</v>
      </c>
      <c r="AN106" t="s">
        <v>2331</v>
      </c>
      <c r="AO106" t="str">
        <f t="shared" si="4"/>
        <v>AVP</v>
      </c>
    </row>
    <row r="107" spans="1:41" ht="75.75" thickBot="1" x14ac:dyDescent="0.3">
      <c r="A107" s="13">
        <v>37</v>
      </c>
      <c r="B107" s="4" t="s">
        <v>337</v>
      </c>
      <c r="C107" s="4" t="s">
        <v>200</v>
      </c>
      <c r="D107" s="7">
        <v>45909</v>
      </c>
      <c r="E107" s="3">
        <v>1038.98</v>
      </c>
      <c r="F107" s="4" t="s">
        <v>30</v>
      </c>
      <c r="G107" s="4"/>
      <c r="H107" s="4" t="s">
        <v>41</v>
      </c>
      <c r="I107" s="4" t="s">
        <v>41</v>
      </c>
      <c r="J107" s="4" t="s">
        <v>42</v>
      </c>
      <c r="K107" s="4"/>
      <c r="L107" s="4"/>
      <c r="M107" s="3">
        <v>104.32</v>
      </c>
      <c r="N107" s="3">
        <v>1278.07</v>
      </c>
      <c r="O107" s="4" t="s">
        <v>34</v>
      </c>
      <c r="P107" s="4" t="s">
        <v>34</v>
      </c>
      <c r="Q107" s="4" t="s">
        <v>35</v>
      </c>
      <c r="R107" s="2"/>
      <c r="S107" s="2"/>
      <c r="T107" s="4" t="s">
        <v>338</v>
      </c>
      <c r="U107" s="2" t="s">
        <v>37</v>
      </c>
      <c r="V107" s="2" t="s">
        <v>37</v>
      </c>
      <c r="W107" s="2" t="s">
        <v>37</v>
      </c>
      <c r="X107" s="2" t="s">
        <v>37</v>
      </c>
      <c r="Y107" s="2" t="s">
        <v>37</v>
      </c>
      <c r="Z107" s="2" t="s">
        <v>38</v>
      </c>
      <c r="AA107" s="6">
        <v>3.0166071880000001</v>
      </c>
      <c r="AB107" s="2"/>
      <c r="AC107" s="6">
        <v>3.1065546409999998</v>
      </c>
      <c r="AD107" cm="1">
        <f t="array" ref="AD107">IF(SUMPRODUCT(--($AM$2:$AM$112=TRIM(LEFT($B107,IFERROR(FIND(" ",$B107)-1,LEN($B107))))))&gt;0,1,0)</f>
        <v>0</v>
      </c>
      <c r="AE107" cm="1">
        <f t="array" ref="AE107">IF(SUMPRODUCT(--($AO$2:$AO$145=TRIM(LEFT($B107,IFERROR(FIND(" ",$B107)-1,LEN($B107))))))&gt;0,1,0)</f>
        <v>0</v>
      </c>
      <c r="AF107" cm="1">
        <f t="array" ref="AF107">IF(SUMPRODUCT(--($AQ$2:$AQ$71=TRIM(LEFT($B107,IFERROR(FIND(" ",$B107)-1,LEN($B107))))))&gt;0,1,0)</f>
        <v>0</v>
      </c>
      <c r="AL107" t="s">
        <v>2264</v>
      </c>
      <c r="AM107" t="str">
        <f t="shared" si="3"/>
        <v>PMC</v>
      </c>
      <c r="AN107" t="s">
        <v>2332</v>
      </c>
      <c r="AO107" t="str">
        <f t="shared" si="4"/>
        <v>ZAYO</v>
      </c>
    </row>
    <row r="108" spans="1:41" ht="135.75" thickBot="1" x14ac:dyDescent="0.3">
      <c r="A108" s="13">
        <v>65</v>
      </c>
      <c r="B108" s="4" t="s">
        <v>339</v>
      </c>
      <c r="C108" s="2"/>
      <c r="D108" s="7">
        <v>45866</v>
      </c>
      <c r="E108" s="3">
        <v>2098.09</v>
      </c>
      <c r="F108" s="4" t="s">
        <v>30</v>
      </c>
      <c r="G108" s="3">
        <v>1.58</v>
      </c>
      <c r="H108" s="4" t="s">
        <v>65</v>
      </c>
      <c r="I108" s="4" t="s">
        <v>138</v>
      </c>
      <c r="J108" s="4" t="s">
        <v>139</v>
      </c>
      <c r="K108" s="3">
        <v>75</v>
      </c>
      <c r="L108" s="3">
        <v>50</v>
      </c>
      <c r="M108" s="3">
        <v>13.55</v>
      </c>
      <c r="N108" s="3">
        <v>2098.09</v>
      </c>
      <c r="O108" s="4" t="s">
        <v>49</v>
      </c>
      <c r="P108" s="4" t="s">
        <v>49</v>
      </c>
      <c r="Q108" s="4" t="s">
        <v>35</v>
      </c>
      <c r="R108" s="3">
        <v>1685.97</v>
      </c>
      <c r="S108" s="3">
        <v>6.1291200000000003</v>
      </c>
      <c r="T108" s="4" t="s">
        <v>160</v>
      </c>
      <c r="U108" s="2" t="s">
        <v>37</v>
      </c>
      <c r="V108" s="2" t="s">
        <v>37</v>
      </c>
      <c r="W108" s="2" t="s">
        <v>37</v>
      </c>
      <c r="X108" s="2" t="s">
        <v>38</v>
      </c>
      <c r="Y108" s="2" t="s">
        <v>38</v>
      </c>
      <c r="Z108" s="2" t="s">
        <v>37</v>
      </c>
      <c r="AA108" s="6">
        <v>3.321824114</v>
      </c>
      <c r="AB108" s="6">
        <v>3.2268498430000001</v>
      </c>
      <c r="AC108" s="6">
        <v>3.321824114</v>
      </c>
      <c r="AD108" cm="1">
        <f t="array" ref="AD108">IF(SUMPRODUCT(--($AM$2:$AM$112=TRIM(LEFT($B108,IFERROR(FIND(" ",$B108)-1,LEN($B108))))))&gt;0,1,0)</f>
        <v>0</v>
      </c>
      <c r="AE108" cm="1">
        <f t="array" ref="AE108">IF(SUMPRODUCT(--($AO$2:$AO$145=TRIM(LEFT($B108,IFERROR(FIND(" ",$B108)-1,LEN($B108))))))&gt;0,1,0)</f>
        <v>0</v>
      </c>
      <c r="AF108" cm="1">
        <f t="array" ref="AF108">IF(SUMPRODUCT(--($AQ$2:$AQ$71=TRIM(LEFT($B108,IFERROR(FIND(" ",$B108)-1,LEN($B108))))))&gt;0,1,0)</f>
        <v>0</v>
      </c>
      <c r="AL108" t="s">
        <v>2265</v>
      </c>
      <c r="AM108" t="str">
        <f t="shared" si="3"/>
        <v>GSOL</v>
      </c>
      <c r="AN108" t="s">
        <v>2244</v>
      </c>
      <c r="AO108" t="str">
        <f t="shared" si="4"/>
        <v>IR</v>
      </c>
    </row>
    <row r="109" spans="1:41" ht="135.75" thickBot="1" x14ac:dyDescent="0.3">
      <c r="A109" s="13">
        <v>55</v>
      </c>
      <c r="B109" s="4" t="s">
        <v>340</v>
      </c>
      <c r="C109" s="4" t="s">
        <v>341</v>
      </c>
      <c r="D109" s="7">
        <v>45880</v>
      </c>
      <c r="E109" s="3">
        <v>1905.89</v>
      </c>
      <c r="F109" s="4" t="s">
        <v>30</v>
      </c>
      <c r="G109" s="3">
        <v>30.31</v>
      </c>
      <c r="H109" s="4" t="s">
        <v>31</v>
      </c>
      <c r="I109" s="4" t="s">
        <v>32</v>
      </c>
      <c r="J109" s="4" t="s">
        <v>33</v>
      </c>
      <c r="K109" s="3">
        <v>98.6</v>
      </c>
      <c r="L109" s="3">
        <v>47.7</v>
      </c>
      <c r="M109" s="3">
        <v>22.96</v>
      </c>
      <c r="N109" s="3">
        <v>1567.12</v>
      </c>
      <c r="O109" s="4" t="s">
        <v>34</v>
      </c>
      <c r="P109" s="4" t="s">
        <v>34</v>
      </c>
      <c r="Q109" s="4" t="s">
        <v>35</v>
      </c>
      <c r="R109" s="3">
        <v>316.298</v>
      </c>
      <c r="S109" s="3">
        <v>3.4220000000000002</v>
      </c>
      <c r="T109" s="4" t="s">
        <v>160</v>
      </c>
      <c r="U109" s="2" t="s">
        <v>37</v>
      </c>
      <c r="V109" s="2" t="s">
        <v>37</v>
      </c>
      <c r="W109" s="2" t="s">
        <v>37</v>
      </c>
      <c r="X109" s="2" t="s">
        <v>38</v>
      </c>
      <c r="Y109" s="2" t="s">
        <v>38</v>
      </c>
      <c r="Z109" s="2" t="s">
        <v>37</v>
      </c>
      <c r="AA109" s="6">
        <v>3.280097831</v>
      </c>
      <c r="AB109" s="6">
        <v>2.5000964460000001</v>
      </c>
      <c r="AC109" s="6">
        <v>3.1951022529999999</v>
      </c>
      <c r="AD109" cm="1">
        <f t="array" ref="AD109">IF(SUMPRODUCT(--($AM$2:$AM$112=TRIM(LEFT($B109,IFERROR(FIND(" ",$B109)-1,LEN($B109))))))&gt;0,1,0)</f>
        <v>0</v>
      </c>
      <c r="AE109" cm="1">
        <f t="array" ref="AE109">IF(SUMPRODUCT(--($AO$2:$AO$145=TRIM(LEFT($B109,IFERROR(FIND(" ",$B109)-1,LEN($B109))))))&gt;0,1,0)</f>
        <v>0</v>
      </c>
      <c r="AF109" cm="1">
        <f t="array" ref="AF109">IF(SUMPRODUCT(--($AQ$2:$AQ$71=TRIM(LEFT($B109,IFERROR(FIND(" ",$B109)-1,LEN($B109))))))&gt;0,1,0)</f>
        <v>0</v>
      </c>
      <c r="AL109" t="s">
        <v>2266</v>
      </c>
      <c r="AM109" t="str">
        <f t="shared" si="3"/>
        <v>HUN</v>
      </c>
      <c r="AN109" t="s">
        <v>2246</v>
      </c>
      <c r="AO109" t="str">
        <f t="shared" si="4"/>
        <v>WBC</v>
      </c>
    </row>
    <row r="110" spans="1:41" ht="75.75" thickBot="1" x14ac:dyDescent="0.3">
      <c r="A110" s="13">
        <v>33</v>
      </c>
      <c r="B110" s="4" t="s">
        <v>342</v>
      </c>
      <c r="C110" s="4" t="s">
        <v>343</v>
      </c>
      <c r="D110" s="7">
        <v>45910</v>
      </c>
      <c r="E110" s="3">
        <v>649.54</v>
      </c>
      <c r="F110" s="4" t="s">
        <v>30</v>
      </c>
      <c r="G110" s="3">
        <v>10.46</v>
      </c>
      <c r="H110" s="4" t="s">
        <v>75</v>
      </c>
      <c r="I110" s="4" t="s">
        <v>111</v>
      </c>
      <c r="J110" s="4" t="s">
        <v>133</v>
      </c>
      <c r="K110" s="4"/>
      <c r="L110" s="3">
        <v>19.8</v>
      </c>
      <c r="M110" s="3">
        <v>35.28</v>
      </c>
      <c r="N110" s="3">
        <v>518.05999999999995</v>
      </c>
      <c r="O110" s="4" t="s">
        <v>34</v>
      </c>
      <c r="P110" s="4" t="s">
        <v>34</v>
      </c>
      <c r="Q110" s="4" t="s">
        <v>35</v>
      </c>
      <c r="R110" s="3">
        <v>462.59800000000001</v>
      </c>
      <c r="S110" s="3">
        <v>2.28227</v>
      </c>
      <c r="T110" s="4" t="s">
        <v>338</v>
      </c>
      <c r="U110" s="2" t="s">
        <v>37</v>
      </c>
      <c r="V110" s="2" t="s">
        <v>37</v>
      </c>
      <c r="W110" s="2" t="s">
        <v>37</v>
      </c>
      <c r="X110" s="2" t="s">
        <v>37</v>
      </c>
      <c r="Y110" s="2" t="s">
        <v>37</v>
      </c>
      <c r="Z110" s="2" t="s">
        <v>38</v>
      </c>
      <c r="AA110" s="6">
        <v>2.812605901</v>
      </c>
      <c r="AB110" s="6">
        <v>2.665203751</v>
      </c>
      <c r="AC110" s="6">
        <v>2.714380061</v>
      </c>
      <c r="AD110" cm="1">
        <f t="array" ref="AD110">IF(SUMPRODUCT(--($AM$2:$AM$112=TRIM(LEFT($B110,IFERROR(FIND(" ",$B110)-1,LEN($B110))))))&gt;0,1,0)</f>
        <v>0</v>
      </c>
      <c r="AE110" cm="1">
        <f t="array" ref="AE110">IF(SUMPRODUCT(--($AO$2:$AO$145=TRIM(LEFT($B110,IFERROR(FIND(" ",$B110)-1,LEN($B110))))))&gt;0,1,0)</f>
        <v>0</v>
      </c>
      <c r="AF110" cm="1">
        <f t="array" ref="AF110">IF(SUMPRODUCT(--($AQ$2:$AQ$71=TRIM(LEFT($B110,IFERROR(FIND(" ",$B110)-1,LEN($B110))))))&gt;0,1,0)</f>
        <v>0</v>
      </c>
      <c r="AL110" t="s">
        <v>2267</v>
      </c>
      <c r="AM110" t="str">
        <f t="shared" si="3"/>
        <v>BCR</v>
      </c>
      <c r="AN110" t="s">
        <v>2333</v>
      </c>
      <c r="AO110" t="str">
        <f t="shared" si="4"/>
        <v>WP</v>
      </c>
    </row>
    <row r="111" spans="1:41" ht="75.75" thickBot="1" x14ac:dyDescent="0.3">
      <c r="A111" s="13">
        <v>78</v>
      </c>
      <c r="B111" s="4" t="s">
        <v>344</v>
      </c>
      <c r="C111" s="4" t="s">
        <v>345</v>
      </c>
      <c r="D111" s="7">
        <v>45845</v>
      </c>
      <c r="E111" s="3">
        <v>3576.52</v>
      </c>
      <c r="F111" s="4" t="s">
        <v>46</v>
      </c>
      <c r="G111" s="3">
        <v>26.82</v>
      </c>
      <c r="H111" s="4" t="s">
        <v>47</v>
      </c>
      <c r="I111" s="4" t="s">
        <v>47</v>
      </c>
      <c r="J111" s="4" t="s">
        <v>48</v>
      </c>
      <c r="K111" s="4"/>
      <c r="L111" s="4"/>
      <c r="M111" s="3">
        <v>20.03</v>
      </c>
      <c r="N111" s="3">
        <v>3250.43</v>
      </c>
      <c r="O111" s="4" t="s">
        <v>49</v>
      </c>
      <c r="P111" s="4" t="s">
        <v>34</v>
      </c>
      <c r="Q111" s="4" t="s">
        <v>35</v>
      </c>
      <c r="R111" s="3">
        <v>176.28299999999999</v>
      </c>
      <c r="S111" s="3">
        <v>46.566099999999999</v>
      </c>
      <c r="T111" s="4" t="s">
        <v>104</v>
      </c>
      <c r="U111" s="2" t="s">
        <v>37</v>
      </c>
      <c r="V111" s="2" t="s">
        <v>37</v>
      </c>
      <c r="W111" s="2" t="s">
        <v>38</v>
      </c>
      <c r="X111" s="2" t="s">
        <v>37</v>
      </c>
      <c r="Y111" s="2" t="s">
        <v>37</v>
      </c>
      <c r="Z111" s="2" t="s">
        <v>37</v>
      </c>
      <c r="AA111" s="6">
        <v>3.5534606580000001</v>
      </c>
      <c r="AB111" s="6">
        <v>2.2462104329999999</v>
      </c>
      <c r="AC111" s="6">
        <v>3.5119408179999998</v>
      </c>
      <c r="AD111" cm="1">
        <f t="array" ref="AD111">IF(SUMPRODUCT(--($AM$2:$AM$112=TRIM(LEFT($B111,IFERROR(FIND(" ",$B111)-1,LEN($B111))))))&gt;0,1,0)</f>
        <v>0</v>
      </c>
      <c r="AE111" cm="1">
        <f t="array" ref="AE111">IF(SUMPRODUCT(--($AO$2:$AO$145=TRIM(LEFT($B111,IFERROR(FIND(" ",$B111)-1,LEN($B111))))))&gt;0,1,0)</f>
        <v>0</v>
      </c>
      <c r="AF111" cm="1">
        <f t="array" ref="AF111">IF(SUMPRODUCT(--($AQ$2:$AQ$71=TRIM(LEFT($B111,IFERROR(FIND(" ",$B111)-1,LEN($B111))))))&gt;0,1,0)</f>
        <v>0</v>
      </c>
      <c r="AL111" t="s">
        <v>2268</v>
      </c>
      <c r="AM111" t="str">
        <f t="shared" si="3"/>
        <v>XCRA</v>
      </c>
      <c r="AN111" t="s">
        <v>2248</v>
      </c>
      <c r="AO111" t="str">
        <f t="shared" si="4"/>
        <v>OAK</v>
      </c>
    </row>
    <row r="112" spans="1:41" ht="60.75" thickBot="1" x14ac:dyDescent="0.3">
      <c r="A112" s="13">
        <v>59</v>
      </c>
      <c r="B112" s="4" t="s">
        <v>346</v>
      </c>
      <c r="C112" s="4" t="s">
        <v>347</v>
      </c>
      <c r="D112" s="7">
        <v>45870</v>
      </c>
      <c r="E112" s="3">
        <v>605.86</v>
      </c>
      <c r="F112" s="4" t="s">
        <v>30</v>
      </c>
      <c r="G112" s="4"/>
      <c r="H112" s="4" t="s">
        <v>70</v>
      </c>
      <c r="I112" s="4" t="s">
        <v>94</v>
      </c>
      <c r="J112" s="4" t="s">
        <v>95</v>
      </c>
      <c r="K112" s="4"/>
      <c r="L112" s="4"/>
      <c r="M112" s="3">
        <v>98.62</v>
      </c>
      <c r="N112" s="3">
        <v>606.95000000000005</v>
      </c>
      <c r="O112" s="4" t="s">
        <v>34</v>
      </c>
      <c r="P112" s="4" t="s">
        <v>34</v>
      </c>
      <c r="Q112" s="4" t="s">
        <v>35</v>
      </c>
      <c r="R112" s="3">
        <v>122.98099999999999</v>
      </c>
      <c r="S112" s="3">
        <v>-3.4945400000000001E-2</v>
      </c>
      <c r="T112" s="4" t="s">
        <v>43</v>
      </c>
      <c r="U112" s="2" t="s">
        <v>37</v>
      </c>
      <c r="V112" s="2" t="s">
        <v>37</v>
      </c>
      <c r="W112" s="2" t="s">
        <v>37</v>
      </c>
      <c r="X112" s="2" t="s">
        <v>37</v>
      </c>
      <c r="Y112" s="2" t="s">
        <v>37</v>
      </c>
      <c r="Z112" s="2" t="s">
        <v>37</v>
      </c>
      <c r="AA112" s="6">
        <v>2.7823722809999998</v>
      </c>
      <c r="AB112" s="6">
        <v>2.0898380200000002</v>
      </c>
      <c r="AC112" s="6">
        <v>2.7831529160000001</v>
      </c>
      <c r="AD112" cm="1">
        <f t="array" ref="AD112">IF(SUMPRODUCT(--($AM$2:$AM$112=TRIM(LEFT($B112,IFERROR(FIND(" ",$B112)-1,LEN($B112))))))&gt;0,1,0)</f>
        <v>0</v>
      </c>
      <c r="AE112" cm="1">
        <f t="array" ref="AE112">IF(SUMPRODUCT(--($AO$2:$AO$145=TRIM(LEFT($B112,IFERROR(FIND(" ",$B112)-1,LEN($B112))))))&gt;0,1,0)</f>
        <v>0</v>
      </c>
      <c r="AF112" cm="1">
        <f t="array" ref="AF112">IF(SUMPRODUCT(--($AQ$2:$AQ$71=TRIM(LEFT($B112,IFERROR(FIND(" ",$B112)-1,LEN($B112))))))&gt;0,1,0)</f>
        <v>0</v>
      </c>
      <c r="AL112" t="s">
        <v>2269</v>
      </c>
      <c r="AM112" t="str">
        <f t="shared" si="3"/>
        <v>MJN</v>
      </c>
      <c r="AN112" t="s">
        <v>2334</v>
      </c>
      <c r="AO112" t="str">
        <f t="shared" si="4"/>
        <v>LABL</v>
      </c>
    </row>
    <row r="113" spans="1:41" ht="45.75" thickBot="1" x14ac:dyDescent="0.3">
      <c r="A113" s="13">
        <v>72</v>
      </c>
      <c r="B113" s="4" t="s">
        <v>348</v>
      </c>
      <c r="C113" s="4" t="s">
        <v>236</v>
      </c>
      <c r="D113" s="7">
        <v>45852</v>
      </c>
      <c r="E113" s="3">
        <v>1758.57</v>
      </c>
      <c r="F113" s="4" t="s">
        <v>46</v>
      </c>
      <c r="G113" s="4"/>
      <c r="H113" s="4" t="s">
        <v>65</v>
      </c>
      <c r="I113" s="4" t="s">
        <v>66</v>
      </c>
      <c r="J113" s="4" t="s">
        <v>66</v>
      </c>
      <c r="K113" s="4"/>
      <c r="L113" s="3">
        <v>56</v>
      </c>
      <c r="M113" s="3">
        <v>24.52</v>
      </c>
      <c r="N113" s="3">
        <v>1758.57</v>
      </c>
      <c r="O113" s="4" t="s">
        <v>34</v>
      </c>
      <c r="P113" s="4" t="s">
        <v>34</v>
      </c>
      <c r="Q113" s="4" t="s">
        <v>35</v>
      </c>
      <c r="R113" s="3">
        <v>797.61800000000005</v>
      </c>
      <c r="S113" s="3">
        <v>33.989600000000003</v>
      </c>
      <c r="T113" s="4" t="s">
        <v>43</v>
      </c>
      <c r="U113" s="2" t="s">
        <v>37</v>
      </c>
      <c r="V113" s="2" t="s">
        <v>37</v>
      </c>
      <c r="W113" s="2" t="s">
        <v>37</v>
      </c>
      <c r="X113" s="2" t="s">
        <v>37</v>
      </c>
      <c r="Y113" s="2" t="s">
        <v>37</v>
      </c>
      <c r="Z113" s="2" t="s">
        <v>37</v>
      </c>
      <c r="AA113" s="6">
        <v>3.2451596600000001</v>
      </c>
      <c r="AB113" s="6">
        <v>2.9017949459999999</v>
      </c>
      <c r="AC113" s="6">
        <v>3.2451596600000001</v>
      </c>
      <c r="AD113" cm="1">
        <f t="array" ref="AD113">IF(SUMPRODUCT(--($AM$2:$AM$112=TRIM(LEFT($B113,IFERROR(FIND(" ",$B113)-1,LEN($B113))))))&gt;0,1,0)</f>
        <v>0</v>
      </c>
      <c r="AE113" cm="1">
        <f t="array" ref="AE113">IF(SUMPRODUCT(--($AO$2:$AO$145=TRIM(LEFT($B113,IFERROR(FIND(" ",$B113)-1,LEN($B113))))))&gt;0,1,0)</f>
        <v>0</v>
      </c>
      <c r="AF113" cm="1">
        <f t="array" ref="AF113">IF(SUMPRODUCT(--($AQ$2:$AQ$71=TRIM(LEFT($B113,IFERROR(FIND(" ",$B113)-1,LEN($B113))))))&gt;0,1,0)</f>
        <v>0</v>
      </c>
      <c r="AN113" t="s">
        <v>2335</v>
      </c>
      <c r="AO113" t="str">
        <f t="shared" si="4"/>
        <v>LXFT</v>
      </c>
    </row>
    <row r="114" spans="1:41" ht="105.75" thickBot="1" x14ac:dyDescent="0.3">
      <c r="A114" s="13">
        <v>67</v>
      </c>
      <c r="B114" s="4" t="s">
        <v>349</v>
      </c>
      <c r="C114" s="4" t="s">
        <v>350</v>
      </c>
      <c r="D114" s="7">
        <v>45859</v>
      </c>
      <c r="E114" s="3">
        <v>692.61</v>
      </c>
      <c r="F114" s="4" t="s">
        <v>30</v>
      </c>
      <c r="G114" s="3">
        <v>50.75</v>
      </c>
      <c r="H114" s="4" t="s">
        <v>41</v>
      </c>
      <c r="I114" s="4" t="s">
        <v>41</v>
      </c>
      <c r="J114" s="4" t="s">
        <v>60</v>
      </c>
      <c r="K114" s="4"/>
      <c r="L114" s="4"/>
      <c r="M114" s="3">
        <v>107.07</v>
      </c>
      <c r="N114" s="3">
        <v>530.51</v>
      </c>
      <c r="O114" s="4" t="s">
        <v>34</v>
      </c>
      <c r="P114" s="4" t="s">
        <v>147</v>
      </c>
      <c r="Q114" s="4" t="s">
        <v>35</v>
      </c>
      <c r="R114" s="3">
        <v>449.74900000000002</v>
      </c>
      <c r="S114" s="3">
        <v>-2.0514100000000002</v>
      </c>
      <c r="T114" s="4" t="s">
        <v>351</v>
      </c>
      <c r="U114" s="2" t="s">
        <v>37</v>
      </c>
      <c r="V114" s="2" t="s">
        <v>37</v>
      </c>
      <c r="W114" s="2" t="s">
        <v>38</v>
      </c>
      <c r="X114" s="2" t="s">
        <v>38</v>
      </c>
      <c r="Y114" s="2" t="s">
        <v>37</v>
      </c>
      <c r="Z114" s="2" t="s">
        <v>37</v>
      </c>
      <c r="AA114" s="6">
        <v>2.8404887579999998</v>
      </c>
      <c r="AB114" s="6">
        <v>2.652970206</v>
      </c>
      <c r="AC114" s="6">
        <v>2.7246935749999999</v>
      </c>
      <c r="AD114" cm="1">
        <f t="array" ref="AD114">IF(SUMPRODUCT(--($AM$2:$AM$112=TRIM(LEFT($B114,IFERROR(FIND(" ",$B114)-1,LEN($B114))))))&gt;0,1,0)</f>
        <v>0</v>
      </c>
      <c r="AE114" cm="1">
        <f t="array" ref="AE114">IF(SUMPRODUCT(--($AO$2:$AO$145=TRIM(LEFT($B114,IFERROR(FIND(" ",$B114)-1,LEN($B114))))))&gt;0,1,0)</f>
        <v>0</v>
      </c>
      <c r="AF114" cm="1">
        <f t="array" ref="AF114">IF(SUMPRODUCT(--($AQ$2:$AQ$71=TRIM(LEFT($B114,IFERROR(FIND(" ",$B114)-1,LEN($B114))))))&gt;0,1,0)</f>
        <v>0</v>
      </c>
      <c r="AN114" t="s">
        <v>2336</v>
      </c>
      <c r="AO114" t="str">
        <f t="shared" si="4"/>
        <v>CELG</v>
      </c>
    </row>
    <row r="115" spans="1:41" ht="135.75" thickBot="1" x14ac:dyDescent="0.3">
      <c r="A115" s="13">
        <v>118</v>
      </c>
      <c r="B115" s="4" t="s">
        <v>352</v>
      </c>
      <c r="C115" s="2"/>
      <c r="D115" s="7">
        <v>45783</v>
      </c>
      <c r="E115" s="3">
        <v>1754.75</v>
      </c>
      <c r="F115" s="4" t="s">
        <v>30</v>
      </c>
      <c r="G115" s="3">
        <v>49.72</v>
      </c>
      <c r="H115" s="4" t="s">
        <v>31</v>
      </c>
      <c r="I115" s="4" t="s">
        <v>32</v>
      </c>
      <c r="J115" s="4" t="s">
        <v>33</v>
      </c>
      <c r="K115" s="3">
        <v>133</v>
      </c>
      <c r="L115" s="3">
        <v>78</v>
      </c>
      <c r="M115" s="3">
        <v>27.8</v>
      </c>
      <c r="N115" s="3">
        <v>2068.65</v>
      </c>
      <c r="O115" s="4" t="s">
        <v>34</v>
      </c>
      <c r="P115" s="4" t="s">
        <v>34</v>
      </c>
      <c r="Q115" s="4" t="s">
        <v>35</v>
      </c>
      <c r="R115" s="3">
        <v>438.94</v>
      </c>
      <c r="S115" s="3">
        <v>-3.8355000000000001</v>
      </c>
      <c r="T115" s="4" t="s">
        <v>220</v>
      </c>
      <c r="U115" s="2" t="s">
        <v>37</v>
      </c>
      <c r="V115" s="2" t="s">
        <v>37</v>
      </c>
      <c r="W115" s="2" t="s">
        <v>37</v>
      </c>
      <c r="X115" s="2" t="s">
        <v>38</v>
      </c>
      <c r="Y115" s="2" t="s">
        <v>38</v>
      </c>
      <c r="Z115" s="2" t="s">
        <v>37</v>
      </c>
      <c r="AA115" s="6">
        <v>3.244215251</v>
      </c>
      <c r="AB115" s="6">
        <v>2.6424051589999999</v>
      </c>
      <c r="AC115" s="6">
        <v>3.3156870180000002</v>
      </c>
      <c r="AD115" cm="1">
        <f t="array" ref="AD115">IF(SUMPRODUCT(--($AM$2:$AM$112=TRIM(LEFT($B115,IFERROR(FIND(" ",$B115)-1,LEN($B115))))))&gt;0,1,0)</f>
        <v>0</v>
      </c>
      <c r="AE115" cm="1">
        <f t="array" ref="AE115">IF(SUMPRODUCT(--($AO$2:$AO$145=TRIM(LEFT($B115,IFERROR(FIND(" ",$B115)-1,LEN($B115))))))&gt;0,1,0)</f>
        <v>1</v>
      </c>
      <c r="AF115" cm="1">
        <f t="array" ref="AF115">IF(SUMPRODUCT(--($AQ$2:$AQ$71=TRIM(LEFT($B115,IFERROR(FIND(" ",$B115)-1,LEN($B115))))))&gt;0,1,0)</f>
        <v>0</v>
      </c>
      <c r="AN115" t="s">
        <v>2337</v>
      </c>
      <c r="AO115" t="str">
        <f t="shared" si="4"/>
        <v>BEL</v>
      </c>
    </row>
    <row r="116" spans="1:41" ht="45.75" thickBot="1" x14ac:dyDescent="0.3">
      <c r="A116" s="13">
        <v>51</v>
      </c>
      <c r="B116" s="4" t="s">
        <v>353</v>
      </c>
      <c r="C116" s="4" t="s">
        <v>354</v>
      </c>
      <c r="D116" s="7">
        <v>45875</v>
      </c>
      <c r="E116" s="3">
        <v>1915.77</v>
      </c>
      <c r="F116" s="4" t="s">
        <v>69</v>
      </c>
      <c r="G116" s="3">
        <v>10.3</v>
      </c>
      <c r="H116" s="4" t="s">
        <v>118</v>
      </c>
      <c r="I116" s="4" t="s">
        <v>119</v>
      </c>
      <c r="J116" s="4" t="s">
        <v>355</v>
      </c>
      <c r="K116" s="4"/>
      <c r="L116" s="4"/>
      <c r="M116" s="3">
        <v>16.170000000000002</v>
      </c>
      <c r="N116" s="3">
        <v>1482.61</v>
      </c>
      <c r="O116" s="4" t="s">
        <v>34</v>
      </c>
      <c r="P116" s="4" t="s">
        <v>34</v>
      </c>
      <c r="Q116" s="4" t="s">
        <v>35</v>
      </c>
      <c r="R116" s="3">
        <v>927.66399999999999</v>
      </c>
      <c r="S116" s="3">
        <v>42.608899999999998</v>
      </c>
      <c r="T116" s="4" t="s">
        <v>43</v>
      </c>
      <c r="U116" s="2" t="s">
        <v>37</v>
      </c>
      <c r="V116" s="2" t="s">
        <v>37</v>
      </c>
      <c r="W116" s="2" t="s">
        <v>37</v>
      </c>
      <c r="X116" s="2" t="s">
        <v>37</v>
      </c>
      <c r="Y116" s="2" t="s">
        <v>37</v>
      </c>
      <c r="Z116" s="2" t="s">
        <v>37</v>
      </c>
      <c r="AA116" s="6">
        <v>3.2823433679999998</v>
      </c>
      <c r="AB116" s="6">
        <v>2.967390703</v>
      </c>
      <c r="AC116" s="6">
        <v>3.1710269250000001</v>
      </c>
      <c r="AD116" cm="1">
        <f t="array" ref="AD116">IF(SUMPRODUCT(--($AM$2:$AM$112=TRIM(LEFT($B116,IFERROR(FIND(" ",$B116)-1,LEN($B116))))))&gt;0,1,0)</f>
        <v>0</v>
      </c>
      <c r="AE116" cm="1">
        <f t="array" ref="AE116">IF(SUMPRODUCT(--($AO$2:$AO$145=TRIM(LEFT($B116,IFERROR(FIND(" ",$B116)-1,LEN($B116))))))&gt;0,1,0)</f>
        <v>0</v>
      </c>
      <c r="AF116" cm="1">
        <f t="array" ref="AF116">IF(SUMPRODUCT(--($AQ$2:$AQ$71=TRIM(LEFT($B116,IFERROR(FIND(" ",$B116)-1,LEN($B116))))))&gt;0,1,0)</f>
        <v>0</v>
      </c>
      <c r="AN116" t="s">
        <v>2338</v>
      </c>
      <c r="AO116" t="str">
        <f t="shared" si="4"/>
        <v>ARRS</v>
      </c>
    </row>
    <row r="117" spans="1:41" ht="45.75" thickBot="1" x14ac:dyDescent="0.3">
      <c r="A117" s="13">
        <v>134</v>
      </c>
      <c r="B117" s="4" t="s">
        <v>356</v>
      </c>
      <c r="C117" s="4" t="s">
        <v>357</v>
      </c>
      <c r="D117" s="7">
        <v>45747</v>
      </c>
      <c r="E117" s="3">
        <v>9935.58</v>
      </c>
      <c r="F117" s="4" t="s">
        <v>46</v>
      </c>
      <c r="G117" s="3">
        <v>5.6</v>
      </c>
      <c r="H117" s="4" t="s">
        <v>65</v>
      </c>
      <c r="I117" s="4" t="s">
        <v>138</v>
      </c>
      <c r="J117" s="4" t="s">
        <v>139</v>
      </c>
      <c r="K117" s="3">
        <v>500</v>
      </c>
      <c r="L117" s="3">
        <v>306.92399999999998</v>
      </c>
      <c r="M117" s="3">
        <v>49.04</v>
      </c>
      <c r="N117" s="3">
        <v>9935.58</v>
      </c>
      <c r="O117" s="4" t="s">
        <v>34</v>
      </c>
      <c r="P117" s="4" t="s">
        <v>34</v>
      </c>
      <c r="Q117" s="4" t="s">
        <v>35</v>
      </c>
      <c r="R117" s="3">
        <v>3015</v>
      </c>
      <c r="S117" s="3">
        <v>25.331199999999999</v>
      </c>
      <c r="T117" s="4" t="s">
        <v>43</v>
      </c>
      <c r="U117" s="2" t="s">
        <v>37</v>
      </c>
      <c r="V117" s="2" t="s">
        <v>37</v>
      </c>
      <c r="W117" s="2" t="s">
        <v>37</v>
      </c>
      <c r="X117" s="2" t="s">
        <v>37</v>
      </c>
      <c r="Y117" s="2" t="s">
        <v>37</v>
      </c>
      <c r="Z117" s="2" t="s">
        <v>37</v>
      </c>
      <c r="AA117" s="6">
        <v>3.9971932250000002</v>
      </c>
      <c r="AB117" s="6">
        <v>3.4792873160000002</v>
      </c>
      <c r="AC117" s="6">
        <v>3.9971932250000002</v>
      </c>
      <c r="AD117" cm="1">
        <f t="array" ref="AD117">IF(SUMPRODUCT(--($AM$2:$AM$112=TRIM(LEFT($B117,IFERROR(FIND(" ",$B117)-1,LEN($B117))))))&gt;0,1,0)</f>
        <v>0</v>
      </c>
      <c r="AE117" cm="1">
        <f t="array" ref="AE117">IF(SUMPRODUCT(--($AO$2:$AO$145=TRIM(LEFT($B117,IFERROR(FIND(" ",$B117)-1,LEN($B117))))))&gt;0,1,0)</f>
        <v>0</v>
      </c>
      <c r="AF117" cm="1">
        <f t="array" ref="AF117">IF(SUMPRODUCT(--($AQ$2:$AQ$71=TRIM(LEFT($B117,IFERROR(FIND(" ",$B117)-1,LEN($B117))))))&gt;0,1,0)</f>
        <v>0</v>
      </c>
      <c r="AN117" t="s">
        <v>2339</v>
      </c>
      <c r="AO117" t="str">
        <f t="shared" si="4"/>
        <v>RHT</v>
      </c>
    </row>
    <row r="118" spans="1:41" ht="75.75" thickBot="1" x14ac:dyDescent="0.3">
      <c r="A118" s="13">
        <v>57</v>
      </c>
      <c r="B118" s="4" t="s">
        <v>358</v>
      </c>
      <c r="C118" s="4" t="s">
        <v>359</v>
      </c>
      <c r="D118" s="7">
        <v>45848</v>
      </c>
      <c r="E118" s="3">
        <v>2656.46</v>
      </c>
      <c r="F118" s="4" t="s">
        <v>30</v>
      </c>
      <c r="G118" s="3">
        <v>14.21</v>
      </c>
      <c r="H118" s="4" t="s">
        <v>127</v>
      </c>
      <c r="I118" s="4" t="s">
        <v>128</v>
      </c>
      <c r="J118" s="4" t="s">
        <v>129</v>
      </c>
      <c r="K118" s="3">
        <v>105.062</v>
      </c>
      <c r="L118" s="3">
        <v>73.543400000000005</v>
      </c>
      <c r="M118" s="3">
        <v>41.88</v>
      </c>
      <c r="N118" s="3">
        <v>1987.46</v>
      </c>
      <c r="O118" s="4" t="s">
        <v>34</v>
      </c>
      <c r="P118" s="4" t="s">
        <v>360</v>
      </c>
      <c r="Q118" s="4" t="s">
        <v>35</v>
      </c>
      <c r="R118" s="3">
        <v>2708</v>
      </c>
      <c r="S118" s="3">
        <v>1.76583</v>
      </c>
      <c r="T118" s="4" t="s">
        <v>113</v>
      </c>
      <c r="U118" s="2" t="s">
        <v>37</v>
      </c>
      <c r="V118" s="2" t="s">
        <v>37</v>
      </c>
      <c r="W118" s="2" t="s">
        <v>37</v>
      </c>
      <c r="X118" s="2" t="s">
        <v>38</v>
      </c>
      <c r="Y118" s="2" t="s">
        <v>37</v>
      </c>
      <c r="Z118" s="2" t="s">
        <v>37</v>
      </c>
      <c r="AA118" s="6">
        <v>3.4243032809999998</v>
      </c>
      <c r="AB118" s="6">
        <v>3.4326486599999999</v>
      </c>
      <c r="AC118" s="6">
        <v>3.2982983969999999</v>
      </c>
      <c r="AD118" cm="1">
        <f t="array" ref="AD118">IF(SUMPRODUCT(--($AM$2:$AM$112=TRIM(LEFT($B118,IFERROR(FIND(" ",$B118)-1,LEN($B118))))))&gt;0,1,0)</f>
        <v>0</v>
      </c>
      <c r="AE118" cm="1">
        <f t="array" ref="AE118">IF(SUMPRODUCT(--($AO$2:$AO$145=TRIM(LEFT($B118,IFERROR(FIND(" ",$B118)-1,LEN($B118))))))&gt;0,1,0)</f>
        <v>0</v>
      </c>
      <c r="AF118" cm="1">
        <f t="array" ref="AF118">IF(SUMPRODUCT(--($AQ$2:$AQ$71=TRIM(LEFT($B118,IFERROR(FIND(" ",$B118)-1,LEN($B118))))))&gt;0,1,0)</f>
        <v>0</v>
      </c>
      <c r="AN118" t="s">
        <v>2340</v>
      </c>
      <c r="AO118" t="str">
        <f t="shared" si="4"/>
        <v>LLL</v>
      </c>
    </row>
    <row r="119" spans="1:41" ht="135.75" thickBot="1" x14ac:dyDescent="0.3">
      <c r="A119" s="13">
        <v>70</v>
      </c>
      <c r="B119" s="4" t="s">
        <v>361</v>
      </c>
      <c r="C119" s="4" t="s">
        <v>362</v>
      </c>
      <c r="D119" s="7">
        <v>45828</v>
      </c>
      <c r="E119" s="3">
        <v>1186.99</v>
      </c>
      <c r="F119" s="4" t="s">
        <v>30</v>
      </c>
      <c r="G119" s="4"/>
      <c r="H119" s="4" t="s">
        <v>31</v>
      </c>
      <c r="I119" s="4" t="s">
        <v>32</v>
      </c>
      <c r="J119" s="4" t="s">
        <v>33</v>
      </c>
      <c r="K119" s="3">
        <v>82.5</v>
      </c>
      <c r="L119" s="3">
        <v>42</v>
      </c>
      <c r="M119" s="3">
        <v>29.93</v>
      </c>
      <c r="N119" s="3">
        <v>1325.07</v>
      </c>
      <c r="O119" s="4" t="s">
        <v>34</v>
      </c>
      <c r="P119" s="4" t="s">
        <v>34</v>
      </c>
      <c r="Q119" s="4" t="s">
        <v>35</v>
      </c>
      <c r="R119" s="3">
        <v>209.46600000000001</v>
      </c>
      <c r="S119" s="3">
        <v>-35.947400000000002</v>
      </c>
      <c r="T119" s="4" t="s">
        <v>242</v>
      </c>
      <c r="U119" s="2" t="s">
        <v>37</v>
      </c>
      <c r="V119" s="2" t="s">
        <v>37</v>
      </c>
      <c r="W119" s="2" t="s">
        <v>37</v>
      </c>
      <c r="X119" s="2" t="s">
        <v>38</v>
      </c>
      <c r="Y119" s="2" t="s">
        <v>38</v>
      </c>
      <c r="Z119" s="2" t="s">
        <v>37</v>
      </c>
      <c r="AA119" s="6">
        <v>3.0744470599999998</v>
      </c>
      <c r="AB119" s="6">
        <v>2.3211135390000002</v>
      </c>
      <c r="AC119" s="6">
        <v>3.1222388219999999</v>
      </c>
      <c r="AD119" cm="1">
        <f t="array" ref="AD119">IF(SUMPRODUCT(--($AM$2:$AM$112=TRIM(LEFT($B119,IFERROR(FIND(" ",$B119)-1,LEN($B119))))))&gt;0,1,0)</f>
        <v>0</v>
      </c>
      <c r="AE119" cm="1">
        <f t="array" ref="AE119">IF(SUMPRODUCT(--($AO$2:$AO$145=TRIM(LEFT($B119,IFERROR(FIND(" ",$B119)-1,LEN($B119))))))&gt;0,1,0)</f>
        <v>0</v>
      </c>
      <c r="AF119" cm="1">
        <f t="array" ref="AF119">IF(SUMPRODUCT(--($AQ$2:$AQ$71=TRIM(LEFT($B119,IFERROR(FIND(" ",$B119)-1,LEN($B119))))))&gt;0,1,0)</f>
        <v>0</v>
      </c>
      <c r="AN119" t="s">
        <v>2341</v>
      </c>
      <c r="AO119" t="str">
        <f t="shared" si="4"/>
        <v>ESL</v>
      </c>
    </row>
    <row r="120" spans="1:41" ht="60.75" thickBot="1" x14ac:dyDescent="0.3">
      <c r="A120" s="13">
        <v>66</v>
      </c>
      <c r="B120" s="4" t="s">
        <v>363</v>
      </c>
      <c r="C120" s="4" t="s">
        <v>364</v>
      </c>
      <c r="D120" s="7">
        <v>45831</v>
      </c>
      <c r="E120" s="3">
        <v>2005.49</v>
      </c>
      <c r="F120" s="4" t="s">
        <v>30</v>
      </c>
      <c r="G120" s="3">
        <v>9.2200000000000006</v>
      </c>
      <c r="H120" s="4" t="s">
        <v>127</v>
      </c>
      <c r="I120" s="4" t="s">
        <v>365</v>
      </c>
      <c r="J120" s="4" t="s">
        <v>366</v>
      </c>
      <c r="K120" s="4"/>
      <c r="L120" s="4"/>
      <c r="M120" s="3">
        <v>44.03</v>
      </c>
      <c r="N120" s="3">
        <v>910.56</v>
      </c>
      <c r="O120" s="4" t="s">
        <v>34</v>
      </c>
      <c r="P120" s="4" t="s">
        <v>34</v>
      </c>
      <c r="Q120" s="4" t="s">
        <v>35</v>
      </c>
      <c r="R120" s="3">
        <v>9549.32</v>
      </c>
      <c r="S120" s="3">
        <v>0.35390199999999999</v>
      </c>
      <c r="T120" s="4" t="s">
        <v>43</v>
      </c>
      <c r="U120" s="2" t="s">
        <v>37</v>
      </c>
      <c r="V120" s="2" t="s">
        <v>37</v>
      </c>
      <c r="W120" s="2" t="s">
        <v>37</v>
      </c>
      <c r="X120" s="2" t="s">
        <v>37</v>
      </c>
      <c r="Y120" s="2" t="s">
        <v>37</v>
      </c>
      <c r="Z120" s="2" t="s">
        <v>37</v>
      </c>
      <c r="AA120" s="6">
        <v>3.3022205009999999</v>
      </c>
      <c r="AB120" s="6">
        <v>3.9799724470000002</v>
      </c>
      <c r="AC120" s="6">
        <v>2.959308568</v>
      </c>
      <c r="AD120" cm="1">
        <f t="array" ref="AD120">IF(SUMPRODUCT(--($AM$2:$AM$112=TRIM(LEFT($B120,IFERROR(FIND(" ",$B120)-1,LEN($B120))))))&gt;0,1,0)</f>
        <v>0</v>
      </c>
      <c r="AE120" cm="1">
        <f t="array" ref="AE120">IF(SUMPRODUCT(--($AO$2:$AO$145=TRIM(LEFT($B120,IFERROR(FIND(" ",$B120)-1,LEN($B120))))))&gt;0,1,0)</f>
        <v>0</v>
      </c>
      <c r="AF120" cm="1">
        <f t="array" ref="AF120">IF(SUMPRODUCT(--($AQ$2:$AQ$71=TRIM(LEFT($B120,IFERROR(FIND(" ",$B120)-1,LEN($B120))))))&gt;0,1,0)</f>
        <v>0</v>
      </c>
      <c r="AN120" t="s">
        <v>2342</v>
      </c>
      <c r="AO120" t="str">
        <f t="shared" si="4"/>
        <v>NXEO</v>
      </c>
    </row>
    <row r="121" spans="1:41" ht="135.75" thickBot="1" x14ac:dyDescent="0.3">
      <c r="A121" s="13">
        <v>95</v>
      </c>
      <c r="B121" s="4" t="s">
        <v>367</v>
      </c>
      <c r="C121" s="4" t="s">
        <v>368</v>
      </c>
      <c r="D121" s="7">
        <v>45782</v>
      </c>
      <c r="E121" s="3">
        <v>10479.16</v>
      </c>
      <c r="F121" s="4" t="s">
        <v>69</v>
      </c>
      <c r="G121" s="3">
        <v>6.87</v>
      </c>
      <c r="H121" s="4" t="s">
        <v>75</v>
      </c>
      <c r="I121" s="4" t="s">
        <v>76</v>
      </c>
      <c r="J121" s="4" t="s">
        <v>307</v>
      </c>
      <c r="K121" s="4"/>
      <c r="L121" s="4"/>
      <c r="M121" s="3">
        <v>30.11</v>
      </c>
      <c r="N121" s="3">
        <v>9432.98</v>
      </c>
      <c r="O121" s="4" t="s">
        <v>34</v>
      </c>
      <c r="P121" s="4" t="s">
        <v>34</v>
      </c>
      <c r="Q121" s="4" t="s">
        <v>35</v>
      </c>
      <c r="R121" s="3">
        <v>8969.35</v>
      </c>
      <c r="S121" s="3">
        <v>8.8946100000000001</v>
      </c>
      <c r="T121" s="4" t="s">
        <v>369</v>
      </c>
      <c r="U121" s="2" t="s">
        <v>37</v>
      </c>
      <c r="V121" s="2" t="s">
        <v>37</v>
      </c>
      <c r="W121" s="2" t="s">
        <v>37</v>
      </c>
      <c r="X121" s="2" t="s">
        <v>38</v>
      </c>
      <c r="Y121" s="2" t="s">
        <v>38</v>
      </c>
      <c r="Z121" s="2" t="s">
        <v>37</v>
      </c>
      <c r="AA121" s="6">
        <v>4.0203264709999997</v>
      </c>
      <c r="AB121" s="6">
        <v>3.952760971</v>
      </c>
      <c r="AC121" s="6">
        <v>3.9746489139999999</v>
      </c>
      <c r="AD121" cm="1">
        <f t="array" ref="AD121">IF(SUMPRODUCT(--($AM$2:$AM$112=TRIM(LEFT($B121,IFERROR(FIND(" ",$B121)-1,LEN($B121))))))&gt;0,1,0)</f>
        <v>0</v>
      </c>
      <c r="AE121" cm="1">
        <f t="array" ref="AE121">IF(SUMPRODUCT(--($AO$2:$AO$145=TRIM(LEFT($B121,IFERROR(FIND(" ",$B121)-1,LEN($B121))))))&gt;0,1,0)</f>
        <v>1</v>
      </c>
      <c r="AF121" cm="1">
        <f t="array" ref="AF121">IF(SUMPRODUCT(--($AQ$2:$AQ$71=TRIM(LEFT($B121,IFERROR(FIND(" ",$B121)-1,LEN($B121))))))&gt;0,1,0)</f>
        <v>0</v>
      </c>
      <c r="AN121" t="s">
        <v>2343</v>
      </c>
      <c r="AO121" t="str">
        <f t="shared" si="4"/>
        <v>AHL</v>
      </c>
    </row>
    <row r="122" spans="1:41" ht="105.75" thickBot="1" x14ac:dyDescent="0.3">
      <c r="A122" s="13">
        <v>52</v>
      </c>
      <c r="B122" s="4" t="s">
        <v>370</v>
      </c>
      <c r="C122" s="4" t="s">
        <v>230</v>
      </c>
      <c r="D122" s="7">
        <v>45841</v>
      </c>
      <c r="E122" s="3">
        <v>1482.42</v>
      </c>
      <c r="F122" s="4" t="s">
        <v>30</v>
      </c>
      <c r="G122" s="4"/>
      <c r="H122" s="4" t="s">
        <v>31</v>
      </c>
      <c r="I122" s="4" t="s">
        <v>32</v>
      </c>
      <c r="J122" s="4" t="s">
        <v>33</v>
      </c>
      <c r="K122" s="4"/>
      <c r="L122" s="4"/>
      <c r="M122" s="3">
        <v>18.079999999999998</v>
      </c>
      <c r="N122" s="3">
        <v>1827.63</v>
      </c>
      <c r="O122" s="4" t="s">
        <v>34</v>
      </c>
      <c r="P122" s="4" t="s">
        <v>34</v>
      </c>
      <c r="Q122" s="4" t="s">
        <v>35</v>
      </c>
      <c r="R122" s="3">
        <v>284.93799999999999</v>
      </c>
      <c r="S122" s="3">
        <v>-5.7513399999999999</v>
      </c>
      <c r="T122" s="4" t="s">
        <v>371</v>
      </c>
      <c r="U122" s="2" t="s">
        <v>37</v>
      </c>
      <c r="V122" s="2" t="s">
        <v>37</v>
      </c>
      <c r="W122" s="2" t="s">
        <v>37</v>
      </c>
      <c r="X122" s="2" t="s">
        <v>37</v>
      </c>
      <c r="Y122" s="2" t="s">
        <v>38</v>
      </c>
      <c r="Z122" s="2" t="s">
        <v>37</v>
      </c>
      <c r="AA122" s="6">
        <v>3.170971266</v>
      </c>
      <c r="AB122" s="6">
        <v>2.4547503719999999</v>
      </c>
      <c r="AC122" s="6">
        <v>3.2618882779999998</v>
      </c>
      <c r="AD122" cm="1">
        <f t="array" ref="AD122">IF(SUMPRODUCT(--($AM$2:$AM$112=TRIM(LEFT($B122,IFERROR(FIND(" ",$B122)-1,LEN($B122))))))&gt;0,1,0)</f>
        <v>0</v>
      </c>
      <c r="AE122" cm="1">
        <f t="array" ref="AE122">IF(SUMPRODUCT(--($AO$2:$AO$145=TRIM(LEFT($B122,IFERROR(FIND(" ",$B122)-1,LEN($B122))))))&gt;0,1,0)</f>
        <v>0</v>
      </c>
      <c r="AF122" cm="1">
        <f t="array" ref="AF122">IF(SUMPRODUCT(--($AQ$2:$AQ$71=TRIM(LEFT($B122,IFERROR(FIND(" ",$B122)-1,LEN($B122))))))&gt;0,1,0)</f>
        <v>0</v>
      </c>
      <c r="AN122" t="s">
        <v>2254</v>
      </c>
      <c r="AO122" t="str">
        <f t="shared" si="4"/>
        <v>BMS</v>
      </c>
    </row>
    <row r="123" spans="1:41" ht="60.75" thickBot="1" x14ac:dyDescent="0.3">
      <c r="A123" s="13">
        <v>83</v>
      </c>
      <c r="B123" s="4" t="s">
        <v>372</v>
      </c>
      <c r="C123" s="4" t="s">
        <v>373</v>
      </c>
      <c r="D123" s="7">
        <v>45792</v>
      </c>
      <c r="E123" s="3">
        <v>4661.8999999999996</v>
      </c>
      <c r="F123" s="4" t="s">
        <v>69</v>
      </c>
      <c r="G123" s="3">
        <v>4.92</v>
      </c>
      <c r="H123" s="4" t="s">
        <v>75</v>
      </c>
      <c r="I123" s="4" t="s">
        <v>83</v>
      </c>
      <c r="J123" s="4" t="s">
        <v>84</v>
      </c>
      <c r="K123" s="3">
        <v>95.5</v>
      </c>
      <c r="L123" s="3">
        <v>59.5</v>
      </c>
      <c r="M123" s="3">
        <v>96.62</v>
      </c>
      <c r="N123" s="3">
        <v>2278.91</v>
      </c>
      <c r="O123" s="4" t="s">
        <v>34</v>
      </c>
      <c r="P123" s="4" t="s">
        <v>34</v>
      </c>
      <c r="Q123" s="4" t="s">
        <v>35</v>
      </c>
      <c r="R123" s="3">
        <v>7988</v>
      </c>
      <c r="S123" s="3">
        <v>-2.5827</v>
      </c>
      <c r="T123" s="4" t="s">
        <v>43</v>
      </c>
      <c r="U123" s="2" t="s">
        <v>37</v>
      </c>
      <c r="V123" s="2" t="s">
        <v>37</v>
      </c>
      <c r="W123" s="2" t="s">
        <v>37</v>
      </c>
      <c r="X123" s="2" t="s">
        <v>37</v>
      </c>
      <c r="Y123" s="2" t="s">
        <v>37</v>
      </c>
      <c r="Z123" s="2" t="s">
        <v>37</v>
      </c>
      <c r="AA123" s="6">
        <v>3.6685629529999999</v>
      </c>
      <c r="AB123" s="6">
        <v>3.9024380559999998</v>
      </c>
      <c r="AC123" s="6">
        <v>3.3577271739999999</v>
      </c>
      <c r="AD123" cm="1">
        <f t="array" ref="AD123">IF(SUMPRODUCT(--($AM$2:$AM$112=TRIM(LEFT($B123,IFERROR(FIND(" ",$B123)-1,LEN($B123))))))&gt;0,1,0)</f>
        <v>0</v>
      </c>
      <c r="AE123" cm="1">
        <f t="array" ref="AE123">IF(SUMPRODUCT(--($AO$2:$AO$145=TRIM(LEFT($B123,IFERROR(FIND(" ",$B123)-1,LEN($B123))))))&gt;0,1,0)</f>
        <v>0</v>
      </c>
      <c r="AF123" cm="1">
        <f t="array" ref="AF123">IF(SUMPRODUCT(--($AQ$2:$AQ$71=TRIM(LEFT($B123,IFERROR(FIND(" ",$B123)-1,LEN($B123))))))&gt;0,1,0)</f>
        <v>0</v>
      </c>
      <c r="AN123" t="s">
        <v>2344</v>
      </c>
      <c r="AO123" t="str">
        <f t="shared" si="4"/>
        <v>CA</v>
      </c>
    </row>
    <row r="124" spans="1:41" ht="45.75" thickBot="1" x14ac:dyDescent="0.3">
      <c r="A124" s="13">
        <v>86</v>
      </c>
      <c r="B124" s="4" t="s">
        <v>374</v>
      </c>
      <c r="C124" s="4" t="s">
        <v>375</v>
      </c>
      <c r="D124" s="7">
        <v>45789</v>
      </c>
      <c r="E124" s="3">
        <v>1842.74</v>
      </c>
      <c r="F124" s="4" t="s">
        <v>69</v>
      </c>
      <c r="G124" s="4"/>
      <c r="H124" s="4" t="s">
        <v>47</v>
      </c>
      <c r="I124" s="4" t="s">
        <v>47</v>
      </c>
      <c r="J124" s="4" t="s">
        <v>48</v>
      </c>
      <c r="K124" s="4"/>
      <c r="L124" s="4"/>
      <c r="M124" s="3">
        <v>25.7</v>
      </c>
      <c r="N124" s="3">
        <v>2002.85</v>
      </c>
      <c r="O124" s="4" t="s">
        <v>49</v>
      </c>
      <c r="P124" s="4" t="s">
        <v>49</v>
      </c>
      <c r="Q124" s="4" t="s">
        <v>35</v>
      </c>
      <c r="R124" s="2"/>
      <c r="S124" s="2"/>
      <c r="T124" s="4" t="s">
        <v>43</v>
      </c>
      <c r="U124" s="2" t="s">
        <v>37</v>
      </c>
      <c r="V124" s="2" t="s">
        <v>37</v>
      </c>
      <c r="W124" s="2" t="s">
        <v>37</v>
      </c>
      <c r="X124" s="2" t="s">
        <v>37</v>
      </c>
      <c r="Y124" s="2" t="s">
        <v>37</v>
      </c>
      <c r="Z124" s="2" t="s">
        <v>37</v>
      </c>
      <c r="AA124" s="6">
        <v>3.265464063</v>
      </c>
      <c r="AB124" s="2"/>
      <c r="AC124" s="6">
        <v>3.3016484250000002</v>
      </c>
      <c r="AD124" cm="1">
        <f t="array" ref="AD124">IF(SUMPRODUCT(--($AM$2:$AM$112=TRIM(LEFT($B124,IFERROR(FIND(" ",$B124)-1,LEN($B124))))))&gt;0,1,0)</f>
        <v>0</v>
      </c>
      <c r="AE124" cm="1">
        <f t="array" ref="AE124">IF(SUMPRODUCT(--($AO$2:$AO$145=TRIM(LEFT($B124,IFERROR(FIND(" ",$B124)-1,LEN($B124))))))&gt;0,1,0)</f>
        <v>0</v>
      </c>
      <c r="AF124" cm="1">
        <f t="array" ref="AF124">IF(SUMPRODUCT(--($AQ$2:$AQ$71=TRIM(LEFT($B124,IFERROR(FIND(" ",$B124)-1,LEN($B124))))))&gt;0,1,0)</f>
        <v>0</v>
      </c>
      <c r="AN124" t="s">
        <v>2345</v>
      </c>
      <c r="AO124" t="str">
        <f t="shared" si="4"/>
        <v>CVG</v>
      </c>
    </row>
    <row r="125" spans="1:41" ht="120.75" thickBot="1" x14ac:dyDescent="0.3">
      <c r="A125" s="13">
        <v>49</v>
      </c>
      <c r="B125" s="4" t="s">
        <v>376</v>
      </c>
      <c r="C125" s="4" t="s">
        <v>377</v>
      </c>
      <c r="D125" s="7">
        <v>45838</v>
      </c>
      <c r="E125" s="3">
        <v>4234.24</v>
      </c>
      <c r="F125" s="4" t="s">
        <v>30</v>
      </c>
      <c r="G125" s="3">
        <v>8.39</v>
      </c>
      <c r="H125" s="4" t="s">
        <v>75</v>
      </c>
      <c r="I125" s="4" t="s">
        <v>83</v>
      </c>
      <c r="J125" s="4" t="s">
        <v>84</v>
      </c>
      <c r="K125" s="3">
        <v>230</v>
      </c>
      <c r="L125" s="3">
        <v>14.75</v>
      </c>
      <c r="M125" s="3">
        <v>31.3</v>
      </c>
      <c r="N125" s="3">
        <v>4234.24</v>
      </c>
      <c r="O125" s="4" t="s">
        <v>34</v>
      </c>
      <c r="P125" s="4" t="s">
        <v>34</v>
      </c>
      <c r="Q125" s="4" t="s">
        <v>35</v>
      </c>
      <c r="R125" s="3">
        <v>5513.74</v>
      </c>
      <c r="S125" s="3">
        <v>4.3873499999999996</v>
      </c>
      <c r="T125" s="4" t="s">
        <v>378</v>
      </c>
      <c r="U125" s="2" t="s">
        <v>37</v>
      </c>
      <c r="V125" s="2" t="s">
        <v>38</v>
      </c>
      <c r="W125" s="2" t="s">
        <v>37</v>
      </c>
      <c r="X125" s="2" t="s">
        <v>37</v>
      </c>
      <c r="Y125" s="2" t="s">
        <v>37</v>
      </c>
      <c r="Z125" s="2" t="s">
        <v>38</v>
      </c>
      <c r="AA125" s="6">
        <v>3.6267754710000002</v>
      </c>
      <c r="AB125" s="6">
        <v>3.7414462830000002</v>
      </c>
      <c r="AC125" s="6">
        <v>3.6267754710000002</v>
      </c>
      <c r="AD125" cm="1">
        <f t="array" ref="AD125">IF(SUMPRODUCT(--($AM$2:$AM$112=TRIM(LEFT($B125,IFERROR(FIND(" ",$B125)-1,LEN($B125))))))&gt;0,1,0)</f>
        <v>0</v>
      </c>
      <c r="AE125" cm="1">
        <f t="array" ref="AE125">IF(SUMPRODUCT(--($AO$2:$AO$145=TRIM(LEFT($B125,IFERROR(FIND(" ",$B125)-1,LEN($B125))))))&gt;0,1,0)</f>
        <v>0</v>
      </c>
      <c r="AF125" cm="1">
        <f t="array" ref="AF125">IF(SUMPRODUCT(--($AQ$2:$AQ$71=TRIM(LEFT($B125,IFERROR(FIND(" ",$B125)-1,LEN($B125))))))&gt;0,1,0)</f>
        <v>0</v>
      </c>
      <c r="AN125" t="s">
        <v>2346</v>
      </c>
      <c r="AO125" t="str">
        <f t="shared" si="4"/>
        <v>FRUT</v>
      </c>
    </row>
    <row r="126" spans="1:41" ht="45.75" thickBot="1" x14ac:dyDescent="0.3">
      <c r="A126" s="13">
        <v>96</v>
      </c>
      <c r="B126" s="4" t="s">
        <v>379</v>
      </c>
      <c r="C126" s="4" t="s">
        <v>380</v>
      </c>
      <c r="D126" s="7">
        <v>45770</v>
      </c>
      <c r="E126" s="3">
        <v>2027.45</v>
      </c>
      <c r="F126" s="4" t="s">
        <v>46</v>
      </c>
      <c r="G126" s="4"/>
      <c r="H126" s="4" t="s">
        <v>65</v>
      </c>
      <c r="I126" s="4" t="s">
        <v>66</v>
      </c>
      <c r="J126" s="4" t="s">
        <v>66</v>
      </c>
      <c r="K126" s="4"/>
      <c r="L126" s="4"/>
      <c r="M126" s="3">
        <v>4.32</v>
      </c>
      <c r="N126" s="3">
        <v>2027.45</v>
      </c>
      <c r="O126" s="4" t="s">
        <v>34</v>
      </c>
      <c r="P126" s="4" t="s">
        <v>34</v>
      </c>
      <c r="Q126" s="4" t="s">
        <v>35</v>
      </c>
      <c r="R126" s="3">
        <v>905.40599999999995</v>
      </c>
      <c r="S126" s="3">
        <v>31.289300000000001</v>
      </c>
      <c r="T126" s="4" t="s">
        <v>43</v>
      </c>
      <c r="U126" s="2" t="s">
        <v>37</v>
      </c>
      <c r="V126" s="2" t="s">
        <v>37</v>
      </c>
      <c r="W126" s="2" t="s">
        <v>37</v>
      </c>
      <c r="X126" s="2" t="s">
        <v>37</v>
      </c>
      <c r="Y126" s="2" t="s">
        <v>37</v>
      </c>
      <c r="Z126" s="2" t="s">
        <v>37</v>
      </c>
      <c r="AA126" s="6">
        <v>3.3069501529999998</v>
      </c>
      <c r="AB126" s="6">
        <v>2.9568433679999999</v>
      </c>
      <c r="AC126" s="6">
        <v>3.3069501529999998</v>
      </c>
      <c r="AD126" cm="1">
        <f t="array" ref="AD126">IF(SUMPRODUCT(--($AM$2:$AM$112=TRIM(LEFT($B126,IFERROR(FIND(" ",$B126)-1,LEN($B126))))))&gt;0,1,0)</f>
        <v>0</v>
      </c>
      <c r="AE126" cm="1">
        <f t="array" ref="AE126">IF(SUMPRODUCT(--($AO$2:$AO$145=TRIM(LEFT($B126,IFERROR(FIND(" ",$B126)-1,LEN($B126))))))&gt;0,1,0)</f>
        <v>0</v>
      </c>
      <c r="AF126" cm="1">
        <f t="array" ref="AF126">IF(SUMPRODUCT(--($AQ$2:$AQ$71=TRIM(LEFT($B126,IFERROR(FIND(" ",$B126)-1,LEN($B126))))))&gt;0,1,0)</f>
        <v>0</v>
      </c>
      <c r="AN126" t="s">
        <v>2347</v>
      </c>
      <c r="AO126" t="str">
        <f t="shared" si="4"/>
        <v>KLXI</v>
      </c>
    </row>
    <row r="127" spans="1:41" ht="45.75" thickBot="1" x14ac:dyDescent="0.3">
      <c r="A127" s="13">
        <v>188</v>
      </c>
      <c r="B127" s="4" t="s">
        <v>381</v>
      </c>
      <c r="C127" s="4" t="s">
        <v>382</v>
      </c>
      <c r="D127" s="7">
        <v>45642</v>
      </c>
      <c r="E127" s="3">
        <v>1142.83</v>
      </c>
      <c r="F127" s="4" t="s">
        <v>46</v>
      </c>
      <c r="G127" s="4"/>
      <c r="H127" s="4" t="s">
        <v>65</v>
      </c>
      <c r="I127" s="4" t="s">
        <v>66</v>
      </c>
      <c r="J127" s="4" t="s">
        <v>66</v>
      </c>
      <c r="K127" s="4"/>
      <c r="L127" s="4"/>
      <c r="M127" s="3">
        <v>2.33</v>
      </c>
      <c r="N127" s="3">
        <v>1142.83</v>
      </c>
      <c r="O127" s="4" t="s">
        <v>34</v>
      </c>
      <c r="P127" s="4" t="s">
        <v>34</v>
      </c>
      <c r="Q127" s="4" t="s">
        <v>35</v>
      </c>
      <c r="R127" s="2"/>
      <c r="S127" s="2"/>
      <c r="T127" s="4" t="s">
        <v>43</v>
      </c>
      <c r="U127" s="2" t="s">
        <v>37</v>
      </c>
      <c r="V127" s="2" t="s">
        <v>37</v>
      </c>
      <c r="W127" s="2" t="s">
        <v>37</v>
      </c>
      <c r="X127" s="2" t="s">
        <v>37</v>
      </c>
      <c r="Y127" s="2" t="s">
        <v>37</v>
      </c>
      <c r="Z127" s="2" t="s">
        <v>37</v>
      </c>
      <c r="AA127" s="6">
        <v>3.0579816320000002</v>
      </c>
      <c r="AB127" s="2"/>
      <c r="AC127" s="6">
        <v>3.0579816320000002</v>
      </c>
      <c r="AD127" cm="1">
        <f t="array" ref="AD127">IF(SUMPRODUCT(--($AM$2:$AM$112=TRIM(LEFT($B127,IFERROR(FIND(" ",$B127)-1,LEN($B127))))))&gt;0,1,0)</f>
        <v>0</v>
      </c>
      <c r="AE127" cm="1">
        <f t="array" ref="AE127">IF(SUMPRODUCT(--($AO$2:$AO$145=TRIM(LEFT($B127,IFERROR(FIND(" ",$B127)-1,LEN($B127))))))&gt;0,1,0)</f>
        <v>0</v>
      </c>
      <c r="AF127" cm="1">
        <f t="array" ref="AF127">IF(SUMPRODUCT(--($AQ$2:$AQ$71=TRIM(LEFT($B127,IFERROR(FIND(" ",$B127)-1,LEN($B127))))))&gt;0,1,0)</f>
        <v>0</v>
      </c>
      <c r="AN127" t="s">
        <v>2348</v>
      </c>
      <c r="AO127" t="str">
        <f t="shared" si="4"/>
        <v>PAY</v>
      </c>
    </row>
    <row r="128" spans="1:41" ht="45.75" thickBot="1" x14ac:dyDescent="0.3">
      <c r="A128" s="13">
        <v>137</v>
      </c>
      <c r="B128" s="4" t="s">
        <v>383</v>
      </c>
      <c r="C128" s="4" t="s">
        <v>384</v>
      </c>
      <c r="D128" s="7">
        <v>45712</v>
      </c>
      <c r="E128" s="3">
        <v>1526.68</v>
      </c>
      <c r="F128" s="4" t="s">
        <v>46</v>
      </c>
      <c r="G128" s="3">
        <v>30.78</v>
      </c>
      <c r="H128" s="4" t="s">
        <v>65</v>
      </c>
      <c r="I128" s="4" t="s">
        <v>138</v>
      </c>
      <c r="J128" s="4" t="s">
        <v>176</v>
      </c>
      <c r="K128" s="4"/>
      <c r="L128" s="4"/>
      <c r="M128" s="4"/>
      <c r="N128" s="3">
        <v>1526.68</v>
      </c>
      <c r="O128" s="4" t="s">
        <v>34</v>
      </c>
      <c r="P128" s="4" t="s">
        <v>34</v>
      </c>
      <c r="Q128" s="4" t="s">
        <v>35</v>
      </c>
      <c r="R128" s="3">
        <v>412.43200000000002</v>
      </c>
      <c r="S128" s="3">
        <v>-3.3777900000000001</v>
      </c>
      <c r="T128" s="4" t="s">
        <v>43</v>
      </c>
      <c r="U128" s="2" t="s">
        <v>37</v>
      </c>
      <c r="V128" s="2" t="s">
        <v>37</v>
      </c>
      <c r="W128" s="2" t="s">
        <v>37</v>
      </c>
      <c r="X128" s="2" t="s">
        <v>37</v>
      </c>
      <c r="Y128" s="2" t="s">
        <v>37</v>
      </c>
      <c r="Z128" s="2" t="s">
        <v>37</v>
      </c>
      <c r="AA128" s="6">
        <v>3.183748016</v>
      </c>
      <c r="AB128" s="6">
        <v>2.6153523540000001</v>
      </c>
      <c r="AC128" s="6">
        <v>3.183748016</v>
      </c>
      <c r="AD128" cm="1">
        <f t="array" ref="AD128">IF(SUMPRODUCT(--($AM$2:$AM$112=TRIM(LEFT($B128,IFERROR(FIND(" ",$B128)-1,LEN($B128))))))&gt;0,1,0)</f>
        <v>0</v>
      </c>
      <c r="AE128" cm="1">
        <f t="array" ref="AE128">IF(SUMPRODUCT(--($AO$2:$AO$145=TRIM(LEFT($B128,IFERROR(FIND(" ",$B128)-1,LEN($B128))))))&gt;0,1,0)</f>
        <v>0</v>
      </c>
      <c r="AF128" cm="1">
        <f t="array" ref="AF128">IF(SUMPRODUCT(--($AQ$2:$AQ$71=TRIM(LEFT($B128,IFERROR(FIND(" ",$B128)-1,LEN($B128))))))&gt;0,1,0)</f>
        <v>0</v>
      </c>
      <c r="AN128" t="s">
        <v>2349</v>
      </c>
      <c r="AO128" t="str">
        <f t="shared" si="4"/>
        <v>XL</v>
      </c>
    </row>
    <row r="129" spans="1:41" ht="75.75" thickBot="1" x14ac:dyDescent="0.3">
      <c r="A129" s="13">
        <v>112</v>
      </c>
      <c r="B129" s="4" t="s">
        <v>385</v>
      </c>
      <c r="C129" s="4" t="s">
        <v>386</v>
      </c>
      <c r="D129" s="7">
        <v>45747</v>
      </c>
      <c r="E129" s="3">
        <v>584.11</v>
      </c>
      <c r="F129" s="4" t="s">
        <v>46</v>
      </c>
      <c r="G129" s="4"/>
      <c r="H129" s="4" t="s">
        <v>65</v>
      </c>
      <c r="I129" s="4" t="s">
        <v>66</v>
      </c>
      <c r="J129" s="4" t="s">
        <v>66</v>
      </c>
      <c r="K129" s="4"/>
      <c r="L129" s="4"/>
      <c r="M129" s="4"/>
      <c r="N129" s="3">
        <v>584.11</v>
      </c>
      <c r="O129" s="4" t="s">
        <v>34</v>
      </c>
      <c r="P129" s="4" t="s">
        <v>34</v>
      </c>
      <c r="Q129" s="4" t="s">
        <v>35</v>
      </c>
      <c r="R129" s="3">
        <v>159.55799999999999</v>
      </c>
      <c r="S129" s="2"/>
      <c r="T129" s="4" t="s">
        <v>387</v>
      </c>
      <c r="U129" s="2" t="s">
        <v>37</v>
      </c>
      <c r="V129" s="2" t="s">
        <v>37</v>
      </c>
      <c r="W129" s="2" t="s">
        <v>37</v>
      </c>
      <c r="X129" s="2" t="s">
        <v>37</v>
      </c>
      <c r="Y129" s="2" t="s">
        <v>37</v>
      </c>
      <c r="Z129" s="2" t="s">
        <v>37</v>
      </c>
      <c r="AA129" s="6">
        <v>2.766494641</v>
      </c>
      <c r="AB129" s="6">
        <v>2.2029185839999998</v>
      </c>
      <c r="AC129" s="6">
        <v>2.766494641</v>
      </c>
      <c r="AD129" cm="1">
        <f t="array" ref="AD129">IF(SUMPRODUCT(--($AM$2:$AM$112=TRIM(LEFT($B129,IFERROR(FIND(" ",$B129)-1,LEN($B129))))))&gt;0,1,0)</f>
        <v>0</v>
      </c>
      <c r="AE129" cm="1">
        <f t="array" ref="AE129">IF(SUMPRODUCT(--($AO$2:$AO$145=TRIM(LEFT($B129,IFERROR(FIND(" ",$B129)-1,LEN($B129))))))&gt;0,1,0)</f>
        <v>0</v>
      </c>
      <c r="AF129" cm="1">
        <f t="array" ref="AF129">IF(SUMPRODUCT(--($AQ$2:$AQ$71=TRIM(LEFT($B129,IFERROR(FIND(" ",$B129)-1,LEN($B129))))))&gt;0,1,0)</f>
        <v>0</v>
      </c>
      <c r="AN129" t="s">
        <v>2259</v>
      </c>
      <c r="AO129" t="str">
        <f t="shared" si="4"/>
        <v>SHLM</v>
      </c>
    </row>
    <row r="130" spans="1:41" ht="135.75" thickBot="1" x14ac:dyDescent="0.3">
      <c r="A130" s="13">
        <v>126</v>
      </c>
      <c r="B130" s="4" t="s">
        <v>388</v>
      </c>
      <c r="C130" s="4" t="s">
        <v>389</v>
      </c>
      <c r="D130" s="7">
        <v>45723</v>
      </c>
      <c r="E130" s="3">
        <v>39411.56</v>
      </c>
      <c r="F130" s="4" t="s">
        <v>30</v>
      </c>
      <c r="G130" s="4"/>
      <c r="H130" s="4" t="s">
        <v>127</v>
      </c>
      <c r="I130" s="4" t="s">
        <v>365</v>
      </c>
      <c r="J130" s="4" t="s">
        <v>366</v>
      </c>
      <c r="K130" s="3">
        <v>560</v>
      </c>
      <c r="L130" s="3">
        <v>158</v>
      </c>
      <c r="M130" s="3">
        <v>9.81</v>
      </c>
      <c r="N130" s="3">
        <v>9894.56</v>
      </c>
      <c r="O130" s="4" t="s">
        <v>34</v>
      </c>
      <c r="P130" s="4" t="s">
        <v>34</v>
      </c>
      <c r="Q130" s="4" t="s">
        <v>35</v>
      </c>
      <c r="R130" s="3">
        <v>147658</v>
      </c>
      <c r="S130" s="3">
        <v>-4.4371799999999997</v>
      </c>
      <c r="T130" s="4" t="s">
        <v>225</v>
      </c>
      <c r="U130" s="2" t="s">
        <v>37</v>
      </c>
      <c r="V130" s="2" t="s">
        <v>37</v>
      </c>
      <c r="W130" s="2" t="s">
        <v>37</v>
      </c>
      <c r="X130" s="2" t="s">
        <v>38</v>
      </c>
      <c r="Y130" s="2" t="s">
        <v>38</v>
      </c>
      <c r="Z130" s="2" t="s">
        <v>37</v>
      </c>
      <c r="AA130" s="6">
        <v>4.5956236260000001</v>
      </c>
      <c r="AB130" s="6">
        <v>5.1692569820000003</v>
      </c>
      <c r="AC130" s="6">
        <v>3.9953964860000002</v>
      </c>
      <c r="AD130" cm="1">
        <f t="array" ref="AD130">IF(SUMPRODUCT(--($AM$2:$AM$112=TRIM(LEFT($B130,IFERROR(FIND(" ",$B130)-1,LEN($B130))))))&gt;0,1,0)</f>
        <v>0</v>
      </c>
      <c r="AE130" cm="1">
        <f t="array" ref="AE130">IF(SUMPRODUCT(--($AO$2:$AO$145=TRIM(LEFT($B130,IFERROR(FIND(" ",$B130)-1,LEN($B130))))))&gt;0,1,0)</f>
        <v>0</v>
      </c>
      <c r="AF130" cm="1">
        <f t="array" ref="AF130">IF(SUMPRODUCT(--($AQ$2:$AQ$71=TRIM(LEFT($B130,IFERROR(FIND(" ",$B130)-1,LEN($B130))))))&gt;0,1,0)</f>
        <v>0</v>
      </c>
      <c r="AN130" t="s">
        <v>2350</v>
      </c>
      <c r="AO130" t="str">
        <f t="shared" si="4"/>
        <v>VR</v>
      </c>
    </row>
    <row r="131" spans="1:41" ht="135.75" thickBot="1" x14ac:dyDescent="0.3">
      <c r="A131" s="13">
        <v>112</v>
      </c>
      <c r="B131" s="4" t="s">
        <v>390</v>
      </c>
      <c r="C131" s="4" t="s">
        <v>391</v>
      </c>
      <c r="D131" s="7">
        <v>45740</v>
      </c>
      <c r="E131" s="3">
        <v>4039.87</v>
      </c>
      <c r="F131" s="4" t="s">
        <v>30</v>
      </c>
      <c r="G131" s="3">
        <v>5.16</v>
      </c>
      <c r="H131" s="4" t="s">
        <v>65</v>
      </c>
      <c r="I131" s="4" t="s">
        <v>138</v>
      </c>
      <c r="J131" s="4" t="s">
        <v>139</v>
      </c>
      <c r="K131" s="4"/>
      <c r="L131" s="4"/>
      <c r="M131" s="3">
        <v>6.17</v>
      </c>
      <c r="N131" s="3">
        <v>4039.87</v>
      </c>
      <c r="O131" s="4" t="s">
        <v>34</v>
      </c>
      <c r="P131" s="4" t="s">
        <v>34</v>
      </c>
      <c r="Q131" s="4" t="s">
        <v>35</v>
      </c>
      <c r="R131" s="3">
        <v>2381.6999999999998</v>
      </c>
      <c r="S131" s="3">
        <v>7.8636699999999999</v>
      </c>
      <c r="T131" s="4" t="s">
        <v>242</v>
      </c>
      <c r="U131" s="2" t="s">
        <v>37</v>
      </c>
      <c r="V131" s="2" t="s">
        <v>37</v>
      </c>
      <c r="W131" s="2" t="s">
        <v>37</v>
      </c>
      <c r="X131" s="2" t="s">
        <v>38</v>
      </c>
      <c r="Y131" s="2" t="s">
        <v>38</v>
      </c>
      <c r="Z131" s="2" t="s">
        <v>37</v>
      </c>
      <c r="AA131" s="6">
        <v>3.60636739</v>
      </c>
      <c r="AB131" s="6">
        <v>3.3768870569999998</v>
      </c>
      <c r="AC131" s="6">
        <v>3.60636739</v>
      </c>
      <c r="AD131" cm="1">
        <f t="array" ref="AD131">IF(SUMPRODUCT(--($AM$2:$AM$112=TRIM(LEFT($B131,IFERROR(FIND(" ",$B131)-1,LEN($B131))))))&gt;0,1,0)</f>
        <v>0</v>
      </c>
      <c r="AE131" cm="1">
        <f t="array" ref="AE131">IF(SUMPRODUCT(--($AO$2:$AO$145=TRIM(LEFT($B131,IFERROR(FIND(" ",$B131)-1,LEN($B131))))))&gt;0,1,0)</f>
        <v>1</v>
      </c>
      <c r="AF131" cm="1">
        <f t="array" ref="AF131">IF(SUMPRODUCT(--($AQ$2:$AQ$71=TRIM(LEFT($B131,IFERROR(FIND(" ",$B131)-1,LEN($B131))))))&gt;0,1,0)</f>
        <v>0</v>
      </c>
      <c r="AN131" t="s">
        <v>2260</v>
      </c>
      <c r="AO131" t="str">
        <f t="shared" ref="AO131:AO145" si="6">TRIM(LEFT(AN131,FIND("/",AN131)-1))</f>
        <v>FOX</v>
      </c>
    </row>
    <row r="132" spans="1:41" ht="45.75" thickBot="1" x14ac:dyDescent="0.3">
      <c r="A132" s="13">
        <v>56</v>
      </c>
      <c r="B132" s="4" t="s">
        <v>392</v>
      </c>
      <c r="C132" s="4" t="s">
        <v>393</v>
      </c>
      <c r="D132" s="7">
        <v>45811</v>
      </c>
      <c r="E132" s="3">
        <v>2617.3000000000002</v>
      </c>
      <c r="F132" s="4" t="s">
        <v>46</v>
      </c>
      <c r="G132" s="3">
        <v>5</v>
      </c>
      <c r="H132" s="4" t="s">
        <v>118</v>
      </c>
      <c r="I132" s="4" t="s">
        <v>119</v>
      </c>
      <c r="J132" s="4" t="s">
        <v>120</v>
      </c>
      <c r="K132" s="4"/>
      <c r="L132" s="4"/>
      <c r="M132" s="3">
        <v>12.18</v>
      </c>
      <c r="N132" s="3">
        <v>1535.09</v>
      </c>
      <c r="O132" s="4" t="s">
        <v>34</v>
      </c>
      <c r="P132" s="4" t="s">
        <v>34</v>
      </c>
      <c r="Q132" s="4" t="s">
        <v>35</v>
      </c>
      <c r="R132" s="3">
        <v>624.41399999999999</v>
      </c>
      <c r="S132" s="3">
        <v>31.0106</v>
      </c>
      <c r="T132" s="4" t="s">
        <v>43</v>
      </c>
      <c r="U132" s="2" t="s">
        <v>37</v>
      </c>
      <c r="V132" s="2" t="s">
        <v>37</v>
      </c>
      <c r="W132" s="2" t="s">
        <v>37</v>
      </c>
      <c r="X132" s="2" t="s">
        <v>37</v>
      </c>
      <c r="Y132" s="2" t="s">
        <v>37</v>
      </c>
      <c r="Z132" s="2" t="s">
        <v>37</v>
      </c>
      <c r="AA132" s="6">
        <v>3.4178535050000001</v>
      </c>
      <c r="AB132" s="6">
        <v>2.7954726320000001</v>
      </c>
      <c r="AC132" s="6">
        <v>3.1861338429999999</v>
      </c>
      <c r="AD132" cm="1">
        <f t="array" ref="AD132">IF(SUMPRODUCT(--($AM$2:$AM$112=TRIM(LEFT($B132,IFERROR(FIND(" ",$B132)-1,LEN($B132))))))&gt;0,1,0)</f>
        <v>0</v>
      </c>
      <c r="AE132" cm="1">
        <f t="array" ref="AE132">IF(SUMPRODUCT(--($AO$2:$AO$145=TRIM(LEFT($B132,IFERROR(FIND(" ",$B132)-1,LEN($B132))))))&gt;0,1,0)</f>
        <v>0</v>
      </c>
      <c r="AF132" cm="1">
        <f t="array" ref="AF132">IF(SUMPRODUCT(--($AQ$2:$AQ$71=TRIM(LEFT($B132,IFERROR(FIND(" ",$B132)-1,LEN($B132))))))&gt;0,1,0)</f>
        <v>0</v>
      </c>
      <c r="AN132" t="s">
        <v>2351</v>
      </c>
      <c r="AO132" t="str">
        <f t="shared" si="6"/>
        <v>BGC</v>
      </c>
    </row>
    <row r="133" spans="1:41" ht="105.75" thickBot="1" x14ac:dyDescent="0.3">
      <c r="A133" s="13">
        <v>190</v>
      </c>
      <c r="B133" s="4" t="s">
        <v>394</v>
      </c>
      <c r="C133" s="4" t="s">
        <v>395</v>
      </c>
      <c r="D133" s="7">
        <v>45621</v>
      </c>
      <c r="E133" s="3">
        <v>6186.43</v>
      </c>
      <c r="F133" s="4" t="s">
        <v>30</v>
      </c>
      <c r="G133" s="3">
        <v>11.34</v>
      </c>
      <c r="H133" s="4" t="s">
        <v>65</v>
      </c>
      <c r="I133" s="4" t="s">
        <v>138</v>
      </c>
      <c r="J133" s="4" t="s">
        <v>176</v>
      </c>
      <c r="K133" s="4"/>
      <c r="L133" s="4"/>
      <c r="M133" s="3">
        <v>35.94</v>
      </c>
      <c r="N133" s="3">
        <v>3373.9</v>
      </c>
      <c r="O133" s="4" t="s">
        <v>49</v>
      </c>
      <c r="P133" s="4" t="s">
        <v>396</v>
      </c>
      <c r="Q133" s="4" t="s">
        <v>35</v>
      </c>
      <c r="R133" s="3">
        <v>824.16899999999998</v>
      </c>
      <c r="S133" s="3">
        <v>4.4313699999999996E-3</v>
      </c>
      <c r="T133" s="4" t="s">
        <v>130</v>
      </c>
      <c r="U133" s="2" t="s">
        <v>37</v>
      </c>
      <c r="V133" s="2" t="s">
        <v>37</v>
      </c>
      <c r="W133" s="2" t="s">
        <v>38</v>
      </c>
      <c r="X133" s="2" t="s">
        <v>38</v>
      </c>
      <c r="Y133" s="2" t="s">
        <v>37</v>
      </c>
      <c r="Z133" s="2" t="s">
        <v>37</v>
      </c>
      <c r="AA133" s="6">
        <v>3.7914401029999998</v>
      </c>
      <c r="AB133" s="6">
        <v>2.916016275</v>
      </c>
      <c r="AC133" s="6">
        <v>3.528132206</v>
      </c>
      <c r="AD133" cm="1">
        <f t="array" ref="AD133">IF(SUMPRODUCT(--($AM$2:$AM$112=TRIM(LEFT($B133,IFERROR(FIND(" ",$B133)-1,LEN($B133))))))&gt;0,1,0)</f>
        <v>0</v>
      </c>
      <c r="AE133" cm="1">
        <f t="array" ref="AE133">IF(SUMPRODUCT(--($AO$2:$AO$145=TRIM(LEFT($B133,IFERROR(FIND(" ",$B133)-1,LEN($B133))))))&gt;0,1,0)</f>
        <v>0</v>
      </c>
      <c r="AF133" cm="1">
        <f t="array" ref="AF133">IF(SUMPRODUCT(--($AQ$2:$AQ$71=TRIM(LEFT($B133,IFERROR(FIND(" ",$B133)-1,LEN($B133))))))&gt;0,1,0)</f>
        <v>1</v>
      </c>
      <c r="AN133" t="s">
        <v>2352</v>
      </c>
      <c r="AO133" t="str">
        <f t="shared" si="6"/>
        <v>OA</v>
      </c>
    </row>
    <row r="134" spans="1:41" ht="90.75" thickBot="1" x14ac:dyDescent="0.3">
      <c r="A134" s="13">
        <v>560</v>
      </c>
      <c r="B134" s="4" t="s">
        <v>397</v>
      </c>
      <c r="C134" s="4" t="s">
        <v>398</v>
      </c>
      <c r="D134" s="7">
        <v>45103</v>
      </c>
      <c r="E134" s="3">
        <v>3727.07</v>
      </c>
      <c r="F134" s="4" t="s">
        <v>30</v>
      </c>
      <c r="G134" s="3">
        <v>14.81</v>
      </c>
      <c r="H134" s="4" t="s">
        <v>41</v>
      </c>
      <c r="I134" s="4" t="s">
        <v>41</v>
      </c>
      <c r="J134" s="4" t="s">
        <v>100</v>
      </c>
      <c r="K134" s="3">
        <v>106</v>
      </c>
      <c r="L134" s="3">
        <v>106</v>
      </c>
      <c r="M134" s="3">
        <v>15.79</v>
      </c>
      <c r="N134" s="3">
        <v>3291.07</v>
      </c>
      <c r="O134" s="4" t="s">
        <v>34</v>
      </c>
      <c r="P134" s="4" t="s">
        <v>34</v>
      </c>
      <c r="Q134" s="4" t="s">
        <v>399</v>
      </c>
      <c r="R134" s="3">
        <v>2348.3200000000002</v>
      </c>
      <c r="S134" s="3">
        <v>4.1476600000000001</v>
      </c>
      <c r="T134" s="4" t="s">
        <v>215</v>
      </c>
      <c r="U134" s="2" t="s">
        <v>37</v>
      </c>
      <c r="V134" s="2" t="s">
        <v>38</v>
      </c>
      <c r="W134" s="2" t="s">
        <v>37</v>
      </c>
      <c r="X134" s="2" t="s">
        <v>37</v>
      </c>
      <c r="Y134" s="2" t="s">
        <v>37</v>
      </c>
      <c r="Z134" s="2" t="s">
        <v>37</v>
      </c>
      <c r="AA134" s="6">
        <v>3.5713675500000002</v>
      </c>
      <c r="AB134" s="6">
        <v>3.3707572770000001</v>
      </c>
      <c r="AC134" s="6">
        <v>3.5173371200000001</v>
      </c>
      <c r="AD134" cm="1">
        <f t="array" ref="AD134">IF(SUMPRODUCT(--($AM$2:$AM$112=TRIM(LEFT($B134,IFERROR(FIND(" ",$B134)-1,LEN($B134))))))&gt;0,1,0)</f>
        <v>0</v>
      </c>
      <c r="AE134" cm="1">
        <f t="array" ref="AE134">IF(SUMPRODUCT(--($AO$2:$AO$145=TRIM(LEFT($B134,IFERROR(FIND(" ",$B134)-1,LEN($B134))))))&gt;0,1,0)</f>
        <v>0</v>
      </c>
      <c r="AF134" cm="1">
        <f t="array" ref="AF134">IF(SUMPRODUCT(--($AQ$2:$AQ$71=TRIM(LEFT($B134,IFERROR(FIND(" ",$B134)-1,LEN($B134))))))&gt;0,1,0)</f>
        <v>0</v>
      </c>
      <c r="AN134" t="s">
        <v>2263</v>
      </c>
      <c r="AO134" t="str">
        <f t="shared" si="6"/>
        <v>COL</v>
      </c>
    </row>
    <row r="135" spans="1:41" ht="45.75" thickBot="1" x14ac:dyDescent="0.3">
      <c r="A135" s="13">
        <v>1078</v>
      </c>
      <c r="B135" s="4" t="s">
        <v>400</v>
      </c>
      <c r="C135" s="4" t="s">
        <v>401</v>
      </c>
      <c r="D135" s="7">
        <v>44372</v>
      </c>
      <c r="E135" s="3">
        <v>1821.86</v>
      </c>
      <c r="F135" s="4" t="s">
        <v>46</v>
      </c>
      <c r="G135" s="3">
        <v>9.5399999999999991</v>
      </c>
      <c r="H135" s="4" t="s">
        <v>51</v>
      </c>
      <c r="I135" s="4" t="s">
        <v>51</v>
      </c>
      <c r="J135" s="4" t="s">
        <v>79</v>
      </c>
      <c r="K135" s="4"/>
      <c r="L135" s="4"/>
      <c r="M135" s="4"/>
      <c r="N135" s="2"/>
      <c r="O135" s="4" t="s">
        <v>34</v>
      </c>
      <c r="P135" s="4" t="s">
        <v>34</v>
      </c>
      <c r="Q135" s="4" t="s">
        <v>35</v>
      </c>
      <c r="R135" s="3">
        <v>1244.3</v>
      </c>
      <c r="S135" s="2"/>
      <c r="T135" s="4" t="s">
        <v>43</v>
      </c>
      <c r="U135" s="2" t="s">
        <v>37</v>
      </c>
      <c r="V135" s="2" t="s">
        <v>37</v>
      </c>
      <c r="W135" s="2" t="s">
        <v>37</v>
      </c>
      <c r="X135" s="2" t="s">
        <v>37</v>
      </c>
      <c r="Y135" s="2" t="s">
        <v>37</v>
      </c>
      <c r="Z135" s="2" t="s">
        <v>37</v>
      </c>
      <c r="AA135" s="6">
        <v>3.2605150009999999</v>
      </c>
      <c r="AB135" s="6">
        <v>3.0949251009999998</v>
      </c>
      <c r="AC135" s="2"/>
      <c r="AD135" cm="1">
        <f t="array" ref="AD135">IF(SUMPRODUCT(--($AM$2:$AM$112=TRIM(LEFT($B135,IFERROR(FIND(" ",$B135)-1,LEN($B135))))))&gt;0,1,0)</f>
        <v>0</v>
      </c>
      <c r="AE135" cm="1">
        <f t="array" ref="AE135">IF(SUMPRODUCT(--($AO$2:$AO$145=TRIM(LEFT($B135,IFERROR(FIND(" ",$B135)-1,LEN($B135))))))&gt;0,1,0)</f>
        <v>0</v>
      </c>
      <c r="AF135" cm="1">
        <f t="array" ref="AF135">IF(SUMPRODUCT(--($AQ$2:$AQ$71=TRIM(LEFT($B135,IFERROR(FIND(" ",$B135)-1,LEN($B135))))))&gt;0,1,0)</f>
        <v>0</v>
      </c>
      <c r="AN135" t="s">
        <v>2264</v>
      </c>
      <c r="AO135" t="str">
        <f t="shared" si="6"/>
        <v>PMC</v>
      </c>
    </row>
    <row r="136" spans="1:41" ht="45.75" thickBot="1" x14ac:dyDescent="0.3">
      <c r="A136" s="13">
        <v>285</v>
      </c>
      <c r="B136" s="4" t="s">
        <v>402</v>
      </c>
      <c r="C136" s="4" t="s">
        <v>403</v>
      </c>
      <c r="D136" s="7">
        <v>45480</v>
      </c>
      <c r="E136" s="3">
        <v>20257.47</v>
      </c>
      <c r="F136" s="4" t="s">
        <v>69</v>
      </c>
      <c r="G136" s="3">
        <v>69.37</v>
      </c>
      <c r="H136" s="4" t="s">
        <v>184</v>
      </c>
      <c r="I136" s="4" t="s">
        <v>185</v>
      </c>
      <c r="J136" s="4" t="s">
        <v>186</v>
      </c>
      <c r="K136" s="4"/>
      <c r="L136" s="3">
        <v>400</v>
      </c>
      <c r="M136" s="4"/>
      <c r="N136" s="3">
        <v>6831.47</v>
      </c>
      <c r="O136" s="4" t="s">
        <v>34</v>
      </c>
      <c r="P136" s="4" t="s">
        <v>34</v>
      </c>
      <c r="Q136" s="4" t="s">
        <v>35</v>
      </c>
      <c r="R136" s="3">
        <v>29213</v>
      </c>
      <c r="S136" s="3">
        <v>4.9207099999999997</v>
      </c>
      <c r="T136" s="4" t="s">
        <v>43</v>
      </c>
      <c r="U136" s="2" t="s">
        <v>37</v>
      </c>
      <c r="V136" s="2" t="s">
        <v>37</v>
      </c>
      <c r="W136" s="2" t="s">
        <v>37</v>
      </c>
      <c r="X136" s="2" t="s">
        <v>37</v>
      </c>
      <c r="Y136" s="2" t="s">
        <v>37</v>
      </c>
      <c r="Z136" s="2" t="s">
        <v>37</v>
      </c>
      <c r="AA136" s="6">
        <v>4.3065852040000001</v>
      </c>
      <c r="AB136" s="6">
        <v>4.4655761590000003</v>
      </c>
      <c r="AC136" s="6">
        <v>3.8345141649999999</v>
      </c>
      <c r="AD136" cm="1">
        <f t="array" ref="AD136">IF(SUMPRODUCT(--($AM$2:$AM$112=TRIM(LEFT($B136,IFERROR(FIND(" ",$B136)-1,LEN($B136))))))&gt;0,1,0)</f>
        <v>0</v>
      </c>
      <c r="AE136" cm="1">
        <f t="array" ref="AE136">IF(SUMPRODUCT(--($AO$2:$AO$145=TRIM(LEFT($B136,IFERROR(FIND(" ",$B136)-1,LEN($B136))))))&gt;0,1,0)</f>
        <v>1</v>
      </c>
      <c r="AF136" cm="1">
        <f t="array" ref="AF136">IF(SUMPRODUCT(--($AQ$2:$AQ$71=TRIM(LEFT($B136,IFERROR(FIND(" ",$B136)-1,LEN($B136))))))&gt;0,1,0)</f>
        <v>0</v>
      </c>
      <c r="AN136" t="s">
        <v>2353</v>
      </c>
      <c r="AO136" t="str">
        <f t="shared" si="6"/>
        <v>SNI</v>
      </c>
    </row>
    <row r="137" spans="1:41" ht="60.75" thickBot="1" x14ac:dyDescent="0.3">
      <c r="A137" s="13">
        <v>59</v>
      </c>
      <c r="B137" s="4" t="s">
        <v>404</v>
      </c>
      <c r="C137" s="4" t="s">
        <v>405</v>
      </c>
      <c r="D137" s="7">
        <v>45792</v>
      </c>
      <c r="E137" s="3">
        <v>1633.98</v>
      </c>
      <c r="F137" s="4" t="s">
        <v>107</v>
      </c>
      <c r="G137" s="3">
        <v>12.98</v>
      </c>
      <c r="H137" s="4" t="s">
        <v>70</v>
      </c>
      <c r="I137" s="4" t="s">
        <v>94</v>
      </c>
      <c r="J137" s="4" t="s">
        <v>170</v>
      </c>
      <c r="K137" s="4"/>
      <c r="L137" s="4"/>
      <c r="M137" s="3">
        <v>22.04</v>
      </c>
      <c r="N137" s="3">
        <v>1415.64</v>
      </c>
      <c r="O137" s="4" t="s">
        <v>34</v>
      </c>
      <c r="P137" s="4" t="s">
        <v>406</v>
      </c>
      <c r="Q137" s="4" t="s">
        <v>35</v>
      </c>
      <c r="R137" s="3">
        <v>941.26499999999999</v>
      </c>
      <c r="S137" s="3">
        <v>4.0570300000000001</v>
      </c>
      <c r="T137" s="4" t="s">
        <v>43</v>
      </c>
      <c r="U137" s="2" t="s">
        <v>37</v>
      </c>
      <c r="V137" s="2" t="s">
        <v>37</v>
      </c>
      <c r="W137" s="2" t="s">
        <v>37</v>
      </c>
      <c r="X137" s="2" t="s">
        <v>37</v>
      </c>
      <c r="Y137" s="2" t="s">
        <v>37</v>
      </c>
      <c r="Z137" s="2" t="s">
        <v>37</v>
      </c>
      <c r="AA137" s="6">
        <v>3.2132467359999999</v>
      </c>
      <c r="AB137" s="6">
        <v>2.97371191</v>
      </c>
      <c r="AC137" s="6">
        <v>3.1509528250000001</v>
      </c>
      <c r="AD137" cm="1">
        <f t="array" ref="AD137">IF(SUMPRODUCT(--($AM$2:$AM$112=TRIM(LEFT($B137,IFERROR(FIND(" ",$B137)-1,LEN($B137))))))&gt;0,1,0)</f>
        <v>0</v>
      </c>
      <c r="AE137" cm="1">
        <f t="array" ref="AE137">IF(SUMPRODUCT(--($AO$2:$AO$145=TRIM(LEFT($B137,IFERROR(FIND(" ",$B137)-1,LEN($B137))))))&gt;0,1,0)</f>
        <v>0</v>
      </c>
      <c r="AF137" cm="1">
        <f t="array" ref="AF137">IF(SUMPRODUCT(--($AQ$2:$AQ$71=TRIM(LEFT($B137,IFERROR(FIND(" ",$B137)-1,LEN($B137))))))&gt;0,1,0)</f>
        <v>0</v>
      </c>
      <c r="AN137" t="s">
        <v>2354</v>
      </c>
      <c r="AO137" t="str">
        <f t="shared" si="6"/>
        <v>PRXL</v>
      </c>
    </row>
    <row r="138" spans="1:41" ht="75.75" thickBot="1" x14ac:dyDescent="0.3">
      <c r="A138" s="13">
        <v>51</v>
      </c>
      <c r="B138" s="4" t="s">
        <v>407</v>
      </c>
      <c r="C138" s="4" t="s">
        <v>408</v>
      </c>
      <c r="D138" s="7">
        <v>45802</v>
      </c>
      <c r="E138" s="3">
        <v>1890.95</v>
      </c>
      <c r="F138" s="4" t="s">
        <v>30</v>
      </c>
      <c r="G138" s="4"/>
      <c r="H138" s="4" t="s">
        <v>31</v>
      </c>
      <c r="I138" s="4" t="s">
        <v>32</v>
      </c>
      <c r="J138" s="4" t="s">
        <v>33</v>
      </c>
      <c r="K138" s="4"/>
      <c r="L138" s="4"/>
      <c r="M138" s="3">
        <v>32.479999999999997</v>
      </c>
      <c r="N138" s="3">
        <v>1023.55</v>
      </c>
      <c r="O138" s="4" t="s">
        <v>34</v>
      </c>
      <c r="P138" s="4" t="s">
        <v>152</v>
      </c>
      <c r="Q138" s="4" t="s">
        <v>35</v>
      </c>
      <c r="R138" s="3">
        <v>607.68799999999999</v>
      </c>
      <c r="S138" s="3">
        <v>-104.735</v>
      </c>
      <c r="T138" s="4" t="s">
        <v>97</v>
      </c>
      <c r="U138" s="2" t="s">
        <v>37</v>
      </c>
      <c r="V138" s="2" t="s">
        <v>37</v>
      </c>
      <c r="W138" s="2" t="s">
        <v>38</v>
      </c>
      <c r="X138" s="2" t="s">
        <v>37</v>
      </c>
      <c r="Y138" s="2" t="s">
        <v>37</v>
      </c>
      <c r="Z138" s="2" t="s">
        <v>37</v>
      </c>
      <c r="AA138" s="6">
        <v>3.276680045</v>
      </c>
      <c r="AB138" s="6">
        <v>2.7836806599999999</v>
      </c>
      <c r="AC138" s="6">
        <v>3.0101090629999998</v>
      </c>
      <c r="AD138" cm="1">
        <f t="array" ref="AD138">IF(SUMPRODUCT(--($AM$2:$AM$112=TRIM(LEFT($B138,IFERROR(FIND(" ",$B138)-1,LEN($B138))))))&gt;0,1,0)</f>
        <v>0</v>
      </c>
      <c r="AE138" cm="1">
        <f t="array" ref="AE138">IF(SUMPRODUCT(--($AO$2:$AO$145=TRIM(LEFT($B138,IFERROR(FIND(" ",$B138)-1,LEN($B138))))))&gt;0,1,0)</f>
        <v>0</v>
      </c>
      <c r="AF138" cm="1">
        <f t="array" ref="AF138">IF(SUMPRODUCT(--($AQ$2:$AQ$71=TRIM(LEFT($B138,IFERROR(FIND(" ",$B138)-1,LEN($B138))))))&gt;0,1,0)</f>
        <v>1</v>
      </c>
      <c r="AN138" t="s">
        <v>2355</v>
      </c>
      <c r="AO138" t="str">
        <f t="shared" si="6"/>
        <v>AMRI</v>
      </c>
    </row>
    <row r="139" spans="1:41" ht="45.75" thickBot="1" x14ac:dyDescent="0.3">
      <c r="A139" s="13">
        <v>102</v>
      </c>
      <c r="B139" s="4" t="s">
        <v>409</v>
      </c>
      <c r="C139" s="4" t="s">
        <v>410</v>
      </c>
      <c r="D139" s="7">
        <v>45729</v>
      </c>
      <c r="E139" s="3">
        <v>2192.4899999999998</v>
      </c>
      <c r="F139" s="4" t="s">
        <v>107</v>
      </c>
      <c r="G139" s="3">
        <v>0.38</v>
      </c>
      <c r="H139" s="4" t="s">
        <v>41</v>
      </c>
      <c r="I139" s="4" t="s">
        <v>41</v>
      </c>
      <c r="J139" s="4" t="s">
        <v>42</v>
      </c>
      <c r="K139" s="3">
        <v>80.2</v>
      </c>
      <c r="L139" s="3">
        <v>83</v>
      </c>
      <c r="M139" s="3">
        <v>-95.4</v>
      </c>
      <c r="N139" s="3">
        <v>99.84</v>
      </c>
      <c r="O139" s="4" t="s">
        <v>34</v>
      </c>
      <c r="P139" s="4" t="s">
        <v>34</v>
      </c>
      <c r="Q139" s="4" t="s">
        <v>35</v>
      </c>
      <c r="R139" s="3">
        <v>1760.14</v>
      </c>
      <c r="S139" s="3">
        <v>323.036</v>
      </c>
      <c r="T139" s="4" t="s">
        <v>43</v>
      </c>
      <c r="U139" s="2" t="s">
        <v>37</v>
      </c>
      <c r="V139" s="2" t="s">
        <v>37</v>
      </c>
      <c r="W139" s="2" t="s">
        <v>37</v>
      </c>
      <c r="X139" s="2" t="s">
        <v>37</v>
      </c>
      <c r="Y139" s="2" t="s">
        <v>37</v>
      </c>
      <c r="Z139" s="2" t="s">
        <v>37</v>
      </c>
      <c r="AA139" s="6">
        <v>3.3409376210000001</v>
      </c>
      <c r="AB139" s="6">
        <v>3.245547213</v>
      </c>
      <c r="AC139" s="6">
        <v>1.999304572</v>
      </c>
      <c r="AD139" cm="1">
        <f t="array" ref="AD139">IF(SUMPRODUCT(--($AM$2:$AM$112=TRIM(LEFT($B139,IFERROR(FIND(" ",$B139)-1,LEN($B139))))))&gt;0,1,0)</f>
        <v>0</v>
      </c>
      <c r="AE139" cm="1">
        <f t="array" ref="AE139">IF(SUMPRODUCT(--($AO$2:$AO$145=TRIM(LEFT($B139,IFERROR(FIND(" ",$B139)-1,LEN($B139))))))&gt;0,1,0)</f>
        <v>0</v>
      </c>
      <c r="AF139" cm="1">
        <f t="array" ref="AF139">IF(SUMPRODUCT(--($AQ$2:$AQ$71=TRIM(LEFT($B139,IFERROR(FIND(" ",$B139)-1,LEN($B139))))))&gt;0,1,0)</f>
        <v>0</v>
      </c>
      <c r="AN139" t="s">
        <v>2266</v>
      </c>
      <c r="AO139" t="str">
        <f t="shared" si="6"/>
        <v>HUN</v>
      </c>
    </row>
    <row r="140" spans="1:41" ht="75.75" thickBot="1" x14ac:dyDescent="0.3">
      <c r="A140" s="13">
        <v>30</v>
      </c>
      <c r="B140" s="4" t="s">
        <v>411</v>
      </c>
      <c r="C140" s="4" t="s">
        <v>40</v>
      </c>
      <c r="D140" s="7">
        <v>45825</v>
      </c>
      <c r="E140" s="3">
        <v>507.56</v>
      </c>
      <c r="F140" s="4" t="s">
        <v>30</v>
      </c>
      <c r="G140" s="4"/>
      <c r="H140" s="4" t="s">
        <v>41</v>
      </c>
      <c r="I140" s="4" t="s">
        <v>41</v>
      </c>
      <c r="J140" s="4" t="s">
        <v>42</v>
      </c>
      <c r="K140" s="4"/>
      <c r="L140" s="4"/>
      <c r="M140" s="3">
        <v>101.91</v>
      </c>
      <c r="N140" s="3">
        <v>936</v>
      </c>
      <c r="O140" s="4" t="s">
        <v>34</v>
      </c>
      <c r="P140" s="4" t="s">
        <v>34</v>
      </c>
      <c r="Q140" s="4" t="s">
        <v>35</v>
      </c>
      <c r="R140" s="3">
        <v>32.332000000000001</v>
      </c>
      <c r="S140" s="3">
        <v>-349.67500000000001</v>
      </c>
      <c r="T140" s="4" t="s">
        <v>88</v>
      </c>
      <c r="U140" s="2" t="s">
        <v>37</v>
      </c>
      <c r="V140" s="2" t="s">
        <v>37</v>
      </c>
      <c r="W140" s="2" t="s">
        <v>37</v>
      </c>
      <c r="X140" s="2" t="s">
        <v>37</v>
      </c>
      <c r="Y140" s="2" t="s">
        <v>37</v>
      </c>
      <c r="Z140" s="2" t="s">
        <v>38</v>
      </c>
      <c r="AA140" s="6">
        <v>2.705487389</v>
      </c>
      <c r="AB140" s="6">
        <v>1.50963257</v>
      </c>
      <c r="AC140" s="6">
        <v>2.971275849</v>
      </c>
      <c r="AD140" cm="1">
        <f t="array" ref="AD140">IF(SUMPRODUCT(--($AM$2:$AM$112=TRIM(LEFT($B140,IFERROR(FIND(" ",$B140)-1,LEN($B140))))))&gt;0,1,0)</f>
        <v>0</v>
      </c>
      <c r="AE140" cm="1">
        <f t="array" ref="AE140">IF(SUMPRODUCT(--($AO$2:$AO$145=TRIM(LEFT($B140,IFERROR(FIND(" ",$B140)-1,LEN($B140))))))&gt;0,1,0)</f>
        <v>0</v>
      </c>
      <c r="AF140" cm="1">
        <f t="array" ref="AF140">IF(SUMPRODUCT(--($AQ$2:$AQ$71=TRIM(LEFT($B140,IFERROR(FIND(" ",$B140)-1,LEN($B140))))))&gt;0,1,0)</f>
        <v>0</v>
      </c>
      <c r="AN140" t="s">
        <v>2356</v>
      </c>
      <c r="AO140" t="str">
        <f t="shared" si="6"/>
        <v>PTHN</v>
      </c>
    </row>
    <row r="141" spans="1:41" ht="135.75" thickBot="1" x14ac:dyDescent="0.3">
      <c r="A141" s="13">
        <v>125</v>
      </c>
      <c r="B141" s="4" t="s">
        <v>412</v>
      </c>
      <c r="C141" s="2"/>
      <c r="D141" s="7">
        <v>45691</v>
      </c>
      <c r="E141" s="3">
        <v>2871.96</v>
      </c>
      <c r="F141" s="4" t="s">
        <v>30</v>
      </c>
      <c r="G141" s="3">
        <v>22.82</v>
      </c>
      <c r="H141" s="4" t="s">
        <v>70</v>
      </c>
      <c r="I141" s="4" t="s">
        <v>71</v>
      </c>
      <c r="J141" s="4" t="s">
        <v>304</v>
      </c>
      <c r="K141" s="3">
        <v>135</v>
      </c>
      <c r="L141" s="3">
        <v>80</v>
      </c>
      <c r="M141" s="3">
        <v>38.33</v>
      </c>
      <c r="N141" s="3">
        <v>2011.11</v>
      </c>
      <c r="O141" s="4" t="s">
        <v>34</v>
      </c>
      <c r="P141" s="4" t="s">
        <v>34</v>
      </c>
      <c r="Q141" s="4" t="s">
        <v>35</v>
      </c>
      <c r="R141" s="3">
        <v>1261.96</v>
      </c>
      <c r="S141" s="3">
        <v>11.048299999999999</v>
      </c>
      <c r="T141" s="4" t="s">
        <v>225</v>
      </c>
      <c r="U141" s="2" t="s">
        <v>37</v>
      </c>
      <c r="V141" s="2" t="s">
        <v>37</v>
      </c>
      <c r="W141" s="2" t="s">
        <v>37</v>
      </c>
      <c r="X141" s="2" t="s">
        <v>38</v>
      </c>
      <c r="Y141" s="2" t="s">
        <v>38</v>
      </c>
      <c r="Z141" s="2" t="s">
        <v>37</v>
      </c>
      <c r="AA141" s="6">
        <v>3.4581783869999998</v>
      </c>
      <c r="AB141" s="6">
        <v>3.1010455889999999</v>
      </c>
      <c r="AC141" s="6">
        <v>3.3034358250000002</v>
      </c>
      <c r="AD141" cm="1">
        <f t="array" ref="AD141">IF(SUMPRODUCT(--($AM$2:$AM$112=TRIM(LEFT($B141,IFERROR(FIND(" ",$B141)-1,LEN($B141))))))&gt;0,1,0)</f>
        <v>0</v>
      </c>
      <c r="AE141" cm="1">
        <f t="array" ref="AE141">IF(SUMPRODUCT(--($AO$2:$AO$145=TRIM(LEFT($B141,IFERROR(FIND(" ",$B141)-1,LEN($B141))))))&gt;0,1,0)</f>
        <v>1</v>
      </c>
      <c r="AF141" cm="1">
        <f t="array" ref="AF141">IF(SUMPRODUCT(--($AQ$2:$AQ$71=TRIM(LEFT($B141,IFERROR(FIND(" ",$B141)-1,LEN($B141))))))&gt;0,1,0)</f>
        <v>0</v>
      </c>
      <c r="AN141" t="s">
        <v>2357</v>
      </c>
      <c r="AO141" t="str">
        <f t="shared" si="6"/>
        <v>VWR</v>
      </c>
    </row>
    <row r="142" spans="1:41" ht="135.75" thickBot="1" x14ac:dyDescent="0.3">
      <c r="A142" s="13">
        <v>107</v>
      </c>
      <c r="B142" s="4" t="s">
        <v>413</v>
      </c>
      <c r="C142" s="4" t="s">
        <v>414</v>
      </c>
      <c r="D142" s="7">
        <v>45713</v>
      </c>
      <c r="E142" s="3">
        <v>6444.67</v>
      </c>
      <c r="F142" s="4" t="s">
        <v>30</v>
      </c>
      <c r="G142" s="3">
        <v>14.08</v>
      </c>
      <c r="H142" s="4" t="s">
        <v>279</v>
      </c>
      <c r="I142" s="4" t="s">
        <v>279</v>
      </c>
      <c r="J142" s="4" t="s">
        <v>280</v>
      </c>
      <c r="K142" s="4"/>
      <c r="L142" s="4"/>
      <c r="M142" s="3">
        <v>83.47</v>
      </c>
      <c r="N142" s="3">
        <v>1953.96</v>
      </c>
      <c r="O142" s="4" t="s">
        <v>49</v>
      </c>
      <c r="P142" s="4" t="s">
        <v>49</v>
      </c>
      <c r="Q142" s="4" t="s">
        <v>35</v>
      </c>
      <c r="R142" s="3">
        <v>764.47799999999995</v>
      </c>
      <c r="S142" s="3">
        <v>26.475300000000001</v>
      </c>
      <c r="T142" s="4" t="s">
        <v>220</v>
      </c>
      <c r="U142" s="2" t="s">
        <v>37</v>
      </c>
      <c r="V142" s="2" t="s">
        <v>37</v>
      </c>
      <c r="W142" s="2" t="s">
        <v>37</v>
      </c>
      <c r="X142" s="2" t="s">
        <v>38</v>
      </c>
      <c r="Y142" s="2" t="s">
        <v>38</v>
      </c>
      <c r="Z142" s="2" t="s">
        <v>37</v>
      </c>
      <c r="AA142" s="6">
        <v>3.8092006839999999</v>
      </c>
      <c r="AB142" s="6">
        <v>2.8833649920000002</v>
      </c>
      <c r="AC142" s="6">
        <v>3.2909156689999999</v>
      </c>
      <c r="AD142" cm="1">
        <f t="array" ref="AD142">IF(SUMPRODUCT(--($AM$2:$AM$112=TRIM(LEFT($B142,IFERROR(FIND(" ",$B142)-1,LEN($B142))))))&gt;0,1,0)</f>
        <v>0</v>
      </c>
      <c r="AE142" cm="1">
        <f t="array" ref="AE142">IF(SUMPRODUCT(--($AO$2:$AO$145=TRIM(LEFT($B142,IFERROR(FIND(" ",$B142)-1,LEN($B142))))))&gt;0,1,0)</f>
        <v>0</v>
      </c>
      <c r="AF142" cm="1">
        <f t="array" ref="AF142">IF(SUMPRODUCT(--($AQ$2:$AQ$71=TRIM(LEFT($B142,IFERROR(FIND(" ",$B142)-1,LEN($B142))))))&gt;0,1,0)</f>
        <v>0</v>
      </c>
      <c r="AN142" t="s">
        <v>2358</v>
      </c>
      <c r="AO142" t="str">
        <f t="shared" si="6"/>
        <v>NORD</v>
      </c>
    </row>
    <row r="143" spans="1:41" ht="45.75" thickBot="1" x14ac:dyDescent="0.3">
      <c r="A143" s="13">
        <v>56</v>
      </c>
      <c r="B143" s="4" t="s">
        <v>415</v>
      </c>
      <c r="C143" s="4" t="s">
        <v>416</v>
      </c>
      <c r="D143" s="7">
        <v>45783</v>
      </c>
      <c r="E143" s="3">
        <v>765.01</v>
      </c>
      <c r="F143" s="4" t="s">
        <v>30</v>
      </c>
      <c r="G143" s="3">
        <v>30.59</v>
      </c>
      <c r="H143" s="4" t="s">
        <v>70</v>
      </c>
      <c r="I143" s="4" t="s">
        <v>71</v>
      </c>
      <c r="J143" s="4" t="s">
        <v>417</v>
      </c>
      <c r="K143" s="4"/>
      <c r="L143" s="4"/>
      <c r="M143" s="3">
        <v>62.48</v>
      </c>
      <c r="N143" s="3">
        <v>845.95</v>
      </c>
      <c r="O143" s="4" t="s">
        <v>34</v>
      </c>
      <c r="P143" s="4" t="s">
        <v>34</v>
      </c>
      <c r="Q143" s="4" t="s">
        <v>35</v>
      </c>
      <c r="R143" s="3">
        <v>342.42700000000002</v>
      </c>
      <c r="S143" s="3">
        <v>3.6514099999999998</v>
      </c>
      <c r="T143" s="4" t="s">
        <v>43</v>
      </c>
      <c r="U143" s="2" t="s">
        <v>37</v>
      </c>
      <c r="V143" s="2" t="s">
        <v>37</v>
      </c>
      <c r="W143" s="2" t="s">
        <v>37</v>
      </c>
      <c r="X143" s="2" t="s">
        <v>37</v>
      </c>
      <c r="Y143" s="2" t="s">
        <v>37</v>
      </c>
      <c r="Z143" s="2" t="s">
        <v>37</v>
      </c>
      <c r="AA143" s="6">
        <v>2.8836671119999999</v>
      </c>
      <c r="AB143" s="6">
        <v>2.5345680009999998</v>
      </c>
      <c r="AC143" s="6">
        <v>2.9273446949999999</v>
      </c>
      <c r="AD143" cm="1">
        <f t="array" ref="AD143">IF(SUMPRODUCT(--($AM$2:$AM$112=TRIM(LEFT($B143,IFERROR(FIND(" ",$B143)-1,LEN($B143))))))&gt;0,1,0)</f>
        <v>0</v>
      </c>
      <c r="AE143" cm="1">
        <f t="array" ref="AE143">IF(SUMPRODUCT(--($AO$2:$AO$145=TRIM(LEFT($B143,IFERROR(FIND(" ",$B143)-1,LEN($B143))))))&gt;0,1,0)</f>
        <v>0</v>
      </c>
      <c r="AF143" cm="1">
        <f t="array" ref="AF143">IF(SUMPRODUCT(--($AQ$2:$AQ$71=TRIM(LEFT($B143,IFERROR(FIND(" ",$B143)-1,LEN($B143))))))&gt;0,1,0)</f>
        <v>0</v>
      </c>
      <c r="AN143" t="s">
        <v>2267</v>
      </c>
      <c r="AO143" t="str">
        <f t="shared" si="6"/>
        <v>BCR</v>
      </c>
    </row>
    <row r="144" spans="1:41" ht="105.75" thickBot="1" x14ac:dyDescent="0.3">
      <c r="A144" s="13">
        <v>36</v>
      </c>
      <c r="B144" s="4" t="s">
        <v>418</v>
      </c>
      <c r="C144" s="4" t="s">
        <v>222</v>
      </c>
      <c r="D144" s="7">
        <v>45810</v>
      </c>
      <c r="E144" s="3">
        <v>8335.34</v>
      </c>
      <c r="F144" s="4" t="s">
        <v>30</v>
      </c>
      <c r="G144" s="4"/>
      <c r="H144" s="4" t="s">
        <v>41</v>
      </c>
      <c r="I144" s="4" t="s">
        <v>41</v>
      </c>
      <c r="J144" s="4" t="s">
        <v>42</v>
      </c>
      <c r="K144" s="4"/>
      <c r="L144" s="4"/>
      <c r="M144" s="3">
        <v>28.54</v>
      </c>
      <c r="N144" s="3">
        <v>8589.7099999999991</v>
      </c>
      <c r="O144" s="4" t="s">
        <v>34</v>
      </c>
      <c r="P144" s="4" t="s">
        <v>34</v>
      </c>
      <c r="Q144" s="4" t="s">
        <v>35</v>
      </c>
      <c r="R144" s="3">
        <v>508.82400000000001</v>
      </c>
      <c r="S144" s="3">
        <v>-22.107199999999999</v>
      </c>
      <c r="T144" s="4" t="s">
        <v>419</v>
      </c>
      <c r="U144" s="2" t="s">
        <v>37</v>
      </c>
      <c r="V144" s="2" t="s">
        <v>37</v>
      </c>
      <c r="W144" s="2" t="s">
        <v>37</v>
      </c>
      <c r="X144" s="2" t="s">
        <v>37</v>
      </c>
      <c r="Y144" s="2" t="s">
        <v>37</v>
      </c>
      <c r="Z144" s="2" t="s">
        <v>38</v>
      </c>
      <c r="AA144" s="6">
        <v>3.9209233189999999</v>
      </c>
      <c r="AB144" s="6">
        <v>2.706567588</v>
      </c>
      <c r="AC144" s="6">
        <v>3.933978502</v>
      </c>
      <c r="AD144" cm="1">
        <f t="array" ref="AD144">IF(SUMPRODUCT(--($AM$2:$AM$112=TRIM(LEFT($B144,IFERROR(FIND(" ",$B144)-1,LEN($B144))))))&gt;0,1,0)</f>
        <v>0</v>
      </c>
      <c r="AE144" cm="1">
        <f t="array" ref="AE144">IF(SUMPRODUCT(--($AO$2:$AO$145=TRIM(LEFT($B144,IFERROR(FIND(" ",$B144)-1,LEN($B144))))))&gt;0,1,0)</f>
        <v>0</v>
      </c>
      <c r="AF144" cm="1">
        <f t="array" ref="AF144">IF(SUMPRODUCT(--($AQ$2:$AQ$71=TRIM(LEFT($B144,IFERROR(FIND(" ",$B144)-1,LEN($B144))))))&gt;0,1,0)</f>
        <v>0</v>
      </c>
      <c r="AN144" t="s">
        <v>2359</v>
      </c>
      <c r="AO144" t="str">
        <f t="shared" si="6"/>
        <v>FIG</v>
      </c>
    </row>
    <row r="145" spans="1:41" ht="45.75" thickBot="1" x14ac:dyDescent="0.3">
      <c r="A145" s="13">
        <v>455</v>
      </c>
      <c r="B145" s="4" t="s">
        <v>420</v>
      </c>
      <c r="C145" s="4" t="s">
        <v>421</v>
      </c>
      <c r="D145" s="7">
        <v>45222</v>
      </c>
      <c r="E145" s="3">
        <v>53800.13</v>
      </c>
      <c r="F145" s="4" t="s">
        <v>46</v>
      </c>
      <c r="G145" s="3">
        <v>9.4499999999999993</v>
      </c>
      <c r="H145" s="4" t="s">
        <v>118</v>
      </c>
      <c r="I145" s="4" t="s">
        <v>119</v>
      </c>
      <c r="J145" s="4" t="s">
        <v>120</v>
      </c>
      <c r="K145" s="4"/>
      <c r="L145" s="4"/>
      <c r="M145" s="3">
        <v>5.14</v>
      </c>
      <c r="N145" s="3">
        <v>46762.13</v>
      </c>
      <c r="O145" s="4" t="s">
        <v>34</v>
      </c>
      <c r="P145" s="4" t="s">
        <v>34</v>
      </c>
      <c r="Q145" s="4" t="s">
        <v>35</v>
      </c>
      <c r="R145" s="3">
        <v>12896</v>
      </c>
      <c r="S145" s="3">
        <v>31.970600000000001</v>
      </c>
      <c r="T145" s="4" t="s">
        <v>43</v>
      </c>
      <c r="U145" s="2" t="s">
        <v>37</v>
      </c>
      <c r="V145" s="2" t="s">
        <v>37</v>
      </c>
      <c r="W145" s="2" t="s">
        <v>37</v>
      </c>
      <c r="X145" s="2" t="s">
        <v>37</v>
      </c>
      <c r="Y145" s="2" t="s">
        <v>37</v>
      </c>
      <c r="Z145" s="2" t="s">
        <v>37</v>
      </c>
      <c r="AA145" s="6">
        <v>4.730783325</v>
      </c>
      <c r="AB145" s="6">
        <v>4.1104550240000002</v>
      </c>
      <c r="AC145" s="6">
        <v>4.6698942849999998</v>
      </c>
      <c r="AD145" cm="1">
        <f t="array" ref="AD145">IF(SUMPRODUCT(--($AM$2:$AM$112=TRIM(LEFT($B145,IFERROR(FIND(" ",$B145)-1,LEN($B145))))))&gt;0,1,0)</f>
        <v>0</v>
      </c>
      <c r="AE145" cm="1">
        <f t="array" ref="AE145">IF(SUMPRODUCT(--($AO$2:$AO$145=TRIM(LEFT($B145,IFERROR(FIND(" ",$B145)-1,LEN($B145))))))&gt;0,1,0)</f>
        <v>0</v>
      </c>
      <c r="AF145" cm="1">
        <f t="array" ref="AF145">IF(SUMPRODUCT(--($AQ$2:$AQ$71=TRIM(LEFT($B145,IFERROR(FIND(" ",$B145)-1,LEN($B145))))))&gt;0,1,0)</f>
        <v>0</v>
      </c>
      <c r="AN145" t="s">
        <v>2360</v>
      </c>
      <c r="AO145" t="str">
        <f t="shared" si="6"/>
        <v>MPSX</v>
      </c>
    </row>
    <row r="146" spans="1:41" ht="45.75" thickBot="1" x14ac:dyDescent="0.3">
      <c r="A146" s="13">
        <v>395</v>
      </c>
      <c r="B146" s="4" t="s">
        <v>422</v>
      </c>
      <c r="C146" s="4" t="s">
        <v>423</v>
      </c>
      <c r="D146" s="7">
        <v>45306</v>
      </c>
      <c r="E146" s="3">
        <v>32790.94</v>
      </c>
      <c r="F146" s="4" t="s">
        <v>107</v>
      </c>
      <c r="G146" s="3">
        <v>41.66</v>
      </c>
      <c r="H146" s="4" t="s">
        <v>31</v>
      </c>
      <c r="I146" s="4" t="s">
        <v>32</v>
      </c>
      <c r="J146" s="4" t="s">
        <v>33</v>
      </c>
      <c r="K146" s="3">
        <v>1500</v>
      </c>
      <c r="L146" s="3">
        <v>950</v>
      </c>
      <c r="M146" s="3">
        <v>5.62</v>
      </c>
      <c r="N146" s="3">
        <v>32773.629999999997</v>
      </c>
      <c r="O146" s="4" t="s">
        <v>34</v>
      </c>
      <c r="P146" s="4" t="s">
        <v>34</v>
      </c>
      <c r="Q146" s="4" t="s">
        <v>35</v>
      </c>
      <c r="R146" s="3">
        <v>2544.81</v>
      </c>
      <c r="S146" s="3">
        <v>28.393899999999999</v>
      </c>
      <c r="T146" s="4" t="s">
        <v>43</v>
      </c>
      <c r="U146" s="2" t="s">
        <v>37</v>
      </c>
      <c r="V146" s="2" t="s">
        <v>37</v>
      </c>
      <c r="W146" s="2" t="s">
        <v>37</v>
      </c>
      <c r="X146" s="2" t="s">
        <v>37</v>
      </c>
      <c r="Y146" s="2" t="s">
        <v>37</v>
      </c>
      <c r="Z146" s="2" t="s">
        <v>37</v>
      </c>
      <c r="AA146" s="6">
        <v>4.5157538669999999</v>
      </c>
      <c r="AB146" s="6">
        <v>3.4056553630000002</v>
      </c>
      <c r="AC146" s="6">
        <v>4.515524546</v>
      </c>
      <c r="AD146" cm="1">
        <f t="array" ref="AD146">IF(SUMPRODUCT(--($AM$2:$AM$112=TRIM(LEFT($B146,IFERROR(FIND(" ",$B146)-1,LEN($B146))))))&gt;0,1,0)</f>
        <v>1</v>
      </c>
      <c r="AE146" cm="1">
        <f t="array" ref="AE146">IF(SUMPRODUCT(--($AO$2:$AO$145=TRIM(LEFT($B146,IFERROR(FIND(" ",$B146)-1,LEN($B146))))))&gt;0,1,0)</f>
        <v>1</v>
      </c>
      <c r="AF146" cm="1">
        <f t="array" ref="AF146">IF(SUMPRODUCT(--($AQ$2:$AQ$71=TRIM(LEFT($B146,IFERROR(FIND(" ",$B146)-1,LEN($B146))))))&gt;0,1,0)</f>
        <v>0</v>
      </c>
    </row>
    <row r="147" spans="1:41" ht="45.75" thickBot="1" x14ac:dyDescent="0.3">
      <c r="A147" s="13">
        <v>338</v>
      </c>
      <c r="B147" s="4" t="s">
        <v>424</v>
      </c>
      <c r="C147" s="4" t="s">
        <v>425</v>
      </c>
      <c r="D147" s="7">
        <v>45384</v>
      </c>
      <c r="E147" s="3">
        <v>7730.54</v>
      </c>
      <c r="F147" s="4" t="s">
        <v>46</v>
      </c>
      <c r="G147" s="3">
        <v>10.11</v>
      </c>
      <c r="H147" s="4" t="s">
        <v>118</v>
      </c>
      <c r="I147" s="4" t="s">
        <v>119</v>
      </c>
      <c r="J147" s="4" t="s">
        <v>355</v>
      </c>
      <c r="K147" s="4"/>
      <c r="L147" s="4"/>
      <c r="M147" s="3">
        <v>16.829999999999998</v>
      </c>
      <c r="N147" s="3">
        <v>7416.98</v>
      </c>
      <c r="O147" s="4" t="s">
        <v>34</v>
      </c>
      <c r="P147" s="4" t="s">
        <v>34</v>
      </c>
      <c r="Q147" s="4" t="s">
        <v>35</v>
      </c>
      <c r="R147" s="3">
        <v>3633.98</v>
      </c>
      <c r="S147" s="3">
        <v>12.7423</v>
      </c>
      <c r="T147" s="4" t="s">
        <v>43</v>
      </c>
      <c r="U147" s="2" t="s">
        <v>37</v>
      </c>
      <c r="V147" s="2" t="s">
        <v>37</v>
      </c>
      <c r="W147" s="2" t="s">
        <v>37</v>
      </c>
      <c r="X147" s="2" t="s">
        <v>37</v>
      </c>
      <c r="Y147" s="2" t="s">
        <v>37</v>
      </c>
      <c r="Z147" s="2" t="s">
        <v>37</v>
      </c>
      <c r="AA147" s="6">
        <v>3.8882098319999998</v>
      </c>
      <c r="AB147" s="6">
        <v>3.5603825329999998</v>
      </c>
      <c r="AC147" s="6">
        <v>3.8702271079999999</v>
      </c>
      <c r="AD147" cm="1">
        <f t="array" ref="AD147">IF(SUMPRODUCT(--($AM$2:$AM$112=TRIM(LEFT($B147,IFERROR(FIND(" ",$B147)-1,LEN($B147))))))&gt;0,1,0)</f>
        <v>0</v>
      </c>
      <c r="AE147" cm="1">
        <f t="array" ref="AE147">IF(SUMPRODUCT(--($AO$2:$AO$145=TRIM(LEFT($B147,IFERROR(FIND(" ",$B147)-1,LEN($B147))))))&gt;0,1,0)</f>
        <v>0</v>
      </c>
      <c r="AF147" cm="1">
        <f t="array" ref="AF147">IF(SUMPRODUCT(--($AQ$2:$AQ$71=TRIM(LEFT($B147,IFERROR(FIND(" ",$B147)-1,LEN($B147))))))&gt;0,1,0)</f>
        <v>1</v>
      </c>
    </row>
    <row r="148" spans="1:41" ht="75.75" thickBot="1" x14ac:dyDescent="0.3">
      <c r="A148" s="13">
        <v>87</v>
      </c>
      <c r="B148" s="4" t="s">
        <v>426</v>
      </c>
      <c r="C148" s="4" t="s">
        <v>427</v>
      </c>
      <c r="D148" s="7">
        <v>45729</v>
      </c>
      <c r="E148" s="3">
        <v>1404.97</v>
      </c>
      <c r="F148" s="4" t="s">
        <v>30</v>
      </c>
      <c r="G148" s="4"/>
      <c r="H148" s="4" t="s">
        <v>70</v>
      </c>
      <c r="I148" s="4" t="s">
        <v>94</v>
      </c>
      <c r="J148" s="4" t="s">
        <v>95</v>
      </c>
      <c r="K148" s="4"/>
      <c r="L148" s="4"/>
      <c r="M148" s="3">
        <v>125.86</v>
      </c>
      <c r="N148" s="3">
        <v>838.66</v>
      </c>
      <c r="O148" s="4" t="s">
        <v>34</v>
      </c>
      <c r="P148" s="4" t="s">
        <v>96</v>
      </c>
      <c r="Q148" s="4" t="s">
        <v>35</v>
      </c>
      <c r="R148" s="3">
        <v>2738.69</v>
      </c>
      <c r="S148" s="3">
        <v>-2.5039899999999999</v>
      </c>
      <c r="T148" s="4" t="s">
        <v>104</v>
      </c>
      <c r="U148" s="2" t="s">
        <v>37</v>
      </c>
      <c r="V148" s="2" t="s">
        <v>37</v>
      </c>
      <c r="W148" s="2" t="s">
        <v>38</v>
      </c>
      <c r="X148" s="2" t="s">
        <v>37</v>
      </c>
      <c r="Y148" s="2" t="s">
        <v>37</v>
      </c>
      <c r="Z148" s="2" t="s">
        <v>37</v>
      </c>
      <c r="AA148" s="6">
        <v>3.147667051</v>
      </c>
      <c r="AB148" s="6">
        <v>3.4375428760000002</v>
      </c>
      <c r="AC148" s="6">
        <v>2.9235859300000002</v>
      </c>
      <c r="AD148" cm="1">
        <f t="array" ref="AD148">IF(SUMPRODUCT(--($AM$2:$AM$112=TRIM(LEFT($B148,IFERROR(FIND(" ",$B148)-1,LEN($B148))))))&gt;0,1,0)</f>
        <v>0</v>
      </c>
      <c r="AE148" cm="1">
        <f t="array" ref="AE148">IF(SUMPRODUCT(--($AO$2:$AO$145=TRIM(LEFT($B148,IFERROR(FIND(" ",$B148)-1,LEN($B148))))))&gt;0,1,0)</f>
        <v>0</v>
      </c>
      <c r="AF148" cm="1">
        <f t="array" ref="AF148">IF(SUMPRODUCT(--($AQ$2:$AQ$71=TRIM(LEFT($B148,IFERROR(FIND(" ",$B148)-1,LEN($B148))))))&gt;0,1,0)</f>
        <v>1</v>
      </c>
    </row>
    <row r="149" spans="1:41" ht="180.75" thickBot="1" x14ac:dyDescent="0.3">
      <c r="A149" s="13">
        <v>244</v>
      </c>
      <c r="B149" s="4" t="s">
        <v>428</v>
      </c>
      <c r="C149" s="2"/>
      <c r="D149" s="7">
        <v>45502</v>
      </c>
      <c r="E149" s="3">
        <v>4905.59</v>
      </c>
      <c r="F149" s="4" t="s">
        <v>30</v>
      </c>
      <c r="G149" s="4"/>
      <c r="H149" s="4" t="s">
        <v>65</v>
      </c>
      <c r="I149" s="4" t="s">
        <v>206</v>
      </c>
      <c r="J149" s="4" t="s">
        <v>206</v>
      </c>
      <c r="K149" s="4"/>
      <c r="L149" s="4"/>
      <c r="M149" s="3">
        <v>3.27</v>
      </c>
      <c r="N149" s="3">
        <v>4905.59</v>
      </c>
      <c r="O149" s="4" t="s">
        <v>34</v>
      </c>
      <c r="P149" s="4" t="s">
        <v>34</v>
      </c>
      <c r="Q149" s="4" t="s">
        <v>35</v>
      </c>
      <c r="R149" s="3">
        <v>1229</v>
      </c>
      <c r="S149" s="3">
        <v>57.635899999999999</v>
      </c>
      <c r="T149" s="4" t="s">
        <v>429</v>
      </c>
      <c r="U149" s="2" t="s">
        <v>38</v>
      </c>
      <c r="V149" s="2" t="s">
        <v>37</v>
      </c>
      <c r="W149" s="2" t="s">
        <v>37</v>
      </c>
      <c r="X149" s="2" t="s">
        <v>38</v>
      </c>
      <c r="Y149" s="2" t="s">
        <v>38</v>
      </c>
      <c r="Z149" s="2" t="s">
        <v>37</v>
      </c>
      <c r="AA149" s="6">
        <v>3.6906912479999998</v>
      </c>
      <c r="AB149" s="6">
        <v>3.0895518829999999</v>
      </c>
      <c r="AC149" s="6">
        <v>3.6906912479999998</v>
      </c>
      <c r="AD149" cm="1">
        <f t="array" ref="AD149">IF(SUMPRODUCT(--($AM$2:$AM$112=TRIM(LEFT($B149,IFERROR(FIND(" ",$B149)-1,LEN($B149))))))&gt;0,1,0)</f>
        <v>0</v>
      </c>
      <c r="AE149" cm="1">
        <f t="array" ref="AE149">IF(SUMPRODUCT(--($AO$2:$AO$145=TRIM(LEFT($B149,IFERROR(FIND(" ",$B149)-1,LEN($B149))))))&gt;0,1,0)</f>
        <v>0</v>
      </c>
      <c r="AF149" cm="1">
        <f t="array" ref="AF149">IF(SUMPRODUCT(--($AQ$2:$AQ$71=TRIM(LEFT($B149,IFERROR(FIND(" ",$B149)-1,LEN($B149))))))&gt;0,1,0)</f>
        <v>0</v>
      </c>
    </row>
    <row r="150" spans="1:41" ht="75.75" thickBot="1" x14ac:dyDescent="0.3">
      <c r="A150" s="13">
        <v>386</v>
      </c>
      <c r="B150" s="4" t="s">
        <v>430</v>
      </c>
      <c r="C150" s="4" t="s">
        <v>431</v>
      </c>
      <c r="D150" s="7">
        <v>45301</v>
      </c>
      <c r="E150" s="3">
        <v>13293.34</v>
      </c>
      <c r="F150" s="4" t="s">
        <v>30</v>
      </c>
      <c r="G150" s="3">
        <v>18.690000000000001</v>
      </c>
      <c r="H150" s="4" t="s">
        <v>31</v>
      </c>
      <c r="I150" s="4" t="s">
        <v>432</v>
      </c>
      <c r="J150" s="4" t="s">
        <v>433</v>
      </c>
      <c r="K150" s="3">
        <v>815</v>
      </c>
      <c r="L150" s="3">
        <v>407.5</v>
      </c>
      <c r="M150" s="3">
        <v>33.89</v>
      </c>
      <c r="N150" s="3">
        <v>12754.74</v>
      </c>
      <c r="O150" s="4" t="s">
        <v>34</v>
      </c>
      <c r="P150" s="4" t="s">
        <v>34</v>
      </c>
      <c r="Q150" s="4" t="s">
        <v>35</v>
      </c>
      <c r="R150" s="3">
        <v>5073.6000000000004</v>
      </c>
      <c r="S150" s="3">
        <v>7.5966899999999997</v>
      </c>
      <c r="T150" s="4" t="s">
        <v>43</v>
      </c>
      <c r="U150" s="2" t="s">
        <v>37</v>
      </c>
      <c r="V150" s="2" t="s">
        <v>37</v>
      </c>
      <c r="W150" s="2" t="s">
        <v>37</v>
      </c>
      <c r="X150" s="2" t="s">
        <v>37</v>
      </c>
      <c r="Y150" s="2" t="s">
        <v>37</v>
      </c>
      <c r="Z150" s="2" t="s">
        <v>37</v>
      </c>
      <c r="AA150" s="6">
        <v>4.1236341129999996</v>
      </c>
      <c r="AB150" s="6">
        <v>3.7053162249999998</v>
      </c>
      <c r="AC150" s="6">
        <v>4.1056716099999999</v>
      </c>
      <c r="AD150" cm="1">
        <f t="array" ref="AD150">IF(SUMPRODUCT(--($AM$2:$AM$112=TRIM(LEFT($B150,IFERROR(FIND(" ",$B150)-1,LEN($B150))))))&gt;0,1,0)</f>
        <v>0</v>
      </c>
      <c r="AE150" cm="1">
        <f t="array" ref="AE150">IF(SUMPRODUCT(--($AO$2:$AO$145=TRIM(LEFT($B150,IFERROR(FIND(" ",$B150)-1,LEN($B150))))))&gt;0,1,0)</f>
        <v>1</v>
      </c>
      <c r="AF150" cm="1">
        <f t="array" ref="AF150">IF(SUMPRODUCT(--($AQ$2:$AQ$71=TRIM(LEFT($B150,IFERROR(FIND(" ",$B150)-1,LEN($B150))))))&gt;0,1,0)</f>
        <v>0</v>
      </c>
    </row>
    <row r="151" spans="1:41" ht="105.75" thickBot="1" x14ac:dyDescent="0.3">
      <c r="A151" s="13">
        <v>126</v>
      </c>
      <c r="B151" s="4" t="s">
        <v>434</v>
      </c>
      <c r="C151" s="4" t="s">
        <v>435</v>
      </c>
      <c r="D151" s="7">
        <v>45665</v>
      </c>
      <c r="E151" s="3">
        <v>4100</v>
      </c>
      <c r="F151" s="4" t="s">
        <v>46</v>
      </c>
      <c r="G151" s="4"/>
      <c r="H151" s="4" t="s">
        <v>127</v>
      </c>
      <c r="I151" s="4" t="s">
        <v>128</v>
      </c>
      <c r="J151" s="4" t="s">
        <v>436</v>
      </c>
      <c r="K151" s="3">
        <v>0.5</v>
      </c>
      <c r="L151" s="3">
        <v>1.75</v>
      </c>
      <c r="M151" s="4"/>
      <c r="N151" s="3">
        <v>4096.78</v>
      </c>
      <c r="O151" s="4" t="s">
        <v>49</v>
      </c>
      <c r="P151" s="4" t="s">
        <v>34</v>
      </c>
      <c r="Q151" s="4" t="s">
        <v>35</v>
      </c>
      <c r="R151" s="3">
        <v>5.9055400000000002</v>
      </c>
      <c r="S151" s="2"/>
      <c r="T151" s="4" t="s">
        <v>316</v>
      </c>
      <c r="U151" s="2" t="s">
        <v>37</v>
      </c>
      <c r="V151" s="2" t="s">
        <v>37</v>
      </c>
      <c r="W151" s="2" t="s">
        <v>38</v>
      </c>
      <c r="X151" s="2" t="s">
        <v>38</v>
      </c>
      <c r="Y151" s="2" t="s">
        <v>37</v>
      </c>
      <c r="Z151" s="2" t="s">
        <v>37</v>
      </c>
      <c r="AA151" s="6">
        <v>3.6127838570000002</v>
      </c>
      <c r="AB151" s="6">
        <v>0.7712596155</v>
      </c>
      <c r="AC151" s="6">
        <v>3.6124426430000001</v>
      </c>
      <c r="AD151" cm="1">
        <f t="array" ref="AD151">IF(SUMPRODUCT(--($AM$2:$AM$112=TRIM(LEFT($B151,IFERROR(FIND(" ",$B151)-1,LEN($B151))))))&gt;0,1,0)</f>
        <v>0</v>
      </c>
      <c r="AE151" cm="1">
        <f t="array" ref="AE151">IF(SUMPRODUCT(--($AO$2:$AO$145=TRIM(LEFT($B151,IFERROR(FIND(" ",$B151)-1,LEN($B151))))))&gt;0,1,0)</f>
        <v>0</v>
      </c>
      <c r="AF151" cm="1">
        <f t="array" ref="AF151">IF(SUMPRODUCT(--($AQ$2:$AQ$71=TRIM(LEFT($B151,IFERROR(FIND(" ",$B151)-1,LEN($B151))))))&gt;0,1,0)</f>
        <v>0</v>
      </c>
    </row>
    <row r="152" spans="1:41" ht="75.75" thickBot="1" x14ac:dyDescent="0.3">
      <c r="A152" s="13">
        <v>48</v>
      </c>
      <c r="B152" s="4" t="s">
        <v>437</v>
      </c>
      <c r="C152" s="4" t="s">
        <v>438</v>
      </c>
      <c r="D152" s="7">
        <v>45775</v>
      </c>
      <c r="E152" s="3">
        <v>3070.26</v>
      </c>
      <c r="F152" s="4" t="s">
        <v>30</v>
      </c>
      <c r="G152" s="4"/>
      <c r="H152" s="4" t="s">
        <v>41</v>
      </c>
      <c r="I152" s="4" t="s">
        <v>41</v>
      </c>
      <c r="J152" s="4" t="s">
        <v>42</v>
      </c>
      <c r="K152" s="4"/>
      <c r="L152" s="4"/>
      <c r="M152" s="3">
        <v>17.21</v>
      </c>
      <c r="N152" s="3">
        <v>3524.26</v>
      </c>
      <c r="O152" s="4" t="s">
        <v>34</v>
      </c>
      <c r="P152" s="4" t="s">
        <v>439</v>
      </c>
      <c r="Q152" s="4" t="s">
        <v>35</v>
      </c>
      <c r="R152" s="3">
        <v>191.589</v>
      </c>
      <c r="S152" s="3">
        <v>-120.515</v>
      </c>
      <c r="T152" s="4" t="s">
        <v>97</v>
      </c>
      <c r="U152" s="2" t="s">
        <v>37</v>
      </c>
      <c r="V152" s="2" t="s">
        <v>37</v>
      </c>
      <c r="W152" s="2" t="s">
        <v>38</v>
      </c>
      <c r="X152" s="2" t="s">
        <v>37</v>
      </c>
      <c r="Y152" s="2" t="s">
        <v>37</v>
      </c>
      <c r="Z152" s="2" t="s">
        <v>37</v>
      </c>
      <c r="AA152" s="6">
        <v>3.4871751550000001</v>
      </c>
      <c r="AB152" s="6">
        <v>2.282370571</v>
      </c>
      <c r="AC152" s="6">
        <v>3.5470679409999999</v>
      </c>
      <c r="AD152" cm="1">
        <f t="array" ref="AD152">IF(SUMPRODUCT(--($AM$2:$AM$112=TRIM(LEFT($B152,IFERROR(FIND(" ",$B152)-1,LEN($B152))))))&gt;0,1,0)</f>
        <v>0</v>
      </c>
      <c r="AE152" cm="1">
        <f t="array" ref="AE152">IF(SUMPRODUCT(--($AO$2:$AO$145=TRIM(LEFT($B152,IFERROR(FIND(" ",$B152)-1,LEN($B152))))))&gt;0,1,0)</f>
        <v>0</v>
      </c>
      <c r="AF152" cm="1">
        <f t="array" ref="AF152">IF(SUMPRODUCT(--($AQ$2:$AQ$71=TRIM(LEFT($B152,IFERROR(FIND(" ",$B152)-1,LEN($B152))))))&gt;0,1,0)</f>
        <v>0</v>
      </c>
    </row>
    <row r="153" spans="1:41" ht="45.75" thickBot="1" x14ac:dyDescent="0.3">
      <c r="A153" s="13">
        <v>83</v>
      </c>
      <c r="B153" s="4" t="s">
        <v>440</v>
      </c>
      <c r="C153" s="4" t="s">
        <v>357</v>
      </c>
      <c r="D153" s="7">
        <v>45726</v>
      </c>
      <c r="E153" s="3">
        <v>2215.77</v>
      </c>
      <c r="F153" s="4" t="s">
        <v>46</v>
      </c>
      <c r="G153" s="4"/>
      <c r="H153" s="4" t="s">
        <v>51</v>
      </c>
      <c r="I153" s="4" t="s">
        <v>51</v>
      </c>
      <c r="J153" s="4" t="s">
        <v>261</v>
      </c>
      <c r="K153" s="4"/>
      <c r="L153" s="4"/>
      <c r="M153" s="3">
        <v>37.82</v>
      </c>
      <c r="N153" s="3">
        <v>1345.62</v>
      </c>
      <c r="O153" s="4" t="s">
        <v>34</v>
      </c>
      <c r="P153" s="4" t="s">
        <v>34</v>
      </c>
      <c r="Q153" s="4" t="s">
        <v>35</v>
      </c>
      <c r="R153" s="3">
        <v>1042.98</v>
      </c>
      <c r="S153" s="3">
        <v>-16.514900000000001</v>
      </c>
      <c r="T153" s="4" t="s">
        <v>43</v>
      </c>
      <c r="U153" s="2" t="s">
        <v>37</v>
      </c>
      <c r="V153" s="2" t="s">
        <v>37</v>
      </c>
      <c r="W153" s="2" t="s">
        <v>37</v>
      </c>
      <c r="X153" s="2" t="s">
        <v>37</v>
      </c>
      <c r="Y153" s="2" t="s">
        <v>37</v>
      </c>
      <c r="Z153" s="2" t="s">
        <v>37</v>
      </c>
      <c r="AA153" s="6">
        <v>3.3455246779999999</v>
      </c>
      <c r="AB153" s="6">
        <v>3.0182759809999999</v>
      </c>
      <c r="AC153" s="6">
        <v>3.1289224330000001</v>
      </c>
      <c r="AD153" cm="1">
        <f t="array" ref="AD153">IF(SUMPRODUCT(--($AM$2:$AM$112=TRIM(LEFT($B153,IFERROR(FIND(" ",$B153)-1,LEN($B153))))))&gt;0,1,0)</f>
        <v>0</v>
      </c>
      <c r="AE153" cm="1">
        <f t="array" ref="AE153">IF(SUMPRODUCT(--($AO$2:$AO$145=TRIM(LEFT($B153,IFERROR(FIND(" ",$B153)-1,LEN($B153))))))&gt;0,1,0)</f>
        <v>0</v>
      </c>
      <c r="AF153" cm="1">
        <f t="array" ref="AF153">IF(SUMPRODUCT(--($AQ$2:$AQ$71=TRIM(LEFT($B153,IFERROR(FIND(" ",$B153)-1,LEN($B153))))))&gt;0,1,0)</f>
        <v>0</v>
      </c>
    </row>
    <row r="154" spans="1:41" ht="45.75" thickBot="1" x14ac:dyDescent="0.3">
      <c r="A154" s="13">
        <v>148</v>
      </c>
      <c r="B154" s="4" t="s">
        <v>441</v>
      </c>
      <c r="C154" s="4" t="s">
        <v>442</v>
      </c>
      <c r="D154" s="7">
        <v>45635</v>
      </c>
      <c r="E154" s="3">
        <v>565.42999999999995</v>
      </c>
      <c r="F154" s="4" t="s">
        <v>107</v>
      </c>
      <c r="G154" s="4"/>
      <c r="H154" s="4" t="s">
        <v>65</v>
      </c>
      <c r="I154" s="4" t="s">
        <v>66</v>
      </c>
      <c r="J154" s="4" t="s">
        <v>66</v>
      </c>
      <c r="K154" s="4"/>
      <c r="L154" s="3">
        <v>22.488</v>
      </c>
      <c r="M154" s="3">
        <v>23.85</v>
      </c>
      <c r="N154" s="3">
        <v>565.42999999999995</v>
      </c>
      <c r="O154" s="4" t="s">
        <v>34</v>
      </c>
      <c r="P154" s="4" t="s">
        <v>34</v>
      </c>
      <c r="Q154" s="4" t="s">
        <v>35</v>
      </c>
      <c r="R154" s="3">
        <v>253.149</v>
      </c>
      <c r="S154" s="3">
        <v>31.085599999999999</v>
      </c>
      <c r="T154" s="4" t="s">
        <v>43</v>
      </c>
      <c r="U154" s="2" t="s">
        <v>37</v>
      </c>
      <c r="V154" s="2" t="s">
        <v>37</v>
      </c>
      <c r="W154" s="2" t="s">
        <v>37</v>
      </c>
      <c r="X154" s="2" t="s">
        <v>37</v>
      </c>
      <c r="Y154" s="2" t="s">
        <v>37</v>
      </c>
      <c r="Z154" s="2" t="s">
        <v>37</v>
      </c>
      <c r="AA154" s="6">
        <v>2.7523788470000001</v>
      </c>
      <c r="AB154" s="6">
        <v>2.4033762159999998</v>
      </c>
      <c r="AC154" s="6">
        <v>2.7523788470000001</v>
      </c>
      <c r="AD154" cm="1">
        <f t="array" ref="AD154">IF(SUMPRODUCT(--($AM$2:$AM$112=TRIM(LEFT($B154,IFERROR(FIND(" ",$B154)-1,LEN($B154))))))&gt;0,1,0)</f>
        <v>0</v>
      </c>
      <c r="AE154" cm="1">
        <f t="array" ref="AE154">IF(SUMPRODUCT(--($AO$2:$AO$145=TRIM(LEFT($B154,IFERROR(FIND(" ",$B154)-1,LEN($B154))))))&gt;0,1,0)</f>
        <v>0</v>
      </c>
      <c r="AF154" cm="1">
        <f t="array" ref="AF154">IF(SUMPRODUCT(--($AQ$2:$AQ$71=TRIM(LEFT($B154,IFERROR(FIND(" ",$B154)-1,LEN($B154))))))&gt;0,1,0)</f>
        <v>0</v>
      </c>
    </row>
    <row r="155" spans="1:41" ht="75.75" thickBot="1" x14ac:dyDescent="0.3">
      <c r="A155" s="13">
        <v>72</v>
      </c>
      <c r="B155" s="4" t="s">
        <v>443</v>
      </c>
      <c r="C155" s="4" t="s">
        <v>444</v>
      </c>
      <c r="D155" s="7">
        <v>45740</v>
      </c>
      <c r="E155" s="3">
        <v>8770.57</v>
      </c>
      <c r="F155" s="4" t="s">
        <v>107</v>
      </c>
      <c r="G155" s="3">
        <v>25.27</v>
      </c>
      <c r="H155" s="4" t="s">
        <v>75</v>
      </c>
      <c r="I155" s="4" t="s">
        <v>76</v>
      </c>
      <c r="J155" s="4" t="s">
        <v>77</v>
      </c>
      <c r="K155" s="4"/>
      <c r="L155" s="3">
        <v>272</v>
      </c>
      <c r="M155" s="3">
        <v>36.15</v>
      </c>
      <c r="N155" s="3">
        <v>8458.69</v>
      </c>
      <c r="O155" s="4" t="s">
        <v>34</v>
      </c>
      <c r="P155" s="4" t="s">
        <v>34</v>
      </c>
      <c r="Q155" s="4" t="s">
        <v>35</v>
      </c>
      <c r="R155" s="3">
        <v>1441.45</v>
      </c>
      <c r="S155" s="3">
        <v>15.3627</v>
      </c>
      <c r="T155" s="4" t="s">
        <v>43</v>
      </c>
      <c r="U155" s="2" t="s">
        <v>37</v>
      </c>
      <c r="V155" s="2" t="s">
        <v>37</v>
      </c>
      <c r="W155" s="2" t="s">
        <v>37</v>
      </c>
      <c r="X155" s="2" t="s">
        <v>37</v>
      </c>
      <c r="Y155" s="2" t="s">
        <v>37</v>
      </c>
      <c r="Z155" s="2" t="s">
        <v>37</v>
      </c>
      <c r="AA155" s="6">
        <v>3.9430278190000001</v>
      </c>
      <c r="AB155" s="6">
        <v>3.1587995819999999</v>
      </c>
      <c r="AC155" s="6">
        <v>3.9273031089999999</v>
      </c>
      <c r="AD155" cm="1">
        <f t="array" ref="AD155">IF(SUMPRODUCT(--($AM$2:$AM$112=TRIM(LEFT($B155,IFERROR(FIND(" ",$B155)-1,LEN($B155))))))&gt;0,1,0)</f>
        <v>0</v>
      </c>
      <c r="AE155" cm="1">
        <f t="array" ref="AE155">IF(SUMPRODUCT(--($AO$2:$AO$145=TRIM(LEFT($B155,IFERROR(FIND(" ",$B155)-1,LEN($B155))))))&gt;0,1,0)</f>
        <v>0</v>
      </c>
      <c r="AF155" cm="1">
        <f t="array" ref="AF155">IF(SUMPRODUCT(--($AQ$2:$AQ$71=TRIM(LEFT($B155,IFERROR(FIND(" ",$B155)-1,LEN($B155))))))&gt;0,1,0)</f>
        <v>0</v>
      </c>
    </row>
    <row r="156" spans="1:41" ht="105.75" thickBot="1" x14ac:dyDescent="0.3">
      <c r="A156" s="13">
        <v>243</v>
      </c>
      <c r="B156" s="4" t="s">
        <v>445</v>
      </c>
      <c r="C156" s="4" t="s">
        <v>446</v>
      </c>
      <c r="D156" s="7">
        <v>45499</v>
      </c>
      <c r="E156" s="3">
        <v>1931.88</v>
      </c>
      <c r="F156" s="4" t="s">
        <v>30</v>
      </c>
      <c r="G156" s="3">
        <v>5.95</v>
      </c>
      <c r="H156" s="4" t="s">
        <v>75</v>
      </c>
      <c r="I156" s="4" t="s">
        <v>111</v>
      </c>
      <c r="J156" s="4" t="s">
        <v>133</v>
      </c>
      <c r="K156" s="4"/>
      <c r="L156" s="4"/>
      <c r="M156" s="3">
        <v>65.650000000000006</v>
      </c>
      <c r="N156" s="3">
        <v>1198.08</v>
      </c>
      <c r="O156" s="4" t="s">
        <v>34</v>
      </c>
      <c r="P156" s="4" t="s">
        <v>34</v>
      </c>
      <c r="Q156" s="4" t="s">
        <v>35</v>
      </c>
      <c r="R156" s="3">
        <v>757.90300000000002</v>
      </c>
      <c r="S156" s="3">
        <v>11.258599999999999</v>
      </c>
      <c r="T156" s="4" t="s">
        <v>447</v>
      </c>
      <c r="U156" s="2" t="s">
        <v>37</v>
      </c>
      <c r="V156" s="2" t="s">
        <v>37</v>
      </c>
      <c r="W156" s="2" t="s">
        <v>37</v>
      </c>
      <c r="X156" s="2" t="s">
        <v>37</v>
      </c>
      <c r="Y156" s="2" t="s">
        <v>38</v>
      </c>
      <c r="Z156" s="2" t="s">
        <v>37</v>
      </c>
      <c r="AA156" s="6">
        <v>3.285980146</v>
      </c>
      <c r="AB156" s="6">
        <v>2.8796136259999998</v>
      </c>
      <c r="AC156" s="6">
        <v>3.0784858179999999</v>
      </c>
      <c r="AD156" cm="1">
        <f t="array" ref="AD156">IF(SUMPRODUCT(--($AM$2:$AM$112=TRIM(LEFT($B156,IFERROR(FIND(" ",$B156)-1,LEN($B156))))))&gt;0,1,0)</f>
        <v>0</v>
      </c>
      <c r="AE156" cm="1">
        <f t="array" ref="AE156">IF(SUMPRODUCT(--($AO$2:$AO$145=TRIM(LEFT($B156,IFERROR(FIND(" ",$B156)-1,LEN($B156))))))&gt;0,1,0)</f>
        <v>0</v>
      </c>
      <c r="AF156" cm="1">
        <f t="array" ref="AF156">IF(SUMPRODUCT(--($AQ$2:$AQ$71=TRIM(LEFT($B156,IFERROR(FIND(" ",$B156)-1,LEN($B156))))))&gt;0,1,0)</f>
        <v>0</v>
      </c>
    </row>
    <row r="157" spans="1:41" ht="135.75" thickBot="1" x14ac:dyDescent="0.3">
      <c r="A157" s="13">
        <v>299</v>
      </c>
      <c r="B157" s="4" t="s">
        <v>448</v>
      </c>
      <c r="C157" s="4" t="s">
        <v>449</v>
      </c>
      <c r="D157" s="7">
        <v>45421</v>
      </c>
      <c r="E157" s="3">
        <v>1018.47</v>
      </c>
      <c r="F157" s="4" t="s">
        <v>30</v>
      </c>
      <c r="G157" s="3">
        <v>7.42</v>
      </c>
      <c r="H157" s="4" t="s">
        <v>31</v>
      </c>
      <c r="I157" s="4" t="s">
        <v>432</v>
      </c>
      <c r="J157" s="4" t="s">
        <v>433</v>
      </c>
      <c r="K157" s="4"/>
      <c r="L157" s="4"/>
      <c r="M157" s="3">
        <v>43.16</v>
      </c>
      <c r="N157" s="3">
        <v>502.61</v>
      </c>
      <c r="O157" s="4" t="s">
        <v>34</v>
      </c>
      <c r="P157" s="4" t="s">
        <v>34</v>
      </c>
      <c r="Q157" s="4" t="s">
        <v>35</v>
      </c>
      <c r="R157" s="3">
        <v>394.86500000000001</v>
      </c>
      <c r="S157" s="3">
        <v>17.5733</v>
      </c>
      <c r="T157" s="4" t="s">
        <v>450</v>
      </c>
      <c r="U157" s="2" t="s">
        <v>37</v>
      </c>
      <c r="V157" s="2" t="s">
        <v>37</v>
      </c>
      <c r="W157" s="2" t="s">
        <v>37</v>
      </c>
      <c r="X157" s="2" t="s">
        <v>38</v>
      </c>
      <c r="Y157" s="2" t="s">
        <v>38</v>
      </c>
      <c r="Z157" s="2" t="s">
        <v>37</v>
      </c>
      <c r="AA157" s="6">
        <v>3.0079482409999998</v>
      </c>
      <c r="AB157" s="6">
        <v>2.5964486400000002</v>
      </c>
      <c r="AC157" s="6">
        <v>2.7012311250000001</v>
      </c>
      <c r="AD157" cm="1">
        <f t="array" ref="AD157">IF(SUMPRODUCT(--($AM$2:$AM$112=TRIM(LEFT($B157,IFERROR(FIND(" ",$B157)-1,LEN($B157))))))&gt;0,1,0)</f>
        <v>0</v>
      </c>
      <c r="AE157" cm="1">
        <f t="array" ref="AE157">IF(SUMPRODUCT(--($AO$2:$AO$145=TRIM(LEFT($B157,IFERROR(FIND(" ",$B157)-1,LEN($B157))))))&gt;0,1,0)</f>
        <v>0</v>
      </c>
      <c r="AF157" cm="1">
        <f t="array" ref="AF157">IF(SUMPRODUCT(--($AQ$2:$AQ$71=TRIM(LEFT($B157,IFERROR(FIND(" ",$B157)-1,LEN($B157))))))&gt;0,1,0)</f>
        <v>0</v>
      </c>
    </row>
    <row r="158" spans="1:41" ht="75.75" thickBot="1" x14ac:dyDescent="0.3">
      <c r="A158" s="13">
        <v>42</v>
      </c>
      <c r="B158" s="4" t="s">
        <v>451</v>
      </c>
      <c r="C158" s="4" t="s">
        <v>200</v>
      </c>
      <c r="D158" s="7">
        <v>45777</v>
      </c>
      <c r="E158" s="3">
        <v>800</v>
      </c>
      <c r="F158" s="4" t="s">
        <v>30</v>
      </c>
      <c r="G158" s="4"/>
      <c r="H158" s="4" t="s">
        <v>41</v>
      </c>
      <c r="I158" s="4" t="s">
        <v>41</v>
      </c>
      <c r="J158" s="4" t="s">
        <v>42</v>
      </c>
      <c r="K158" s="4"/>
      <c r="L158" s="4"/>
      <c r="M158" s="4"/>
      <c r="N158" s="3">
        <v>800</v>
      </c>
      <c r="O158" s="4" t="s">
        <v>34</v>
      </c>
      <c r="P158" s="4" t="s">
        <v>34</v>
      </c>
      <c r="Q158" s="4" t="s">
        <v>35</v>
      </c>
      <c r="R158" s="2"/>
      <c r="S158" s="2"/>
      <c r="T158" s="4" t="s">
        <v>88</v>
      </c>
      <c r="U158" s="2" t="s">
        <v>37</v>
      </c>
      <c r="V158" s="2" t="s">
        <v>37</v>
      </c>
      <c r="W158" s="2" t="s">
        <v>37</v>
      </c>
      <c r="X158" s="2" t="s">
        <v>37</v>
      </c>
      <c r="Y158" s="2" t="s">
        <v>37</v>
      </c>
      <c r="Z158" s="2" t="s">
        <v>38</v>
      </c>
      <c r="AA158" s="6">
        <v>2.903089987</v>
      </c>
      <c r="AB158" s="2"/>
      <c r="AC158" s="6">
        <v>2.903089987</v>
      </c>
      <c r="AD158" cm="1">
        <f t="array" ref="AD158">IF(SUMPRODUCT(--($AM$2:$AM$112=TRIM(LEFT($B158,IFERROR(FIND(" ",$B158)-1,LEN($B158))))))&gt;0,1,0)</f>
        <v>0</v>
      </c>
      <c r="AE158" cm="1">
        <f t="array" ref="AE158">IF(SUMPRODUCT(--($AO$2:$AO$145=TRIM(LEFT($B158,IFERROR(FIND(" ",$B158)-1,LEN($B158))))))&gt;0,1,0)</f>
        <v>0</v>
      </c>
      <c r="AF158" cm="1">
        <f t="array" ref="AF158">IF(SUMPRODUCT(--($AQ$2:$AQ$71=TRIM(LEFT($B158,IFERROR(FIND(" ",$B158)-1,LEN($B158))))))&gt;0,1,0)</f>
        <v>0</v>
      </c>
    </row>
    <row r="159" spans="1:41" ht="105.75" thickBot="1" x14ac:dyDescent="0.3">
      <c r="A159" s="13">
        <v>34</v>
      </c>
      <c r="B159" s="4" t="s">
        <v>452</v>
      </c>
      <c r="C159" s="4" t="s">
        <v>453</v>
      </c>
      <c r="D159" s="7">
        <v>45789</v>
      </c>
      <c r="E159" s="3">
        <v>548.98</v>
      </c>
      <c r="F159" s="4" t="s">
        <v>30</v>
      </c>
      <c r="G159" s="3">
        <v>15.76</v>
      </c>
      <c r="H159" s="4" t="s">
        <v>75</v>
      </c>
      <c r="I159" s="4" t="s">
        <v>76</v>
      </c>
      <c r="J159" s="4" t="s">
        <v>77</v>
      </c>
      <c r="K159" s="4"/>
      <c r="L159" s="4"/>
      <c r="M159" s="3">
        <v>87.37</v>
      </c>
      <c r="N159" s="3">
        <v>411.79</v>
      </c>
      <c r="O159" s="4" t="s">
        <v>34</v>
      </c>
      <c r="P159" s="4" t="s">
        <v>34</v>
      </c>
      <c r="Q159" s="4" t="s">
        <v>35</v>
      </c>
      <c r="R159" s="3">
        <v>1550.34</v>
      </c>
      <c r="S159" s="3">
        <v>1.1084799999999999</v>
      </c>
      <c r="T159" s="4" t="s">
        <v>454</v>
      </c>
      <c r="U159" s="2" t="s">
        <v>37</v>
      </c>
      <c r="V159" s="2" t="s">
        <v>37</v>
      </c>
      <c r="W159" s="2" t="s">
        <v>37</v>
      </c>
      <c r="X159" s="2" t="s">
        <v>38</v>
      </c>
      <c r="Y159" s="2" t="s">
        <v>37</v>
      </c>
      <c r="Z159" s="2" t="s">
        <v>38</v>
      </c>
      <c r="AA159" s="6">
        <v>2.7395565230000001</v>
      </c>
      <c r="AB159" s="6">
        <v>3.1904269520000001</v>
      </c>
      <c r="AC159" s="6">
        <v>2.6146757960000002</v>
      </c>
      <c r="AD159" cm="1">
        <f t="array" ref="AD159">IF(SUMPRODUCT(--($AM$2:$AM$112=TRIM(LEFT($B159,IFERROR(FIND(" ",$B159)-1,LEN($B159))))))&gt;0,1,0)</f>
        <v>0</v>
      </c>
      <c r="AE159" cm="1">
        <f t="array" ref="AE159">IF(SUMPRODUCT(--($AO$2:$AO$145=TRIM(LEFT($B159,IFERROR(FIND(" ",$B159)-1,LEN($B159))))))&gt;0,1,0)</f>
        <v>0</v>
      </c>
      <c r="AF159" cm="1">
        <f t="array" ref="AF159">IF(SUMPRODUCT(--($AQ$2:$AQ$71=TRIM(LEFT($B159,IFERROR(FIND(" ",$B159)-1,LEN($B159))))))&gt;0,1,0)</f>
        <v>0</v>
      </c>
    </row>
    <row r="160" spans="1:41" ht="45.75" thickBot="1" x14ac:dyDescent="0.3">
      <c r="A160" s="13">
        <v>84</v>
      </c>
      <c r="B160" s="4" t="s">
        <v>455</v>
      </c>
      <c r="C160" s="4" t="s">
        <v>456</v>
      </c>
      <c r="D160" s="7">
        <v>45711</v>
      </c>
      <c r="E160" s="3">
        <v>2142.94</v>
      </c>
      <c r="F160" s="4" t="s">
        <v>46</v>
      </c>
      <c r="G160" s="3">
        <v>9.7100000000000009</v>
      </c>
      <c r="H160" s="4" t="s">
        <v>47</v>
      </c>
      <c r="I160" s="4" t="s">
        <v>47</v>
      </c>
      <c r="J160" s="4" t="s">
        <v>48</v>
      </c>
      <c r="K160" s="4"/>
      <c r="L160" s="4"/>
      <c r="M160" s="3">
        <v>5.3</v>
      </c>
      <c r="N160" s="3">
        <v>1937.83</v>
      </c>
      <c r="O160" s="4" t="s">
        <v>49</v>
      </c>
      <c r="P160" s="4" t="s">
        <v>49</v>
      </c>
      <c r="Q160" s="4" t="s">
        <v>35</v>
      </c>
      <c r="R160" s="3">
        <v>585.86300000000006</v>
      </c>
      <c r="S160" s="3">
        <v>22.715299999999999</v>
      </c>
      <c r="T160" s="4" t="s">
        <v>43</v>
      </c>
      <c r="U160" s="2" t="s">
        <v>37</v>
      </c>
      <c r="V160" s="2" t="s">
        <v>37</v>
      </c>
      <c r="W160" s="2" t="s">
        <v>37</v>
      </c>
      <c r="X160" s="2" t="s">
        <v>37</v>
      </c>
      <c r="Y160" s="2" t="s">
        <v>37</v>
      </c>
      <c r="Z160" s="2" t="s">
        <v>37</v>
      </c>
      <c r="AA160" s="6">
        <v>3.331010011</v>
      </c>
      <c r="AB160" s="6">
        <v>2.7677960709999998</v>
      </c>
      <c r="AC160" s="6">
        <v>3.2873156749999999</v>
      </c>
      <c r="AD160" cm="1">
        <f t="array" ref="AD160">IF(SUMPRODUCT(--($AM$2:$AM$112=TRIM(LEFT($B160,IFERROR(FIND(" ",$B160)-1,LEN($B160))))))&gt;0,1,0)</f>
        <v>0</v>
      </c>
      <c r="AE160" cm="1">
        <f t="array" ref="AE160">IF(SUMPRODUCT(--($AO$2:$AO$145=TRIM(LEFT($B160,IFERROR(FIND(" ",$B160)-1,LEN($B160))))))&gt;0,1,0)</f>
        <v>0</v>
      </c>
      <c r="AF160" cm="1">
        <f t="array" ref="AF160">IF(SUMPRODUCT(--($AQ$2:$AQ$71=TRIM(LEFT($B160,IFERROR(FIND(" ",$B160)-1,LEN($B160))))))&gt;0,1,0)</f>
        <v>0</v>
      </c>
    </row>
    <row r="161" spans="1:32" ht="75.75" thickBot="1" x14ac:dyDescent="0.3">
      <c r="A161" s="13">
        <v>393</v>
      </c>
      <c r="B161" s="4" t="s">
        <v>457</v>
      </c>
      <c r="C161" s="4" t="s">
        <v>458</v>
      </c>
      <c r="D161" s="7">
        <v>45278</v>
      </c>
      <c r="E161" s="3">
        <v>13396.12</v>
      </c>
      <c r="F161" s="4" t="s">
        <v>30</v>
      </c>
      <c r="G161" s="3">
        <v>3.32</v>
      </c>
      <c r="H161" s="4" t="s">
        <v>47</v>
      </c>
      <c r="I161" s="4" t="s">
        <v>47</v>
      </c>
      <c r="J161" s="4" t="s">
        <v>212</v>
      </c>
      <c r="K161" s="3">
        <v>565</v>
      </c>
      <c r="L161" s="3">
        <v>565</v>
      </c>
      <c r="M161" s="3">
        <v>52.82</v>
      </c>
      <c r="N161" s="3">
        <v>12267.12</v>
      </c>
      <c r="O161" s="4" t="s">
        <v>34</v>
      </c>
      <c r="P161" s="4" t="s">
        <v>96</v>
      </c>
      <c r="Q161" s="4" t="s">
        <v>35</v>
      </c>
      <c r="R161" s="3">
        <v>16512</v>
      </c>
      <c r="S161" s="3">
        <v>1.12391E-2</v>
      </c>
      <c r="T161" s="4" t="s">
        <v>97</v>
      </c>
      <c r="U161" s="2" t="s">
        <v>37</v>
      </c>
      <c r="V161" s="2" t="s">
        <v>37</v>
      </c>
      <c r="W161" s="2" t="s">
        <v>38</v>
      </c>
      <c r="X161" s="2" t="s">
        <v>37</v>
      </c>
      <c r="Y161" s="2" t="s">
        <v>37</v>
      </c>
      <c r="Z161" s="2" t="s">
        <v>37</v>
      </c>
      <c r="AA161" s="6">
        <v>4.1269790290000001</v>
      </c>
      <c r="AB161" s="6">
        <v>4.2177996799999997</v>
      </c>
      <c r="AC161" s="6">
        <v>4.0887426140000001</v>
      </c>
      <c r="AD161" cm="1">
        <f t="array" ref="AD161">IF(SUMPRODUCT(--($AM$2:$AM$112=TRIM(LEFT($B161,IFERROR(FIND(" ",$B161)-1,LEN($B161))))))&gt;0,1,0)</f>
        <v>0</v>
      </c>
      <c r="AE161" cm="1">
        <f t="array" ref="AE161">IF(SUMPRODUCT(--($AO$2:$AO$145=TRIM(LEFT($B161,IFERROR(FIND(" ",$B161)-1,LEN($B161))))))&gt;0,1,0)</f>
        <v>1</v>
      </c>
      <c r="AF161" cm="1">
        <f t="array" ref="AF161">IF(SUMPRODUCT(--($AQ$2:$AQ$71=TRIM(LEFT($B161,IFERROR(FIND(" ",$B161)-1,LEN($B161))))))&gt;0,1,0)</f>
        <v>1</v>
      </c>
    </row>
    <row r="162" spans="1:32" ht="135.75" thickBot="1" x14ac:dyDescent="0.3">
      <c r="A162" s="13">
        <v>91</v>
      </c>
      <c r="B162" s="4" t="s">
        <v>459</v>
      </c>
      <c r="C162" s="4" t="s">
        <v>460</v>
      </c>
      <c r="D162" s="7">
        <v>45698</v>
      </c>
      <c r="E162" s="3">
        <v>2352.75</v>
      </c>
      <c r="F162" s="4" t="s">
        <v>30</v>
      </c>
      <c r="G162" s="3">
        <v>3.33</v>
      </c>
      <c r="H162" s="4" t="s">
        <v>75</v>
      </c>
      <c r="I162" s="4" t="s">
        <v>111</v>
      </c>
      <c r="J162" s="4" t="s">
        <v>133</v>
      </c>
      <c r="K162" s="4"/>
      <c r="L162" s="4"/>
      <c r="M162" s="3">
        <v>7.97</v>
      </c>
      <c r="N162" s="3">
        <v>1486.73</v>
      </c>
      <c r="O162" s="4" t="s">
        <v>34</v>
      </c>
      <c r="P162" s="4" t="s">
        <v>34</v>
      </c>
      <c r="Q162" s="4" t="s">
        <v>35</v>
      </c>
      <c r="R162" s="3">
        <v>938.56899999999996</v>
      </c>
      <c r="S162" s="3">
        <v>16.4833</v>
      </c>
      <c r="T162" s="4" t="s">
        <v>461</v>
      </c>
      <c r="U162" s="2" t="s">
        <v>38</v>
      </c>
      <c r="V162" s="2" t="s">
        <v>37</v>
      </c>
      <c r="W162" s="2" t="s">
        <v>37</v>
      </c>
      <c r="X162" s="2" t="s">
        <v>37</v>
      </c>
      <c r="Y162" s="2" t="s">
        <v>37</v>
      </c>
      <c r="Z162" s="2" t="s">
        <v>38</v>
      </c>
      <c r="AA162" s="6">
        <v>3.3715757819999999</v>
      </c>
      <c r="AB162" s="6">
        <v>2.972466206</v>
      </c>
      <c r="AC162" s="6">
        <v>3.172232105</v>
      </c>
      <c r="AD162" cm="1">
        <f t="array" ref="AD162">IF(SUMPRODUCT(--($AM$2:$AM$112=TRIM(LEFT($B162,IFERROR(FIND(" ",$B162)-1,LEN($B162))))))&gt;0,1,0)</f>
        <v>0</v>
      </c>
      <c r="AE162" cm="1">
        <f t="array" ref="AE162">IF(SUMPRODUCT(--($AO$2:$AO$145=TRIM(LEFT($B162,IFERROR(FIND(" ",$B162)-1,LEN($B162))))))&gt;0,1,0)</f>
        <v>0</v>
      </c>
      <c r="AF162" cm="1">
        <f t="array" ref="AF162">IF(SUMPRODUCT(--($AQ$2:$AQ$71=TRIM(LEFT($B162,IFERROR(FIND(" ",$B162)-1,LEN($B162))))))&gt;0,1,0)</f>
        <v>0</v>
      </c>
    </row>
    <row r="163" spans="1:32" ht="150.75" thickBot="1" x14ac:dyDescent="0.3">
      <c r="A163" s="13">
        <v>75</v>
      </c>
      <c r="B163" s="4" t="s">
        <v>462</v>
      </c>
      <c r="C163" s="4" t="s">
        <v>463</v>
      </c>
      <c r="D163" s="7">
        <v>45707</v>
      </c>
      <c r="E163" s="3">
        <v>5590.69</v>
      </c>
      <c r="F163" s="4" t="s">
        <v>107</v>
      </c>
      <c r="G163" s="3">
        <v>8.01</v>
      </c>
      <c r="H163" s="4" t="s">
        <v>70</v>
      </c>
      <c r="I163" s="4" t="s">
        <v>94</v>
      </c>
      <c r="J163" s="4" t="s">
        <v>328</v>
      </c>
      <c r="K163" s="4"/>
      <c r="L163" s="3">
        <v>208.36600000000001</v>
      </c>
      <c r="M163" s="3">
        <v>18.32</v>
      </c>
      <c r="N163" s="3">
        <v>3841.8</v>
      </c>
      <c r="O163" s="4" t="s">
        <v>34</v>
      </c>
      <c r="P163" s="4" t="s">
        <v>34</v>
      </c>
      <c r="Q163" s="4" t="s">
        <v>35</v>
      </c>
      <c r="R163" s="3">
        <v>1516.58</v>
      </c>
      <c r="S163" s="3">
        <v>12.503500000000001</v>
      </c>
      <c r="T163" s="4" t="s">
        <v>464</v>
      </c>
      <c r="U163" s="2" t="s">
        <v>37</v>
      </c>
      <c r="V163" s="2" t="s">
        <v>38</v>
      </c>
      <c r="W163" s="2" t="s">
        <v>37</v>
      </c>
      <c r="X163" s="2" t="s">
        <v>37</v>
      </c>
      <c r="Y163" s="2" t="s">
        <v>37</v>
      </c>
      <c r="Z163" s="2" t="s">
        <v>38</v>
      </c>
      <c r="AA163" s="6">
        <v>3.7474654119999999</v>
      </c>
      <c r="AB163" s="6">
        <v>3.180865324</v>
      </c>
      <c r="AC163" s="6">
        <v>3.5845347520000002</v>
      </c>
      <c r="AD163" cm="1">
        <f t="array" ref="AD163">IF(SUMPRODUCT(--($AM$2:$AM$112=TRIM(LEFT($B163,IFERROR(FIND(" ",$B163)-1,LEN($B163))))))&gt;0,1,0)</f>
        <v>0</v>
      </c>
      <c r="AE163" cm="1">
        <f t="array" ref="AE163">IF(SUMPRODUCT(--($AO$2:$AO$145=TRIM(LEFT($B163,IFERROR(FIND(" ",$B163)-1,LEN($B163))))))&gt;0,1,0)</f>
        <v>0</v>
      </c>
      <c r="AF163" cm="1">
        <f t="array" ref="AF163">IF(SUMPRODUCT(--($AQ$2:$AQ$71=TRIM(LEFT($B163,IFERROR(FIND(" ",$B163)-1,LEN($B163))))))&gt;0,1,0)</f>
        <v>0</v>
      </c>
    </row>
    <row r="164" spans="1:32" ht="120.75" thickBot="1" x14ac:dyDescent="0.3">
      <c r="A164" s="13">
        <v>108</v>
      </c>
      <c r="B164" s="4" t="s">
        <v>465</v>
      </c>
      <c r="C164" s="2"/>
      <c r="D164" s="7">
        <v>45649</v>
      </c>
      <c r="E164" s="3">
        <v>6216.93</v>
      </c>
      <c r="F164" s="4" t="s">
        <v>30</v>
      </c>
      <c r="G164" s="4"/>
      <c r="H164" s="4" t="s">
        <v>75</v>
      </c>
      <c r="I164" s="4" t="s">
        <v>83</v>
      </c>
      <c r="J164" s="4" t="s">
        <v>84</v>
      </c>
      <c r="K164" s="3">
        <v>170</v>
      </c>
      <c r="L164" s="3">
        <v>85</v>
      </c>
      <c r="M164" s="3">
        <v>4.8099999999999996</v>
      </c>
      <c r="N164" s="3">
        <v>2302.9299999999998</v>
      </c>
      <c r="O164" s="4" t="s">
        <v>34</v>
      </c>
      <c r="P164" s="4" t="s">
        <v>466</v>
      </c>
      <c r="Q164" s="4" t="s">
        <v>35</v>
      </c>
      <c r="R164" s="3">
        <v>15016</v>
      </c>
      <c r="S164" s="3">
        <v>3.2898200000000002</v>
      </c>
      <c r="T164" s="4" t="s">
        <v>467</v>
      </c>
      <c r="U164" s="2" t="s">
        <v>38</v>
      </c>
      <c r="V164" s="2" t="s">
        <v>37</v>
      </c>
      <c r="W164" s="2" t="s">
        <v>37</v>
      </c>
      <c r="X164" s="2" t="s">
        <v>38</v>
      </c>
      <c r="Y164" s="2" t="s">
        <v>37</v>
      </c>
      <c r="Z164" s="2" t="s">
        <v>37</v>
      </c>
      <c r="AA164" s="6">
        <v>3.7935759770000002</v>
      </c>
      <c r="AB164" s="6">
        <v>4.1765542599999996</v>
      </c>
      <c r="AC164" s="6">
        <v>3.3622807369999999</v>
      </c>
      <c r="AD164" cm="1">
        <f t="array" ref="AD164">IF(SUMPRODUCT(--($AM$2:$AM$112=TRIM(LEFT($B164,IFERROR(FIND(" ",$B164)-1,LEN($B164))))))&gt;0,1,0)</f>
        <v>0</v>
      </c>
      <c r="AE164" cm="1">
        <f t="array" ref="AE164">IF(SUMPRODUCT(--($AO$2:$AO$145=TRIM(LEFT($B164,IFERROR(FIND(" ",$B164)-1,LEN($B164))))))&gt;0,1,0)</f>
        <v>0</v>
      </c>
      <c r="AF164" cm="1">
        <f t="array" ref="AF164">IF(SUMPRODUCT(--($AQ$2:$AQ$71=TRIM(LEFT($B164,IFERROR(FIND(" ",$B164)-1,LEN($B164))))))&gt;0,1,0)</f>
        <v>0</v>
      </c>
    </row>
    <row r="165" spans="1:32" ht="45.75" thickBot="1" x14ac:dyDescent="0.3">
      <c r="A165" s="13">
        <v>325</v>
      </c>
      <c r="B165" s="4" t="s">
        <v>468</v>
      </c>
      <c r="C165" s="4" t="s">
        <v>469</v>
      </c>
      <c r="D165" s="7">
        <v>45342</v>
      </c>
      <c r="E165" s="3">
        <v>34394.120000000003</v>
      </c>
      <c r="F165" s="4" t="s">
        <v>46</v>
      </c>
      <c r="G165" s="4"/>
      <c r="H165" s="4" t="s">
        <v>65</v>
      </c>
      <c r="I165" s="4" t="s">
        <v>138</v>
      </c>
      <c r="J165" s="4" t="s">
        <v>139</v>
      </c>
      <c r="K165" s="3">
        <v>1380</v>
      </c>
      <c r="L165" s="3">
        <v>1380</v>
      </c>
      <c r="M165" s="3">
        <v>29.08</v>
      </c>
      <c r="N165" s="3">
        <v>34394.120000000003</v>
      </c>
      <c r="O165" s="4" t="s">
        <v>34</v>
      </c>
      <c r="P165" s="4" t="s">
        <v>34</v>
      </c>
      <c r="Q165" s="4" t="s">
        <v>35</v>
      </c>
      <c r="R165" s="3">
        <v>23634</v>
      </c>
      <c r="S165" s="3">
        <v>27.221699999999998</v>
      </c>
      <c r="T165" s="4" t="s">
        <v>43</v>
      </c>
      <c r="U165" s="2" t="s">
        <v>37</v>
      </c>
      <c r="V165" s="2" t="s">
        <v>37</v>
      </c>
      <c r="W165" s="2" t="s">
        <v>37</v>
      </c>
      <c r="X165" s="2" t="s">
        <v>37</v>
      </c>
      <c r="Y165" s="2" t="s">
        <v>37</v>
      </c>
      <c r="Z165" s="2" t="s">
        <v>37</v>
      </c>
      <c r="AA165" s="6">
        <v>4.5364842019999996</v>
      </c>
      <c r="AB165" s="6">
        <v>4.3735372310000002</v>
      </c>
      <c r="AC165" s="6">
        <v>4.5364842019999996</v>
      </c>
      <c r="AD165" cm="1">
        <f t="array" ref="AD165">IF(SUMPRODUCT(--($AM$2:$AM$112=TRIM(LEFT($B165,IFERROR(FIND(" ",$B165)-1,LEN($B165))))))&gt;0,1,0)</f>
        <v>0</v>
      </c>
      <c r="AE165" cm="1">
        <f t="array" ref="AE165">IF(SUMPRODUCT(--($AO$2:$AO$145=TRIM(LEFT($B165,IFERROR(FIND(" ",$B165)-1,LEN($B165))))))&gt;0,1,0)</f>
        <v>0</v>
      </c>
      <c r="AF165" cm="1">
        <f t="array" ref="AF165">IF(SUMPRODUCT(--($AQ$2:$AQ$71=TRIM(LEFT($B165,IFERROR(FIND(" ",$B165)-1,LEN($B165))))))&gt;0,1,0)</f>
        <v>0</v>
      </c>
    </row>
    <row r="166" spans="1:32" ht="75.75" thickBot="1" x14ac:dyDescent="0.3">
      <c r="A166" s="13">
        <v>48</v>
      </c>
      <c r="B166" s="4" t="s">
        <v>470</v>
      </c>
      <c r="C166" s="4" t="s">
        <v>471</v>
      </c>
      <c r="D166" s="7">
        <v>45726</v>
      </c>
      <c r="E166" s="3">
        <v>6423.07</v>
      </c>
      <c r="F166" s="4" t="s">
        <v>46</v>
      </c>
      <c r="G166" s="3">
        <v>1.58</v>
      </c>
      <c r="H166" s="4" t="s">
        <v>118</v>
      </c>
      <c r="I166" s="4" t="s">
        <v>119</v>
      </c>
      <c r="J166" s="4" t="s">
        <v>120</v>
      </c>
      <c r="K166" s="4"/>
      <c r="L166" s="4"/>
      <c r="M166" s="3">
        <v>39.25</v>
      </c>
      <c r="N166" s="3">
        <v>4312.8999999999996</v>
      </c>
      <c r="O166" s="4" t="s">
        <v>49</v>
      </c>
      <c r="P166" s="4" t="s">
        <v>49</v>
      </c>
      <c r="Q166" s="4" t="s">
        <v>35</v>
      </c>
      <c r="R166" s="3">
        <v>2899.85</v>
      </c>
      <c r="S166" s="3">
        <v>14.9741</v>
      </c>
      <c r="T166" s="4" t="s">
        <v>245</v>
      </c>
      <c r="U166" s="2" t="s">
        <v>37</v>
      </c>
      <c r="V166" s="2" t="s">
        <v>37</v>
      </c>
      <c r="W166" s="2" t="s">
        <v>37</v>
      </c>
      <c r="X166" s="2" t="s">
        <v>37</v>
      </c>
      <c r="Y166" s="2" t="s">
        <v>37</v>
      </c>
      <c r="Z166" s="2" t="s">
        <v>37</v>
      </c>
      <c r="AA166" s="6">
        <v>3.8077426550000002</v>
      </c>
      <c r="AB166" s="6">
        <v>3.462375534</v>
      </c>
      <c r="AC166" s="6">
        <v>3.6347693890000001</v>
      </c>
      <c r="AD166" cm="1">
        <f t="array" ref="AD166">IF(SUMPRODUCT(--($AM$2:$AM$112=TRIM(LEFT($B166,IFERROR(FIND(" ",$B166)-1,LEN($B166))))))&gt;0,1,0)</f>
        <v>0</v>
      </c>
      <c r="AE166" cm="1">
        <f t="array" ref="AE166">IF(SUMPRODUCT(--($AO$2:$AO$145=TRIM(LEFT($B166,IFERROR(FIND(" ",$B166)-1,LEN($B166))))))&gt;0,1,0)</f>
        <v>0</v>
      </c>
      <c r="AF166" cm="1">
        <f t="array" ref="AF166">IF(SUMPRODUCT(--($AQ$2:$AQ$71=TRIM(LEFT($B166,IFERROR(FIND(" ",$B166)-1,LEN($B166))))))&gt;0,1,0)</f>
        <v>0</v>
      </c>
    </row>
    <row r="167" spans="1:32" ht="60.75" thickBot="1" x14ac:dyDescent="0.3">
      <c r="A167" s="13">
        <v>117</v>
      </c>
      <c r="B167" s="4" t="s">
        <v>472</v>
      </c>
      <c r="C167" s="4" t="s">
        <v>473</v>
      </c>
      <c r="D167" s="7">
        <v>45615</v>
      </c>
      <c r="E167" s="3">
        <v>17589.57</v>
      </c>
      <c r="F167" s="4" t="s">
        <v>46</v>
      </c>
      <c r="G167" s="3">
        <v>9.06</v>
      </c>
      <c r="H167" s="4" t="s">
        <v>47</v>
      </c>
      <c r="I167" s="4" t="s">
        <v>47</v>
      </c>
      <c r="J167" s="4" t="s">
        <v>159</v>
      </c>
      <c r="K167" s="4"/>
      <c r="L167" s="4"/>
      <c r="M167" s="3">
        <v>11.93</v>
      </c>
      <c r="N167" s="3">
        <v>8757.57</v>
      </c>
      <c r="O167" s="4" t="s">
        <v>34</v>
      </c>
      <c r="P167" s="4" t="s">
        <v>34</v>
      </c>
      <c r="Q167" s="4" t="s">
        <v>35</v>
      </c>
      <c r="R167" s="3">
        <v>12258</v>
      </c>
      <c r="S167" s="3">
        <v>9.9252300000000009</v>
      </c>
      <c r="T167" s="4" t="s">
        <v>43</v>
      </c>
      <c r="U167" s="2" t="s">
        <v>37</v>
      </c>
      <c r="V167" s="2" t="s">
        <v>37</v>
      </c>
      <c r="W167" s="2" t="s">
        <v>37</v>
      </c>
      <c r="X167" s="2" t="s">
        <v>37</v>
      </c>
      <c r="Y167" s="2" t="s">
        <v>37</v>
      </c>
      <c r="Z167" s="2" t="s">
        <v>37</v>
      </c>
      <c r="AA167" s="6">
        <v>4.245255223</v>
      </c>
      <c r="AB167" s="6">
        <v>4.0884196169999996</v>
      </c>
      <c r="AC167" s="6">
        <v>3.942383617</v>
      </c>
      <c r="AD167" cm="1">
        <f t="array" ref="AD167">IF(SUMPRODUCT(--($AM$2:$AM$112=TRIM(LEFT($B167,IFERROR(FIND(" ",$B167)-1,LEN($B167))))))&gt;0,1,0)</f>
        <v>1</v>
      </c>
      <c r="AE167" cm="1">
        <f t="array" ref="AE167">IF(SUMPRODUCT(--($AO$2:$AO$145=TRIM(LEFT($B167,IFERROR(FIND(" ",$B167)-1,LEN($B167))))))&gt;0,1,0)</f>
        <v>1</v>
      </c>
      <c r="AF167" cm="1">
        <f t="array" ref="AF167">IF(SUMPRODUCT(--($AQ$2:$AQ$71=TRIM(LEFT($B167,IFERROR(FIND(" ",$B167)-1,LEN($B167))))))&gt;0,1,0)</f>
        <v>0</v>
      </c>
    </row>
    <row r="168" spans="1:32" ht="105.75" thickBot="1" x14ac:dyDescent="0.3">
      <c r="A168" s="13">
        <v>68</v>
      </c>
      <c r="B168" s="4" t="s">
        <v>474</v>
      </c>
      <c r="C168" s="4" t="s">
        <v>475</v>
      </c>
      <c r="D168" s="7">
        <v>45684</v>
      </c>
      <c r="E168" s="3">
        <v>11394.08</v>
      </c>
      <c r="F168" s="4" t="s">
        <v>30</v>
      </c>
      <c r="G168" s="3">
        <v>11.24</v>
      </c>
      <c r="H168" s="4" t="s">
        <v>75</v>
      </c>
      <c r="I168" s="4" t="s">
        <v>83</v>
      </c>
      <c r="J168" s="4" t="s">
        <v>84</v>
      </c>
      <c r="K168" s="4"/>
      <c r="L168" s="4"/>
      <c r="M168" s="3">
        <v>3.85</v>
      </c>
      <c r="N168" s="3">
        <v>7755.28</v>
      </c>
      <c r="O168" s="4" t="s">
        <v>34</v>
      </c>
      <c r="P168" s="4" t="s">
        <v>34</v>
      </c>
      <c r="Q168" s="4" t="s">
        <v>476</v>
      </c>
      <c r="R168" s="3">
        <v>9763.2000000000007</v>
      </c>
      <c r="S168" s="3">
        <v>6.1166600000000004</v>
      </c>
      <c r="T168" s="4" t="s">
        <v>91</v>
      </c>
      <c r="U168" s="2" t="s">
        <v>37</v>
      </c>
      <c r="V168" s="2" t="s">
        <v>37</v>
      </c>
      <c r="W168" s="2" t="s">
        <v>37</v>
      </c>
      <c r="X168" s="2" t="s">
        <v>37</v>
      </c>
      <c r="Y168" s="2" t="s">
        <v>37</v>
      </c>
      <c r="Z168" s="2" t="s">
        <v>38</v>
      </c>
      <c r="AA168" s="6">
        <v>4.0566792639999996</v>
      </c>
      <c r="AB168" s="6">
        <v>3.9895921859999999</v>
      </c>
      <c r="AC168" s="6">
        <v>3.8895974820000001</v>
      </c>
      <c r="AD168" cm="1">
        <f t="array" ref="AD168">IF(SUMPRODUCT(--($AM$2:$AM$112=TRIM(LEFT($B168,IFERROR(FIND(" ",$B168)-1,LEN($B168))))))&gt;0,1,0)</f>
        <v>0</v>
      </c>
      <c r="AE168" cm="1">
        <f t="array" ref="AE168">IF(SUMPRODUCT(--($AO$2:$AO$145=TRIM(LEFT($B168,IFERROR(FIND(" ",$B168)-1,LEN($B168))))))&gt;0,1,0)</f>
        <v>0</v>
      </c>
      <c r="AF168" cm="1">
        <f t="array" ref="AF168">IF(SUMPRODUCT(--($AQ$2:$AQ$71=TRIM(LEFT($B168,IFERROR(FIND(" ",$B168)-1,LEN($B168))))))&gt;0,1,0)</f>
        <v>0</v>
      </c>
    </row>
    <row r="169" spans="1:32" ht="165.75" thickBot="1" x14ac:dyDescent="0.3">
      <c r="A169" s="13">
        <v>55</v>
      </c>
      <c r="B169" s="4" t="s">
        <v>477</v>
      </c>
      <c r="C169" s="4" t="s">
        <v>478</v>
      </c>
      <c r="D169" s="7">
        <v>45695</v>
      </c>
      <c r="E169" s="3">
        <v>881.16</v>
      </c>
      <c r="F169" s="4" t="s">
        <v>30</v>
      </c>
      <c r="G169" s="3">
        <v>8.43</v>
      </c>
      <c r="H169" s="4" t="s">
        <v>31</v>
      </c>
      <c r="I169" s="4" t="s">
        <v>32</v>
      </c>
      <c r="J169" s="4" t="s">
        <v>270</v>
      </c>
      <c r="K169" s="4"/>
      <c r="L169" s="3">
        <v>34.4</v>
      </c>
      <c r="M169" s="3">
        <v>69.66</v>
      </c>
      <c r="N169" s="3">
        <v>791.7</v>
      </c>
      <c r="O169" s="4" t="s">
        <v>49</v>
      </c>
      <c r="P169" s="4" t="s">
        <v>34</v>
      </c>
      <c r="Q169" s="4" t="s">
        <v>35</v>
      </c>
      <c r="R169" s="3">
        <v>1892.32</v>
      </c>
      <c r="S169" s="3">
        <v>-5.4879100000000003</v>
      </c>
      <c r="T169" s="4" t="s">
        <v>479</v>
      </c>
      <c r="U169" s="2" t="s">
        <v>37</v>
      </c>
      <c r="V169" s="2" t="s">
        <v>37</v>
      </c>
      <c r="W169" s="2" t="s">
        <v>38</v>
      </c>
      <c r="X169" s="2" t="s">
        <v>38</v>
      </c>
      <c r="Y169" s="2" t="s">
        <v>38</v>
      </c>
      <c r="Z169" s="2" t="s">
        <v>37</v>
      </c>
      <c r="AA169" s="6">
        <v>2.9450547739999999</v>
      </c>
      <c r="AB169" s="6">
        <v>3.2769945790000001</v>
      </c>
      <c r="AC169" s="6">
        <v>2.8985606449999999</v>
      </c>
      <c r="AD169" cm="1">
        <f t="array" ref="AD169">IF(SUMPRODUCT(--($AM$2:$AM$112=TRIM(LEFT($B169,IFERROR(FIND(" ",$B169)-1,LEN($B169))))))&gt;0,1,0)</f>
        <v>0</v>
      </c>
      <c r="AE169" cm="1">
        <f t="array" ref="AE169">IF(SUMPRODUCT(--($AO$2:$AO$145=TRIM(LEFT($B169,IFERROR(FIND(" ",$B169)-1,LEN($B169))))))&gt;0,1,0)</f>
        <v>0</v>
      </c>
      <c r="AF169" cm="1">
        <f t="array" ref="AF169">IF(SUMPRODUCT(--($AQ$2:$AQ$71=TRIM(LEFT($B169,IFERROR(FIND(" ",$B169)-1,LEN($B169))))))&gt;0,1,0)</f>
        <v>0</v>
      </c>
    </row>
    <row r="170" spans="1:32" ht="75.75" thickBot="1" x14ac:dyDescent="0.3">
      <c r="A170" s="13">
        <v>35</v>
      </c>
      <c r="B170" s="4" t="s">
        <v>480</v>
      </c>
      <c r="C170" s="4" t="s">
        <v>481</v>
      </c>
      <c r="D170" s="7">
        <v>45721</v>
      </c>
      <c r="E170" s="3">
        <v>634.07000000000005</v>
      </c>
      <c r="F170" s="4" t="s">
        <v>30</v>
      </c>
      <c r="G170" s="4"/>
      <c r="H170" s="4" t="s">
        <v>41</v>
      </c>
      <c r="I170" s="4" t="s">
        <v>41</v>
      </c>
      <c r="J170" s="4" t="s">
        <v>42</v>
      </c>
      <c r="K170" s="4"/>
      <c r="L170" s="4"/>
      <c r="M170" s="3">
        <v>85.31</v>
      </c>
      <c r="N170" s="3">
        <v>768.95</v>
      </c>
      <c r="O170" s="4" t="s">
        <v>34</v>
      </c>
      <c r="P170" s="4" t="s">
        <v>34</v>
      </c>
      <c r="Q170" s="4" t="s">
        <v>35</v>
      </c>
      <c r="R170" s="3">
        <v>0.21199999999999999</v>
      </c>
      <c r="S170" s="3">
        <v>-45550.5</v>
      </c>
      <c r="T170" s="4" t="s">
        <v>88</v>
      </c>
      <c r="U170" s="2" t="s">
        <v>37</v>
      </c>
      <c r="V170" s="2" t="s">
        <v>37</v>
      </c>
      <c r="W170" s="2" t="s">
        <v>37</v>
      </c>
      <c r="X170" s="2" t="s">
        <v>37</v>
      </c>
      <c r="Y170" s="2" t="s">
        <v>37</v>
      </c>
      <c r="Z170" s="2" t="s">
        <v>38</v>
      </c>
      <c r="AA170" s="6">
        <v>2.8021372059999998</v>
      </c>
      <c r="AB170" s="6">
        <v>-0.6736641391</v>
      </c>
      <c r="AC170" s="6">
        <v>2.885898101</v>
      </c>
      <c r="AD170" cm="1">
        <f t="array" ref="AD170">IF(SUMPRODUCT(--($AM$2:$AM$112=TRIM(LEFT($B170,IFERROR(FIND(" ",$B170)-1,LEN($B170))))))&gt;0,1,0)</f>
        <v>0</v>
      </c>
      <c r="AE170" cm="1">
        <f t="array" ref="AE170">IF(SUMPRODUCT(--($AO$2:$AO$145=TRIM(LEFT($B170,IFERROR(FIND(" ",$B170)-1,LEN($B170))))))&gt;0,1,0)</f>
        <v>0</v>
      </c>
      <c r="AF170" cm="1">
        <f t="array" ref="AF170">IF(SUMPRODUCT(--($AQ$2:$AQ$71=TRIM(LEFT($B170,IFERROR(FIND(" ",$B170)-1,LEN($B170))))))&gt;0,1,0)</f>
        <v>0</v>
      </c>
    </row>
    <row r="171" spans="1:32" ht="75.75" thickBot="1" x14ac:dyDescent="0.3">
      <c r="A171" s="13">
        <v>94</v>
      </c>
      <c r="B171" s="4" t="s">
        <v>482</v>
      </c>
      <c r="C171" s="4" t="s">
        <v>483</v>
      </c>
      <c r="D171" s="7">
        <v>45637</v>
      </c>
      <c r="E171" s="3">
        <v>3423.33</v>
      </c>
      <c r="F171" s="4" t="s">
        <v>30</v>
      </c>
      <c r="G171" s="3">
        <v>9.02</v>
      </c>
      <c r="H171" s="4" t="s">
        <v>41</v>
      </c>
      <c r="I171" s="4" t="s">
        <v>41</v>
      </c>
      <c r="J171" s="4" t="s">
        <v>100</v>
      </c>
      <c r="K171" s="4"/>
      <c r="L171" s="4"/>
      <c r="M171" s="3">
        <v>47.36</v>
      </c>
      <c r="N171" s="3">
        <v>2768.71</v>
      </c>
      <c r="O171" s="4" t="s">
        <v>34</v>
      </c>
      <c r="P171" s="4" t="s">
        <v>34</v>
      </c>
      <c r="Q171" s="4" t="s">
        <v>35</v>
      </c>
      <c r="R171" s="3">
        <v>6568.27</v>
      </c>
      <c r="S171" s="3">
        <v>3.0752100000000002</v>
      </c>
      <c r="T171" s="4" t="s">
        <v>286</v>
      </c>
      <c r="U171" s="2" t="s">
        <v>37</v>
      </c>
      <c r="V171" s="2" t="s">
        <v>37</v>
      </c>
      <c r="W171" s="2" t="s">
        <v>37</v>
      </c>
      <c r="X171" s="2" t="s">
        <v>38</v>
      </c>
      <c r="Y171" s="2" t="s">
        <v>37</v>
      </c>
      <c r="Z171" s="2" t="s">
        <v>37</v>
      </c>
      <c r="AA171" s="6">
        <v>3.5344487660000001</v>
      </c>
      <c r="AB171" s="6">
        <v>3.8174509969999999</v>
      </c>
      <c r="AC171" s="6">
        <v>3.442277469</v>
      </c>
      <c r="AD171" cm="1">
        <f t="array" ref="AD171">IF(SUMPRODUCT(--($AM$2:$AM$112=TRIM(LEFT($B171,IFERROR(FIND(" ",$B171)-1,LEN($B171))))))&gt;0,1,0)</f>
        <v>0</v>
      </c>
      <c r="AE171" cm="1">
        <f t="array" ref="AE171">IF(SUMPRODUCT(--($AO$2:$AO$145=TRIM(LEFT($B171,IFERROR(FIND(" ",$B171)-1,LEN($B171))))))&gt;0,1,0)</f>
        <v>0</v>
      </c>
      <c r="AF171" cm="1">
        <f t="array" ref="AF171">IF(SUMPRODUCT(--($AQ$2:$AQ$71=TRIM(LEFT($B171,IFERROR(FIND(" ",$B171)-1,LEN($B171))))))&gt;0,1,0)</f>
        <v>0</v>
      </c>
    </row>
    <row r="172" spans="1:32" ht="60.75" thickBot="1" x14ac:dyDescent="0.3">
      <c r="A172" s="13">
        <v>60</v>
      </c>
      <c r="B172" s="4" t="s">
        <v>484</v>
      </c>
      <c r="C172" s="4" t="s">
        <v>485</v>
      </c>
      <c r="D172" s="7">
        <v>45685</v>
      </c>
      <c r="E172" s="3">
        <v>1175.5899999999999</v>
      </c>
      <c r="F172" s="4" t="s">
        <v>30</v>
      </c>
      <c r="G172" s="4"/>
      <c r="H172" s="4" t="s">
        <v>41</v>
      </c>
      <c r="I172" s="4" t="s">
        <v>41</v>
      </c>
      <c r="J172" s="4" t="s">
        <v>60</v>
      </c>
      <c r="K172" s="4"/>
      <c r="L172" s="3">
        <v>40</v>
      </c>
      <c r="M172" s="3">
        <v>20.49</v>
      </c>
      <c r="N172" s="3">
        <v>1103.1199999999999</v>
      </c>
      <c r="O172" s="4" t="s">
        <v>34</v>
      </c>
      <c r="P172" s="4" t="s">
        <v>34</v>
      </c>
      <c r="Q172" s="4" t="s">
        <v>35</v>
      </c>
      <c r="R172" s="3">
        <v>256.18200000000002</v>
      </c>
      <c r="S172" s="3">
        <v>-15.9176</v>
      </c>
      <c r="T172" s="4" t="s">
        <v>43</v>
      </c>
      <c r="U172" s="2" t="s">
        <v>37</v>
      </c>
      <c r="V172" s="2" t="s">
        <v>37</v>
      </c>
      <c r="W172" s="2" t="s">
        <v>37</v>
      </c>
      <c r="X172" s="2" t="s">
        <v>37</v>
      </c>
      <c r="Y172" s="2" t="s">
        <v>37</v>
      </c>
      <c r="Z172" s="2" t="s">
        <v>37</v>
      </c>
      <c r="AA172" s="6">
        <v>3.0702558830000002</v>
      </c>
      <c r="AB172" s="6">
        <v>2.4085486120000001</v>
      </c>
      <c r="AC172" s="6">
        <v>3.0426227589999999</v>
      </c>
      <c r="AD172" cm="1">
        <f t="array" ref="AD172">IF(SUMPRODUCT(--($AM$2:$AM$112=TRIM(LEFT($B172,IFERROR(FIND(" ",$B172)-1,LEN($B172))))))&gt;0,1,0)</f>
        <v>0</v>
      </c>
      <c r="AE172" cm="1">
        <f t="array" ref="AE172">IF(SUMPRODUCT(--($AO$2:$AO$145=TRIM(LEFT($B172,IFERROR(FIND(" ",$B172)-1,LEN($B172))))))&gt;0,1,0)</f>
        <v>0</v>
      </c>
      <c r="AF172" cm="1">
        <f t="array" ref="AF172">IF(SUMPRODUCT(--($AQ$2:$AQ$71=TRIM(LEFT($B172,IFERROR(FIND(" ",$B172)-1,LEN($B172))))))&gt;0,1,0)</f>
        <v>0</v>
      </c>
    </row>
    <row r="173" spans="1:32" ht="45.75" thickBot="1" x14ac:dyDescent="0.3">
      <c r="A173" s="13">
        <v>71</v>
      </c>
      <c r="B173" s="4" t="s">
        <v>486</v>
      </c>
      <c r="C173" s="4" t="s">
        <v>29</v>
      </c>
      <c r="D173" s="7">
        <v>45670</v>
      </c>
      <c r="E173" s="3">
        <v>998.65</v>
      </c>
      <c r="F173" s="4" t="s">
        <v>69</v>
      </c>
      <c r="G173" s="4"/>
      <c r="H173" s="4" t="s">
        <v>31</v>
      </c>
      <c r="I173" s="4" t="s">
        <v>32</v>
      </c>
      <c r="J173" s="4" t="s">
        <v>33</v>
      </c>
      <c r="K173" s="4"/>
      <c r="L173" s="4"/>
      <c r="M173" s="3">
        <v>4.1500000000000004</v>
      </c>
      <c r="N173" s="3">
        <v>1025.82</v>
      </c>
      <c r="O173" s="4" t="s">
        <v>34</v>
      </c>
      <c r="P173" s="4" t="s">
        <v>34</v>
      </c>
      <c r="Q173" s="4" t="s">
        <v>35</v>
      </c>
      <c r="R173" s="3">
        <v>201.61099999999999</v>
      </c>
      <c r="S173" s="3">
        <v>3.0529099999999998</v>
      </c>
      <c r="T173" s="4" t="s">
        <v>43</v>
      </c>
      <c r="U173" s="2" t="s">
        <v>37</v>
      </c>
      <c r="V173" s="2" t="s">
        <v>37</v>
      </c>
      <c r="W173" s="2" t="s">
        <v>37</v>
      </c>
      <c r="X173" s="2" t="s">
        <v>37</v>
      </c>
      <c r="Y173" s="2" t="s">
        <v>37</v>
      </c>
      <c r="Z173" s="2" t="s">
        <v>37</v>
      </c>
      <c r="AA173" s="6">
        <v>2.9994133060000001</v>
      </c>
      <c r="AB173" s="6">
        <v>2.3045142240000001</v>
      </c>
      <c r="AC173" s="6">
        <v>3.0110711619999999</v>
      </c>
      <c r="AD173" cm="1">
        <f t="array" ref="AD173">IF(SUMPRODUCT(--($AM$2:$AM$112=TRIM(LEFT($B173,IFERROR(FIND(" ",$B173)-1,LEN($B173))))))&gt;0,1,0)</f>
        <v>0</v>
      </c>
      <c r="AE173" cm="1">
        <f t="array" ref="AE173">IF(SUMPRODUCT(--($AO$2:$AO$145=TRIM(LEFT($B173,IFERROR(FIND(" ",$B173)-1,LEN($B173))))))&gt;0,1,0)</f>
        <v>0</v>
      </c>
      <c r="AF173" cm="1">
        <f t="array" ref="AF173">IF(SUMPRODUCT(--($AQ$2:$AQ$71=TRIM(LEFT($B173,IFERROR(FIND(" ",$B173)-1,LEN($B173))))))&gt;0,1,0)</f>
        <v>0</v>
      </c>
    </row>
    <row r="174" spans="1:32" ht="75.75" thickBot="1" x14ac:dyDescent="0.3">
      <c r="A174" s="13">
        <v>93</v>
      </c>
      <c r="B174" s="4" t="s">
        <v>487</v>
      </c>
      <c r="C174" s="4" t="s">
        <v>488</v>
      </c>
      <c r="D174" s="7">
        <v>45636</v>
      </c>
      <c r="E174" s="3">
        <v>954.28</v>
      </c>
      <c r="F174" s="4" t="s">
        <v>30</v>
      </c>
      <c r="G174" s="3">
        <v>48.99</v>
      </c>
      <c r="H174" s="4" t="s">
        <v>65</v>
      </c>
      <c r="I174" s="4" t="s">
        <v>138</v>
      </c>
      <c r="J174" s="4" t="s">
        <v>139</v>
      </c>
      <c r="K174" s="4"/>
      <c r="L174" s="3">
        <v>41.023099999999999</v>
      </c>
      <c r="M174" s="3">
        <v>-2.63</v>
      </c>
      <c r="N174" s="3">
        <v>954.28</v>
      </c>
      <c r="O174" s="4" t="s">
        <v>34</v>
      </c>
      <c r="P174" s="4" t="s">
        <v>34</v>
      </c>
      <c r="Q174" s="4" t="s">
        <v>35</v>
      </c>
      <c r="R174" s="3">
        <v>545.90499999999997</v>
      </c>
      <c r="S174" s="3">
        <v>4.8818000000000001</v>
      </c>
      <c r="T174" s="4" t="s">
        <v>113</v>
      </c>
      <c r="U174" s="2" t="s">
        <v>37</v>
      </c>
      <c r="V174" s="2" t="s">
        <v>37</v>
      </c>
      <c r="W174" s="2" t="s">
        <v>37</v>
      </c>
      <c r="X174" s="2" t="s">
        <v>38</v>
      </c>
      <c r="Y174" s="2" t="s">
        <v>37</v>
      </c>
      <c r="Z174" s="2" t="s">
        <v>37</v>
      </c>
      <c r="AA174" s="6">
        <v>2.9796758219999999</v>
      </c>
      <c r="AB174" s="6">
        <v>2.7371170720000002</v>
      </c>
      <c r="AC174" s="6">
        <v>2.9796758219999999</v>
      </c>
      <c r="AD174" cm="1">
        <f t="array" ref="AD174">IF(SUMPRODUCT(--($AM$2:$AM$112=TRIM(LEFT($B174,IFERROR(FIND(" ",$B174)-1,LEN($B174))))))&gt;0,1,0)</f>
        <v>0</v>
      </c>
      <c r="AE174" cm="1">
        <f t="array" ref="AE174">IF(SUMPRODUCT(--($AO$2:$AO$145=TRIM(LEFT($B174,IFERROR(FIND(" ",$B174)-1,LEN($B174))))))&gt;0,1,0)</f>
        <v>0</v>
      </c>
      <c r="AF174" cm="1">
        <f t="array" ref="AF174">IF(SUMPRODUCT(--($AQ$2:$AQ$71=TRIM(LEFT($B174,IFERROR(FIND(" ",$B174)-1,LEN($B174))))))&gt;0,1,0)</f>
        <v>0</v>
      </c>
    </row>
    <row r="175" spans="1:32" ht="135.75" thickBot="1" x14ac:dyDescent="0.3">
      <c r="A175" s="13">
        <v>49</v>
      </c>
      <c r="B175" s="4" t="s">
        <v>489</v>
      </c>
      <c r="C175" s="4" t="s">
        <v>490</v>
      </c>
      <c r="D175" s="7">
        <v>45695</v>
      </c>
      <c r="E175" s="3">
        <v>4217.8100000000004</v>
      </c>
      <c r="F175" s="4" t="s">
        <v>30</v>
      </c>
      <c r="G175" s="4"/>
      <c r="H175" s="4" t="s">
        <v>31</v>
      </c>
      <c r="I175" s="4" t="s">
        <v>32</v>
      </c>
      <c r="J175" s="4" t="s">
        <v>33</v>
      </c>
      <c r="K175" s="4"/>
      <c r="L175" s="4"/>
      <c r="M175" s="3">
        <v>27.62</v>
      </c>
      <c r="N175" s="3">
        <v>3157.77</v>
      </c>
      <c r="O175" s="4" t="s">
        <v>34</v>
      </c>
      <c r="P175" s="4" t="s">
        <v>34</v>
      </c>
      <c r="Q175" s="4" t="s">
        <v>35</v>
      </c>
      <c r="R175" s="3">
        <v>796.89499999999998</v>
      </c>
      <c r="S175" s="3">
        <v>26.1539</v>
      </c>
      <c r="T175" s="4" t="s">
        <v>242</v>
      </c>
      <c r="U175" s="2" t="s">
        <v>37</v>
      </c>
      <c r="V175" s="2" t="s">
        <v>37</v>
      </c>
      <c r="W175" s="2" t="s">
        <v>37</v>
      </c>
      <c r="X175" s="2" t="s">
        <v>38</v>
      </c>
      <c r="Y175" s="2" t="s">
        <v>38</v>
      </c>
      <c r="Z175" s="2" t="s">
        <v>37</v>
      </c>
      <c r="AA175" s="6">
        <v>3.6250870119999998</v>
      </c>
      <c r="AB175" s="6">
        <v>2.9014011019999999</v>
      </c>
      <c r="AC175" s="6">
        <v>3.499380494</v>
      </c>
      <c r="AD175" cm="1">
        <f t="array" ref="AD175">IF(SUMPRODUCT(--($AM$2:$AM$112=TRIM(LEFT($B175,IFERROR(FIND(" ",$B175)-1,LEN($B175))))))&gt;0,1,0)</f>
        <v>0</v>
      </c>
      <c r="AE175" cm="1">
        <f t="array" ref="AE175">IF(SUMPRODUCT(--($AO$2:$AO$145=TRIM(LEFT($B175,IFERROR(FIND(" ",$B175)-1,LEN($B175))))))&gt;0,1,0)</f>
        <v>0</v>
      </c>
      <c r="AF175" cm="1">
        <f t="array" ref="AF175">IF(SUMPRODUCT(--($AQ$2:$AQ$71=TRIM(LEFT($B175,IFERROR(FIND(" ",$B175)-1,LEN($B175))))))&gt;0,1,0)</f>
        <v>0</v>
      </c>
    </row>
    <row r="176" spans="1:32" ht="75.75" thickBot="1" x14ac:dyDescent="0.3">
      <c r="A176" s="13">
        <v>99</v>
      </c>
      <c r="B176" s="4" t="s">
        <v>491</v>
      </c>
      <c r="C176" s="4" t="s">
        <v>492</v>
      </c>
      <c r="D176" s="7">
        <v>45625</v>
      </c>
      <c r="E176" s="3">
        <v>2164.67</v>
      </c>
      <c r="F176" s="4" t="s">
        <v>30</v>
      </c>
      <c r="G176" s="3">
        <v>5.46</v>
      </c>
      <c r="H176" s="4" t="s">
        <v>75</v>
      </c>
      <c r="I176" s="4" t="s">
        <v>76</v>
      </c>
      <c r="J176" s="4" t="s">
        <v>298</v>
      </c>
      <c r="K176" s="4"/>
      <c r="L176" s="4"/>
      <c r="M176" s="3">
        <v>14.07</v>
      </c>
      <c r="N176" s="3">
        <v>1262.77</v>
      </c>
      <c r="O176" s="4" t="s">
        <v>34</v>
      </c>
      <c r="P176" s="4" t="s">
        <v>49</v>
      </c>
      <c r="Q176" s="4" t="s">
        <v>493</v>
      </c>
      <c r="R176" s="3">
        <v>3635.11</v>
      </c>
      <c r="S176" s="3">
        <v>4.0175000000000001</v>
      </c>
      <c r="T176" s="4" t="s">
        <v>97</v>
      </c>
      <c r="U176" s="2" t="s">
        <v>37</v>
      </c>
      <c r="V176" s="2" t="s">
        <v>37</v>
      </c>
      <c r="W176" s="2" t="s">
        <v>38</v>
      </c>
      <c r="X176" s="2" t="s">
        <v>37</v>
      </c>
      <c r="Y176" s="2" t="s">
        <v>37</v>
      </c>
      <c r="Z176" s="2" t="s">
        <v>37</v>
      </c>
      <c r="AA176" s="6">
        <v>3.335391698</v>
      </c>
      <c r="AB176" s="6">
        <v>3.5605175569999998</v>
      </c>
      <c r="AC176" s="6">
        <v>3.1013242559999998</v>
      </c>
      <c r="AD176" cm="1">
        <f t="array" ref="AD176">IF(SUMPRODUCT(--($AM$2:$AM$112=TRIM(LEFT($B176,IFERROR(FIND(" ",$B176)-1,LEN($B176))))))&gt;0,1,0)</f>
        <v>0</v>
      </c>
      <c r="AE176" cm="1">
        <f t="array" ref="AE176">IF(SUMPRODUCT(--($AO$2:$AO$145=TRIM(LEFT($B176,IFERROR(FIND(" ",$B176)-1,LEN($B176))))))&gt;0,1,0)</f>
        <v>0</v>
      </c>
      <c r="AF176" cm="1">
        <f t="array" ref="AF176">IF(SUMPRODUCT(--($AQ$2:$AQ$71=TRIM(LEFT($B176,IFERROR(FIND(" ",$B176)-1,LEN($B176))))))&gt;0,1,0)</f>
        <v>0</v>
      </c>
    </row>
    <row r="177" spans="1:32" ht="135.75" thickBot="1" x14ac:dyDescent="0.3">
      <c r="A177" s="13">
        <v>50</v>
      </c>
      <c r="B177" s="4" t="s">
        <v>494</v>
      </c>
      <c r="C177" s="4" t="s">
        <v>495</v>
      </c>
      <c r="D177" s="7">
        <v>45694</v>
      </c>
      <c r="E177" s="3">
        <v>803.98</v>
      </c>
      <c r="F177" s="4" t="s">
        <v>30</v>
      </c>
      <c r="G177" s="3">
        <v>17.52</v>
      </c>
      <c r="H177" s="4" t="s">
        <v>279</v>
      </c>
      <c r="I177" s="4" t="s">
        <v>279</v>
      </c>
      <c r="J177" s="4" t="s">
        <v>280</v>
      </c>
      <c r="K177" s="3">
        <v>70</v>
      </c>
      <c r="L177" s="3">
        <v>60</v>
      </c>
      <c r="M177" s="3">
        <v>29.05</v>
      </c>
      <c r="N177" s="3">
        <v>803.98</v>
      </c>
      <c r="O177" s="4" t="s">
        <v>34</v>
      </c>
      <c r="P177" s="4" t="s">
        <v>34</v>
      </c>
      <c r="Q177" s="4" t="s">
        <v>35</v>
      </c>
      <c r="R177" s="3">
        <v>196.26499999999999</v>
      </c>
      <c r="S177" s="3">
        <v>15.0608</v>
      </c>
      <c r="T177" s="4" t="s">
        <v>369</v>
      </c>
      <c r="U177" s="2" t="s">
        <v>37</v>
      </c>
      <c r="V177" s="2" t="s">
        <v>37</v>
      </c>
      <c r="W177" s="2" t="s">
        <v>37</v>
      </c>
      <c r="X177" s="2" t="s">
        <v>38</v>
      </c>
      <c r="Y177" s="2" t="s">
        <v>38</v>
      </c>
      <c r="Z177" s="2" t="s">
        <v>37</v>
      </c>
      <c r="AA177" s="6">
        <v>2.9052452450000001</v>
      </c>
      <c r="AB177" s="6">
        <v>2.2928428589999998</v>
      </c>
      <c r="AC177" s="6">
        <v>2.9052452450000001</v>
      </c>
      <c r="AD177" cm="1">
        <f t="array" ref="AD177">IF(SUMPRODUCT(--($AM$2:$AM$112=TRIM(LEFT($B177,IFERROR(FIND(" ",$B177)-1,LEN($B177))))))&gt;0,1,0)</f>
        <v>0</v>
      </c>
      <c r="AE177" cm="1">
        <f t="array" ref="AE177">IF(SUMPRODUCT(--($AO$2:$AO$145=TRIM(LEFT($B177,IFERROR(FIND(" ",$B177)-1,LEN($B177))))))&gt;0,1,0)</f>
        <v>0</v>
      </c>
      <c r="AF177" cm="1">
        <f t="array" ref="AF177">IF(SUMPRODUCT(--($AQ$2:$AQ$71=TRIM(LEFT($B177,IFERROR(FIND(" ",$B177)-1,LEN($B177))))))&gt;0,1,0)</f>
        <v>0</v>
      </c>
    </row>
    <row r="178" spans="1:32" ht="45.75" thickBot="1" x14ac:dyDescent="0.3">
      <c r="A178" s="13">
        <v>71</v>
      </c>
      <c r="B178" s="4" t="s">
        <v>496</v>
      </c>
      <c r="C178" s="4" t="s">
        <v>497</v>
      </c>
      <c r="D178" s="7">
        <v>45664</v>
      </c>
      <c r="E178" s="3">
        <v>3957.36</v>
      </c>
      <c r="F178" s="4" t="s">
        <v>30</v>
      </c>
      <c r="G178" s="4"/>
      <c r="H178" s="4" t="s">
        <v>31</v>
      </c>
      <c r="I178" s="4" t="s">
        <v>32</v>
      </c>
      <c r="J178" s="4" t="s">
        <v>33</v>
      </c>
      <c r="K178" s="4"/>
      <c r="L178" s="4"/>
      <c r="M178" s="3">
        <v>15.39</v>
      </c>
      <c r="N178" s="3">
        <v>4042.32</v>
      </c>
      <c r="O178" s="4" t="s">
        <v>34</v>
      </c>
      <c r="P178" s="4" t="s">
        <v>34</v>
      </c>
      <c r="Q178" s="4" t="s">
        <v>35</v>
      </c>
      <c r="R178" s="3">
        <v>654.94799999999998</v>
      </c>
      <c r="S178" s="3">
        <v>-2.7104599999999999</v>
      </c>
      <c r="T178" s="4" t="s">
        <v>43</v>
      </c>
      <c r="U178" s="2" t="s">
        <v>37</v>
      </c>
      <c r="V178" s="2" t="s">
        <v>37</v>
      </c>
      <c r="W178" s="2" t="s">
        <v>37</v>
      </c>
      <c r="X178" s="2" t="s">
        <v>37</v>
      </c>
      <c r="Y178" s="2" t="s">
        <v>37</v>
      </c>
      <c r="Z178" s="2" t="s">
        <v>37</v>
      </c>
      <c r="AA178" s="6">
        <v>3.5974055599999999</v>
      </c>
      <c r="AB178" s="6">
        <v>2.8162068200000001</v>
      </c>
      <c r="AC178" s="6">
        <v>3.6066306899999998</v>
      </c>
      <c r="AD178" cm="1">
        <f t="array" ref="AD178">IF(SUMPRODUCT(--($AM$2:$AM$112=TRIM(LEFT($B178,IFERROR(FIND(" ",$B178)-1,LEN($B178))))))&gt;0,1,0)</f>
        <v>0</v>
      </c>
      <c r="AE178" cm="1">
        <f t="array" ref="AE178">IF(SUMPRODUCT(--($AO$2:$AO$145=TRIM(LEFT($B178,IFERROR(FIND(" ",$B178)-1,LEN($B178))))))&gt;0,1,0)</f>
        <v>0</v>
      </c>
      <c r="AF178" cm="1">
        <f t="array" ref="AF178">IF(SUMPRODUCT(--($AQ$2:$AQ$71=TRIM(LEFT($B178,IFERROR(FIND(" ",$B178)-1,LEN($B178))))))&gt;0,1,0)</f>
        <v>0</v>
      </c>
    </row>
    <row r="179" spans="1:32" ht="135.75" thickBot="1" x14ac:dyDescent="0.3">
      <c r="A179" s="13">
        <v>116</v>
      </c>
      <c r="B179" s="4" t="s">
        <v>498</v>
      </c>
      <c r="C179" s="4" t="s">
        <v>499</v>
      </c>
      <c r="D179" s="7">
        <v>45599</v>
      </c>
      <c r="E179" s="3">
        <v>3167.19</v>
      </c>
      <c r="F179" s="4" t="s">
        <v>30</v>
      </c>
      <c r="G179" s="3">
        <v>5.5</v>
      </c>
      <c r="H179" s="4" t="s">
        <v>70</v>
      </c>
      <c r="I179" s="4" t="s">
        <v>94</v>
      </c>
      <c r="J179" s="4" t="s">
        <v>108</v>
      </c>
      <c r="K179" s="4"/>
      <c r="L179" s="4"/>
      <c r="M179" s="3">
        <v>37.909999999999997</v>
      </c>
      <c r="N179" s="3">
        <v>1479.61</v>
      </c>
      <c r="O179" s="4" t="s">
        <v>34</v>
      </c>
      <c r="P179" s="4" t="s">
        <v>34</v>
      </c>
      <c r="Q179" s="4" t="s">
        <v>35</v>
      </c>
      <c r="R179" s="3">
        <v>1961.97</v>
      </c>
      <c r="S179" s="3">
        <v>6.5140099999999999</v>
      </c>
      <c r="T179" s="4" t="s">
        <v>500</v>
      </c>
      <c r="U179" s="2" t="s">
        <v>37</v>
      </c>
      <c r="V179" s="2" t="s">
        <v>37</v>
      </c>
      <c r="W179" s="2" t="s">
        <v>37</v>
      </c>
      <c r="X179" s="2" t="s">
        <v>38</v>
      </c>
      <c r="Y179" s="2" t="s">
        <v>38</v>
      </c>
      <c r="Z179" s="2" t="s">
        <v>37</v>
      </c>
      <c r="AA179" s="6">
        <v>3.5006741180000001</v>
      </c>
      <c r="AB179" s="6">
        <v>3.2926923619999999</v>
      </c>
      <c r="AC179" s="6">
        <v>3.1701472580000001</v>
      </c>
      <c r="AD179" cm="1">
        <f t="array" ref="AD179">IF(SUMPRODUCT(--($AM$2:$AM$112=TRIM(LEFT($B179,IFERROR(FIND(" ",$B179)-1,LEN($B179))))))&gt;0,1,0)</f>
        <v>0</v>
      </c>
      <c r="AE179" cm="1">
        <f t="array" ref="AE179">IF(SUMPRODUCT(--($AO$2:$AO$145=TRIM(LEFT($B179,IFERROR(FIND(" ",$B179)-1,LEN($B179))))))&gt;0,1,0)</f>
        <v>0</v>
      </c>
      <c r="AF179" cm="1">
        <f t="array" ref="AF179">IF(SUMPRODUCT(--($AQ$2:$AQ$71=TRIM(LEFT($B179,IFERROR(FIND(" ",$B179)-1,LEN($B179))))))&gt;0,1,0)</f>
        <v>0</v>
      </c>
    </row>
    <row r="180" spans="1:32" ht="75.75" thickBot="1" x14ac:dyDescent="0.3">
      <c r="A180" s="13">
        <v>66</v>
      </c>
      <c r="B180" s="4" t="s">
        <v>501</v>
      </c>
      <c r="C180" s="4" t="s">
        <v>502</v>
      </c>
      <c r="D180" s="7">
        <v>45665</v>
      </c>
      <c r="E180" s="3">
        <v>570.63</v>
      </c>
      <c r="F180" s="4" t="s">
        <v>30</v>
      </c>
      <c r="G180" s="4"/>
      <c r="H180" s="4" t="s">
        <v>41</v>
      </c>
      <c r="I180" s="4" t="s">
        <v>41</v>
      </c>
      <c r="J180" s="4" t="s">
        <v>100</v>
      </c>
      <c r="K180" s="3">
        <v>29.95</v>
      </c>
      <c r="L180" s="3">
        <v>19.8</v>
      </c>
      <c r="M180" s="3">
        <v>102.65</v>
      </c>
      <c r="N180" s="3">
        <v>566.17999999999995</v>
      </c>
      <c r="O180" s="4" t="s">
        <v>34</v>
      </c>
      <c r="P180" s="4" t="s">
        <v>34</v>
      </c>
      <c r="Q180" s="4" t="s">
        <v>35</v>
      </c>
      <c r="R180" s="3">
        <v>414.29199999999997</v>
      </c>
      <c r="S180" s="3">
        <v>-41.279699999999998</v>
      </c>
      <c r="T180" s="4" t="s">
        <v>113</v>
      </c>
      <c r="U180" s="2" t="s">
        <v>37</v>
      </c>
      <c r="V180" s="2" t="s">
        <v>37</v>
      </c>
      <c r="W180" s="2" t="s">
        <v>37</v>
      </c>
      <c r="X180" s="2" t="s">
        <v>38</v>
      </c>
      <c r="Y180" s="2" t="s">
        <v>37</v>
      </c>
      <c r="Z180" s="2" t="s">
        <v>37</v>
      </c>
      <c r="AA180" s="6">
        <v>2.7563545999999999</v>
      </c>
      <c r="AB180" s="6">
        <v>2.6173065470000001</v>
      </c>
      <c r="AC180" s="6">
        <v>2.7529545240000002</v>
      </c>
      <c r="AD180" cm="1">
        <f t="array" ref="AD180">IF(SUMPRODUCT(--($AM$2:$AM$112=TRIM(LEFT($B180,IFERROR(FIND(" ",$B180)-1,LEN($B180))))))&gt;0,1,0)</f>
        <v>0</v>
      </c>
      <c r="AE180" cm="1">
        <f t="array" ref="AE180">IF(SUMPRODUCT(--($AO$2:$AO$145=TRIM(LEFT($B180,IFERROR(FIND(" ",$B180)-1,LEN($B180))))))&gt;0,1,0)</f>
        <v>0</v>
      </c>
      <c r="AF180" cm="1">
        <f t="array" ref="AF180">IF(SUMPRODUCT(--($AQ$2:$AQ$71=TRIM(LEFT($B180,IFERROR(FIND(" ",$B180)-1,LEN($B180))))))&gt;0,1,0)</f>
        <v>0</v>
      </c>
    </row>
    <row r="181" spans="1:32" ht="45.75" thickBot="1" x14ac:dyDescent="0.3">
      <c r="A181" s="13">
        <v>59</v>
      </c>
      <c r="B181" s="4" t="s">
        <v>503</v>
      </c>
      <c r="C181" s="4" t="s">
        <v>504</v>
      </c>
      <c r="D181" s="7">
        <v>45670</v>
      </c>
      <c r="E181" s="3">
        <v>14278.69</v>
      </c>
      <c r="F181" s="4" t="s">
        <v>30</v>
      </c>
      <c r="G181" s="4"/>
      <c r="H181" s="4" t="s">
        <v>41</v>
      </c>
      <c r="I181" s="4" t="s">
        <v>41</v>
      </c>
      <c r="J181" s="4" t="s">
        <v>42</v>
      </c>
      <c r="K181" s="4"/>
      <c r="L181" s="4"/>
      <c r="M181" s="3">
        <v>55.83</v>
      </c>
      <c r="N181" s="3">
        <v>14278.69</v>
      </c>
      <c r="O181" s="4" t="s">
        <v>34</v>
      </c>
      <c r="P181" s="4" t="s">
        <v>34</v>
      </c>
      <c r="Q181" s="4" t="s">
        <v>35</v>
      </c>
      <c r="R181" s="3">
        <v>680.85199999999998</v>
      </c>
      <c r="S181" s="3">
        <v>-17.1434</v>
      </c>
      <c r="T181" s="4" t="s">
        <v>43</v>
      </c>
      <c r="U181" s="2" t="s">
        <v>37</v>
      </c>
      <c r="V181" s="2" t="s">
        <v>37</v>
      </c>
      <c r="W181" s="2" t="s">
        <v>37</v>
      </c>
      <c r="X181" s="2" t="s">
        <v>37</v>
      </c>
      <c r="Y181" s="2" t="s">
        <v>37</v>
      </c>
      <c r="Z181" s="2" t="s">
        <v>37</v>
      </c>
      <c r="AA181" s="6">
        <v>4.1546883650000002</v>
      </c>
      <c r="AB181" s="6">
        <v>2.8330527179999998</v>
      </c>
      <c r="AC181" s="6">
        <v>4.1546883650000002</v>
      </c>
      <c r="AD181" cm="1">
        <f t="array" ref="AD181">IF(SUMPRODUCT(--($AM$2:$AM$112=TRIM(LEFT($B181,IFERROR(FIND(" ",$B181)-1,LEN($B181))))))&gt;0,1,0)</f>
        <v>0</v>
      </c>
      <c r="AE181" cm="1">
        <f t="array" ref="AE181">IF(SUMPRODUCT(--($AO$2:$AO$145=TRIM(LEFT($B181,IFERROR(FIND(" ",$B181)-1,LEN($B181))))))&gt;0,1,0)</f>
        <v>0</v>
      </c>
      <c r="AF181" cm="1">
        <f t="array" ref="AF181">IF(SUMPRODUCT(--($AQ$2:$AQ$71=TRIM(LEFT($B181,IFERROR(FIND(" ",$B181)-1,LEN($B181))))))&gt;0,1,0)</f>
        <v>0</v>
      </c>
    </row>
    <row r="182" spans="1:32" ht="75.75" thickBot="1" x14ac:dyDescent="0.3">
      <c r="A182" s="13">
        <v>83</v>
      </c>
      <c r="B182" s="4" t="s">
        <v>505</v>
      </c>
      <c r="C182" s="4" t="s">
        <v>506</v>
      </c>
      <c r="D182" s="7">
        <v>45635</v>
      </c>
      <c r="E182" s="3">
        <v>6859.32</v>
      </c>
      <c r="F182" s="4" t="s">
        <v>30</v>
      </c>
      <c r="G182" s="3">
        <v>5.0999999999999996</v>
      </c>
      <c r="H182" s="4" t="s">
        <v>47</v>
      </c>
      <c r="I182" s="4" t="s">
        <v>47</v>
      </c>
      <c r="J182" s="4" t="s">
        <v>159</v>
      </c>
      <c r="K182" s="4"/>
      <c r="L182" s="4"/>
      <c r="M182" s="3">
        <v>37.15</v>
      </c>
      <c r="N182" s="3">
        <v>3248.32</v>
      </c>
      <c r="O182" s="4" t="s">
        <v>34</v>
      </c>
      <c r="P182" s="4" t="s">
        <v>34</v>
      </c>
      <c r="Q182" s="4" t="s">
        <v>35</v>
      </c>
      <c r="R182" s="3">
        <v>5148</v>
      </c>
      <c r="S182" s="3">
        <v>2.1367500000000001</v>
      </c>
      <c r="T182" s="4" t="s">
        <v>113</v>
      </c>
      <c r="U182" s="2" t="s">
        <v>37</v>
      </c>
      <c r="V182" s="2" t="s">
        <v>37</v>
      </c>
      <c r="W182" s="2" t="s">
        <v>37</v>
      </c>
      <c r="X182" s="2" t="s">
        <v>38</v>
      </c>
      <c r="Y182" s="2" t="s">
        <v>37</v>
      </c>
      <c r="Z182" s="2" t="s">
        <v>37</v>
      </c>
      <c r="AA182" s="6">
        <v>3.836281064</v>
      </c>
      <c r="AB182" s="6">
        <v>3.7116385379999999</v>
      </c>
      <c r="AC182" s="6">
        <v>3.5116588059999998</v>
      </c>
      <c r="AD182" cm="1">
        <f t="array" ref="AD182">IF(SUMPRODUCT(--($AM$2:$AM$112=TRIM(LEFT($B182,IFERROR(FIND(" ",$B182)-1,LEN($B182))))))&gt;0,1,0)</f>
        <v>1</v>
      </c>
      <c r="AE182" cm="1">
        <f t="array" ref="AE182">IF(SUMPRODUCT(--($AO$2:$AO$145=TRIM(LEFT($B182,IFERROR(FIND(" ",$B182)-1,LEN($B182))))))&gt;0,1,0)</f>
        <v>1</v>
      </c>
      <c r="AF182" cm="1">
        <f t="array" ref="AF182">IF(SUMPRODUCT(--($AQ$2:$AQ$71=TRIM(LEFT($B182,IFERROR(FIND(" ",$B182)-1,LEN($B182))))))&gt;0,1,0)</f>
        <v>0</v>
      </c>
    </row>
    <row r="183" spans="1:32" ht="45.75" thickBot="1" x14ac:dyDescent="0.3">
      <c r="A183" s="13">
        <v>117</v>
      </c>
      <c r="B183" s="4" t="s">
        <v>507</v>
      </c>
      <c r="C183" s="4" t="s">
        <v>508</v>
      </c>
      <c r="D183" s="7">
        <v>45586</v>
      </c>
      <c r="E183" s="3">
        <v>1522.23</v>
      </c>
      <c r="F183" s="4" t="s">
        <v>46</v>
      </c>
      <c r="G183" s="4"/>
      <c r="H183" s="4" t="s">
        <v>65</v>
      </c>
      <c r="I183" s="4" t="s">
        <v>66</v>
      </c>
      <c r="J183" s="4" t="s">
        <v>66</v>
      </c>
      <c r="K183" s="3">
        <v>56</v>
      </c>
      <c r="L183" s="3">
        <v>56</v>
      </c>
      <c r="M183" s="3">
        <v>6.44</v>
      </c>
      <c r="N183" s="3">
        <v>1522.23</v>
      </c>
      <c r="O183" s="4" t="s">
        <v>34</v>
      </c>
      <c r="P183" s="4" t="s">
        <v>34</v>
      </c>
      <c r="Q183" s="4" t="s">
        <v>35</v>
      </c>
      <c r="R183" s="3">
        <v>751.58699999999999</v>
      </c>
      <c r="S183" s="3">
        <v>12.0463</v>
      </c>
      <c r="T183" s="4" t="s">
        <v>43</v>
      </c>
      <c r="U183" s="2" t="s">
        <v>37</v>
      </c>
      <c r="V183" s="2" t="s">
        <v>37</v>
      </c>
      <c r="W183" s="2" t="s">
        <v>37</v>
      </c>
      <c r="X183" s="2" t="s">
        <v>37</v>
      </c>
      <c r="Y183" s="2" t="s">
        <v>37</v>
      </c>
      <c r="Z183" s="2" t="s">
        <v>37</v>
      </c>
      <c r="AA183" s="6">
        <v>3.1824802769999998</v>
      </c>
      <c r="AB183" s="6">
        <v>2.8759792599999998</v>
      </c>
      <c r="AC183" s="6">
        <v>3.1824802769999998</v>
      </c>
      <c r="AD183" cm="1">
        <f t="array" ref="AD183">IF(SUMPRODUCT(--($AM$2:$AM$112=TRIM(LEFT($B183,IFERROR(FIND(" ",$B183)-1,LEN($B183))))))&gt;0,1,0)</f>
        <v>0</v>
      </c>
      <c r="AE183" cm="1">
        <f t="array" ref="AE183">IF(SUMPRODUCT(--($AO$2:$AO$145=TRIM(LEFT($B183,IFERROR(FIND(" ",$B183)-1,LEN($B183))))))&gt;0,1,0)</f>
        <v>0</v>
      </c>
      <c r="AF183" cm="1">
        <f t="array" ref="AF183">IF(SUMPRODUCT(--($AQ$2:$AQ$71=TRIM(LEFT($B183,IFERROR(FIND(" ",$B183)-1,LEN($B183))))))&gt;0,1,0)</f>
        <v>0</v>
      </c>
    </row>
    <row r="184" spans="1:32" ht="45.75" thickBot="1" x14ac:dyDescent="0.3">
      <c r="A184" s="13">
        <v>177</v>
      </c>
      <c r="B184" s="4" t="s">
        <v>509</v>
      </c>
      <c r="C184" s="4" t="s">
        <v>510</v>
      </c>
      <c r="D184" s="7">
        <v>45502</v>
      </c>
      <c r="E184" s="3">
        <v>1038.9000000000001</v>
      </c>
      <c r="F184" s="4" t="s">
        <v>46</v>
      </c>
      <c r="G184" s="4"/>
      <c r="H184" s="4" t="s">
        <v>65</v>
      </c>
      <c r="I184" s="4" t="s">
        <v>66</v>
      </c>
      <c r="J184" s="4" t="s">
        <v>66</v>
      </c>
      <c r="K184" s="4"/>
      <c r="L184" s="4"/>
      <c r="M184" s="3">
        <v>20.02</v>
      </c>
      <c r="N184" s="3">
        <v>1038.9000000000001</v>
      </c>
      <c r="O184" s="4" t="s">
        <v>34</v>
      </c>
      <c r="P184" s="4" t="s">
        <v>34</v>
      </c>
      <c r="Q184" s="4" t="s">
        <v>35</v>
      </c>
      <c r="R184" s="3">
        <v>419.59699999999998</v>
      </c>
      <c r="S184" s="3">
        <v>34.491</v>
      </c>
      <c r="T184" s="4" t="s">
        <v>43</v>
      </c>
      <c r="U184" s="2" t="s">
        <v>37</v>
      </c>
      <c r="V184" s="2" t="s">
        <v>37</v>
      </c>
      <c r="W184" s="2" t="s">
        <v>37</v>
      </c>
      <c r="X184" s="2" t="s">
        <v>37</v>
      </c>
      <c r="Y184" s="2" t="s">
        <v>37</v>
      </c>
      <c r="Z184" s="2" t="s">
        <v>37</v>
      </c>
      <c r="AA184" s="6">
        <v>3.0165737460000002</v>
      </c>
      <c r="AB184" s="6">
        <v>2.6228323740000001</v>
      </c>
      <c r="AC184" s="6">
        <v>3.0165737460000002</v>
      </c>
      <c r="AD184" cm="1">
        <f t="array" ref="AD184">IF(SUMPRODUCT(--($AM$2:$AM$112=TRIM(LEFT($B184,IFERROR(FIND(" ",$B184)-1,LEN($B184))))))&gt;0,1,0)</f>
        <v>0</v>
      </c>
      <c r="AE184" cm="1">
        <f t="array" ref="AE184">IF(SUMPRODUCT(--($AO$2:$AO$145=TRIM(LEFT($B184,IFERROR(FIND(" ",$B184)-1,LEN($B184))))))&gt;0,1,0)</f>
        <v>0</v>
      </c>
      <c r="AF184" cm="1">
        <f t="array" ref="AF184">IF(SUMPRODUCT(--($AQ$2:$AQ$71=TRIM(LEFT($B184,IFERROR(FIND(" ",$B184)-1,LEN($B184))))))&gt;0,1,0)</f>
        <v>0</v>
      </c>
    </row>
    <row r="185" spans="1:32" ht="45.75" thickBot="1" x14ac:dyDescent="0.3">
      <c r="A185" s="13">
        <v>106</v>
      </c>
      <c r="B185" s="4" t="s">
        <v>511</v>
      </c>
      <c r="C185" s="4" t="s">
        <v>512</v>
      </c>
      <c r="D185" s="7">
        <v>45596</v>
      </c>
      <c r="E185" s="3">
        <v>9541.0300000000007</v>
      </c>
      <c r="F185" s="4" t="s">
        <v>30</v>
      </c>
      <c r="G185" s="4"/>
      <c r="H185" s="4" t="s">
        <v>31</v>
      </c>
      <c r="I185" s="4" t="s">
        <v>32</v>
      </c>
      <c r="J185" s="4" t="s">
        <v>33</v>
      </c>
      <c r="K185" s="3">
        <v>638</v>
      </c>
      <c r="L185" s="3">
        <v>372</v>
      </c>
      <c r="M185" s="3">
        <v>14.53</v>
      </c>
      <c r="N185" s="3">
        <v>9788.89</v>
      </c>
      <c r="O185" s="4" t="s">
        <v>34</v>
      </c>
      <c r="P185" s="4" t="s">
        <v>439</v>
      </c>
      <c r="Q185" s="4" t="s">
        <v>35</v>
      </c>
      <c r="R185" s="3">
        <v>665.78800000000001</v>
      </c>
      <c r="S185" s="3">
        <v>2.65625</v>
      </c>
      <c r="T185" s="4" t="s">
        <v>43</v>
      </c>
      <c r="U185" s="2" t="s">
        <v>37</v>
      </c>
      <c r="V185" s="2" t="s">
        <v>37</v>
      </c>
      <c r="W185" s="2" t="s">
        <v>37</v>
      </c>
      <c r="X185" s="2" t="s">
        <v>37</v>
      </c>
      <c r="Y185" s="2" t="s">
        <v>37</v>
      </c>
      <c r="Z185" s="2" t="s">
        <v>37</v>
      </c>
      <c r="AA185" s="6">
        <v>3.9795952610000001</v>
      </c>
      <c r="AB185" s="6">
        <v>2.8233359629999999</v>
      </c>
      <c r="AC185" s="6">
        <v>3.9907334479999998</v>
      </c>
      <c r="AD185" cm="1">
        <f t="array" ref="AD185">IF(SUMPRODUCT(--($AM$2:$AM$112=TRIM(LEFT($B185,IFERROR(FIND(" ",$B185)-1,LEN($B185))))))&gt;0,1,0)</f>
        <v>0</v>
      </c>
      <c r="AE185" cm="1">
        <f t="array" ref="AE185">IF(SUMPRODUCT(--($AO$2:$AO$145=TRIM(LEFT($B185,IFERROR(FIND(" ",$B185)-1,LEN($B185))))))&gt;0,1,0)</f>
        <v>0</v>
      </c>
      <c r="AF185" cm="1">
        <f t="array" ref="AF185">IF(SUMPRODUCT(--($AQ$2:$AQ$71=TRIM(LEFT($B185,IFERROR(FIND(" ",$B185)-1,LEN($B185))))))&gt;0,1,0)</f>
        <v>0</v>
      </c>
    </row>
    <row r="186" spans="1:32" ht="135.75" thickBot="1" x14ac:dyDescent="0.3">
      <c r="A186" s="13">
        <v>255</v>
      </c>
      <c r="B186" s="4" t="s">
        <v>513</v>
      </c>
      <c r="C186" s="4" t="s">
        <v>514</v>
      </c>
      <c r="D186" s="7">
        <v>45384</v>
      </c>
      <c r="E186" s="3">
        <v>9962.68</v>
      </c>
      <c r="F186" s="4" t="s">
        <v>30</v>
      </c>
      <c r="G186" s="4"/>
      <c r="H186" s="4" t="s">
        <v>184</v>
      </c>
      <c r="I186" s="4" t="s">
        <v>185</v>
      </c>
      <c r="J186" s="4" t="s">
        <v>186</v>
      </c>
      <c r="K186" s="4"/>
      <c r="L186" s="4"/>
      <c r="M186" s="3">
        <v>9.98</v>
      </c>
      <c r="N186" s="3">
        <v>5728.96</v>
      </c>
      <c r="O186" s="4" t="s">
        <v>34</v>
      </c>
      <c r="P186" s="4" t="s">
        <v>34</v>
      </c>
      <c r="Q186" s="4" t="s">
        <v>35</v>
      </c>
      <c r="R186" s="3">
        <v>7110.98</v>
      </c>
      <c r="S186" s="3">
        <v>-3.39486</v>
      </c>
      <c r="T186" s="4" t="s">
        <v>318</v>
      </c>
      <c r="U186" s="2" t="s">
        <v>37</v>
      </c>
      <c r="V186" s="2" t="s">
        <v>37</v>
      </c>
      <c r="W186" s="2" t="s">
        <v>37</v>
      </c>
      <c r="X186" s="2" t="s">
        <v>38</v>
      </c>
      <c r="Y186" s="2" t="s">
        <v>38</v>
      </c>
      <c r="Z186" s="2" t="s">
        <v>37</v>
      </c>
      <c r="AA186" s="6">
        <v>3.9983761809999998</v>
      </c>
      <c r="AB186" s="6">
        <v>3.8519294569999998</v>
      </c>
      <c r="AC186" s="6">
        <v>3.7580757899999999</v>
      </c>
      <c r="AD186" cm="1">
        <f t="array" ref="AD186">IF(SUMPRODUCT(--($AM$2:$AM$112=TRIM(LEFT($B186,IFERROR(FIND(" ",$B186)-1,LEN($B186))))))&gt;0,1,0)</f>
        <v>0</v>
      </c>
      <c r="AE186" cm="1">
        <f t="array" ref="AE186">IF(SUMPRODUCT(--($AO$2:$AO$145=TRIM(LEFT($B186,IFERROR(FIND(" ",$B186)-1,LEN($B186))))))&gt;0,1,0)</f>
        <v>0</v>
      </c>
      <c r="AF186" cm="1">
        <f t="array" ref="AF186">IF(SUMPRODUCT(--($AQ$2:$AQ$71=TRIM(LEFT($B186,IFERROR(FIND(" ",$B186)-1,LEN($B186))))))&gt;0,1,0)</f>
        <v>0</v>
      </c>
    </row>
    <row r="187" spans="1:32" ht="105.75" thickBot="1" x14ac:dyDescent="0.3">
      <c r="A187" s="13">
        <v>55</v>
      </c>
      <c r="B187" s="4" t="s">
        <v>515</v>
      </c>
      <c r="C187" s="4" t="s">
        <v>516</v>
      </c>
      <c r="D187" s="7">
        <v>45657</v>
      </c>
      <c r="E187" s="3">
        <v>1027.1500000000001</v>
      </c>
      <c r="F187" s="4" t="s">
        <v>30</v>
      </c>
      <c r="G187" s="3">
        <v>12.15</v>
      </c>
      <c r="H187" s="4" t="s">
        <v>31</v>
      </c>
      <c r="I187" s="4" t="s">
        <v>32</v>
      </c>
      <c r="J187" s="4" t="s">
        <v>270</v>
      </c>
      <c r="K187" s="4"/>
      <c r="L187" s="3">
        <v>49</v>
      </c>
      <c r="M187" s="3">
        <v>7.14</v>
      </c>
      <c r="N187" s="3">
        <v>1027.1500000000001</v>
      </c>
      <c r="O187" s="4" t="s">
        <v>49</v>
      </c>
      <c r="P187" s="4" t="s">
        <v>34</v>
      </c>
      <c r="Q187" s="4" t="s">
        <v>35</v>
      </c>
      <c r="R187" s="3">
        <v>816.404</v>
      </c>
      <c r="S187" s="3">
        <v>8.6508599999999998</v>
      </c>
      <c r="T187" s="4" t="s">
        <v>316</v>
      </c>
      <c r="U187" s="2" t="s">
        <v>37</v>
      </c>
      <c r="V187" s="2" t="s">
        <v>37</v>
      </c>
      <c r="W187" s="2" t="s">
        <v>38</v>
      </c>
      <c r="X187" s="2" t="s">
        <v>38</v>
      </c>
      <c r="Y187" s="2" t="s">
        <v>37</v>
      </c>
      <c r="Z187" s="2" t="s">
        <v>37</v>
      </c>
      <c r="AA187" s="6">
        <v>3.0116338699999998</v>
      </c>
      <c r="AB187" s="6">
        <v>2.911905124</v>
      </c>
      <c r="AC187" s="6">
        <v>3.0116338699999998</v>
      </c>
      <c r="AD187" cm="1">
        <f t="array" ref="AD187">IF(SUMPRODUCT(--($AM$2:$AM$112=TRIM(LEFT($B187,IFERROR(FIND(" ",$B187)-1,LEN($B187))))))&gt;0,1,0)</f>
        <v>0</v>
      </c>
      <c r="AE187" cm="1">
        <f t="array" ref="AE187">IF(SUMPRODUCT(--($AO$2:$AO$145=TRIM(LEFT($B187,IFERROR(FIND(" ",$B187)-1,LEN($B187))))))&gt;0,1,0)</f>
        <v>0</v>
      </c>
      <c r="AF187" cm="1">
        <f t="array" ref="AF187">IF(SUMPRODUCT(--($AQ$2:$AQ$71=TRIM(LEFT($B187,IFERROR(FIND(" ",$B187)-1,LEN($B187))))))&gt;0,1,0)</f>
        <v>0</v>
      </c>
    </row>
    <row r="188" spans="1:32" ht="165.75" thickBot="1" x14ac:dyDescent="0.3">
      <c r="A188" s="13">
        <v>34</v>
      </c>
      <c r="B188" s="4" t="s">
        <v>517</v>
      </c>
      <c r="C188" s="4" t="s">
        <v>518</v>
      </c>
      <c r="D188" s="7">
        <v>45684</v>
      </c>
      <c r="E188" s="3">
        <v>7196.74</v>
      </c>
      <c r="F188" s="4" t="s">
        <v>30</v>
      </c>
      <c r="G188" s="3">
        <v>39.549999999999997</v>
      </c>
      <c r="H188" s="4" t="s">
        <v>31</v>
      </c>
      <c r="I188" s="4" t="s">
        <v>32</v>
      </c>
      <c r="J188" s="4" t="s">
        <v>33</v>
      </c>
      <c r="K188" s="4"/>
      <c r="L188" s="4"/>
      <c r="M188" s="3">
        <v>5.27</v>
      </c>
      <c r="N188" s="3">
        <v>7196.74</v>
      </c>
      <c r="O188" s="4" t="s">
        <v>34</v>
      </c>
      <c r="P188" s="4" t="s">
        <v>34</v>
      </c>
      <c r="Q188" s="4" t="s">
        <v>35</v>
      </c>
      <c r="R188" s="3">
        <v>1127.48</v>
      </c>
      <c r="S188" s="3">
        <v>-5.8805199999999997</v>
      </c>
      <c r="T188" s="4" t="s">
        <v>519</v>
      </c>
      <c r="U188" s="2" t="s">
        <v>38</v>
      </c>
      <c r="V188" s="2" t="s">
        <v>37</v>
      </c>
      <c r="W188" s="2" t="s">
        <v>37</v>
      </c>
      <c r="X188" s="2" t="s">
        <v>37</v>
      </c>
      <c r="Y188" s="2" t="s">
        <v>37</v>
      </c>
      <c r="Z188" s="2" t="s">
        <v>38</v>
      </c>
      <c r="AA188" s="6">
        <v>3.8571358130000002</v>
      </c>
      <c r="AB188" s="6">
        <v>3.052108847</v>
      </c>
      <c r="AC188" s="6">
        <v>3.8571358130000002</v>
      </c>
      <c r="AD188" cm="1">
        <f t="array" ref="AD188">IF(SUMPRODUCT(--($AM$2:$AM$112=TRIM(LEFT($B188,IFERROR(FIND(" ",$B188)-1,LEN($B188))))))&gt;0,1,0)</f>
        <v>0</v>
      </c>
      <c r="AE188" cm="1">
        <f t="array" ref="AE188">IF(SUMPRODUCT(--($AO$2:$AO$145=TRIM(LEFT($B188,IFERROR(FIND(" ",$B188)-1,LEN($B188))))))&gt;0,1,0)</f>
        <v>0</v>
      </c>
      <c r="AF188" cm="1">
        <f t="array" ref="AF188">IF(SUMPRODUCT(--($AQ$2:$AQ$71=TRIM(LEFT($B188,IFERROR(FIND(" ",$B188)-1,LEN($B188))))))&gt;0,1,0)</f>
        <v>0</v>
      </c>
    </row>
    <row r="189" spans="1:32" ht="45.75" thickBot="1" x14ac:dyDescent="0.3">
      <c r="A189" s="13">
        <v>158</v>
      </c>
      <c r="B189" s="4" t="s">
        <v>520</v>
      </c>
      <c r="C189" s="4" t="s">
        <v>521</v>
      </c>
      <c r="D189" s="7">
        <v>45499</v>
      </c>
      <c r="E189" s="3">
        <v>863.02</v>
      </c>
      <c r="F189" s="4" t="s">
        <v>46</v>
      </c>
      <c r="G189" s="4"/>
      <c r="H189" s="4" t="s">
        <v>65</v>
      </c>
      <c r="I189" s="4" t="s">
        <v>66</v>
      </c>
      <c r="J189" s="4" t="s">
        <v>66</v>
      </c>
      <c r="K189" s="4"/>
      <c r="L189" s="4"/>
      <c r="M189" s="3">
        <v>7.77</v>
      </c>
      <c r="N189" s="3">
        <v>863.02</v>
      </c>
      <c r="O189" s="4" t="s">
        <v>34</v>
      </c>
      <c r="P189" s="4" t="s">
        <v>34</v>
      </c>
      <c r="Q189" s="4" t="s">
        <v>35</v>
      </c>
      <c r="R189" s="3">
        <v>442.87900000000002</v>
      </c>
      <c r="S189" s="3">
        <v>35.659599999999998</v>
      </c>
      <c r="T189" s="4" t="s">
        <v>43</v>
      </c>
      <c r="U189" s="2" t="s">
        <v>37</v>
      </c>
      <c r="V189" s="2" t="s">
        <v>37</v>
      </c>
      <c r="W189" s="2" t="s">
        <v>37</v>
      </c>
      <c r="X189" s="2" t="s">
        <v>37</v>
      </c>
      <c r="Y189" s="2" t="s">
        <v>37</v>
      </c>
      <c r="Z189" s="2" t="s">
        <v>37</v>
      </c>
      <c r="AA189" s="6">
        <v>2.9360208600000002</v>
      </c>
      <c r="AB189" s="6">
        <v>2.646285088</v>
      </c>
      <c r="AC189" s="6">
        <v>2.9360208600000002</v>
      </c>
      <c r="AD189" cm="1">
        <f t="array" ref="AD189">IF(SUMPRODUCT(--($AM$2:$AM$112=TRIM(LEFT($B189,IFERROR(FIND(" ",$B189)-1,LEN($B189))))))&gt;0,1,0)</f>
        <v>0</v>
      </c>
      <c r="AE189" cm="1">
        <f t="array" ref="AE189">IF(SUMPRODUCT(--($AO$2:$AO$145=TRIM(LEFT($B189,IFERROR(FIND(" ",$B189)-1,LEN($B189))))))&gt;0,1,0)</f>
        <v>0</v>
      </c>
      <c r="AF189" cm="1">
        <f t="array" ref="AF189">IF(SUMPRODUCT(--($AQ$2:$AQ$71=TRIM(LEFT($B189,IFERROR(FIND(" ",$B189)-1,LEN($B189))))))&gt;0,1,0)</f>
        <v>0</v>
      </c>
    </row>
    <row r="190" spans="1:32" ht="45.75" thickBot="1" x14ac:dyDescent="0.3">
      <c r="A190" s="13">
        <v>136</v>
      </c>
      <c r="B190" s="4" t="s">
        <v>522</v>
      </c>
      <c r="C190" s="4" t="s">
        <v>523</v>
      </c>
      <c r="D190" s="7">
        <v>45531</v>
      </c>
      <c r="E190" s="3">
        <v>845.68</v>
      </c>
      <c r="F190" s="4" t="s">
        <v>46</v>
      </c>
      <c r="G190" s="4"/>
      <c r="H190" s="4" t="s">
        <v>65</v>
      </c>
      <c r="I190" s="4" t="s">
        <v>66</v>
      </c>
      <c r="J190" s="4" t="s">
        <v>66</v>
      </c>
      <c r="K190" s="3">
        <v>36.700000000000003</v>
      </c>
      <c r="L190" s="3">
        <v>36.700000000000003</v>
      </c>
      <c r="M190" s="3">
        <v>0.47</v>
      </c>
      <c r="N190" s="3">
        <v>845.68</v>
      </c>
      <c r="O190" s="4" t="s">
        <v>34</v>
      </c>
      <c r="P190" s="4" t="s">
        <v>34</v>
      </c>
      <c r="Q190" s="4" t="s">
        <v>35</v>
      </c>
      <c r="R190" s="3">
        <v>517.33299999999997</v>
      </c>
      <c r="S190" s="3">
        <v>38.063499999999998</v>
      </c>
      <c r="T190" s="4" t="s">
        <v>43</v>
      </c>
      <c r="U190" s="2" t="s">
        <v>37</v>
      </c>
      <c r="V190" s="2" t="s">
        <v>37</v>
      </c>
      <c r="W190" s="2" t="s">
        <v>37</v>
      </c>
      <c r="X190" s="2" t="s">
        <v>37</v>
      </c>
      <c r="Y190" s="2" t="s">
        <v>37</v>
      </c>
      <c r="Z190" s="2" t="s">
        <v>37</v>
      </c>
      <c r="AA190" s="6">
        <v>2.9272060600000001</v>
      </c>
      <c r="AB190" s="6">
        <v>2.7137701820000002</v>
      </c>
      <c r="AC190" s="6">
        <v>2.9272060600000001</v>
      </c>
      <c r="AD190" cm="1">
        <f t="array" ref="AD190">IF(SUMPRODUCT(--($AM$2:$AM$112=TRIM(LEFT($B190,IFERROR(FIND(" ",$B190)-1,LEN($B190))))))&gt;0,1,0)</f>
        <v>0</v>
      </c>
      <c r="AE190" cm="1">
        <f t="array" ref="AE190">IF(SUMPRODUCT(--($AO$2:$AO$145=TRIM(LEFT($B190,IFERROR(FIND(" ",$B190)-1,LEN($B190))))))&gt;0,1,0)</f>
        <v>0</v>
      </c>
      <c r="AF190" cm="1">
        <f t="array" ref="AF190">IF(SUMPRODUCT(--($AQ$2:$AQ$71=TRIM(LEFT($B190,IFERROR(FIND(" ",$B190)-1,LEN($B190))))))&gt;0,1,0)</f>
        <v>0</v>
      </c>
    </row>
    <row r="191" spans="1:32" ht="75.75" thickBot="1" x14ac:dyDescent="0.3">
      <c r="A191" s="13">
        <v>177</v>
      </c>
      <c r="B191" s="4" t="s">
        <v>524</v>
      </c>
      <c r="C191" s="4" t="s">
        <v>525</v>
      </c>
      <c r="D191" s="7">
        <v>45471</v>
      </c>
      <c r="E191" s="3">
        <v>2108.52</v>
      </c>
      <c r="F191" s="4" t="s">
        <v>69</v>
      </c>
      <c r="G191" s="3">
        <v>6.27</v>
      </c>
      <c r="H191" s="4" t="s">
        <v>31</v>
      </c>
      <c r="I191" s="4" t="s">
        <v>432</v>
      </c>
      <c r="J191" s="4" t="s">
        <v>433</v>
      </c>
      <c r="K191" s="4"/>
      <c r="L191" s="4"/>
      <c r="M191" s="3">
        <v>24.06</v>
      </c>
      <c r="N191" s="3">
        <v>1558.03</v>
      </c>
      <c r="O191" s="4" t="s">
        <v>34</v>
      </c>
      <c r="P191" s="4" t="s">
        <v>526</v>
      </c>
      <c r="Q191" s="4" t="s">
        <v>35</v>
      </c>
      <c r="R191" s="3">
        <v>1418.45</v>
      </c>
      <c r="S191" s="3">
        <v>-5.8973000000000004</v>
      </c>
      <c r="T191" s="4" t="s">
        <v>104</v>
      </c>
      <c r="U191" s="2" t="s">
        <v>37</v>
      </c>
      <c r="V191" s="2" t="s">
        <v>37</v>
      </c>
      <c r="W191" s="2" t="s">
        <v>38</v>
      </c>
      <c r="X191" s="2" t="s">
        <v>37</v>
      </c>
      <c r="Y191" s="2" t="s">
        <v>37</v>
      </c>
      <c r="Z191" s="2" t="s">
        <v>37</v>
      </c>
      <c r="AA191" s="6">
        <v>3.3239777250000002</v>
      </c>
      <c r="AB191" s="6">
        <v>3.1518140319999999</v>
      </c>
      <c r="AC191" s="6">
        <v>3.1925758160000002</v>
      </c>
      <c r="AD191" cm="1">
        <f t="array" ref="AD191">IF(SUMPRODUCT(--($AM$2:$AM$112=TRIM(LEFT($B191,IFERROR(FIND(" ",$B191)-1,LEN($B191))))))&gt;0,1,0)</f>
        <v>0</v>
      </c>
      <c r="AE191" cm="1">
        <f t="array" ref="AE191">IF(SUMPRODUCT(--($AO$2:$AO$145=TRIM(LEFT($B191,IFERROR(FIND(" ",$B191)-1,LEN($B191))))))&gt;0,1,0)</f>
        <v>1</v>
      </c>
      <c r="AF191" cm="1">
        <f t="array" ref="AF191">IF(SUMPRODUCT(--($AQ$2:$AQ$71=TRIM(LEFT($B191,IFERROR(FIND(" ",$B191)-1,LEN($B191))))))&gt;0,1,0)</f>
        <v>1</v>
      </c>
    </row>
    <row r="192" spans="1:32" ht="45.75" thickBot="1" x14ac:dyDescent="0.3">
      <c r="A192" s="13">
        <v>226</v>
      </c>
      <c r="B192" s="4" t="s">
        <v>527</v>
      </c>
      <c r="C192" s="4" t="s">
        <v>528</v>
      </c>
      <c r="D192" s="7">
        <v>45404</v>
      </c>
      <c r="E192" s="3">
        <v>1934.46</v>
      </c>
      <c r="F192" s="4" t="s">
        <v>107</v>
      </c>
      <c r="G192" s="4"/>
      <c r="H192" s="4" t="s">
        <v>31</v>
      </c>
      <c r="I192" s="4" t="s">
        <v>32</v>
      </c>
      <c r="J192" s="4" t="s">
        <v>33</v>
      </c>
      <c r="K192" s="4"/>
      <c r="L192" s="4"/>
      <c r="M192" s="3">
        <v>209.19</v>
      </c>
      <c r="N192" s="3">
        <v>2015.88</v>
      </c>
      <c r="O192" s="4" t="s">
        <v>34</v>
      </c>
      <c r="P192" s="4" t="s">
        <v>34</v>
      </c>
      <c r="Q192" s="4" t="s">
        <v>35</v>
      </c>
      <c r="R192" s="3">
        <v>169.69900000000001</v>
      </c>
      <c r="S192" s="3">
        <v>-161.376</v>
      </c>
      <c r="T192" s="4" t="s">
        <v>43</v>
      </c>
      <c r="U192" s="2" t="s">
        <v>37</v>
      </c>
      <c r="V192" s="2" t="s">
        <v>37</v>
      </c>
      <c r="W192" s="2" t="s">
        <v>37</v>
      </c>
      <c r="X192" s="2" t="s">
        <v>37</v>
      </c>
      <c r="Y192" s="2" t="s">
        <v>37</v>
      </c>
      <c r="Z192" s="2" t="s">
        <v>37</v>
      </c>
      <c r="AA192" s="6">
        <v>3.2865597539999998</v>
      </c>
      <c r="AB192" s="6">
        <v>2.2296792829999998</v>
      </c>
      <c r="AC192" s="6">
        <v>3.3044646759999998</v>
      </c>
      <c r="AD192" cm="1">
        <f t="array" ref="AD192">IF(SUMPRODUCT(--($AM$2:$AM$112=TRIM(LEFT($B192,IFERROR(FIND(" ",$B192)-1,LEN($B192))))))&gt;0,1,0)</f>
        <v>0</v>
      </c>
      <c r="AE192" cm="1">
        <f t="array" ref="AE192">IF(SUMPRODUCT(--($AO$2:$AO$145=TRIM(LEFT($B192,IFERROR(FIND(" ",$B192)-1,LEN($B192))))))&gt;0,1,0)</f>
        <v>0</v>
      </c>
      <c r="AF192" cm="1">
        <f t="array" ref="AF192">IF(SUMPRODUCT(--($AQ$2:$AQ$71=TRIM(LEFT($B192,IFERROR(FIND(" ",$B192)-1,LEN($B192))))))&gt;0,1,0)</f>
        <v>0</v>
      </c>
    </row>
    <row r="193" spans="1:32" ht="45.75" thickBot="1" x14ac:dyDescent="0.3">
      <c r="A193" s="13">
        <v>222</v>
      </c>
      <c r="B193" s="4" t="s">
        <v>529</v>
      </c>
      <c r="C193" s="4" t="s">
        <v>188</v>
      </c>
      <c r="D193" s="7">
        <v>45407</v>
      </c>
      <c r="E193" s="3">
        <v>5930.71</v>
      </c>
      <c r="F193" s="4" t="s">
        <v>30</v>
      </c>
      <c r="G193" s="4"/>
      <c r="H193" s="4" t="s">
        <v>31</v>
      </c>
      <c r="I193" s="4" t="s">
        <v>32</v>
      </c>
      <c r="J193" s="4" t="s">
        <v>33</v>
      </c>
      <c r="K193" s="4"/>
      <c r="L193" s="4"/>
      <c r="M193" s="3">
        <v>35.619999999999997</v>
      </c>
      <c r="N193" s="3">
        <v>7195.25</v>
      </c>
      <c r="O193" s="4" t="s">
        <v>34</v>
      </c>
      <c r="P193" s="4" t="s">
        <v>34</v>
      </c>
      <c r="Q193" s="4" t="s">
        <v>35</v>
      </c>
      <c r="R193" s="3">
        <v>583.13699999999994</v>
      </c>
      <c r="S193" s="3">
        <v>-28.889500000000002</v>
      </c>
      <c r="T193" s="4" t="s">
        <v>43</v>
      </c>
      <c r="U193" s="2" t="s">
        <v>37</v>
      </c>
      <c r="V193" s="2" t="s">
        <v>37</v>
      </c>
      <c r="W193" s="2" t="s">
        <v>37</v>
      </c>
      <c r="X193" s="2" t="s">
        <v>37</v>
      </c>
      <c r="Y193" s="2" t="s">
        <v>37</v>
      </c>
      <c r="Z193" s="2" t="s">
        <v>37</v>
      </c>
      <c r="AA193" s="6">
        <v>3.7731066879999999</v>
      </c>
      <c r="AB193" s="6">
        <v>2.765770598</v>
      </c>
      <c r="AC193" s="6">
        <v>3.857045888</v>
      </c>
      <c r="AD193" cm="1">
        <f t="array" ref="AD193">IF(SUMPRODUCT(--($AM$2:$AM$112=TRIM(LEFT($B193,IFERROR(FIND(" ",$B193)-1,LEN($B193))))))&gt;0,1,0)</f>
        <v>0</v>
      </c>
      <c r="AE193" cm="1">
        <f t="array" ref="AE193">IF(SUMPRODUCT(--($AO$2:$AO$145=TRIM(LEFT($B193,IFERROR(FIND(" ",$B193)-1,LEN($B193))))))&gt;0,1,0)</f>
        <v>0</v>
      </c>
      <c r="AF193" cm="1">
        <f t="array" ref="AF193">IF(SUMPRODUCT(--($AQ$2:$AQ$71=TRIM(LEFT($B193,IFERROR(FIND(" ",$B193)-1,LEN($B193))))))&gt;0,1,0)</f>
        <v>0</v>
      </c>
    </row>
    <row r="194" spans="1:32" ht="105.75" thickBot="1" x14ac:dyDescent="0.3">
      <c r="A194" s="13">
        <v>34</v>
      </c>
      <c r="B194" s="4" t="s">
        <v>530</v>
      </c>
      <c r="C194" s="4" t="s">
        <v>531</v>
      </c>
      <c r="D194" s="7">
        <v>45663</v>
      </c>
      <c r="E194" s="3">
        <v>4604.72</v>
      </c>
      <c r="F194" s="4" t="s">
        <v>30</v>
      </c>
      <c r="G194" s="4"/>
      <c r="H194" s="4" t="s">
        <v>41</v>
      </c>
      <c r="I194" s="4" t="s">
        <v>41</v>
      </c>
      <c r="J194" s="4" t="s">
        <v>60</v>
      </c>
      <c r="K194" s="4"/>
      <c r="L194" s="3">
        <v>163</v>
      </c>
      <c r="M194" s="3">
        <v>48.5</v>
      </c>
      <c r="N194" s="3">
        <v>4683.53</v>
      </c>
      <c r="O194" s="4" t="s">
        <v>34</v>
      </c>
      <c r="P194" s="4" t="s">
        <v>34</v>
      </c>
      <c r="Q194" s="4" t="s">
        <v>35</v>
      </c>
      <c r="R194" s="3">
        <v>493.63200000000001</v>
      </c>
      <c r="S194" s="3">
        <v>-10.877000000000001</v>
      </c>
      <c r="T194" s="4" t="s">
        <v>91</v>
      </c>
      <c r="U194" s="2" t="s">
        <v>37</v>
      </c>
      <c r="V194" s="2" t="s">
        <v>37</v>
      </c>
      <c r="W194" s="2" t="s">
        <v>37</v>
      </c>
      <c r="X194" s="2" t="s">
        <v>37</v>
      </c>
      <c r="Y194" s="2" t="s">
        <v>37</v>
      </c>
      <c r="Z194" s="2" t="s">
        <v>38</v>
      </c>
      <c r="AA194" s="6">
        <v>3.6632032269999999</v>
      </c>
      <c r="AB194" s="6">
        <v>2.6934033049999999</v>
      </c>
      <c r="AC194" s="6">
        <v>3.6705733060000001</v>
      </c>
      <c r="AD194" cm="1">
        <f t="array" ref="AD194">IF(SUMPRODUCT(--($AM$2:$AM$112=TRIM(LEFT($B194,IFERROR(FIND(" ",$B194)-1,LEN($B194))))))&gt;0,1,0)</f>
        <v>0</v>
      </c>
      <c r="AE194" cm="1">
        <f t="array" ref="AE194">IF(SUMPRODUCT(--($AO$2:$AO$145=TRIM(LEFT($B194,IFERROR(FIND(" ",$B194)-1,LEN($B194))))))&gt;0,1,0)</f>
        <v>0</v>
      </c>
      <c r="AF194" cm="1">
        <f t="array" ref="AF194">IF(SUMPRODUCT(--($AQ$2:$AQ$71=TRIM(LEFT($B194,IFERROR(FIND(" ",$B194)-1,LEN($B194))))))&gt;0,1,0)</f>
        <v>0</v>
      </c>
    </row>
    <row r="195" spans="1:32" ht="75.75" thickBot="1" x14ac:dyDescent="0.3">
      <c r="A195" s="13">
        <v>99</v>
      </c>
      <c r="B195" s="4" t="s">
        <v>532</v>
      </c>
      <c r="C195" s="4" t="s">
        <v>180</v>
      </c>
      <c r="D195" s="7">
        <v>45569</v>
      </c>
      <c r="E195" s="3">
        <v>1502.96</v>
      </c>
      <c r="F195" s="4" t="s">
        <v>46</v>
      </c>
      <c r="G195" s="3">
        <v>9.83</v>
      </c>
      <c r="H195" s="4" t="s">
        <v>47</v>
      </c>
      <c r="I195" s="4" t="s">
        <v>47</v>
      </c>
      <c r="J195" s="4" t="s">
        <v>48</v>
      </c>
      <c r="K195" s="3">
        <v>100</v>
      </c>
      <c r="L195" s="3">
        <v>60</v>
      </c>
      <c r="M195" s="3">
        <v>18.66</v>
      </c>
      <c r="N195" s="3">
        <v>1600.58</v>
      </c>
      <c r="O195" s="4" t="s">
        <v>49</v>
      </c>
      <c r="P195" s="4" t="s">
        <v>34</v>
      </c>
      <c r="Q195" s="4" t="s">
        <v>35</v>
      </c>
      <c r="R195" s="3">
        <v>245.13</v>
      </c>
      <c r="S195" s="3">
        <v>48.735199999999999</v>
      </c>
      <c r="T195" s="4" t="s">
        <v>97</v>
      </c>
      <c r="U195" s="2" t="s">
        <v>37</v>
      </c>
      <c r="V195" s="2" t="s">
        <v>37</v>
      </c>
      <c r="W195" s="2" t="s">
        <v>38</v>
      </c>
      <c r="X195" s="2" t="s">
        <v>37</v>
      </c>
      <c r="Y195" s="2" t="s">
        <v>37</v>
      </c>
      <c r="Z195" s="2" t="s">
        <v>37</v>
      </c>
      <c r="AA195" s="6">
        <v>3.176947422</v>
      </c>
      <c r="AB195" s="6">
        <v>2.3893964649999999</v>
      </c>
      <c r="AC195" s="6">
        <v>3.2042773859999998</v>
      </c>
      <c r="AD195" cm="1">
        <f t="array" ref="AD195">IF(SUMPRODUCT(--($AM$2:$AM$112=TRIM(LEFT($B195,IFERROR(FIND(" ",$B195)-1,LEN($B195))))))&gt;0,1,0)</f>
        <v>0</v>
      </c>
      <c r="AE195" cm="1">
        <f t="array" ref="AE195">IF(SUMPRODUCT(--($AO$2:$AO$145=TRIM(LEFT($B195,IFERROR(FIND(" ",$B195)-1,LEN($B195))))))&gt;0,1,0)</f>
        <v>0</v>
      </c>
      <c r="AF195" cm="1">
        <f t="array" ref="AF195">IF(SUMPRODUCT(--($AQ$2:$AQ$71=TRIM(LEFT($B195,IFERROR(FIND(" ",$B195)-1,LEN($B195))))))&gt;0,1,0)</f>
        <v>0</v>
      </c>
    </row>
    <row r="196" spans="1:32" ht="135.75" thickBot="1" x14ac:dyDescent="0.3">
      <c r="A196" s="13">
        <v>87</v>
      </c>
      <c r="B196" s="4" t="s">
        <v>533</v>
      </c>
      <c r="C196" s="2"/>
      <c r="D196" s="7">
        <v>45582</v>
      </c>
      <c r="E196" s="3">
        <v>1390.33</v>
      </c>
      <c r="F196" s="4" t="s">
        <v>30</v>
      </c>
      <c r="G196" s="4"/>
      <c r="H196" s="4" t="s">
        <v>31</v>
      </c>
      <c r="I196" s="4" t="s">
        <v>32</v>
      </c>
      <c r="J196" s="4" t="s">
        <v>33</v>
      </c>
      <c r="K196" s="3">
        <v>25.3</v>
      </c>
      <c r="L196" s="3">
        <v>50.5</v>
      </c>
      <c r="M196" s="3">
        <v>14.54</v>
      </c>
      <c r="N196" s="3">
        <v>1527.28</v>
      </c>
      <c r="O196" s="4" t="s">
        <v>34</v>
      </c>
      <c r="P196" s="4" t="s">
        <v>534</v>
      </c>
      <c r="Q196" s="4" t="s">
        <v>35</v>
      </c>
      <c r="R196" s="3">
        <v>431.661</v>
      </c>
      <c r="S196" s="3">
        <v>-9.3971900000000002</v>
      </c>
      <c r="T196" s="4" t="s">
        <v>242</v>
      </c>
      <c r="U196" s="2" t="s">
        <v>37</v>
      </c>
      <c r="V196" s="2" t="s">
        <v>37</v>
      </c>
      <c r="W196" s="2" t="s">
        <v>37</v>
      </c>
      <c r="X196" s="2" t="s">
        <v>38</v>
      </c>
      <c r="Y196" s="2" t="s">
        <v>38</v>
      </c>
      <c r="Z196" s="2" t="s">
        <v>37</v>
      </c>
      <c r="AA196" s="6">
        <v>3.143117894</v>
      </c>
      <c r="AB196" s="6">
        <v>2.6351428119999998</v>
      </c>
      <c r="AC196" s="6">
        <v>3.1839186650000002</v>
      </c>
      <c r="AD196" cm="1">
        <f t="array" ref="AD196">IF(SUMPRODUCT(--($AM$2:$AM$112=TRIM(LEFT($B196,IFERROR(FIND(" ",$B196)-1,LEN($B196))))))&gt;0,1,0)</f>
        <v>0</v>
      </c>
      <c r="AE196" cm="1">
        <f t="array" ref="AE196">IF(SUMPRODUCT(--($AO$2:$AO$145=TRIM(LEFT($B196,IFERROR(FIND(" ",$B196)-1,LEN($B196))))))&gt;0,1,0)</f>
        <v>0</v>
      </c>
      <c r="AF196" cm="1">
        <f t="array" ref="AF196">IF(SUMPRODUCT(--($AQ$2:$AQ$71=TRIM(LEFT($B196,IFERROR(FIND(" ",$B196)-1,LEN($B196))))))&gt;0,1,0)</f>
        <v>0</v>
      </c>
    </row>
    <row r="197" spans="1:32" ht="165.75" thickBot="1" x14ac:dyDescent="0.3">
      <c r="A197" s="13">
        <v>157</v>
      </c>
      <c r="B197" s="4" t="s">
        <v>535</v>
      </c>
      <c r="C197" s="4" t="s">
        <v>536</v>
      </c>
      <c r="D197" s="7">
        <v>45484</v>
      </c>
      <c r="E197" s="3">
        <v>955.15</v>
      </c>
      <c r="F197" s="4" t="s">
        <v>30</v>
      </c>
      <c r="G197" s="3">
        <v>2.17</v>
      </c>
      <c r="H197" s="4" t="s">
        <v>70</v>
      </c>
      <c r="I197" s="4" t="s">
        <v>71</v>
      </c>
      <c r="J197" s="4" t="s">
        <v>304</v>
      </c>
      <c r="K197" s="4"/>
      <c r="L197" s="4"/>
      <c r="M197" s="3">
        <v>31.11</v>
      </c>
      <c r="N197" s="3">
        <v>802.37</v>
      </c>
      <c r="O197" s="4" t="s">
        <v>49</v>
      </c>
      <c r="P197" s="4" t="s">
        <v>34</v>
      </c>
      <c r="Q197" s="4" t="s">
        <v>35</v>
      </c>
      <c r="R197" s="3">
        <v>467.07100000000003</v>
      </c>
      <c r="S197" s="3">
        <v>11.2323</v>
      </c>
      <c r="T197" s="4" t="s">
        <v>537</v>
      </c>
      <c r="U197" s="2" t="s">
        <v>37</v>
      </c>
      <c r="V197" s="2" t="s">
        <v>37</v>
      </c>
      <c r="W197" s="2" t="s">
        <v>38</v>
      </c>
      <c r="X197" s="2" t="s">
        <v>38</v>
      </c>
      <c r="Y197" s="2" t="s">
        <v>38</v>
      </c>
      <c r="Z197" s="2" t="s">
        <v>37</v>
      </c>
      <c r="AA197" s="6">
        <v>2.9800715800000002</v>
      </c>
      <c r="AB197" s="6">
        <v>2.6693829029999998</v>
      </c>
      <c r="AC197" s="6">
        <v>2.9043746819999998</v>
      </c>
      <c r="AD197" cm="1">
        <f t="array" ref="AD197">IF(SUMPRODUCT(--($AM$2:$AM$112=TRIM(LEFT($B197,IFERROR(FIND(" ",$B197)-1,LEN($B197))))))&gt;0,1,0)</f>
        <v>0</v>
      </c>
      <c r="AE197" cm="1">
        <f t="array" ref="AE197">IF(SUMPRODUCT(--($AO$2:$AO$145=TRIM(LEFT($B197,IFERROR(FIND(" ",$B197)-1,LEN($B197))))))&gt;0,1,0)</f>
        <v>0</v>
      </c>
      <c r="AF197" cm="1">
        <f t="array" ref="AF197">IF(SUMPRODUCT(--($AQ$2:$AQ$71=TRIM(LEFT($B197,IFERROR(FIND(" ",$B197)-1,LEN($B197))))))&gt;0,1,0)</f>
        <v>0</v>
      </c>
    </row>
    <row r="198" spans="1:32" ht="135.75" thickBot="1" x14ac:dyDescent="0.3">
      <c r="A198" s="13">
        <v>72</v>
      </c>
      <c r="B198" s="4" t="s">
        <v>538</v>
      </c>
      <c r="C198" s="4" t="s">
        <v>539</v>
      </c>
      <c r="D198" s="7">
        <v>45602</v>
      </c>
      <c r="E198" s="3">
        <v>2251.36</v>
      </c>
      <c r="F198" s="4" t="s">
        <v>30</v>
      </c>
      <c r="G198" s="3">
        <v>10.44</v>
      </c>
      <c r="H198" s="4" t="s">
        <v>51</v>
      </c>
      <c r="I198" s="4" t="s">
        <v>51</v>
      </c>
      <c r="J198" s="4" t="s">
        <v>79</v>
      </c>
      <c r="K198" s="3">
        <v>239</v>
      </c>
      <c r="L198" s="3">
        <v>78</v>
      </c>
      <c r="M198" s="3">
        <v>10.58</v>
      </c>
      <c r="N198" s="3">
        <v>2251.36</v>
      </c>
      <c r="O198" s="4" t="s">
        <v>34</v>
      </c>
      <c r="P198" s="4" t="s">
        <v>34</v>
      </c>
      <c r="Q198" s="4" t="s">
        <v>35</v>
      </c>
      <c r="R198" s="3">
        <v>327.73200000000003</v>
      </c>
      <c r="S198" s="3">
        <v>34.068899999999999</v>
      </c>
      <c r="T198" s="4" t="s">
        <v>318</v>
      </c>
      <c r="U198" s="2" t="s">
        <v>37</v>
      </c>
      <c r="V198" s="2" t="s">
        <v>37</v>
      </c>
      <c r="W198" s="2" t="s">
        <v>37</v>
      </c>
      <c r="X198" s="2" t="s">
        <v>38</v>
      </c>
      <c r="Y198" s="2" t="s">
        <v>38</v>
      </c>
      <c r="Z198" s="2" t="s">
        <v>37</v>
      </c>
      <c r="AA198" s="6">
        <v>3.3524449459999999</v>
      </c>
      <c r="AB198" s="6">
        <v>2.5155188480000001</v>
      </c>
      <c r="AC198" s="6">
        <v>3.3524449459999999</v>
      </c>
      <c r="AD198" cm="1">
        <f t="array" ref="AD198">IF(SUMPRODUCT(--($AM$2:$AM$112=TRIM(LEFT($B198,IFERROR(FIND(" ",$B198)-1,LEN($B198))))))&gt;0,1,0)</f>
        <v>0</v>
      </c>
      <c r="AE198" cm="1">
        <f t="array" ref="AE198">IF(SUMPRODUCT(--($AO$2:$AO$145=TRIM(LEFT($B198,IFERROR(FIND(" ",$B198)-1,LEN($B198))))))&gt;0,1,0)</f>
        <v>0</v>
      </c>
      <c r="AF198" cm="1">
        <f t="array" ref="AF198">IF(SUMPRODUCT(--($AQ$2:$AQ$71=TRIM(LEFT($B198,IFERROR(FIND(" ",$B198)-1,LEN($B198))))))&gt;0,1,0)</f>
        <v>0</v>
      </c>
    </row>
    <row r="199" spans="1:32" ht="75.75" thickBot="1" x14ac:dyDescent="0.3">
      <c r="A199" s="13">
        <v>57</v>
      </c>
      <c r="B199" s="4" t="s">
        <v>540</v>
      </c>
      <c r="C199" s="4" t="s">
        <v>541</v>
      </c>
      <c r="D199" s="7">
        <v>45621</v>
      </c>
      <c r="E199" s="3">
        <v>11366.02</v>
      </c>
      <c r="F199" s="4" t="s">
        <v>30</v>
      </c>
      <c r="G199" s="3">
        <v>4.2699999999999996</v>
      </c>
      <c r="H199" s="4" t="s">
        <v>47</v>
      </c>
      <c r="I199" s="4" t="s">
        <v>47</v>
      </c>
      <c r="J199" s="4" t="s">
        <v>542</v>
      </c>
      <c r="K199" s="4"/>
      <c r="L199" s="3">
        <v>279</v>
      </c>
      <c r="M199" s="3">
        <v>8.08</v>
      </c>
      <c r="N199" s="3">
        <v>9219.2800000000007</v>
      </c>
      <c r="O199" s="4" t="s">
        <v>34</v>
      </c>
      <c r="P199" s="4" t="s">
        <v>34</v>
      </c>
      <c r="Q199" s="4" t="s">
        <v>35</v>
      </c>
      <c r="R199" s="3">
        <v>2619.4699999999998</v>
      </c>
      <c r="S199" s="3">
        <v>10.418900000000001</v>
      </c>
      <c r="T199" s="4" t="s">
        <v>286</v>
      </c>
      <c r="U199" s="2" t="s">
        <v>37</v>
      </c>
      <c r="V199" s="2" t="s">
        <v>37</v>
      </c>
      <c r="W199" s="2" t="s">
        <v>37</v>
      </c>
      <c r="X199" s="2" t="s">
        <v>38</v>
      </c>
      <c r="Y199" s="2" t="s">
        <v>37</v>
      </c>
      <c r="Z199" s="2" t="s">
        <v>37</v>
      </c>
      <c r="AA199" s="6">
        <v>4.0556084160000001</v>
      </c>
      <c r="AB199" s="6">
        <v>3.4182134290000001</v>
      </c>
      <c r="AC199" s="6">
        <v>3.9646970050000001</v>
      </c>
      <c r="AD199" cm="1">
        <f t="array" ref="AD199">IF(SUMPRODUCT(--($AM$2:$AM$112=TRIM(LEFT($B199,IFERROR(FIND(" ",$B199)-1,LEN($B199))))))&gt;0,1,0)</f>
        <v>0</v>
      </c>
      <c r="AE199" cm="1">
        <f t="array" ref="AE199">IF(SUMPRODUCT(--($AO$2:$AO$145=TRIM(LEFT($B199,IFERROR(FIND(" ",$B199)-1,LEN($B199))))))&gt;0,1,0)</f>
        <v>0</v>
      </c>
      <c r="AF199" cm="1">
        <f t="array" ref="AF199">IF(SUMPRODUCT(--($AQ$2:$AQ$71=TRIM(LEFT($B199,IFERROR(FIND(" ",$B199)-1,LEN($B199))))))&gt;0,1,0)</f>
        <v>0</v>
      </c>
    </row>
    <row r="200" spans="1:32" ht="180.75" thickBot="1" x14ac:dyDescent="0.3">
      <c r="A200" s="13">
        <v>142</v>
      </c>
      <c r="B200" s="4" t="s">
        <v>543</v>
      </c>
      <c r="C200" s="4" t="s">
        <v>544</v>
      </c>
      <c r="D200" s="7">
        <v>45498</v>
      </c>
      <c r="E200" s="3">
        <v>5471.35</v>
      </c>
      <c r="F200" s="4" t="s">
        <v>30</v>
      </c>
      <c r="G200" s="3">
        <v>64.45</v>
      </c>
      <c r="H200" s="4" t="s">
        <v>75</v>
      </c>
      <c r="I200" s="4" t="s">
        <v>111</v>
      </c>
      <c r="J200" s="4" t="s">
        <v>133</v>
      </c>
      <c r="K200" s="3">
        <v>22.2</v>
      </c>
      <c r="L200" s="3">
        <v>11.1</v>
      </c>
      <c r="M200" s="3">
        <v>43.1</v>
      </c>
      <c r="N200" s="3">
        <v>567.44000000000005</v>
      </c>
      <c r="O200" s="4" t="s">
        <v>34</v>
      </c>
      <c r="P200" s="4" t="s">
        <v>34</v>
      </c>
      <c r="Q200" s="4" t="s">
        <v>35</v>
      </c>
      <c r="R200" s="3">
        <v>2656.69</v>
      </c>
      <c r="S200" s="3">
        <v>-6.5273399999999997</v>
      </c>
      <c r="T200" s="4" t="s">
        <v>545</v>
      </c>
      <c r="U200" s="2" t="s">
        <v>38</v>
      </c>
      <c r="V200" s="2" t="s">
        <v>37</v>
      </c>
      <c r="W200" s="2" t="s">
        <v>37</v>
      </c>
      <c r="X200" s="2" t="s">
        <v>38</v>
      </c>
      <c r="Y200" s="2" t="s">
        <v>38</v>
      </c>
      <c r="Z200" s="2" t="s">
        <v>37</v>
      </c>
      <c r="AA200" s="6">
        <v>3.7380944970000001</v>
      </c>
      <c r="AB200" s="6">
        <v>3.424340881</v>
      </c>
      <c r="AC200" s="6">
        <v>2.753919947</v>
      </c>
      <c r="AD200" cm="1">
        <f t="array" ref="AD200">IF(SUMPRODUCT(--($AM$2:$AM$112=TRIM(LEFT($B200,IFERROR(FIND(" ",$B200)-1,LEN($B200))))))&gt;0,1,0)</f>
        <v>0</v>
      </c>
      <c r="AE200" cm="1">
        <f t="array" ref="AE200">IF(SUMPRODUCT(--($AO$2:$AO$145=TRIM(LEFT($B200,IFERROR(FIND(" ",$B200)-1,LEN($B200))))))&gt;0,1,0)</f>
        <v>0</v>
      </c>
      <c r="AF200" cm="1">
        <f t="array" ref="AF200">IF(SUMPRODUCT(--($AQ$2:$AQ$71=TRIM(LEFT($B200,IFERROR(FIND(" ",$B200)-1,LEN($B200))))))&gt;0,1,0)</f>
        <v>0</v>
      </c>
    </row>
    <row r="201" spans="1:32" ht="105.75" thickBot="1" x14ac:dyDescent="0.3">
      <c r="A201" s="13">
        <v>130</v>
      </c>
      <c r="B201" s="4" t="s">
        <v>546</v>
      </c>
      <c r="C201" s="4" t="s">
        <v>547</v>
      </c>
      <c r="D201" s="7">
        <v>45516</v>
      </c>
      <c r="E201" s="3">
        <v>642</v>
      </c>
      <c r="F201" s="4" t="s">
        <v>30</v>
      </c>
      <c r="G201" s="4"/>
      <c r="H201" s="4" t="s">
        <v>41</v>
      </c>
      <c r="I201" s="4" t="s">
        <v>41</v>
      </c>
      <c r="J201" s="4" t="s">
        <v>42</v>
      </c>
      <c r="K201" s="3">
        <v>22.935700000000001</v>
      </c>
      <c r="L201" s="3">
        <v>15.2905</v>
      </c>
      <c r="M201" s="3">
        <v>13.88</v>
      </c>
      <c r="N201" s="3">
        <v>382.61</v>
      </c>
      <c r="O201" s="4" t="s">
        <v>34</v>
      </c>
      <c r="P201" s="4" t="s">
        <v>34</v>
      </c>
      <c r="Q201" s="4" t="s">
        <v>35</v>
      </c>
      <c r="R201" s="3">
        <v>234.04</v>
      </c>
      <c r="S201" s="3">
        <v>-67.834000000000003</v>
      </c>
      <c r="T201" s="4" t="s">
        <v>548</v>
      </c>
      <c r="U201" s="2" t="s">
        <v>37</v>
      </c>
      <c r="V201" s="2" t="s">
        <v>37</v>
      </c>
      <c r="W201" s="2" t="s">
        <v>37</v>
      </c>
      <c r="X201" s="2" t="s">
        <v>38</v>
      </c>
      <c r="Y201" s="2" t="s">
        <v>37</v>
      </c>
      <c r="Z201" s="2" t="s">
        <v>38</v>
      </c>
      <c r="AA201" s="6">
        <v>2.8075350280000002</v>
      </c>
      <c r="AB201" s="6">
        <v>2.3692900890000002</v>
      </c>
      <c r="AC201" s="6">
        <v>2.5827563169999999</v>
      </c>
      <c r="AD201" cm="1">
        <f t="array" ref="AD201">IF(SUMPRODUCT(--($AM$2:$AM$112=TRIM(LEFT($B201,IFERROR(FIND(" ",$B201)-1,LEN($B201))))))&gt;0,1,0)</f>
        <v>0</v>
      </c>
      <c r="AE201" cm="1">
        <f t="array" ref="AE201">IF(SUMPRODUCT(--($AO$2:$AO$145=TRIM(LEFT($B201,IFERROR(FIND(" ",$B201)-1,LEN($B201))))))&gt;0,1,0)</f>
        <v>0</v>
      </c>
      <c r="AF201" cm="1">
        <f t="array" ref="AF201">IF(SUMPRODUCT(--($AQ$2:$AQ$71=TRIM(LEFT($B201,IFERROR(FIND(" ",$B201)-1,LEN($B201))))))&gt;0,1,0)</f>
        <v>0</v>
      </c>
    </row>
    <row r="202" spans="1:32" ht="165.75" thickBot="1" x14ac:dyDescent="0.3">
      <c r="A202" s="13">
        <v>67</v>
      </c>
      <c r="B202" s="4" t="s">
        <v>549</v>
      </c>
      <c r="C202" s="2"/>
      <c r="D202" s="7">
        <v>45602</v>
      </c>
      <c r="E202" s="3">
        <v>982.93</v>
      </c>
      <c r="F202" s="4" t="s">
        <v>30</v>
      </c>
      <c r="G202" s="4"/>
      <c r="H202" s="4" t="s">
        <v>41</v>
      </c>
      <c r="I202" s="4" t="s">
        <v>41</v>
      </c>
      <c r="J202" s="4" t="s">
        <v>42</v>
      </c>
      <c r="K202" s="3">
        <v>64</v>
      </c>
      <c r="L202" s="3">
        <v>32</v>
      </c>
      <c r="M202" s="3">
        <v>22.35</v>
      </c>
      <c r="N202" s="3">
        <v>808.88</v>
      </c>
      <c r="O202" s="4" t="s">
        <v>34</v>
      </c>
      <c r="P202" s="4" t="s">
        <v>34</v>
      </c>
      <c r="Q202" s="4" t="s">
        <v>35</v>
      </c>
      <c r="R202" s="3">
        <v>139.911</v>
      </c>
      <c r="S202" s="3">
        <v>-13.5465</v>
      </c>
      <c r="T202" s="4" t="s">
        <v>550</v>
      </c>
      <c r="U202" s="2" t="s">
        <v>37</v>
      </c>
      <c r="V202" s="2" t="s">
        <v>37</v>
      </c>
      <c r="W202" s="2" t="s">
        <v>38</v>
      </c>
      <c r="X202" s="2" t="s">
        <v>38</v>
      </c>
      <c r="Y202" s="2" t="s">
        <v>38</v>
      </c>
      <c r="Z202" s="2" t="s">
        <v>37</v>
      </c>
      <c r="AA202" s="6">
        <v>2.9925225900000001</v>
      </c>
      <c r="AB202" s="6">
        <v>2.1458518610000001</v>
      </c>
      <c r="AC202" s="6">
        <v>2.9078840970000002</v>
      </c>
      <c r="AD202" cm="1">
        <f t="array" ref="AD202">IF(SUMPRODUCT(--($AM$2:$AM$112=TRIM(LEFT($B202,IFERROR(FIND(" ",$B202)-1,LEN($B202))))))&gt;0,1,0)</f>
        <v>0</v>
      </c>
      <c r="AE202" cm="1">
        <f t="array" ref="AE202">IF(SUMPRODUCT(--($AO$2:$AO$145=TRIM(LEFT($B202,IFERROR(FIND(" ",$B202)-1,LEN($B202))))))&gt;0,1,0)</f>
        <v>0</v>
      </c>
      <c r="AF202" cm="1">
        <f t="array" ref="AF202">IF(SUMPRODUCT(--($AQ$2:$AQ$71=TRIM(LEFT($B202,IFERROR(FIND(" ",$B202)-1,LEN($B202))))))&gt;0,1,0)</f>
        <v>0</v>
      </c>
    </row>
    <row r="203" spans="1:32" ht="45.75" thickBot="1" x14ac:dyDescent="0.3">
      <c r="A203" s="13">
        <v>172</v>
      </c>
      <c r="B203" s="4" t="s">
        <v>551</v>
      </c>
      <c r="C203" s="4" t="s">
        <v>552</v>
      </c>
      <c r="D203" s="7">
        <v>45454</v>
      </c>
      <c r="E203" s="3">
        <v>3658.99</v>
      </c>
      <c r="F203" s="4" t="s">
        <v>46</v>
      </c>
      <c r="G203" s="4"/>
      <c r="H203" s="4" t="s">
        <v>65</v>
      </c>
      <c r="I203" s="4" t="s">
        <v>66</v>
      </c>
      <c r="J203" s="4" t="s">
        <v>66</v>
      </c>
      <c r="K203" s="4"/>
      <c r="L203" s="4"/>
      <c r="M203" s="3">
        <v>97.13</v>
      </c>
      <c r="N203" s="3">
        <v>3658.99</v>
      </c>
      <c r="O203" s="4" t="s">
        <v>49</v>
      </c>
      <c r="P203" s="4" t="s">
        <v>49</v>
      </c>
      <c r="Q203" s="4" t="s">
        <v>35</v>
      </c>
      <c r="R203" s="3">
        <v>2051.6999999999998</v>
      </c>
      <c r="S203" s="3">
        <v>33.848100000000002</v>
      </c>
      <c r="T203" s="4" t="s">
        <v>43</v>
      </c>
      <c r="U203" s="2" t="s">
        <v>37</v>
      </c>
      <c r="V203" s="2" t="s">
        <v>37</v>
      </c>
      <c r="W203" s="2" t="s">
        <v>37</v>
      </c>
      <c r="X203" s="2" t="s">
        <v>37</v>
      </c>
      <c r="Y203" s="2" t="s">
        <v>37</v>
      </c>
      <c r="Z203" s="2" t="s">
        <v>37</v>
      </c>
      <c r="AA203" s="6">
        <v>3.5633612229999998</v>
      </c>
      <c r="AB203" s="6">
        <v>3.312113858</v>
      </c>
      <c r="AC203" s="6">
        <v>3.5633612229999998</v>
      </c>
      <c r="AD203" cm="1">
        <f t="array" ref="AD203">IF(SUMPRODUCT(--($AM$2:$AM$112=TRIM(LEFT($B203,IFERROR(FIND(" ",$B203)-1,LEN($B203))))))&gt;0,1,0)</f>
        <v>0</v>
      </c>
      <c r="AE203" cm="1">
        <f t="array" ref="AE203">IF(SUMPRODUCT(--($AO$2:$AO$145=TRIM(LEFT($B203,IFERROR(FIND(" ",$B203)-1,LEN($B203))))))&gt;0,1,0)</f>
        <v>0</v>
      </c>
      <c r="AF203" cm="1">
        <f t="array" ref="AF203">IF(SUMPRODUCT(--($AQ$2:$AQ$71=TRIM(LEFT($B203,IFERROR(FIND(" ",$B203)-1,LEN($B203))))))&gt;0,1,0)</f>
        <v>0</v>
      </c>
    </row>
    <row r="204" spans="1:32" ht="75.75" thickBot="1" x14ac:dyDescent="0.3">
      <c r="A204" s="13">
        <v>77</v>
      </c>
      <c r="B204" s="4" t="s">
        <v>553</v>
      </c>
      <c r="C204" s="4" t="s">
        <v>554</v>
      </c>
      <c r="D204" s="7">
        <v>45586</v>
      </c>
      <c r="E204" s="3">
        <v>717.81</v>
      </c>
      <c r="F204" s="4" t="s">
        <v>30</v>
      </c>
      <c r="G204" s="4"/>
      <c r="H204" s="4" t="s">
        <v>31</v>
      </c>
      <c r="I204" s="4" t="s">
        <v>32</v>
      </c>
      <c r="J204" s="4" t="s">
        <v>33</v>
      </c>
      <c r="K204" s="3">
        <v>26</v>
      </c>
      <c r="L204" s="3">
        <v>26</v>
      </c>
      <c r="M204" s="3">
        <v>5.92</v>
      </c>
      <c r="N204" s="3">
        <v>755.04</v>
      </c>
      <c r="O204" s="4" t="s">
        <v>34</v>
      </c>
      <c r="P204" s="4" t="s">
        <v>34</v>
      </c>
      <c r="Q204" s="4" t="s">
        <v>35</v>
      </c>
      <c r="R204" s="3">
        <v>365.87900000000002</v>
      </c>
      <c r="S204" s="3">
        <v>-18.0015</v>
      </c>
      <c r="T204" s="4" t="s">
        <v>286</v>
      </c>
      <c r="U204" s="2" t="s">
        <v>37</v>
      </c>
      <c r="V204" s="2" t="s">
        <v>37</v>
      </c>
      <c r="W204" s="2" t="s">
        <v>37</v>
      </c>
      <c r="X204" s="2" t="s">
        <v>38</v>
      </c>
      <c r="Y204" s="2" t="s">
        <v>37</v>
      </c>
      <c r="Z204" s="2" t="s">
        <v>37</v>
      </c>
      <c r="AA204" s="6">
        <v>2.8560095040000002</v>
      </c>
      <c r="AB204" s="6">
        <v>2.5633374830000002</v>
      </c>
      <c r="AC204" s="6">
        <v>2.8779699600000002</v>
      </c>
      <c r="AD204" cm="1">
        <f t="array" ref="AD204">IF(SUMPRODUCT(--($AM$2:$AM$112=TRIM(LEFT($B204,IFERROR(FIND(" ",$B204)-1,LEN($B204))))))&gt;0,1,0)</f>
        <v>0</v>
      </c>
      <c r="AE204" cm="1">
        <f t="array" ref="AE204">IF(SUMPRODUCT(--($AO$2:$AO$145=TRIM(LEFT($B204,IFERROR(FIND(" ",$B204)-1,LEN($B204))))))&gt;0,1,0)</f>
        <v>0</v>
      </c>
      <c r="AF204" cm="1">
        <f t="array" ref="AF204">IF(SUMPRODUCT(--($AQ$2:$AQ$71=TRIM(LEFT($B204,IFERROR(FIND(" ",$B204)-1,LEN($B204))))))&gt;0,1,0)</f>
        <v>0</v>
      </c>
    </row>
    <row r="205" spans="1:32" ht="45.75" thickBot="1" x14ac:dyDescent="0.3">
      <c r="A205" s="13">
        <v>201</v>
      </c>
      <c r="B205" s="4" t="s">
        <v>555</v>
      </c>
      <c r="C205" s="4" t="s">
        <v>556</v>
      </c>
      <c r="D205" s="7">
        <v>45411</v>
      </c>
      <c r="E205" s="3">
        <v>1937.56</v>
      </c>
      <c r="F205" s="4" t="s">
        <v>46</v>
      </c>
      <c r="G205" s="4"/>
      <c r="H205" s="4" t="s">
        <v>65</v>
      </c>
      <c r="I205" s="4" t="s">
        <v>66</v>
      </c>
      <c r="J205" s="4" t="s">
        <v>66</v>
      </c>
      <c r="K205" s="4"/>
      <c r="L205" s="4"/>
      <c r="M205" s="3">
        <v>31.87</v>
      </c>
      <c r="N205" s="3">
        <v>1937.56</v>
      </c>
      <c r="O205" s="4" t="s">
        <v>34</v>
      </c>
      <c r="P205" s="4" t="s">
        <v>34</v>
      </c>
      <c r="Q205" s="4" t="s">
        <v>35</v>
      </c>
      <c r="R205" s="3">
        <v>1084.6600000000001</v>
      </c>
      <c r="S205" s="3">
        <v>31.149899999999999</v>
      </c>
      <c r="T205" s="4" t="s">
        <v>43</v>
      </c>
      <c r="U205" s="2" t="s">
        <v>37</v>
      </c>
      <c r="V205" s="2" t="s">
        <v>37</v>
      </c>
      <c r="W205" s="2" t="s">
        <v>37</v>
      </c>
      <c r="X205" s="2" t="s">
        <v>37</v>
      </c>
      <c r="Y205" s="2" t="s">
        <v>37</v>
      </c>
      <c r="Z205" s="2" t="s">
        <v>37</v>
      </c>
      <c r="AA205" s="6">
        <v>3.28725516</v>
      </c>
      <c r="AB205" s="6">
        <v>3.035293625</v>
      </c>
      <c r="AC205" s="6">
        <v>3.28725516</v>
      </c>
      <c r="AD205" cm="1">
        <f t="array" ref="AD205">IF(SUMPRODUCT(--($AM$2:$AM$112=TRIM(LEFT($B205,IFERROR(FIND(" ",$B205)-1,LEN($B205))))))&gt;0,1,0)</f>
        <v>0</v>
      </c>
      <c r="AE205" cm="1">
        <f t="array" ref="AE205">IF(SUMPRODUCT(--($AO$2:$AO$145=TRIM(LEFT($B205,IFERROR(FIND(" ",$B205)-1,LEN($B205))))))&gt;0,1,0)</f>
        <v>0</v>
      </c>
      <c r="AF205" cm="1">
        <f t="array" ref="AF205">IF(SUMPRODUCT(--($AQ$2:$AQ$71=TRIM(LEFT($B205,IFERROR(FIND(" ",$B205)-1,LEN($B205))))))&gt;0,1,0)</f>
        <v>0</v>
      </c>
    </row>
    <row r="206" spans="1:32" ht="150.75" thickBot="1" x14ac:dyDescent="0.3">
      <c r="A206" s="13">
        <v>50</v>
      </c>
      <c r="B206" s="4" t="s">
        <v>557</v>
      </c>
      <c r="C206" s="4" t="s">
        <v>558</v>
      </c>
      <c r="D206" s="7">
        <v>45620</v>
      </c>
      <c r="E206" s="3">
        <v>8631.3799999999992</v>
      </c>
      <c r="F206" s="4" t="s">
        <v>46</v>
      </c>
      <c r="G206" s="3">
        <v>8.3800000000000008</v>
      </c>
      <c r="H206" s="4" t="s">
        <v>118</v>
      </c>
      <c r="I206" s="4" t="s">
        <v>119</v>
      </c>
      <c r="J206" s="4" t="s">
        <v>120</v>
      </c>
      <c r="K206" s="4"/>
      <c r="L206" s="3">
        <v>143.97800000000001</v>
      </c>
      <c r="M206" s="3">
        <v>-2.85</v>
      </c>
      <c r="N206" s="3">
        <v>3810.28</v>
      </c>
      <c r="O206" s="4" t="s">
        <v>34</v>
      </c>
      <c r="P206" s="4" t="s">
        <v>34</v>
      </c>
      <c r="Q206" s="4" t="s">
        <v>35</v>
      </c>
      <c r="R206" s="3">
        <v>6900.1</v>
      </c>
      <c r="S206" s="3">
        <v>8.4607700000000001</v>
      </c>
      <c r="T206" s="4" t="s">
        <v>559</v>
      </c>
      <c r="U206" s="2" t="s">
        <v>38</v>
      </c>
      <c r="V206" s="2" t="s">
        <v>37</v>
      </c>
      <c r="W206" s="2" t="s">
        <v>37</v>
      </c>
      <c r="X206" s="2" t="s">
        <v>37</v>
      </c>
      <c r="Y206" s="2" t="s">
        <v>37</v>
      </c>
      <c r="Z206" s="2" t="s">
        <v>37</v>
      </c>
      <c r="AA206" s="6">
        <v>3.9360802370000001</v>
      </c>
      <c r="AB206" s="6">
        <v>3.838855385</v>
      </c>
      <c r="AC206" s="6">
        <v>3.580956891</v>
      </c>
      <c r="AD206" cm="1">
        <f t="array" ref="AD206">IF(SUMPRODUCT(--($AM$2:$AM$112=TRIM(LEFT($B206,IFERROR(FIND(" ",$B206)-1,LEN($B206))))))&gt;0,1,0)</f>
        <v>0</v>
      </c>
      <c r="AE206" cm="1">
        <f t="array" ref="AE206">IF(SUMPRODUCT(--($AO$2:$AO$145=TRIM(LEFT($B206,IFERROR(FIND(" ",$B206)-1,LEN($B206))))))&gt;0,1,0)</f>
        <v>0</v>
      </c>
      <c r="AF206" cm="1">
        <f t="array" ref="AF206">IF(SUMPRODUCT(--($AQ$2:$AQ$71=TRIM(LEFT($B206,IFERROR(FIND(" ",$B206)-1,LEN($B206))))))&gt;0,1,0)</f>
        <v>0</v>
      </c>
    </row>
    <row r="207" spans="1:32" ht="135.75" thickBot="1" x14ac:dyDescent="0.3">
      <c r="A207" s="13">
        <v>81</v>
      </c>
      <c r="B207" s="4" t="s">
        <v>560</v>
      </c>
      <c r="C207" s="4" t="s">
        <v>384</v>
      </c>
      <c r="D207" s="7">
        <v>45572</v>
      </c>
      <c r="E207" s="3">
        <v>3511.94</v>
      </c>
      <c r="F207" s="4" t="s">
        <v>30</v>
      </c>
      <c r="G207" s="4"/>
      <c r="H207" s="4" t="s">
        <v>70</v>
      </c>
      <c r="I207" s="4" t="s">
        <v>71</v>
      </c>
      <c r="J207" s="4" t="s">
        <v>304</v>
      </c>
      <c r="K207" s="4"/>
      <c r="L207" s="4"/>
      <c r="M207" s="3">
        <v>22.49</v>
      </c>
      <c r="N207" s="3">
        <v>2411.39</v>
      </c>
      <c r="O207" s="4" t="s">
        <v>34</v>
      </c>
      <c r="P207" s="4" t="s">
        <v>34</v>
      </c>
      <c r="Q207" s="4" t="s">
        <v>35</v>
      </c>
      <c r="R207" s="3">
        <v>1450.87</v>
      </c>
      <c r="S207" s="3">
        <v>6.7504400000000002</v>
      </c>
      <c r="T207" s="4" t="s">
        <v>369</v>
      </c>
      <c r="U207" s="2" t="s">
        <v>37</v>
      </c>
      <c r="V207" s="2" t="s">
        <v>37</v>
      </c>
      <c r="W207" s="2" t="s">
        <v>37</v>
      </c>
      <c r="X207" s="2" t="s">
        <v>38</v>
      </c>
      <c r="Y207" s="2" t="s">
        <v>38</v>
      </c>
      <c r="Z207" s="2" t="s">
        <v>37</v>
      </c>
      <c r="AA207" s="6">
        <v>3.5455470880000002</v>
      </c>
      <c r="AB207" s="6">
        <v>3.161628501</v>
      </c>
      <c r="AC207" s="6">
        <v>3.3822674560000001</v>
      </c>
      <c r="AD207" cm="1">
        <f t="array" ref="AD207">IF(SUMPRODUCT(--($AM$2:$AM$112=TRIM(LEFT($B207,IFERROR(FIND(" ",$B207)-1,LEN($B207))))))&gt;0,1,0)</f>
        <v>0</v>
      </c>
      <c r="AE207" cm="1">
        <f t="array" ref="AE207">IF(SUMPRODUCT(--($AO$2:$AO$145=TRIM(LEFT($B207,IFERROR(FIND(" ",$B207)-1,LEN($B207))))))&gt;0,1,0)</f>
        <v>0</v>
      </c>
      <c r="AF207" cm="1">
        <f t="array" ref="AF207">IF(SUMPRODUCT(--($AQ$2:$AQ$71=TRIM(LEFT($B207,IFERROR(FIND(" ",$B207)-1,LEN($B207))))))&gt;0,1,0)</f>
        <v>0</v>
      </c>
    </row>
    <row r="208" spans="1:32" ht="135.75" thickBot="1" x14ac:dyDescent="0.3">
      <c r="A208" s="13">
        <v>87</v>
      </c>
      <c r="B208" s="4" t="s">
        <v>561</v>
      </c>
      <c r="C208" s="2"/>
      <c r="D208" s="7">
        <v>45559</v>
      </c>
      <c r="E208" s="3">
        <v>7298.54</v>
      </c>
      <c r="F208" s="4" t="s">
        <v>30</v>
      </c>
      <c r="G208" s="4"/>
      <c r="H208" s="4" t="s">
        <v>31</v>
      </c>
      <c r="I208" s="4" t="s">
        <v>32</v>
      </c>
      <c r="J208" s="4" t="s">
        <v>33</v>
      </c>
      <c r="K208" s="4"/>
      <c r="L208" s="4"/>
      <c r="M208" s="3">
        <v>11.91</v>
      </c>
      <c r="N208" s="3">
        <v>7961.86</v>
      </c>
      <c r="O208" s="4" t="s">
        <v>34</v>
      </c>
      <c r="P208" s="4" t="s">
        <v>34</v>
      </c>
      <c r="Q208" s="4" t="s">
        <v>35</v>
      </c>
      <c r="R208" s="3">
        <v>958.33799999999997</v>
      </c>
      <c r="S208" s="3">
        <v>-3.6493199999999999</v>
      </c>
      <c r="T208" s="4" t="s">
        <v>369</v>
      </c>
      <c r="U208" s="2" t="s">
        <v>37</v>
      </c>
      <c r="V208" s="2" t="s">
        <v>37</v>
      </c>
      <c r="W208" s="2" t="s">
        <v>37</v>
      </c>
      <c r="X208" s="2" t="s">
        <v>38</v>
      </c>
      <c r="Y208" s="2" t="s">
        <v>38</v>
      </c>
      <c r="Z208" s="2" t="s">
        <v>37</v>
      </c>
      <c r="AA208" s="6">
        <v>3.863235993</v>
      </c>
      <c r="AB208" s="6">
        <v>2.9815187089999999</v>
      </c>
      <c r="AC208" s="6">
        <v>3.901014537</v>
      </c>
      <c r="AD208" cm="1">
        <f t="array" ref="AD208">IF(SUMPRODUCT(--($AM$2:$AM$112=TRIM(LEFT($B208,IFERROR(FIND(" ",$B208)-1,LEN($B208))))))&gt;0,1,0)</f>
        <v>0</v>
      </c>
      <c r="AE208" cm="1">
        <f t="array" ref="AE208">IF(SUMPRODUCT(--($AO$2:$AO$145=TRIM(LEFT($B208,IFERROR(FIND(" ",$B208)-1,LEN($B208))))))&gt;0,1,0)</f>
        <v>1</v>
      </c>
      <c r="AF208" cm="1">
        <f t="array" ref="AF208">IF(SUMPRODUCT(--($AQ$2:$AQ$71=TRIM(LEFT($B208,IFERROR(FIND(" ",$B208)-1,LEN($B208))))))&gt;0,1,0)</f>
        <v>0</v>
      </c>
    </row>
    <row r="209" spans="1:32" ht="150.75" thickBot="1" x14ac:dyDescent="0.3">
      <c r="A209" s="13">
        <v>126</v>
      </c>
      <c r="B209" s="4" t="s">
        <v>562</v>
      </c>
      <c r="C209" s="2"/>
      <c r="D209" s="7">
        <v>45502</v>
      </c>
      <c r="E209" s="3">
        <v>2966.11</v>
      </c>
      <c r="F209" s="4" t="s">
        <v>69</v>
      </c>
      <c r="G209" s="4"/>
      <c r="H209" s="4" t="s">
        <v>47</v>
      </c>
      <c r="I209" s="4" t="s">
        <v>47</v>
      </c>
      <c r="J209" s="4" t="s">
        <v>48</v>
      </c>
      <c r="K209" s="3">
        <v>135</v>
      </c>
      <c r="L209" s="3">
        <v>135</v>
      </c>
      <c r="M209" s="3">
        <v>22.02</v>
      </c>
      <c r="N209" s="3">
        <v>3006.39</v>
      </c>
      <c r="O209" s="4" t="s">
        <v>49</v>
      </c>
      <c r="P209" s="4" t="s">
        <v>152</v>
      </c>
      <c r="Q209" s="4" t="s">
        <v>35</v>
      </c>
      <c r="R209" s="2"/>
      <c r="S209" s="2"/>
      <c r="T209" s="4" t="s">
        <v>228</v>
      </c>
      <c r="U209" s="2" t="s">
        <v>38</v>
      </c>
      <c r="V209" s="2" t="s">
        <v>37</v>
      </c>
      <c r="W209" s="2" t="s">
        <v>38</v>
      </c>
      <c r="X209" s="2" t="s">
        <v>37</v>
      </c>
      <c r="Y209" s="2" t="s">
        <v>37</v>
      </c>
      <c r="Z209" s="2" t="s">
        <v>37</v>
      </c>
      <c r="AA209" s="6">
        <v>3.472187253</v>
      </c>
      <c r="AB209" s="2"/>
      <c r="AC209" s="6">
        <v>3.4780453179999999</v>
      </c>
      <c r="AD209" cm="1">
        <f t="array" ref="AD209">IF(SUMPRODUCT(--($AM$2:$AM$112=TRIM(LEFT($B209,IFERROR(FIND(" ",$B209)-1,LEN($B209))))))&gt;0,1,0)</f>
        <v>1</v>
      </c>
      <c r="AE209" cm="1">
        <f t="array" ref="AE209">IF(SUMPRODUCT(--($AO$2:$AO$145=TRIM(LEFT($B209,IFERROR(FIND(" ",$B209)-1,LEN($B209))))))&gt;0,1,0)</f>
        <v>1</v>
      </c>
      <c r="AF209" cm="1">
        <f t="array" ref="AF209">IF(SUMPRODUCT(--($AQ$2:$AQ$71=TRIM(LEFT($B209,IFERROR(FIND(" ",$B209)-1,LEN($B209))))))&gt;0,1,0)</f>
        <v>0</v>
      </c>
    </row>
    <row r="210" spans="1:32" ht="75.75" thickBot="1" x14ac:dyDescent="0.3">
      <c r="A210" s="13">
        <v>96</v>
      </c>
      <c r="B210" s="4" t="s">
        <v>563</v>
      </c>
      <c r="C210" s="4" t="s">
        <v>564</v>
      </c>
      <c r="D210" s="7">
        <v>45540</v>
      </c>
      <c r="E210" s="3">
        <v>893.03</v>
      </c>
      <c r="F210" s="4" t="s">
        <v>46</v>
      </c>
      <c r="G210" s="4"/>
      <c r="H210" s="4" t="s">
        <v>47</v>
      </c>
      <c r="I210" s="4" t="s">
        <v>47</v>
      </c>
      <c r="J210" s="4" t="s">
        <v>48</v>
      </c>
      <c r="K210" s="3">
        <v>46</v>
      </c>
      <c r="L210" s="3">
        <v>28</v>
      </c>
      <c r="M210" s="3">
        <v>16.68</v>
      </c>
      <c r="N210" s="3">
        <v>975.07</v>
      </c>
      <c r="O210" s="4" t="s">
        <v>34</v>
      </c>
      <c r="P210" s="4" t="s">
        <v>49</v>
      </c>
      <c r="Q210" s="4" t="s">
        <v>35</v>
      </c>
      <c r="R210" s="2"/>
      <c r="S210" s="2"/>
      <c r="T210" s="4" t="s">
        <v>97</v>
      </c>
      <c r="U210" s="2" t="s">
        <v>37</v>
      </c>
      <c r="V210" s="2" t="s">
        <v>37</v>
      </c>
      <c r="W210" s="2" t="s">
        <v>38</v>
      </c>
      <c r="X210" s="2" t="s">
        <v>37</v>
      </c>
      <c r="Y210" s="2" t="s">
        <v>37</v>
      </c>
      <c r="Z210" s="2" t="s">
        <v>37</v>
      </c>
      <c r="AA210" s="6">
        <v>2.950866049</v>
      </c>
      <c r="AB210" s="2"/>
      <c r="AC210" s="6">
        <v>2.9890357949999999</v>
      </c>
      <c r="AD210" cm="1">
        <f t="array" ref="AD210">IF(SUMPRODUCT(--($AM$2:$AM$112=TRIM(LEFT($B210,IFERROR(FIND(" ",$B210)-1,LEN($B210))))))&gt;0,1,0)</f>
        <v>0</v>
      </c>
      <c r="AE210" cm="1">
        <f t="array" ref="AE210">IF(SUMPRODUCT(--($AO$2:$AO$145=TRIM(LEFT($B210,IFERROR(FIND(" ",$B210)-1,LEN($B210))))))&gt;0,1,0)</f>
        <v>0</v>
      </c>
      <c r="AF210" cm="1">
        <f t="array" ref="AF210">IF(SUMPRODUCT(--($AQ$2:$AQ$71=TRIM(LEFT($B210,IFERROR(FIND(" ",$B210)-1,LEN($B210))))))&gt;0,1,0)</f>
        <v>0</v>
      </c>
    </row>
    <row r="211" spans="1:32" ht="45.75" thickBot="1" x14ac:dyDescent="0.3">
      <c r="A211" s="13">
        <v>105</v>
      </c>
      <c r="B211" s="4" t="s">
        <v>565</v>
      </c>
      <c r="C211" s="4" t="s">
        <v>566</v>
      </c>
      <c r="D211" s="7">
        <v>45525</v>
      </c>
      <c r="E211" s="3">
        <v>2135.7800000000002</v>
      </c>
      <c r="F211" s="4" t="s">
        <v>46</v>
      </c>
      <c r="G211" s="4"/>
      <c r="H211" s="4" t="s">
        <v>47</v>
      </c>
      <c r="I211" s="4" t="s">
        <v>47</v>
      </c>
      <c r="J211" s="4" t="s">
        <v>48</v>
      </c>
      <c r="K211" s="3">
        <v>82</v>
      </c>
      <c r="L211" s="3">
        <v>82</v>
      </c>
      <c r="M211" s="3">
        <v>-6.01</v>
      </c>
      <c r="N211" s="3">
        <v>2272.33</v>
      </c>
      <c r="O211" s="4" t="s">
        <v>34</v>
      </c>
      <c r="P211" s="4" t="s">
        <v>34</v>
      </c>
      <c r="Q211" s="4" t="s">
        <v>35</v>
      </c>
      <c r="R211" s="3">
        <v>3145.84</v>
      </c>
      <c r="S211" s="3">
        <v>7.2424999999999997</v>
      </c>
      <c r="T211" s="4" t="s">
        <v>43</v>
      </c>
      <c r="U211" s="2" t="s">
        <v>37</v>
      </c>
      <c r="V211" s="2" t="s">
        <v>37</v>
      </c>
      <c r="W211" s="2" t="s">
        <v>37</v>
      </c>
      <c r="X211" s="2" t="s">
        <v>37</v>
      </c>
      <c r="Y211" s="2" t="s">
        <v>37</v>
      </c>
      <c r="Z211" s="2" t="s">
        <v>37</v>
      </c>
      <c r="AA211" s="6">
        <v>3.3295565150000002</v>
      </c>
      <c r="AB211" s="6">
        <v>3.4977366299999999</v>
      </c>
      <c r="AC211" s="6">
        <v>3.3564714019999999</v>
      </c>
      <c r="AD211" cm="1">
        <f t="array" ref="AD211">IF(SUMPRODUCT(--($AM$2:$AM$112=TRIM(LEFT($B211,IFERROR(FIND(" ",$B211)-1,LEN($B211))))))&gt;0,1,0)</f>
        <v>1</v>
      </c>
      <c r="AE211" cm="1">
        <f t="array" ref="AE211">IF(SUMPRODUCT(--($AO$2:$AO$145=TRIM(LEFT($B211,IFERROR(FIND(" ",$B211)-1,LEN($B211))))))&gt;0,1,0)</f>
        <v>0</v>
      </c>
      <c r="AF211" cm="1">
        <f t="array" ref="AF211">IF(SUMPRODUCT(--($AQ$2:$AQ$71=TRIM(LEFT($B211,IFERROR(FIND(" ",$B211)-1,LEN($B211))))))&gt;0,1,0)</f>
        <v>0</v>
      </c>
    </row>
    <row r="212" spans="1:32" ht="45.75" thickBot="1" x14ac:dyDescent="0.3">
      <c r="A212" s="13">
        <v>114</v>
      </c>
      <c r="B212" s="4" t="s">
        <v>567</v>
      </c>
      <c r="C212" s="4" t="s">
        <v>568</v>
      </c>
      <c r="D212" s="7">
        <v>45511</v>
      </c>
      <c r="E212" s="3">
        <v>1918.24</v>
      </c>
      <c r="F212" s="4" t="s">
        <v>46</v>
      </c>
      <c r="G212" s="4"/>
      <c r="H212" s="4" t="s">
        <v>65</v>
      </c>
      <c r="I212" s="4" t="s">
        <v>138</v>
      </c>
      <c r="J212" s="4" t="s">
        <v>176</v>
      </c>
      <c r="K212" s="3">
        <v>179.8</v>
      </c>
      <c r="L212" s="3">
        <v>57.6</v>
      </c>
      <c r="M212" s="3">
        <v>5.89</v>
      </c>
      <c r="N212" s="3">
        <v>1918.24</v>
      </c>
      <c r="O212" s="4" t="s">
        <v>34</v>
      </c>
      <c r="P212" s="4" t="s">
        <v>34</v>
      </c>
      <c r="Q212" s="4" t="s">
        <v>35</v>
      </c>
      <c r="R212" s="3">
        <v>448.42399999999998</v>
      </c>
      <c r="S212" s="3">
        <v>45.8095</v>
      </c>
      <c r="T212" s="4" t="s">
        <v>43</v>
      </c>
      <c r="U212" s="2" t="s">
        <v>37</v>
      </c>
      <c r="V212" s="2" t="s">
        <v>37</v>
      </c>
      <c r="W212" s="2" t="s">
        <v>37</v>
      </c>
      <c r="X212" s="2" t="s">
        <v>37</v>
      </c>
      <c r="Y212" s="2" t="s">
        <v>37</v>
      </c>
      <c r="Z212" s="2" t="s">
        <v>37</v>
      </c>
      <c r="AA212" s="6">
        <v>3.2829029429999999</v>
      </c>
      <c r="AB212" s="6">
        <v>2.651688848</v>
      </c>
      <c r="AC212" s="6">
        <v>3.2829029429999999</v>
      </c>
      <c r="AD212" cm="1">
        <f t="array" ref="AD212">IF(SUMPRODUCT(--($AM$2:$AM$112=TRIM(LEFT($B212,IFERROR(FIND(" ",$B212)-1,LEN($B212))))))&gt;0,1,0)</f>
        <v>0</v>
      </c>
      <c r="AE212" cm="1">
        <f t="array" ref="AE212">IF(SUMPRODUCT(--($AO$2:$AO$145=TRIM(LEFT($B212,IFERROR(FIND(" ",$B212)-1,LEN($B212))))))&gt;0,1,0)</f>
        <v>0</v>
      </c>
      <c r="AF212" cm="1">
        <f t="array" ref="AF212">IF(SUMPRODUCT(--($AQ$2:$AQ$71=TRIM(LEFT($B212,IFERROR(FIND(" ",$B212)-1,LEN($B212))))))&gt;0,1,0)</f>
        <v>0</v>
      </c>
    </row>
    <row r="213" spans="1:32" ht="75.75" thickBot="1" x14ac:dyDescent="0.3">
      <c r="A213" s="13">
        <v>34</v>
      </c>
      <c r="B213" s="4" t="s">
        <v>569</v>
      </c>
      <c r="C213" s="4" t="s">
        <v>336</v>
      </c>
      <c r="D213" s="7">
        <v>45622</v>
      </c>
      <c r="E213" s="3">
        <v>744.01</v>
      </c>
      <c r="F213" s="4" t="s">
        <v>30</v>
      </c>
      <c r="G213" s="4"/>
      <c r="H213" s="4" t="s">
        <v>41</v>
      </c>
      <c r="I213" s="4" t="s">
        <v>41</v>
      </c>
      <c r="J213" s="4" t="s">
        <v>42</v>
      </c>
      <c r="K213" s="4"/>
      <c r="L213" s="4"/>
      <c r="M213" s="3">
        <v>217.12</v>
      </c>
      <c r="N213" s="3">
        <v>892.14</v>
      </c>
      <c r="O213" s="4" t="s">
        <v>34</v>
      </c>
      <c r="P213" s="4" t="s">
        <v>34</v>
      </c>
      <c r="Q213" s="4" t="s">
        <v>35</v>
      </c>
      <c r="R213" s="3">
        <v>64.703000000000003</v>
      </c>
      <c r="S213" s="3">
        <v>-41.429699999999997</v>
      </c>
      <c r="T213" s="4" t="s">
        <v>88</v>
      </c>
      <c r="U213" s="2" t="s">
        <v>37</v>
      </c>
      <c r="V213" s="2" t="s">
        <v>37</v>
      </c>
      <c r="W213" s="2" t="s">
        <v>37</v>
      </c>
      <c r="X213" s="2" t="s">
        <v>37</v>
      </c>
      <c r="Y213" s="2" t="s">
        <v>37</v>
      </c>
      <c r="Z213" s="2" t="s">
        <v>38</v>
      </c>
      <c r="AA213" s="6">
        <v>2.871578773</v>
      </c>
      <c r="AB213" s="6">
        <v>1.8109244179999999</v>
      </c>
      <c r="AC213" s="6">
        <v>2.950433012</v>
      </c>
      <c r="AD213" cm="1">
        <f t="array" ref="AD213">IF(SUMPRODUCT(--($AM$2:$AM$112=TRIM(LEFT($B213,IFERROR(FIND(" ",$B213)-1,LEN($B213))))))&gt;0,1,0)</f>
        <v>0</v>
      </c>
      <c r="AE213" cm="1">
        <f t="array" ref="AE213">IF(SUMPRODUCT(--($AO$2:$AO$145=TRIM(LEFT($B213,IFERROR(FIND(" ",$B213)-1,LEN($B213))))))&gt;0,1,0)</f>
        <v>0</v>
      </c>
      <c r="AF213" cm="1">
        <f t="array" ref="AF213">IF(SUMPRODUCT(--($AQ$2:$AQ$71=TRIM(LEFT($B213,IFERROR(FIND(" ",$B213)-1,LEN($B213))))))&gt;0,1,0)</f>
        <v>0</v>
      </c>
    </row>
    <row r="214" spans="1:32" ht="45.75" thickBot="1" x14ac:dyDescent="0.3">
      <c r="A214" s="13">
        <v>164</v>
      </c>
      <c r="B214" s="4" t="s">
        <v>570</v>
      </c>
      <c r="C214" s="4" t="s">
        <v>571</v>
      </c>
      <c r="D214" s="7">
        <v>45432</v>
      </c>
      <c r="E214" s="3">
        <v>1974.34</v>
      </c>
      <c r="F214" s="4" t="s">
        <v>46</v>
      </c>
      <c r="G214" s="4"/>
      <c r="H214" s="4" t="s">
        <v>65</v>
      </c>
      <c r="I214" s="4" t="s">
        <v>66</v>
      </c>
      <c r="J214" s="4" t="s">
        <v>66</v>
      </c>
      <c r="K214" s="3">
        <v>186</v>
      </c>
      <c r="L214" s="3">
        <v>60.914999999999999</v>
      </c>
      <c r="M214" s="3">
        <v>16.84</v>
      </c>
      <c r="N214" s="3">
        <v>1974.34</v>
      </c>
      <c r="O214" s="4" t="s">
        <v>34</v>
      </c>
      <c r="P214" s="4" t="s">
        <v>34</v>
      </c>
      <c r="Q214" s="4" t="s">
        <v>35</v>
      </c>
      <c r="R214" s="3">
        <v>999.91700000000003</v>
      </c>
      <c r="S214" s="3">
        <v>-87.019000000000005</v>
      </c>
      <c r="T214" s="4" t="s">
        <v>43</v>
      </c>
      <c r="U214" s="2" t="s">
        <v>37</v>
      </c>
      <c r="V214" s="2" t="s">
        <v>37</v>
      </c>
      <c r="W214" s="2" t="s">
        <v>37</v>
      </c>
      <c r="X214" s="2" t="s">
        <v>37</v>
      </c>
      <c r="Y214" s="2" t="s">
        <v>37</v>
      </c>
      <c r="Z214" s="2" t="s">
        <v>37</v>
      </c>
      <c r="AA214" s="6">
        <v>3.2954219440000001</v>
      </c>
      <c r="AB214" s="6">
        <v>2.9999639519999999</v>
      </c>
      <c r="AC214" s="6">
        <v>3.2954219440000001</v>
      </c>
      <c r="AD214" cm="1">
        <f t="array" ref="AD214">IF(SUMPRODUCT(--($AM$2:$AM$112=TRIM(LEFT($B214,IFERROR(FIND(" ",$B214)-1,LEN($B214))))))&gt;0,1,0)</f>
        <v>0</v>
      </c>
      <c r="AE214" cm="1">
        <f t="array" ref="AE214">IF(SUMPRODUCT(--($AO$2:$AO$145=TRIM(LEFT($B214,IFERROR(FIND(" ",$B214)-1,LEN($B214))))))&gt;0,1,0)</f>
        <v>0</v>
      </c>
      <c r="AF214" cm="1">
        <f t="array" ref="AF214">IF(SUMPRODUCT(--($AQ$2:$AQ$71=TRIM(LEFT($B214,IFERROR(FIND(" ",$B214)-1,LEN($B214))))))&gt;0,1,0)</f>
        <v>0</v>
      </c>
    </row>
    <row r="215" spans="1:32" ht="210.75" thickBot="1" x14ac:dyDescent="0.3">
      <c r="A215" s="13">
        <v>316</v>
      </c>
      <c r="B215" s="4" t="s">
        <v>572</v>
      </c>
      <c r="C215" s="2"/>
      <c r="D215" s="7">
        <v>45215</v>
      </c>
      <c r="E215" s="3">
        <v>2308.02</v>
      </c>
      <c r="F215" s="4" t="s">
        <v>30</v>
      </c>
      <c r="G215" s="3">
        <v>-2.31</v>
      </c>
      <c r="H215" s="4" t="s">
        <v>184</v>
      </c>
      <c r="I215" s="4" t="s">
        <v>251</v>
      </c>
      <c r="J215" s="4" t="s">
        <v>251</v>
      </c>
      <c r="K215" s="4"/>
      <c r="L215" s="4"/>
      <c r="M215" s="4"/>
      <c r="N215" s="3">
        <v>358.44</v>
      </c>
      <c r="O215" s="4" t="s">
        <v>34</v>
      </c>
      <c r="P215" s="4" t="s">
        <v>49</v>
      </c>
      <c r="Q215" s="4" t="s">
        <v>399</v>
      </c>
      <c r="R215" s="3">
        <v>1110.1199999999999</v>
      </c>
      <c r="S215" s="3">
        <v>-5.4213699999999996</v>
      </c>
      <c r="T215" s="4" t="s">
        <v>573</v>
      </c>
      <c r="U215" s="2" t="s">
        <v>38</v>
      </c>
      <c r="V215" s="2" t="s">
        <v>37</v>
      </c>
      <c r="W215" s="2" t="s">
        <v>38</v>
      </c>
      <c r="X215" s="2" t="s">
        <v>38</v>
      </c>
      <c r="Y215" s="2" t="s">
        <v>38</v>
      </c>
      <c r="Z215" s="2" t="s">
        <v>37</v>
      </c>
      <c r="AA215" s="6">
        <v>3.363239568</v>
      </c>
      <c r="AB215" s="6">
        <v>3.0453699269999999</v>
      </c>
      <c r="AC215" s="6">
        <v>2.554416469</v>
      </c>
      <c r="AD215" cm="1">
        <f t="array" ref="AD215">IF(SUMPRODUCT(--($AM$2:$AM$112=TRIM(LEFT($B215,IFERROR(FIND(" ",$B215)-1,LEN($B215))))))&gt;0,1,0)</f>
        <v>0</v>
      </c>
      <c r="AE215" cm="1">
        <f t="array" ref="AE215">IF(SUMPRODUCT(--($AO$2:$AO$145=TRIM(LEFT($B215,IFERROR(FIND(" ",$B215)-1,LEN($B215))))))&gt;0,1,0)</f>
        <v>0</v>
      </c>
      <c r="AF215" cm="1">
        <f t="array" ref="AF215">IF(SUMPRODUCT(--($AQ$2:$AQ$71=TRIM(LEFT($B215,IFERROR(FIND(" ",$B215)-1,LEN($B215))))))&gt;0,1,0)</f>
        <v>0</v>
      </c>
    </row>
    <row r="216" spans="1:32" ht="135.75" thickBot="1" x14ac:dyDescent="0.3">
      <c r="A216" s="13">
        <v>57</v>
      </c>
      <c r="B216" s="4" t="s">
        <v>574</v>
      </c>
      <c r="C216" s="4" t="s">
        <v>575</v>
      </c>
      <c r="D216" s="7">
        <v>45572</v>
      </c>
      <c r="E216" s="3">
        <v>1946.52</v>
      </c>
      <c r="F216" s="4" t="s">
        <v>30</v>
      </c>
      <c r="G216" s="3">
        <v>14.11</v>
      </c>
      <c r="H216" s="4" t="s">
        <v>127</v>
      </c>
      <c r="I216" s="4" t="s">
        <v>128</v>
      </c>
      <c r="J216" s="4" t="s">
        <v>436</v>
      </c>
      <c r="K216" s="3">
        <v>95</v>
      </c>
      <c r="L216" s="3">
        <v>53.5</v>
      </c>
      <c r="M216" s="3">
        <v>93.95</v>
      </c>
      <c r="N216" s="3">
        <v>1633.93</v>
      </c>
      <c r="O216" s="4" t="s">
        <v>34</v>
      </c>
      <c r="P216" s="4" t="s">
        <v>34</v>
      </c>
      <c r="Q216" s="4" t="s">
        <v>35</v>
      </c>
      <c r="R216" s="3">
        <v>405.48099999999999</v>
      </c>
      <c r="S216" s="3">
        <v>21.6417</v>
      </c>
      <c r="T216" s="4" t="s">
        <v>450</v>
      </c>
      <c r="U216" s="2" t="s">
        <v>37</v>
      </c>
      <c r="V216" s="2" t="s">
        <v>37</v>
      </c>
      <c r="W216" s="2" t="s">
        <v>37</v>
      </c>
      <c r="X216" s="2" t="s">
        <v>38</v>
      </c>
      <c r="Y216" s="2" t="s">
        <v>38</v>
      </c>
      <c r="Z216" s="2" t="s">
        <v>37</v>
      </c>
      <c r="AA216" s="6">
        <v>3.2892588699999998</v>
      </c>
      <c r="AB216" s="6">
        <v>2.6079705089999998</v>
      </c>
      <c r="AC216" s="6">
        <v>3.2132334469999999</v>
      </c>
      <c r="AD216" cm="1">
        <f t="array" ref="AD216">IF(SUMPRODUCT(--($AM$2:$AM$112=TRIM(LEFT($B216,IFERROR(FIND(" ",$B216)-1,LEN($B216))))))&gt;0,1,0)</f>
        <v>0</v>
      </c>
      <c r="AE216" cm="1">
        <f t="array" ref="AE216">IF(SUMPRODUCT(--($AO$2:$AO$145=TRIM(LEFT($B216,IFERROR(FIND(" ",$B216)-1,LEN($B216))))))&gt;0,1,0)</f>
        <v>0</v>
      </c>
      <c r="AF216" cm="1">
        <f t="array" ref="AF216">IF(SUMPRODUCT(--($AQ$2:$AQ$71=TRIM(LEFT($B216,IFERROR(FIND(" ",$B216)-1,LEN($B216))))))&gt;0,1,0)</f>
        <v>0</v>
      </c>
    </row>
    <row r="217" spans="1:32" ht="150.75" thickBot="1" x14ac:dyDescent="0.3">
      <c r="A217" s="13">
        <v>157</v>
      </c>
      <c r="B217" s="4" t="s">
        <v>576</v>
      </c>
      <c r="C217" s="4" t="s">
        <v>577</v>
      </c>
      <c r="D217" s="7">
        <v>45429</v>
      </c>
      <c r="E217" s="3">
        <v>2543.69</v>
      </c>
      <c r="F217" s="4" t="s">
        <v>30</v>
      </c>
      <c r="G217" s="3">
        <v>5.74</v>
      </c>
      <c r="H217" s="4" t="s">
        <v>279</v>
      </c>
      <c r="I217" s="4" t="s">
        <v>279</v>
      </c>
      <c r="J217" s="4" t="s">
        <v>280</v>
      </c>
      <c r="K217" s="4"/>
      <c r="L217" s="4"/>
      <c r="M217" s="3">
        <v>-2.97</v>
      </c>
      <c r="N217" s="3">
        <v>2543.69</v>
      </c>
      <c r="O217" s="4" t="s">
        <v>34</v>
      </c>
      <c r="P217" s="4" t="s">
        <v>578</v>
      </c>
      <c r="Q217" s="4" t="s">
        <v>35</v>
      </c>
      <c r="R217" s="3">
        <v>8309</v>
      </c>
      <c r="S217" s="3">
        <v>15.0718</v>
      </c>
      <c r="T217" s="4" t="s">
        <v>228</v>
      </c>
      <c r="U217" s="2" t="s">
        <v>38</v>
      </c>
      <c r="V217" s="2" t="s">
        <v>37</v>
      </c>
      <c r="W217" s="2" t="s">
        <v>38</v>
      </c>
      <c r="X217" s="2" t="s">
        <v>37</v>
      </c>
      <c r="Y217" s="2" t="s">
        <v>37</v>
      </c>
      <c r="Z217" s="2" t="s">
        <v>37</v>
      </c>
      <c r="AA217" s="6">
        <v>3.4054641829999999</v>
      </c>
      <c r="AB217" s="6">
        <v>3.919548759</v>
      </c>
      <c r="AC217" s="6">
        <v>3.4054641829999999</v>
      </c>
      <c r="AD217" cm="1">
        <f t="array" ref="AD217">IF(SUMPRODUCT(--($AM$2:$AM$112=TRIM(LEFT($B217,IFERROR(FIND(" ",$B217)-1,LEN($B217))))))&gt;0,1,0)</f>
        <v>0</v>
      </c>
      <c r="AE217" cm="1">
        <f t="array" ref="AE217">IF(SUMPRODUCT(--($AO$2:$AO$145=TRIM(LEFT($B217,IFERROR(FIND(" ",$B217)-1,LEN($B217))))))&gt;0,1,0)</f>
        <v>0</v>
      </c>
      <c r="AF217" cm="1">
        <f t="array" ref="AF217">IF(SUMPRODUCT(--($AQ$2:$AQ$71=TRIM(LEFT($B217,IFERROR(FIND(" ",$B217)-1,LEN($B217))))))&gt;0,1,0)</f>
        <v>0</v>
      </c>
    </row>
    <row r="218" spans="1:32" ht="165.75" thickBot="1" x14ac:dyDescent="0.3">
      <c r="A218" s="13">
        <v>228</v>
      </c>
      <c r="B218" s="4" t="s">
        <v>579</v>
      </c>
      <c r="C218" s="4" t="s">
        <v>580</v>
      </c>
      <c r="D218" s="7">
        <v>45327</v>
      </c>
      <c r="E218" s="3">
        <v>16208.41</v>
      </c>
      <c r="F218" s="4" t="s">
        <v>30</v>
      </c>
      <c r="G218" s="3">
        <v>55.13</v>
      </c>
      <c r="H218" s="4" t="s">
        <v>41</v>
      </c>
      <c r="I218" s="4" t="s">
        <v>41</v>
      </c>
      <c r="J218" s="4" t="s">
        <v>100</v>
      </c>
      <c r="K218" s="4"/>
      <c r="L218" s="4"/>
      <c r="M218" s="3">
        <v>26.4</v>
      </c>
      <c r="N218" s="3">
        <v>11471.41</v>
      </c>
      <c r="O218" s="4" t="s">
        <v>34</v>
      </c>
      <c r="P218" s="4" t="s">
        <v>292</v>
      </c>
      <c r="Q218" s="4" t="s">
        <v>35</v>
      </c>
      <c r="R218" s="3">
        <v>4381</v>
      </c>
      <c r="S218" s="3">
        <v>-2.0352800000000002</v>
      </c>
      <c r="T218" s="4" t="s">
        <v>581</v>
      </c>
      <c r="U218" s="2" t="s">
        <v>37</v>
      </c>
      <c r="V218" s="2" t="s">
        <v>37</v>
      </c>
      <c r="W218" s="2" t="s">
        <v>38</v>
      </c>
      <c r="X218" s="2" t="s">
        <v>38</v>
      </c>
      <c r="Y218" s="2" t="s">
        <v>38</v>
      </c>
      <c r="Z218" s="2" t="s">
        <v>37</v>
      </c>
      <c r="AA218" s="6">
        <v>4.2097404139999997</v>
      </c>
      <c r="AB218" s="6">
        <v>3.6415732529999998</v>
      </c>
      <c r="AC218" s="6">
        <v>4.0596168019999999</v>
      </c>
      <c r="AD218" cm="1">
        <f t="array" ref="AD218">IF(SUMPRODUCT(--($AM$2:$AM$112=TRIM(LEFT($B218,IFERROR(FIND(" ",$B218)-1,LEN($B218))))))&gt;0,1,0)</f>
        <v>0</v>
      </c>
      <c r="AE218" cm="1">
        <f t="array" ref="AE218">IF(SUMPRODUCT(--($AO$2:$AO$145=TRIM(LEFT($B218,IFERROR(FIND(" ",$B218)-1,LEN($B218))))))&gt;0,1,0)</f>
        <v>1</v>
      </c>
      <c r="AF218" cm="1">
        <f t="array" ref="AF218">IF(SUMPRODUCT(--($AQ$2:$AQ$71=TRIM(LEFT($B218,IFERROR(FIND(" ",$B218)-1,LEN($B218))))))&gt;0,1,0)</f>
        <v>0</v>
      </c>
    </row>
    <row r="219" spans="1:32" ht="60.75" thickBot="1" x14ac:dyDescent="0.3">
      <c r="A219" s="13">
        <v>557</v>
      </c>
      <c r="B219" s="4" t="s">
        <v>582</v>
      </c>
      <c r="C219" s="4" t="s">
        <v>583</v>
      </c>
      <c r="D219" s="7">
        <v>44858</v>
      </c>
      <c r="E219" s="3">
        <v>3400</v>
      </c>
      <c r="F219" s="4" t="s">
        <v>46</v>
      </c>
      <c r="G219" s="4"/>
      <c r="H219" s="4" t="s">
        <v>127</v>
      </c>
      <c r="I219" s="4" t="s">
        <v>128</v>
      </c>
      <c r="J219" s="4" t="s">
        <v>584</v>
      </c>
      <c r="K219" s="4"/>
      <c r="L219" s="4"/>
      <c r="M219" s="4"/>
      <c r="N219" s="3">
        <v>3199.76</v>
      </c>
      <c r="O219" s="4" t="s">
        <v>49</v>
      </c>
      <c r="P219" s="4" t="s">
        <v>49</v>
      </c>
      <c r="Q219" s="4" t="s">
        <v>35</v>
      </c>
      <c r="R219" s="3">
        <v>223.37799999999999</v>
      </c>
      <c r="S219" s="3">
        <v>-35.183700000000002</v>
      </c>
      <c r="T219" s="4" t="s">
        <v>43</v>
      </c>
      <c r="U219" s="2" t="s">
        <v>37</v>
      </c>
      <c r="V219" s="2" t="s">
        <v>37</v>
      </c>
      <c r="W219" s="2" t="s">
        <v>37</v>
      </c>
      <c r="X219" s="2" t="s">
        <v>37</v>
      </c>
      <c r="Y219" s="2" t="s">
        <v>37</v>
      </c>
      <c r="Z219" s="2" t="s">
        <v>37</v>
      </c>
      <c r="AA219" s="6">
        <v>3.5314789169999998</v>
      </c>
      <c r="AB219" s="6">
        <v>2.3490403980000001</v>
      </c>
      <c r="AC219" s="6">
        <v>3.505117405</v>
      </c>
      <c r="AD219" cm="1">
        <f t="array" ref="AD219">IF(SUMPRODUCT(--($AM$2:$AM$112=TRIM(LEFT($B219,IFERROR(FIND(" ",$B219)-1,LEN($B219))))))&gt;0,1,0)</f>
        <v>0</v>
      </c>
      <c r="AE219" cm="1">
        <f t="array" ref="AE219">IF(SUMPRODUCT(--($AO$2:$AO$145=TRIM(LEFT($B219,IFERROR(FIND(" ",$B219)-1,LEN($B219))))))&gt;0,1,0)</f>
        <v>0</v>
      </c>
      <c r="AF219" cm="1">
        <f t="array" ref="AF219">IF(SUMPRODUCT(--($AQ$2:$AQ$71=TRIM(LEFT($B219,IFERROR(FIND(" ",$B219)-1,LEN($B219))))))&gt;0,1,0)</f>
        <v>0</v>
      </c>
    </row>
    <row r="220" spans="1:32" ht="105.75" thickBot="1" x14ac:dyDescent="0.3">
      <c r="A220" s="13">
        <v>37</v>
      </c>
      <c r="B220" s="4" t="s">
        <v>585</v>
      </c>
      <c r="C220" s="4" t="s">
        <v>586</v>
      </c>
      <c r="D220" s="7">
        <v>45579</v>
      </c>
      <c r="E220" s="3">
        <v>2474.7199999999998</v>
      </c>
      <c r="F220" s="4" t="s">
        <v>30</v>
      </c>
      <c r="G220" s="4"/>
      <c r="H220" s="4" t="s">
        <v>41</v>
      </c>
      <c r="I220" s="4" t="s">
        <v>41</v>
      </c>
      <c r="J220" s="4" t="s">
        <v>42</v>
      </c>
      <c r="K220" s="3">
        <v>158.9</v>
      </c>
      <c r="L220" s="3">
        <v>86.1</v>
      </c>
      <c r="M220" s="3">
        <v>79.73</v>
      </c>
      <c r="N220" s="3">
        <v>2775.73</v>
      </c>
      <c r="O220" s="4" t="s">
        <v>34</v>
      </c>
      <c r="P220" s="4" t="s">
        <v>292</v>
      </c>
      <c r="Q220" s="4" t="s">
        <v>35</v>
      </c>
      <c r="R220" s="2"/>
      <c r="S220" s="2"/>
      <c r="T220" s="4" t="s">
        <v>587</v>
      </c>
      <c r="U220" s="2" t="s">
        <v>37</v>
      </c>
      <c r="V220" s="2" t="s">
        <v>37</v>
      </c>
      <c r="W220" s="2" t="s">
        <v>38</v>
      </c>
      <c r="X220" s="2" t="s">
        <v>37</v>
      </c>
      <c r="Y220" s="2" t="s">
        <v>37</v>
      </c>
      <c r="Z220" s="2" t="s">
        <v>38</v>
      </c>
      <c r="AA220" s="6">
        <v>3.3935260679999999</v>
      </c>
      <c r="AB220" s="2"/>
      <c r="AC220" s="6">
        <v>3.4433772189999998</v>
      </c>
      <c r="AD220" cm="1">
        <f t="array" ref="AD220">IF(SUMPRODUCT(--($AM$2:$AM$112=TRIM(LEFT($B220,IFERROR(FIND(" ",$B220)-1,LEN($B220))))))&gt;0,1,0)</f>
        <v>0</v>
      </c>
      <c r="AE220" cm="1">
        <f t="array" ref="AE220">IF(SUMPRODUCT(--($AO$2:$AO$145=TRIM(LEFT($B220,IFERROR(FIND(" ",$B220)-1,LEN($B220))))))&gt;0,1,0)</f>
        <v>0</v>
      </c>
      <c r="AF220" cm="1">
        <f t="array" ref="AF220">IF(SUMPRODUCT(--($AQ$2:$AQ$71=TRIM(LEFT($B220,IFERROR(FIND(" ",$B220)-1,LEN($B220))))))&gt;0,1,0)</f>
        <v>0</v>
      </c>
    </row>
    <row r="221" spans="1:32" ht="75.75" thickBot="1" x14ac:dyDescent="0.3">
      <c r="A221" s="13">
        <v>206</v>
      </c>
      <c r="B221" s="4" t="s">
        <v>588</v>
      </c>
      <c r="C221" s="4" t="s">
        <v>589</v>
      </c>
      <c r="D221" s="7">
        <v>45342</v>
      </c>
      <c r="E221" s="3">
        <v>2300</v>
      </c>
      <c r="F221" s="4" t="s">
        <v>30</v>
      </c>
      <c r="G221" s="3">
        <v>109.71</v>
      </c>
      <c r="H221" s="4" t="s">
        <v>31</v>
      </c>
      <c r="I221" s="4" t="s">
        <v>432</v>
      </c>
      <c r="J221" s="4" t="s">
        <v>433</v>
      </c>
      <c r="K221" s="4"/>
      <c r="L221" s="4"/>
      <c r="M221" s="4"/>
      <c r="N221" s="3">
        <v>2621.4</v>
      </c>
      <c r="O221" s="4" t="s">
        <v>34</v>
      </c>
      <c r="P221" s="4" t="s">
        <v>34</v>
      </c>
      <c r="Q221" s="4" t="s">
        <v>35</v>
      </c>
      <c r="R221" s="3">
        <v>1680</v>
      </c>
      <c r="S221" s="3">
        <v>-1.3517399999999999</v>
      </c>
      <c r="T221" s="4" t="s">
        <v>43</v>
      </c>
      <c r="U221" s="2" t="s">
        <v>37</v>
      </c>
      <c r="V221" s="2" t="s">
        <v>37</v>
      </c>
      <c r="W221" s="2" t="s">
        <v>37</v>
      </c>
      <c r="X221" s="2" t="s">
        <v>37</v>
      </c>
      <c r="Y221" s="2" t="s">
        <v>37</v>
      </c>
      <c r="Z221" s="2" t="s">
        <v>37</v>
      </c>
      <c r="AA221" s="6">
        <v>3.361727836</v>
      </c>
      <c r="AB221" s="6">
        <v>3.225309282</v>
      </c>
      <c r="AC221" s="6">
        <v>3.418533295</v>
      </c>
      <c r="AD221" cm="1">
        <f t="array" ref="AD221">IF(SUMPRODUCT(--($AM$2:$AM$112=TRIM(LEFT($B221,IFERROR(FIND(" ",$B221)-1,LEN($B221))))))&gt;0,1,0)</f>
        <v>0</v>
      </c>
      <c r="AE221" cm="1">
        <f t="array" ref="AE221">IF(SUMPRODUCT(--($AO$2:$AO$145=TRIM(LEFT($B221,IFERROR(FIND(" ",$B221)-1,LEN($B221))))))&gt;0,1,0)</f>
        <v>0</v>
      </c>
      <c r="AF221" cm="1">
        <f t="array" ref="AF221">IF(SUMPRODUCT(--($AQ$2:$AQ$71=TRIM(LEFT($B221,IFERROR(FIND(" ",$B221)-1,LEN($B221))))))&gt;0,1,0)</f>
        <v>0</v>
      </c>
    </row>
    <row r="222" spans="1:32" ht="75.75" thickBot="1" x14ac:dyDescent="0.3">
      <c r="A222" s="13">
        <v>293</v>
      </c>
      <c r="B222" s="4" t="s">
        <v>590</v>
      </c>
      <c r="C222" s="4" t="s">
        <v>591</v>
      </c>
      <c r="D222" s="7">
        <v>45214</v>
      </c>
      <c r="E222" s="3">
        <v>2504.42</v>
      </c>
      <c r="F222" s="4" t="s">
        <v>30</v>
      </c>
      <c r="G222" s="3">
        <v>11.01</v>
      </c>
      <c r="H222" s="4" t="s">
        <v>75</v>
      </c>
      <c r="I222" s="4" t="s">
        <v>76</v>
      </c>
      <c r="J222" s="4" t="s">
        <v>592</v>
      </c>
      <c r="K222" s="4"/>
      <c r="L222" s="4"/>
      <c r="M222" s="3">
        <v>-18.920000000000002</v>
      </c>
      <c r="N222" s="3">
        <v>1493.62</v>
      </c>
      <c r="O222" s="4" t="s">
        <v>34</v>
      </c>
      <c r="P222" s="4" t="s">
        <v>593</v>
      </c>
      <c r="Q222" s="4" t="s">
        <v>35</v>
      </c>
      <c r="R222" s="3">
        <v>2746.06</v>
      </c>
      <c r="S222" s="3">
        <v>1.0884100000000001</v>
      </c>
      <c r="T222" s="4" t="s">
        <v>97</v>
      </c>
      <c r="U222" s="2" t="s">
        <v>37</v>
      </c>
      <c r="V222" s="2" t="s">
        <v>37</v>
      </c>
      <c r="W222" s="2" t="s">
        <v>38</v>
      </c>
      <c r="X222" s="2" t="s">
        <v>37</v>
      </c>
      <c r="Y222" s="2" t="s">
        <v>37</v>
      </c>
      <c r="Z222" s="2" t="s">
        <v>37</v>
      </c>
      <c r="AA222" s="6">
        <v>3.3987071630000001</v>
      </c>
      <c r="AB222" s="6">
        <v>3.438710022</v>
      </c>
      <c r="AC222" s="6">
        <v>3.1742401199999999</v>
      </c>
      <c r="AD222" cm="1">
        <f t="array" ref="AD222">IF(SUMPRODUCT(--($AM$2:$AM$112=TRIM(LEFT($B222,IFERROR(FIND(" ",$B222)-1,LEN($B222))))))&gt;0,1,0)</f>
        <v>0</v>
      </c>
      <c r="AE222" cm="1">
        <f t="array" ref="AE222">IF(SUMPRODUCT(--($AO$2:$AO$145=TRIM(LEFT($B222,IFERROR(FIND(" ",$B222)-1,LEN($B222))))))&gt;0,1,0)</f>
        <v>0</v>
      </c>
      <c r="AF222" cm="1">
        <f t="array" ref="AF222">IF(SUMPRODUCT(--($AQ$2:$AQ$71=TRIM(LEFT($B222,IFERROR(FIND(" ",$B222)-1,LEN($B222))))))&gt;0,1,0)</f>
        <v>1</v>
      </c>
    </row>
    <row r="223" spans="1:32" ht="135.75" thickBot="1" x14ac:dyDescent="0.3">
      <c r="A223" s="13">
        <v>98</v>
      </c>
      <c r="B223" s="4" t="s">
        <v>594</v>
      </c>
      <c r="C223" s="2"/>
      <c r="D223" s="7">
        <v>45484</v>
      </c>
      <c r="E223" s="3">
        <v>4410.29</v>
      </c>
      <c r="F223" s="4" t="s">
        <v>30</v>
      </c>
      <c r="G223" s="4"/>
      <c r="H223" s="4" t="s">
        <v>31</v>
      </c>
      <c r="I223" s="4" t="s">
        <v>32</v>
      </c>
      <c r="J223" s="4" t="s">
        <v>33</v>
      </c>
      <c r="K223" s="3">
        <v>220</v>
      </c>
      <c r="L223" s="3">
        <v>90.65</v>
      </c>
      <c r="M223" s="3">
        <v>1.84</v>
      </c>
      <c r="N223" s="3">
        <v>3483.11</v>
      </c>
      <c r="O223" s="4" t="s">
        <v>34</v>
      </c>
      <c r="P223" s="4" t="s">
        <v>34</v>
      </c>
      <c r="Q223" s="4" t="s">
        <v>35</v>
      </c>
      <c r="R223" s="3">
        <v>1245.6199999999999</v>
      </c>
      <c r="S223" s="3">
        <v>-17.8445</v>
      </c>
      <c r="T223" s="4" t="s">
        <v>225</v>
      </c>
      <c r="U223" s="2" t="s">
        <v>37</v>
      </c>
      <c r="V223" s="2" t="s">
        <v>37</v>
      </c>
      <c r="W223" s="2" t="s">
        <v>37</v>
      </c>
      <c r="X223" s="2" t="s">
        <v>38</v>
      </c>
      <c r="Y223" s="2" t="s">
        <v>38</v>
      </c>
      <c r="Z223" s="2" t="s">
        <v>37</v>
      </c>
      <c r="AA223" s="6">
        <v>3.6444671479999999</v>
      </c>
      <c r="AB223" s="6">
        <v>3.0953855730000002</v>
      </c>
      <c r="AC223" s="6">
        <v>3.5419671899999998</v>
      </c>
      <c r="AD223" cm="1">
        <f t="array" ref="AD223">IF(SUMPRODUCT(--($AM$2:$AM$112=TRIM(LEFT($B223,IFERROR(FIND(" ",$B223)-1,LEN($B223))))))&gt;0,1,0)</f>
        <v>0</v>
      </c>
      <c r="AE223" cm="1">
        <f t="array" ref="AE223">IF(SUMPRODUCT(--($AO$2:$AO$145=TRIM(LEFT($B223,IFERROR(FIND(" ",$B223)-1,LEN($B223))))))&gt;0,1,0)</f>
        <v>0</v>
      </c>
      <c r="AF223" cm="1">
        <f t="array" ref="AF223">IF(SUMPRODUCT(--($AQ$2:$AQ$71=TRIM(LEFT($B223,IFERROR(FIND(" ",$B223)-1,LEN($B223))))))&gt;0,1,0)</f>
        <v>0</v>
      </c>
    </row>
    <row r="224" spans="1:32" ht="45.75" thickBot="1" x14ac:dyDescent="0.3">
      <c r="A224" s="13">
        <v>129</v>
      </c>
      <c r="B224" s="4" t="s">
        <v>595</v>
      </c>
      <c r="C224" s="4" t="s">
        <v>596</v>
      </c>
      <c r="D224" s="7">
        <v>45440</v>
      </c>
      <c r="E224" s="3">
        <v>22921.61</v>
      </c>
      <c r="F224" s="4" t="s">
        <v>46</v>
      </c>
      <c r="G224" s="3">
        <v>4.6399999999999997</v>
      </c>
      <c r="H224" s="4" t="s">
        <v>118</v>
      </c>
      <c r="I224" s="4" t="s">
        <v>119</v>
      </c>
      <c r="J224" s="4" t="s">
        <v>120</v>
      </c>
      <c r="K224" s="4"/>
      <c r="L224" s="4"/>
      <c r="M224" s="3">
        <v>17.43</v>
      </c>
      <c r="N224" s="3">
        <v>17542.61</v>
      </c>
      <c r="O224" s="4" t="s">
        <v>34</v>
      </c>
      <c r="P224" s="4" t="s">
        <v>34</v>
      </c>
      <c r="Q224" s="4" t="s">
        <v>35</v>
      </c>
      <c r="R224" s="3">
        <v>6453</v>
      </c>
      <c r="S224" s="3">
        <v>28.684699999999999</v>
      </c>
      <c r="T224" s="4" t="s">
        <v>43</v>
      </c>
      <c r="U224" s="2" t="s">
        <v>37</v>
      </c>
      <c r="V224" s="2" t="s">
        <v>37</v>
      </c>
      <c r="W224" s="2" t="s">
        <v>37</v>
      </c>
      <c r="X224" s="2" t="s">
        <v>37</v>
      </c>
      <c r="Y224" s="2" t="s">
        <v>37</v>
      </c>
      <c r="Z224" s="2" t="s">
        <v>37</v>
      </c>
      <c r="AA224" s="6">
        <v>4.360245119</v>
      </c>
      <c r="AB224" s="6">
        <v>3.8097616649999999</v>
      </c>
      <c r="AC224" s="6">
        <v>4.2440942079999999</v>
      </c>
      <c r="AD224" cm="1">
        <f t="array" ref="AD224">IF(SUMPRODUCT(--($AM$2:$AM$112=TRIM(LEFT($B224,IFERROR(FIND(" ",$B224)-1,LEN($B224))))))&gt;0,1,0)</f>
        <v>0</v>
      </c>
      <c r="AE224" cm="1">
        <f t="array" ref="AE224">IF(SUMPRODUCT(--($AO$2:$AO$145=TRIM(LEFT($B224,IFERROR(FIND(" ",$B224)-1,LEN($B224))))))&gt;0,1,0)</f>
        <v>0</v>
      </c>
      <c r="AF224" cm="1">
        <f t="array" ref="AF224">IF(SUMPRODUCT(--($AQ$2:$AQ$71=TRIM(LEFT($B224,IFERROR(FIND(" ",$B224)-1,LEN($B224))))))&gt;0,1,0)</f>
        <v>0</v>
      </c>
    </row>
    <row r="225" spans="1:32" ht="75.75" thickBot="1" x14ac:dyDescent="0.3">
      <c r="A225" s="13">
        <v>210</v>
      </c>
      <c r="B225" s="4" t="s">
        <v>597</v>
      </c>
      <c r="C225" s="4" t="s">
        <v>598</v>
      </c>
      <c r="D225" s="7">
        <v>45327</v>
      </c>
      <c r="E225" s="3">
        <v>800.94</v>
      </c>
      <c r="F225" s="4" t="s">
        <v>30</v>
      </c>
      <c r="G225" s="3">
        <v>10.06</v>
      </c>
      <c r="H225" s="4" t="s">
        <v>47</v>
      </c>
      <c r="I225" s="4" t="s">
        <v>47</v>
      </c>
      <c r="J225" s="4" t="s">
        <v>212</v>
      </c>
      <c r="K225" s="4"/>
      <c r="L225" s="3">
        <v>28</v>
      </c>
      <c r="M225" s="3">
        <v>13.09</v>
      </c>
      <c r="N225" s="3">
        <v>802.85</v>
      </c>
      <c r="O225" s="4" t="s">
        <v>34</v>
      </c>
      <c r="P225" s="4" t="s">
        <v>578</v>
      </c>
      <c r="Q225" s="4" t="s">
        <v>35</v>
      </c>
      <c r="R225" s="3">
        <v>589.95600000000002</v>
      </c>
      <c r="S225" s="3">
        <v>8.3897399999999998</v>
      </c>
      <c r="T225" s="4" t="s">
        <v>97</v>
      </c>
      <c r="U225" s="2" t="s">
        <v>37</v>
      </c>
      <c r="V225" s="2" t="s">
        <v>37</v>
      </c>
      <c r="W225" s="2" t="s">
        <v>38</v>
      </c>
      <c r="X225" s="2" t="s">
        <v>37</v>
      </c>
      <c r="Y225" s="2" t="s">
        <v>37</v>
      </c>
      <c r="Z225" s="2" t="s">
        <v>37</v>
      </c>
      <c r="AA225" s="6">
        <v>2.9035999829999999</v>
      </c>
      <c r="AB225" s="6">
        <v>2.7708196219999999</v>
      </c>
      <c r="AC225" s="6">
        <v>2.9046344120000001</v>
      </c>
      <c r="AD225" cm="1">
        <f t="array" ref="AD225">IF(SUMPRODUCT(--($AM$2:$AM$112=TRIM(LEFT($B225,IFERROR(FIND(" ",$B225)-1,LEN($B225))))))&gt;0,1,0)</f>
        <v>0</v>
      </c>
      <c r="AE225" cm="1">
        <f t="array" ref="AE225">IF(SUMPRODUCT(--($AO$2:$AO$145=TRIM(LEFT($B225,IFERROR(FIND(" ",$B225)-1,LEN($B225))))))&gt;0,1,0)</f>
        <v>0</v>
      </c>
      <c r="AF225" cm="1">
        <f t="array" ref="AF225">IF(SUMPRODUCT(--($AQ$2:$AQ$71=TRIM(LEFT($B225,IFERROR(FIND(" ",$B225)-1,LEN($B225))))))&gt;0,1,0)</f>
        <v>1</v>
      </c>
    </row>
    <row r="226" spans="1:32" ht="225.75" thickBot="1" x14ac:dyDescent="0.3">
      <c r="A226" s="13">
        <v>80</v>
      </c>
      <c r="B226" s="4" t="s">
        <v>599</v>
      </c>
      <c r="C226" s="2"/>
      <c r="D226" s="7">
        <v>45505</v>
      </c>
      <c r="E226" s="3">
        <v>6079.37</v>
      </c>
      <c r="F226" s="4" t="s">
        <v>30</v>
      </c>
      <c r="G226" s="3">
        <v>4.99</v>
      </c>
      <c r="H226" s="4" t="s">
        <v>70</v>
      </c>
      <c r="I226" s="4" t="s">
        <v>94</v>
      </c>
      <c r="J226" s="4" t="s">
        <v>95</v>
      </c>
      <c r="K226" s="4"/>
      <c r="L226" s="4"/>
      <c r="M226" s="3">
        <v>12.17</v>
      </c>
      <c r="N226" s="3">
        <v>3867.67</v>
      </c>
      <c r="O226" s="4" t="s">
        <v>34</v>
      </c>
      <c r="P226" s="4" t="s">
        <v>34</v>
      </c>
      <c r="Q226" s="4" t="s">
        <v>35</v>
      </c>
      <c r="R226" s="3">
        <v>2254.1999999999998</v>
      </c>
      <c r="S226" s="3">
        <v>4.14011</v>
      </c>
      <c r="T226" s="4" t="s">
        <v>600</v>
      </c>
      <c r="U226" s="2" t="s">
        <v>38</v>
      </c>
      <c r="V226" s="2" t="s">
        <v>38</v>
      </c>
      <c r="W226" s="2" t="s">
        <v>37</v>
      </c>
      <c r="X226" s="2" t="s">
        <v>38</v>
      </c>
      <c r="Y226" s="2" t="s">
        <v>38</v>
      </c>
      <c r="Z226" s="2" t="s">
        <v>37</v>
      </c>
      <c r="AA226" s="6">
        <v>3.7838585760000001</v>
      </c>
      <c r="AB226" s="6">
        <v>3.3529924449999999</v>
      </c>
      <c r="AC226" s="6">
        <v>3.5874494119999998</v>
      </c>
      <c r="AD226" cm="1">
        <f t="array" ref="AD226">IF(SUMPRODUCT(--($AM$2:$AM$112=TRIM(LEFT($B226,IFERROR(FIND(" ",$B226)-1,LEN($B226))))))&gt;0,1,0)</f>
        <v>0</v>
      </c>
      <c r="AE226" cm="1">
        <f t="array" ref="AE226">IF(SUMPRODUCT(--($AO$2:$AO$145=TRIM(LEFT($B226,IFERROR(FIND(" ",$B226)-1,LEN($B226))))))&gt;0,1,0)</f>
        <v>1</v>
      </c>
      <c r="AF226" cm="1">
        <f t="array" ref="AF226">IF(SUMPRODUCT(--($AQ$2:$AQ$71=TRIM(LEFT($B226,IFERROR(FIND(" ",$B226)-1,LEN($B226))))))&gt;0,1,0)</f>
        <v>0</v>
      </c>
    </row>
    <row r="227" spans="1:32" ht="165.75" thickBot="1" x14ac:dyDescent="0.3">
      <c r="A227" s="13">
        <v>167</v>
      </c>
      <c r="B227" s="4" t="s">
        <v>601</v>
      </c>
      <c r="C227" s="4" t="s">
        <v>602</v>
      </c>
      <c r="D227" s="7">
        <v>45383</v>
      </c>
      <c r="E227" s="3">
        <v>6300</v>
      </c>
      <c r="F227" s="4" t="s">
        <v>30</v>
      </c>
      <c r="G227" s="3">
        <v>4.3</v>
      </c>
      <c r="H227" s="4" t="s">
        <v>65</v>
      </c>
      <c r="I227" s="4" t="s">
        <v>138</v>
      </c>
      <c r="J227" s="4" t="s">
        <v>139</v>
      </c>
      <c r="K227" s="3">
        <v>250</v>
      </c>
      <c r="L227" s="3">
        <v>150</v>
      </c>
      <c r="M227" s="4"/>
      <c r="N227" s="3">
        <v>6300</v>
      </c>
      <c r="O227" s="4" t="s">
        <v>49</v>
      </c>
      <c r="P227" s="4" t="s">
        <v>34</v>
      </c>
      <c r="Q227" s="4" t="s">
        <v>35</v>
      </c>
      <c r="R227" s="3">
        <v>1189.8900000000001</v>
      </c>
      <c r="S227" s="3">
        <v>13.3874</v>
      </c>
      <c r="T227" s="4" t="s">
        <v>603</v>
      </c>
      <c r="U227" s="2" t="s">
        <v>37</v>
      </c>
      <c r="V227" s="2" t="s">
        <v>37</v>
      </c>
      <c r="W227" s="2" t="s">
        <v>38</v>
      </c>
      <c r="X227" s="2" t="s">
        <v>38</v>
      </c>
      <c r="Y227" s="2" t="s">
        <v>38</v>
      </c>
      <c r="Z227" s="2" t="s">
        <v>37</v>
      </c>
      <c r="AA227" s="6">
        <v>3.7993405490000001</v>
      </c>
      <c r="AB227" s="6">
        <v>3.0755068149999998</v>
      </c>
      <c r="AC227" s="6">
        <v>3.7993405490000001</v>
      </c>
      <c r="AD227" cm="1">
        <f t="array" ref="AD227">IF(SUMPRODUCT(--($AM$2:$AM$112=TRIM(LEFT($B227,IFERROR(FIND(" ",$B227)-1,LEN($B227))))))&gt;0,1,0)</f>
        <v>1</v>
      </c>
      <c r="AE227" cm="1">
        <f t="array" ref="AE227">IF(SUMPRODUCT(--($AO$2:$AO$145=TRIM(LEFT($B227,IFERROR(FIND(" ",$B227)-1,LEN($B227))))))&gt;0,1,0)</f>
        <v>1</v>
      </c>
      <c r="AF227" cm="1">
        <f t="array" ref="AF227">IF(SUMPRODUCT(--($AQ$2:$AQ$71=TRIM(LEFT($B227,IFERROR(FIND(" ",$B227)-1,LEN($B227))))))&gt;0,1,0)</f>
        <v>0</v>
      </c>
    </row>
    <row r="228" spans="1:32" ht="60.75" thickBot="1" x14ac:dyDescent="0.3">
      <c r="A228" s="13">
        <v>226</v>
      </c>
      <c r="B228" s="4" t="s">
        <v>604</v>
      </c>
      <c r="C228" s="4" t="s">
        <v>605</v>
      </c>
      <c r="D228" s="7">
        <v>45299</v>
      </c>
      <c r="E228" s="3">
        <v>3315.6</v>
      </c>
      <c r="F228" s="4" t="s">
        <v>30</v>
      </c>
      <c r="G228" s="4"/>
      <c r="H228" s="4" t="s">
        <v>41</v>
      </c>
      <c r="I228" s="4" t="s">
        <v>41</v>
      </c>
      <c r="J228" s="4" t="s">
        <v>60</v>
      </c>
      <c r="K228" s="3">
        <v>140</v>
      </c>
      <c r="L228" s="4"/>
      <c r="M228" s="3">
        <v>19.66</v>
      </c>
      <c r="N228" s="3">
        <v>3657.47</v>
      </c>
      <c r="O228" s="4" t="s">
        <v>34</v>
      </c>
      <c r="P228" s="4" t="s">
        <v>34</v>
      </c>
      <c r="Q228" s="4" t="s">
        <v>35</v>
      </c>
      <c r="R228" s="3">
        <v>366.37900000000002</v>
      </c>
      <c r="S228" s="3">
        <v>-4.7927499999999998</v>
      </c>
      <c r="T228" s="4" t="s">
        <v>43</v>
      </c>
      <c r="U228" s="2" t="s">
        <v>37</v>
      </c>
      <c r="V228" s="2" t="s">
        <v>37</v>
      </c>
      <c r="W228" s="2" t="s">
        <v>37</v>
      </c>
      <c r="X228" s="2" t="s">
        <v>37</v>
      </c>
      <c r="Y228" s="2" t="s">
        <v>37</v>
      </c>
      <c r="Z228" s="2" t="s">
        <v>37</v>
      </c>
      <c r="AA228" s="6">
        <v>3.5205621310000002</v>
      </c>
      <c r="AB228" s="6">
        <v>2.5639305729999999</v>
      </c>
      <c r="AC228" s="6">
        <v>3.563180773</v>
      </c>
      <c r="AD228" cm="1">
        <f t="array" ref="AD228">IF(SUMPRODUCT(--($AM$2:$AM$112=TRIM(LEFT($B228,IFERROR(FIND(" ",$B228)-1,LEN($B228))))))&gt;0,1,0)</f>
        <v>0</v>
      </c>
      <c r="AE228" cm="1">
        <f t="array" ref="AE228">IF(SUMPRODUCT(--($AO$2:$AO$145=TRIM(LEFT($B228,IFERROR(FIND(" ",$B228)-1,LEN($B228))))))&gt;0,1,0)</f>
        <v>0</v>
      </c>
      <c r="AF228" cm="1">
        <f t="array" ref="AF228">IF(SUMPRODUCT(--($AQ$2:$AQ$71=TRIM(LEFT($B228,IFERROR(FIND(" ",$B228)-1,LEN($B228))))))&gt;0,1,0)</f>
        <v>0</v>
      </c>
    </row>
    <row r="229" spans="1:32" ht="210.75" thickBot="1" x14ac:dyDescent="0.3">
      <c r="A229" s="13">
        <v>74</v>
      </c>
      <c r="B229" s="4" t="s">
        <v>606</v>
      </c>
      <c r="C229" s="4" t="s">
        <v>607</v>
      </c>
      <c r="D229" s="7">
        <v>45509</v>
      </c>
      <c r="E229" s="3">
        <v>1672.04</v>
      </c>
      <c r="F229" s="4" t="s">
        <v>30</v>
      </c>
      <c r="G229" s="4"/>
      <c r="H229" s="4" t="s">
        <v>31</v>
      </c>
      <c r="I229" s="4" t="s">
        <v>32</v>
      </c>
      <c r="J229" s="4" t="s">
        <v>270</v>
      </c>
      <c r="K229" s="4"/>
      <c r="L229" s="3">
        <v>38</v>
      </c>
      <c r="M229" s="3">
        <v>44.81</v>
      </c>
      <c r="N229" s="3">
        <v>1434.07</v>
      </c>
      <c r="O229" s="4" t="s">
        <v>34</v>
      </c>
      <c r="P229" s="4" t="s">
        <v>166</v>
      </c>
      <c r="Q229" s="4" t="s">
        <v>35</v>
      </c>
      <c r="R229" s="3">
        <v>1126.82</v>
      </c>
      <c r="S229" s="3">
        <v>-1.8026</v>
      </c>
      <c r="T229" s="4" t="s">
        <v>608</v>
      </c>
      <c r="U229" s="2" t="s">
        <v>38</v>
      </c>
      <c r="V229" s="2" t="s">
        <v>37</v>
      </c>
      <c r="W229" s="2" t="s">
        <v>38</v>
      </c>
      <c r="X229" s="2" t="s">
        <v>38</v>
      </c>
      <c r="Y229" s="2" t="s">
        <v>38</v>
      </c>
      <c r="Z229" s="2" t="s">
        <v>37</v>
      </c>
      <c r="AA229" s="6">
        <v>3.2232466629999998</v>
      </c>
      <c r="AB229" s="6">
        <v>3.051854547</v>
      </c>
      <c r="AC229" s="6">
        <v>3.1565703510000001</v>
      </c>
      <c r="AD229" cm="1">
        <f t="array" ref="AD229">IF(SUMPRODUCT(--($AM$2:$AM$112=TRIM(LEFT($B229,IFERROR(FIND(" ",$B229)-1,LEN($B229))))))&gt;0,1,0)</f>
        <v>0</v>
      </c>
      <c r="AE229" cm="1">
        <f t="array" ref="AE229">IF(SUMPRODUCT(--($AO$2:$AO$145=TRIM(LEFT($B229,IFERROR(FIND(" ",$B229)-1,LEN($B229))))))&gt;0,1,0)</f>
        <v>0</v>
      </c>
      <c r="AF229" cm="1">
        <f t="array" ref="AF229">IF(SUMPRODUCT(--($AQ$2:$AQ$71=TRIM(LEFT($B229,IFERROR(FIND(" ",$B229)-1,LEN($B229))))))&gt;0,1,0)</f>
        <v>0</v>
      </c>
    </row>
    <row r="230" spans="1:32" ht="135.75" thickBot="1" x14ac:dyDescent="0.3">
      <c r="A230" s="13">
        <v>80</v>
      </c>
      <c r="B230" s="4" t="s">
        <v>609</v>
      </c>
      <c r="C230" s="2"/>
      <c r="D230" s="7">
        <v>45498</v>
      </c>
      <c r="E230" s="3">
        <v>4528.22</v>
      </c>
      <c r="F230" s="4" t="s">
        <v>30</v>
      </c>
      <c r="G230" s="3">
        <v>30.19</v>
      </c>
      <c r="H230" s="4" t="s">
        <v>31</v>
      </c>
      <c r="I230" s="4" t="s">
        <v>32</v>
      </c>
      <c r="J230" s="4" t="s">
        <v>33</v>
      </c>
      <c r="K230" s="4"/>
      <c r="L230" s="4"/>
      <c r="M230" s="3">
        <v>-1.97</v>
      </c>
      <c r="N230" s="3">
        <v>3443.9</v>
      </c>
      <c r="O230" s="4" t="s">
        <v>34</v>
      </c>
      <c r="P230" s="4" t="s">
        <v>34</v>
      </c>
      <c r="Q230" s="4" t="s">
        <v>35</v>
      </c>
      <c r="R230" s="3">
        <v>530.21</v>
      </c>
      <c r="S230" s="3">
        <v>-2.9839000000000002</v>
      </c>
      <c r="T230" s="4" t="s">
        <v>312</v>
      </c>
      <c r="U230" s="2" t="s">
        <v>37</v>
      </c>
      <c r="V230" s="2" t="s">
        <v>37</v>
      </c>
      <c r="W230" s="2" t="s">
        <v>37</v>
      </c>
      <c r="X230" s="2" t="s">
        <v>38</v>
      </c>
      <c r="Y230" s="2" t="s">
        <v>38</v>
      </c>
      <c r="Z230" s="2" t="s">
        <v>37</v>
      </c>
      <c r="AA230" s="6">
        <v>3.655927519</v>
      </c>
      <c r="AB230" s="6">
        <v>2.7244479140000002</v>
      </c>
      <c r="AC230" s="6">
        <v>3.5370505319999999</v>
      </c>
      <c r="AD230" cm="1">
        <f t="array" ref="AD230">IF(SUMPRODUCT(--($AM$2:$AM$112=TRIM(LEFT($B230,IFERROR(FIND(" ",$B230)-1,LEN($B230))))))&gt;0,1,0)</f>
        <v>0</v>
      </c>
      <c r="AE230" cm="1">
        <f t="array" ref="AE230">IF(SUMPRODUCT(--($AO$2:$AO$145=TRIM(LEFT($B230,IFERROR(FIND(" ",$B230)-1,LEN($B230))))))&gt;0,1,0)</f>
        <v>0</v>
      </c>
      <c r="AF230" cm="1">
        <f t="array" ref="AF230">IF(SUMPRODUCT(--($AQ$2:$AQ$71=TRIM(LEFT($B230,IFERROR(FIND(" ",$B230)-1,LEN($B230))))))&gt;0,1,0)</f>
        <v>0</v>
      </c>
    </row>
    <row r="231" spans="1:32" ht="60.75" thickBot="1" x14ac:dyDescent="0.3">
      <c r="A231" s="13">
        <v>112</v>
      </c>
      <c r="B231" s="4" t="s">
        <v>610</v>
      </c>
      <c r="C231" s="4" t="s">
        <v>611</v>
      </c>
      <c r="D231" s="7">
        <v>45446</v>
      </c>
      <c r="E231" s="3">
        <v>7654.49</v>
      </c>
      <c r="F231" s="4" t="s">
        <v>30</v>
      </c>
      <c r="G231" s="3">
        <v>4.51</v>
      </c>
      <c r="H231" s="4" t="s">
        <v>70</v>
      </c>
      <c r="I231" s="4" t="s">
        <v>94</v>
      </c>
      <c r="J231" s="4" t="s">
        <v>95</v>
      </c>
      <c r="K231" s="4"/>
      <c r="L231" s="4"/>
      <c r="M231" s="3">
        <v>30.99</v>
      </c>
      <c r="N231" s="3">
        <v>5752.69</v>
      </c>
      <c r="O231" s="4" t="s">
        <v>34</v>
      </c>
      <c r="P231" s="4" t="s">
        <v>34</v>
      </c>
      <c r="Q231" s="4" t="s">
        <v>35</v>
      </c>
      <c r="R231" s="3">
        <v>2659.3</v>
      </c>
      <c r="S231" s="3">
        <v>4.39682</v>
      </c>
      <c r="T231" s="4" t="s">
        <v>43</v>
      </c>
      <c r="U231" s="2" t="s">
        <v>37</v>
      </c>
      <c r="V231" s="2" t="s">
        <v>37</v>
      </c>
      <c r="W231" s="2" t="s">
        <v>37</v>
      </c>
      <c r="X231" s="2" t="s">
        <v>37</v>
      </c>
      <c r="Y231" s="2" t="s">
        <v>37</v>
      </c>
      <c r="Z231" s="2" t="s">
        <v>37</v>
      </c>
      <c r="AA231" s="6">
        <v>3.8839162599999999</v>
      </c>
      <c r="AB231" s="6">
        <v>3.4247673340000002</v>
      </c>
      <c r="AC231" s="6">
        <v>3.7598709709999998</v>
      </c>
      <c r="AD231" cm="1">
        <f t="array" ref="AD231">IF(SUMPRODUCT(--($AM$2:$AM$112=TRIM(LEFT($B231,IFERROR(FIND(" ",$B231)-1,LEN($B231))))))&gt;0,1,0)</f>
        <v>0</v>
      </c>
      <c r="AE231" cm="1">
        <f t="array" ref="AE231">IF(SUMPRODUCT(--($AO$2:$AO$145=TRIM(LEFT($B231,IFERROR(FIND(" ",$B231)-1,LEN($B231))))))&gt;0,1,0)</f>
        <v>0</v>
      </c>
      <c r="AF231" cm="1">
        <f t="array" ref="AF231">IF(SUMPRODUCT(--($AQ$2:$AQ$71=TRIM(LEFT($B231,IFERROR(FIND(" ",$B231)-1,LEN($B231))))))&gt;0,1,0)</f>
        <v>0</v>
      </c>
    </row>
    <row r="232" spans="1:32" ht="75.75" thickBot="1" x14ac:dyDescent="0.3">
      <c r="A232" s="13">
        <v>82</v>
      </c>
      <c r="B232" s="4" t="s">
        <v>612</v>
      </c>
      <c r="C232" s="4" t="s">
        <v>613</v>
      </c>
      <c r="D232" s="7">
        <v>45488</v>
      </c>
      <c r="E232" s="3">
        <v>2492.54</v>
      </c>
      <c r="F232" s="4" t="s">
        <v>107</v>
      </c>
      <c r="G232" s="3">
        <v>7.13</v>
      </c>
      <c r="H232" s="4" t="s">
        <v>47</v>
      </c>
      <c r="I232" s="4" t="s">
        <v>47</v>
      </c>
      <c r="J232" s="4" t="s">
        <v>212</v>
      </c>
      <c r="K232" s="3">
        <v>131</v>
      </c>
      <c r="L232" s="3">
        <v>100</v>
      </c>
      <c r="M232" s="4"/>
      <c r="N232" s="3">
        <v>2664.49</v>
      </c>
      <c r="O232" s="4" t="s">
        <v>49</v>
      </c>
      <c r="P232" s="4" t="s">
        <v>34</v>
      </c>
      <c r="Q232" s="4" t="s">
        <v>35</v>
      </c>
      <c r="R232" s="3">
        <v>2161.9899999999998</v>
      </c>
      <c r="S232" s="3">
        <v>12.311500000000001</v>
      </c>
      <c r="T232" s="4" t="s">
        <v>104</v>
      </c>
      <c r="U232" s="2" t="s">
        <v>37</v>
      </c>
      <c r="V232" s="2" t="s">
        <v>37</v>
      </c>
      <c r="W232" s="2" t="s">
        <v>38</v>
      </c>
      <c r="X232" s="2" t="s">
        <v>37</v>
      </c>
      <c r="Y232" s="2" t="s">
        <v>37</v>
      </c>
      <c r="Z232" s="2" t="s">
        <v>37</v>
      </c>
      <c r="AA232" s="6">
        <v>3.3966421370000002</v>
      </c>
      <c r="AB232" s="6">
        <v>3.3348536809999998</v>
      </c>
      <c r="AC232" s="6">
        <v>3.4256140949999998</v>
      </c>
      <c r="AD232" cm="1">
        <f t="array" ref="AD232">IF(SUMPRODUCT(--($AM$2:$AM$112=TRIM(LEFT($B232,IFERROR(FIND(" ",$B232)-1,LEN($B232))))))&gt;0,1,0)</f>
        <v>0</v>
      </c>
      <c r="AE232" cm="1">
        <f t="array" ref="AE232">IF(SUMPRODUCT(--($AO$2:$AO$145=TRIM(LEFT($B232,IFERROR(FIND(" ",$B232)-1,LEN($B232))))))&gt;0,1,0)</f>
        <v>0</v>
      </c>
      <c r="AF232" cm="1">
        <f t="array" ref="AF232">IF(SUMPRODUCT(--($AQ$2:$AQ$71=TRIM(LEFT($B232,IFERROR(FIND(" ",$B232)-1,LEN($B232))))))&gt;0,1,0)</f>
        <v>0</v>
      </c>
    </row>
    <row r="233" spans="1:32" ht="60.75" thickBot="1" x14ac:dyDescent="0.3">
      <c r="A233" s="13">
        <v>176</v>
      </c>
      <c r="B233" s="4" t="s">
        <v>614</v>
      </c>
      <c r="C233" s="4" t="s">
        <v>615</v>
      </c>
      <c r="D233" s="7">
        <v>45351</v>
      </c>
      <c r="E233" s="3">
        <v>2044.74</v>
      </c>
      <c r="F233" s="4" t="s">
        <v>69</v>
      </c>
      <c r="G233" s="4"/>
      <c r="H233" s="4" t="s">
        <v>70</v>
      </c>
      <c r="I233" s="4" t="s">
        <v>94</v>
      </c>
      <c r="J233" s="4" t="s">
        <v>95</v>
      </c>
      <c r="K233" s="3">
        <v>90</v>
      </c>
      <c r="L233" s="3">
        <v>90</v>
      </c>
      <c r="M233" s="3">
        <v>27.25</v>
      </c>
      <c r="N233" s="3">
        <v>1592.68</v>
      </c>
      <c r="O233" s="4" t="s">
        <v>34</v>
      </c>
      <c r="P233" s="4" t="s">
        <v>34</v>
      </c>
      <c r="Q233" s="4" t="s">
        <v>35</v>
      </c>
      <c r="R233" s="3">
        <v>719.64</v>
      </c>
      <c r="S233" s="3">
        <v>6.4744900000000003</v>
      </c>
      <c r="T233" s="4" t="s">
        <v>43</v>
      </c>
      <c r="U233" s="2" t="s">
        <v>37</v>
      </c>
      <c r="V233" s="2" t="s">
        <v>37</v>
      </c>
      <c r="W233" s="2" t="s">
        <v>37</v>
      </c>
      <c r="X233" s="2" t="s">
        <v>37</v>
      </c>
      <c r="Y233" s="2" t="s">
        <v>37</v>
      </c>
      <c r="Z233" s="2" t="s">
        <v>37</v>
      </c>
      <c r="AA233" s="6">
        <v>3.3106380930000001</v>
      </c>
      <c r="AB233" s="6">
        <v>2.8571152949999998</v>
      </c>
      <c r="AC233" s="6">
        <v>3.2021285260000001</v>
      </c>
      <c r="AD233" cm="1">
        <f t="array" ref="AD233">IF(SUMPRODUCT(--($AM$2:$AM$112=TRIM(LEFT($B233,IFERROR(FIND(" ",$B233)-1,LEN($B233))))))&gt;0,1,0)</f>
        <v>0</v>
      </c>
      <c r="AE233" cm="1">
        <f t="array" ref="AE233">IF(SUMPRODUCT(--($AO$2:$AO$145=TRIM(LEFT($B233,IFERROR(FIND(" ",$B233)-1,LEN($B233))))))&gt;0,1,0)</f>
        <v>0</v>
      </c>
      <c r="AF233" cm="1">
        <f t="array" ref="AF233">IF(SUMPRODUCT(--($AQ$2:$AQ$71=TRIM(LEFT($B233,IFERROR(FIND(" ",$B233)-1,LEN($B233))))))&gt;0,1,0)</f>
        <v>0</v>
      </c>
    </row>
    <row r="234" spans="1:32" ht="75.75" thickBot="1" x14ac:dyDescent="0.3">
      <c r="A234" s="13">
        <v>58</v>
      </c>
      <c r="B234" s="4" t="s">
        <v>616</v>
      </c>
      <c r="C234" s="4" t="s">
        <v>617</v>
      </c>
      <c r="D234" s="7">
        <v>45516</v>
      </c>
      <c r="E234" s="3">
        <v>1329.84</v>
      </c>
      <c r="F234" s="4" t="s">
        <v>30</v>
      </c>
      <c r="G234" s="3">
        <v>14.29</v>
      </c>
      <c r="H234" s="4" t="s">
        <v>47</v>
      </c>
      <c r="I234" s="4" t="s">
        <v>47</v>
      </c>
      <c r="J234" s="4" t="s">
        <v>48</v>
      </c>
      <c r="K234" s="4"/>
      <c r="L234" s="4"/>
      <c r="M234" s="3">
        <v>55.28</v>
      </c>
      <c r="N234" s="3">
        <v>1303.48</v>
      </c>
      <c r="O234" s="4" t="s">
        <v>49</v>
      </c>
      <c r="P234" s="4" t="s">
        <v>618</v>
      </c>
      <c r="Q234" s="4" t="s">
        <v>35</v>
      </c>
      <c r="R234" s="2"/>
      <c r="S234" s="2"/>
      <c r="T234" s="4" t="s">
        <v>104</v>
      </c>
      <c r="U234" s="2" t="s">
        <v>37</v>
      </c>
      <c r="V234" s="2" t="s">
        <v>37</v>
      </c>
      <c r="W234" s="2" t="s">
        <v>38</v>
      </c>
      <c r="X234" s="2" t="s">
        <v>37</v>
      </c>
      <c r="Y234" s="2" t="s">
        <v>37</v>
      </c>
      <c r="Z234" s="2" t="s">
        <v>37</v>
      </c>
      <c r="AA234" s="6">
        <v>3.123799392</v>
      </c>
      <c r="AB234" s="2"/>
      <c r="AC234" s="6">
        <v>3.1151043719999998</v>
      </c>
      <c r="AD234" cm="1">
        <f t="array" ref="AD234">IF(SUMPRODUCT(--($AM$2:$AM$112=TRIM(LEFT($B234,IFERROR(FIND(" ",$B234)-1,LEN($B234))))))&gt;0,1,0)</f>
        <v>0</v>
      </c>
      <c r="AE234" cm="1">
        <f t="array" ref="AE234">IF(SUMPRODUCT(--($AO$2:$AO$145=TRIM(LEFT($B234,IFERROR(FIND(" ",$B234)-1,LEN($B234))))))&gt;0,1,0)</f>
        <v>0</v>
      </c>
      <c r="AF234" cm="1">
        <f t="array" ref="AF234">IF(SUMPRODUCT(--($AQ$2:$AQ$71=TRIM(LEFT($B234,IFERROR(FIND(" ",$B234)-1,LEN($B234))))))&gt;0,1,0)</f>
        <v>0</v>
      </c>
    </row>
    <row r="235" spans="1:32" ht="165.75" thickBot="1" x14ac:dyDescent="0.3">
      <c r="A235" s="13">
        <v>59</v>
      </c>
      <c r="B235" s="4" t="s">
        <v>619</v>
      </c>
      <c r="C235" s="4" t="s">
        <v>620</v>
      </c>
      <c r="D235" s="7">
        <v>45511</v>
      </c>
      <c r="E235" s="3">
        <v>1361.7</v>
      </c>
      <c r="F235" s="4" t="s">
        <v>30</v>
      </c>
      <c r="G235" s="3">
        <v>15.21</v>
      </c>
      <c r="H235" s="4" t="s">
        <v>41</v>
      </c>
      <c r="I235" s="4" t="s">
        <v>41</v>
      </c>
      <c r="J235" s="4" t="s">
        <v>100</v>
      </c>
      <c r="K235" s="4"/>
      <c r="L235" s="4"/>
      <c r="M235" s="3">
        <v>43.36</v>
      </c>
      <c r="N235" s="3">
        <v>922.55</v>
      </c>
      <c r="O235" s="4" t="s">
        <v>34</v>
      </c>
      <c r="P235" s="4" t="s">
        <v>166</v>
      </c>
      <c r="Q235" s="4" t="s">
        <v>35</v>
      </c>
      <c r="R235" s="3">
        <v>1101.96</v>
      </c>
      <c r="S235" s="3">
        <v>4.3492600000000001</v>
      </c>
      <c r="T235" s="4" t="s">
        <v>621</v>
      </c>
      <c r="U235" s="2" t="s">
        <v>37</v>
      </c>
      <c r="V235" s="2" t="s">
        <v>37</v>
      </c>
      <c r="W235" s="2" t="s">
        <v>38</v>
      </c>
      <c r="X235" s="2" t="s">
        <v>38</v>
      </c>
      <c r="Y235" s="2" t="s">
        <v>38</v>
      </c>
      <c r="Z235" s="2" t="s">
        <v>37</v>
      </c>
      <c r="AA235" s="6">
        <v>3.1340814369999999</v>
      </c>
      <c r="AB235" s="6">
        <v>3.0421658300000001</v>
      </c>
      <c r="AC235" s="6">
        <v>2.9649899130000001</v>
      </c>
      <c r="AD235" cm="1">
        <f t="array" ref="AD235">IF(SUMPRODUCT(--($AM$2:$AM$112=TRIM(LEFT($B235,IFERROR(FIND(" ",$B235)-1,LEN($B235))))))&gt;0,1,0)</f>
        <v>0</v>
      </c>
      <c r="AE235" cm="1">
        <f t="array" ref="AE235">IF(SUMPRODUCT(--($AO$2:$AO$145=TRIM(LEFT($B235,IFERROR(FIND(" ",$B235)-1,LEN($B235))))))&gt;0,1,0)</f>
        <v>0</v>
      </c>
      <c r="AF235" cm="1">
        <f t="array" ref="AF235">IF(SUMPRODUCT(--($AQ$2:$AQ$71=TRIM(LEFT($B235,IFERROR(FIND(" ",$B235)-1,LEN($B235))))))&gt;0,1,0)</f>
        <v>0</v>
      </c>
    </row>
    <row r="236" spans="1:32" ht="195.75" thickBot="1" x14ac:dyDescent="0.3">
      <c r="A236" s="13">
        <v>114</v>
      </c>
      <c r="B236" s="4" t="s">
        <v>622</v>
      </c>
      <c r="C236" s="4" t="s">
        <v>623</v>
      </c>
      <c r="D236" s="7">
        <v>45425</v>
      </c>
      <c r="E236" s="3">
        <v>6800.65</v>
      </c>
      <c r="F236" s="4" t="s">
        <v>30</v>
      </c>
      <c r="G236" s="3">
        <v>30.7</v>
      </c>
      <c r="H236" s="4" t="s">
        <v>31</v>
      </c>
      <c r="I236" s="4" t="s">
        <v>32</v>
      </c>
      <c r="J236" s="4" t="s">
        <v>33</v>
      </c>
      <c r="K236" s="3">
        <v>231.81700000000001</v>
      </c>
      <c r="L236" s="3">
        <v>198.7</v>
      </c>
      <c r="M236" s="3">
        <v>3.46</v>
      </c>
      <c r="N236" s="3">
        <v>6425.51</v>
      </c>
      <c r="O236" s="4" t="s">
        <v>34</v>
      </c>
      <c r="P236" s="4" t="s">
        <v>166</v>
      </c>
      <c r="Q236" s="4" t="s">
        <v>35</v>
      </c>
      <c r="R236" s="3">
        <v>1012.34</v>
      </c>
      <c r="S236" s="3">
        <v>4.3055199999999996</v>
      </c>
      <c r="T236" s="4" t="s">
        <v>624</v>
      </c>
      <c r="U236" s="2" t="s">
        <v>37</v>
      </c>
      <c r="V236" s="2" t="s">
        <v>37</v>
      </c>
      <c r="W236" s="2" t="s">
        <v>38</v>
      </c>
      <c r="X236" s="2" t="s">
        <v>38</v>
      </c>
      <c r="Y236" s="2" t="s">
        <v>38</v>
      </c>
      <c r="Z236" s="2" t="s">
        <v>38</v>
      </c>
      <c r="AA236" s="6">
        <v>3.8325504239999999</v>
      </c>
      <c r="AB236" s="6">
        <v>3.0053263970000001</v>
      </c>
      <c r="AC236" s="6">
        <v>3.8079076039999999</v>
      </c>
      <c r="AD236" cm="1">
        <f t="array" ref="AD236">IF(SUMPRODUCT(--($AM$2:$AM$112=TRIM(LEFT($B236,IFERROR(FIND(" ",$B236)-1,LEN($B236))))))&gt;0,1,0)</f>
        <v>0</v>
      </c>
      <c r="AE236" cm="1">
        <f t="array" ref="AE236">IF(SUMPRODUCT(--($AO$2:$AO$145=TRIM(LEFT($B236,IFERROR(FIND(" ",$B236)-1,LEN($B236))))))&gt;0,1,0)</f>
        <v>0</v>
      </c>
      <c r="AF236" cm="1">
        <f t="array" ref="AF236">IF(SUMPRODUCT(--($AQ$2:$AQ$71=TRIM(LEFT($B236,IFERROR(FIND(" ",$B236)-1,LEN($B236))))))&gt;0,1,0)</f>
        <v>0</v>
      </c>
    </row>
    <row r="237" spans="1:32" ht="75.75" thickBot="1" x14ac:dyDescent="0.3">
      <c r="A237" s="13">
        <v>64</v>
      </c>
      <c r="B237" s="4" t="s">
        <v>625</v>
      </c>
      <c r="C237" s="4" t="s">
        <v>626</v>
      </c>
      <c r="D237" s="7">
        <v>45490</v>
      </c>
      <c r="E237" s="3">
        <v>646.13</v>
      </c>
      <c r="F237" s="4" t="s">
        <v>30</v>
      </c>
      <c r="G237" s="3">
        <v>7.28</v>
      </c>
      <c r="H237" s="4" t="s">
        <v>75</v>
      </c>
      <c r="I237" s="4" t="s">
        <v>111</v>
      </c>
      <c r="J237" s="4" t="s">
        <v>133</v>
      </c>
      <c r="K237" s="4"/>
      <c r="L237" s="4"/>
      <c r="M237" s="3">
        <v>50.27</v>
      </c>
      <c r="N237" s="3">
        <v>646.13</v>
      </c>
      <c r="O237" s="4" t="s">
        <v>34</v>
      </c>
      <c r="P237" s="4" t="s">
        <v>34</v>
      </c>
      <c r="Q237" s="4" t="s">
        <v>35</v>
      </c>
      <c r="R237" s="3">
        <v>461.31</v>
      </c>
      <c r="S237" s="3">
        <v>6.2344499999999998</v>
      </c>
      <c r="T237" s="4" t="s">
        <v>43</v>
      </c>
      <c r="U237" s="2" t="s">
        <v>37</v>
      </c>
      <c r="V237" s="2" t="s">
        <v>37</v>
      </c>
      <c r="W237" s="2" t="s">
        <v>37</v>
      </c>
      <c r="X237" s="2" t="s">
        <v>37</v>
      </c>
      <c r="Y237" s="2" t="s">
        <v>37</v>
      </c>
      <c r="Z237" s="2" t="s">
        <v>37</v>
      </c>
      <c r="AA237" s="6">
        <v>2.8103199060000001</v>
      </c>
      <c r="AB237" s="6">
        <v>2.6639928689999999</v>
      </c>
      <c r="AC237" s="6">
        <v>2.8103199060000001</v>
      </c>
      <c r="AD237" cm="1">
        <f t="array" ref="AD237">IF(SUMPRODUCT(--($AM$2:$AM$112=TRIM(LEFT($B237,IFERROR(FIND(" ",$B237)-1,LEN($B237))))))&gt;0,1,0)</f>
        <v>0</v>
      </c>
      <c r="AE237" cm="1">
        <f t="array" ref="AE237">IF(SUMPRODUCT(--($AO$2:$AO$145=TRIM(LEFT($B237,IFERROR(FIND(" ",$B237)-1,LEN($B237))))))&gt;0,1,0)</f>
        <v>0</v>
      </c>
      <c r="AF237" cm="1">
        <f t="array" ref="AF237">IF(SUMPRODUCT(--($AQ$2:$AQ$71=TRIM(LEFT($B237,IFERROR(FIND(" ",$B237)-1,LEN($B237))))))&gt;0,1,0)</f>
        <v>0</v>
      </c>
    </row>
    <row r="238" spans="1:32" ht="75.75" thickBot="1" x14ac:dyDescent="0.3">
      <c r="A238" s="13">
        <v>58</v>
      </c>
      <c r="B238" s="4" t="s">
        <v>627</v>
      </c>
      <c r="C238" s="4" t="s">
        <v>628</v>
      </c>
      <c r="D238" s="7">
        <v>45494</v>
      </c>
      <c r="E238" s="3">
        <v>1261.4000000000001</v>
      </c>
      <c r="F238" s="4" t="s">
        <v>30</v>
      </c>
      <c r="G238" s="4"/>
      <c r="H238" s="4" t="s">
        <v>118</v>
      </c>
      <c r="I238" s="4" t="s">
        <v>119</v>
      </c>
      <c r="J238" s="4" t="s">
        <v>120</v>
      </c>
      <c r="K238" s="4"/>
      <c r="L238" s="4"/>
      <c r="M238" s="3">
        <v>51.49</v>
      </c>
      <c r="N238" s="3">
        <v>836.23</v>
      </c>
      <c r="O238" s="4" t="s">
        <v>34</v>
      </c>
      <c r="P238" s="4" t="s">
        <v>152</v>
      </c>
      <c r="Q238" s="4" t="s">
        <v>35</v>
      </c>
      <c r="R238" s="3">
        <v>166.12799999999999</v>
      </c>
      <c r="S238" s="3">
        <v>-103.803</v>
      </c>
      <c r="T238" s="4" t="s">
        <v>97</v>
      </c>
      <c r="U238" s="2" t="s">
        <v>37</v>
      </c>
      <c r="V238" s="2" t="s">
        <v>37</v>
      </c>
      <c r="W238" s="2" t="s">
        <v>38</v>
      </c>
      <c r="X238" s="2" t="s">
        <v>37</v>
      </c>
      <c r="Y238" s="2" t="s">
        <v>37</v>
      </c>
      <c r="Z238" s="2" t="s">
        <v>37</v>
      </c>
      <c r="AA238" s="6">
        <v>3.1008528270000002</v>
      </c>
      <c r="AB238" s="6">
        <v>2.2204428369999998</v>
      </c>
      <c r="AC238" s="6">
        <v>2.9223257440000001</v>
      </c>
      <c r="AD238" cm="1">
        <f t="array" ref="AD238">IF(SUMPRODUCT(--($AM$2:$AM$112=TRIM(LEFT($B238,IFERROR(FIND(" ",$B238)-1,LEN($B238))))))&gt;0,1,0)</f>
        <v>0</v>
      </c>
      <c r="AE238" cm="1">
        <f t="array" ref="AE238">IF(SUMPRODUCT(--($AO$2:$AO$145=TRIM(LEFT($B238,IFERROR(FIND(" ",$B238)-1,LEN($B238))))))&gt;0,1,0)</f>
        <v>0</v>
      </c>
      <c r="AF238" cm="1">
        <f t="array" ref="AF238">IF(SUMPRODUCT(--($AQ$2:$AQ$71=TRIM(LEFT($B238,IFERROR(FIND(" ",$B238)-1,LEN($B238))))))&gt;0,1,0)</f>
        <v>1</v>
      </c>
    </row>
    <row r="239" spans="1:32" ht="105.75" thickBot="1" x14ac:dyDescent="0.3">
      <c r="A239" s="13">
        <v>34</v>
      </c>
      <c r="B239" s="4" t="s">
        <v>629</v>
      </c>
      <c r="C239" s="4" t="s">
        <v>630</v>
      </c>
      <c r="D239" s="7">
        <v>45525</v>
      </c>
      <c r="E239" s="3">
        <v>3215.11</v>
      </c>
      <c r="F239" s="4" t="s">
        <v>30</v>
      </c>
      <c r="G239" s="3">
        <v>9.4700000000000006</v>
      </c>
      <c r="H239" s="4" t="s">
        <v>127</v>
      </c>
      <c r="I239" s="4" t="s">
        <v>128</v>
      </c>
      <c r="J239" s="4" t="s">
        <v>584</v>
      </c>
      <c r="K239" s="4"/>
      <c r="L239" s="4"/>
      <c r="M239" s="3">
        <v>13.68</v>
      </c>
      <c r="N239" s="3">
        <v>2360.63</v>
      </c>
      <c r="O239" s="4" t="s">
        <v>34</v>
      </c>
      <c r="P239" s="4" t="s">
        <v>96</v>
      </c>
      <c r="Q239" s="4" t="s">
        <v>35</v>
      </c>
      <c r="R239" s="3">
        <v>938.005</v>
      </c>
      <c r="S239" s="3">
        <v>37.531199999999998</v>
      </c>
      <c r="T239" s="4" t="s">
        <v>631</v>
      </c>
      <c r="U239" s="2" t="s">
        <v>37</v>
      </c>
      <c r="V239" s="2" t="s">
        <v>37</v>
      </c>
      <c r="W239" s="2" t="s">
        <v>38</v>
      </c>
      <c r="X239" s="2" t="s">
        <v>37</v>
      </c>
      <c r="Y239" s="2" t="s">
        <v>37</v>
      </c>
      <c r="Z239" s="2" t="s">
        <v>38</v>
      </c>
      <c r="AA239" s="6">
        <v>3.5071958360000002</v>
      </c>
      <c r="AB239" s="6">
        <v>2.972205153</v>
      </c>
      <c r="AC239" s="6">
        <v>3.3730279219999999</v>
      </c>
      <c r="AD239" cm="1">
        <f t="array" ref="AD239">IF(SUMPRODUCT(--($AM$2:$AM$112=TRIM(LEFT($B239,IFERROR(FIND(" ",$B239)-1,LEN($B239))))))&gt;0,1,0)</f>
        <v>0</v>
      </c>
      <c r="AE239" cm="1">
        <f t="array" ref="AE239">IF(SUMPRODUCT(--($AO$2:$AO$145=TRIM(LEFT($B239,IFERROR(FIND(" ",$B239)-1,LEN($B239))))))&gt;0,1,0)</f>
        <v>0</v>
      </c>
      <c r="AF239" cm="1">
        <f t="array" ref="AF239">IF(SUMPRODUCT(--($AQ$2:$AQ$71=TRIM(LEFT($B239,IFERROR(FIND(" ",$B239)-1,LEN($B239))))))&gt;0,1,0)</f>
        <v>0</v>
      </c>
    </row>
    <row r="240" spans="1:32" ht="75.75" thickBot="1" x14ac:dyDescent="0.3">
      <c r="A240" s="13">
        <v>80</v>
      </c>
      <c r="B240" s="4" t="s">
        <v>632</v>
      </c>
      <c r="C240" s="4" t="s">
        <v>633</v>
      </c>
      <c r="D240" s="7">
        <v>45460</v>
      </c>
      <c r="E240" s="3">
        <v>972.52</v>
      </c>
      <c r="F240" s="4" t="s">
        <v>30</v>
      </c>
      <c r="G240" s="3">
        <v>4.4000000000000004</v>
      </c>
      <c r="H240" s="4" t="s">
        <v>75</v>
      </c>
      <c r="I240" s="4" t="s">
        <v>111</v>
      </c>
      <c r="J240" s="4" t="s">
        <v>112</v>
      </c>
      <c r="K240" s="4"/>
      <c r="L240" s="4"/>
      <c r="M240" s="3">
        <v>29.68</v>
      </c>
      <c r="N240" s="3">
        <v>309.32</v>
      </c>
      <c r="O240" s="4" t="s">
        <v>34</v>
      </c>
      <c r="P240" s="4" t="s">
        <v>34</v>
      </c>
      <c r="Q240" s="4" t="s">
        <v>35</v>
      </c>
      <c r="R240" s="3">
        <v>2139.89</v>
      </c>
      <c r="S240" s="3">
        <v>-1.74753</v>
      </c>
      <c r="T240" s="4" t="s">
        <v>286</v>
      </c>
      <c r="U240" s="2" t="s">
        <v>37</v>
      </c>
      <c r="V240" s="2" t="s">
        <v>37</v>
      </c>
      <c r="W240" s="2" t="s">
        <v>37</v>
      </c>
      <c r="X240" s="2" t="s">
        <v>38</v>
      </c>
      <c r="Y240" s="2" t="s">
        <v>37</v>
      </c>
      <c r="Z240" s="2" t="s">
        <v>37</v>
      </c>
      <c r="AA240" s="6">
        <v>2.9878985409999999</v>
      </c>
      <c r="AB240" s="6">
        <v>3.3303914489999999</v>
      </c>
      <c r="AC240" s="6">
        <v>2.4904080020000001</v>
      </c>
      <c r="AD240" cm="1">
        <f t="array" ref="AD240">IF(SUMPRODUCT(--($AM$2:$AM$112=TRIM(LEFT($B240,IFERROR(FIND(" ",$B240)-1,LEN($B240))))))&gt;0,1,0)</f>
        <v>0</v>
      </c>
      <c r="AE240" cm="1">
        <f t="array" ref="AE240">IF(SUMPRODUCT(--($AO$2:$AO$145=TRIM(LEFT($B240,IFERROR(FIND(" ",$B240)-1,LEN($B240))))))&gt;0,1,0)</f>
        <v>0</v>
      </c>
      <c r="AF240" cm="1">
        <f t="array" ref="AF240">IF(SUMPRODUCT(--($AQ$2:$AQ$71=TRIM(LEFT($B240,IFERROR(FIND(" ",$B240)-1,LEN($B240))))))&gt;0,1,0)</f>
        <v>0</v>
      </c>
    </row>
    <row r="241" spans="1:32" ht="45.75" thickBot="1" x14ac:dyDescent="0.3">
      <c r="A241" s="13">
        <v>40</v>
      </c>
      <c r="B241" s="4" t="s">
        <v>634</v>
      </c>
      <c r="C241" s="4" t="s">
        <v>635</v>
      </c>
      <c r="D241" s="7">
        <v>45516</v>
      </c>
      <c r="E241" s="3">
        <v>881.67</v>
      </c>
      <c r="F241" s="4" t="s">
        <v>46</v>
      </c>
      <c r="G241" s="3">
        <v>5.25</v>
      </c>
      <c r="H241" s="4" t="s">
        <v>118</v>
      </c>
      <c r="I241" s="4" t="s">
        <v>119</v>
      </c>
      <c r="J241" s="4" t="s">
        <v>120</v>
      </c>
      <c r="K241" s="4"/>
      <c r="L241" s="4"/>
      <c r="M241" s="3">
        <v>70.55</v>
      </c>
      <c r="N241" s="3">
        <v>790.98</v>
      </c>
      <c r="O241" s="4" t="s">
        <v>49</v>
      </c>
      <c r="P241" s="4" t="s">
        <v>49</v>
      </c>
      <c r="Q241" s="4" t="s">
        <v>35</v>
      </c>
      <c r="R241" s="3">
        <v>267.07</v>
      </c>
      <c r="S241" s="3">
        <v>32.078099999999999</v>
      </c>
      <c r="T241" s="4" t="s">
        <v>43</v>
      </c>
      <c r="U241" s="2" t="s">
        <v>37</v>
      </c>
      <c r="V241" s="2" t="s">
        <v>37</v>
      </c>
      <c r="W241" s="2" t="s">
        <v>37</v>
      </c>
      <c r="X241" s="2" t="s">
        <v>37</v>
      </c>
      <c r="Y241" s="2" t="s">
        <v>37</v>
      </c>
      <c r="Z241" s="2" t="s">
        <v>37</v>
      </c>
      <c r="AA241" s="6">
        <v>2.9453060639999999</v>
      </c>
      <c r="AB241" s="6">
        <v>2.4266251059999999</v>
      </c>
      <c r="AC241" s="6">
        <v>2.8981655019999999</v>
      </c>
      <c r="AD241" cm="1">
        <f t="array" ref="AD241">IF(SUMPRODUCT(--($AM$2:$AM$112=TRIM(LEFT($B241,IFERROR(FIND(" ",$B241)-1,LEN($B241))))))&gt;0,1,0)</f>
        <v>0</v>
      </c>
      <c r="AE241" cm="1">
        <f t="array" ref="AE241">IF(SUMPRODUCT(--($AO$2:$AO$145=TRIM(LEFT($B241,IFERROR(FIND(" ",$B241)-1,LEN($B241))))))&gt;0,1,0)</f>
        <v>0</v>
      </c>
      <c r="AF241" cm="1">
        <f t="array" ref="AF241">IF(SUMPRODUCT(--($AQ$2:$AQ$71=TRIM(LEFT($B241,IFERROR(FIND(" ",$B241)-1,LEN($B241))))))&gt;0,1,0)</f>
        <v>0</v>
      </c>
    </row>
    <row r="242" spans="1:32" ht="165.75" thickBot="1" x14ac:dyDescent="0.3">
      <c r="A242" s="13">
        <v>109</v>
      </c>
      <c r="B242" s="4" t="s">
        <v>636</v>
      </c>
      <c r="C242" s="4" t="s">
        <v>637</v>
      </c>
      <c r="D242" s="7">
        <v>45417</v>
      </c>
      <c r="E242" s="3">
        <v>2971.38</v>
      </c>
      <c r="F242" s="4" t="s">
        <v>30</v>
      </c>
      <c r="G242" s="3">
        <v>16.71</v>
      </c>
      <c r="H242" s="4" t="s">
        <v>31</v>
      </c>
      <c r="I242" s="4" t="s">
        <v>32</v>
      </c>
      <c r="J242" s="4" t="s">
        <v>270</v>
      </c>
      <c r="K242" s="3">
        <v>162.63800000000001</v>
      </c>
      <c r="L242" s="3">
        <v>81.318899999999999</v>
      </c>
      <c r="M242" s="3">
        <v>61.48</v>
      </c>
      <c r="N242" s="3">
        <v>2667.81</v>
      </c>
      <c r="O242" s="4" t="s">
        <v>34</v>
      </c>
      <c r="P242" s="4" t="s">
        <v>638</v>
      </c>
      <c r="Q242" s="4" t="s">
        <v>35</v>
      </c>
      <c r="R242" s="3">
        <v>906.54100000000005</v>
      </c>
      <c r="S242" s="3">
        <v>11.759399999999999</v>
      </c>
      <c r="T242" s="4" t="s">
        <v>639</v>
      </c>
      <c r="U242" s="2" t="s">
        <v>37</v>
      </c>
      <c r="V242" s="2" t="s">
        <v>37</v>
      </c>
      <c r="W242" s="2" t="s">
        <v>38</v>
      </c>
      <c r="X242" s="2" t="s">
        <v>38</v>
      </c>
      <c r="Y242" s="2" t="s">
        <v>38</v>
      </c>
      <c r="Z242" s="2" t="s">
        <v>37</v>
      </c>
      <c r="AA242" s="6">
        <v>3.472958196</v>
      </c>
      <c r="AB242" s="6">
        <v>2.9573874509999998</v>
      </c>
      <c r="AC242" s="6">
        <v>3.4261548959999999</v>
      </c>
      <c r="AD242" cm="1">
        <f t="array" ref="AD242">IF(SUMPRODUCT(--($AM$2:$AM$112=TRIM(LEFT($B242,IFERROR(FIND(" ",$B242)-1,LEN($B242))))))&gt;0,1,0)</f>
        <v>0</v>
      </c>
      <c r="AE242" cm="1">
        <f t="array" ref="AE242">IF(SUMPRODUCT(--($AO$2:$AO$145=TRIM(LEFT($B242,IFERROR(FIND(" ",$B242)-1,LEN($B242))))))&gt;0,1,0)</f>
        <v>0</v>
      </c>
      <c r="AF242" cm="1">
        <f t="array" ref="AF242">IF(SUMPRODUCT(--($AQ$2:$AQ$71=TRIM(LEFT($B242,IFERROR(FIND(" ",$B242)-1,LEN($B242))))))&gt;0,1,0)</f>
        <v>1</v>
      </c>
    </row>
    <row r="243" spans="1:32" ht="60.75" thickBot="1" x14ac:dyDescent="0.3">
      <c r="A243" s="13">
        <v>54</v>
      </c>
      <c r="B243" s="4" t="s">
        <v>640</v>
      </c>
      <c r="C243" s="4" t="s">
        <v>641</v>
      </c>
      <c r="D243" s="7">
        <v>45495</v>
      </c>
      <c r="E243" s="3">
        <v>1205.1600000000001</v>
      </c>
      <c r="F243" s="4" t="s">
        <v>30</v>
      </c>
      <c r="G243" s="3">
        <v>8.76</v>
      </c>
      <c r="H243" s="4" t="s">
        <v>75</v>
      </c>
      <c r="I243" s="4" t="s">
        <v>83</v>
      </c>
      <c r="J243" s="4" t="s">
        <v>84</v>
      </c>
      <c r="K243" s="4"/>
      <c r="L243" s="3">
        <v>36.5</v>
      </c>
      <c r="M243" s="3">
        <v>33.79</v>
      </c>
      <c r="N243" s="3">
        <v>862.66</v>
      </c>
      <c r="O243" s="4" t="s">
        <v>49</v>
      </c>
      <c r="P243" s="4" t="s">
        <v>49</v>
      </c>
      <c r="Q243" s="4" t="s">
        <v>35</v>
      </c>
      <c r="R243" s="3">
        <v>693.02499999999998</v>
      </c>
      <c r="S243" s="3">
        <v>13.008699999999999</v>
      </c>
      <c r="T243" s="4" t="s">
        <v>43</v>
      </c>
      <c r="U243" s="2" t="s">
        <v>37</v>
      </c>
      <c r="V243" s="2" t="s">
        <v>37</v>
      </c>
      <c r="W243" s="2" t="s">
        <v>37</v>
      </c>
      <c r="X243" s="2" t="s">
        <v>37</v>
      </c>
      <c r="Y243" s="2" t="s">
        <v>37</v>
      </c>
      <c r="Z243" s="2" t="s">
        <v>37</v>
      </c>
      <c r="AA243" s="6">
        <v>3.0810447089999999</v>
      </c>
      <c r="AB243" s="6">
        <v>2.8407489020000001</v>
      </c>
      <c r="AC243" s="6">
        <v>2.9358396610000002</v>
      </c>
      <c r="AD243" cm="1">
        <f t="array" ref="AD243">IF(SUMPRODUCT(--($AM$2:$AM$112=TRIM(LEFT($B243,IFERROR(FIND(" ",$B243)-1,LEN($B243))))))&gt;0,1,0)</f>
        <v>0</v>
      </c>
      <c r="AE243" cm="1">
        <f t="array" ref="AE243">IF(SUMPRODUCT(--($AO$2:$AO$145=TRIM(LEFT($B243,IFERROR(FIND(" ",$B243)-1,LEN($B243))))))&gt;0,1,0)</f>
        <v>0</v>
      </c>
      <c r="AF243" cm="1">
        <f t="array" ref="AF243">IF(SUMPRODUCT(--($AQ$2:$AQ$71=TRIM(LEFT($B243,IFERROR(FIND(" ",$B243)-1,LEN($B243))))))&gt;0,1,0)</f>
        <v>0</v>
      </c>
    </row>
    <row r="244" spans="1:32" ht="45.75" thickBot="1" x14ac:dyDescent="0.3">
      <c r="A244" s="13">
        <v>189</v>
      </c>
      <c r="B244" s="4" t="s">
        <v>642</v>
      </c>
      <c r="C244" s="4" t="s">
        <v>643</v>
      </c>
      <c r="D244" s="7">
        <v>45302</v>
      </c>
      <c r="E244" s="3">
        <v>11597.17</v>
      </c>
      <c r="F244" s="4" t="s">
        <v>46</v>
      </c>
      <c r="G244" s="3">
        <v>0.49</v>
      </c>
      <c r="H244" s="4" t="s">
        <v>118</v>
      </c>
      <c r="I244" s="4" t="s">
        <v>119</v>
      </c>
      <c r="J244" s="4" t="s">
        <v>120</v>
      </c>
      <c r="K244" s="3">
        <v>389</v>
      </c>
      <c r="L244" s="3">
        <v>260</v>
      </c>
      <c r="M244" s="3">
        <v>1.89</v>
      </c>
      <c r="N244" s="3">
        <v>7349.17</v>
      </c>
      <c r="O244" s="4" t="s">
        <v>34</v>
      </c>
      <c r="P244" s="4" t="s">
        <v>34</v>
      </c>
      <c r="Q244" s="4" t="s">
        <v>35</v>
      </c>
      <c r="R244" s="3">
        <v>6522</v>
      </c>
      <c r="S244" s="3">
        <v>-76.113600000000005</v>
      </c>
      <c r="T244" s="4" t="s">
        <v>43</v>
      </c>
      <c r="U244" s="2" t="s">
        <v>37</v>
      </c>
      <c r="V244" s="2" t="s">
        <v>37</v>
      </c>
      <c r="W244" s="2" t="s">
        <v>37</v>
      </c>
      <c r="X244" s="2" t="s">
        <v>37</v>
      </c>
      <c r="Y244" s="2" t="s">
        <v>37</v>
      </c>
      <c r="Z244" s="2" t="s">
        <v>37</v>
      </c>
      <c r="AA244" s="6">
        <v>4.0643520229999996</v>
      </c>
      <c r="AB244" s="6">
        <v>3.8143807939999999</v>
      </c>
      <c r="AC244" s="6">
        <v>3.866238294</v>
      </c>
      <c r="AD244" cm="1">
        <f t="array" ref="AD244">IF(SUMPRODUCT(--($AM$2:$AM$112=TRIM(LEFT($B244,IFERROR(FIND(" ",$B244)-1,LEN($B244))))))&gt;0,1,0)</f>
        <v>0</v>
      </c>
      <c r="AE244" cm="1">
        <f t="array" ref="AE244">IF(SUMPRODUCT(--($AO$2:$AO$145=TRIM(LEFT($B244,IFERROR(FIND(" ",$B244)-1,LEN($B244))))))&gt;0,1,0)</f>
        <v>0</v>
      </c>
      <c r="AF244" cm="1">
        <f t="array" ref="AF244">IF(SUMPRODUCT(--($AQ$2:$AQ$71=TRIM(LEFT($B244,IFERROR(FIND(" ",$B244)-1,LEN($B244))))))&gt;0,1,0)</f>
        <v>0</v>
      </c>
    </row>
    <row r="245" spans="1:32" ht="135.75" thickBot="1" x14ac:dyDescent="0.3">
      <c r="A245" s="13">
        <v>83</v>
      </c>
      <c r="B245" s="4" t="s">
        <v>644</v>
      </c>
      <c r="C245" s="4" t="s">
        <v>645</v>
      </c>
      <c r="D245" s="7">
        <v>45450</v>
      </c>
      <c r="E245" s="3">
        <v>4577.54</v>
      </c>
      <c r="F245" s="4" t="s">
        <v>30</v>
      </c>
      <c r="G245" s="3">
        <v>5.01</v>
      </c>
      <c r="H245" s="4" t="s">
        <v>31</v>
      </c>
      <c r="I245" s="4" t="s">
        <v>32</v>
      </c>
      <c r="J245" s="4" t="s">
        <v>33</v>
      </c>
      <c r="K245" s="4"/>
      <c r="L245" s="4"/>
      <c r="M245" s="3">
        <v>11.9</v>
      </c>
      <c r="N245" s="3">
        <v>3778.57</v>
      </c>
      <c r="O245" s="4" t="s">
        <v>34</v>
      </c>
      <c r="P245" s="4" t="s">
        <v>34</v>
      </c>
      <c r="Q245" s="4" t="s">
        <v>35</v>
      </c>
      <c r="R245" s="3">
        <v>697.65099999999995</v>
      </c>
      <c r="S245" s="3">
        <v>3.4859800000000001</v>
      </c>
      <c r="T245" s="4" t="s">
        <v>369</v>
      </c>
      <c r="U245" s="2" t="s">
        <v>37</v>
      </c>
      <c r="V245" s="2" t="s">
        <v>37</v>
      </c>
      <c r="W245" s="2" t="s">
        <v>37</v>
      </c>
      <c r="X245" s="2" t="s">
        <v>38</v>
      </c>
      <c r="Y245" s="2" t="s">
        <v>38</v>
      </c>
      <c r="Z245" s="2" t="s">
        <v>37</v>
      </c>
      <c r="AA245" s="6">
        <v>3.6606321479999999</v>
      </c>
      <c r="AB245" s="6">
        <v>2.843638221</v>
      </c>
      <c r="AC245" s="6">
        <v>3.5773274719999999</v>
      </c>
      <c r="AD245" cm="1">
        <f t="array" ref="AD245">IF(SUMPRODUCT(--($AM$2:$AM$112=TRIM(LEFT($B245,IFERROR(FIND(" ",$B245)-1,LEN($B245))))))&gt;0,1,0)</f>
        <v>0</v>
      </c>
      <c r="AE245" cm="1">
        <f t="array" ref="AE245">IF(SUMPRODUCT(--($AO$2:$AO$145=TRIM(LEFT($B245,IFERROR(FIND(" ",$B245)-1,LEN($B245))))))&gt;0,1,0)</f>
        <v>0</v>
      </c>
      <c r="AF245" cm="1">
        <f t="array" ref="AF245">IF(SUMPRODUCT(--($AQ$2:$AQ$71=TRIM(LEFT($B245,IFERROR(FIND(" ",$B245)-1,LEN($B245))))))&gt;0,1,0)</f>
        <v>0</v>
      </c>
    </row>
    <row r="246" spans="1:32" ht="45.75" thickBot="1" x14ac:dyDescent="0.3">
      <c r="A246" s="13">
        <v>209</v>
      </c>
      <c r="B246" s="4" t="s">
        <v>646</v>
      </c>
      <c r="C246" s="4" t="s">
        <v>647</v>
      </c>
      <c r="D246" s="7">
        <v>45263</v>
      </c>
      <c r="E246" s="3">
        <v>929.4</v>
      </c>
      <c r="F246" s="4" t="s">
        <v>30</v>
      </c>
      <c r="G246" s="3">
        <v>58.37</v>
      </c>
      <c r="H246" s="4" t="s">
        <v>70</v>
      </c>
      <c r="I246" s="4" t="s">
        <v>94</v>
      </c>
      <c r="J246" s="4" t="s">
        <v>108</v>
      </c>
      <c r="K246" s="3">
        <v>100</v>
      </c>
      <c r="L246" s="3">
        <v>39.549999999999997</v>
      </c>
      <c r="M246" s="3">
        <v>298.10000000000002</v>
      </c>
      <c r="N246" s="3">
        <v>929.4</v>
      </c>
      <c r="O246" s="4" t="s">
        <v>34</v>
      </c>
      <c r="P246" s="4" t="s">
        <v>34</v>
      </c>
      <c r="Q246" s="4" t="s">
        <v>35</v>
      </c>
      <c r="R246" s="3">
        <v>2716.28</v>
      </c>
      <c r="S246" s="3">
        <v>-13.362299999999999</v>
      </c>
      <c r="T246" s="4" t="s">
        <v>43</v>
      </c>
      <c r="U246" s="2" t="s">
        <v>37</v>
      </c>
      <c r="V246" s="2" t="s">
        <v>37</v>
      </c>
      <c r="W246" s="2" t="s">
        <v>37</v>
      </c>
      <c r="X246" s="2" t="s">
        <v>37</v>
      </c>
      <c r="Y246" s="2" t="s">
        <v>37</v>
      </c>
      <c r="Z246" s="2" t="s">
        <v>37</v>
      </c>
      <c r="AA246" s="6">
        <v>2.968202668</v>
      </c>
      <c r="AB246" s="6">
        <v>3.433974536</v>
      </c>
      <c r="AC246" s="6">
        <v>2.968202668</v>
      </c>
      <c r="AD246" cm="1">
        <f t="array" ref="AD246">IF(SUMPRODUCT(--($AM$2:$AM$112=TRIM(LEFT($B246,IFERROR(FIND(" ",$B246)-1,LEN($B246))))))&gt;0,1,0)</f>
        <v>0</v>
      </c>
      <c r="AE246" cm="1">
        <f t="array" ref="AE246">IF(SUMPRODUCT(--($AO$2:$AO$145=TRIM(LEFT($B246,IFERROR(FIND(" ",$B246)-1,LEN($B246))))))&gt;0,1,0)</f>
        <v>0</v>
      </c>
      <c r="AF246" cm="1">
        <f t="array" ref="AF246">IF(SUMPRODUCT(--($AQ$2:$AQ$71=TRIM(LEFT($B246,IFERROR(FIND(" ",$B246)-1,LEN($B246))))))&gt;0,1,0)</f>
        <v>0</v>
      </c>
    </row>
    <row r="247" spans="1:32" ht="60.75" thickBot="1" x14ac:dyDescent="0.3">
      <c r="A247" s="13">
        <v>67</v>
      </c>
      <c r="B247" s="4" t="s">
        <v>648</v>
      </c>
      <c r="C247" s="4" t="s">
        <v>605</v>
      </c>
      <c r="D247" s="7">
        <v>45461</v>
      </c>
      <c r="E247" s="3">
        <v>1009.18</v>
      </c>
      <c r="F247" s="4" t="s">
        <v>30</v>
      </c>
      <c r="G247" s="4"/>
      <c r="H247" s="4" t="s">
        <v>41</v>
      </c>
      <c r="I247" s="4" t="s">
        <v>41</v>
      </c>
      <c r="J247" s="4" t="s">
        <v>60</v>
      </c>
      <c r="K247" s="3">
        <v>69.5</v>
      </c>
      <c r="L247" s="3">
        <v>37.9</v>
      </c>
      <c r="M247" s="3">
        <v>27.23</v>
      </c>
      <c r="N247" s="3">
        <v>1099.0899999999999</v>
      </c>
      <c r="O247" s="4" t="s">
        <v>34</v>
      </c>
      <c r="P247" s="4" t="s">
        <v>34</v>
      </c>
      <c r="Q247" s="4" t="s">
        <v>35</v>
      </c>
      <c r="R247" s="3">
        <v>177.13399999999999</v>
      </c>
      <c r="S247" s="3">
        <v>-31.433800000000002</v>
      </c>
      <c r="T247" s="4" t="s">
        <v>43</v>
      </c>
      <c r="U247" s="2" t="s">
        <v>37</v>
      </c>
      <c r="V247" s="2" t="s">
        <v>37</v>
      </c>
      <c r="W247" s="2" t="s">
        <v>37</v>
      </c>
      <c r="X247" s="2" t="s">
        <v>37</v>
      </c>
      <c r="Y247" s="2" t="s">
        <v>37</v>
      </c>
      <c r="Z247" s="2" t="s">
        <v>37</v>
      </c>
      <c r="AA247" s="6">
        <v>3.0039686350000001</v>
      </c>
      <c r="AB247" s="6">
        <v>2.2483019299999998</v>
      </c>
      <c r="AC247" s="6">
        <v>3.041033256</v>
      </c>
      <c r="AD247" cm="1">
        <f t="array" ref="AD247">IF(SUMPRODUCT(--($AM$2:$AM$112=TRIM(LEFT($B247,IFERROR(FIND(" ",$B247)-1,LEN($B247))))))&gt;0,1,0)</f>
        <v>0</v>
      </c>
      <c r="AE247" cm="1">
        <f t="array" ref="AE247">IF(SUMPRODUCT(--($AO$2:$AO$145=TRIM(LEFT($B247,IFERROR(FIND(" ",$B247)-1,LEN($B247))))))&gt;0,1,0)</f>
        <v>0</v>
      </c>
      <c r="AF247" cm="1">
        <f t="array" ref="AF247">IF(SUMPRODUCT(--($AQ$2:$AQ$71=TRIM(LEFT($B247,IFERROR(FIND(" ",$B247)-1,LEN($B247))))))&gt;0,1,0)</f>
        <v>0</v>
      </c>
    </row>
    <row r="248" spans="1:32" ht="135.75" thickBot="1" x14ac:dyDescent="0.3">
      <c r="A248" s="13">
        <v>96</v>
      </c>
      <c r="B248" s="4" t="s">
        <v>649</v>
      </c>
      <c r="C248" s="4" t="s">
        <v>257</v>
      </c>
      <c r="D248" s="7">
        <v>45407</v>
      </c>
      <c r="E248" s="3">
        <v>2622.57</v>
      </c>
      <c r="F248" s="4" t="s">
        <v>30</v>
      </c>
      <c r="G248" s="3">
        <v>10.98</v>
      </c>
      <c r="H248" s="4" t="s">
        <v>65</v>
      </c>
      <c r="I248" s="4" t="s">
        <v>138</v>
      </c>
      <c r="J248" s="4" t="s">
        <v>176</v>
      </c>
      <c r="K248" s="4"/>
      <c r="L248" s="4"/>
      <c r="M248" s="3">
        <v>-0.11</v>
      </c>
      <c r="N248" s="3">
        <v>2622.57</v>
      </c>
      <c r="O248" s="4" t="s">
        <v>34</v>
      </c>
      <c r="P248" s="4" t="s">
        <v>34</v>
      </c>
      <c r="Q248" s="4" t="s">
        <v>35</v>
      </c>
      <c r="R248" s="3">
        <v>708.49900000000002</v>
      </c>
      <c r="S248" s="3">
        <v>26.798400000000001</v>
      </c>
      <c r="T248" s="4" t="s">
        <v>220</v>
      </c>
      <c r="U248" s="2" t="s">
        <v>37</v>
      </c>
      <c r="V248" s="2" t="s">
        <v>37</v>
      </c>
      <c r="W248" s="2" t="s">
        <v>37</v>
      </c>
      <c r="X248" s="2" t="s">
        <v>38</v>
      </c>
      <c r="Y248" s="2" t="s">
        <v>38</v>
      </c>
      <c r="Z248" s="2" t="s">
        <v>37</v>
      </c>
      <c r="AA248" s="6">
        <v>3.4187270889999999</v>
      </c>
      <c r="AB248" s="6">
        <v>2.850339242</v>
      </c>
      <c r="AC248" s="6">
        <v>3.4187270889999999</v>
      </c>
      <c r="AD248" cm="1">
        <f t="array" ref="AD248">IF(SUMPRODUCT(--($AM$2:$AM$112=TRIM(LEFT($B248,IFERROR(FIND(" ",$B248)-1,LEN($B248))))))&gt;0,1,0)</f>
        <v>0</v>
      </c>
      <c r="AE248" cm="1">
        <f t="array" ref="AE248">IF(SUMPRODUCT(--($AO$2:$AO$145=TRIM(LEFT($B248,IFERROR(FIND(" ",$B248)-1,LEN($B248))))))&gt;0,1,0)</f>
        <v>0</v>
      </c>
      <c r="AF248" cm="1">
        <f t="array" ref="AF248">IF(SUMPRODUCT(--($AQ$2:$AQ$71=TRIM(LEFT($B248,IFERROR(FIND(" ",$B248)-1,LEN($B248))))))&gt;0,1,0)</f>
        <v>0</v>
      </c>
    </row>
    <row r="249" spans="1:32" ht="45.75" thickBot="1" x14ac:dyDescent="0.3">
      <c r="A249" s="13">
        <v>63</v>
      </c>
      <c r="B249" s="4" t="s">
        <v>650</v>
      </c>
      <c r="C249" s="4" t="s">
        <v>651</v>
      </c>
      <c r="D249" s="7">
        <v>45453</v>
      </c>
      <c r="E249" s="3">
        <v>2171.27</v>
      </c>
      <c r="F249" s="4" t="s">
        <v>107</v>
      </c>
      <c r="G249" s="3">
        <v>0.13</v>
      </c>
      <c r="H249" s="4" t="s">
        <v>118</v>
      </c>
      <c r="I249" s="4" t="s">
        <v>119</v>
      </c>
      <c r="J249" s="4" t="s">
        <v>355</v>
      </c>
      <c r="K249" s="4"/>
      <c r="L249" s="9">
        <v>60000000</v>
      </c>
      <c r="M249" s="3">
        <v>12.16</v>
      </c>
      <c r="N249" s="3">
        <v>1666.67</v>
      </c>
      <c r="O249" s="4" t="s">
        <v>34</v>
      </c>
      <c r="P249" s="4" t="s">
        <v>34</v>
      </c>
      <c r="Q249" s="4" t="s">
        <v>35</v>
      </c>
      <c r="R249" s="3">
        <v>1056.18</v>
      </c>
      <c r="S249" s="3">
        <v>8.9592399999999994</v>
      </c>
      <c r="T249" s="4" t="s">
        <v>43</v>
      </c>
      <c r="U249" s="2" t="s">
        <v>37</v>
      </c>
      <c r="V249" s="2" t="s">
        <v>37</v>
      </c>
      <c r="W249" s="2" t="s">
        <v>37</v>
      </c>
      <c r="X249" s="2" t="s">
        <v>37</v>
      </c>
      <c r="Y249" s="2" t="s">
        <v>37</v>
      </c>
      <c r="Z249" s="2" t="s">
        <v>37</v>
      </c>
      <c r="AA249" s="6">
        <v>3.336713832</v>
      </c>
      <c r="AB249" s="6">
        <v>3.0237379390000001</v>
      </c>
      <c r="AC249" s="6">
        <v>3.2218496179999998</v>
      </c>
      <c r="AD249" cm="1">
        <f t="array" ref="AD249">IF(SUMPRODUCT(--($AM$2:$AM$112=TRIM(LEFT($B249,IFERROR(FIND(" ",$B249)-1,LEN($B249))))))&gt;0,1,0)</f>
        <v>0</v>
      </c>
      <c r="AE249" cm="1">
        <f t="array" ref="AE249">IF(SUMPRODUCT(--($AO$2:$AO$145=TRIM(LEFT($B249,IFERROR(FIND(" ",$B249)-1,LEN($B249))))))&gt;0,1,0)</f>
        <v>0</v>
      </c>
      <c r="AF249" cm="1">
        <f t="array" ref="AF249">IF(SUMPRODUCT(--($AQ$2:$AQ$71=TRIM(LEFT($B249,IFERROR(FIND(" ",$B249)-1,LEN($B249))))))&gt;0,1,0)</f>
        <v>0</v>
      </c>
    </row>
    <row r="250" spans="1:32" ht="135.75" thickBot="1" x14ac:dyDescent="0.3">
      <c r="A250" s="13">
        <v>55</v>
      </c>
      <c r="B250" s="4" t="s">
        <v>652</v>
      </c>
      <c r="C250" s="4" t="s">
        <v>653</v>
      </c>
      <c r="D250" s="7">
        <v>45462</v>
      </c>
      <c r="E250" s="3">
        <v>680.77</v>
      </c>
      <c r="F250" s="4" t="s">
        <v>30</v>
      </c>
      <c r="G250" s="3">
        <v>3.78</v>
      </c>
      <c r="H250" s="4" t="s">
        <v>31</v>
      </c>
      <c r="I250" s="4" t="s">
        <v>32</v>
      </c>
      <c r="J250" s="4" t="s">
        <v>33</v>
      </c>
      <c r="K250" s="4"/>
      <c r="L250" s="4"/>
      <c r="M250" s="4"/>
      <c r="N250" s="3">
        <v>151.58000000000001</v>
      </c>
      <c r="O250" s="4" t="s">
        <v>34</v>
      </c>
      <c r="P250" s="4" t="s">
        <v>654</v>
      </c>
      <c r="Q250" s="4" t="s">
        <v>35</v>
      </c>
      <c r="R250" s="3">
        <v>1050.1500000000001</v>
      </c>
      <c r="S250" s="3">
        <v>14.943</v>
      </c>
      <c r="T250" s="4" t="s">
        <v>655</v>
      </c>
      <c r="U250" s="2" t="s">
        <v>37</v>
      </c>
      <c r="V250" s="2" t="s">
        <v>37</v>
      </c>
      <c r="W250" s="2" t="s">
        <v>38</v>
      </c>
      <c r="X250" s="2" t="s">
        <v>37</v>
      </c>
      <c r="Y250" s="2" t="s">
        <v>37</v>
      </c>
      <c r="Z250" s="2" t="s">
        <v>37</v>
      </c>
      <c r="AA250" s="6">
        <v>2.8330004089999998</v>
      </c>
      <c r="AB250" s="6">
        <v>3.0212513369999998</v>
      </c>
      <c r="AC250" s="6">
        <v>2.1806419030000002</v>
      </c>
      <c r="AD250" cm="1">
        <f t="array" ref="AD250">IF(SUMPRODUCT(--($AM$2:$AM$112=TRIM(LEFT($B250,IFERROR(FIND(" ",$B250)-1,LEN($B250))))))&gt;0,1,0)</f>
        <v>0</v>
      </c>
      <c r="AE250" cm="1">
        <f t="array" ref="AE250">IF(SUMPRODUCT(--($AO$2:$AO$145=TRIM(LEFT($B250,IFERROR(FIND(" ",$B250)-1,LEN($B250))))))&gt;0,1,0)</f>
        <v>0</v>
      </c>
      <c r="AF250" cm="1">
        <f t="array" ref="AF250">IF(SUMPRODUCT(--($AQ$2:$AQ$71=TRIM(LEFT($B250,IFERROR(FIND(" ",$B250)-1,LEN($B250))))))&gt;0,1,0)</f>
        <v>0</v>
      </c>
    </row>
    <row r="251" spans="1:32" ht="105.75" thickBot="1" x14ac:dyDescent="0.3">
      <c r="A251" s="13">
        <v>61</v>
      </c>
      <c r="B251" s="4" t="s">
        <v>656</v>
      </c>
      <c r="C251" s="4" t="s">
        <v>657</v>
      </c>
      <c r="D251" s="7">
        <v>45454</v>
      </c>
      <c r="E251" s="3">
        <v>564.54999999999995</v>
      </c>
      <c r="F251" s="4" t="s">
        <v>30</v>
      </c>
      <c r="G251" s="4"/>
      <c r="H251" s="4" t="s">
        <v>31</v>
      </c>
      <c r="I251" s="4" t="s">
        <v>32</v>
      </c>
      <c r="J251" s="4" t="s">
        <v>33</v>
      </c>
      <c r="K251" s="4"/>
      <c r="L251" s="4"/>
      <c r="M251" s="3">
        <v>35.630000000000003</v>
      </c>
      <c r="N251" s="3">
        <v>647.45000000000005</v>
      </c>
      <c r="O251" s="4" t="s">
        <v>49</v>
      </c>
      <c r="P251" s="4" t="s">
        <v>638</v>
      </c>
      <c r="Q251" s="4" t="s">
        <v>35</v>
      </c>
      <c r="R251" s="3">
        <v>58.979199999999999</v>
      </c>
      <c r="S251" s="3">
        <v>-49.087699999999998</v>
      </c>
      <c r="T251" s="4" t="s">
        <v>658</v>
      </c>
      <c r="U251" s="2" t="s">
        <v>37</v>
      </c>
      <c r="V251" s="2" t="s">
        <v>37</v>
      </c>
      <c r="W251" s="2" t="s">
        <v>38</v>
      </c>
      <c r="X251" s="2" t="s">
        <v>38</v>
      </c>
      <c r="Y251" s="2" t="s">
        <v>37</v>
      </c>
      <c r="Z251" s="2" t="s">
        <v>37</v>
      </c>
      <c r="AA251" s="6">
        <v>2.7517024120000002</v>
      </c>
      <c r="AB251" s="6">
        <v>1.7706988770000001</v>
      </c>
      <c r="AC251" s="6">
        <v>2.8112062350000002</v>
      </c>
      <c r="AD251" cm="1">
        <f t="array" ref="AD251">IF(SUMPRODUCT(--($AM$2:$AM$112=TRIM(LEFT($B251,IFERROR(FIND(" ",$B251)-1,LEN($B251))))))&gt;0,1,0)</f>
        <v>0</v>
      </c>
      <c r="AE251" cm="1">
        <f t="array" ref="AE251">IF(SUMPRODUCT(--($AO$2:$AO$145=TRIM(LEFT($B251,IFERROR(FIND(" ",$B251)-1,LEN($B251))))))&gt;0,1,0)</f>
        <v>0</v>
      </c>
      <c r="AF251" cm="1">
        <f t="array" ref="AF251">IF(SUMPRODUCT(--($AQ$2:$AQ$71=TRIM(LEFT($B251,IFERROR(FIND(" ",$B251)-1,LEN($B251))))))&gt;0,1,0)</f>
        <v>0</v>
      </c>
    </row>
    <row r="252" spans="1:32" ht="60.75" thickBot="1" x14ac:dyDescent="0.3">
      <c r="A252" s="13">
        <v>63</v>
      </c>
      <c r="B252" s="4" t="s">
        <v>659</v>
      </c>
      <c r="C252" s="4" t="s">
        <v>660</v>
      </c>
      <c r="D252" s="7">
        <v>45440</v>
      </c>
      <c r="E252" s="3">
        <v>799.68</v>
      </c>
      <c r="F252" s="4" t="s">
        <v>30</v>
      </c>
      <c r="G252" s="3">
        <v>21.22</v>
      </c>
      <c r="H252" s="4" t="s">
        <v>41</v>
      </c>
      <c r="I252" s="4" t="s">
        <v>41</v>
      </c>
      <c r="J252" s="4" t="s">
        <v>60</v>
      </c>
      <c r="K252" s="4"/>
      <c r="L252" s="4"/>
      <c r="M252" s="3">
        <v>3.48</v>
      </c>
      <c r="N252" s="3">
        <v>809.58</v>
      </c>
      <c r="O252" s="4" t="s">
        <v>34</v>
      </c>
      <c r="P252" s="4" t="s">
        <v>34</v>
      </c>
      <c r="Q252" s="4" t="s">
        <v>35</v>
      </c>
      <c r="R252" s="3">
        <v>169.32599999999999</v>
      </c>
      <c r="S252" s="3">
        <v>7.9327300000000003</v>
      </c>
      <c r="T252" s="4" t="s">
        <v>43</v>
      </c>
      <c r="U252" s="2" t="s">
        <v>37</v>
      </c>
      <c r="V252" s="2" t="s">
        <v>37</v>
      </c>
      <c r="W252" s="2" t="s">
        <v>37</v>
      </c>
      <c r="X252" s="2" t="s">
        <v>37</v>
      </c>
      <c r="Y252" s="2" t="s">
        <v>37</v>
      </c>
      <c r="Z252" s="2" t="s">
        <v>37</v>
      </c>
      <c r="AA252" s="6">
        <v>2.9029162340000001</v>
      </c>
      <c r="AB252" s="6">
        <v>2.228723649</v>
      </c>
      <c r="AC252" s="6">
        <v>2.908259771</v>
      </c>
      <c r="AD252" cm="1">
        <f t="array" ref="AD252">IF(SUMPRODUCT(--($AM$2:$AM$112=TRIM(LEFT($B252,IFERROR(FIND(" ",$B252)-1,LEN($B252))))))&gt;0,1,0)</f>
        <v>0</v>
      </c>
      <c r="AE252" cm="1">
        <f t="array" ref="AE252">IF(SUMPRODUCT(--($AO$2:$AO$145=TRIM(LEFT($B252,IFERROR(FIND(" ",$B252)-1,LEN($B252))))))&gt;0,1,0)</f>
        <v>0</v>
      </c>
      <c r="AF252" cm="1">
        <f t="array" ref="AF252">IF(SUMPRODUCT(--($AQ$2:$AQ$71=TRIM(LEFT($B252,IFERROR(FIND(" ",$B252)-1,LEN($B252))))))&gt;0,1,0)</f>
        <v>0</v>
      </c>
    </row>
    <row r="253" spans="1:32" ht="75.75" thickBot="1" x14ac:dyDescent="0.3">
      <c r="A253" s="13">
        <v>31</v>
      </c>
      <c r="B253" s="4" t="s">
        <v>661</v>
      </c>
      <c r="C253" s="4" t="s">
        <v>40</v>
      </c>
      <c r="D253" s="7">
        <v>45481</v>
      </c>
      <c r="E253" s="3">
        <v>2333.66</v>
      </c>
      <c r="F253" s="4" t="s">
        <v>30</v>
      </c>
      <c r="G253" s="4"/>
      <c r="H253" s="4" t="s">
        <v>41</v>
      </c>
      <c r="I253" s="4" t="s">
        <v>41</v>
      </c>
      <c r="J253" s="4" t="s">
        <v>42</v>
      </c>
      <c r="K253" s="4"/>
      <c r="L253" s="3">
        <v>118</v>
      </c>
      <c r="M253" s="3">
        <v>89.07</v>
      </c>
      <c r="N253" s="3">
        <v>2990.95</v>
      </c>
      <c r="O253" s="4" t="s">
        <v>34</v>
      </c>
      <c r="P253" s="4" t="s">
        <v>34</v>
      </c>
      <c r="Q253" s="4" t="s">
        <v>35</v>
      </c>
      <c r="R253" s="3">
        <v>0.52100000000000002</v>
      </c>
      <c r="S253" s="2"/>
      <c r="T253" s="4" t="s">
        <v>88</v>
      </c>
      <c r="U253" s="2" t="s">
        <v>37</v>
      </c>
      <c r="V253" s="2" t="s">
        <v>37</v>
      </c>
      <c r="W253" s="2" t="s">
        <v>37</v>
      </c>
      <c r="X253" s="2" t="s">
        <v>37</v>
      </c>
      <c r="Y253" s="2" t="s">
        <v>37</v>
      </c>
      <c r="Z253" s="2" t="s">
        <v>38</v>
      </c>
      <c r="AA253" s="6">
        <v>3.3680375819999999</v>
      </c>
      <c r="AB253" s="6">
        <v>-0.28316227669999999</v>
      </c>
      <c r="AC253" s="6">
        <v>3.4758091530000002</v>
      </c>
      <c r="AD253" cm="1">
        <f t="array" ref="AD253">IF(SUMPRODUCT(--($AM$2:$AM$112=TRIM(LEFT($B253,IFERROR(FIND(" ",$B253)-1,LEN($B253))))))&gt;0,1,0)</f>
        <v>0</v>
      </c>
      <c r="AE253" cm="1">
        <f t="array" ref="AE253">IF(SUMPRODUCT(--($AO$2:$AO$145=TRIM(LEFT($B253,IFERROR(FIND(" ",$B253)-1,LEN($B253))))))&gt;0,1,0)</f>
        <v>0</v>
      </c>
      <c r="AF253" cm="1">
        <f t="array" ref="AF253">IF(SUMPRODUCT(--($AQ$2:$AQ$71=TRIM(LEFT($B253,IFERROR(FIND(" ",$B253)-1,LEN($B253))))))&gt;0,1,0)</f>
        <v>0</v>
      </c>
    </row>
    <row r="254" spans="1:32" ht="165.75" thickBot="1" x14ac:dyDescent="0.3">
      <c r="A254" s="13">
        <v>52</v>
      </c>
      <c r="B254" s="4" t="s">
        <v>662</v>
      </c>
      <c r="C254" s="2"/>
      <c r="D254" s="7">
        <v>45446</v>
      </c>
      <c r="E254" s="3">
        <v>885.41</v>
      </c>
      <c r="F254" s="4" t="s">
        <v>30</v>
      </c>
      <c r="G254" s="3">
        <v>9.0500000000000007</v>
      </c>
      <c r="H254" s="4" t="s">
        <v>75</v>
      </c>
      <c r="I254" s="4" t="s">
        <v>111</v>
      </c>
      <c r="J254" s="4" t="s">
        <v>112</v>
      </c>
      <c r="K254" s="3">
        <v>38.422499999999999</v>
      </c>
      <c r="L254" s="3">
        <v>38.422499999999999</v>
      </c>
      <c r="M254" s="3">
        <v>57.47</v>
      </c>
      <c r="N254" s="3">
        <v>669.5</v>
      </c>
      <c r="O254" s="4" t="s">
        <v>49</v>
      </c>
      <c r="P254" s="4" t="s">
        <v>34</v>
      </c>
      <c r="Q254" s="4" t="s">
        <v>35</v>
      </c>
      <c r="R254" s="3">
        <v>347.601</v>
      </c>
      <c r="S254" s="3">
        <v>21.279299999999999</v>
      </c>
      <c r="T254" s="4" t="s">
        <v>639</v>
      </c>
      <c r="U254" s="2" t="s">
        <v>37</v>
      </c>
      <c r="V254" s="2" t="s">
        <v>37</v>
      </c>
      <c r="W254" s="2" t="s">
        <v>38</v>
      </c>
      <c r="X254" s="2" t="s">
        <v>38</v>
      </c>
      <c r="Y254" s="2" t="s">
        <v>38</v>
      </c>
      <c r="Z254" s="2" t="s">
        <v>37</v>
      </c>
      <c r="AA254" s="6">
        <v>2.9471444230000001</v>
      </c>
      <c r="AB254" s="6">
        <v>2.5410810170000002</v>
      </c>
      <c r="AC254" s="6">
        <v>2.8257505809999999</v>
      </c>
      <c r="AD254" cm="1">
        <f t="array" ref="AD254">IF(SUMPRODUCT(--($AM$2:$AM$112=TRIM(LEFT($B254,IFERROR(FIND(" ",$B254)-1,LEN($B254))))))&gt;0,1,0)</f>
        <v>0</v>
      </c>
      <c r="AE254" cm="1">
        <f t="array" ref="AE254">IF(SUMPRODUCT(--($AO$2:$AO$145=TRIM(LEFT($B254,IFERROR(FIND(" ",$B254)-1,LEN($B254))))))&gt;0,1,0)</f>
        <v>0</v>
      </c>
      <c r="AF254" cm="1">
        <f t="array" ref="AF254">IF(SUMPRODUCT(--($AQ$2:$AQ$71=TRIM(LEFT($B254,IFERROR(FIND(" ",$B254)-1,LEN($B254))))))&gt;0,1,0)</f>
        <v>0</v>
      </c>
    </row>
    <row r="255" spans="1:32" ht="105.75" thickBot="1" x14ac:dyDescent="0.3">
      <c r="A255" s="13">
        <v>87</v>
      </c>
      <c r="B255" s="4" t="s">
        <v>663</v>
      </c>
      <c r="C255" s="4" t="s">
        <v>664</v>
      </c>
      <c r="D255" s="7">
        <v>45390</v>
      </c>
      <c r="E255" s="3">
        <v>793.8</v>
      </c>
      <c r="F255" s="4" t="s">
        <v>107</v>
      </c>
      <c r="G255" s="3">
        <v>3.12</v>
      </c>
      <c r="H255" s="4" t="s">
        <v>47</v>
      </c>
      <c r="I255" s="4" t="s">
        <v>47</v>
      </c>
      <c r="J255" s="4" t="s">
        <v>48</v>
      </c>
      <c r="K255" s="4"/>
      <c r="L255" s="4"/>
      <c r="M255" s="3">
        <v>26.82</v>
      </c>
      <c r="N255" s="3">
        <v>809.2</v>
      </c>
      <c r="O255" s="4" t="s">
        <v>49</v>
      </c>
      <c r="P255" s="4" t="s">
        <v>152</v>
      </c>
      <c r="Q255" s="4" t="s">
        <v>35</v>
      </c>
      <c r="R255" s="3">
        <v>308.56299999999999</v>
      </c>
      <c r="S255" s="3">
        <v>11.8269</v>
      </c>
      <c r="T255" s="4" t="s">
        <v>665</v>
      </c>
      <c r="U255" s="2" t="s">
        <v>37</v>
      </c>
      <c r="V255" s="2" t="s">
        <v>38</v>
      </c>
      <c r="W255" s="2" t="s">
        <v>38</v>
      </c>
      <c r="X255" s="2" t="s">
        <v>37</v>
      </c>
      <c r="Y255" s="2" t="s">
        <v>37</v>
      </c>
      <c r="Z255" s="2" t="s">
        <v>37</v>
      </c>
      <c r="AA255" s="6">
        <v>2.8997110949999998</v>
      </c>
      <c r="AB255" s="6">
        <v>2.4893438479999999</v>
      </c>
      <c r="AC255" s="6">
        <v>2.908055874</v>
      </c>
      <c r="AD255" cm="1">
        <f t="array" ref="AD255">IF(SUMPRODUCT(--($AM$2:$AM$112=TRIM(LEFT($B255,IFERROR(FIND(" ",$B255)-1,LEN($B255))))))&gt;0,1,0)</f>
        <v>0</v>
      </c>
      <c r="AE255" cm="1">
        <f t="array" ref="AE255">IF(SUMPRODUCT(--($AO$2:$AO$145=TRIM(LEFT($B255,IFERROR(FIND(" ",$B255)-1,LEN($B255))))))&gt;0,1,0)</f>
        <v>0</v>
      </c>
      <c r="AF255" cm="1">
        <f t="array" ref="AF255">IF(SUMPRODUCT(--($AQ$2:$AQ$71=TRIM(LEFT($B255,IFERROR(FIND(" ",$B255)-1,LEN($B255))))))&gt;0,1,0)</f>
        <v>0</v>
      </c>
    </row>
    <row r="256" spans="1:32" ht="75.75" thickBot="1" x14ac:dyDescent="0.3">
      <c r="A256" s="13">
        <v>126</v>
      </c>
      <c r="B256" s="4" t="s">
        <v>666</v>
      </c>
      <c r="C256" s="4" t="s">
        <v>667</v>
      </c>
      <c r="D256" s="7">
        <v>45335</v>
      </c>
      <c r="E256" s="3">
        <v>637.17999999999995</v>
      </c>
      <c r="F256" s="4" t="s">
        <v>30</v>
      </c>
      <c r="G256" s="4"/>
      <c r="H256" s="4" t="s">
        <v>127</v>
      </c>
      <c r="I256" s="4" t="s">
        <v>128</v>
      </c>
      <c r="J256" s="4" t="s">
        <v>129</v>
      </c>
      <c r="K256" s="4"/>
      <c r="L256" s="4"/>
      <c r="M256" s="3">
        <v>28.69</v>
      </c>
      <c r="N256" s="3">
        <v>208.9</v>
      </c>
      <c r="O256" s="4" t="s">
        <v>34</v>
      </c>
      <c r="P256" s="4" t="s">
        <v>34</v>
      </c>
      <c r="Q256" s="4" t="s">
        <v>35</v>
      </c>
      <c r="R256" s="3">
        <v>550.91300000000001</v>
      </c>
      <c r="S256" s="3">
        <v>4.0392299999999999</v>
      </c>
      <c r="T256" s="4" t="s">
        <v>113</v>
      </c>
      <c r="U256" s="2" t="s">
        <v>37</v>
      </c>
      <c r="V256" s="2" t="s">
        <v>37</v>
      </c>
      <c r="W256" s="2" t="s">
        <v>37</v>
      </c>
      <c r="X256" s="2" t="s">
        <v>38</v>
      </c>
      <c r="Y256" s="2" t="s">
        <v>37</v>
      </c>
      <c r="Z256" s="2" t="s">
        <v>37</v>
      </c>
      <c r="AA256" s="6">
        <v>2.8042621360000002</v>
      </c>
      <c r="AB256" s="6">
        <v>2.7410830210000001</v>
      </c>
      <c r="AC256" s="6">
        <v>2.31993844</v>
      </c>
      <c r="AD256" cm="1">
        <f t="array" ref="AD256">IF(SUMPRODUCT(--($AM$2:$AM$112=TRIM(LEFT($B256,IFERROR(FIND(" ",$B256)-1,LEN($B256))))))&gt;0,1,0)</f>
        <v>0</v>
      </c>
      <c r="AE256" cm="1">
        <f t="array" ref="AE256">IF(SUMPRODUCT(--($AO$2:$AO$145=TRIM(LEFT($B256,IFERROR(FIND(" ",$B256)-1,LEN($B256))))))&gt;0,1,0)</f>
        <v>0</v>
      </c>
      <c r="AF256" cm="1">
        <f t="array" ref="AF256">IF(SUMPRODUCT(--($AQ$2:$AQ$71=TRIM(LEFT($B256,IFERROR(FIND(" ",$B256)-1,LEN($B256))))))&gt;0,1,0)</f>
        <v>0</v>
      </c>
    </row>
    <row r="257" spans="1:32" ht="45.75" thickBot="1" x14ac:dyDescent="0.3">
      <c r="A257" s="13">
        <v>173</v>
      </c>
      <c r="B257" s="4" t="s">
        <v>668</v>
      </c>
      <c r="C257" s="4" t="s">
        <v>669</v>
      </c>
      <c r="D257" s="7">
        <v>45266</v>
      </c>
      <c r="E257" s="3">
        <v>7699.74</v>
      </c>
      <c r="F257" s="4" t="s">
        <v>30</v>
      </c>
      <c r="G257" s="4"/>
      <c r="H257" s="4" t="s">
        <v>41</v>
      </c>
      <c r="I257" s="4" t="s">
        <v>41</v>
      </c>
      <c r="J257" s="4" t="s">
        <v>42</v>
      </c>
      <c r="K257" s="4"/>
      <c r="L257" s="4"/>
      <c r="M257" s="3">
        <v>75.02</v>
      </c>
      <c r="N257" s="3">
        <v>8426.01</v>
      </c>
      <c r="O257" s="4" t="s">
        <v>34</v>
      </c>
      <c r="P257" s="4" t="s">
        <v>34</v>
      </c>
      <c r="Q257" s="4" t="s">
        <v>35</v>
      </c>
      <c r="R257" s="2"/>
      <c r="S257" s="2"/>
      <c r="T257" s="4" t="s">
        <v>43</v>
      </c>
      <c r="U257" s="2" t="s">
        <v>37</v>
      </c>
      <c r="V257" s="2" t="s">
        <v>37</v>
      </c>
      <c r="W257" s="2" t="s">
        <v>37</v>
      </c>
      <c r="X257" s="2" t="s">
        <v>37</v>
      </c>
      <c r="Y257" s="2" t="s">
        <v>37</v>
      </c>
      <c r="Z257" s="2" t="s">
        <v>37</v>
      </c>
      <c r="AA257" s="6">
        <v>3.8864760600000001</v>
      </c>
      <c r="AB257" s="2"/>
      <c r="AC257" s="6">
        <v>3.9256219699999999</v>
      </c>
      <c r="AD257" cm="1">
        <f t="array" ref="AD257">IF(SUMPRODUCT(--($AM$2:$AM$112=TRIM(LEFT($B257,IFERROR(FIND(" ",$B257)-1,LEN($B257))))))&gt;0,1,0)</f>
        <v>0</v>
      </c>
      <c r="AE257" cm="1">
        <f t="array" ref="AE257">IF(SUMPRODUCT(--($AO$2:$AO$145=TRIM(LEFT($B257,IFERROR(FIND(" ",$B257)-1,LEN($B257))))))&gt;0,1,0)</f>
        <v>0</v>
      </c>
      <c r="AF257" cm="1">
        <f t="array" ref="AF257">IF(SUMPRODUCT(--($AQ$2:$AQ$71=TRIM(LEFT($B257,IFERROR(FIND(" ",$B257)-1,LEN($B257))))))&gt;0,1,0)</f>
        <v>0</v>
      </c>
    </row>
    <row r="258" spans="1:32" ht="135.75" thickBot="1" x14ac:dyDescent="0.3">
      <c r="A258" s="13">
        <v>70</v>
      </c>
      <c r="B258" s="4" t="s">
        <v>670</v>
      </c>
      <c r="C258" s="4" t="s">
        <v>384</v>
      </c>
      <c r="D258" s="7">
        <v>45408</v>
      </c>
      <c r="E258" s="3">
        <v>1850</v>
      </c>
      <c r="F258" s="4" t="s">
        <v>30</v>
      </c>
      <c r="G258" s="3">
        <v>4.32</v>
      </c>
      <c r="H258" s="4" t="s">
        <v>118</v>
      </c>
      <c r="I258" s="4" t="s">
        <v>119</v>
      </c>
      <c r="J258" s="4" t="s">
        <v>355</v>
      </c>
      <c r="K258" s="3">
        <v>87.3</v>
      </c>
      <c r="L258" s="3">
        <v>41.75</v>
      </c>
      <c r="M258" s="4"/>
      <c r="N258" s="3">
        <v>1180.8699999999999</v>
      </c>
      <c r="O258" s="4" t="s">
        <v>34</v>
      </c>
      <c r="P258" s="4" t="s">
        <v>34</v>
      </c>
      <c r="Q258" s="4" t="s">
        <v>35</v>
      </c>
      <c r="R258" s="3">
        <v>1552.02</v>
      </c>
      <c r="S258" s="3">
        <v>14.169600000000001</v>
      </c>
      <c r="T258" s="4" t="s">
        <v>242</v>
      </c>
      <c r="U258" s="2" t="s">
        <v>37</v>
      </c>
      <c r="V258" s="2" t="s">
        <v>37</v>
      </c>
      <c r="W258" s="2" t="s">
        <v>37</v>
      </c>
      <c r="X258" s="2" t="s">
        <v>38</v>
      </c>
      <c r="Y258" s="2" t="s">
        <v>38</v>
      </c>
      <c r="Z258" s="2" t="s">
        <v>37</v>
      </c>
      <c r="AA258" s="6">
        <v>3.2671717280000001</v>
      </c>
      <c r="AB258" s="6">
        <v>3.1908973129999998</v>
      </c>
      <c r="AC258" s="6">
        <v>3.0722020890000001</v>
      </c>
      <c r="AD258" cm="1">
        <f t="array" ref="AD258">IF(SUMPRODUCT(--($AM$2:$AM$112=TRIM(LEFT($B258,IFERROR(FIND(" ",$B258)-1,LEN($B258))))))&gt;0,1,0)</f>
        <v>0</v>
      </c>
      <c r="AE258" cm="1">
        <f t="array" ref="AE258">IF(SUMPRODUCT(--($AO$2:$AO$145=TRIM(LEFT($B258,IFERROR(FIND(" ",$B258)-1,LEN($B258))))))&gt;0,1,0)</f>
        <v>0</v>
      </c>
      <c r="AF258" cm="1">
        <f t="array" ref="AF258">IF(SUMPRODUCT(--($AQ$2:$AQ$71=TRIM(LEFT($B258,IFERROR(FIND(" ",$B258)-1,LEN($B258))))))&gt;0,1,0)</f>
        <v>0</v>
      </c>
    </row>
    <row r="259" spans="1:32" ht="45.75" thickBot="1" x14ac:dyDescent="0.3">
      <c r="A259" s="13">
        <v>54</v>
      </c>
      <c r="B259" s="4" t="s">
        <v>671</v>
      </c>
      <c r="C259" s="4" t="s">
        <v>283</v>
      </c>
      <c r="D259" s="7">
        <v>45428</v>
      </c>
      <c r="E259" s="3">
        <v>2025.54</v>
      </c>
      <c r="F259" s="4" t="s">
        <v>69</v>
      </c>
      <c r="G259" s="3">
        <v>4.45</v>
      </c>
      <c r="H259" s="4" t="s">
        <v>118</v>
      </c>
      <c r="I259" s="4" t="s">
        <v>119</v>
      </c>
      <c r="J259" s="4" t="s">
        <v>120</v>
      </c>
      <c r="K259" s="3">
        <v>61</v>
      </c>
      <c r="L259" s="3">
        <v>30.5</v>
      </c>
      <c r="M259" s="3">
        <v>14.53</v>
      </c>
      <c r="N259" s="3">
        <v>929.3</v>
      </c>
      <c r="O259" s="4" t="s">
        <v>34</v>
      </c>
      <c r="P259" s="4" t="s">
        <v>34</v>
      </c>
      <c r="Q259" s="4" t="s">
        <v>35</v>
      </c>
      <c r="R259" s="3">
        <v>652.35799999999995</v>
      </c>
      <c r="S259" s="3">
        <v>31.9529</v>
      </c>
      <c r="T259" s="4" t="s">
        <v>43</v>
      </c>
      <c r="U259" s="2" t="s">
        <v>37</v>
      </c>
      <c r="V259" s="2" t="s">
        <v>37</v>
      </c>
      <c r="W259" s="2" t="s">
        <v>37</v>
      </c>
      <c r="X259" s="2" t="s">
        <v>37</v>
      </c>
      <c r="Y259" s="2" t="s">
        <v>37</v>
      </c>
      <c r="Z259" s="2" t="s">
        <v>37</v>
      </c>
      <c r="AA259" s="6">
        <v>3.3065408239999998</v>
      </c>
      <c r="AB259" s="6">
        <v>2.8144859929999999</v>
      </c>
      <c r="AC259" s="6">
        <v>2.9681559370000001</v>
      </c>
      <c r="AD259" cm="1">
        <f t="array" ref="AD259">IF(SUMPRODUCT(--($AM$2:$AM$112=TRIM(LEFT($B259,IFERROR(FIND(" ",$B259)-1,LEN($B259))))))&gt;0,1,0)</f>
        <v>0</v>
      </c>
      <c r="AE259" cm="1">
        <f t="array" ref="AE259">IF(SUMPRODUCT(--($AO$2:$AO$145=TRIM(LEFT($B259,IFERROR(FIND(" ",$B259)-1,LEN($B259))))))&gt;0,1,0)</f>
        <v>0</v>
      </c>
      <c r="AF259" cm="1">
        <f t="array" ref="AF259">IF(SUMPRODUCT(--($AQ$2:$AQ$71=TRIM(LEFT($B259,IFERROR(FIND(" ",$B259)-1,LEN($B259))))))&gt;0,1,0)</f>
        <v>0</v>
      </c>
    </row>
    <row r="260" spans="1:32" ht="75.75" thickBot="1" x14ac:dyDescent="0.3">
      <c r="A260" s="13">
        <v>69</v>
      </c>
      <c r="B260" s="4" t="s">
        <v>672</v>
      </c>
      <c r="C260" s="4" t="s">
        <v>673</v>
      </c>
      <c r="D260" s="7">
        <v>45405</v>
      </c>
      <c r="E260" s="3">
        <v>1378.6</v>
      </c>
      <c r="F260" s="4" t="s">
        <v>30</v>
      </c>
      <c r="G260" s="3">
        <v>5.13</v>
      </c>
      <c r="H260" s="4" t="s">
        <v>75</v>
      </c>
      <c r="I260" s="4" t="s">
        <v>83</v>
      </c>
      <c r="J260" s="4" t="s">
        <v>84</v>
      </c>
      <c r="K260" s="4"/>
      <c r="L260" s="4"/>
      <c r="M260" s="3">
        <v>21.36</v>
      </c>
      <c r="N260" s="3">
        <v>1035.48</v>
      </c>
      <c r="O260" s="4" t="s">
        <v>34</v>
      </c>
      <c r="P260" s="4" t="s">
        <v>166</v>
      </c>
      <c r="Q260" s="4" t="s">
        <v>35</v>
      </c>
      <c r="R260" s="3">
        <v>1728.89</v>
      </c>
      <c r="S260" s="3">
        <v>7.6959600000000004</v>
      </c>
      <c r="T260" s="4" t="s">
        <v>104</v>
      </c>
      <c r="U260" s="2" t="s">
        <v>37</v>
      </c>
      <c r="V260" s="2" t="s">
        <v>37</v>
      </c>
      <c r="W260" s="2" t="s">
        <v>38</v>
      </c>
      <c r="X260" s="2" t="s">
        <v>37</v>
      </c>
      <c r="Y260" s="2" t="s">
        <v>37</v>
      </c>
      <c r="Z260" s="2" t="s">
        <v>37</v>
      </c>
      <c r="AA260" s="6">
        <v>3.1394382740000002</v>
      </c>
      <c r="AB260" s="6">
        <v>3.237767362</v>
      </c>
      <c r="AC260" s="6">
        <v>3.0151417149999999</v>
      </c>
      <c r="AD260" cm="1">
        <f t="array" ref="AD260">IF(SUMPRODUCT(--($AM$2:$AM$112=TRIM(LEFT($B260,IFERROR(FIND(" ",$B260)-1,LEN($B260))))))&gt;0,1,0)</f>
        <v>0</v>
      </c>
      <c r="AE260" cm="1">
        <f t="array" ref="AE260">IF(SUMPRODUCT(--($AO$2:$AO$145=TRIM(LEFT($B260,IFERROR(FIND(" ",$B260)-1,LEN($B260))))))&gt;0,1,0)</f>
        <v>0</v>
      </c>
      <c r="AF260" cm="1">
        <f t="array" ref="AF260">IF(SUMPRODUCT(--($AQ$2:$AQ$71=TRIM(LEFT($B260,IFERROR(FIND(" ",$B260)-1,LEN($B260))))))&gt;0,1,0)</f>
        <v>0</v>
      </c>
    </row>
    <row r="261" spans="1:32" ht="45.75" thickBot="1" x14ac:dyDescent="0.3">
      <c r="A261" s="13">
        <v>96</v>
      </c>
      <c r="B261" s="4" t="s">
        <v>674</v>
      </c>
      <c r="C261" s="4" t="s">
        <v>675</v>
      </c>
      <c r="D261" s="7">
        <v>45362</v>
      </c>
      <c r="E261" s="3">
        <v>12880.88</v>
      </c>
      <c r="F261" s="4" t="s">
        <v>46</v>
      </c>
      <c r="G261" s="3">
        <v>8.6199999999999992</v>
      </c>
      <c r="H261" s="4" t="s">
        <v>118</v>
      </c>
      <c r="I261" s="4" t="s">
        <v>119</v>
      </c>
      <c r="J261" s="4" t="s">
        <v>120</v>
      </c>
      <c r="K261" s="3">
        <v>176</v>
      </c>
      <c r="L261" s="3">
        <v>191</v>
      </c>
      <c r="M261" s="3">
        <v>19.95</v>
      </c>
      <c r="N261" s="3">
        <v>5524.14</v>
      </c>
      <c r="O261" s="4" t="s">
        <v>34</v>
      </c>
      <c r="P261" s="4" t="s">
        <v>34</v>
      </c>
      <c r="Q261" s="4" t="s">
        <v>35</v>
      </c>
      <c r="R261" s="3">
        <v>1393.93</v>
      </c>
      <c r="S261" s="3">
        <v>48.9328</v>
      </c>
      <c r="T261" s="4" t="s">
        <v>43</v>
      </c>
      <c r="U261" s="2" t="s">
        <v>37</v>
      </c>
      <c r="V261" s="2" t="s">
        <v>37</v>
      </c>
      <c r="W261" s="2" t="s">
        <v>37</v>
      </c>
      <c r="X261" s="2" t="s">
        <v>37</v>
      </c>
      <c r="Y261" s="2" t="s">
        <v>37</v>
      </c>
      <c r="Z261" s="2" t="s">
        <v>37</v>
      </c>
      <c r="AA261" s="6">
        <v>4.1099455340000004</v>
      </c>
      <c r="AB261" s="6">
        <v>3.1442409649999998</v>
      </c>
      <c r="AC261" s="6">
        <v>3.7422646770000001</v>
      </c>
      <c r="AD261" cm="1">
        <f t="array" ref="AD261">IF(SUMPRODUCT(--($AM$2:$AM$112=TRIM(LEFT($B261,IFERROR(FIND(" ",$B261)-1,LEN($B261))))))&gt;0,1,0)</f>
        <v>0</v>
      </c>
      <c r="AE261" cm="1">
        <f t="array" ref="AE261">IF(SUMPRODUCT(--($AO$2:$AO$145=TRIM(LEFT($B261,IFERROR(FIND(" ",$B261)-1,LEN($B261))))))&gt;0,1,0)</f>
        <v>0</v>
      </c>
      <c r="AF261" cm="1">
        <f t="array" ref="AF261">IF(SUMPRODUCT(--($AQ$2:$AQ$71=TRIM(LEFT($B261,IFERROR(FIND(" ",$B261)-1,LEN($B261))))))&gt;0,1,0)</f>
        <v>0</v>
      </c>
    </row>
    <row r="262" spans="1:32" ht="45.75" thickBot="1" x14ac:dyDescent="0.3">
      <c r="A262" s="13">
        <v>63</v>
      </c>
      <c r="B262" s="4" t="s">
        <v>676</v>
      </c>
      <c r="C262" s="4" t="s">
        <v>677</v>
      </c>
      <c r="D262" s="7">
        <v>45404</v>
      </c>
      <c r="E262" s="3">
        <v>555.42999999999995</v>
      </c>
      <c r="F262" s="4" t="s">
        <v>46</v>
      </c>
      <c r="G262" s="4"/>
      <c r="H262" s="4" t="s">
        <v>47</v>
      </c>
      <c r="I262" s="4" t="s">
        <v>47</v>
      </c>
      <c r="J262" s="4" t="s">
        <v>48</v>
      </c>
      <c r="K262" s="4"/>
      <c r="L262" s="4"/>
      <c r="M262" s="3">
        <v>-0.47</v>
      </c>
      <c r="N262" s="3">
        <v>615</v>
      </c>
      <c r="O262" s="4" t="s">
        <v>49</v>
      </c>
      <c r="P262" s="4" t="s">
        <v>49</v>
      </c>
      <c r="Q262" s="4" t="s">
        <v>35</v>
      </c>
      <c r="R262" s="2"/>
      <c r="S262" s="2"/>
      <c r="T262" s="4" t="s">
        <v>43</v>
      </c>
      <c r="U262" s="2" t="s">
        <v>37</v>
      </c>
      <c r="V262" s="2" t="s">
        <v>37</v>
      </c>
      <c r="W262" s="2" t="s">
        <v>37</v>
      </c>
      <c r="X262" s="2" t="s">
        <v>37</v>
      </c>
      <c r="Y262" s="2" t="s">
        <v>37</v>
      </c>
      <c r="Z262" s="2" t="s">
        <v>37</v>
      </c>
      <c r="AA262" s="6">
        <v>2.7446293329999998</v>
      </c>
      <c r="AB262" s="2"/>
      <c r="AC262" s="6">
        <v>2.7888751159999998</v>
      </c>
      <c r="AD262" cm="1">
        <f t="array" ref="AD262">IF(SUMPRODUCT(--($AM$2:$AM$112=TRIM(LEFT($B262,IFERROR(FIND(" ",$B262)-1,LEN($B262))))))&gt;0,1,0)</f>
        <v>0</v>
      </c>
      <c r="AE262" cm="1">
        <f t="array" ref="AE262">IF(SUMPRODUCT(--($AO$2:$AO$145=TRIM(LEFT($B262,IFERROR(FIND(" ",$B262)-1,LEN($B262))))))&gt;0,1,0)</f>
        <v>0</v>
      </c>
      <c r="AF262" cm="1">
        <f t="array" ref="AF262">IF(SUMPRODUCT(--($AQ$2:$AQ$71=TRIM(LEFT($B262,IFERROR(FIND(" ",$B262)-1,LEN($B262))))))&gt;0,1,0)</f>
        <v>0</v>
      </c>
    </row>
    <row r="263" spans="1:32" ht="75.75" thickBot="1" x14ac:dyDescent="0.3">
      <c r="A263" s="13">
        <v>81</v>
      </c>
      <c r="B263" s="4" t="s">
        <v>678</v>
      </c>
      <c r="C263" s="4" t="s">
        <v>679</v>
      </c>
      <c r="D263" s="7">
        <v>45378</v>
      </c>
      <c r="E263" s="3">
        <v>506.65</v>
      </c>
      <c r="F263" s="4" t="s">
        <v>46</v>
      </c>
      <c r="G263" s="3">
        <v>5.94</v>
      </c>
      <c r="H263" s="4" t="s">
        <v>47</v>
      </c>
      <c r="I263" s="4" t="s">
        <v>47</v>
      </c>
      <c r="J263" s="4" t="s">
        <v>48</v>
      </c>
      <c r="K263" s="4"/>
      <c r="L263" s="4"/>
      <c r="M263" s="3">
        <v>18.809999999999999</v>
      </c>
      <c r="N263" s="3">
        <v>266.60000000000002</v>
      </c>
      <c r="O263" s="4" t="s">
        <v>34</v>
      </c>
      <c r="P263" s="4" t="s">
        <v>49</v>
      </c>
      <c r="Q263" s="4" t="s">
        <v>35</v>
      </c>
      <c r="R263" s="3">
        <v>372.45699999999999</v>
      </c>
      <c r="S263" s="3">
        <v>-76.176400000000001</v>
      </c>
      <c r="T263" s="4" t="s">
        <v>97</v>
      </c>
      <c r="U263" s="2" t="s">
        <v>37</v>
      </c>
      <c r="V263" s="2" t="s">
        <v>37</v>
      </c>
      <c r="W263" s="2" t="s">
        <v>38</v>
      </c>
      <c r="X263" s="2" t="s">
        <v>37</v>
      </c>
      <c r="Y263" s="2" t="s">
        <v>37</v>
      </c>
      <c r="Z263" s="2" t="s">
        <v>37</v>
      </c>
      <c r="AA263" s="6">
        <v>2.704708047</v>
      </c>
      <c r="AB263" s="6">
        <v>2.5710761409999998</v>
      </c>
      <c r="AC263" s="6">
        <v>2.4258601450000001</v>
      </c>
      <c r="AD263" cm="1">
        <f t="array" ref="AD263">IF(SUMPRODUCT(--($AM$2:$AM$112=TRIM(LEFT($B263,IFERROR(FIND(" ",$B263)-1,LEN($B263))))))&gt;0,1,0)</f>
        <v>0</v>
      </c>
      <c r="AE263" cm="1">
        <f t="array" ref="AE263">IF(SUMPRODUCT(--($AO$2:$AO$145=TRIM(LEFT($B263,IFERROR(FIND(" ",$B263)-1,LEN($B263))))))&gt;0,1,0)</f>
        <v>0</v>
      </c>
      <c r="AF263" cm="1">
        <f t="array" ref="AF263">IF(SUMPRODUCT(--($AQ$2:$AQ$71=TRIM(LEFT($B263,IFERROR(FIND(" ",$B263)-1,LEN($B263))))))&gt;0,1,0)</f>
        <v>0</v>
      </c>
    </row>
    <row r="264" spans="1:32" ht="45.75" thickBot="1" x14ac:dyDescent="0.3">
      <c r="A264" s="13">
        <v>216</v>
      </c>
      <c r="B264" s="4" t="s">
        <v>680</v>
      </c>
      <c r="C264" s="4" t="s">
        <v>334</v>
      </c>
      <c r="D264" s="7">
        <v>45188</v>
      </c>
      <c r="E264" s="3">
        <v>521.51</v>
      </c>
      <c r="F264" s="4" t="s">
        <v>46</v>
      </c>
      <c r="G264" s="4"/>
      <c r="H264" s="4" t="s">
        <v>65</v>
      </c>
      <c r="I264" s="4" t="s">
        <v>66</v>
      </c>
      <c r="J264" s="4" t="s">
        <v>66</v>
      </c>
      <c r="K264" s="3">
        <v>21</v>
      </c>
      <c r="L264" s="3">
        <v>21</v>
      </c>
      <c r="M264" s="3">
        <v>26.46</v>
      </c>
      <c r="N264" s="3">
        <v>521.51</v>
      </c>
      <c r="O264" s="4" t="s">
        <v>34</v>
      </c>
      <c r="P264" s="4" t="s">
        <v>34</v>
      </c>
      <c r="Q264" s="4" t="s">
        <v>35</v>
      </c>
      <c r="R264" s="3">
        <v>260.26400000000001</v>
      </c>
      <c r="S264" s="3">
        <v>25.183800000000002</v>
      </c>
      <c r="T264" s="4" t="s">
        <v>43</v>
      </c>
      <c r="U264" s="2" t="s">
        <v>37</v>
      </c>
      <c r="V264" s="2" t="s">
        <v>37</v>
      </c>
      <c r="W264" s="2" t="s">
        <v>37</v>
      </c>
      <c r="X264" s="2" t="s">
        <v>37</v>
      </c>
      <c r="Y264" s="2" t="s">
        <v>37</v>
      </c>
      <c r="Z264" s="2" t="s">
        <v>37</v>
      </c>
      <c r="AA264" s="6">
        <v>2.71726264</v>
      </c>
      <c r="AB264" s="6">
        <v>2.4154141</v>
      </c>
      <c r="AC264" s="6">
        <v>2.71726264</v>
      </c>
      <c r="AD264" cm="1">
        <f t="array" ref="AD264">IF(SUMPRODUCT(--($AM$2:$AM$112=TRIM(LEFT($B264,IFERROR(FIND(" ",$B264)-1,LEN($B264))))))&gt;0,1,0)</f>
        <v>0</v>
      </c>
      <c r="AE264" cm="1">
        <f t="array" ref="AE264">IF(SUMPRODUCT(--($AO$2:$AO$145=TRIM(LEFT($B264,IFERROR(FIND(" ",$B264)-1,LEN($B264))))))&gt;0,1,0)</f>
        <v>0</v>
      </c>
      <c r="AF264" cm="1">
        <f t="array" ref="AF264">IF(SUMPRODUCT(--($AQ$2:$AQ$71=TRIM(LEFT($B264,IFERROR(FIND(" ",$B264)-1,LEN($B264))))))&gt;0,1,0)</f>
        <v>0</v>
      </c>
    </row>
    <row r="265" spans="1:32" ht="45.75" thickBot="1" x14ac:dyDescent="0.3">
      <c r="A265" s="13">
        <v>198</v>
      </c>
      <c r="B265" s="4" t="s">
        <v>681</v>
      </c>
      <c r="C265" s="4" t="s">
        <v>682</v>
      </c>
      <c r="D265" s="7">
        <v>45208</v>
      </c>
      <c r="E265" s="3">
        <v>1818.01</v>
      </c>
      <c r="F265" s="4" t="s">
        <v>30</v>
      </c>
      <c r="G265" s="4"/>
      <c r="H265" s="4" t="s">
        <v>65</v>
      </c>
      <c r="I265" s="4" t="s">
        <v>206</v>
      </c>
      <c r="J265" s="4" t="s">
        <v>206</v>
      </c>
      <c r="K265" s="4"/>
      <c r="L265" s="4"/>
      <c r="M265" s="3">
        <v>13.08</v>
      </c>
      <c r="N265" s="3">
        <v>1818.01</v>
      </c>
      <c r="O265" s="4" t="s">
        <v>34</v>
      </c>
      <c r="P265" s="4" t="s">
        <v>34</v>
      </c>
      <c r="Q265" s="4" t="s">
        <v>35</v>
      </c>
      <c r="R265" s="3">
        <v>703.35</v>
      </c>
      <c r="S265" s="3">
        <v>27.751899999999999</v>
      </c>
      <c r="T265" s="4" t="s">
        <v>43</v>
      </c>
      <c r="U265" s="2" t="s">
        <v>37</v>
      </c>
      <c r="V265" s="2" t="s">
        <v>37</v>
      </c>
      <c r="W265" s="2" t="s">
        <v>37</v>
      </c>
      <c r="X265" s="2" t="s">
        <v>37</v>
      </c>
      <c r="Y265" s="2" t="s">
        <v>37</v>
      </c>
      <c r="Z265" s="2" t="s">
        <v>37</v>
      </c>
      <c r="AA265" s="6">
        <v>3.2595962680000001</v>
      </c>
      <c r="AB265" s="6">
        <v>2.8471714920000002</v>
      </c>
      <c r="AC265" s="6">
        <v>3.2595962680000001</v>
      </c>
      <c r="AD265" cm="1">
        <f t="array" ref="AD265">IF(SUMPRODUCT(--($AM$2:$AM$112=TRIM(LEFT($B265,IFERROR(FIND(" ",$B265)-1,LEN($B265))))))&gt;0,1,0)</f>
        <v>0</v>
      </c>
      <c r="AE265" cm="1">
        <f t="array" ref="AE265">IF(SUMPRODUCT(--($AO$2:$AO$145=TRIM(LEFT($B265,IFERROR(FIND(" ",$B265)-1,LEN($B265))))))&gt;0,1,0)</f>
        <v>0</v>
      </c>
      <c r="AF265" cm="1">
        <f t="array" ref="AF265">IF(SUMPRODUCT(--($AQ$2:$AQ$71=TRIM(LEFT($B265,IFERROR(FIND(" ",$B265)-1,LEN($B265))))))&gt;0,1,0)</f>
        <v>0</v>
      </c>
    </row>
    <row r="266" spans="1:32" ht="105.75" thickBot="1" x14ac:dyDescent="0.3">
      <c r="A266" s="13">
        <v>38</v>
      </c>
      <c r="B266" s="4" t="s">
        <v>683</v>
      </c>
      <c r="C266" s="4" t="s">
        <v>169</v>
      </c>
      <c r="D266" s="7">
        <v>45432</v>
      </c>
      <c r="E266" s="3">
        <v>950</v>
      </c>
      <c r="F266" s="4" t="s">
        <v>30</v>
      </c>
      <c r="G266" s="3">
        <v>4.28</v>
      </c>
      <c r="H266" s="4" t="s">
        <v>70</v>
      </c>
      <c r="I266" s="4" t="s">
        <v>94</v>
      </c>
      <c r="J266" s="4" t="s">
        <v>108</v>
      </c>
      <c r="K266" s="4"/>
      <c r="L266" s="4"/>
      <c r="M266" s="4"/>
      <c r="N266" s="3">
        <v>444.81</v>
      </c>
      <c r="O266" s="4" t="s">
        <v>34</v>
      </c>
      <c r="P266" s="4" t="s">
        <v>34</v>
      </c>
      <c r="Q266" s="4" t="s">
        <v>493</v>
      </c>
      <c r="R266" s="3">
        <v>251.221</v>
      </c>
      <c r="S266" s="3">
        <v>-25.2788</v>
      </c>
      <c r="T266" s="4" t="s">
        <v>684</v>
      </c>
      <c r="U266" s="2" t="s">
        <v>37</v>
      </c>
      <c r="V266" s="2" t="s">
        <v>37</v>
      </c>
      <c r="W266" s="2" t="s">
        <v>37</v>
      </c>
      <c r="X266" s="2" t="s">
        <v>38</v>
      </c>
      <c r="Y266" s="2" t="s">
        <v>37</v>
      </c>
      <c r="Z266" s="2" t="s">
        <v>38</v>
      </c>
      <c r="AA266" s="6">
        <v>2.977723605</v>
      </c>
      <c r="AB266" s="6">
        <v>2.4000559400000001</v>
      </c>
      <c r="AC266" s="6">
        <v>2.648174542</v>
      </c>
      <c r="AD266" cm="1">
        <f t="array" ref="AD266">IF(SUMPRODUCT(--($AM$2:$AM$112=TRIM(LEFT($B266,IFERROR(FIND(" ",$B266)-1,LEN($B266))))))&gt;0,1,0)</f>
        <v>0</v>
      </c>
      <c r="AE266" cm="1">
        <f t="array" ref="AE266">IF(SUMPRODUCT(--($AO$2:$AO$145=TRIM(LEFT($B266,IFERROR(FIND(" ",$B266)-1,LEN($B266))))))&gt;0,1,0)</f>
        <v>0</v>
      </c>
      <c r="AF266" cm="1">
        <f t="array" ref="AF266">IF(SUMPRODUCT(--($AQ$2:$AQ$71=TRIM(LEFT($B266,IFERROR(FIND(" ",$B266)-1,LEN($B266))))))&gt;0,1,0)</f>
        <v>0</v>
      </c>
    </row>
    <row r="267" spans="1:32" ht="75.75" thickBot="1" x14ac:dyDescent="0.3">
      <c r="A267" s="13">
        <v>215</v>
      </c>
      <c r="B267" s="4" t="s">
        <v>685</v>
      </c>
      <c r="C267" s="4" t="s">
        <v>686</v>
      </c>
      <c r="D267" s="7">
        <v>45181</v>
      </c>
      <c r="E267" s="3">
        <v>20859.98</v>
      </c>
      <c r="F267" s="4" t="s">
        <v>107</v>
      </c>
      <c r="G267" s="3">
        <v>3.13</v>
      </c>
      <c r="H267" s="4" t="s">
        <v>47</v>
      </c>
      <c r="I267" s="4" t="s">
        <v>47</v>
      </c>
      <c r="J267" s="4" t="s">
        <v>159</v>
      </c>
      <c r="K267" s="4"/>
      <c r="L267" s="3">
        <v>147</v>
      </c>
      <c r="M267" s="4"/>
      <c r="N267" s="3">
        <v>11398.28</v>
      </c>
      <c r="O267" s="4" t="s">
        <v>34</v>
      </c>
      <c r="P267" s="4" t="s">
        <v>687</v>
      </c>
      <c r="Q267" s="4" t="s">
        <v>35</v>
      </c>
      <c r="R267" s="3">
        <v>20310</v>
      </c>
      <c r="S267" s="3">
        <v>2.6690999999999998</v>
      </c>
      <c r="T267" s="4" t="s">
        <v>104</v>
      </c>
      <c r="U267" s="2" t="s">
        <v>37</v>
      </c>
      <c r="V267" s="2" t="s">
        <v>37</v>
      </c>
      <c r="W267" s="2" t="s">
        <v>38</v>
      </c>
      <c r="X267" s="2" t="s">
        <v>37</v>
      </c>
      <c r="Y267" s="2" t="s">
        <v>37</v>
      </c>
      <c r="Z267" s="2" t="s">
        <v>37</v>
      </c>
      <c r="AA267" s="6">
        <v>4.3193138879999999</v>
      </c>
      <c r="AB267" s="6">
        <v>4.307709923</v>
      </c>
      <c r="AC267" s="6">
        <v>4.056839321</v>
      </c>
      <c r="AD267" cm="1">
        <f t="array" ref="AD267">IF(SUMPRODUCT(--($AM$2:$AM$112=TRIM(LEFT($B267,IFERROR(FIND(" ",$B267)-1,LEN($B267))))))&gt;0,1,0)</f>
        <v>0</v>
      </c>
      <c r="AE267" cm="1">
        <f t="array" ref="AE267">IF(SUMPRODUCT(--($AO$2:$AO$145=TRIM(LEFT($B267,IFERROR(FIND(" ",$B267)-1,LEN($B267))))))&gt;0,1,0)</f>
        <v>1</v>
      </c>
      <c r="AF267" cm="1">
        <f t="array" ref="AF267">IF(SUMPRODUCT(--($AQ$2:$AQ$71=TRIM(LEFT($B267,IFERROR(FIND(" ",$B267)-1,LEN($B267))))))&gt;0,1,0)</f>
        <v>0</v>
      </c>
    </row>
    <row r="268" spans="1:32" ht="75.75" thickBot="1" x14ac:dyDescent="0.3">
      <c r="A268" s="13">
        <v>58</v>
      </c>
      <c r="B268" s="4" t="s">
        <v>688</v>
      </c>
      <c r="C268" s="4" t="s">
        <v>689</v>
      </c>
      <c r="D268" s="7">
        <v>45397</v>
      </c>
      <c r="E268" s="3">
        <v>4069.42</v>
      </c>
      <c r="F268" s="4" t="s">
        <v>30</v>
      </c>
      <c r="G268" s="3">
        <v>8.31</v>
      </c>
      <c r="H268" s="4" t="s">
        <v>47</v>
      </c>
      <c r="I268" s="4" t="s">
        <v>47</v>
      </c>
      <c r="J268" s="4" t="s">
        <v>48</v>
      </c>
      <c r="K268" s="3">
        <v>180</v>
      </c>
      <c r="L268" s="3">
        <v>146.54</v>
      </c>
      <c r="M268" s="3">
        <v>14.45</v>
      </c>
      <c r="N268" s="3">
        <v>4630.05</v>
      </c>
      <c r="O268" s="4" t="s">
        <v>34</v>
      </c>
      <c r="P268" s="4" t="s">
        <v>56</v>
      </c>
      <c r="Q268" s="4" t="s">
        <v>35</v>
      </c>
      <c r="R268" s="3">
        <v>2567.7199999999998</v>
      </c>
      <c r="S268" s="3">
        <v>14.957100000000001</v>
      </c>
      <c r="T268" s="4" t="s">
        <v>104</v>
      </c>
      <c r="U268" s="2" t="s">
        <v>37</v>
      </c>
      <c r="V268" s="2" t="s">
        <v>37</v>
      </c>
      <c r="W268" s="2" t="s">
        <v>38</v>
      </c>
      <c r="X268" s="2" t="s">
        <v>37</v>
      </c>
      <c r="Y268" s="2" t="s">
        <v>37</v>
      </c>
      <c r="Z268" s="2" t="s">
        <v>37</v>
      </c>
      <c r="AA268" s="6">
        <v>3.6095325150000002</v>
      </c>
      <c r="AB268" s="6">
        <v>3.4095476640000002</v>
      </c>
      <c r="AC268" s="6">
        <v>3.665585681</v>
      </c>
      <c r="AD268" cm="1">
        <f t="array" ref="AD268">IF(SUMPRODUCT(--($AM$2:$AM$112=TRIM(LEFT($B268,IFERROR(FIND(" ",$B268)-1,LEN($B268))))))&gt;0,1,0)</f>
        <v>0</v>
      </c>
      <c r="AE268" cm="1">
        <f t="array" ref="AE268">IF(SUMPRODUCT(--($AO$2:$AO$145=TRIM(LEFT($B268,IFERROR(FIND(" ",$B268)-1,LEN($B268))))))&gt;0,1,0)</f>
        <v>0</v>
      </c>
      <c r="AF268" cm="1">
        <f t="array" ref="AF268">IF(SUMPRODUCT(--($AQ$2:$AQ$71=TRIM(LEFT($B268,IFERROR(FIND(" ",$B268)-1,LEN($B268))))))&gt;0,1,0)</f>
        <v>0</v>
      </c>
    </row>
    <row r="269" spans="1:32" ht="135.75" thickBot="1" x14ac:dyDescent="0.3">
      <c r="A269" s="13">
        <v>108</v>
      </c>
      <c r="B269" s="4" t="s">
        <v>690</v>
      </c>
      <c r="C269" s="4" t="s">
        <v>230</v>
      </c>
      <c r="D269" s="7">
        <v>45327</v>
      </c>
      <c r="E269" s="3">
        <v>1728.95</v>
      </c>
      <c r="F269" s="4" t="s">
        <v>30</v>
      </c>
      <c r="G269" s="4"/>
      <c r="H269" s="4" t="s">
        <v>31</v>
      </c>
      <c r="I269" s="4" t="s">
        <v>32</v>
      </c>
      <c r="J269" s="4" t="s">
        <v>33</v>
      </c>
      <c r="K269" s="4"/>
      <c r="L269" s="4"/>
      <c r="M269" s="3">
        <v>25.94</v>
      </c>
      <c r="N269" s="3">
        <v>1446.49</v>
      </c>
      <c r="O269" s="4" t="s">
        <v>34</v>
      </c>
      <c r="P269" s="4" t="s">
        <v>34</v>
      </c>
      <c r="Q269" s="4" t="s">
        <v>35</v>
      </c>
      <c r="R269" s="3">
        <v>448.78800000000001</v>
      </c>
      <c r="S269" s="3">
        <v>-13.468999999999999</v>
      </c>
      <c r="T269" s="4" t="s">
        <v>225</v>
      </c>
      <c r="U269" s="2" t="s">
        <v>37</v>
      </c>
      <c r="V269" s="2" t="s">
        <v>37</v>
      </c>
      <c r="W269" s="2" t="s">
        <v>37</v>
      </c>
      <c r="X269" s="2" t="s">
        <v>38</v>
      </c>
      <c r="Y269" s="2" t="s">
        <v>38</v>
      </c>
      <c r="Z269" s="2" t="s">
        <v>37</v>
      </c>
      <c r="AA269" s="6">
        <v>3.2377824340000001</v>
      </c>
      <c r="AB269" s="6">
        <v>2.6520412360000001</v>
      </c>
      <c r="AC269" s="6">
        <v>3.1603154359999999</v>
      </c>
      <c r="AD269" cm="1">
        <f t="array" ref="AD269">IF(SUMPRODUCT(--($AM$2:$AM$112=TRIM(LEFT($B269,IFERROR(FIND(" ",$B269)-1,LEN($B269))))))&gt;0,1,0)</f>
        <v>0</v>
      </c>
      <c r="AE269" cm="1">
        <f t="array" ref="AE269">IF(SUMPRODUCT(--($AO$2:$AO$145=TRIM(LEFT($B269,IFERROR(FIND(" ",$B269)-1,LEN($B269))))))&gt;0,1,0)</f>
        <v>0</v>
      </c>
      <c r="AF269" cm="1">
        <f t="array" ref="AF269">IF(SUMPRODUCT(--($AQ$2:$AQ$71=TRIM(LEFT($B269,IFERROR(FIND(" ",$B269)-1,LEN($B269))))))&gt;0,1,0)</f>
        <v>0</v>
      </c>
    </row>
    <row r="270" spans="1:32" ht="75.75" thickBot="1" x14ac:dyDescent="0.3">
      <c r="A270" s="13">
        <v>174</v>
      </c>
      <c r="B270" s="4" t="s">
        <v>691</v>
      </c>
      <c r="C270" s="4" t="s">
        <v>692</v>
      </c>
      <c r="D270" s="7">
        <v>45232</v>
      </c>
      <c r="E270" s="3">
        <v>4097.88</v>
      </c>
      <c r="F270" s="4" t="s">
        <v>46</v>
      </c>
      <c r="G270" s="3">
        <v>8.32</v>
      </c>
      <c r="H270" s="4" t="s">
        <v>75</v>
      </c>
      <c r="I270" s="4" t="s">
        <v>111</v>
      </c>
      <c r="J270" s="4" t="s">
        <v>133</v>
      </c>
      <c r="K270" s="4"/>
      <c r="L270" s="3">
        <v>63.2</v>
      </c>
      <c r="M270" s="3">
        <v>0.69</v>
      </c>
      <c r="N270" s="3">
        <v>1727.49</v>
      </c>
      <c r="O270" s="4" t="s">
        <v>34</v>
      </c>
      <c r="P270" s="4" t="s">
        <v>34</v>
      </c>
      <c r="Q270" s="4" t="s">
        <v>35</v>
      </c>
      <c r="R270" s="3">
        <v>1425.9</v>
      </c>
      <c r="S270" s="3">
        <v>19.5702</v>
      </c>
      <c r="T270" s="4" t="s">
        <v>43</v>
      </c>
      <c r="U270" s="2" t="s">
        <v>37</v>
      </c>
      <c r="V270" s="2" t="s">
        <v>37</v>
      </c>
      <c r="W270" s="2" t="s">
        <v>37</v>
      </c>
      <c r="X270" s="2" t="s">
        <v>37</v>
      </c>
      <c r="Y270" s="2" t="s">
        <v>37</v>
      </c>
      <c r="Z270" s="2" t="s">
        <v>37</v>
      </c>
      <c r="AA270" s="6">
        <v>3.6125592370000001</v>
      </c>
      <c r="AB270" s="6">
        <v>3.1540890689999999</v>
      </c>
      <c r="AC270" s="6">
        <v>3.2374155419999999</v>
      </c>
      <c r="AD270" cm="1">
        <f t="array" ref="AD270">IF(SUMPRODUCT(--($AM$2:$AM$112=TRIM(LEFT($B270,IFERROR(FIND(" ",$B270)-1,LEN($B270))))))&gt;0,1,0)</f>
        <v>0</v>
      </c>
      <c r="AE270" cm="1">
        <f t="array" ref="AE270">IF(SUMPRODUCT(--($AO$2:$AO$145=TRIM(LEFT($B270,IFERROR(FIND(" ",$B270)-1,LEN($B270))))))&gt;0,1,0)</f>
        <v>0</v>
      </c>
      <c r="AF270" cm="1">
        <f t="array" ref="AF270">IF(SUMPRODUCT(--($AQ$2:$AQ$71=TRIM(LEFT($B270,IFERROR(FIND(" ",$B270)-1,LEN($B270))))))&gt;0,1,0)</f>
        <v>0</v>
      </c>
    </row>
    <row r="271" spans="1:32" ht="135.75" thickBot="1" x14ac:dyDescent="0.3">
      <c r="A271" s="13">
        <v>60</v>
      </c>
      <c r="B271" s="4" t="s">
        <v>693</v>
      </c>
      <c r="C271" s="4" t="s">
        <v>539</v>
      </c>
      <c r="D271" s="7">
        <v>45390</v>
      </c>
      <c r="E271" s="3">
        <v>5669.17</v>
      </c>
      <c r="F271" s="4" t="s">
        <v>30</v>
      </c>
      <c r="G271" s="3">
        <v>17.829999999999998</v>
      </c>
      <c r="H271" s="4" t="s">
        <v>51</v>
      </c>
      <c r="I271" s="4" t="s">
        <v>51</v>
      </c>
      <c r="J271" s="4" t="s">
        <v>79</v>
      </c>
      <c r="K271" s="3">
        <v>550</v>
      </c>
      <c r="L271" s="3">
        <v>183</v>
      </c>
      <c r="M271" s="3">
        <v>23.62</v>
      </c>
      <c r="N271" s="3">
        <v>5669.17</v>
      </c>
      <c r="O271" s="4" t="s">
        <v>34</v>
      </c>
      <c r="P271" s="4" t="s">
        <v>34</v>
      </c>
      <c r="Q271" s="4" t="s">
        <v>35</v>
      </c>
      <c r="R271" s="3">
        <v>820.03599999999994</v>
      </c>
      <c r="S271" s="3">
        <v>18.2956</v>
      </c>
      <c r="T271" s="4" t="s">
        <v>101</v>
      </c>
      <c r="U271" s="2" t="s">
        <v>37</v>
      </c>
      <c r="V271" s="2" t="s">
        <v>37</v>
      </c>
      <c r="W271" s="2" t="s">
        <v>37</v>
      </c>
      <c r="X271" s="2" t="s">
        <v>38</v>
      </c>
      <c r="Y271" s="2" t="s">
        <v>38</v>
      </c>
      <c r="Z271" s="2" t="s">
        <v>37</v>
      </c>
      <c r="AA271" s="6">
        <v>3.75351948</v>
      </c>
      <c r="AB271" s="6">
        <v>2.9138329189999999</v>
      </c>
      <c r="AC271" s="6">
        <v>3.75351948</v>
      </c>
      <c r="AD271" cm="1">
        <f t="array" ref="AD271">IF(SUMPRODUCT(--($AM$2:$AM$112=TRIM(LEFT($B271,IFERROR(FIND(" ",$B271)-1,LEN($B271))))))&gt;0,1,0)</f>
        <v>0</v>
      </c>
      <c r="AE271" cm="1">
        <f t="array" ref="AE271">IF(SUMPRODUCT(--($AO$2:$AO$145=TRIM(LEFT($B271,IFERROR(FIND(" ",$B271)-1,LEN($B271))))))&gt;0,1,0)</f>
        <v>0</v>
      </c>
      <c r="AF271" cm="1">
        <f t="array" ref="AF271">IF(SUMPRODUCT(--($AQ$2:$AQ$71=TRIM(LEFT($B271,IFERROR(FIND(" ",$B271)-1,LEN($B271))))))&gt;0,1,0)</f>
        <v>0</v>
      </c>
    </row>
    <row r="272" spans="1:32" ht="135.75" thickBot="1" x14ac:dyDescent="0.3">
      <c r="A272" s="13">
        <v>59</v>
      </c>
      <c r="B272" s="4" t="s">
        <v>694</v>
      </c>
      <c r="C272" s="4" t="s">
        <v>695</v>
      </c>
      <c r="D272" s="7">
        <v>45390</v>
      </c>
      <c r="E272" s="3">
        <v>1158.28</v>
      </c>
      <c r="F272" s="4" t="s">
        <v>30</v>
      </c>
      <c r="G272" s="3">
        <v>83.24</v>
      </c>
      <c r="H272" s="4" t="s">
        <v>31</v>
      </c>
      <c r="I272" s="4" t="s">
        <v>32</v>
      </c>
      <c r="J272" s="4" t="s">
        <v>33</v>
      </c>
      <c r="K272" s="4"/>
      <c r="L272" s="3">
        <v>43.167700000000004</v>
      </c>
      <c r="M272" s="3">
        <v>13.16</v>
      </c>
      <c r="N272" s="3">
        <v>1170.97</v>
      </c>
      <c r="O272" s="4" t="s">
        <v>34</v>
      </c>
      <c r="P272" s="4" t="s">
        <v>34</v>
      </c>
      <c r="Q272" s="4" t="s">
        <v>35</v>
      </c>
      <c r="R272" s="3">
        <v>249.46299999999999</v>
      </c>
      <c r="S272" s="3">
        <v>-1.0682499999999999</v>
      </c>
      <c r="T272" s="4" t="s">
        <v>225</v>
      </c>
      <c r="U272" s="2" t="s">
        <v>37</v>
      </c>
      <c r="V272" s="2" t="s">
        <v>37</v>
      </c>
      <c r="W272" s="2" t="s">
        <v>37</v>
      </c>
      <c r="X272" s="2" t="s">
        <v>38</v>
      </c>
      <c r="Y272" s="2" t="s">
        <v>38</v>
      </c>
      <c r="Z272" s="2" t="s">
        <v>37</v>
      </c>
      <c r="AA272" s="6">
        <v>3.063813557</v>
      </c>
      <c r="AB272" s="6">
        <v>2.3970061409999999</v>
      </c>
      <c r="AC272" s="6">
        <v>3.068545769</v>
      </c>
      <c r="AD272" cm="1">
        <f t="array" ref="AD272">IF(SUMPRODUCT(--($AM$2:$AM$112=TRIM(LEFT($B272,IFERROR(FIND(" ",$B272)-1,LEN($B272))))))&gt;0,1,0)</f>
        <v>0</v>
      </c>
      <c r="AE272" cm="1">
        <f t="array" ref="AE272">IF(SUMPRODUCT(--($AO$2:$AO$145=TRIM(LEFT($B272,IFERROR(FIND(" ",$B272)-1,LEN($B272))))))&gt;0,1,0)</f>
        <v>0</v>
      </c>
      <c r="AF272" cm="1">
        <f t="array" ref="AF272">IF(SUMPRODUCT(--($AQ$2:$AQ$71=TRIM(LEFT($B272,IFERROR(FIND(" ",$B272)-1,LEN($B272))))))&gt;0,1,0)</f>
        <v>0</v>
      </c>
    </row>
    <row r="273" spans="1:32" ht="75.75" thickBot="1" x14ac:dyDescent="0.3">
      <c r="A273" s="13">
        <v>46</v>
      </c>
      <c r="B273" s="4" t="s">
        <v>696</v>
      </c>
      <c r="C273" s="4" t="s">
        <v>697</v>
      </c>
      <c r="D273" s="7">
        <v>45396</v>
      </c>
      <c r="E273" s="3">
        <v>1324.81</v>
      </c>
      <c r="F273" s="4" t="s">
        <v>30</v>
      </c>
      <c r="G273" s="3">
        <v>15.14</v>
      </c>
      <c r="H273" s="4" t="s">
        <v>31</v>
      </c>
      <c r="I273" s="4" t="s">
        <v>432</v>
      </c>
      <c r="J273" s="4" t="s">
        <v>433</v>
      </c>
      <c r="K273" s="4"/>
      <c r="L273" s="4"/>
      <c r="M273" s="3">
        <v>24.29</v>
      </c>
      <c r="N273" s="3">
        <v>822.76</v>
      </c>
      <c r="O273" s="4" t="s">
        <v>34</v>
      </c>
      <c r="P273" s="4" t="s">
        <v>34</v>
      </c>
      <c r="Q273" s="4" t="s">
        <v>35</v>
      </c>
      <c r="R273" s="3">
        <v>1060.98</v>
      </c>
      <c r="S273" s="3">
        <v>2.4835600000000002</v>
      </c>
      <c r="T273" s="4" t="s">
        <v>43</v>
      </c>
      <c r="U273" s="2" t="s">
        <v>37</v>
      </c>
      <c r="V273" s="2" t="s">
        <v>37</v>
      </c>
      <c r="W273" s="2" t="s">
        <v>37</v>
      </c>
      <c r="X273" s="2" t="s">
        <v>37</v>
      </c>
      <c r="Y273" s="2" t="s">
        <v>37</v>
      </c>
      <c r="Z273" s="2" t="s">
        <v>37</v>
      </c>
      <c r="AA273" s="6">
        <v>3.1221535980000001</v>
      </c>
      <c r="AB273" s="6">
        <v>3.025707197</v>
      </c>
      <c r="AC273" s="6">
        <v>2.9152731699999999</v>
      </c>
      <c r="AD273" cm="1">
        <f t="array" ref="AD273">IF(SUMPRODUCT(--($AM$2:$AM$112=TRIM(LEFT($B273,IFERROR(FIND(" ",$B273)-1,LEN($B273))))))&gt;0,1,0)</f>
        <v>0</v>
      </c>
      <c r="AE273" cm="1">
        <f t="array" ref="AE273">IF(SUMPRODUCT(--($AO$2:$AO$145=TRIM(LEFT($B273,IFERROR(FIND(" ",$B273)-1,LEN($B273))))))&gt;0,1,0)</f>
        <v>0</v>
      </c>
      <c r="AF273" cm="1">
        <f t="array" ref="AF273">IF(SUMPRODUCT(--($AQ$2:$AQ$71=TRIM(LEFT($B273,IFERROR(FIND(" ",$B273)-1,LEN($B273))))))&gt;0,1,0)</f>
        <v>0</v>
      </c>
    </row>
    <row r="274" spans="1:32" ht="105.75" thickBot="1" x14ac:dyDescent="0.3">
      <c r="A274" s="13">
        <v>33</v>
      </c>
      <c r="B274" s="4" t="s">
        <v>698</v>
      </c>
      <c r="C274" s="4" t="s">
        <v>699</v>
      </c>
      <c r="D274" s="7">
        <v>45411</v>
      </c>
      <c r="E274" s="3">
        <v>1780.63</v>
      </c>
      <c r="F274" s="4" t="s">
        <v>30</v>
      </c>
      <c r="G274" s="4"/>
      <c r="H274" s="4" t="s">
        <v>41</v>
      </c>
      <c r="I274" s="4" t="s">
        <v>41</v>
      </c>
      <c r="J274" s="4" t="s">
        <v>42</v>
      </c>
      <c r="K274" s="4"/>
      <c r="L274" s="4"/>
      <c r="M274" s="3">
        <v>70.89</v>
      </c>
      <c r="N274" s="3">
        <v>2107.67</v>
      </c>
      <c r="O274" s="4" t="s">
        <v>34</v>
      </c>
      <c r="P274" s="4" t="s">
        <v>96</v>
      </c>
      <c r="Q274" s="4" t="s">
        <v>35</v>
      </c>
      <c r="R274" s="3">
        <v>163.35599999999999</v>
      </c>
      <c r="S274" s="3">
        <v>-118.087</v>
      </c>
      <c r="T274" s="4" t="s">
        <v>631</v>
      </c>
      <c r="U274" s="2" t="s">
        <v>37</v>
      </c>
      <c r="V274" s="2" t="s">
        <v>37</v>
      </c>
      <c r="W274" s="2" t="s">
        <v>38</v>
      </c>
      <c r="X274" s="2" t="s">
        <v>37</v>
      </c>
      <c r="Y274" s="2" t="s">
        <v>37</v>
      </c>
      <c r="Z274" s="2" t="s">
        <v>38</v>
      </c>
      <c r="AA274" s="6">
        <v>3.2505736860000001</v>
      </c>
      <c r="AB274" s="6">
        <v>2.2131350909999998</v>
      </c>
      <c r="AC274" s="6">
        <v>3.3238026139999999</v>
      </c>
      <c r="AD274" cm="1">
        <f t="array" ref="AD274">IF(SUMPRODUCT(--($AM$2:$AM$112=TRIM(LEFT($B274,IFERROR(FIND(" ",$B274)-1,LEN($B274))))))&gt;0,1,0)</f>
        <v>0</v>
      </c>
      <c r="AE274" cm="1">
        <f t="array" ref="AE274">IF(SUMPRODUCT(--($AO$2:$AO$145=TRIM(LEFT($B274,IFERROR(FIND(" ",$B274)-1,LEN($B274))))))&gt;0,1,0)</f>
        <v>0</v>
      </c>
      <c r="AF274" cm="1">
        <f t="array" ref="AF274">IF(SUMPRODUCT(--($AQ$2:$AQ$71=TRIM(LEFT($B274,IFERROR(FIND(" ",$B274)-1,LEN($B274))))))&gt;0,1,0)</f>
        <v>0</v>
      </c>
    </row>
    <row r="275" spans="1:32" ht="75.75" thickBot="1" x14ac:dyDescent="0.3">
      <c r="A275" s="13">
        <v>134</v>
      </c>
      <c r="B275" s="4" t="s">
        <v>475</v>
      </c>
      <c r="C275" s="4" t="s">
        <v>700</v>
      </c>
      <c r="D275" s="7">
        <v>45264</v>
      </c>
      <c r="E275" s="3">
        <v>1000</v>
      </c>
      <c r="F275" s="4" t="s">
        <v>30</v>
      </c>
      <c r="G275" s="3">
        <v>558.66999999999996</v>
      </c>
      <c r="H275" s="4" t="s">
        <v>31</v>
      </c>
      <c r="I275" s="4" t="s">
        <v>32</v>
      </c>
      <c r="J275" s="4" t="s">
        <v>33</v>
      </c>
      <c r="K275" s="4"/>
      <c r="L275" s="4"/>
      <c r="M275" s="4"/>
      <c r="N275" s="3">
        <v>1000</v>
      </c>
      <c r="O275" s="4" t="s">
        <v>34</v>
      </c>
      <c r="P275" s="4" t="s">
        <v>34</v>
      </c>
      <c r="Q275" s="4" t="s">
        <v>35</v>
      </c>
      <c r="R275" s="3">
        <v>6842.2</v>
      </c>
      <c r="S275" s="3">
        <v>-5.3475900000000003</v>
      </c>
      <c r="T275" s="4" t="s">
        <v>701</v>
      </c>
      <c r="U275" s="2" t="s">
        <v>37</v>
      </c>
      <c r="V275" s="2" t="s">
        <v>37</v>
      </c>
      <c r="W275" s="2" t="s">
        <v>37</v>
      </c>
      <c r="X275" s="2" t="s">
        <v>37</v>
      </c>
      <c r="Y275" s="2" t="s">
        <v>37</v>
      </c>
      <c r="Z275" s="2" t="s">
        <v>37</v>
      </c>
      <c r="AA275" s="6">
        <v>3</v>
      </c>
      <c r="AB275" s="6">
        <v>3.8351957649999999</v>
      </c>
      <c r="AC275" s="6">
        <v>3</v>
      </c>
      <c r="AD275" cm="1">
        <f t="array" ref="AD275">IF(SUMPRODUCT(--($AM$2:$AM$112=TRIM(LEFT($B275,IFERROR(FIND(" ",$B275)-1,LEN($B275))))))&gt;0,1,0)</f>
        <v>0</v>
      </c>
      <c r="AE275" cm="1">
        <f t="array" ref="AE275">IF(SUMPRODUCT(--($AO$2:$AO$145=TRIM(LEFT($B275,IFERROR(FIND(" ",$B275)-1,LEN($B275))))))&gt;0,1,0)</f>
        <v>0</v>
      </c>
      <c r="AF275" cm="1">
        <f t="array" ref="AF275">IF(SUMPRODUCT(--($AQ$2:$AQ$71=TRIM(LEFT($B275,IFERROR(FIND(" ",$B275)-1,LEN($B275))))))&gt;0,1,0)</f>
        <v>0</v>
      </c>
    </row>
    <row r="276" spans="1:32" ht="75.75" thickBot="1" x14ac:dyDescent="0.3">
      <c r="A276" s="13">
        <v>57</v>
      </c>
      <c r="B276" s="4" t="s">
        <v>702</v>
      </c>
      <c r="C276" s="4" t="s">
        <v>703</v>
      </c>
      <c r="D276" s="7">
        <v>45370</v>
      </c>
      <c r="E276" s="3">
        <v>1481.08</v>
      </c>
      <c r="F276" s="4" t="s">
        <v>30</v>
      </c>
      <c r="G276" s="4"/>
      <c r="H276" s="4" t="s">
        <v>41</v>
      </c>
      <c r="I276" s="4" t="s">
        <v>41</v>
      </c>
      <c r="J276" s="4" t="s">
        <v>42</v>
      </c>
      <c r="K276" s="3">
        <v>102.4</v>
      </c>
      <c r="L276" s="3">
        <v>71.680000000000007</v>
      </c>
      <c r="M276" s="3">
        <v>88.62</v>
      </c>
      <c r="N276" s="3">
        <v>1619.8</v>
      </c>
      <c r="O276" s="4" t="s">
        <v>49</v>
      </c>
      <c r="P276" s="4" t="s">
        <v>166</v>
      </c>
      <c r="Q276" s="4" t="s">
        <v>35</v>
      </c>
      <c r="R276" s="3">
        <v>2.0680000000000001</v>
      </c>
      <c r="S276" s="3">
        <v>-5403.77</v>
      </c>
      <c r="T276" s="4" t="s">
        <v>104</v>
      </c>
      <c r="U276" s="2" t="s">
        <v>37</v>
      </c>
      <c r="V276" s="2" t="s">
        <v>37</v>
      </c>
      <c r="W276" s="2" t="s">
        <v>38</v>
      </c>
      <c r="X276" s="2" t="s">
        <v>37</v>
      </c>
      <c r="Y276" s="2" t="s">
        <v>37</v>
      </c>
      <c r="Z276" s="2" t="s">
        <v>37</v>
      </c>
      <c r="AA276" s="6">
        <v>3.170578517</v>
      </c>
      <c r="AB276" s="6">
        <v>0.31555053440000003</v>
      </c>
      <c r="AC276" s="6">
        <v>3.2094613949999999</v>
      </c>
      <c r="AD276" cm="1">
        <f t="array" ref="AD276">IF(SUMPRODUCT(--($AM$2:$AM$112=TRIM(LEFT($B276,IFERROR(FIND(" ",$B276)-1,LEN($B276))))))&gt;0,1,0)</f>
        <v>0</v>
      </c>
      <c r="AE276" cm="1">
        <f t="array" ref="AE276">IF(SUMPRODUCT(--($AO$2:$AO$145=TRIM(LEFT($B276,IFERROR(FIND(" ",$B276)-1,LEN($B276))))))&gt;0,1,0)</f>
        <v>0</v>
      </c>
      <c r="AF276" cm="1">
        <f t="array" ref="AF276">IF(SUMPRODUCT(--($AQ$2:$AQ$71=TRIM(LEFT($B276,IFERROR(FIND(" ",$B276)-1,LEN($B276))))))&gt;0,1,0)</f>
        <v>0</v>
      </c>
    </row>
    <row r="277" spans="1:32" ht="75.75" thickBot="1" x14ac:dyDescent="0.3">
      <c r="A277" s="13">
        <v>75</v>
      </c>
      <c r="B277" s="4" t="s">
        <v>704</v>
      </c>
      <c r="C277" s="4" t="s">
        <v>705</v>
      </c>
      <c r="D277" s="7">
        <v>45343</v>
      </c>
      <c r="E277" s="3">
        <v>3801.53</v>
      </c>
      <c r="F277" s="4" t="s">
        <v>107</v>
      </c>
      <c r="G277" s="3">
        <v>0.39</v>
      </c>
      <c r="H277" s="4" t="s">
        <v>118</v>
      </c>
      <c r="I277" s="4" t="s">
        <v>119</v>
      </c>
      <c r="J277" s="4" t="s">
        <v>120</v>
      </c>
      <c r="K277" s="3">
        <v>240</v>
      </c>
      <c r="L277" s="3">
        <v>127</v>
      </c>
      <c r="M277" s="3">
        <v>18.61</v>
      </c>
      <c r="N277" s="3">
        <v>3566.3</v>
      </c>
      <c r="O277" s="4" t="s">
        <v>49</v>
      </c>
      <c r="P277" s="4" t="s">
        <v>34</v>
      </c>
      <c r="Q277" s="4" t="s">
        <v>35</v>
      </c>
      <c r="R277" s="3">
        <v>1694.33</v>
      </c>
      <c r="S277" s="3">
        <v>30.107800000000001</v>
      </c>
      <c r="T277" s="4" t="s">
        <v>104</v>
      </c>
      <c r="U277" s="2" t="s">
        <v>37</v>
      </c>
      <c r="V277" s="2" t="s">
        <v>37</v>
      </c>
      <c r="W277" s="2" t="s">
        <v>38</v>
      </c>
      <c r="X277" s="2" t="s">
        <v>37</v>
      </c>
      <c r="Y277" s="2" t="s">
        <v>37</v>
      </c>
      <c r="Z277" s="2" t="s">
        <v>37</v>
      </c>
      <c r="AA277" s="6">
        <v>3.5799584219999998</v>
      </c>
      <c r="AB277" s="6">
        <v>3.2289980009999999</v>
      </c>
      <c r="AC277" s="6">
        <v>3.5522178740000001</v>
      </c>
      <c r="AD277" cm="1">
        <f t="array" ref="AD277">IF(SUMPRODUCT(--($AM$2:$AM$112=TRIM(LEFT($B277,IFERROR(FIND(" ",$B277)-1,LEN($B277))))))&gt;0,1,0)</f>
        <v>0</v>
      </c>
      <c r="AE277" cm="1">
        <f t="array" ref="AE277">IF(SUMPRODUCT(--($AO$2:$AO$145=TRIM(LEFT($B277,IFERROR(FIND(" ",$B277)-1,LEN($B277))))))&gt;0,1,0)</f>
        <v>0</v>
      </c>
      <c r="AF277" cm="1">
        <f t="array" ref="AF277">IF(SUMPRODUCT(--($AQ$2:$AQ$71=TRIM(LEFT($B277,IFERROR(FIND(" ",$B277)-1,LEN($B277))))))&gt;0,1,0)</f>
        <v>0</v>
      </c>
    </row>
    <row r="278" spans="1:32" ht="60.75" thickBot="1" x14ac:dyDescent="0.3">
      <c r="A278" s="13">
        <v>42</v>
      </c>
      <c r="B278" s="4" t="s">
        <v>706</v>
      </c>
      <c r="C278" s="4" t="s">
        <v>504</v>
      </c>
      <c r="D278" s="7">
        <v>45387</v>
      </c>
      <c r="E278" s="3">
        <v>12537.55</v>
      </c>
      <c r="F278" s="4" t="s">
        <v>30</v>
      </c>
      <c r="G278" s="4"/>
      <c r="H278" s="4" t="s">
        <v>41</v>
      </c>
      <c r="I278" s="4" t="s">
        <v>41</v>
      </c>
      <c r="J278" s="4" t="s">
        <v>60</v>
      </c>
      <c r="K278" s="4"/>
      <c r="L278" s="4"/>
      <c r="M278" s="3">
        <v>15.9</v>
      </c>
      <c r="N278" s="3">
        <v>12757.5</v>
      </c>
      <c r="O278" s="4" t="s">
        <v>34</v>
      </c>
      <c r="P278" s="4" t="s">
        <v>34</v>
      </c>
      <c r="Q278" s="4" t="s">
        <v>35</v>
      </c>
      <c r="R278" s="3">
        <v>730.23</v>
      </c>
      <c r="S278" s="3">
        <v>20.519300000000001</v>
      </c>
      <c r="T278" s="4" t="s">
        <v>43</v>
      </c>
      <c r="U278" s="2" t="s">
        <v>37</v>
      </c>
      <c r="V278" s="2" t="s">
        <v>37</v>
      </c>
      <c r="W278" s="2" t="s">
        <v>37</v>
      </c>
      <c r="X278" s="2" t="s">
        <v>37</v>
      </c>
      <c r="Y278" s="2" t="s">
        <v>37</v>
      </c>
      <c r="Z278" s="2" t="s">
        <v>37</v>
      </c>
      <c r="AA278" s="6">
        <v>4.0982126780000003</v>
      </c>
      <c r="AB278" s="6">
        <v>2.8634596710000002</v>
      </c>
      <c r="AC278" s="6">
        <v>4.1057655769999997</v>
      </c>
      <c r="AD278" cm="1">
        <f t="array" ref="AD278">IF(SUMPRODUCT(--($AM$2:$AM$112=TRIM(LEFT($B278,IFERROR(FIND(" ",$B278)-1,LEN($B278))))))&gt;0,1,0)</f>
        <v>0</v>
      </c>
      <c r="AE278" cm="1">
        <f t="array" ref="AE278">IF(SUMPRODUCT(--($AO$2:$AO$145=TRIM(LEFT($B278,IFERROR(FIND(" ",$B278)-1,LEN($B278))))))&gt;0,1,0)</f>
        <v>0</v>
      </c>
      <c r="AF278" cm="1">
        <f t="array" ref="AF278">IF(SUMPRODUCT(--($AQ$2:$AQ$71=TRIM(LEFT($B278,IFERROR(FIND(" ",$B278)-1,LEN($B278))))))&gt;0,1,0)</f>
        <v>0</v>
      </c>
    </row>
    <row r="279" spans="1:32" ht="105.75" thickBot="1" x14ac:dyDescent="0.3">
      <c r="A279" s="13">
        <v>94</v>
      </c>
      <c r="B279" s="4" t="s">
        <v>707</v>
      </c>
      <c r="C279" s="4" t="s">
        <v>222</v>
      </c>
      <c r="D279" s="7">
        <v>45314</v>
      </c>
      <c r="E279" s="3">
        <v>1290.77</v>
      </c>
      <c r="F279" s="4" t="s">
        <v>107</v>
      </c>
      <c r="G279" s="4"/>
      <c r="H279" s="4" t="s">
        <v>41</v>
      </c>
      <c r="I279" s="4" t="s">
        <v>41</v>
      </c>
      <c r="J279" s="4" t="s">
        <v>42</v>
      </c>
      <c r="K279" s="4"/>
      <c r="L279" s="4"/>
      <c r="M279" s="4"/>
      <c r="N279" s="3">
        <v>1418.72</v>
      </c>
      <c r="O279" s="4" t="s">
        <v>34</v>
      </c>
      <c r="P279" s="4" t="s">
        <v>34</v>
      </c>
      <c r="Q279" s="4" t="s">
        <v>35</v>
      </c>
      <c r="R279" s="3">
        <v>1.8</v>
      </c>
      <c r="S279" s="3">
        <v>-13980.9</v>
      </c>
      <c r="T279" s="4" t="s">
        <v>153</v>
      </c>
      <c r="U279" s="2" t="s">
        <v>37</v>
      </c>
      <c r="V279" s="2" t="s">
        <v>37</v>
      </c>
      <c r="W279" s="2" t="s">
        <v>38</v>
      </c>
      <c r="X279" s="2" t="s">
        <v>37</v>
      </c>
      <c r="Y279" s="2" t="s">
        <v>37</v>
      </c>
      <c r="Z279" s="2" t="s">
        <v>37</v>
      </c>
      <c r="AA279" s="6">
        <v>3.1108488630000002</v>
      </c>
      <c r="AB279" s="6">
        <v>0.25527250509999999</v>
      </c>
      <c r="AC279" s="6">
        <v>3.1518966910000001</v>
      </c>
      <c r="AD279" cm="1">
        <f t="array" ref="AD279">IF(SUMPRODUCT(--($AM$2:$AM$112=TRIM(LEFT($B279,IFERROR(FIND(" ",$B279)-1,LEN($B279))))))&gt;0,1,0)</f>
        <v>0</v>
      </c>
      <c r="AE279" cm="1">
        <f t="array" ref="AE279">IF(SUMPRODUCT(--($AO$2:$AO$145=TRIM(LEFT($B279,IFERROR(FIND(" ",$B279)-1,LEN($B279))))))&gt;0,1,0)</f>
        <v>0</v>
      </c>
      <c r="AF279" cm="1">
        <f t="array" ref="AF279">IF(SUMPRODUCT(--($AQ$2:$AQ$71=TRIM(LEFT($B279,IFERROR(FIND(" ",$B279)-1,LEN($B279))))))&gt;0,1,0)</f>
        <v>0</v>
      </c>
    </row>
    <row r="280" spans="1:32" ht="75.75" thickBot="1" x14ac:dyDescent="0.3">
      <c r="A280" s="13">
        <v>30</v>
      </c>
      <c r="B280" s="4" t="s">
        <v>708</v>
      </c>
      <c r="C280" s="4" t="s">
        <v>709</v>
      </c>
      <c r="D280" s="7">
        <v>45392</v>
      </c>
      <c r="E280" s="3">
        <v>4407.8</v>
      </c>
      <c r="F280" s="4" t="s">
        <v>30</v>
      </c>
      <c r="G280" s="4"/>
      <c r="H280" s="4" t="s">
        <v>41</v>
      </c>
      <c r="I280" s="4" t="s">
        <v>41</v>
      </c>
      <c r="J280" s="4" t="s">
        <v>42</v>
      </c>
      <c r="K280" s="4"/>
      <c r="L280" s="3">
        <v>173</v>
      </c>
      <c r="M280" s="3">
        <v>70.95</v>
      </c>
      <c r="N280" s="3">
        <v>4725.3</v>
      </c>
      <c r="O280" s="4" t="s">
        <v>34</v>
      </c>
      <c r="P280" s="4" t="s">
        <v>34</v>
      </c>
      <c r="Q280" s="4" t="s">
        <v>35</v>
      </c>
      <c r="R280" s="3">
        <v>58.875999999999998</v>
      </c>
      <c r="S280" s="3">
        <v>-90.8583</v>
      </c>
      <c r="T280" s="4" t="s">
        <v>338</v>
      </c>
      <c r="U280" s="2" t="s">
        <v>37</v>
      </c>
      <c r="V280" s="2" t="s">
        <v>37</v>
      </c>
      <c r="W280" s="2" t="s">
        <v>37</v>
      </c>
      <c r="X280" s="2" t="s">
        <v>37</v>
      </c>
      <c r="Y280" s="2" t="s">
        <v>37</v>
      </c>
      <c r="Z280" s="2" t="s">
        <v>38</v>
      </c>
      <c r="AA280" s="6">
        <v>3.644221881</v>
      </c>
      <c r="AB280" s="6">
        <v>1.7699382969999999</v>
      </c>
      <c r="AC280" s="6">
        <v>3.6744293859999999</v>
      </c>
      <c r="AD280" cm="1">
        <f t="array" ref="AD280">IF(SUMPRODUCT(--($AM$2:$AM$112=TRIM(LEFT($B280,IFERROR(FIND(" ",$B280)-1,LEN($B280))))))&gt;0,1,0)</f>
        <v>0</v>
      </c>
      <c r="AE280" cm="1">
        <f t="array" ref="AE280">IF(SUMPRODUCT(--($AO$2:$AO$145=TRIM(LEFT($B280,IFERROR(FIND(" ",$B280)-1,LEN($B280))))))&gt;0,1,0)</f>
        <v>0</v>
      </c>
      <c r="AF280" cm="1">
        <f t="array" ref="AF280">IF(SUMPRODUCT(--($AQ$2:$AQ$71=TRIM(LEFT($B280,IFERROR(FIND(" ",$B280)-1,LEN($B280))))))&gt;0,1,0)</f>
        <v>0</v>
      </c>
    </row>
    <row r="281" spans="1:32" ht="135.75" thickBot="1" x14ac:dyDescent="0.3">
      <c r="A281" s="13">
        <v>89</v>
      </c>
      <c r="B281" s="4" t="s">
        <v>710</v>
      </c>
      <c r="C281" s="4" t="s">
        <v>711</v>
      </c>
      <c r="D281" s="7">
        <v>45307</v>
      </c>
      <c r="E281" s="3">
        <v>1643.09</v>
      </c>
      <c r="F281" s="4" t="s">
        <v>30</v>
      </c>
      <c r="G281" s="3">
        <v>12.48</v>
      </c>
      <c r="H281" s="4" t="s">
        <v>75</v>
      </c>
      <c r="I281" s="4" t="s">
        <v>111</v>
      </c>
      <c r="J281" s="4" t="s">
        <v>133</v>
      </c>
      <c r="K281" s="4"/>
      <c r="L281" s="3">
        <v>19</v>
      </c>
      <c r="M281" s="3">
        <v>23.23</v>
      </c>
      <c r="N281" s="3">
        <v>432.71</v>
      </c>
      <c r="O281" s="4" t="s">
        <v>34</v>
      </c>
      <c r="P281" s="4" t="s">
        <v>49</v>
      </c>
      <c r="Q281" s="4" t="s">
        <v>35</v>
      </c>
      <c r="R281" s="3">
        <v>1876.5</v>
      </c>
      <c r="S281" s="3">
        <v>3.5217800000000001</v>
      </c>
      <c r="T281" s="4" t="s">
        <v>712</v>
      </c>
      <c r="U281" s="2" t="s">
        <v>38</v>
      </c>
      <c r="V281" s="2" t="s">
        <v>37</v>
      </c>
      <c r="W281" s="2" t="s">
        <v>38</v>
      </c>
      <c r="X281" s="2" t="s">
        <v>37</v>
      </c>
      <c r="Y281" s="2" t="s">
        <v>37</v>
      </c>
      <c r="Z281" s="2" t="s">
        <v>37</v>
      </c>
      <c r="AA281" s="6">
        <v>3.2156613520000001</v>
      </c>
      <c r="AB281" s="6">
        <v>3.2733485689999999</v>
      </c>
      <c r="AC281" s="6">
        <v>2.6361969319999998</v>
      </c>
      <c r="AD281" cm="1">
        <f t="array" ref="AD281">IF(SUMPRODUCT(--($AM$2:$AM$112=TRIM(LEFT($B281,IFERROR(FIND(" ",$B281)-1,LEN($B281))))))&gt;0,1,0)</f>
        <v>0</v>
      </c>
      <c r="AE281" cm="1">
        <f t="array" ref="AE281">IF(SUMPRODUCT(--($AO$2:$AO$145=TRIM(LEFT($B281,IFERROR(FIND(" ",$B281)-1,LEN($B281))))))&gt;0,1,0)</f>
        <v>0</v>
      </c>
      <c r="AF281" cm="1">
        <f t="array" ref="AF281">IF(SUMPRODUCT(--($AQ$2:$AQ$71=TRIM(LEFT($B281,IFERROR(FIND(" ",$B281)-1,LEN($B281))))))&gt;0,1,0)</f>
        <v>0</v>
      </c>
    </row>
    <row r="282" spans="1:32" ht="75.75" thickBot="1" x14ac:dyDescent="0.3">
      <c r="A282" s="13">
        <v>162</v>
      </c>
      <c r="B282" s="4" t="s">
        <v>713</v>
      </c>
      <c r="C282" s="4" t="s">
        <v>714</v>
      </c>
      <c r="D282" s="7">
        <v>45204</v>
      </c>
      <c r="E282" s="3">
        <v>1622.88</v>
      </c>
      <c r="F282" s="4" t="s">
        <v>30</v>
      </c>
      <c r="G282" s="3">
        <v>9.32</v>
      </c>
      <c r="H282" s="4" t="s">
        <v>70</v>
      </c>
      <c r="I282" s="4" t="s">
        <v>94</v>
      </c>
      <c r="J282" s="4" t="s">
        <v>95</v>
      </c>
      <c r="K282" s="4"/>
      <c r="L282" s="4"/>
      <c r="M282" s="3">
        <v>49.26</v>
      </c>
      <c r="N282" s="3">
        <v>1061.08</v>
      </c>
      <c r="O282" s="4" t="s">
        <v>34</v>
      </c>
      <c r="P282" s="4" t="s">
        <v>34</v>
      </c>
      <c r="Q282" s="4" t="s">
        <v>35</v>
      </c>
      <c r="R282" s="3">
        <v>1782.3</v>
      </c>
      <c r="S282" s="3">
        <v>4.2622600000000004</v>
      </c>
      <c r="T282" s="4" t="s">
        <v>286</v>
      </c>
      <c r="U282" s="2" t="s">
        <v>37</v>
      </c>
      <c r="V282" s="2" t="s">
        <v>37</v>
      </c>
      <c r="W282" s="2" t="s">
        <v>37</v>
      </c>
      <c r="X282" s="2" t="s">
        <v>38</v>
      </c>
      <c r="Y282" s="2" t="s">
        <v>37</v>
      </c>
      <c r="Z282" s="2" t="s">
        <v>37</v>
      </c>
      <c r="AA282" s="6">
        <v>3.210286408</v>
      </c>
      <c r="AB282" s="6">
        <v>3.2509808069999999</v>
      </c>
      <c r="AC282" s="6">
        <v>3.0257481290000001</v>
      </c>
      <c r="AD282" cm="1">
        <f t="array" ref="AD282">IF(SUMPRODUCT(--($AM$2:$AM$112=TRIM(LEFT($B282,IFERROR(FIND(" ",$B282)-1,LEN($B282))))))&gt;0,1,0)</f>
        <v>0</v>
      </c>
      <c r="AE282" cm="1">
        <f t="array" ref="AE282">IF(SUMPRODUCT(--($AO$2:$AO$145=TRIM(LEFT($B282,IFERROR(FIND(" ",$B282)-1,LEN($B282))))))&gt;0,1,0)</f>
        <v>0</v>
      </c>
      <c r="AF282" cm="1">
        <f t="array" ref="AF282">IF(SUMPRODUCT(--($AQ$2:$AQ$71=TRIM(LEFT($B282,IFERROR(FIND(" ",$B282)-1,LEN($B282))))))&gt;0,1,0)</f>
        <v>0</v>
      </c>
    </row>
    <row r="283" spans="1:32" ht="45.75" thickBot="1" x14ac:dyDescent="0.3">
      <c r="A283" s="13">
        <v>428</v>
      </c>
      <c r="B283" s="4" t="s">
        <v>715</v>
      </c>
      <c r="C283" s="4" t="s">
        <v>716</v>
      </c>
      <c r="D283" s="7">
        <v>44831</v>
      </c>
      <c r="E283" s="3">
        <v>1686.02</v>
      </c>
      <c r="F283" s="4" t="s">
        <v>46</v>
      </c>
      <c r="G283" s="4"/>
      <c r="H283" s="4" t="s">
        <v>65</v>
      </c>
      <c r="I283" s="4" t="s">
        <v>66</v>
      </c>
      <c r="J283" s="4" t="s">
        <v>66</v>
      </c>
      <c r="K283" s="4"/>
      <c r="L283" s="4"/>
      <c r="M283" s="3">
        <v>17.420000000000002</v>
      </c>
      <c r="N283" s="3">
        <v>1252.6199999999999</v>
      </c>
      <c r="O283" s="4" t="s">
        <v>34</v>
      </c>
      <c r="P283" s="4" t="s">
        <v>34</v>
      </c>
      <c r="Q283" s="4" t="s">
        <v>35</v>
      </c>
      <c r="R283" s="3">
        <v>516.17600000000004</v>
      </c>
      <c r="S283" s="3">
        <v>37.907400000000003</v>
      </c>
      <c r="T283" s="4" t="s">
        <v>43</v>
      </c>
      <c r="U283" s="2" t="s">
        <v>37</v>
      </c>
      <c r="V283" s="2" t="s">
        <v>37</v>
      </c>
      <c r="W283" s="2" t="s">
        <v>37</v>
      </c>
      <c r="X283" s="2" t="s">
        <v>37</v>
      </c>
      <c r="Y283" s="2" t="s">
        <v>37</v>
      </c>
      <c r="Z283" s="2" t="s">
        <v>37</v>
      </c>
      <c r="AA283" s="6">
        <v>3.2268627219999999</v>
      </c>
      <c r="AB283" s="6">
        <v>2.7127978079999999</v>
      </c>
      <c r="AC283" s="6">
        <v>3.0978193420000002</v>
      </c>
      <c r="AD283" cm="1">
        <f t="array" ref="AD283">IF(SUMPRODUCT(--($AM$2:$AM$112=TRIM(LEFT($B283,IFERROR(FIND(" ",$B283)-1,LEN($B283))))))&gt;0,1,0)</f>
        <v>0</v>
      </c>
      <c r="AE283" cm="1">
        <f t="array" ref="AE283">IF(SUMPRODUCT(--($AO$2:$AO$145=TRIM(LEFT($B283,IFERROR(FIND(" ",$B283)-1,LEN($B283))))))&gt;0,1,0)</f>
        <v>0</v>
      </c>
      <c r="AF283" cm="1">
        <f t="array" ref="AF283">IF(SUMPRODUCT(--($AQ$2:$AQ$71=TRIM(LEFT($B283,IFERROR(FIND(" ",$B283)-1,LEN($B283))))))&gt;0,1,0)</f>
        <v>0</v>
      </c>
    </row>
    <row r="284" spans="1:32" ht="75.75" thickBot="1" x14ac:dyDescent="0.3">
      <c r="A284" s="13">
        <v>69</v>
      </c>
      <c r="B284" s="4" t="s">
        <v>717</v>
      </c>
      <c r="C284" s="4" t="s">
        <v>718</v>
      </c>
      <c r="D284" s="7">
        <v>45331</v>
      </c>
      <c r="E284" s="3">
        <v>3853.68</v>
      </c>
      <c r="F284" s="4" t="s">
        <v>30</v>
      </c>
      <c r="G284" s="3">
        <v>8.27</v>
      </c>
      <c r="H284" s="4" t="s">
        <v>75</v>
      </c>
      <c r="I284" s="4" t="s">
        <v>76</v>
      </c>
      <c r="J284" s="4" t="s">
        <v>77</v>
      </c>
      <c r="K284" s="3">
        <v>150</v>
      </c>
      <c r="L284" s="3">
        <v>75</v>
      </c>
      <c r="M284" s="3">
        <v>45.26</v>
      </c>
      <c r="N284" s="3">
        <v>2912.89</v>
      </c>
      <c r="O284" s="4" t="s">
        <v>34</v>
      </c>
      <c r="P284" s="4" t="s">
        <v>34</v>
      </c>
      <c r="Q284" s="4" t="s">
        <v>35</v>
      </c>
      <c r="R284" s="3">
        <v>2830.7</v>
      </c>
      <c r="S284" s="3">
        <v>5.6713399999999998</v>
      </c>
      <c r="T284" s="4" t="s">
        <v>43</v>
      </c>
      <c r="U284" s="2" t="s">
        <v>37</v>
      </c>
      <c r="V284" s="2" t="s">
        <v>37</v>
      </c>
      <c r="W284" s="2" t="s">
        <v>37</v>
      </c>
      <c r="X284" s="2" t="s">
        <v>37</v>
      </c>
      <c r="Y284" s="2" t="s">
        <v>37</v>
      </c>
      <c r="Z284" s="2" t="s">
        <v>37</v>
      </c>
      <c r="AA284" s="6">
        <v>3.5858756490000001</v>
      </c>
      <c r="AB284" s="6">
        <v>3.4518938449999998</v>
      </c>
      <c r="AC284" s="6">
        <v>3.4643240849999999</v>
      </c>
      <c r="AD284" cm="1">
        <f t="array" ref="AD284">IF(SUMPRODUCT(--($AM$2:$AM$112=TRIM(LEFT($B284,IFERROR(FIND(" ",$B284)-1,LEN($B284))))))&gt;0,1,0)</f>
        <v>0</v>
      </c>
      <c r="AE284" cm="1">
        <f t="array" ref="AE284">IF(SUMPRODUCT(--($AO$2:$AO$145=TRIM(LEFT($B284,IFERROR(FIND(" ",$B284)-1,LEN($B284))))))&gt;0,1,0)</f>
        <v>0</v>
      </c>
      <c r="AF284" cm="1">
        <f t="array" ref="AF284">IF(SUMPRODUCT(--($AQ$2:$AQ$71=TRIM(LEFT($B284,IFERROR(FIND(" ",$B284)-1,LEN($B284))))))&gt;0,1,0)</f>
        <v>0</v>
      </c>
    </row>
    <row r="285" spans="1:32" ht="45.75" thickBot="1" x14ac:dyDescent="0.3">
      <c r="A285" s="13">
        <v>148</v>
      </c>
      <c r="B285" s="4" t="s">
        <v>719</v>
      </c>
      <c r="C285" s="4" t="s">
        <v>720</v>
      </c>
      <c r="D285" s="7">
        <v>45210</v>
      </c>
      <c r="E285" s="3">
        <v>67995.45</v>
      </c>
      <c r="F285" s="4" t="s">
        <v>46</v>
      </c>
      <c r="G285" s="3">
        <v>0.38</v>
      </c>
      <c r="H285" s="4" t="s">
        <v>118</v>
      </c>
      <c r="I285" s="4" t="s">
        <v>119</v>
      </c>
      <c r="J285" s="4" t="s">
        <v>120</v>
      </c>
      <c r="K285" s="4"/>
      <c r="L285" s="4"/>
      <c r="M285" s="3">
        <v>16.55</v>
      </c>
      <c r="N285" s="3">
        <v>62377.45</v>
      </c>
      <c r="O285" s="4" t="s">
        <v>34</v>
      </c>
      <c r="P285" s="4" t="s">
        <v>34</v>
      </c>
      <c r="Q285" s="4" t="s">
        <v>35</v>
      </c>
      <c r="R285" s="3">
        <v>19287</v>
      </c>
      <c r="S285" s="3">
        <v>31.421299999999999</v>
      </c>
      <c r="T285" s="4" t="s">
        <v>43</v>
      </c>
      <c r="U285" s="2" t="s">
        <v>37</v>
      </c>
      <c r="V285" s="2" t="s">
        <v>37</v>
      </c>
      <c r="W285" s="2" t="s">
        <v>37</v>
      </c>
      <c r="X285" s="2" t="s">
        <v>37</v>
      </c>
      <c r="Y285" s="2" t="s">
        <v>37</v>
      </c>
      <c r="Z285" s="2" t="s">
        <v>37</v>
      </c>
      <c r="AA285" s="6">
        <v>4.8324798519999996</v>
      </c>
      <c r="AB285" s="6">
        <v>4.28526468</v>
      </c>
      <c r="AC285" s="6">
        <v>4.7950276169999997</v>
      </c>
      <c r="AD285" cm="1">
        <f t="array" ref="AD285">IF(SUMPRODUCT(--($AM$2:$AM$112=TRIM(LEFT($B285,IFERROR(FIND(" ",$B285)-1,LEN($B285))))))&gt;0,1,0)</f>
        <v>0</v>
      </c>
      <c r="AE285" cm="1">
        <f t="array" ref="AE285">IF(SUMPRODUCT(--($AO$2:$AO$145=TRIM(LEFT($B285,IFERROR(FIND(" ",$B285)-1,LEN($B285))))))&gt;0,1,0)</f>
        <v>0</v>
      </c>
      <c r="AF285" cm="1">
        <f t="array" ref="AF285">IF(SUMPRODUCT(--($AQ$2:$AQ$71=TRIM(LEFT($B285,IFERROR(FIND(" ",$B285)-1,LEN($B285))))))&gt;0,1,0)</f>
        <v>0</v>
      </c>
    </row>
    <row r="286" spans="1:32" ht="45.75" thickBot="1" x14ac:dyDescent="0.3">
      <c r="A286" s="13">
        <v>75</v>
      </c>
      <c r="B286" s="4" t="s">
        <v>721</v>
      </c>
      <c r="C286" s="4" t="s">
        <v>722</v>
      </c>
      <c r="D286" s="7">
        <v>45313</v>
      </c>
      <c r="E286" s="3">
        <v>6481.94</v>
      </c>
      <c r="F286" s="4" t="s">
        <v>46</v>
      </c>
      <c r="G286" s="3">
        <v>9.5299999999999994</v>
      </c>
      <c r="H286" s="4" t="s">
        <v>118</v>
      </c>
      <c r="I286" s="4" t="s">
        <v>119</v>
      </c>
      <c r="J286" s="4" t="s">
        <v>120</v>
      </c>
      <c r="K286" s="3">
        <v>90.3</v>
      </c>
      <c r="L286" s="3">
        <v>90.3</v>
      </c>
      <c r="M286" s="3">
        <v>28.65</v>
      </c>
      <c r="N286" s="3">
        <v>3001.38</v>
      </c>
      <c r="O286" s="4" t="s">
        <v>34</v>
      </c>
      <c r="P286" s="4" t="s">
        <v>34</v>
      </c>
      <c r="Q286" s="4" t="s">
        <v>35</v>
      </c>
      <c r="R286" s="3">
        <v>1634.19</v>
      </c>
      <c r="S286" s="3">
        <v>27.839700000000001</v>
      </c>
      <c r="T286" s="4" t="s">
        <v>43</v>
      </c>
      <c r="U286" s="2" t="s">
        <v>37</v>
      </c>
      <c r="V286" s="2" t="s">
        <v>37</v>
      </c>
      <c r="W286" s="2" t="s">
        <v>37</v>
      </c>
      <c r="X286" s="2" t="s">
        <v>37</v>
      </c>
      <c r="Y286" s="2" t="s">
        <v>37</v>
      </c>
      <c r="Z286" s="2" t="s">
        <v>37</v>
      </c>
      <c r="AA286" s="6">
        <v>3.811705007</v>
      </c>
      <c r="AB286" s="6">
        <v>3.2133025489999998</v>
      </c>
      <c r="AC286" s="6">
        <v>3.4773209839999999</v>
      </c>
      <c r="AD286" cm="1">
        <f t="array" ref="AD286">IF(SUMPRODUCT(--($AM$2:$AM$112=TRIM(LEFT($B286,IFERROR(FIND(" ",$B286)-1,LEN($B286))))))&gt;0,1,0)</f>
        <v>0</v>
      </c>
      <c r="AE286" cm="1">
        <f t="array" ref="AE286">IF(SUMPRODUCT(--($AO$2:$AO$145=TRIM(LEFT($B286,IFERROR(FIND(" ",$B286)-1,LEN($B286))))))&gt;0,1,0)</f>
        <v>0</v>
      </c>
      <c r="AF286" cm="1">
        <f t="array" ref="AF286">IF(SUMPRODUCT(--($AQ$2:$AQ$71=TRIM(LEFT($B286,IFERROR(FIND(" ",$B286)-1,LEN($B286))))))&gt;0,1,0)</f>
        <v>0</v>
      </c>
    </row>
    <row r="287" spans="1:32" ht="165.75" thickBot="1" x14ac:dyDescent="0.3">
      <c r="A287" s="13">
        <v>218</v>
      </c>
      <c r="B287" s="4" t="s">
        <v>723</v>
      </c>
      <c r="C287" s="4" t="s">
        <v>724</v>
      </c>
      <c r="D287" s="7">
        <v>45112</v>
      </c>
      <c r="E287" s="3">
        <v>3324.81</v>
      </c>
      <c r="F287" s="4" t="s">
        <v>107</v>
      </c>
      <c r="G287" s="4"/>
      <c r="H287" s="4" t="s">
        <v>65</v>
      </c>
      <c r="I287" s="4" t="s">
        <v>206</v>
      </c>
      <c r="J287" s="4" t="s">
        <v>206</v>
      </c>
      <c r="K287" s="4"/>
      <c r="L287" s="4"/>
      <c r="M287" s="3">
        <v>19.93</v>
      </c>
      <c r="N287" s="3">
        <v>3324.81</v>
      </c>
      <c r="O287" s="4" t="s">
        <v>34</v>
      </c>
      <c r="P287" s="4" t="s">
        <v>49</v>
      </c>
      <c r="Q287" s="4" t="s">
        <v>35</v>
      </c>
      <c r="R287" s="3">
        <v>7487</v>
      </c>
      <c r="S287" s="3">
        <v>12.377700000000001</v>
      </c>
      <c r="T287" s="4" t="s">
        <v>281</v>
      </c>
      <c r="U287" s="2" t="s">
        <v>37</v>
      </c>
      <c r="V287" s="2" t="s">
        <v>37</v>
      </c>
      <c r="W287" s="2" t="s">
        <v>38</v>
      </c>
      <c r="X287" s="2" t="s">
        <v>38</v>
      </c>
      <c r="Y287" s="2" t="s">
        <v>38</v>
      </c>
      <c r="Z287" s="2" t="s">
        <v>37</v>
      </c>
      <c r="AA287" s="6">
        <v>3.521766832</v>
      </c>
      <c r="AB287" s="6">
        <v>3.874307833</v>
      </c>
      <c r="AC287" s="6">
        <v>3.521766832</v>
      </c>
      <c r="AD287" cm="1">
        <f t="array" ref="AD287">IF(SUMPRODUCT(--($AM$2:$AM$112=TRIM(LEFT($B287,IFERROR(FIND(" ",$B287)-1,LEN($B287))))))&gt;0,1,0)</f>
        <v>0</v>
      </c>
      <c r="AE287" cm="1">
        <f t="array" ref="AE287">IF(SUMPRODUCT(--($AO$2:$AO$145=TRIM(LEFT($B287,IFERROR(FIND(" ",$B287)-1,LEN($B287))))))&gt;0,1,0)</f>
        <v>0</v>
      </c>
      <c r="AF287" cm="1">
        <f t="array" ref="AF287">IF(SUMPRODUCT(--($AQ$2:$AQ$71=TRIM(LEFT($B287,IFERROR(FIND(" ",$B287)-1,LEN($B287))))))&gt;0,1,0)</f>
        <v>0</v>
      </c>
    </row>
    <row r="288" spans="1:32" ht="165.75" thickBot="1" x14ac:dyDescent="0.3">
      <c r="A288" s="13">
        <v>76</v>
      </c>
      <c r="B288" s="4" t="s">
        <v>725</v>
      </c>
      <c r="C288" s="4" t="s">
        <v>539</v>
      </c>
      <c r="D288" s="7">
        <v>45310</v>
      </c>
      <c r="E288" s="3">
        <v>3072.8</v>
      </c>
      <c r="F288" s="4" t="s">
        <v>30</v>
      </c>
      <c r="G288" s="3">
        <v>21.11</v>
      </c>
      <c r="H288" s="4" t="s">
        <v>51</v>
      </c>
      <c r="I288" s="4" t="s">
        <v>51</v>
      </c>
      <c r="J288" s="4" t="s">
        <v>52</v>
      </c>
      <c r="K288" s="4"/>
      <c r="L288" s="4"/>
      <c r="M288" s="3">
        <v>26.29</v>
      </c>
      <c r="N288" s="3">
        <v>3072.8</v>
      </c>
      <c r="O288" s="4" t="s">
        <v>49</v>
      </c>
      <c r="P288" s="4" t="s">
        <v>34</v>
      </c>
      <c r="Q288" s="4" t="s">
        <v>35</v>
      </c>
      <c r="R288" s="3">
        <v>890.19299999999998</v>
      </c>
      <c r="S288" s="3">
        <v>52.094999999999999</v>
      </c>
      <c r="T288" s="4" t="s">
        <v>726</v>
      </c>
      <c r="U288" s="2" t="s">
        <v>37</v>
      </c>
      <c r="V288" s="2" t="s">
        <v>37</v>
      </c>
      <c r="W288" s="2" t="s">
        <v>38</v>
      </c>
      <c r="X288" s="2" t="s">
        <v>38</v>
      </c>
      <c r="Y288" s="2" t="s">
        <v>38</v>
      </c>
      <c r="Z288" s="2" t="s">
        <v>37</v>
      </c>
      <c r="AA288" s="6">
        <v>3.487534294</v>
      </c>
      <c r="AB288" s="6">
        <v>2.9494841749999998</v>
      </c>
      <c r="AC288" s="6">
        <v>3.487534294</v>
      </c>
      <c r="AD288" cm="1">
        <f t="array" ref="AD288">IF(SUMPRODUCT(--($AM$2:$AM$112=TRIM(LEFT($B288,IFERROR(FIND(" ",$B288)-1,LEN($B288))))))&gt;0,1,0)</f>
        <v>0</v>
      </c>
      <c r="AE288" cm="1">
        <f t="array" ref="AE288">IF(SUMPRODUCT(--($AO$2:$AO$145=TRIM(LEFT($B288,IFERROR(FIND(" ",$B288)-1,LEN($B288))))))&gt;0,1,0)</f>
        <v>0</v>
      </c>
      <c r="AF288" cm="1">
        <f t="array" ref="AF288">IF(SUMPRODUCT(--($AQ$2:$AQ$71=TRIM(LEFT($B288,IFERROR(FIND(" ",$B288)-1,LEN($B288))))))&gt;0,1,0)</f>
        <v>0</v>
      </c>
    </row>
    <row r="289" spans="1:32" ht="75.75" thickBot="1" x14ac:dyDescent="0.3">
      <c r="A289" s="13">
        <v>67</v>
      </c>
      <c r="B289" s="4" t="s">
        <v>727</v>
      </c>
      <c r="C289" s="4" t="s">
        <v>728</v>
      </c>
      <c r="D289" s="7">
        <v>45309</v>
      </c>
      <c r="E289" s="3">
        <v>4409.41</v>
      </c>
      <c r="F289" s="4" t="s">
        <v>30</v>
      </c>
      <c r="G289" s="3">
        <v>5.44</v>
      </c>
      <c r="H289" s="4" t="s">
        <v>75</v>
      </c>
      <c r="I289" s="4" t="s">
        <v>76</v>
      </c>
      <c r="J289" s="4" t="s">
        <v>77</v>
      </c>
      <c r="K289" s="4"/>
      <c r="L289" s="4"/>
      <c r="M289" s="3">
        <v>16.22</v>
      </c>
      <c r="N289" s="3">
        <v>4703.67</v>
      </c>
      <c r="O289" s="4" t="s">
        <v>34</v>
      </c>
      <c r="P289" s="4" t="s">
        <v>96</v>
      </c>
      <c r="Q289" s="4" t="s">
        <v>35</v>
      </c>
      <c r="R289" s="3">
        <v>5098.37</v>
      </c>
      <c r="S289" s="3">
        <v>2.2194400000000001</v>
      </c>
      <c r="T289" s="4" t="s">
        <v>104</v>
      </c>
      <c r="U289" s="2" t="s">
        <v>37</v>
      </c>
      <c r="V289" s="2" t="s">
        <v>37</v>
      </c>
      <c r="W289" s="2" t="s">
        <v>38</v>
      </c>
      <c r="X289" s="2" t="s">
        <v>37</v>
      </c>
      <c r="Y289" s="2" t="s">
        <v>37</v>
      </c>
      <c r="Z289" s="2" t="s">
        <v>37</v>
      </c>
      <c r="AA289" s="6">
        <v>3.6443804829999999</v>
      </c>
      <c r="AB289" s="6">
        <v>3.7074313499999998</v>
      </c>
      <c r="AC289" s="6">
        <v>3.672436845</v>
      </c>
      <c r="AD289" cm="1">
        <f t="array" ref="AD289">IF(SUMPRODUCT(--($AM$2:$AM$112=TRIM(LEFT($B289,IFERROR(FIND(" ",$B289)-1,LEN($B289))))))&gt;0,1,0)</f>
        <v>0</v>
      </c>
      <c r="AE289" cm="1">
        <f t="array" ref="AE289">IF(SUMPRODUCT(--($AO$2:$AO$145=TRIM(LEFT($B289,IFERROR(FIND(" ",$B289)-1,LEN($B289))))))&gt;0,1,0)</f>
        <v>0</v>
      </c>
      <c r="AF289" cm="1">
        <f t="array" ref="AF289">IF(SUMPRODUCT(--($AQ$2:$AQ$71=TRIM(LEFT($B289,IFERROR(FIND(" ",$B289)-1,LEN($B289))))))&gt;0,1,0)</f>
        <v>0</v>
      </c>
    </row>
    <row r="290" spans="1:32" ht="135.75" thickBot="1" x14ac:dyDescent="0.3">
      <c r="A290" s="13">
        <v>66</v>
      </c>
      <c r="B290" s="4" t="s">
        <v>729</v>
      </c>
      <c r="C290" s="4" t="s">
        <v>730</v>
      </c>
      <c r="D290" s="7">
        <v>45310</v>
      </c>
      <c r="E290" s="3">
        <v>1857.14</v>
      </c>
      <c r="F290" s="4" t="s">
        <v>30</v>
      </c>
      <c r="G290" s="4"/>
      <c r="H290" s="4" t="s">
        <v>70</v>
      </c>
      <c r="I290" s="4" t="s">
        <v>71</v>
      </c>
      <c r="J290" s="4" t="s">
        <v>304</v>
      </c>
      <c r="K290" s="4"/>
      <c r="L290" s="4"/>
      <c r="M290" s="3">
        <v>97.18</v>
      </c>
      <c r="N290" s="3">
        <v>1299.79</v>
      </c>
      <c r="O290" s="4" t="s">
        <v>34</v>
      </c>
      <c r="P290" s="4" t="s">
        <v>34</v>
      </c>
      <c r="Q290" s="4" t="s">
        <v>35</v>
      </c>
      <c r="R290" s="3">
        <v>775.85400000000004</v>
      </c>
      <c r="S290" s="3">
        <v>6.4514699999999996</v>
      </c>
      <c r="T290" s="4" t="s">
        <v>369</v>
      </c>
      <c r="U290" s="2" t="s">
        <v>37</v>
      </c>
      <c r="V290" s="2" t="s">
        <v>37</v>
      </c>
      <c r="W290" s="2" t="s">
        <v>37</v>
      </c>
      <c r="X290" s="2" t="s">
        <v>38</v>
      </c>
      <c r="Y290" s="2" t="s">
        <v>38</v>
      </c>
      <c r="Z290" s="2" t="s">
        <v>37</v>
      </c>
      <c r="AA290" s="6">
        <v>3.2688446440000001</v>
      </c>
      <c r="AB290" s="6">
        <v>2.8897800039999999</v>
      </c>
      <c r="AC290" s="6">
        <v>3.1138731910000002</v>
      </c>
      <c r="AD290" cm="1">
        <f t="array" ref="AD290">IF(SUMPRODUCT(--($AM$2:$AM$112=TRIM(LEFT($B290,IFERROR(FIND(" ",$B290)-1,LEN($B290))))))&gt;0,1,0)</f>
        <v>0</v>
      </c>
      <c r="AE290" cm="1">
        <f t="array" ref="AE290">IF(SUMPRODUCT(--($AO$2:$AO$145=TRIM(LEFT($B290,IFERROR(FIND(" ",$B290)-1,LEN($B290))))))&gt;0,1,0)</f>
        <v>0</v>
      </c>
      <c r="AF290" cm="1">
        <f t="array" ref="AF290">IF(SUMPRODUCT(--($AQ$2:$AQ$71=TRIM(LEFT($B290,IFERROR(FIND(" ",$B290)-1,LEN($B290))))))&gt;0,1,0)</f>
        <v>0</v>
      </c>
    </row>
    <row r="291" spans="1:32" ht="75.75" thickBot="1" x14ac:dyDescent="0.3">
      <c r="A291" s="13">
        <v>87</v>
      </c>
      <c r="B291" s="4" t="s">
        <v>731</v>
      </c>
      <c r="C291" s="4" t="s">
        <v>732</v>
      </c>
      <c r="D291" s="7">
        <v>45271</v>
      </c>
      <c r="E291" s="3">
        <v>911.12</v>
      </c>
      <c r="F291" s="4" t="s">
        <v>46</v>
      </c>
      <c r="G291" s="3">
        <v>2.5099999999999998</v>
      </c>
      <c r="H291" s="4" t="s">
        <v>70</v>
      </c>
      <c r="I291" s="4" t="s">
        <v>94</v>
      </c>
      <c r="J291" s="4" t="s">
        <v>108</v>
      </c>
      <c r="K291" s="3">
        <v>20</v>
      </c>
      <c r="L291" s="4"/>
      <c r="M291" s="3">
        <v>18.73</v>
      </c>
      <c r="N291" s="3">
        <v>516.65</v>
      </c>
      <c r="O291" s="4" t="s">
        <v>34</v>
      </c>
      <c r="P291" s="4" t="s">
        <v>733</v>
      </c>
      <c r="Q291" s="4" t="s">
        <v>35</v>
      </c>
      <c r="R291" s="2"/>
      <c r="S291" s="2"/>
      <c r="T291" s="4" t="s">
        <v>104</v>
      </c>
      <c r="U291" s="2" t="s">
        <v>37</v>
      </c>
      <c r="V291" s="2" t="s">
        <v>37</v>
      </c>
      <c r="W291" s="2" t="s">
        <v>38</v>
      </c>
      <c r="X291" s="2" t="s">
        <v>37</v>
      </c>
      <c r="Y291" s="2" t="s">
        <v>37</v>
      </c>
      <c r="Z291" s="2" t="s">
        <v>37</v>
      </c>
      <c r="AA291" s="6">
        <v>2.9595755800000001</v>
      </c>
      <c r="AB291" s="2"/>
      <c r="AC291" s="6">
        <v>2.7131964339999999</v>
      </c>
      <c r="AD291" cm="1">
        <f t="array" ref="AD291">IF(SUMPRODUCT(--($AM$2:$AM$112=TRIM(LEFT($B291,IFERROR(FIND(" ",$B291)-1,LEN($B291))))))&gt;0,1,0)</f>
        <v>0</v>
      </c>
      <c r="AE291" cm="1">
        <f t="array" ref="AE291">IF(SUMPRODUCT(--($AO$2:$AO$145=TRIM(LEFT($B291,IFERROR(FIND(" ",$B291)-1,LEN($B291))))))&gt;0,1,0)</f>
        <v>0</v>
      </c>
      <c r="AF291" cm="1">
        <f t="array" ref="AF291">IF(SUMPRODUCT(--($AQ$2:$AQ$71=TRIM(LEFT($B291,IFERROR(FIND(" ",$B291)-1,LEN($B291))))))&gt;0,1,0)</f>
        <v>0</v>
      </c>
    </row>
    <row r="292" spans="1:32" ht="105.75" thickBot="1" x14ac:dyDescent="0.3">
      <c r="A292" s="13">
        <v>73</v>
      </c>
      <c r="B292" s="4" t="s">
        <v>734</v>
      </c>
      <c r="C292" s="4" t="s">
        <v>735</v>
      </c>
      <c r="D292" s="7">
        <v>45282</v>
      </c>
      <c r="E292" s="3">
        <v>1069.56</v>
      </c>
      <c r="F292" s="4" t="s">
        <v>30</v>
      </c>
      <c r="G292" s="3">
        <v>4.55</v>
      </c>
      <c r="H292" s="4" t="s">
        <v>70</v>
      </c>
      <c r="I292" s="4" t="s">
        <v>94</v>
      </c>
      <c r="J292" s="4" t="s">
        <v>108</v>
      </c>
      <c r="K292" s="3">
        <v>12.45</v>
      </c>
      <c r="L292" s="3">
        <v>12.45</v>
      </c>
      <c r="M292" s="3">
        <v>81.180000000000007</v>
      </c>
      <c r="N292" s="3">
        <v>385.96</v>
      </c>
      <c r="O292" s="4" t="s">
        <v>34</v>
      </c>
      <c r="P292" s="4" t="s">
        <v>49</v>
      </c>
      <c r="Q292" s="4" t="s">
        <v>35</v>
      </c>
      <c r="R292" s="3">
        <v>1569.4</v>
      </c>
      <c r="S292" s="3">
        <v>2.30661</v>
      </c>
      <c r="T292" s="4" t="s">
        <v>130</v>
      </c>
      <c r="U292" s="2" t="s">
        <v>37</v>
      </c>
      <c r="V292" s="2" t="s">
        <v>37</v>
      </c>
      <c r="W292" s="2" t="s">
        <v>38</v>
      </c>
      <c r="X292" s="2" t="s">
        <v>38</v>
      </c>
      <c r="Y292" s="2" t="s">
        <v>37</v>
      </c>
      <c r="Z292" s="2" t="s">
        <v>37</v>
      </c>
      <c r="AA292" s="6">
        <v>3.0292051529999999</v>
      </c>
      <c r="AB292" s="6">
        <v>3.195733648</v>
      </c>
      <c r="AC292" s="6">
        <v>2.5865422979999999</v>
      </c>
      <c r="AD292" cm="1">
        <f t="array" ref="AD292">IF(SUMPRODUCT(--($AM$2:$AM$112=TRIM(LEFT($B292,IFERROR(FIND(" ",$B292)-1,LEN($B292))))))&gt;0,1,0)</f>
        <v>0</v>
      </c>
      <c r="AE292" cm="1">
        <f t="array" ref="AE292">IF(SUMPRODUCT(--($AO$2:$AO$145=TRIM(LEFT($B292,IFERROR(FIND(" ",$B292)-1,LEN($B292))))))&gt;0,1,0)</f>
        <v>0</v>
      </c>
      <c r="AF292" cm="1">
        <f t="array" ref="AF292">IF(SUMPRODUCT(--($AQ$2:$AQ$71=TRIM(LEFT($B292,IFERROR(FIND(" ",$B292)-1,LEN($B292))))))&gt;0,1,0)</f>
        <v>0</v>
      </c>
    </row>
    <row r="293" spans="1:32" ht="45.75" thickBot="1" x14ac:dyDescent="0.3">
      <c r="A293" s="13">
        <v>76</v>
      </c>
      <c r="B293" s="4" t="s">
        <v>736</v>
      </c>
      <c r="C293" s="4" t="s">
        <v>737</v>
      </c>
      <c r="D293" s="7">
        <v>45279</v>
      </c>
      <c r="E293" s="3">
        <v>842.51</v>
      </c>
      <c r="F293" s="4" t="s">
        <v>46</v>
      </c>
      <c r="G293" s="3">
        <v>5.48</v>
      </c>
      <c r="H293" s="4" t="s">
        <v>118</v>
      </c>
      <c r="I293" s="4" t="s">
        <v>119</v>
      </c>
      <c r="J293" s="4" t="s">
        <v>355</v>
      </c>
      <c r="K293" s="3">
        <v>20</v>
      </c>
      <c r="L293" s="3">
        <v>15</v>
      </c>
      <c r="M293" s="3">
        <v>-7.53</v>
      </c>
      <c r="N293" s="3">
        <v>222.17</v>
      </c>
      <c r="O293" s="4" t="s">
        <v>34</v>
      </c>
      <c r="P293" s="4" t="s">
        <v>34</v>
      </c>
      <c r="Q293" s="4" t="s">
        <v>35</v>
      </c>
      <c r="R293" s="3">
        <v>386.12799999999999</v>
      </c>
      <c r="S293" s="3">
        <v>13.1332</v>
      </c>
      <c r="T293" s="4" t="s">
        <v>43</v>
      </c>
      <c r="U293" s="2" t="s">
        <v>37</v>
      </c>
      <c r="V293" s="2" t="s">
        <v>37</v>
      </c>
      <c r="W293" s="2" t="s">
        <v>37</v>
      </c>
      <c r="X293" s="2" t="s">
        <v>37</v>
      </c>
      <c r="Y293" s="2" t="s">
        <v>37</v>
      </c>
      <c r="Z293" s="2" t="s">
        <v>37</v>
      </c>
      <c r="AA293" s="6">
        <v>2.9255750639999998</v>
      </c>
      <c r="AB293" s="6">
        <v>2.586731296</v>
      </c>
      <c r="AC293" s="6">
        <v>2.3466854150000001</v>
      </c>
      <c r="AD293" cm="1">
        <f t="array" ref="AD293">IF(SUMPRODUCT(--($AM$2:$AM$112=TRIM(LEFT($B293,IFERROR(FIND(" ",$B293)-1,LEN($B293))))))&gt;0,1,0)</f>
        <v>0</v>
      </c>
      <c r="AE293" cm="1">
        <f t="array" ref="AE293">IF(SUMPRODUCT(--($AO$2:$AO$145=TRIM(LEFT($B293,IFERROR(FIND(" ",$B293)-1,LEN($B293))))))&gt;0,1,0)</f>
        <v>0</v>
      </c>
      <c r="AF293" cm="1">
        <f t="array" ref="AF293">IF(SUMPRODUCT(--($AQ$2:$AQ$71=TRIM(LEFT($B293,IFERROR(FIND(" ",$B293)-1,LEN($B293))))))&gt;0,1,0)</f>
        <v>0</v>
      </c>
    </row>
    <row r="294" spans="1:32" ht="45.75" thickBot="1" x14ac:dyDescent="0.3">
      <c r="A294" s="13">
        <v>63</v>
      </c>
      <c r="B294" s="4" t="s">
        <v>738</v>
      </c>
      <c r="C294" s="4" t="s">
        <v>739</v>
      </c>
      <c r="D294" s="7">
        <v>45295</v>
      </c>
      <c r="E294" s="3">
        <v>4454.4799999999996</v>
      </c>
      <c r="F294" s="4" t="s">
        <v>46</v>
      </c>
      <c r="G294" s="3">
        <v>4.6900000000000004</v>
      </c>
      <c r="H294" s="4" t="s">
        <v>118</v>
      </c>
      <c r="I294" s="4" t="s">
        <v>119</v>
      </c>
      <c r="J294" s="4" t="s">
        <v>120</v>
      </c>
      <c r="K294" s="3">
        <v>170</v>
      </c>
      <c r="L294" s="3">
        <v>170</v>
      </c>
      <c r="M294" s="3">
        <v>15.21</v>
      </c>
      <c r="N294" s="3">
        <v>2509.3200000000002</v>
      </c>
      <c r="O294" s="4" t="s">
        <v>34</v>
      </c>
      <c r="P294" s="4" t="s">
        <v>34</v>
      </c>
      <c r="Q294" s="4" t="s">
        <v>35</v>
      </c>
      <c r="R294" s="3">
        <v>2342.98</v>
      </c>
      <c r="S294" s="3">
        <v>15.5305</v>
      </c>
      <c r="T294" s="4" t="s">
        <v>43</v>
      </c>
      <c r="U294" s="2" t="s">
        <v>37</v>
      </c>
      <c r="V294" s="2" t="s">
        <v>37</v>
      </c>
      <c r="W294" s="2" t="s">
        <v>37</v>
      </c>
      <c r="X294" s="2" t="s">
        <v>37</v>
      </c>
      <c r="Y294" s="2" t="s">
        <v>37</v>
      </c>
      <c r="Z294" s="2" t="s">
        <v>37</v>
      </c>
      <c r="AA294" s="6">
        <v>3.6487970129999998</v>
      </c>
      <c r="AB294" s="6">
        <v>3.3697685810000002</v>
      </c>
      <c r="AC294" s="6">
        <v>3.399556048</v>
      </c>
      <c r="AD294" cm="1">
        <f t="array" ref="AD294">IF(SUMPRODUCT(--($AM$2:$AM$112=TRIM(LEFT($B294,IFERROR(FIND(" ",$B294)-1,LEN($B294))))))&gt;0,1,0)</f>
        <v>0</v>
      </c>
      <c r="AE294" cm="1">
        <f t="array" ref="AE294">IF(SUMPRODUCT(--($AO$2:$AO$145=TRIM(LEFT($B294,IFERROR(FIND(" ",$B294)-1,LEN($B294))))))&gt;0,1,0)</f>
        <v>0</v>
      </c>
      <c r="AF294" cm="1">
        <f t="array" ref="AF294">IF(SUMPRODUCT(--($AQ$2:$AQ$71=TRIM(LEFT($B294,IFERROR(FIND(" ",$B294)-1,LEN($B294))))))&gt;0,1,0)</f>
        <v>0</v>
      </c>
    </row>
    <row r="295" spans="1:32" ht="105.75" thickBot="1" x14ac:dyDescent="0.3">
      <c r="A295" s="13">
        <v>52</v>
      </c>
      <c r="B295" s="4" t="s">
        <v>740</v>
      </c>
      <c r="C295" s="4" t="s">
        <v>741</v>
      </c>
      <c r="D295" s="7">
        <v>45308</v>
      </c>
      <c r="E295" s="3">
        <v>3159.77</v>
      </c>
      <c r="F295" s="4" t="s">
        <v>30</v>
      </c>
      <c r="G295" s="3">
        <v>12.99</v>
      </c>
      <c r="H295" s="4" t="s">
        <v>75</v>
      </c>
      <c r="I295" s="4" t="s">
        <v>76</v>
      </c>
      <c r="J295" s="4" t="s">
        <v>77</v>
      </c>
      <c r="K295" s="3">
        <v>405</v>
      </c>
      <c r="L295" s="3">
        <v>86</v>
      </c>
      <c r="M295" s="3">
        <v>2.9</v>
      </c>
      <c r="N295" s="3">
        <v>2454.16</v>
      </c>
      <c r="O295" s="4" t="s">
        <v>34</v>
      </c>
      <c r="P295" s="4" t="s">
        <v>34</v>
      </c>
      <c r="Q295" s="4" t="s">
        <v>399</v>
      </c>
      <c r="R295" s="3">
        <v>1504.24</v>
      </c>
      <c r="S295" s="3">
        <v>11.9147</v>
      </c>
      <c r="T295" s="4" t="s">
        <v>742</v>
      </c>
      <c r="U295" s="2" t="s">
        <v>37</v>
      </c>
      <c r="V295" s="2" t="s">
        <v>38</v>
      </c>
      <c r="W295" s="2" t="s">
        <v>37</v>
      </c>
      <c r="X295" s="2" t="s">
        <v>38</v>
      </c>
      <c r="Y295" s="2" t="s">
        <v>37</v>
      </c>
      <c r="Z295" s="2" t="s">
        <v>37</v>
      </c>
      <c r="AA295" s="6">
        <v>3.4996554710000001</v>
      </c>
      <c r="AB295" s="6">
        <v>3.1773171329999998</v>
      </c>
      <c r="AC295" s="6">
        <v>3.389902873</v>
      </c>
      <c r="AD295" cm="1">
        <f t="array" ref="AD295">IF(SUMPRODUCT(--($AM$2:$AM$112=TRIM(LEFT($B295,IFERROR(FIND(" ",$B295)-1,LEN($B295))))))&gt;0,1,0)</f>
        <v>0</v>
      </c>
      <c r="AE295" cm="1">
        <f t="array" ref="AE295">IF(SUMPRODUCT(--($AO$2:$AO$145=TRIM(LEFT($B295,IFERROR(FIND(" ",$B295)-1,LEN($B295))))))&gt;0,1,0)</f>
        <v>0</v>
      </c>
      <c r="AF295" cm="1">
        <f t="array" ref="AF295">IF(SUMPRODUCT(--($AQ$2:$AQ$71=TRIM(LEFT($B295,IFERROR(FIND(" ",$B295)-1,LEN($B295))))))&gt;0,1,0)</f>
        <v>0</v>
      </c>
    </row>
    <row r="296" spans="1:32" ht="75.75" thickBot="1" x14ac:dyDescent="0.3">
      <c r="A296" s="13">
        <v>31</v>
      </c>
      <c r="B296" s="4" t="s">
        <v>743</v>
      </c>
      <c r="C296" s="4" t="s">
        <v>135</v>
      </c>
      <c r="D296" s="7">
        <v>45334</v>
      </c>
      <c r="E296" s="3">
        <v>3514.9</v>
      </c>
      <c r="F296" s="4" t="s">
        <v>30</v>
      </c>
      <c r="G296" s="4"/>
      <c r="H296" s="4" t="s">
        <v>41</v>
      </c>
      <c r="I296" s="4" t="s">
        <v>41</v>
      </c>
      <c r="J296" s="4" t="s">
        <v>42</v>
      </c>
      <c r="K296" s="4"/>
      <c r="L296" s="4"/>
      <c r="M296" s="3">
        <v>36.049999999999997</v>
      </c>
      <c r="N296" s="3">
        <v>3953.47</v>
      </c>
      <c r="O296" s="4" t="s">
        <v>34</v>
      </c>
      <c r="P296" s="4" t="s">
        <v>34</v>
      </c>
      <c r="Q296" s="4" t="s">
        <v>35</v>
      </c>
      <c r="R296" s="3">
        <v>31.073</v>
      </c>
      <c r="S296" s="3">
        <v>-327.226</v>
      </c>
      <c r="T296" s="4" t="s">
        <v>88</v>
      </c>
      <c r="U296" s="2" t="s">
        <v>37</v>
      </c>
      <c r="V296" s="2" t="s">
        <v>37</v>
      </c>
      <c r="W296" s="2" t="s">
        <v>37</v>
      </c>
      <c r="X296" s="2" t="s">
        <v>37</v>
      </c>
      <c r="Y296" s="2" t="s">
        <v>37</v>
      </c>
      <c r="Z296" s="2" t="s">
        <v>38</v>
      </c>
      <c r="AA296" s="6">
        <v>3.5459129740000002</v>
      </c>
      <c r="AB296" s="6">
        <v>1.492383185</v>
      </c>
      <c r="AC296" s="6">
        <v>3.5969784480000002</v>
      </c>
      <c r="AD296" cm="1">
        <f t="array" ref="AD296">IF(SUMPRODUCT(--($AM$2:$AM$112=TRIM(LEFT($B296,IFERROR(FIND(" ",$B296)-1,LEN($B296))))))&gt;0,1,0)</f>
        <v>0</v>
      </c>
      <c r="AE296" cm="1">
        <f t="array" ref="AE296">IF(SUMPRODUCT(--($AO$2:$AO$145=TRIM(LEFT($B296,IFERROR(FIND(" ",$B296)-1,LEN($B296))))))&gt;0,1,0)</f>
        <v>0</v>
      </c>
      <c r="AF296" cm="1">
        <f t="array" ref="AF296">IF(SUMPRODUCT(--($AQ$2:$AQ$71=TRIM(LEFT($B296,IFERROR(FIND(" ",$B296)-1,LEN($B296))))))&gt;0,1,0)</f>
        <v>0</v>
      </c>
    </row>
    <row r="297" spans="1:32" ht="135.75" thickBot="1" x14ac:dyDescent="0.3">
      <c r="A297" s="13">
        <v>50</v>
      </c>
      <c r="B297" s="4" t="s">
        <v>744</v>
      </c>
      <c r="C297" s="4" t="s">
        <v>745</v>
      </c>
      <c r="D297" s="7">
        <v>45306</v>
      </c>
      <c r="E297" s="3">
        <v>526.53</v>
      </c>
      <c r="F297" s="4" t="s">
        <v>30</v>
      </c>
      <c r="G297" s="3">
        <v>20.51</v>
      </c>
      <c r="H297" s="4" t="s">
        <v>41</v>
      </c>
      <c r="I297" s="4" t="s">
        <v>41</v>
      </c>
      <c r="J297" s="4" t="s">
        <v>100</v>
      </c>
      <c r="K297" s="4"/>
      <c r="L297" s="4"/>
      <c r="M297" s="3">
        <v>13.06</v>
      </c>
      <c r="N297" s="3">
        <v>308.06</v>
      </c>
      <c r="O297" s="4" t="s">
        <v>49</v>
      </c>
      <c r="P297" s="4" t="s">
        <v>49</v>
      </c>
      <c r="Q297" s="4" t="s">
        <v>35</v>
      </c>
      <c r="R297" s="3">
        <v>567.46500000000003</v>
      </c>
      <c r="S297" s="3">
        <v>-0.68130599999999997</v>
      </c>
      <c r="T297" s="4" t="s">
        <v>101</v>
      </c>
      <c r="U297" s="2" t="s">
        <v>37</v>
      </c>
      <c r="V297" s="2" t="s">
        <v>37</v>
      </c>
      <c r="W297" s="2" t="s">
        <v>37</v>
      </c>
      <c r="X297" s="2" t="s">
        <v>38</v>
      </c>
      <c r="Y297" s="2" t="s">
        <v>38</v>
      </c>
      <c r="Z297" s="2" t="s">
        <v>37</v>
      </c>
      <c r="AA297" s="6">
        <v>2.7214231209999999</v>
      </c>
      <c r="AB297" s="6">
        <v>2.7539390799999999</v>
      </c>
      <c r="AC297" s="6">
        <v>2.4886353109999999</v>
      </c>
      <c r="AD297" cm="1">
        <f t="array" ref="AD297">IF(SUMPRODUCT(--($AM$2:$AM$112=TRIM(LEFT($B297,IFERROR(FIND(" ",$B297)-1,LEN($B297))))))&gt;0,1,0)</f>
        <v>0</v>
      </c>
      <c r="AE297" cm="1">
        <f t="array" ref="AE297">IF(SUMPRODUCT(--($AO$2:$AO$145=TRIM(LEFT($B297,IFERROR(FIND(" ",$B297)-1,LEN($B297))))))&gt;0,1,0)</f>
        <v>0</v>
      </c>
      <c r="AF297" cm="1">
        <f t="array" ref="AF297">IF(SUMPRODUCT(--($AQ$2:$AQ$71=TRIM(LEFT($B297,IFERROR(FIND(" ",$B297)-1,LEN($B297))))))&gt;0,1,0)</f>
        <v>0</v>
      </c>
    </row>
    <row r="298" spans="1:32" ht="45.75" thickBot="1" x14ac:dyDescent="0.3">
      <c r="A298" s="13">
        <v>129</v>
      </c>
      <c r="B298" s="4" t="s">
        <v>746</v>
      </c>
      <c r="C298" s="4" t="s">
        <v>747</v>
      </c>
      <c r="D298" s="7">
        <v>45190</v>
      </c>
      <c r="E298" s="3">
        <v>27951.21</v>
      </c>
      <c r="F298" s="4" t="s">
        <v>30</v>
      </c>
      <c r="G298" s="4"/>
      <c r="H298" s="4" t="s">
        <v>31</v>
      </c>
      <c r="I298" s="4" t="s">
        <v>32</v>
      </c>
      <c r="J298" s="4" t="s">
        <v>33</v>
      </c>
      <c r="K298" s="4"/>
      <c r="L298" s="4"/>
      <c r="M298" s="3">
        <v>30.95</v>
      </c>
      <c r="N298" s="3">
        <v>26328.9</v>
      </c>
      <c r="O298" s="4" t="s">
        <v>34</v>
      </c>
      <c r="P298" s="4" t="s">
        <v>34</v>
      </c>
      <c r="Q298" s="4" t="s">
        <v>35</v>
      </c>
      <c r="R298" s="3">
        <v>4215.6000000000004</v>
      </c>
      <c r="S298" s="3">
        <v>5.6813799999999999</v>
      </c>
      <c r="T298" s="4" t="s">
        <v>43</v>
      </c>
      <c r="U298" s="2" t="s">
        <v>37</v>
      </c>
      <c r="V298" s="2" t="s">
        <v>37</v>
      </c>
      <c r="W298" s="2" t="s">
        <v>37</v>
      </c>
      <c r="X298" s="2" t="s">
        <v>37</v>
      </c>
      <c r="Y298" s="2" t="s">
        <v>37</v>
      </c>
      <c r="Z298" s="2" t="s">
        <v>37</v>
      </c>
      <c r="AA298" s="6">
        <v>4.4464006129999998</v>
      </c>
      <c r="AB298" s="6">
        <v>3.6248593960000002</v>
      </c>
      <c r="AC298" s="6">
        <v>4.4204327149999996</v>
      </c>
      <c r="AD298" cm="1">
        <f t="array" ref="AD298">IF(SUMPRODUCT(--($AM$2:$AM$112=TRIM(LEFT($B298,IFERROR(FIND(" ",$B298)-1,LEN($B298))))))&gt;0,1,0)</f>
        <v>0</v>
      </c>
      <c r="AE298" cm="1">
        <f t="array" ref="AE298">IF(SUMPRODUCT(--($AO$2:$AO$145=TRIM(LEFT($B298,IFERROR(FIND(" ",$B298)-1,LEN($B298))))))&gt;0,1,0)</f>
        <v>1</v>
      </c>
      <c r="AF298" cm="1">
        <f t="array" ref="AF298">IF(SUMPRODUCT(--($AQ$2:$AQ$71=TRIM(LEFT($B298,IFERROR(FIND(" ",$B298)-1,LEN($B298))))))&gt;0,1,0)</f>
        <v>0</v>
      </c>
    </row>
    <row r="299" spans="1:32" ht="45.75" thickBot="1" x14ac:dyDescent="0.3">
      <c r="A299" s="13">
        <v>63</v>
      </c>
      <c r="B299" s="4" t="s">
        <v>748</v>
      </c>
      <c r="C299" s="4" t="s">
        <v>749</v>
      </c>
      <c r="D299" s="7">
        <v>45282</v>
      </c>
      <c r="E299" s="3">
        <v>12194.39</v>
      </c>
      <c r="F299" s="4" t="s">
        <v>30</v>
      </c>
      <c r="G299" s="4"/>
      <c r="H299" s="4" t="s">
        <v>41</v>
      </c>
      <c r="I299" s="4" t="s">
        <v>41</v>
      </c>
      <c r="J299" s="4" t="s">
        <v>42</v>
      </c>
      <c r="K299" s="3">
        <v>600</v>
      </c>
      <c r="L299" s="3">
        <v>490</v>
      </c>
      <c r="M299" s="3">
        <v>60.77</v>
      </c>
      <c r="N299" s="3">
        <v>13520.29</v>
      </c>
      <c r="O299" s="4" t="s">
        <v>34</v>
      </c>
      <c r="P299" s="4" t="s">
        <v>34</v>
      </c>
      <c r="Q299" s="4" t="s">
        <v>35</v>
      </c>
      <c r="R299" s="3">
        <v>0.65400000000000003</v>
      </c>
      <c r="S299" s="3">
        <v>-75654</v>
      </c>
      <c r="T299" s="4" t="s">
        <v>43</v>
      </c>
      <c r="U299" s="2" t="s">
        <v>37</v>
      </c>
      <c r="V299" s="2" t="s">
        <v>37</v>
      </c>
      <c r="W299" s="2" t="s">
        <v>37</v>
      </c>
      <c r="X299" s="2" t="s">
        <v>37</v>
      </c>
      <c r="Y299" s="2" t="s">
        <v>37</v>
      </c>
      <c r="Z299" s="2" t="s">
        <v>37</v>
      </c>
      <c r="AA299" s="6">
        <v>4.08616008</v>
      </c>
      <c r="AB299" s="6">
        <v>-0.18442225170000001</v>
      </c>
      <c r="AC299" s="6">
        <v>4.1309860069999997</v>
      </c>
      <c r="AD299" cm="1">
        <f t="array" ref="AD299">IF(SUMPRODUCT(--($AM$2:$AM$112=TRIM(LEFT($B299,IFERROR(FIND(" ",$B299)-1,LEN($B299))))))&gt;0,1,0)</f>
        <v>0</v>
      </c>
      <c r="AE299" cm="1">
        <f t="array" ref="AE299">IF(SUMPRODUCT(--($AO$2:$AO$145=TRIM(LEFT($B299,IFERROR(FIND(" ",$B299)-1,LEN($B299))))))&gt;0,1,0)</f>
        <v>0</v>
      </c>
      <c r="AF299" cm="1">
        <f t="array" ref="AF299">IF(SUMPRODUCT(--($AQ$2:$AQ$71=TRIM(LEFT($B299,IFERROR(FIND(" ",$B299)-1,LEN($B299))))))&gt;0,1,0)</f>
        <v>0</v>
      </c>
    </row>
    <row r="300" spans="1:32" ht="135.75" thickBot="1" x14ac:dyDescent="0.3">
      <c r="A300" s="13">
        <v>67</v>
      </c>
      <c r="B300" s="4" t="s">
        <v>750</v>
      </c>
      <c r="C300" s="2"/>
      <c r="D300" s="7">
        <v>45278</v>
      </c>
      <c r="E300" s="3">
        <v>4114.42</v>
      </c>
      <c r="F300" s="4" t="s">
        <v>30</v>
      </c>
      <c r="G300" s="4"/>
      <c r="H300" s="4" t="s">
        <v>31</v>
      </c>
      <c r="I300" s="4" t="s">
        <v>32</v>
      </c>
      <c r="J300" s="4" t="s">
        <v>33</v>
      </c>
      <c r="K300" s="4"/>
      <c r="L300" s="4"/>
      <c r="M300" s="3">
        <v>15.91</v>
      </c>
      <c r="N300" s="3">
        <v>3463.42</v>
      </c>
      <c r="O300" s="4" t="s">
        <v>34</v>
      </c>
      <c r="P300" s="4" t="s">
        <v>34</v>
      </c>
      <c r="Q300" s="4" t="s">
        <v>35</v>
      </c>
      <c r="R300" s="3">
        <v>970</v>
      </c>
      <c r="S300" s="3">
        <v>-17.028500000000001</v>
      </c>
      <c r="T300" s="4" t="s">
        <v>751</v>
      </c>
      <c r="U300" s="2" t="s">
        <v>37</v>
      </c>
      <c r="V300" s="2" t="s">
        <v>37</v>
      </c>
      <c r="W300" s="2" t="s">
        <v>37</v>
      </c>
      <c r="X300" s="2" t="s">
        <v>38</v>
      </c>
      <c r="Y300" s="2" t="s">
        <v>38</v>
      </c>
      <c r="Z300" s="2" t="s">
        <v>37</v>
      </c>
      <c r="AA300" s="6">
        <v>3.6143086219999998</v>
      </c>
      <c r="AB300" s="6">
        <v>2.986771734</v>
      </c>
      <c r="AC300" s="6">
        <v>3.5395051610000001</v>
      </c>
      <c r="AD300" cm="1">
        <f t="array" ref="AD300">IF(SUMPRODUCT(--($AM$2:$AM$112=TRIM(LEFT($B300,IFERROR(FIND(" ",$B300)-1,LEN($B300))))))&gt;0,1,0)</f>
        <v>0</v>
      </c>
      <c r="AE300" cm="1">
        <f t="array" ref="AE300">IF(SUMPRODUCT(--($AO$2:$AO$145=TRIM(LEFT($B300,IFERROR(FIND(" ",$B300)-1,LEN($B300))))))&gt;0,1,0)</f>
        <v>1</v>
      </c>
      <c r="AF300" cm="1">
        <f t="array" ref="AF300">IF(SUMPRODUCT(--($AQ$2:$AQ$71=TRIM(LEFT($B300,IFERROR(FIND(" ",$B300)-1,LEN($B300))))))&gt;0,1,0)</f>
        <v>0</v>
      </c>
    </row>
    <row r="301" spans="1:32" ht="60.75" thickBot="1" x14ac:dyDescent="0.3">
      <c r="A301" s="13">
        <v>158</v>
      </c>
      <c r="B301" s="4" t="s">
        <v>752</v>
      </c>
      <c r="C301" s="4" t="s">
        <v>753</v>
      </c>
      <c r="D301" s="7">
        <v>45145</v>
      </c>
      <c r="E301" s="3">
        <v>2689.37</v>
      </c>
      <c r="F301" s="4" t="s">
        <v>30</v>
      </c>
      <c r="G301" s="4"/>
      <c r="H301" s="4" t="s">
        <v>70</v>
      </c>
      <c r="I301" s="4" t="s">
        <v>94</v>
      </c>
      <c r="J301" s="4" t="s">
        <v>95</v>
      </c>
      <c r="K301" s="3">
        <v>145</v>
      </c>
      <c r="L301" s="3">
        <v>71.3</v>
      </c>
      <c r="M301" s="3">
        <v>25.02</v>
      </c>
      <c r="N301" s="3">
        <v>2328.21</v>
      </c>
      <c r="O301" s="4" t="s">
        <v>34</v>
      </c>
      <c r="P301" s="4" t="s">
        <v>34</v>
      </c>
      <c r="Q301" s="4" t="s">
        <v>35</v>
      </c>
      <c r="R301" s="3">
        <v>1020.42</v>
      </c>
      <c r="S301" s="3">
        <v>7.8949800000000003</v>
      </c>
      <c r="T301" s="4" t="s">
        <v>43</v>
      </c>
      <c r="U301" s="2" t="s">
        <v>37</v>
      </c>
      <c r="V301" s="2" t="s">
        <v>37</v>
      </c>
      <c r="W301" s="2" t="s">
        <v>37</v>
      </c>
      <c r="X301" s="2" t="s">
        <v>37</v>
      </c>
      <c r="Y301" s="2" t="s">
        <v>37</v>
      </c>
      <c r="Z301" s="2" t="s">
        <v>37</v>
      </c>
      <c r="AA301" s="6">
        <v>3.4296505559999999</v>
      </c>
      <c r="AB301" s="6">
        <v>3.0087789620000001</v>
      </c>
      <c r="AC301" s="6">
        <v>3.3670221499999999</v>
      </c>
      <c r="AD301" cm="1">
        <f t="array" ref="AD301">IF(SUMPRODUCT(--($AM$2:$AM$112=TRIM(LEFT($B301,IFERROR(FIND(" ",$B301)-1,LEN($B301))))))&gt;0,1,0)</f>
        <v>0</v>
      </c>
      <c r="AE301" cm="1">
        <f t="array" ref="AE301">IF(SUMPRODUCT(--($AO$2:$AO$145=TRIM(LEFT($B301,IFERROR(FIND(" ",$B301)-1,LEN($B301))))))&gt;0,1,0)</f>
        <v>0</v>
      </c>
      <c r="AF301" cm="1">
        <f t="array" ref="AF301">IF(SUMPRODUCT(--($AQ$2:$AQ$71=TRIM(LEFT($B301,IFERROR(FIND(" ",$B301)-1,LEN($B301))))))&gt;0,1,0)</f>
        <v>0</v>
      </c>
    </row>
    <row r="302" spans="1:32" ht="45.75" thickBot="1" x14ac:dyDescent="0.3">
      <c r="A302" s="13">
        <v>45</v>
      </c>
      <c r="B302" s="4" t="s">
        <v>754</v>
      </c>
      <c r="C302" s="4" t="s">
        <v>504</v>
      </c>
      <c r="D302" s="7">
        <v>45299</v>
      </c>
      <c r="E302" s="3">
        <v>1544.13</v>
      </c>
      <c r="F302" s="4" t="s">
        <v>30</v>
      </c>
      <c r="G302" s="4"/>
      <c r="H302" s="4" t="s">
        <v>41</v>
      </c>
      <c r="I302" s="4" t="s">
        <v>41</v>
      </c>
      <c r="J302" s="4" t="s">
        <v>42</v>
      </c>
      <c r="K302" s="4"/>
      <c r="L302" s="4"/>
      <c r="M302" s="3">
        <v>102.42</v>
      </c>
      <c r="N302" s="3">
        <v>1768.21</v>
      </c>
      <c r="O302" s="4" t="s">
        <v>34</v>
      </c>
      <c r="P302" s="4" t="s">
        <v>34</v>
      </c>
      <c r="Q302" s="4" t="s">
        <v>35</v>
      </c>
      <c r="R302" s="3">
        <v>7.4020000000000001</v>
      </c>
      <c r="S302" s="2"/>
      <c r="T302" s="4" t="s">
        <v>43</v>
      </c>
      <c r="U302" s="2" t="s">
        <v>37</v>
      </c>
      <c r="V302" s="2" t="s">
        <v>37</v>
      </c>
      <c r="W302" s="2" t="s">
        <v>37</v>
      </c>
      <c r="X302" s="2" t="s">
        <v>37</v>
      </c>
      <c r="Y302" s="2" t="s">
        <v>37</v>
      </c>
      <c r="Z302" s="2" t="s">
        <v>37</v>
      </c>
      <c r="AA302" s="6">
        <v>3.1886838609999999</v>
      </c>
      <c r="AB302" s="6">
        <v>0.86934908079999995</v>
      </c>
      <c r="AC302" s="6">
        <v>3.2475338420000002</v>
      </c>
      <c r="AD302" cm="1">
        <f t="array" ref="AD302">IF(SUMPRODUCT(--($AM$2:$AM$112=TRIM(LEFT($B302,IFERROR(FIND(" ",$B302)-1,LEN($B302))))))&gt;0,1,0)</f>
        <v>0</v>
      </c>
      <c r="AE302" cm="1">
        <f t="array" ref="AE302">IF(SUMPRODUCT(--($AO$2:$AO$145=TRIM(LEFT($B302,IFERROR(FIND(" ",$B302)-1,LEN($B302))))))&gt;0,1,0)</f>
        <v>0</v>
      </c>
      <c r="AF302" cm="1">
        <f t="array" ref="AF302">IF(SUMPRODUCT(--($AQ$2:$AQ$71=TRIM(LEFT($B302,IFERROR(FIND(" ",$B302)-1,LEN($B302))))))&gt;0,1,0)</f>
        <v>0</v>
      </c>
    </row>
    <row r="303" spans="1:32" ht="45.75" thickBot="1" x14ac:dyDescent="0.3">
      <c r="A303" s="13">
        <v>261</v>
      </c>
      <c r="B303" s="4" t="s">
        <v>755</v>
      </c>
      <c r="C303" s="4" t="s">
        <v>756</v>
      </c>
      <c r="D303" s="7">
        <v>44991</v>
      </c>
      <c r="E303" s="3">
        <v>6763</v>
      </c>
      <c r="F303" s="4" t="s">
        <v>69</v>
      </c>
      <c r="G303" s="4"/>
      <c r="H303" s="4" t="s">
        <v>279</v>
      </c>
      <c r="I303" s="4" t="s">
        <v>279</v>
      </c>
      <c r="J303" s="4" t="s">
        <v>280</v>
      </c>
      <c r="K303" s="4"/>
      <c r="L303" s="4"/>
      <c r="M303" s="4"/>
      <c r="N303" s="3">
        <v>6333</v>
      </c>
      <c r="O303" s="4" t="s">
        <v>34</v>
      </c>
      <c r="P303" s="4" t="s">
        <v>34</v>
      </c>
      <c r="Q303" s="4" t="s">
        <v>35</v>
      </c>
      <c r="R303" s="2"/>
      <c r="S303" s="2"/>
      <c r="T303" s="4" t="s">
        <v>43</v>
      </c>
      <c r="U303" s="2" t="s">
        <v>37</v>
      </c>
      <c r="V303" s="2" t="s">
        <v>37</v>
      </c>
      <c r="W303" s="2" t="s">
        <v>37</v>
      </c>
      <c r="X303" s="2" t="s">
        <v>37</v>
      </c>
      <c r="Y303" s="2" t="s">
        <v>37</v>
      </c>
      <c r="Z303" s="2" t="s">
        <v>37</v>
      </c>
      <c r="AA303" s="6">
        <v>3.830139387</v>
      </c>
      <c r="AB303" s="2"/>
      <c r="AC303" s="6">
        <v>3.801609488</v>
      </c>
      <c r="AD303" cm="1">
        <f t="array" ref="AD303">IF(SUMPRODUCT(--($AM$2:$AM$112=TRIM(LEFT($B303,IFERROR(FIND(" ",$B303)-1,LEN($B303))))))&gt;0,1,0)</f>
        <v>0</v>
      </c>
      <c r="AE303" cm="1">
        <f t="array" ref="AE303">IF(SUMPRODUCT(--($AO$2:$AO$145=TRIM(LEFT($B303,IFERROR(FIND(" ",$B303)-1,LEN($B303))))))&gt;0,1,0)</f>
        <v>0</v>
      </c>
      <c r="AF303" cm="1">
        <f t="array" ref="AF303">IF(SUMPRODUCT(--($AQ$2:$AQ$71=TRIM(LEFT($B303,IFERROR(FIND(" ",$B303)-1,LEN($B303))))))&gt;0,1,0)</f>
        <v>0</v>
      </c>
    </row>
    <row r="304" spans="1:32" ht="45.75" thickBot="1" x14ac:dyDescent="0.3">
      <c r="A304" s="13">
        <v>90</v>
      </c>
      <c r="B304" s="4" t="s">
        <v>757</v>
      </c>
      <c r="C304" s="4" t="s">
        <v>758</v>
      </c>
      <c r="D304" s="7">
        <v>45229</v>
      </c>
      <c r="E304" s="3">
        <v>4631.5600000000004</v>
      </c>
      <c r="F304" s="4" t="s">
        <v>46</v>
      </c>
      <c r="G304" s="3">
        <v>14.48</v>
      </c>
      <c r="H304" s="4" t="s">
        <v>51</v>
      </c>
      <c r="I304" s="4" t="s">
        <v>51</v>
      </c>
      <c r="J304" s="4" t="s">
        <v>79</v>
      </c>
      <c r="K304" s="4"/>
      <c r="L304" s="4"/>
      <c r="M304" s="3">
        <v>0.94</v>
      </c>
      <c r="N304" s="3">
        <v>2764.92</v>
      </c>
      <c r="O304" s="4" t="s">
        <v>34</v>
      </c>
      <c r="P304" s="4" t="s">
        <v>34</v>
      </c>
      <c r="Q304" s="4" t="s">
        <v>35</v>
      </c>
      <c r="R304" s="3">
        <v>543.46299999999997</v>
      </c>
      <c r="S304" s="3">
        <v>22.820499999999999</v>
      </c>
      <c r="T304" s="4" t="s">
        <v>43</v>
      </c>
      <c r="U304" s="2" t="s">
        <v>37</v>
      </c>
      <c r="V304" s="2" t="s">
        <v>37</v>
      </c>
      <c r="W304" s="2" t="s">
        <v>37</v>
      </c>
      <c r="X304" s="2" t="s">
        <v>37</v>
      </c>
      <c r="Y304" s="2" t="s">
        <v>37</v>
      </c>
      <c r="Z304" s="2" t="s">
        <v>37</v>
      </c>
      <c r="AA304" s="6">
        <v>3.6657272949999999</v>
      </c>
      <c r="AB304" s="6">
        <v>2.7351699819999999</v>
      </c>
      <c r="AC304" s="6">
        <v>3.4416825700000002</v>
      </c>
      <c r="AD304" cm="1">
        <f t="array" ref="AD304">IF(SUMPRODUCT(--($AM$2:$AM$112=TRIM(LEFT($B304,IFERROR(FIND(" ",$B304)-1,LEN($B304))))))&gt;0,1,0)</f>
        <v>0</v>
      </c>
      <c r="AE304" cm="1">
        <f t="array" ref="AE304">IF(SUMPRODUCT(--($AO$2:$AO$145=TRIM(LEFT($B304,IFERROR(FIND(" ",$B304)-1,LEN($B304))))))&gt;0,1,0)</f>
        <v>0</v>
      </c>
      <c r="AF304" cm="1">
        <f t="array" ref="AF304">IF(SUMPRODUCT(--($AQ$2:$AQ$71=TRIM(LEFT($B304,IFERROR(FIND(" ",$B304)-1,LEN($B304))))))&gt;0,1,0)</f>
        <v>0</v>
      </c>
    </row>
    <row r="305" spans="1:32" ht="45.75" thickBot="1" x14ac:dyDescent="0.3">
      <c r="A305" s="13">
        <v>340</v>
      </c>
      <c r="B305" s="4" t="s">
        <v>759</v>
      </c>
      <c r="C305" s="4" t="s">
        <v>760</v>
      </c>
      <c r="D305" s="7">
        <v>44878</v>
      </c>
      <c r="E305" s="3">
        <v>646.20000000000005</v>
      </c>
      <c r="F305" s="4" t="s">
        <v>46</v>
      </c>
      <c r="G305" s="4"/>
      <c r="H305" s="4" t="s">
        <v>65</v>
      </c>
      <c r="I305" s="4" t="s">
        <v>66</v>
      </c>
      <c r="J305" s="4" t="s">
        <v>66</v>
      </c>
      <c r="K305" s="4"/>
      <c r="L305" s="4"/>
      <c r="M305" s="3">
        <v>4.3499999999999996</v>
      </c>
      <c r="N305" s="3">
        <v>646.20000000000005</v>
      </c>
      <c r="O305" s="4" t="s">
        <v>34</v>
      </c>
      <c r="P305" s="4" t="s">
        <v>34</v>
      </c>
      <c r="Q305" s="4" t="s">
        <v>35</v>
      </c>
      <c r="R305" s="3">
        <v>262.613</v>
      </c>
      <c r="S305" s="3">
        <v>41.629100000000001</v>
      </c>
      <c r="T305" s="4" t="s">
        <v>43</v>
      </c>
      <c r="U305" s="2" t="s">
        <v>37</v>
      </c>
      <c r="V305" s="2" t="s">
        <v>37</v>
      </c>
      <c r="W305" s="2" t="s">
        <v>37</v>
      </c>
      <c r="X305" s="2" t="s">
        <v>37</v>
      </c>
      <c r="Y305" s="2" t="s">
        <v>37</v>
      </c>
      <c r="Z305" s="2" t="s">
        <v>37</v>
      </c>
      <c r="AA305" s="6">
        <v>2.810366954</v>
      </c>
      <c r="AB305" s="6">
        <v>2.4193162209999999</v>
      </c>
      <c r="AC305" s="6">
        <v>2.810366954</v>
      </c>
      <c r="AD305" cm="1">
        <f t="array" ref="AD305">IF(SUMPRODUCT(--($AM$2:$AM$112=TRIM(LEFT($B305,IFERROR(FIND(" ",$B305)-1,LEN($B305))))))&gt;0,1,0)</f>
        <v>0</v>
      </c>
      <c r="AE305" cm="1">
        <f t="array" ref="AE305">IF(SUMPRODUCT(--($AO$2:$AO$145=TRIM(LEFT($B305,IFERROR(FIND(" ",$B305)-1,LEN($B305))))))&gt;0,1,0)</f>
        <v>0</v>
      </c>
      <c r="AF305" cm="1">
        <f t="array" ref="AF305">IF(SUMPRODUCT(--($AQ$2:$AQ$71=TRIM(LEFT($B305,IFERROR(FIND(" ",$B305)-1,LEN($B305))))))&gt;0,1,0)</f>
        <v>0</v>
      </c>
    </row>
    <row r="306" spans="1:32" ht="135.75" thickBot="1" x14ac:dyDescent="0.3">
      <c r="A306" s="13">
        <v>66</v>
      </c>
      <c r="B306" s="4" t="s">
        <v>761</v>
      </c>
      <c r="C306" s="4" t="s">
        <v>539</v>
      </c>
      <c r="D306" s="7">
        <v>45259</v>
      </c>
      <c r="E306" s="3">
        <v>1792.35</v>
      </c>
      <c r="F306" s="4" t="s">
        <v>30</v>
      </c>
      <c r="G306" s="4"/>
      <c r="H306" s="4" t="s">
        <v>184</v>
      </c>
      <c r="I306" s="4" t="s">
        <v>185</v>
      </c>
      <c r="J306" s="4" t="s">
        <v>762</v>
      </c>
      <c r="K306" s="4"/>
      <c r="L306" s="4"/>
      <c r="M306" s="3">
        <v>41.63</v>
      </c>
      <c r="N306" s="3">
        <v>1973.75</v>
      </c>
      <c r="O306" s="4" t="s">
        <v>34</v>
      </c>
      <c r="P306" s="4" t="s">
        <v>34</v>
      </c>
      <c r="Q306" s="4" t="s">
        <v>35</v>
      </c>
      <c r="R306" s="3">
        <v>174.01</v>
      </c>
      <c r="S306" s="3">
        <v>-0.77225699999999997</v>
      </c>
      <c r="T306" s="4" t="s">
        <v>318</v>
      </c>
      <c r="U306" s="2" t="s">
        <v>37</v>
      </c>
      <c r="V306" s="2" t="s">
        <v>37</v>
      </c>
      <c r="W306" s="2" t="s">
        <v>37</v>
      </c>
      <c r="X306" s="2" t="s">
        <v>38</v>
      </c>
      <c r="Y306" s="2" t="s">
        <v>38</v>
      </c>
      <c r="Z306" s="2" t="s">
        <v>37</v>
      </c>
      <c r="AA306" s="6">
        <v>3.2534228199999999</v>
      </c>
      <c r="AB306" s="6">
        <v>2.2405742069999999</v>
      </c>
      <c r="AC306" s="6">
        <v>3.2952921430000002</v>
      </c>
      <c r="AD306" cm="1">
        <f t="array" ref="AD306">IF(SUMPRODUCT(--($AM$2:$AM$112=TRIM(LEFT($B306,IFERROR(FIND(" ",$B306)-1,LEN($B306))))))&gt;0,1,0)</f>
        <v>0</v>
      </c>
      <c r="AE306" cm="1">
        <f t="array" ref="AE306">IF(SUMPRODUCT(--($AO$2:$AO$145=TRIM(LEFT($B306,IFERROR(FIND(" ",$B306)-1,LEN($B306))))))&gt;0,1,0)</f>
        <v>0</v>
      </c>
      <c r="AF306" cm="1">
        <f t="array" ref="AF306">IF(SUMPRODUCT(--($AQ$2:$AQ$71=TRIM(LEFT($B306,IFERROR(FIND(" ",$B306)-1,LEN($B306))))))&gt;0,1,0)</f>
        <v>0</v>
      </c>
    </row>
    <row r="307" spans="1:32" ht="75.75" thickBot="1" x14ac:dyDescent="0.3">
      <c r="A307" s="13">
        <v>46</v>
      </c>
      <c r="B307" s="4" t="s">
        <v>763</v>
      </c>
      <c r="C307" s="4" t="s">
        <v>749</v>
      </c>
      <c r="D307" s="7">
        <v>45286</v>
      </c>
      <c r="E307" s="3">
        <v>3214.52</v>
      </c>
      <c r="F307" s="4" t="s">
        <v>30</v>
      </c>
      <c r="G307" s="4"/>
      <c r="H307" s="4" t="s">
        <v>41</v>
      </c>
      <c r="I307" s="4" t="s">
        <v>41</v>
      </c>
      <c r="J307" s="4" t="s">
        <v>42</v>
      </c>
      <c r="K307" s="4"/>
      <c r="L307" s="4"/>
      <c r="M307" s="3">
        <v>144.03</v>
      </c>
      <c r="N307" s="3">
        <v>3744.97</v>
      </c>
      <c r="O307" s="4" t="s">
        <v>34</v>
      </c>
      <c r="P307" s="4" t="s">
        <v>34</v>
      </c>
      <c r="Q307" s="4" t="s">
        <v>35</v>
      </c>
      <c r="R307" s="2"/>
      <c r="S307" s="2"/>
      <c r="T307" s="4" t="s">
        <v>338</v>
      </c>
      <c r="U307" s="2" t="s">
        <v>37</v>
      </c>
      <c r="V307" s="2" t="s">
        <v>37</v>
      </c>
      <c r="W307" s="2" t="s">
        <v>37</v>
      </c>
      <c r="X307" s="2" t="s">
        <v>37</v>
      </c>
      <c r="Y307" s="2" t="s">
        <v>37</v>
      </c>
      <c r="Z307" s="2" t="s">
        <v>38</v>
      </c>
      <c r="AA307" s="6">
        <v>3.5071161320000002</v>
      </c>
      <c r="AB307" s="2"/>
      <c r="AC307" s="6">
        <v>3.5734483429999999</v>
      </c>
      <c r="AD307" cm="1">
        <f t="array" ref="AD307">IF(SUMPRODUCT(--($AM$2:$AM$112=TRIM(LEFT($B307,IFERROR(FIND(" ",$B307)-1,LEN($B307))))))&gt;0,1,0)</f>
        <v>0</v>
      </c>
      <c r="AE307" cm="1">
        <f t="array" ref="AE307">IF(SUMPRODUCT(--($AO$2:$AO$145=TRIM(LEFT($B307,IFERROR(FIND(" ",$B307)-1,LEN($B307))))))&gt;0,1,0)</f>
        <v>0</v>
      </c>
      <c r="AF307" cm="1">
        <f t="array" ref="AF307">IF(SUMPRODUCT(--($AQ$2:$AQ$71=TRIM(LEFT($B307,IFERROR(FIND(" ",$B307)-1,LEN($B307))))))&gt;0,1,0)</f>
        <v>0</v>
      </c>
    </row>
    <row r="308" spans="1:32" ht="75.75" thickBot="1" x14ac:dyDescent="0.3">
      <c r="A308" s="13">
        <v>52</v>
      </c>
      <c r="B308" s="4" t="s">
        <v>764</v>
      </c>
      <c r="C308" s="4" t="s">
        <v>703</v>
      </c>
      <c r="D308" s="7">
        <v>45272</v>
      </c>
      <c r="E308" s="3">
        <v>541.84</v>
      </c>
      <c r="F308" s="4" t="s">
        <v>30</v>
      </c>
      <c r="G308" s="4"/>
      <c r="H308" s="4" t="s">
        <v>41</v>
      </c>
      <c r="I308" s="4" t="s">
        <v>41</v>
      </c>
      <c r="J308" s="4" t="s">
        <v>42</v>
      </c>
      <c r="K308" s="4"/>
      <c r="L308" s="4"/>
      <c r="M308" s="3">
        <v>48.51</v>
      </c>
      <c r="N308" s="3">
        <v>751.36</v>
      </c>
      <c r="O308" s="4" t="s">
        <v>34</v>
      </c>
      <c r="P308" s="4" t="s">
        <v>166</v>
      </c>
      <c r="Q308" s="4" t="s">
        <v>35</v>
      </c>
      <c r="R308" s="3">
        <v>0.58199999999999996</v>
      </c>
      <c r="S308" s="3">
        <v>-16333</v>
      </c>
      <c r="T308" s="4" t="s">
        <v>338</v>
      </c>
      <c r="U308" s="2" t="s">
        <v>37</v>
      </c>
      <c r="V308" s="2" t="s">
        <v>37</v>
      </c>
      <c r="W308" s="2" t="s">
        <v>37</v>
      </c>
      <c r="X308" s="2" t="s">
        <v>37</v>
      </c>
      <c r="Y308" s="2" t="s">
        <v>37</v>
      </c>
      <c r="Z308" s="2" t="s">
        <v>38</v>
      </c>
      <c r="AA308" s="6">
        <v>2.733871063</v>
      </c>
      <c r="AB308" s="6">
        <v>-0.23507701540000001</v>
      </c>
      <c r="AC308" s="6">
        <v>2.8758480710000001</v>
      </c>
      <c r="AD308" cm="1">
        <f t="array" ref="AD308">IF(SUMPRODUCT(--($AM$2:$AM$112=TRIM(LEFT($B308,IFERROR(FIND(" ",$B308)-1,LEN($B308))))))&gt;0,1,0)</f>
        <v>0</v>
      </c>
      <c r="AE308" cm="1">
        <f t="array" ref="AE308">IF(SUMPRODUCT(--($AO$2:$AO$145=TRIM(LEFT($B308,IFERROR(FIND(" ",$B308)-1,LEN($B308))))))&gt;0,1,0)</f>
        <v>0</v>
      </c>
      <c r="AF308" cm="1">
        <f t="array" ref="AF308">IF(SUMPRODUCT(--($AQ$2:$AQ$71=TRIM(LEFT($B308,IFERROR(FIND(" ",$B308)-1,LEN($B308))))))&gt;0,1,0)</f>
        <v>0</v>
      </c>
    </row>
    <row r="309" spans="1:32" ht="75.75" thickBot="1" x14ac:dyDescent="0.3">
      <c r="A309" s="13">
        <v>1</v>
      </c>
      <c r="B309" s="4" t="s">
        <v>765</v>
      </c>
      <c r="C309" s="4" t="s">
        <v>766</v>
      </c>
      <c r="D309" s="7">
        <v>45341</v>
      </c>
      <c r="E309" s="3">
        <v>617.82000000000005</v>
      </c>
      <c r="F309" s="4" t="s">
        <v>30</v>
      </c>
      <c r="G309" s="3">
        <v>4.58</v>
      </c>
      <c r="H309" s="4" t="s">
        <v>75</v>
      </c>
      <c r="I309" s="4" t="s">
        <v>83</v>
      </c>
      <c r="J309" s="4" t="s">
        <v>84</v>
      </c>
      <c r="K309" s="4"/>
      <c r="L309" s="4"/>
      <c r="M309" s="4"/>
      <c r="N309" s="3">
        <v>80</v>
      </c>
      <c r="O309" s="4" t="s">
        <v>34</v>
      </c>
      <c r="P309" s="4" t="s">
        <v>767</v>
      </c>
      <c r="Q309" s="4" t="s">
        <v>35</v>
      </c>
      <c r="R309" s="3">
        <v>1208.83</v>
      </c>
      <c r="S309" s="3">
        <v>-6.3687399999999998</v>
      </c>
      <c r="T309" s="4" t="s">
        <v>768</v>
      </c>
      <c r="U309" s="2" t="s">
        <v>37</v>
      </c>
      <c r="V309" s="2" t="s">
        <v>37</v>
      </c>
      <c r="W309" s="2" t="s">
        <v>38</v>
      </c>
      <c r="X309" s="2" t="s">
        <v>37</v>
      </c>
      <c r="Y309" s="2" t="s">
        <v>37</v>
      </c>
      <c r="Z309" s="2" t="s">
        <v>37</v>
      </c>
      <c r="AA309" s="6">
        <v>2.7908619629999998</v>
      </c>
      <c r="AB309" s="6">
        <v>3.0823652300000002</v>
      </c>
      <c r="AC309" s="6">
        <v>1.903089987</v>
      </c>
      <c r="AD309" cm="1">
        <f t="array" ref="AD309">IF(SUMPRODUCT(--($AM$2:$AM$112=TRIM(LEFT($B309,IFERROR(FIND(" ",$B309)-1,LEN($B309))))))&gt;0,1,0)</f>
        <v>0</v>
      </c>
      <c r="AE309" cm="1">
        <f t="array" ref="AE309">IF(SUMPRODUCT(--($AO$2:$AO$145=TRIM(LEFT($B309,IFERROR(FIND(" ",$B309)-1,LEN($B309))))))&gt;0,1,0)</f>
        <v>0</v>
      </c>
      <c r="AF309" cm="1">
        <f t="array" ref="AF309">IF(SUMPRODUCT(--($AQ$2:$AQ$71=TRIM(LEFT($B309,IFERROR(FIND(" ",$B309)-1,LEN($B309))))))&gt;0,1,0)</f>
        <v>0</v>
      </c>
    </row>
    <row r="310" spans="1:32" ht="45.75" thickBot="1" x14ac:dyDescent="0.3">
      <c r="A310" s="13">
        <v>54</v>
      </c>
      <c r="B310" s="4" t="s">
        <v>769</v>
      </c>
      <c r="C310" s="4" t="s">
        <v>669</v>
      </c>
      <c r="D310" s="7">
        <v>45260</v>
      </c>
      <c r="E310" s="3">
        <v>9018.17</v>
      </c>
      <c r="F310" s="4" t="s">
        <v>30</v>
      </c>
      <c r="G310" s="4"/>
      <c r="H310" s="4" t="s">
        <v>41</v>
      </c>
      <c r="I310" s="4" t="s">
        <v>41</v>
      </c>
      <c r="J310" s="4" t="s">
        <v>42</v>
      </c>
      <c r="K310" s="4"/>
      <c r="L310" s="4"/>
      <c r="M310" s="3">
        <v>100.15</v>
      </c>
      <c r="N310" s="3">
        <v>9018.17</v>
      </c>
      <c r="O310" s="4" t="s">
        <v>34</v>
      </c>
      <c r="P310" s="4" t="s">
        <v>34</v>
      </c>
      <c r="Q310" s="4" t="s">
        <v>35</v>
      </c>
      <c r="R310" s="3">
        <v>108.782</v>
      </c>
      <c r="S310" s="3">
        <v>-27.8794</v>
      </c>
      <c r="T310" s="4" t="s">
        <v>43</v>
      </c>
      <c r="U310" s="2" t="s">
        <v>37</v>
      </c>
      <c r="V310" s="2" t="s">
        <v>37</v>
      </c>
      <c r="W310" s="2" t="s">
        <v>37</v>
      </c>
      <c r="X310" s="2" t="s">
        <v>37</v>
      </c>
      <c r="Y310" s="2" t="s">
        <v>37</v>
      </c>
      <c r="Z310" s="2" t="s">
        <v>37</v>
      </c>
      <c r="AA310" s="6">
        <v>3.9551184180000001</v>
      </c>
      <c r="AB310" s="6">
        <v>2.0365570389999998</v>
      </c>
      <c r="AC310" s="6">
        <v>3.9551184180000001</v>
      </c>
      <c r="AD310" cm="1">
        <f t="array" ref="AD310">IF(SUMPRODUCT(--($AM$2:$AM$112=TRIM(LEFT($B310,IFERROR(FIND(" ",$B310)-1,LEN($B310))))))&gt;0,1,0)</f>
        <v>0</v>
      </c>
      <c r="AE310" cm="1">
        <f t="array" ref="AE310">IF(SUMPRODUCT(--($AO$2:$AO$145=TRIM(LEFT($B310,IFERROR(FIND(" ",$B310)-1,LEN($B310))))))&gt;0,1,0)</f>
        <v>0</v>
      </c>
      <c r="AF310" cm="1">
        <f t="array" ref="AF310">IF(SUMPRODUCT(--($AQ$2:$AQ$71=TRIM(LEFT($B310,IFERROR(FIND(" ",$B310)-1,LEN($B310))))))&gt;0,1,0)</f>
        <v>0</v>
      </c>
    </row>
    <row r="311" spans="1:32" ht="45.75" thickBot="1" x14ac:dyDescent="0.3">
      <c r="A311" s="13">
        <v>666</v>
      </c>
      <c r="B311" s="4" t="s">
        <v>770</v>
      </c>
      <c r="C311" s="4" t="s">
        <v>771</v>
      </c>
      <c r="D311" s="7">
        <v>44403</v>
      </c>
      <c r="E311" s="3">
        <v>1899.94</v>
      </c>
      <c r="F311" s="4" t="s">
        <v>46</v>
      </c>
      <c r="G311" s="4"/>
      <c r="H311" s="4" t="s">
        <v>51</v>
      </c>
      <c r="I311" s="4" t="s">
        <v>51</v>
      </c>
      <c r="J311" s="4" t="s">
        <v>79</v>
      </c>
      <c r="K311" s="3">
        <v>74</v>
      </c>
      <c r="L311" s="3">
        <v>74</v>
      </c>
      <c r="M311" s="4"/>
      <c r="N311" s="3">
        <v>1899.94</v>
      </c>
      <c r="O311" s="4" t="s">
        <v>34</v>
      </c>
      <c r="P311" s="4" t="s">
        <v>34</v>
      </c>
      <c r="Q311" s="4" t="s">
        <v>35</v>
      </c>
      <c r="R311" s="2"/>
      <c r="S311" s="2"/>
      <c r="T311" s="4" t="s">
        <v>43</v>
      </c>
      <c r="U311" s="2" t="s">
        <v>37</v>
      </c>
      <c r="V311" s="2" t="s">
        <v>37</v>
      </c>
      <c r="W311" s="2" t="s">
        <v>37</v>
      </c>
      <c r="X311" s="2" t="s">
        <v>37</v>
      </c>
      <c r="Y311" s="2" t="s">
        <v>37</v>
      </c>
      <c r="Z311" s="2" t="s">
        <v>37</v>
      </c>
      <c r="AA311" s="6">
        <v>3.2787398859999999</v>
      </c>
      <c r="AB311" s="2"/>
      <c r="AC311" s="6">
        <v>3.2787398859999999</v>
      </c>
      <c r="AD311" cm="1">
        <f t="array" ref="AD311">IF(SUMPRODUCT(--($AM$2:$AM$112=TRIM(LEFT($B311,IFERROR(FIND(" ",$B311)-1,LEN($B311))))))&gt;0,1,0)</f>
        <v>0</v>
      </c>
      <c r="AE311" cm="1">
        <f t="array" ref="AE311">IF(SUMPRODUCT(--($AO$2:$AO$145=TRIM(LEFT($B311,IFERROR(FIND(" ",$B311)-1,LEN($B311))))))&gt;0,1,0)</f>
        <v>0</v>
      </c>
      <c r="AF311" cm="1">
        <f t="array" ref="AF311">IF(SUMPRODUCT(--($AQ$2:$AQ$71=TRIM(LEFT($B311,IFERROR(FIND(" ",$B311)-1,LEN($B311))))))&gt;0,1,0)</f>
        <v>0</v>
      </c>
    </row>
    <row r="312" spans="1:32" ht="135.75" thickBot="1" x14ac:dyDescent="0.3">
      <c r="A312" s="13">
        <v>70</v>
      </c>
      <c r="B312" s="4" t="s">
        <v>772</v>
      </c>
      <c r="C312" s="4" t="s">
        <v>695</v>
      </c>
      <c r="D312" s="7">
        <v>45222</v>
      </c>
      <c r="E312" s="3">
        <v>3569.3</v>
      </c>
      <c r="F312" s="4" t="s">
        <v>30</v>
      </c>
      <c r="G312" s="3">
        <v>89.31</v>
      </c>
      <c r="H312" s="4" t="s">
        <v>31</v>
      </c>
      <c r="I312" s="4" t="s">
        <v>32</v>
      </c>
      <c r="J312" s="4" t="s">
        <v>33</v>
      </c>
      <c r="K312" s="4"/>
      <c r="L312" s="3">
        <v>144.37</v>
      </c>
      <c r="M312" s="3">
        <v>17.32</v>
      </c>
      <c r="N312" s="3">
        <v>3849.29</v>
      </c>
      <c r="O312" s="4" t="s">
        <v>34</v>
      </c>
      <c r="P312" s="4" t="s">
        <v>34</v>
      </c>
      <c r="Q312" s="4" t="s">
        <v>35</v>
      </c>
      <c r="R312" s="3">
        <v>303.92</v>
      </c>
      <c r="S312" s="3">
        <v>5.4152399999999998</v>
      </c>
      <c r="T312" s="4" t="s">
        <v>299</v>
      </c>
      <c r="U312" s="2" t="s">
        <v>37</v>
      </c>
      <c r="V312" s="2" t="s">
        <v>37</v>
      </c>
      <c r="W312" s="2" t="s">
        <v>37</v>
      </c>
      <c r="X312" s="2" t="s">
        <v>38</v>
      </c>
      <c r="Y312" s="2" t="s">
        <v>38</v>
      </c>
      <c r="Z312" s="2" t="s">
        <v>37</v>
      </c>
      <c r="AA312" s="6">
        <v>3.5525830520000001</v>
      </c>
      <c r="AB312" s="6">
        <v>2.4827592809999999</v>
      </c>
      <c r="AC312" s="6">
        <v>3.585380631</v>
      </c>
      <c r="AD312" cm="1">
        <f t="array" ref="AD312">IF(SUMPRODUCT(--($AM$2:$AM$112=TRIM(LEFT($B312,IFERROR(FIND(" ",$B312)-1,LEN($B312))))))&gt;0,1,0)</f>
        <v>0</v>
      </c>
      <c r="AE312" cm="1">
        <f t="array" ref="AE312">IF(SUMPRODUCT(--($AO$2:$AO$145=TRIM(LEFT($B312,IFERROR(FIND(" ",$B312)-1,LEN($B312))))))&gt;0,1,0)</f>
        <v>0</v>
      </c>
      <c r="AF312" cm="1">
        <f t="array" ref="AF312">IF(SUMPRODUCT(--($AQ$2:$AQ$71=TRIM(LEFT($B312,IFERROR(FIND(" ",$B312)-1,LEN($B312))))))&gt;0,1,0)</f>
        <v>0</v>
      </c>
    </row>
    <row r="313" spans="1:32" ht="45.75" thickBot="1" x14ac:dyDescent="0.3">
      <c r="A313" s="13">
        <v>78</v>
      </c>
      <c r="B313" s="4" t="s">
        <v>773</v>
      </c>
      <c r="C313" s="4" t="s">
        <v>749</v>
      </c>
      <c r="D313" s="7">
        <v>45208</v>
      </c>
      <c r="E313" s="3">
        <v>3207.8</v>
      </c>
      <c r="F313" s="4" t="s">
        <v>30</v>
      </c>
      <c r="G313" s="4"/>
      <c r="H313" s="4" t="s">
        <v>41</v>
      </c>
      <c r="I313" s="4" t="s">
        <v>41</v>
      </c>
      <c r="J313" s="4" t="s">
        <v>42</v>
      </c>
      <c r="K313" s="4"/>
      <c r="L313" s="4"/>
      <c r="M313" s="3">
        <v>43.6</v>
      </c>
      <c r="N313" s="3">
        <v>3944.51</v>
      </c>
      <c r="O313" s="4" t="s">
        <v>34</v>
      </c>
      <c r="P313" s="4" t="s">
        <v>34</v>
      </c>
      <c r="Q313" s="4" t="s">
        <v>35</v>
      </c>
      <c r="R313" s="3">
        <v>12.436</v>
      </c>
      <c r="S313" s="3">
        <v>-2002.75</v>
      </c>
      <c r="T313" s="4" t="s">
        <v>43</v>
      </c>
      <c r="U313" s="2" t="s">
        <v>37</v>
      </c>
      <c r="V313" s="2" t="s">
        <v>37</v>
      </c>
      <c r="W313" s="2" t="s">
        <v>37</v>
      </c>
      <c r="X313" s="2" t="s">
        <v>37</v>
      </c>
      <c r="Y313" s="2" t="s">
        <v>37</v>
      </c>
      <c r="Z313" s="2" t="s">
        <v>37</v>
      </c>
      <c r="AA313" s="6">
        <v>3.5062072830000002</v>
      </c>
      <c r="AB313" s="6">
        <v>1.094680713</v>
      </c>
      <c r="AC313" s="6">
        <v>3.5959930610000002</v>
      </c>
      <c r="AD313" cm="1">
        <f t="array" ref="AD313">IF(SUMPRODUCT(--($AM$2:$AM$112=TRIM(LEFT($B313,IFERROR(FIND(" ",$B313)-1,LEN($B313))))))&gt;0,1,0)</f>
        <v>0</v>
      </c>
      <c r="AE313" cm="1">
        <f t="array" ref="AE313">IF(SUMPRODUCT(--($AO$2:$AO$145=TRIM(LEFT($B313,IFERROR(FIND(" ",$B313)-1,LEN($B313))))))&gt;0,1,0)</f>
        <v>0</v>
      </c>
      <c r="AF313" cm="1">
        <f t="array" ref="AF313">IF(SUMPRODUCT(--($AQ$2:$AQ$71=TRIM(LEFT($B313,IFERROR(FIND(" ",$B313)-1,LEN($B313))))))&gt;0,1,0)</f>
        <v>0</v>
      </c>
    </row>
    <row r="314" spans="1:32" ht="45.75" thickBot="1" x14ac:dyDescent="0.3">
      <c r="A314" s="13">
        <v>62</v>
      </c>
      <c r="B314" s="4" t="s">
        <v>774</v>
      </c>
      <c r="C314" s="4" t="s">
        <v>775</v>
      </c>
      <c r="D314" s="7">
        <v>45229</v>
      </c>
      <c r="E314" s="3">
        <v>9013.75</v>
      </c>
      <c r="F314" s="4" t="s">
        <v>46</v>
      </c>
      <c r="G314" s="3">
        <v>15.52</v>
      </c>
      <c r="H314" s="4" t="s">
        <v>51</v>
      </c>
      <c r="I314" s="4" t="s">
        <v>51</v>
      </c>
      <c r="J314" s="4" t="s">
        <v>79</v>
      </c>
      <c r="K314" s="3">
        <v>93.68</v>
      </c>
      <c r="L314" s="3">
        <v>173.97</v>
      </c>
      <c r="M314" s="3">
        <v>14.01</v>
      </c>
      <c r="N314" s="3">
        <v>5369.97</v>
      </c>
      <c r="O314" s="4" t="s">
        <v>34</v>
      </c>
      <c r="P314" s="4" t="s">
        <v>34</v>
      </c>
      <c r="Q314" s="4" t="s">
        <v>35</v>
      </c>
      <c r="R314" s="3">
        <v>709.62900000000002</v>
      </c>
      <c r="S314" s="3">
        <v>37.609699999999997</v>
      </c>
      <c r="T314" s="4" t="s">
        <v>43</v>
      </c>
      <c r="U314" s="2" t="s">
        <v>37</v>
      </c>
      <c r="V314" s="2" t="s">
        <v>37</v>
      </c>
      <c r="W314" s="2" t="s">
        <v>37</v>
      </c>
      <c r="X314" s="2" t="s">
        <v>37</v>
      </c>
      <c r="Y314" s="2" t="s">
        <v>37</v>
      </c>
      <c r="Z314" s="2" t="s">
        <v>37</v>
      </c>
      <c r="AA314" s="6">
        <v>3.954905509</v>
      </c>
      <c r="AB314" s="6">
        <v>2.8510313549999999</v>
      </c>
      <c r="AC314" s="6">
        <v>3.7299718589999999</v>
      </c>
      <c r="AD314" cm="1">
        <f t="array" ref="AD314">IF(SUMPRODUCT(--($AM$2:$AM$112=TRIM(LEFT($B314,IFERROR(FIND(" ",$B314)-1,LEN($B314))))))&gt;0,1,0)</f>
        <v>0</v>
      </c>
      <c r="AE314" cm="1">
        <f t="array" ref="AE314">IF(SUMPRODUCT(--($AO$2:$AO$145=TRIM(LEFT($B314,IFERROR(FIND(" ",$B314)-1,LEN($B314))))))&gt;0,1,0)</f>
        <v>0</v>
      </c>
      <c r="AF314" cm="1">
        <f t="array" ref="AF314">IF(SUMPRODUCT(--($AQ$2:$AQ$71=TRIM(LEFT($B314,IFERROR(FIND(" ",$B314)-1,LEN($B314))))))&gt;0,1,0)</f>
        <v>0</v>
      </c>
    </row>
    <row r="315" spans="1:32" ht="75.75" thickBot="1" x14ac:dyDescent="0.3">
      <c r="A315" s="13">
        <v>53</v>
      </c>
      <c r="B315" s="4" t="s">
        <v>776</v>
      </c>
      <c r="C315" s="4" t="s">
        <v>777</v>
      </c>
      <c r="D315" s="7">
        <v>45236</v>
      </c>
      <c r="E315" s="3">
        <v>1266.21</v>
      </c>
      <c r="F315" s="4" t="s">
        <v>30</v>
      </c>
      <c r="G315" s="4"/>
      <c r="H315" s="4" t="s">
        <v>75</v>
      </c>
      <c r="I315" s="4" t="s">
        <v>111</v>
      </c>
      <c r="J315" s="4" t="s">
        <v>133</v>
      </c>
      <c r="K315" s="4"/>
      <c r="L315" s="4"/>
      <c r="M315" s="3">
        <v>123.95</v>
      </c>
      <c r="N315" s="3">
        <v>1003.02</v>
      </c>
      <c r="O315" s="4" t="s">
        <v>34</v>
      </c>
      <c r="P315" s="4" t="s">
        <v>34</v>
      </c>
      <c r="Q315" s="4" t="s">
        <v>35</v>
      </c>
      <c r="R315" s="3">
        <v>919.42899999999997</v>
      </c>
      <c r="S315" s="3">
        <v>11.4925</v>
      </c>
      <c r="T315" s="4" t="s">
        <v>43</v>
      </c>
      <c r="U315" s="2" t="s">
        <v>37</v>
      </c>
      <c r="V315" s="2" t="s">
        <v>37</v>
      </c>
      <c r="W315" s="2" t="s">
        <v>37</v>
      </c>
      <c r="X315" s="2" t="s">
        <v>37</v>
      </c>
      <c r="Y315" s="2" t="s">
        <v>37</v>
      </c>
      <c r="Z315" s="2" t="s">
        <v>37</v>
      </c>
      <c r="AA315" s="6">
        <v>3.1025057390000002</v>
      </c>
      <c r="AB315" s="6">
        <v>2.963518198</v>
      </c>
      <c r="AC315" s="6">
        <v>3.0013095930000002</v>
      </c>
      <c r="AD315" cm="1">
        <f t="array" ref="AD315">IF(SUMPRODUCT(--($AM$2:$AM$112=TRIM(LEFT($B315,IFERROR(FIND(" ",$B315)-1,LEN($B315))))))&gt;0,1,0)</f>
        <v>0</v>
      </c>
      <c r="AE315" cm="1">
        <f t="array" ref="AE315">IF(SUMPRODUCT(--($AO$2:$AO$145=TRIM(LEFT($B315,IFERROR(FIND(" ",$B315)-1,LEN($B315))))))&gt;0,1,0)</f>
        <v>0</v>
      </c>
      <c r="AF315" cm="1">
        <f t="array" ref="AF315">IF(SUMPRODUCT(--($AQ$2:$AQ$71=TRIM(LEFT($B315,IFERROR(FIND(" ",$B315)-1,LEN($B315))))))&gt;0,1,0)</f>
        <v>0</v>
      </c>
    </row>
    <row r="316" spans="1:32" ht="165.75" thickBot="1" x14ac:dyDescent="0.3">
      <c r="A316" s="13">
        <v>61</v>
      </c>
      <c r="B316" s="4" t="s">
        <v>778</v>
      </c>
      <c r="C316" s="2"/>
      <c r="D316" s="7">
        <v>45215</v>
      </c>
      <c r="E316" s="3">
        <v>1006.47</v>
      </c>
      <c r="F316" s="4" t="s">
        <v>30</v>
      </c>
      <c r="G316" s="3">
        <v>7.39</v>
      </c>
      <c r="H316" s="4" t="s">
        <v>70</v>
      </c>
      <c r="I316" s="4" t="s">
        <v>94</v>
      </c>
      <c r="J316" s="4" t="s">
        <v>108</v>
      </c>
      <c r="K316" s="3">
        <v>59</v>
      </c>
      <c r="L316" s="3">
        <v>32</v>
      </c>
      <c r="M316" s="4"/>
      <c r="N316" s="3">
        <v>631.07000000000005</v>
      </c>
      <c r="O316" s="4" t="s">
        <v>49</v>
      </c>
      <c r="P316" s="4" t="s">
        <v>34</v>
      </c>
      <c r="Q316" s="4" t="s">
        <v>35</v>
      </c>
      <c r="R316" s="3">
        <v>690.08600000000001</v>
      </c>
      <c r="S316" s="3">
        <v>6.3963599999999996</v>
      </c>
      <c r="T316" s="4" t="s">
        <v>779</v>
      </c>
      <c r="U316" s="2" t="s">
        <v>37</v>
      </c>
      <c r="V316" s="2" t="s">
        <v>37</v>
      </c>
      <c r="W316" s="2" t="s">
        <v>38</v>
      </c>
      <c r="X316" s="2" t="s">
        <v>38</v>
      </c>
      <c r="Y316" s="2" t="s">
        <v>38</v>
      </c>
      <c r="Z316" s="2" t="s">
        <v>37</v>
      </c>
      <c r="AA316" s="6">
        <v>3.0028008339999999</v>
      </c>
      <c r="AB316" s="6">
        <v>2.8389032169999999</v>
      </c>
      <c r="AC316" s="6">
        <v>2.8000775349999998</v>
      </c>
      <c r="AD316" cm="1">
        <f t="array" ref="AD316">IF(SUMPRODUCT(--($AM$2:$AM$112=TRIM(LEFT($B316,IFERROR(FIND(" ",$B316)-1,LEN($B316))))))&gt;0,1,0)</f>
        <v>0</v>
      </c>
      <c r="AE316" cm="1">
        <f t="array" ref="AE316">IF(SUMPRODUCT(--($AO$2:$AO$145=TRIM(LEFT($B316,IFERROR(FIND(" ",$B316)-1,LEN($B316))))))&gt;0,1,0)</f>
        <v>0</v>
      </c>
      <c r="AF316" cm="1">
        <f t="array" ref="AF316">IF(SUMPRODUCT(--($AQ$2:$AQ$71=TRIM(LEFT($B316,IFERROR(FIND(" ",$B316)-1,LEN($B316))))))&gt;0,1,0)</f>
        <v>0</v>
      </c>
    </row>
    <row r="317" spans="1:32" ht="135.75" thickBot="1" x14ac:dyDescent="0.3">
      <c r="A317" s="13">
        <v>72</v>
      </c>
      <c r="B317" s="4" t="s">
        <v>780</v>
      </c>
      <c r="C317" s="4" t="s">
        <v>389</v>
      </c>
      <c r="D317" s="7">
        <v>45197</v>
      </c>
      <c r="E317" s="3">
        <v>1335.3</v>
      </c>
      <c r="F317" s="4" t="s">
        <v>30</v>
      </c>
      <c r="G317" s="3">
        <v>3.61</v>
      </c>
      <c r="H317" s="4" t="s">
        <v>75</v>
      </c>
      <c r="I317" s="4" t="s">
        <v>83</v>
      </c>
      <c r="J317" s="4" t="s">
        <v>84</v>
      </c>
      <c r="K317" s="4"/>
      <c r="L317" s="4"/>
      <c r="M317" s="3">
        <v>63.7</v>
      </c>
      <c r="N317" s="3">
        <v>938.13</v>
      </c>
      <c r="O317" s="4" t="s">
        <v>34</v>
      </c>
      <c r="P317" s="4" t="s">
        <v>34</v>
      </c>
      <c r="Q317" s="4" t="s">
        <v>35</v>
      </c>
      <c r="R317" s="3">
        <v>2142.02</v>
      </c>
      <c r="S317" s="3">
        <v>5.5632200000000003</v>
      </c>
      <c r="T317" s="4" t="s">
        <v>781</v>
      </c>
      <c r="U317" s="2" t="s">
        <v>37</v>
      </c>
      <c r="V317" s="2" t="s">
        <v>37</v>
      </c>
      <c r="W317" s="2" t="s">
        <v>37</v>
      </c>
      <c r="X317" s="2" t="s">
        <v>38</v>
      </c>
      <c r="Y317" s="2" t="s">
        <v>38</v>
      </c>
      <c r="Z317" s="2" t="s">
        <v>37</v>
      </c>
      <c r="AA317" s="6">
        <v>3.125578849</v>
      </c>
      <c r="AB317" s="6">
        <v>3.3308235220000002</v>
      </c>
      <c r="AC317" s="6">
        <v>2.9722630240000001</v>
      </c>
      <c r="AD317" cm="1">
        <f t="array" ref="AD317">IF(SUMPRODUCT(--($AM$2:$AM$112=TRIM(LEFT($B317,IFERROR(FIND(" ",$B317)-1,LEN($B317))))))&gt;0,1,0)</f>
        <v>0</v>
      </c>
      <c r="AE317" cm="1">
        <f t="array" ref="AE317">IF(SUMPRODUCT(--($AO$2:$AO$145=TRIM(LEFT($B317,IFERROR(FIND(" ",$B317)-1,LEN($B317))))))&gt;0,1,0)</f>
        <v>0</v>
      </c>
      <c r="AF317" cm="1">
        <f t="array" ref="AF317">IF(SUMPRODUCT(--($AQ$2:$AQ$71=TRIM(LEFT($B317,IFERROR(FIND(" ",$B317)-1,LEN($B317))))))&gt;0,1,0)</f>
        <v>0</v>
      </c>
    </row>
    <row r="318" spans="1:32" ht="45.75" thickBot="1" x14ac:dyDescent="0.3">
      <c r="A318" s="13">
        <v>106</v>
      </c>
      <c r="B318" s="4" t="s">
        <v>782</v>
      </c>
      <c r="C318" s="4" t="s">
        <v>783</v>
      </c>
      <c r="D318" s="7">
        <v>45146</v>
      </c>
      <c r="E318" s="3">
        <v>24441.32</v>
      </c>
      <c r="F318" s="4" t="s">
        <v>46</v>
      </c>
      <c r="G318" s="4"/>
      <c r="H318" s="4" t="s">
        <v>184</v>
      </c>
      <c r="I318" s="4" t="s">
        <v>185</v>
      </c>
      <c r="J318" s="4" t="s">
        <v>266</v>
      </c>
      <c r="K318" s="4"/>
      <c r="L318" s="4"/>
      <c r="M318" s="3">
        <v>0.99</v>
      </c>
      <c r="N318" s="3">
        <v>1846.24</v>
      </c>
      <c r="O318" s="4" t="s">
        <v>34</v>
      </c>
      <c r="P318" s="4" t="s">
        <v>34</v>
      </c>
      <c r="Q318" s="4" t="s">
        <v>35</v>
      </c>
      <c r="R318" s="3">
        <v>14292.7</v>
      </c>
      <c r="S318" s="3">
        <v>-119.614</v>
      </c>
      <c r="T318" s="4" t="s">
        <v>43</v>
      </c>
      <c r="U318" s="2" t="s">
        <v>37</v>
      </c>
      <c r="V318" s="2" t="s">
        <v>37</v>
      </c>
      <c r="W318" s="2" t="s">
        <v>37</v>
      </c>
      <c r="X318" s="2" t="s">
        <v>37</v>
      </c>
      <c r="Y318" s="2" t="s">
        <v>37</v>
      </c>
      <c r="Z318" s="2" t="s">
        <v>37</v>
      </c>
      <c r="AA318" s="6">
        <v>4.3881246569999997</v>
      </c>
      <c r="AB318" s="6">
        <v>4.1551142780000001</v>
      </c>
      <c r="AC318" s="6">
        <v>3.2662881559999999</v>
      </c>
      <c r="AD318" cm="1">
        <f t="array" ref="AD318">IF(SUMPRODUCT(--($AM$2:$AM$112=TRIM(LEFT($B318,IFERROR(FIND(" ",$B318)-1,LEN($B318))))))&gt;0,1,0)</f>
        <v>0</v>
      </c>
      <c r="AE318" cm="1">
        <f t="array" ref="AE318">IF(SUMPRODUCT(--($AO$2:$AO$145=TRIM(LEFT($B318,IFERROR(FIND(" ",$B318)-1,LEN($B318))))))&gt;0,1,0)</f>
        <v>0</v>
      </c>
      <c r="AF318" cm="1">
        <f t="array" ref="AF318">IF(SUMPRODUCT(--($AQ$2:$AQ$71=TRIM(LEFT($B318,IFERROR(FIND(" ",$B318)-1,LEN($B318))))))&gt;0,1,0)</f>
        <v>0</v>
      </c>
    </row>
    <row r="319" spans="1:32" ht="45.75" thickBot="1" x14ac:dyDescent="0.3">
      <c r="A319" s="13">
        <v>92</v>
      </c>
      <c r="B319" s="4" t="s">
        <v>784</v>
      </c>
      <c r="C319" s="4" t="s">
        <v>785</v>
      </c>
      <c r="D319" s="7">
        <v>45166</v>
      </c>
      <c r="E319" s="3">
        <v>1891.76</v>
      </c>
      <c r="F319" s="4" t="s">
        <v>46</v>
      </c>
      <c r="G319" s="3">
        <v>9.4600000000000009</v>
      </c>
      <c r="H319" s="4" t="s">
        <v>51</v>
      </c>
      <c r="I319" s="4" t="s">
        <v>51</v>
      </c>
      <c r="J319" s="4" t="s">
        <v>79</v>
      </c>
      <c r="K319" s="4"/>
      <c r="L319" s="4"/>
      <c r="M319" s="3">
        <v>17.09</v>
      </c>
      <c r="N319" s="3">
        <v>1031.1600000000001</v>
      </c>
      <c r="O319" s="4" t="s">
        <v>34</v>
      </c>
      <c r="P319" s="4" t="s">
        <v>34</v>
      </c>
      <c r="Q319" s="4" t="s">
        <v>35</v>
      </c>
      <c r="R319" s="3">
        <v>52.8</v>
      </c>
      <c r="S319" s="3">
        <v>5.7343500000000001</v>
      </c>
      <c r="T319" s="4" t="s">
        <v>43</v>
      </c>
      <c r="U319" s="2" t="s">
        <v>37</v>
      </c>
      <c r="V319" s="2" t="s">
        <v>37</v>
      </c>
      <c r="W319" s="2" t="s">
        <v>37</v>
      </c>
      <c r="X319" s="2" t="s">
        <v>37</v>
      </c>
      <c r="Y319" s="2" t="s">
        <v>37</v>
      </c>
      <c r="Z319" s="2" t="s">
        <v>37</v>
      </c>
      <c r="AA319" s="6">
        <v>3.2768660380000001</v>
      </c>
      <c r="AB319" s="6">
        <v>1.7226339230000001</v>
      </c>
      <c r="AC319" s="6">
        <v>3.0133260580000001</v>
      </c>
      <c r="AD319" cm="1">
        <f t="array" ref="AD319">IF(SUMPRODUCT(--($AM$2:$AM$112=TRIM(LEFT($B319,IFERROR(FIND(" ",$B319)-1,LEN($B319))))))&gt;0,1,0)</f>
        <v>0</v>
      </c>
      <c r="AE319" cm="1">
        <f t="array" ref="AE319">IF(SUMPRODUCT(--($AO$2:$AO$145=TRIM(LEFT($B319,IFERROR(FIND(" ",$B319)-1,LEN($B319))))))&gt;0,1,0)</f>
        <v>0</v>
      </c>
      <c r="AF319" cm="1">
        <f t="array" ref="AF319">IF(SUMPRODUCT(--($AQ$2:$AQ$71=TRIM(LEFT($B319,IFERROR(FIND(" ",$B319)-1,LEN($B319))))))&gt;0,1,0)</f>
        <v>0</v>
      </c>
    </row>
    <row r="320" spans="1:32" ht="45.75" thickBot="1" x14ac:dyDescent="0.3">
      <c r="A320" s="13">
        <v>39</v>
      </c>
      <c r="B320" s="4" t="s">
        <v>786</v>
      </c>
      <c r="C320" s="4" t="s">
        <v>470</v>
      </c>
      <c r="D320" s="7">
        <v>45236</v>
      </c>
      <c r="E320" s="3">
        <v>1710.59</v>
      </c>
      <c r="F320" s="4" t="s">
        <v>107</v>
      </c>
      <c r="G320" s="4"/>
      <c r="H320" s="4" t="s">
        <v>118</v>
      </c>
      <c r="I320" s="4" t="s">
        <v>119</v>
      </c>
      <c r="J320" s="4" t="s">
        <v>120</v>
      </c>
      <c r="K320" s="4"/>
      <c r="L320" s="4"/>
      <c r="M320" s="3">
        <v>23.24</v>
      </c>
      <c r="N320" s="3">
        <v>1502.7</v>
      </c>
      <c r="O320" s="4" t="s">
        <v>49</v>
      </c>
      <c r="P320" s="4" t="s">
        <v>49</v>
      </c>
      <c r="Q320" s="4" t="s">
        <v>35</v>
      </c>
      <c r="R320" s="2"/>
      <c r="S320" s="2"/>
      <c r="T320" s="4" t="s">
        <v>43</v>
      </c>
      <c r="U320" s="2" t="s">
        <v>37</v>
      </c>
      <c r="V320" s="2" t="s">
        <v>37</v>
      </c>
      <c r="W320" s="2" t="s">
        <v>37</v>
      </c>
      <c r="X320" s="2" t="s">
        <v>37</v>
      </c>
      <c r="Y320" s="2" t="s">
        <v>37</v>
      </c>
      <c r="Z320" s="2" t="s">
        <v>37</v>
      </c>
      <c r="AA320" s="6">
        <v>3.233145929</v>
      </c>
      <c r="AB320" s="2"/>
      <c r="AC320" s="6">
        <v>3.176872286</v>
      </c>
      <c r="AD320" cm="1">
        <f t="array" ref="AD320">IF(SUMPRODUCT(--($AM$2:$AM$112=TRIM(LEFT($B320,IFERROR(FIND(" ",$B320)-1,LEN($B320))))))&gt;0,1,0)</f>
        <v>0</v>
      </c>
      <c r="AE320" cm="1">
        <f t="array" ref="AE320">IF(SUMPRODUCT(--($AO$2:$AO$145=TRIM(LEFT($B320,IFERROR(FIND(" ",$B320)-1,LEN($B320))))))&gt;0,1,0)</f>
        <v>0</v>
      </c>
      <c r="AF320" cm="1">
        <f t="array" ref="AF320">IF(SUMPRODUCT(--($AQ$2:$AQ$71=TRIM(LEFT($B320,IFERROR(FIND(" ",$B320)-1,LEN($B320))))))&gt;0,1,0)</f>
        <v>0</v>
      </c>
    </row>
    <row r="321" spans="1:32" ht="75.75" thickBot="1" x14ac:dyDescent="0.3">
      <c r="A321" s="13">
        <v>63</v>
      </c>
      <c r="B321" s="4" t="s">
        <v>787</v>
      </c>
      <c r="C321" s="4" t="s">
        <v>40</v>
      </c>
      <c r="D321" s="7">
        <v>45202</v>
      </c>
      <c r="E321" s="3">
        <v>796.86</v>
      </c>
      <c r="F321" s="4" t="s">
        <v>30</v>
      </c>
      <c r="G321" s="3">
        <v>6.28</v>
      </c>
      <c r="H321" s="4" t="s">
        <v>41</v>
      </c>
      <c r="I321" s="4" t="s">
        <v>41</v>
      </c>
      <c r="J321" s="4" t="s">
        <v>42</v>
      </c>
      <c r="K321" s="4"/>
      <c r="L321" s="4"/>
      <c r="M321" s="3">
        <v>71.290000000000006</v>
      </c>
      <c r="N321" s="3">
        <v>1322.07</v>
      </c>
      <c r="O321" s="4" t="s">
        <v>34</v>
      </c>
      <c r="P321" s="4" t="s">
        <v>34</v>
      </c>
      <c r="Q321" s="4" t="s">
        <v>35</v>
      </c>
      <c r="R321" s="3">
        <v>226.58</v>
      </c>
      <c r="S321" s="3">
        <v>55.398800000000001</v>
      </c>
      <c r="T321" s="4" t="s">
        <v>88</v>
      </c>
      <c r="U321" s="2" t="s">
        <v>37</v>
      </c>
      <c r="V321" s="2" t="s">
        <v>37</v>
      </c>
      <c r="W321" s="2" t="s">
        <v>37</v>
      </c>
      <c r="X321" s="2" t="s">
        <v>37</v>
      </c>
      <c r="Y321" s="2" t="s">
        <v>37</v>
      </c>
      <c r="Z321" s="2" t="s">
        <v>38</v>
      </c>
      <c r="AA321" s="6">
        <v>2.9013820269999999</v>
      </c>
      <c r="AB321" s="6">
        <v>2.355221572</v>
      </c>
      <c r="AC321" s="6">
        <v>3.1212544499999999</v>
      </c>
      <c r="AD321" cm="1">
        <f t="array" ref="AD321">IF(SUMPRODUCT(--($AM$2:$AM$112=TRIM(LEFT($B321,IFERROR(FIND(" ",$B321)-1,LEN($B321))))))&gt;0,1,0)</f>
        <v>0</v>
      </c>
      <c r="AE321" cm="1">
        <f t="array" ref="AE321">IF(SUMPRODUCT(--($AO$2:$AO$145=TRIM(LEFT($B321,IFERROR(FIND(" ",$B321)-1,LEN($B321))))))&gt;0,1,0)</f>
        <v>0</v>
      </c>
      <c r="AF321" cm="1">
        <f t="array" ref="AF321">IF(SUMPRODUCT(--($AQ$2:$AQ$71=TRIM(LEFT($B321,IFERROR(FIND(" ",$B321)-1,LEN($B321))))))&gt;0,1,0)</f>
        <v>0</v>
      </c>
    </row>
    <row r="322" spans="1:32" ht="45.75" thickBot="1" x14ac:dyDescent="0.3">
      <c r="A322" s="13">
        <v>200</v>
      </c>
      <c r="B322" s="4" t="s">
        <v>788</v>
      </c>
      <c r="C322" s="4" t="s">
        <v>325</v>
      </c>
      <c r="D322" s="7">
        <v>44998</v>
      </c>
      <c r="E322" s="3">
        <v>41171.93</v>
      </c>
      <c r="F322" s="4" t="s">
        <v>30</v>
      </c>
      <c r="G322" s="4"/>
      <c r="H322" s="4" t="s">
        <v>41</v>
      </c>
      <c r="I322" s="4" t="s">
        <v>41</v>
      </c>
      <c r="J322" s="4" t="s">
        <v>42</v>
      </c>
      <c r="K322" s="3">
        <v>2220</v>
      </c>
      <c r="L322" s="3">
        <v>1650</v>
      </c>
      <c r="M322" s="3">
        <v>39</v>
      </c>
      <c r="N322" s="3">
        <v>42849.01</v>
      </c>
      <c r="O322" s="4" t="s">
        <v>34</v>
      </c>
      <c r="P322" s="4" t="s">
        <v>34</v>
      </c>
      <c r="Q322" s="4" t="s">
        <v>35</v>
      </c>
      <c r="R322" s="3">
        <v>1962.41</v>
      </c>
      <c r="S322" s="3">
        <v>-34.367600000000003</v>
      </c>
      <c r="T322" s="4" t="s">
        <v>43</v>
      </c>
      <c r="U322" s="2" t="s">
        <v>37</v>
      </c>
      <c r="V322" s="2" t="s">
        <v>37</v>
      </c>
      <c r="W322" s="2" t="s">
        <v>37</v>
      </c>
      <c r="X322" s="2" t="s">
        <v>37</v>
      </c>
      <c r="Y322" s="2" t="s">
        <v>37</v>
      </c>
      <c r="Z322" s="2" t="s">
        <v>37</v>
      </c>
      <c r="AA322" s="6">
        <v>4.6146012259999996</v>
      </c>
      <c r="AB322" s="6">
        <v>3.2927897480000001</v>
      </c>
      <c r="AC322" s="6">
        <v>4.631940792</v>
      </c>
      <c r="AD322" cm="1">
        <f t="array" ref="AD322">IF(SUMPRODUCT(--($AM$2:$AM$112=TRIM(LEFT($B322,IFERROR(FIND(" ",$B322)-1,LEN($B322))))))&gt;0,1,0)</f>
        <v>0</v>
      </c>
      <c r="AE322" cm="1">
        <f t="array" ref="AE322">IF(SUMPRODUCT(--($AO$2:$AO$145=TRIM(LEFT($B322,IFERROR(FIND(" ",$B322)-1,LEN($B322))))))&gt;0,1,0)</f>
        <v>1</v>
      </c>
      <c r="AF322" cm="1">
        <f t="array" ref="AF322">IF(SUMPRODUCT(--($AQ$2:$AQ$71=TRIM(LEFT($B322,IFERROR(FIND(" ",$B322)-1,LEN($B322))))))&gt;0,1,0)</f>
        <v>0</v>
      </c>
    </row>
    <row r="323" spans="1:32" ht="120.75" thickBot="1" x14ac:dyDescent="0.3">
      <c r="A323" s="13">
        <v>78</v>
      </c>
      <c r="B323" s="4" t="s">
        <v>789</v>
      </c>
      <c r="C323" s="4" t="s">
        <v>790</v>
      </c>
      <c r="D323" s="7">
        <v>45154</v>
      </c>
      <c r="E323" s="3">
        <v>3748.21</v>
      </c>
      <c r="F323" s="4" t="s">
        <v>107</v>
      </c>
      <c r="G323" s="3">
        <v>11.61</v>
      </c>
      <c r="H323" s="4" t="s">
        <v>118</v>
      </c>
      <c r="I323" s="4" t="s">
        <v>119</v>
      </c>
      <c r="J323" s="4" t="s">
        <v>120</v>
      </c>
      <c r="K323" s="4"/>
      <c r="L323" s="4"/>
      <c r="M323" s="3">
        <v>3.98</v>
      </c>
      <c r="N323" s="3">
        <v>2192.56</v>
      </c>
      <c r="O323" s="4" t="s">
        <v>34</v>
      </c>
      <c r="P323" s="4" t="s">
        <v>34</v>
      </c>
      <c r="Q323" s="4" t="s">
        <v>35</v>
      </c>
      <c r="R323" s="3">
        <v>547.48</v>
      </c>
      <c r="S323" s="3">
        <v>41.8919</v>
      </c>
      <c r="T323" s="4" t="s">
        <v>321</v>
      </c>
      <c r="U323" s="2" t="s">
        <v>38</v>
      </c>
      <c r="V323" s="2" t="s">
        <v>37</v>
      </c>
      <c r="W323" s="2" t="s">
        <v>37</v>
      </c>
      <c r="X323" s="2" t="s">
        <v>37</v>
      </c>
      <c r="Y323" s="2" t="s">
        <v>37</v>
      </c>
      <c r="Z323" s="2" t="s">
        <v>37</v>
      </c>
      <c r="AA323" s="6">
        <v>3.5738239150000002</v>
      </c>
      <c r="AB323" s="6">
        <v>2.738368259</v>
      </c>
      <c r="AC323" s="6">
        <v>3.3409514869999999</v>
      </c>
      <c r="AD323" cm="1">
        <f t="array" ref="AD323">IF(SUMPRODUCT(--($AM$2:$AM$112=TRIM(LEFT($B323,IFERROR(FIND(" ",$B323)-1,LEN($B323))))))&gt;0,1,0)</f>
        <v>0</v>
      </c>
      <c r="AE323" cm="1">
        <f t="array" ref="AE323">IF(SUMPRODUCT(--($AO$2:$AO$145=TRIM(LEFT($B323,IFERROR(FIND(" ",$B323)-1,LEN($B323))))))&gt;0,1,0)</f>
        <v>0</v>
      </c>
      <c r="AF323" cm="1">
        <f t="array" ref="AF323">IF(SUMPRODUCT(--($AQ$2:$AQ$71=TRIM(LEFT($B323,IFERROR(FIND(" ",$B323)-1,LEN($B323))))))&gt;0,1,0)</f>
        <v>0</v>
      </c>
    </row>
    <row r="324" spans="1:32" ht="45.75" thickBot="1" x14ac:dyDescent="0.3">
      <c r="A324" s="13">
        <v>94</v>
      </c>
      <c r="B324" s="4" t="s">
        <v>791</v>
      </c>
      <c r="C324" s="4" t="s">
        <v>792</v>
      </c>
      <c r="D324" s="7">
        <v>45132</v>
      </c>
      <c r="E324" s="3">
        <v>942.09</v>
      </c>
      <c r="F324" s="4" t="s">
        <v>46</v>
      </c>
      <c r="G324" s="4"/>
      <c r="H324" s="4" t="s">
        <v>65</v>
      </c>
      <c r="I324" s="4" t="s">
        <v>66</v>
      </c>
      <c r="J324" s="4" t="s">
        <v>66</v>
      </c>
      <c r="K324" s="4"/>
      <c r="L324" s="3">
        <v>39.5</v>
      </c>
      <c r="M324" s="3">
        <v>-6.89</v>
      </c>
      <c r="N324" s="3">
        <v>942.09</v>
      </c>
      <c r="O324" s="4" t="s">
        <v>34</v>
      </c>
      <c r="P324" s="4" t="s">
        <v>34</v>
      </c>
      <c r="Q324" s="4" t="s">
        <v>35</v>
      </c>
      <c r="R324" s="3">
        <v>1631.32</v>
      </c>
      <c r="S324" s="3">
        <v>-174.16499999999999</v>
      </c>
      <c r="T324" s="4" t="s">
        <v>43</v>
      </c>
      <c r="U324" s="2" t="s">
        <v>37</v>
      </c>
      <c r="V324" s="2" t="s">
        <v>37</v>
      </c>
      <c r="W324" s="2" t="s">
        <v>37</v>
      </c>
      <c r="X324" s="2" t="s">
        <v>37</v>
      </c>
      <c r="Y324" s="2" t="s">
        <v>37</v>
      </c>
      <c r="Z324" s="2" t="s">
        <v>37</v>
      </c>
      <c r="AA324" s="6">
        <v>2.9740923939999999</v>
      </c>
      <c r="AB324" s="6">
        <v>3.212539161</v>
      </c>
      <c r="AC324" s="6">
        <v>2.9740923939999999</v>
      </c>
      <c r="AD324" cm="1">
        <f t="array" ref="AD324">IF(SUMPRODUCT(--($AM$2:$AM$112=TRIM(LEFT($B324,IFERROR(FIND(" ",$B324)-1,LEN($B324))))))&gt;0,1,0)</f>
        <v>0</v>
      </c>
      <c r="AE324" cm="1">
        <f t="array" ref="AE324">IF(SUMPRODUCT(--($AO$2:$AO$145=TRIM(LEFT($B324,IFERROR(FIND(" ",$B324)-1,LEN($B324))))))&gt;0,1,0)</f>
        <v>0</v>
      </c>
      <c r="AF324" cm="1">
        <f t="array" ref="AF324">IF(SUMPRODUCT(--($AQ$2:$AQ$71=TRIM(LEFT($B324,IFERROR(FIND(" ",$B324)-1,LEN($B324))))))&gt;0,1,0)</f>
        <v>0</v>
      </c>
    </row>
    <row r="325" spans="1:32" ht="75.75" thickBot="1" x14ac:dyDescent="0.3">
      <c r="A325" s="13">
        <v>140</v>
      </c>
      <c r="B325" s="4" t="s">
        <v>793</v>
      </c>
      <c r="C325" s="4" t="s">
        <v>794</v>
      </c>
      <c r="D325" s="7">
        <v>45068</v>
      </c>
      <c r="E325" s="3">
        <v>589.78</v>
      </c>
      <c r="F325" s="4" t="s">
        <v>30</v>
      </c>
      <c r="G325" s="3">
        <v>14.88</v>
      </c>
      <c r="H325" s="4" t="s">
        <v>65</v>
      </c>
      <c r="I325" s="4" t="s">
        <v>138</v>
      </c>
      <c r="J325" s="4" t="s">
        <v>203</v>
      </c>
      <c r="K325" s="4"/>
      <c r="L325" s="4"/>
      <c r="M325" s="3">
        <v>118.28</v>
      </c>
      <c r="N325" s="3">
        <v>274.82</v>
      </c>
      <c r="O325" s="4" t="s">
        <v>34</v>
      </c>
      <c r="P325" s="4" t="s">
        <v>96</v>
      </c>
      <c r="Q325" s="4" t="s">
        <v>35</v>
      </c>
      <c r="R325" s="3">
        <v>258.45400000000001</v>
      </c>
      <c r="S325" s="3">
        <v>-13.947100000000001</v>
      </c>
      <c r="T325" s="4" t="s">
        <v>97</v>
      </c>
      <c r="U325" s="2" t="s">
        <v>37</v>
      </c>
      <c r="V325" s="2" t="s">
        <v>37</v>
      </c>
      <c r="W325" s="2" t="s">
        <v>38</v>
      </c>
      <c r="X325" s="2" t="s">
        <v>37</v>
      </c>
      <c r="Y325" s="2" t="s">
        <v>37</v>
      </c>
      <c r="Z325" s="2" t="s">
        <v>37</v>
      </c>
      <c r="AA325" s="6">
        <v>2.7706900409999999</v>
      </c>
      <c r="AB325" s="6">
        <v>2.4123832580000002</v>
      </c>
      <c r="AC325" s="6">
        <v>2.4390483349999998</v>
      </c>
      <c r="AD325" cm="1">
        <f t="array" ref="AD325">IF(SUMPRODUCT(--($AM$2:$AM$112=TRIM(LEFT($B325,IFERROR(FIND(" ",$B325)-1,LEN($B325))))))&gt;0,1,0)</f>
        <v>0</v>
      </c>
      <c r="AE325" cm="1">
        <f t="array" ref="AE325">IF(SUMPRODUCT(--($AO$2:$AO$145=TRIM(LEFT($B325,IFERROR(FIND(" ",$B325)-1,LEN($B325))))))&gt;0,1,0)</f>
        <v>0</v>
      </c>
      <c r="AF325" cm="1">
        <f t="array" ref="AF325">IF(SUMPRODUCT(--($AQ$2:$AQ$71=TRIM(LEFT($B325,IFERROR(FIND(" ",$B325)-1,LEN($B325))))))&gt;0,1,0)</f>
        <v>0</v>
      </c>
    </row>
    <row r="326" spans="1:32" ht="135.75" thickBot="1" x14ac:dyDescent="0.3">
      <c r="A326" s="13">
        <v>84</v>
      </c>
      <c r="B326" s="4" t="s">
        <v>795</v>
      </c>
      <c r="C326" s="4" t="s">
        <v>158</v>
      </c>
      <c r="D326" s="7">
        <v>45145</v>
      </c>
      <c r="E326" s="3">
        <v>2855.12</v>
      </c>
      <c r="F326" s="4" t="s">
        <v>30</v>
      </c>
      <c r="G326" s="3">
        <v>4.9400000000000004</v>
      </c>
      <c r="H326" s="4" t="s">
        <v>75</v>
      </c>
      <c r="I326" s="4" t="s">
        <v>83</v>
      </c>
      <c r="J326" s="4" t="s">
        <v>796</v>
      </c>
      <c r="K326" s="3">
        <v>148.893</v>
      </c>
      <c r="L326" s="3">
        <v>74.446700000000007</v>
      </c>
      <c r="M326" s="3">
        <v>25.82</v>
      </c>
      <c r="N326" s="3">
        <v>2302.92</v>
      </c>
      <c r="O326" s="4" t="s">
        <v>34</v>
      </c>
      <c r="P326" s="4" t="s">
        <v>34</v>
      </c>
      <c r="Q326" s="4" t="s">
        <v>35</v>
      </c>
      <c r="R326" s="3">
        <v>7146.3</v>
      </c>
      <c r="S326" s="3">
        <v>6.2328700000000001</v>
      </c>
      <c r="T326" s="4" t="s">
        <v>242</v>
      </c>
      <c r="U326" s="2" t="s">
        <v>37</v>
      </c>
      <c r="V326" s="2" t="s">
        <v>37</v>
      </c>
      <c r="W326" s="2" t="s">
        <v>37</v>
      </c>
      <c r="X326" s="2" t="s">
        <v>38</v>
      </c>
      <c r="Y326" s="2" t="s">
        <v>38</v>
      </c>
      <c r="Z326" s="2" t="s">
        <v>37</v>
      </c>
      <c r="AA326" s="6">
        <v>3.4556243659999999</v>
      </c>
      <c r="AB326" s="6">
        <v>3.8540812440000001</v>
      </c>
      <c r="AC326" s="6">
        <v>3.3622788510000001</v>
      </c>
      <c r="AD326" cm="1">
        <f t="array" ref="AD326">IF(SUMPRODUCT(--($AM$2:$AM$112=TRIM(LEFT($B326,IFERROR(FIND(" ",$B326)-1,LEN($B326))))))&gt;0,1,0)</f>
        <v>1</v>
      </c>
      <c r="AE326" cm="1">
        <f t="array" ref="AE326">IF(SUMPRODUCT(--($AO$2:$AO$145=TRIM(LEFT($B326,IFERROR(FIND(" ",$B326)-1,LEN($B326))))))&gt;0,1,0)</f>
        <v>0</v>
      </c>
      <c r="AF326" cm="1">
        <f t="array" ref="AF326">IF(SUMPRODUCT(--($AQ$2:$AQ$71=TRIM(LEFT($B326,IFERROR(FIND(" ",$B326)-1,LEN($B326))))))&gt;0,1,0)</f>
        <v>0</v>
      </c>
    </row>
    <row r="327" spans="1:32" ht="45.75" thickBot="1" x14ac:dyDescent="0.3">
      <c r="A327" s="13">
        <v>57</v>
      </c>
      <c r="B327" s="4" t="s">
        <v>797</v>
      </c>
      <c r="C327" s="4" t="s">
        <v>798</v>
      </c>
      <c r="D327" s="7">
        <v>45180</v>
      </c>
      <c r="E327" s="3">
        <v>955.76</v>
      </c>
      <c r="F327" s="4" t="s">
        <v>30</v>
      </c>
      <c r="G327" s="3">
        <v>32.6</v>
      </c>
      <c r="H327" s="4" t="s">
        <v>65</v>
      </c>
      <c r="I327" s="4" t="s">
        <v>138</v>
      </c>
      <c r="J327" s="4" t="s">
        <v>176</v>
      </c>
      <c r="K327" s="4"/>
      <c r="L327" s="4"/>
      <c r="M327" s="3">
        <v>26.07</v>
      </c>
      <c r="N327" s="3">
        <v>955.76</v>
      </c>
      <c r="O327" s="4" t="s">
        <v>34</v>
      </c>
      <c r="P327" s="4" t="s">
        <v>34</v>
      </c>
      <c r="Q327" s="4" t="s">
        <v>35</v>
      </c>
      <c r="R327" s="3">
        <v>666.49599999999998</v>
      </c>
      <c r="S327" s="3">
        <v>2.38226</v>
      </c>
      <c r="T327" s="4" t="s">
        <v>43</v>
      </c>
      <c r="U327" s="2" t="s">
        <v>37</v>
      </c>
      <c r="V327" s="2" t="s">
        <v>37</v>
      </c>
      <c r="W327" s="2" t="s">
        <v>37</v>
      </c>
      <c r="X327" s="2" t="s">
        <v>37</v>
      </c>
      <c r="Y327" s="2" t="s">
        <v>37</v>
      </c>
      <c r="Z327" s="2" t="s">
        <v>37</v>
      </c>
      <c r="AA327" s="6">
        <v>2.980348851</v>
      </c>
      <c r="AB327" s="6">
        <v>2.8237975469999999</v>
      </c>
      <c r="AC327" s="6">
        <v>2.980348851</v>
      </c>
      <c r="AD327" cm="1">
        <f t="array" ref="AD327">IF(SUMPRODUCT(--($AM$2:$AM$112=TRIM(LEFT($B327,IFERROR(FIND(" ",$B327)-1,LEN($B327))))))&gt;0,1,0)</f>
        <v>0</v>
      </c>
      <c r="AE327" cm="1">
        <f t="array" ref="AE327">IF(SUMPRODUCT(--($AO$2:$AO$145=TRIM(LEFT($B327,IFERROR(FIND(" ",$B327)-1,LEN($B327))))))&gt;0,1,0)</f>
        <v>0</v>
      </c>
      <c r="AF327" cm="1">
        <f t="array" ref="AF327">IF(SUMPRODUCT(--($AQ$2:$AQ$71=TRIM(LEFT($B327,IFERROR(FIND(" ",$B327)-1,LEN($B327))))))&gt;0,1,0)</f>
        <v>0</v>
      </c>
    </row>
    <row r="328" spans="1:32" ht="135.75" thickBot="1" x14ac:dyDescent="0.3">
      <c r="A328" s="13">
        <v>67</v>
      </c>
      <c r="B328" s="4" t="s">
        <v>799</v>
      </c>
      <c r="C328" s="4" t="s">
        <v>800</v>
      </c>
      <c r="D328" s="7">
        <v>45166</v>
      </c>
      <c r="E328" s="3">
        <v>860.37</v>
      </c>
      <c r="F328" s="4" t="s">
        <v>30</v>
      </c>
      <c r="G328" s="3">
        <v>8.09</v>
      </c>
      <c r="H328" s="4" t="s">
        <v>51</v>
      </c>
      <c r="I328" s="4" t="s">
        <v>51</v>
      </c>
      <c r="J328" s="4" t="s">
        <v>79</v>
      </c>
      <c r="K328" s="4"/>
      <c r="L328" s="4"/>
      <c r="M328" s="3">
        <v>56.56</v>
      </c>
      <c r="N328" s="3">
        <v>401.05</v>
      </c>
      <c r="O328" s="4" t="s">
        <v>34</v>
      </c>
      <c r="P328" s="4" t="s">
        <v>34</v>
      </c>
      <c r="Q328" s="4" t="s">
        <v>35</v>
      </c>
      <c r="R328" s="3">
        <v>405.87400000000002</v>
      </c>
      <c r="S328" s="3">
        <v>7.6944600000000003</v>
      </c>
      <c r="T328" s="4" t="s">
        <v>160</v>
      </c>
      <c r="U328" s="2" t="s">
        <v>37</v>
      </c>
      <c r="V328" s="2" t="s">
        <v>37</v>
      </c>
      <c r="W328" s="2" t="s">
        <v>37</v>
      </c>
      <c r="X328" s="2" t="s">
        <v>38</v>
      </c>
      <c r="Y328" s="2" t="s">
        <v>38</v>
      </c>
      <c r="Z328" s="2" t="s">
        <v>37</v>
      </c>
      <c r="AA328" s="6">
        <v>2.9346852590000001</v>
      </c>
      <c r="AB328" s="6">
        <v>2.6083912319999998</v>
      </c>
      <c r="AC328" s="6">
        <v>2.6031985209999999</v>
      </c>
      <c r="AD328" cm="1">
        <f t="array" ref="AD328">IF(SUMPRODUCT(--($AM$2:$AM$112=TRIM(LEFT($B328,IFERROR(FIND(" ",$B328)-1,LEN($B328))))))&gt;0,1,0)</f>
        <v>0</v>
      </c>
      <c r="AE328" cm="1">
        <f t="array" ref="AE328">IF(SUMPRODUCT(--($AO$2:$AO$145=TRIM(LEFT($B328,IFERROR(FIND(" ",$B328)-1,LEN($B328))))))&gt;0,1,0)</f>
        <v>0</v>
      </c>
      <c r="AF328" cm="1">
        <f t="array" ref="AF328">IF(SUMPRODUCT(--($AQ$2:$AQ$71=TRIM(LEFT($B328,IFERROR(FIND(" ",$B328)-1,LEN($B328))))))&gt;0,1,0)</f>
        <v>0</v>
      </c>
    </row>
    <row r="329" spans="1:32" ht="45.75" thickBot="1" x14ac:dyDescent="0.3">
      <c r="A329" s="13">
        <v>390</v>
      </c>
      <c r="B329" s="4" t="s">
        <v>801</v>
      </c>
      <c r="C329" s="4" t="s">
        <v>802</v>
      </c>
      <c r="D329" s="7">
        <v>44707</v>
      </c>
      <c r="E329" s="3">
        <v>70289.259999999995</v>
      </c>
      <c r="F329" s="4" t="s">
        <v>69</v>
      </c>
      <c r="G329" s="3">
        <v>19.72</v>
      </c>
      <c r="H329" s="4" t="s">
        <v>31</v>
      </c>
      <c r="I329" s="4" t="s">
        <v>32</v>
      </c>
      <c r="J329" s="4" t="s">
        <v>33</v>
      </c>
      <c r="K329" s="3">
        <v>1500</v>
      </c>
      <c r="L329" s="3">
        <v>1500</v>
      </c>
      <c r="M329" s="3">
        <v>36.68</v>
      </c>
      <c r="N329" s="3">
        <v>60131.26</v>
      </c>
      <c r="O329" s="4" t="s">
        <v>34</v>
      </c>
      <c r="P329" s="4" t="s">
        <v>34</v>
      </c>
      <c r="Q329" s="4" t="s">
        <v>35</v>
      </c>
      <c r="R329" s="3">
        <v>13350</v>
      </c>
      <c r="S329" s="3">
        <v>13.989699999999999</v>
      </c>
      <c r="T329" s="4" t="s">
        <v>43</v>
      </c>
      <c r="U329" s="2" t="s">
        <v>37</v>
      </c>
      <c r="V329" s="2" t="s">
        <v>37</v>
      </c>
      <c r="W329" s="2" t="s">
        <v>37</v>
      </c>
      <c r="X329" s="2" t="s">
        <v>37</v>
      </c>
      <c r="Y329" s="2" t="s">
        <v>37</v>
      </c>
      <c r="Z329" s="2" t="s">
        <v>37</v>
      </c>
      <c r="AA329" s="6">
        <v>4.8468889710000003</v>
      </c>
      <c r="AB329" s="6">
        <v>4.1254812660000004</v>
      </c>
      <c r="AC329" s="6">
        <v>4.779100304</v>
      </c>
      <c r="AD329" cm="1">
        <f t="array" ref="AD329">IF(SUMPRODUCT(--($AM$2:$AM$112=TRIM(LEFT($B329,IFERROR(FIND(" ",$B329)-1,LEN($B329))))))&gt;0,1,0)</f>
        <v>1</v>
      </c>
      <c r="AE329" cm="1">
        <f t="array" ref="AE329">IF(SUMPRODUCT(--($AO$2:$AO$145=TRIM(LEFT($B329,IFERROR(FIND(" ",$B329)-1,LEN($B329))))))&gt;0,1,0)</f>
        <v>1</v>
      </c>
      <c r="AF329" cm="1">
        <f t="array" ref="AF329">IF(SUMPRODUCT(--($AQ$2:$AQ$71=TRIM(LEFT($B329,IFERROR(FIND(" ",$B329)-1,LEN($B329))))))&gt;0,1,0)</f>
        <v>0</v>
      </c>
    </row>
    <row r="330" spans="1:32" ht="45.75" thickBot="1" x14ac:dyDescent="0.3">
      <c r="A330" s="13">
        <v>85</v>
      </c>
      <c r="B330" s="4" t="s">
        <v>803</v>
      </c>
      <c r="C330" s="4" t="s">
        <v>275</v>
      </c>
      <c r="D330" s="7">
        <v>45131</v>
      </c>
      <c r="E330" s="3">
        <v>541.87</v>
      </c>
      <c r="F330" s="4" t="s">
        <v>30</v>
      </c>
      <c r="G330" s="4"/>
      <c r="H330" s="4" t="s">
        <v>65</v>
      </c>
      <c r="I330" s="4" t="s">
        <v>138</v>
      </c>
      <c r="J330" s="4" t="s">
        <v>176</v>
      </c>
      <c r="K330" s="4"/>
      <c r="L330" s="4"/>
      <c r="M330" s="3">
        <v>4.6900000000000004</v>
      </c>
      <c r="N330" s="3">
        <v>376.23</v>
      </c>
      <c r="O330" s="4" t="s">
        <v>34</v>
      </c>
      <c r="P330" s="4" t="s">
        <v>34</v>
      </c>
      <c r="Q330" s="4" t="s">
        <v>35</v>
      </c>
      <c r="R330" s="3">
        <v>385.33800000000002</v>
      </c>
      <c r="S330" s="3">
        <v>-7.6617800000000003</v>
      </c>
      <c r="T330" s="4" t="s">
        <v>43</v>
      </c>
      <c r="U330" s="2" t="s">
        <v>37</v>
      </c>
      <c r="V330" s="2" t="s">
        <v>37</v>
      </c>
      <c r="W330" s="2" t="s">
        <v>37</v>
      </c>
      <c r="X330" s="2" t="s">
        <v>37</v>
      </c>
      <c r="Y330" s="2" t="s">
        <v>37</v>
      </c>
      <c r="Z330" s="2" t="s">
        <v>37</v>
      </c>
      <c r="AA330" s="6">
        <v>2.7338951069999999</v>
      </c>
      <c r="AB330" s="6">
        <v>2.585841839</v>
      </c>
      <c r="AC330" s="6">
        <v>2.5754534229999999</v>
      </c>
      <c r="AD330" cm="1">
        <f t="array" ref="AD330">IF(SUMPRODUCT(--($AM$2:$AM$112=TRIM(LEFT($B330,IFERROR(FIND(" ",$B330)-1,LEN($B330))))))&gt;0,1,0)</f>
        <v>0</v>
      </c>
      <c r="AE330" cm="1">
        <f t="array" ref="AE330">IF(SUMPRODUCT(--($AO$2:$AO$145=TRIM(LEFT($B330,IFERROR(FIND(" ",$B330)-1,LEN($B330))))))&gt;0,1,0)</f>
        <v>0</v>
      </c>
      <c r="AF330" cm="1">
        <f t="array" ref="AF330">IF(SUMPRODUCT(--($AQ$2:$AQ$71=TRIM(LEFT($B330,IFERROR(FIND(" ",$B330)-1,LEN($B330))))))&gt;0,1,0)</f>
        <v>0</v>
      </c>
    </row>
    <row r="331" spans="1:32" ht="75.75" thickBot="1" x14ac:dyDescent="0.3">
      <c r="A331" s="13">
        <v>202</v>
      </c>
      <c r="B331" s="4" t="s">
        <v>804</v>
      </c>
      <c r="C331" s="4" t="s">
        <v>724</v>
      </c>
      <c r="D331" s="7">
        <v>44965</v>
      </c>
      <c r="E331" s="3">
        <v>1051.6600000000001</v>
      </c>
      <c r="F331" s="4" t="s">
        <v>30</v>
      </c>
      <c r="G331" s="4"/>
      <c r="H331" s="4" t="s">
        <v>65</v>
      </c>
      <c r="I331" s="4" t="s">
        <v>206</v>
      </c>
      <c r="J331" s="4" t="s">
        <v>206</v>
      </c>
      <c r="K331" s="4"/>
      <c r="L331" s="4"/>
      <c r="M331" s="3">
        <v>9.68</v>
      </c>
      <c r="N331" s="3">
        <v>1051.6600000000001</v>
      </c>
      <c r="O331" s="4" t="s">
        <v>34</v>
      </c>
      <c r="P331" s="4" t="s">
        <v>49</v>
      </c>
      <c r="Q331" s="4" t="s">
        <v>35</v>
      </c>
      <c r="R331" s="3">
        <v>1359.6</v>
      </c>
      <c r="S331" s="3">
        <v>-6.0222100000000003</v>
      </c>
      <c r="T331" s="4" t="s">
        <v>97</v>
      </c>
      <c r="U331" s="2" t="s">
        <v>37</v>
      </c>
      <c r="V331" s="2" t="s">
        <v>37</v>
      </c>
      <c r="W331" s="2" t="s">
        <v>38</v>
      </c>
      <c r="X331" s="2" t="s">
        <v>37</v>
      </c>
      <c r="Y331" s="2" t="s">
        <v>37</v>
      </c>
      <c r="Z331" s="2" t="s">
        <v>37</v>
      </c>
      <c r="AA331" s="6">
        <v>3.0218753559999998</v>
      </c>
      <c r="AB331" s="6">
        <v>3.1334111560000002</v>
      </c>
      <c r="AC331" s="6">
        <v>3.0218753559999998</v>
      </c>
      <c r="AD331" cm="1">
        <f t="array" ref="AD331">IF(SUMPRODUCT(--($AM$2:$AM$112=TRIM(LEFT($B331,IFERROR(FIND(" ",$B331)-1,LEN($B331))))))&gt;0,1,0)</f>
        <v>0</v>
      </c>
      <c r="AE331" cm="1">
        <f t="array" ref="AE331">IF(SUMPRODUCT(--($AO$2:$AO$145=TRIM(LEFT($B331,IFERROR(FIND(" ",$B331)-1,LEN($B331))))))&gt;0,1,0)</f>
        <v>0</v>
      </c>
      <c r="AF331" cm="1">
        <f t="array" ref="AF331">IF(SUMPRODUCT(--($AQ$2:$AQ$71=TRIM(LEFT($B331,IFERROR(FIND(" ",$B331)-1,LEN($B331))))))&gt;0,1,0)</f>
        <v>0</v>
      </c>
    </row>
    <row r="332" spans="1:32" ht="105.75" thickBot="1" x14ac:dyDescent="0.3">
      <c r="A332" s="13">
        <v>84</v>
      </c>
      <c r="B332" s="4" t="s">
        <v>805</v>
      </c>
      <c r="C332" s="4" t="s">
        <v>806</v>
      </c>
      <c r="D332" s="7">
        <v>45128</v>
      </c>
      <c r="E332" s="3">
        <v>1305.94</v>
      </c>
      <c r="F332" s="4" t="s">
        <v>30</v>
      </c>
      <c r="G332" s="3">
        <v>16.78</v>
      </c>
      <c r="H332" s="4" t="s">
        <v>70</v>
      </c>
      <c r="I332" s="4" t="s">
        <v>71</v>
      </c>
      <c r="J332" s="4" t="s">
        <v>417</v>
      </c>
      <c r="K332" s="4"/>
      <c r="L332" s="4"/>
      <c r="M332" s="3">
        <v>5.27</v>
      </c>
      <c r="N332" s="3">
        <v>1212.06</v>
      </c>
      <c r="O332" s="4" t="s">
        <v>34</v>
      </c>
      <c r="P332" s="4" t="s">
        <v>34</v>
      </c>
      <c r="Q332" s="4" t="s">
        <v>35</v>
      </c>
      <c r="R332" s="3">
        <v>404.01499999999999</v>
      </c>
      <c r="S332" s="3">
        <v>13.268599999999999</v>
      </c>
      <c r="T332" s="4" t="s">
        <v>807</v>
      </c>
      <c r="U332" s="2" t="s">
        <v>37</v>
      </c>
      <c r="V332" s="2" t="s">
        <v>37</v>
      </c>
      <c r="W332" s="2" t="s">
        <v>37</v>
      </c>
      <c r="X332" s="2" t="s">
        <v>37</v>
      </c>
      <c r="Y332" s="2" t="s">
        <v>38</v>
      </c>
      <c r="Z332" s="2" t="s">
        <v>37</v>
      </c>
      <c r="AA332" s="6">
        <v>3.1159232239999999</v>
      </c>
      <c r="AB332" s="6">
        <v>2.60639749</v>
      </c>
      <c r="AC332" s="6">
        <v>3.0835241189999998</v>
      </c>
      <c r="AD332" cm="1">
        <f t="array" ref="AD332">IF(SUMPRODUCT(--($AM$2:$AM$112=TRIM(LEFT($B332,IFERROR(FIND(" ",$B332)-1,LEN($B332))))))&gt;0,1,0)</f>
        <v>0</v>
      </c>
      <c r="AE332" cm="1">
        <f t="array" ref="AE332">IF(SUMPRODUCT(--($AO$2:$AO$145=TRIM(LEFT($B332,IFERROR(FIND(" ",$B332)-1,LEN($B332))))))&gt;0,1,0)</f>
        <v>0</v>
      </c>
      <c r="AF332" cm="1">
        <f t="array" ref="AF332">IF(SUMPRODUCT(--($AQ$2:$AQ$71=TRIM(LEFT($B332,IFERROR(FIND(" ",$B332)-1,LEN($B332))))))&gt;0,1,0)</f>
        <v>0</v>
      </c>
    </row>
    <row r="333" spans="1:32" ht="135.75" thickBot="1" x14ac:dyDescent="0.3">
      <c r="A333" s="13">
        <v>48</v>
      </c>
      <c r="B333" s="4" t="s">
        <v>808</v>
      </c>
      <c r="C333" s="4" t="s">
        <v>230</v>
      </c>
      <c r="D333" s="7">
        <v>45175</v>
      </c>
      <c r="E333" s="3">
        <v>1661</v>
      </c>
      <c r="F333" s="4" t="s">
        <v>30</v>
      </c>
      <c r="G333" s="3">
        <v>48.58</v>
      </c>
      <c r="H333" s="4" t="s">
        <v>31</v>
      </c>
      <c r="I333" s="4" t="s">
        <v>32</v>
      </c>
      <c r="J333" s="4" t="s">
        <v>33</v>
      </c>
      <c r="K333" s="4"/>
      <c r="L333" s="4"/>
      <c r="M333" s="3">
        <v>37.67</v>
      </c>
      <c r="N333" s="3">
        <v>1605.09</v>
      </c>
      <c r="O333" s="4" t="s">
        <v>34</v>
      </c>
      <c r="P333" s="4" t="s">
        <v>34</v>
      </c>
      <c r="Q333" s="4" t="s">
        <v>35</v>
      </c>
      <c r="R333" s="3">
        <v>653.17200000000003</v>
      </c>
      <c r="S333" s="3">
        <v>0.399538</v>
      </c>
      <c r="T333" s="4" t="s">
        <v>225</v>
      </c>
      <c r="U333" s="2" t="s">
        <v>37</v>
      </c>
      <c r="V333" s="2" t="s">
        <v>37</v>
      </c>
      <c r="W333" s="2" t="s">
        <v>37</v>
      </c>
      <c r="X333" s="2" t="s">
        <v>38</v>
      </c>
      <c r="Y333" s="2" t="s">
        <v>38</v>
      </c>
      <c r="Z333" s="2" t="s">
        <v>37</v>
      </c>
      <c r="AA333" s="6">
        <v>3.2203696320000001</v>
      </c>
      <c r="AB333" s="6">
        <v>2.8150275589999998</v>
      </c>
      <c r="AC333" s="6">
        <v>3.2054993889999999</v>
      </c>
      <c r="AD333" cm="1">
        <f t="array" ref="AD333">IF(SUMPRODUCT(--($AM$2:$AM$112=TRIM(LEFT($B333,IFERROR(FIND(" ",$B333)-1,LEN($B333))))))&gt;0,1,0)</f>
        <v>0</v>
      </c>
      <c r="AE333" cm="1">
        <f t="array" ref="AE333">IF(SUMPRODUCT(--($AO$2:$AO$145=TRIM(LEFT($B333,IFERROR(FIND(" ",$B333)-1,LEN($B333))))))&gt;0,1,0)</f>
        <v>0</v>
      </c>
      <c r="AF333" cm="1">
        <f t="array" ref="AF333">IF(SUMPRODUCT(--($AQ$2:$AQ$71=TRIM(LEFT($B333,IFERROR(FIND(" ",$B333)-1,LEN($B333))))))&gt;0,1,0)</f>
        <v>0</v>
      </c>
    </row>
    <row r="334" spans="1:32" ht="105.75" thickBot="1" x14ac:dyDescent="0.3">
      <c r="A334" s="13">
        <v>33</v>
      </c>
      <c r="B334" s="4" t="s">
        <v>809</v>
      </c>
      <c r="C334" s="4" t="s">
        <v>810</v>
      </c>
      <c r="D334" s="7">
        <v>45195</v>
      </c>
      <c r="E334" s="3">
        <v>713.42</v>
      </c>
      <c r="F334" s="4" t="s">
        <v>30</v>
      </c>
      <c r="G334" s="4"/>
      <c r="H334" s="4" t="s">
        <v>41</v>
      </c>
      <c r="I334" s="4" t="s">
        <v>41</v>
      </c>
      <c r="J334" s="4" t="s">
        <v>42</v>
      </c>
      <c r="K334" s="4"/>
      <c r="L334" s="4"/>
      <c r="M334" s="3">
        <v>71.790000000000006</v>
      </c>
      <c r="N334" s="3">
        <v>793.87</v>
      </c>
      <c r="O334" s="4" t="s">
        <v>34</v>
      </c>
      <c r="P334" s="4" t="s">
        <v>56</v>
      </c>
      <c r="Q334" s="4" t="s">
        <v>35</v>
      </c>
      <c r="R334" s="3">
        <v>285.70999999999998</v>
      </c>
      <c r="S334" s="3">
        <v>-19.604099999999999</v>
      </c>
      <c r="T334" s="4" t="s">
        <v>57</v>
      </c>
      <c r="U334" s="2" t="s">
        <v>37</v>
      </c>
      <c r="V334" s="2" t="s">
        <v>37</v>
      </c>
      <c r="W334" s="2" t="s">
        <v>38</v>
      </c>
      <c r="X334" s="2" t="s">
        <v>37</v>
      </c>
      <c r="Y334" s="2" t="s">
        <v>37</v>
      </c>
      <c r="Z334" s="2" t="s">
        <v>38</v>
      </c>
      <c r="AA334" s="6">
        <v>2.8533452800000001</v>
      </c>
      <c r="AB334" s="6">
        <v>2.4559254410000002</v>
      </c>
      <c r="AC334" s="6">
        <v>2.8997493900000002</v>
      </c>
      <c r="AD334" cm="1">
        <f t="array" ref="AD334">IF(SUMPRODUCT(--($AM$2:$AM$112=TRIM(LEFT($B334,IFERROR(FIND(" ",$B334)-1,LEN($B334))))))&gt;0,1,0)</f>
        <v>0</v>
      </c>
      <c r="AE334" cm="1">
        <f t="array" ref="AE334">IF(SUMPRODUCT(--($AO$2:$AO$145=TRIM(LEFT($B334,IFERROR(FIND(" ",$B334)-1,LEN($B334))))))&gt;0,1,0)</f>
        <v>0</v>
      </c>
      <c r="AF334" cm="1">
        <f t="array" ref="AF334">IF(SUMPRODUCT(--($AQ$2:$AQ$71=TRIM(LEFT($B334,IFERROR(FIND(" ",$B334)-1,LEN($B334))))))&gt;0,1,0)</f>
        <v>0</v>
      </c>
    </row>
    <row r="335" spans="1:32" ht="135.75" thickBot="1" x14ac:dyDescent="0.3">
      <c r="A335" s="13">
        <v>73</v>
      </c>
      <c r="B335" s="4" t="s">
        <v>811</v>
      </c>
      <c r="C335" s="2"/>
      <c r="D335" s="7">
        <v>45138</v>
      </c>
      <c r="E335" s="3">
        <v>5778.9</v>
      </c>
      <c r="F335" s="4" t="s">
        <v>30</v>
      </c>
      <c r="G335" s="4"/>
      <c r="H335" s="4" t="s">
        <v>31</v>
      </c>
      <c r="I335" s="4" t="s">
        <v>32</v>
      </c>
      <c r="J335" s="4" t="s">
        <v>33</v>
      </c>
      <c r="K335" s="4"/>
      <c r="L335" s="4"/>
      <c r="M335" s="3">
        <v>23.41</v>
      </c>
      <c r="N335" s="3">
        <v>6109.35</v>
      </c>
      <c r="O335" s="4" t="s">
        <v>34</v>
      </c>
      <c r="P335" s="4" t="s">
        <v>34</v>
      </c>
      <c r="Q335" s="4" t="s">
        <v>35</v>
      </c>
      <c r="R335" s="3">
        <v>925.62599999999998</v>
      </c>
      <c r="S335" s="3">
        <v>-14.2379</v>
      </c>
      <c r="T335" s="4" t="s">
        <v>242</v>
      </c>
      <c r="U335" s="2" t="s">
        <v>37</v>
      </c>
      <c r="V335" s="2" t="s">
        <v>37</v>
      </c>
      <c r="W335" s="2" t="s">
        <v>37</v>
      </c>
      <c r="X335" s="2" t="s">
        <v>38</v>
      </c>
      <c r="Y335" s="2" t="s">
        <v>38</v>
      </c>
      <c r="Z335" s="2" t="s">
        <v>37</v>
      </c>
      <c r="AA335" s="6">
        <v>3.7618451789999998</v>
      </c>
      <c r="AB335" s="6">
        <v>2.966435545</v>
      </c>
      <c r="AC335" s="6">
        <v>3.7859950059999998</v>
      </c>
      <c r="AD335" cm="1">
        <f t="array" ref="AD335">IF(SUMPRODUCT(--($AM$2:$AM$112=TRIM(LEFT($B335,IFERROR(FIND(" ",$B335)-1,LEN($B335))))))&gt;0,1,0)</f>
        <v>0</v>
      </c>
      <c r="AE335" cm="1">
        <f t="array" ref="AE335">IF(SUMPRODUCT(--($AO$2:$AO$145=TRIM(LEFT($B335,IFERROR(FIND(" ",$B335)-1,LEN($B335))))))&gt;0,1,0)</f>
        <v>1</v>
      </c>
      <c r="AF335" cm="1">
        <f t="array" ref="AF335">IF(SUMPRODUCT(--($AQ$2:$AQ$71=TRIM(LEFT($B335,IFERROR(FIND(" ",$B335)-1,LEN($B335))))))&gt;0,1,0)</f>
        <v>0</v>
      </c>
    </row>
    <row r="336" spans="1:32" ht="45.75" thickBot="1" x14ac:dyDescent="0.3">
      <c r="A336" s="13">
        <v>43</v>
      </c>
      <c r="B336" s="4" t="s">
        <v>812</v>
      </c>
      <c r="C336" s="4" t="s">
        <v>813</v>
      </c>
      <c r="D336" s="7">
        <v>45180</v>
      </c>
      <c r="E336" s="3">
        <v>5470.95</v>
      </c>
      <c r="F336" s="4" t="s">
        <v>107</v>
      </c>
      <c r="G336" s="3">
        <v>17.14</v>
      </c>
      <c r="H336" s="4" t="s">
        <v>127</v>
      </c>
      <c r="I336" s="4" t="s">
        <v>128</v>
      </c>
      <c r="J336" s="4" t="s">
        <v>129</v>
      </c>
      <c r="K336" s="4"/>
      <c r="L336" s="3">
        <v>175</v>
      </c>
      <c r="M336" s="3">
        <v>35.35</v>
      </c>
      <c r="N336" s="3">
        <v>4554.88</v>
      </c>
      <c r="O336" s="4" t="s">
        <v>34</v>
      </c>
      <c r="P336" s="4" t="s">
        <v>34</v>
      </c>
      <c r="Q336" s="4" t="s">
        <v>35</v>
      </c>
      <c r="R336" s="3">
        <v>1358.21</v>
      </c>
      <c r="S336" s="3">
        <v>16.104800000000001</v>
      </c>
      <c r="T336" s="4" t="s">
        <v>43</v>
      </c>
      <c r="U336" s="2" t="s">
        <v>37</v>
      </c>
      <c r="V336" s="2" t="s">
        <v>37</v>
      </c>
      <c r="W336" s="2" t="s">
        <v>37</v>
      </c>
      <c r="X336" s="2" t="s">
        <v>37</v>
      </c>
      <c r="Y336" s="2" t="s">
        <v>37</v>
      </c>
      <c r="Z336" s="2" t="s">
        <v>37</v>
      </c>
      <c r="AA336" s="6">
        <v>3.7380627460000002</v>
      </c>
      <c r="AB336" s="6">
        <v>3.1329669240000002</v>
      </c>
      <c r="AC336" s="6">
        <v>3.6584769399999999</v>
      </c>
      <c r="AD336" cm="1">
        <f t="array" ref="AD336">IF(SUMPRODUCT(--($AM$2:$AM$112=TRIM(LEFT($B336,IFERROR(FIND(" ",$B336)-1,LEN($B336))))))&gt;0,1,0)</f>
        <v>0</v>
      </c>
      <c r="AE336" cm="1">
        <f t="array" ref="AE336">IF(SUMPRODUCT(--($AO$2:$AO$145=TRIM(LEFT($B336,IFERROR(FIND(" ",$B336)-1,LEN($B336))))))&gt;0,1,0)</f>
        <v>0</v>
      </c>
      <c r="AF336" cm="1">
        <f t="array" ref="AF336">IF(SUMPRODUCT(--($AQ$2:$AQ$71=TRIM(LEFT($B336,IFERROR(FIND(" ",$B336)-1,LEN($B336))))))&gt;0,1,0)</f>
        <v>0</v>
      </c>
    </row>
    <row r="337" spans="1:32" ht="135.75" thickBot="1" x14ac:dyDescent="0.3">
      <c r="A337" s="13">
        <v>66</v>
      </c>
      <c r="B337" s="4" t="s">
        <v>814</v>
      </c>
      <c r="C337" s="4" t="s">
        <v>815</v>
      </c>
      <c r="D337" s="7">
        <v>45147</v>
      </c>
      <c r="E337" s="3">
        <v>1376.78</v>
      </c>
      <c r="F337" s="4" t="s">
        <v>30</v>
      </c>
      <c r="G337" s="4"/>
      <c r="H337" s="4" t="s">
        <v>31</v>
      </c>
      <c r="I337" s="4" t="s">
        <v>32</v>
      </c>
      <c r="J337" s="4" t="s">
        <v>33</v>
      </c>
      <c r="K337" s="4"/>
      <c r="L337" s="4"/>
      <c r="M337" s="3">
        <v>6.12</v>
      </c>
      <c r="N337" s="3">
        <v>1191.22</v>
      </c>
      <c r="O337" s="4" t="s">
        <v>34</v>
      </c>
      <c r="P337" s="4" t="s">
        <v>34</v>
      </c>
      <c r="Q337" s="4" t="s">
        <v>35</v>
      </c>
      <c r="R337" s="3">
        <v>417.41300000000001</v>
      </c>
      <c r="S337" s="3">
        <v>4.2669100000000002</v>
      </c>
      <c r="T337" s="4" t="s">
        <v>220</v>
      </c>
      <c r="U337" s="2" t="s">
        <v>37</v>
      </c>
      <c r="V337" s="2" t="s">
        <v>37</v>
      </c>
      <c r="W337" s="2" t="s">
        <v>37</v>
      </c>
      <c r="X337" s="2" t="s">
        <v>38</v>
      </c>
      <c r="Y337" s="2" t="s">
        <v>38</v>
      </c>
      <c r="Z337" s="2" t="s">
        <v>37</v>
      </c>
      <c r="AA337" s="6">
        <v>3.138864549</v>
      </c>
      <c r="AB337" s="6">
        <v>2.620565971</v>
      </c>
      <c r="AC337" s="6">
        <v>3.0759919760000001</v>
      </c>
      <c r="AD337" cm="1">
        <f t="array" ref="AD337">IF(SUMPRODUCT(--($AM$2:$AM$112=TRIM(LEFT($B337,IFERROR(FIND(" ",$B337)-1,LEN($B337))))))&gt;0,1,0)</f>
        <v>0</v>
      </c>
      <c r="AE337" cm="1">
        <f t="array" ref="AE337">IF(SUMPRODUCT(--($AO$2:$AO$145=TRIM(LEFT($B337,IFERROR(FIND(" ",$B337)-1,LEN($B337))))))&gt;0,1,0)</f>
        <v>0</v>
      </c>
      <c r="AF337" cm="1">
        <f t="array" ref="AF337">IF(SUMPRODUCT(--($AQ$2:$AQ$71=TRIM(LEFT($B337,IFERROR(FIND(" ",$B337)-1,LEN($B337))))))&gt;0,1,0)</f>
        <v>0</v>
      </c>
    </row>
    <row r="338" spans="1:32" ht="135.75" thickBot="1" x14ac:dyDescent="0.3">
      <c r="A338" s="13">
        <v>66</v>
      </c>
      <c r="B338" s="4" t="s">
        <v>816</v>
      </c>
      <c r="C338" s="4" t="s">
        <v>817</v>
      </c>
      <c r="D338" s="7">
        <v>45145</v>
      </c>
      <c r="E338" s="3">
        <v>550.91</v>
      </c>
      <c r="F338" s="4" t="s">
        <v>30</v>
      </c>
      <c r="G338" s="4"/>
      <c r="H338" s="4" t="s">
        <v>31</v>
      </c>
      <c r="I338" s="4" t="s">
        <v>32</v>
      </c>
      <c r="J338" s="4" t="s">
        <v>33</v>
      </c>
      <c r="K338" s="4"/>
      <c r="L338" s="4"/>
      <c r="M338" s="3">
        <v>27.36</v>
      </c>
      <c r="N338" s="3">
        <v>281.94</v>
      </c>
      <c r="O338" s="4" t="s">
        <v>34</v>
      </c>
      <c r="P338" s="4" t="s">
        <v>34</v>
      </c>
      <c r="Q338" s="4" t="s">
        <v>35</v>
      </c>
      <c r="R338" s="3">
        <v>299.51600000000002</v>
      </c>
      <c r="S338" s="3">
        <v>-16.611799999999999</v>
      </c>
      <c r="T338" s="4" t="s">
        <v>225</v>
      </c>
      <c r="U338" s="2" t="s">
        <v>37</v>
      </c>
      <c r="V338" s="2" t="s">
        <v>37</v>
      </c>
      <c r="W338" s="2" t="s">
        <v>37</v>
      </c>
      <c r="X338" s="2" t="s">
        <v>38</v>
      </c>
      <c r="Y338" s="2" t="s">
        <v>38</v>
      </c>
      <c r="Z338" s="2" t="s">
        <v>37</v>
      </c>
      <c r="AA338" s="6">
        <v>2.7410806559999998</v>
      </c>
      <c r="AB338" s="6">
        <v>2.4764200270000001</v>
      </c>
      <c r="AC338" s="6">
        <v>2.450156695</v>
      </c>
      <c r="AD338" cm="1">
        <f t="array" ref="AD338">IF(SUMPRODUCT(--($AM$2:$AM$112=TRIM(LEFT($B338,IFERROR(FIND(" ",$B338)-1,LEN($B338))))))&gt;0,1,0)</f>
        <v>0</v>
      </c>
      <c r="AE338" cm="1">
        <f t="array" ref="AE338">IF(SUMPRODUCT(--($AO$2:$AO$145=TRIM(LEFT($B338,IFERROR(FIND(" ",$B338)-1,LEN($B338))))))&gt;0,1,0)</f>
        <v>0</v>
      </c>
      <c r="AF338" cm="1">
        <f t="array" ref="AF338">IF(SUMPRODUCT(--($AQ$2:$AQ$71=TRIM(LEFT($B338,IFERROR(FIND(" ",$B338)-1,LEN($B338))))))&gt;0,1,0)</f>
        <v>0</v>
      </c>
    </row>
    <row r="339" spans="1:32" ht="45.75" thickBot="1" x14ac:dyDescent="0.3">
      <c r="A339" s="13">
        <v>58</v>
      </c>
      <c r="B339" s="4" t="s">
        <v>818</v>
      </c>
      <c r="C339" s="4" t="s">
        <v>819</v>
      </c>
      <c r="D339" s="7">
        <v>45154</v>
      </c>
      <c r="E339" s="3">
        <v>6127.67</v>
      </c>
      <c r="F339" s="4" t="s">
        <v>46</v>
      </c>
      <c r="G339" s="3">
        <v>5.82</v>
      </c>
      <c r="H339" s="4" t="s">
        <v>118</v>
      </c>
      <c r="I339" s="4" t="s">
        <v>119</v>
      </c>
      <c r="J339" s="4" t="s">
        <v>120</v>
      </c>
      <c r="K339" s="4"/>
      <c r="L339" s="4"/>
      <c r="M339" s="3">
        <v>-2.13</v>
      </c>
      <c r="N339" s="3">
        <v>2840.57</v>
      </c>
      <c r="O339" s="4" t="s">
        <v>34</v>
      </c>
      <c r="P339" s="4" t="s">
        <v>34</v>
      </c>
      <c r="Q339" s="4" t="s">
        <v>35</v>
      </c>
      <c r="R339" s="3">
        <v>6000.7</v>
      </c>
      <c r="S339" s="3">
        <v>7.1105999999999998</v>
      </c>
      <c r="T339" s="4" t="s">
        <v>43</v>
      </c>
      <c r="U339" s="2" t="s">
        <v>37</v>
      </c>
      <c r="V339" s="2" t="s">
        <v>37</v>
      </c>
      <c r="W339" s="2" t="s">
        <v>37</v>
      </c>
      <c r="X339" s="2" t="s">
        <v>37</v>
      </c>
      <c r="Y339" s="2" t="s">
        <v>37</v>
      </c>
      <c r="Z339" s="2" t="s">
        <v>37</v>
      </c>
      <c r="AA339" s="6">
        <v>3.7872953690000002</v>
      </c>
      <c r="AB339" s="6">
        <v>3.7782019149999999</v>
      </c>
      <c r="AC339" s="6">
        <v>3.4534054959999998</v>
      </c>
      <c r="AD339" cm="1">
        <f t="array" ref="AD339">IF(SUMPRODUCT(--($AM$2:$AM$112=TRIM(LEFT($B339,IFERROR(FIND(" ",$B339)-1,LEN($B339))))))&gt;0,1,0)</f>
        <v>0</v>
      </c>
      <c r="AE339" cm="1">
        <f t="array" ref="AE339">IF(SUMPRODUCT(--($AO$2:$AO$145=TRIM(LEFT($B339,IFERROR(FIND(" ",$B339)-1,LEN($B339))))))&gt;0,1,0)</f>
        <v>0</v>
      </c>
      <c r="AF339" cm="1">
        <f t="array" ref="AF339">IF(SUMPRODUCT(--($AQ$2:$AQ$71=TRIM(LEFT($B339,IFERROR(FIND(" ",$B339)-1,LEN($B339))))))&gt;0,1,0)</f>
        <v>0</v>
      </c>
    </row>
    <row r="340" spans="1:32" ht="45.75" thickBot="1" x14ac:dyDescent="0.3">
      <c r="A340" s="13">
        <v>81</v>
      </c>
      <c r="B340" s="4" t="s">
        <v>820</v>
      </c>
      <c r="C340" s="4" t="s">
        <v>720</v>
      </c>
      <c r="D340" s="7">
        <v>45120</v>
      </c>
      <c r="E340" s="3">
        <v>4522.62</v>
      </c>
      <c r="F340" s="4" t="s">
        <v>46</v>
      </c>
      <c r="G340" s="3">
        <v>7.72</v>
      </c>
      <c r="H340" s="4" t="s">
        <v>118</v>
      </c>
      <c r="I340" s="4" t="s">
        <v>119</v>
      </c>
      <c r="J340" s="4" t="s">
        <v>120</v>
      </c>
      <c r="K340" s="4"/>
      <c r="L340" s="4"/>
      <c r="M340" s="3">
        <v>1.99</v>
      </c>
      <c r="N340" s="3">
        <v>4435.93</v>
      </c>
      <c r="O340" s="4" t="s">
        <v>34</v>
      </c>
      <c r="P340" s="4" t="s">
        <v>34</v>
      </c>
      <c r="Q340" s="4" t="s">
        <v>35</v>
      </c>
      <c r="R340" s="3">
        <v>1388.59</v>
      </c>
      <c r="S340" s="3">
        <v>26.3674</v>
      </c>
      <c r="T340" s="4" t="s">
        <v>43</v>
      </c>
      <c r="U340" s="2" t="s">
        <v>37</v>
      </c>
      <c r="V340" s="2" t="s">
        <v>37</v>
      </c>
      <c r="W340" s="2" t="s">
        <v>37</v>
      </c>
      <c r="X340" s="2" t="s">
        <v>37</v>
      </c>
      <c r="Y340" s="2" t="s">
        <v>37</v>
      </c>
      <c r="Z340" s="2" t="s">
        <v>37</v>
      </c>
      <c r="AA340" s="6">
        <v>3.6553900989999999</v>
      </c>
      <c r="AB340" s="6">
        <v>3.1425740329999998</v>
      </c>
      <c r="AC340" s="6">
        <v>3.646984684</v>
      </c>
      <c r="AD340" cm="1">
        <f t="array" ref="AD340">IF(SUMPRODUCT(--($AM$2:$AM$112=TRIM(LEFT($B340,IFERROR(FIND(" ",$B340)-1,LEN($B340))))))&gt;0,1,0)</f>
        <v>0</v>
      </c>
      <c r="AE340" cm="1">
        <f t="array" ref="AE340">IF(SUMPRODUCT(--($AO$2:$AO$145=TRIM(LEFT($B340,IFERROR(FIND(" ",$B340)-1,LEN($B340))))))&gt;0,1,0)</f>
        <v>0</v>
      </c>
      <c r="AF340" cm="1">
        <f t="array" ref="AF340">IF(SUMPRODUCT(--($AQ$2:$AQ$71=TRIM(LEFT($B340,IFERROR(FIND(" ",$B340)-1,LEN($B340))))))&gt;0,1,0)</f>
        <v>0</v>
      </c>
    </row>
    <row r="341" spans="1:32" ht="45.75" thickBot="1" x14ac:dyDescent="0.3">
      <c r="A341" s="13">
        <v>53</v>
      </c>
      <c r="B341" s="4" t="s">
        <v>821</v>
      </c>
      <c r="C341" s="4" t="s">
        <v>822</v>
      </c>
      <c r="D341" s="7">
        <v>45159</v>
      </c>
      <c r="E341" s="3">
        <v>2809.78</v>
      </c>
      <c r="F341" s="4" t="s">
        <v>46</v>
      </c>
      <c r="G341" s="3">
        <v>2.21</v>
      </c>
      <c r="H341" s="4" t="s">
        <v>118</v>
      </c>
      <c r="I341" s="4" t="s">
        <v>119</v>
      </c>
      <c r="J341" s="4" t="s">
        <v>120</v>
      </c>
      <c r="K341" s="3">
        <v>175</v>
      </c>
      <c r="L341" s="3">
        <v>87.5</v>
      </c>
      <c r="M341" s="3">
        <v>8.84</v>
      </c>
      <c r="N341" s="3">
        <v>1831.06</v>
      </c>
      <c r="O341" s="4" t="s">
        <v>34</v>
      </c>
      <c r="P341" s="4" t="s">
        <v>34</v>
      </c>
      <c r="Q341" s="4" t="s">
        <v>35</v>
      </c>
      <c r="R341" s="3">
        <v>1695.15</v>
      </c>
      <c r="S341" s="3">
        <v>42.072800000000001</v>
      </c>
      <c r="T341" s="4" t="s">
        <v>43</v>
      </c>
      <c r="U341" s="2" t="s">
        <v>37</v>
      </c>
      <c r="V341" s="2" t="s">
        <v>37</v>
      </c>
      <c r="W341" s="2" t="s">
        <v>37</v>
      </c>
      <c r="X341" s="2" t="s">
        <v>37</v>
      </c>
      <c r="Y341" s="2" t="s">
        <v>37</v>
      </c>
      <c r="Z341" s="2" t="s">
        <v>37</v>
      </c>
      <c r="AA341" s="6">
        <v>3.4486723170000002</v>
      </c>
      <c r="AB341" s="6">
        <v>3.2292081339999998</v>
      </c>
      <c r="AC341" s="6">
        <v>3.262702575</v>
      </c>
      <c r="AD341" cm="1">
        <f t="array" ref="AD341">IF(SUMPRODUCT(--($AM$2:$AM$112=TRIM(LEFT($B341,IFERROR(FIND(" ",$B341)-1,LEN($B341))))))&gt;0,1,0)</f>
        <v>0</v>
      </c>
      <c r="AE341" cm="1">
        <f t="array" ref="AE341">IF(SUMPRODUCT(--($AO$2:$AO$145=TRIM(LEFT($B341,IFERROR(FIND(" ",$B341)-1,LEN($B341))))))&gt;0,1,0)</f>
        <v>0</v>
      </c>
      <c r="AF341" cm="1">
        <f t="array" ref="AF341">IF(SUMPRODUCT(--($AQ$2:$AQ$71=TRIM(LEFT($B341,IFERROR(FIND(" ",$B341)-1,LEN($B341))))))&gt;0,1,0)</f>
        <v>0</v>
      </c>
    </row>
    <row r="342" spans="1:32" ht="90.75" thickBot="1" x14ac:dyDescent="0.3">
      <c r="A342" s="13">
        <v>665</v>
      </c>
      <c r="B342" s="4" t="s">
        <v>492</v>
      </c>
      <c r="C342" s="4" t="s">
        <v>384</v>
      </c>
      <c r="D342" s="7">
        <v>44299</v>
      </c>
      <c r="E342" s="3">
        <v>682.2</v>
      </c>
      <c r="F342" s="4" t="s">
        <v>30</v>
      </c>
      <c r="G342" s="3">
        <v>13.68</v>
      </c>
      <c r="H342" s="4" t="s">
        <v>75</v>
      </c>
      <c r="I342" s="4" t="s">
        <v>76</v>
      </c>
      <c r="J342" s="4" t="s">
        <v>298</v>
      </c>
      <c r="K342" s="4"/>
      <c r="L342" s="4"/>
      <c r="M342" s="4"/>
      <c r="N342" s="3">
        <v>213.54</v>
      </c>
      <c r="O342" s="4" t="s">
        <v>34</v>
      </c>
      <c r="P342" s="4" t="s">
        <v>34</v>
      </c>
      <c r="Q342" s="4" t="s">
        <v>35</v>
      </c>
      <c r="R342" s="3">
        <v>1432.69</v>
      </c>
      <c r="S342" s="3">
        <v>2.5965100000000001E-2</v>
      </c>
      <c r="T342" s="4" t="s">
        <v>823</v>
      </c>
      <c r="U342" s="2" t="s">
        <v>37</v>
      </c>
      <c r="V342" s="2" t="s">
        <v>37</v>
      </c>
      <c r="W342" s="2" t="s">
        <v>38</v>
      </c>
      <c r="X342" s="2" t="s">
        <v>37</v>
      </c>
      <c r="Y342" s="2" t="s">
        <v>37</v>
      </c>
      <c r="Z342" s="2" t="s">
        <v>37</v>
      </c>
      <c r="AA342" s="6">
        <v>2.8339117150000002</v>
      </c>
      <c r="AB342" s="6">
        <v>3.15615223</v>
      </c>
      <c r="AC342" s="6">
        <v>2.3294792379999998</v>
      </c>
      <c r="AD342" cm="1">
        <f t="array" ref="AD342">IF(SUMPRODUCT(--($AM$2:$AM$112=TRIM(LEFT($B342,IFERROR(FIND(" ",$B342)-1,LEN($B342))))))&gt;0,1,0)</f>
        <v>0</v>
      </c>
      <c r="AE342" cm="1">
        <f t="array" ref="AE342">IF(SUMPRODUCT(--($AO$2:$AO$145=TRIM(LEFT($B342,IFERROR(FIND(" ",$B342)-1,LEN($B342))))))&gt;0,1,0)</f>
        <v>0</v>
      </c>
      <c r="AF342" cm="1">
        <f t="array" ref="AF342">IF(SUMPRODUCT(--($AQ$2:$AQ$71=TRIM(LEFT($B342,IFERROR(FIND(" ",$B342)-1,LEN($B342))))))&gt;0,1,0)</f>
        <v>0</v>
      </c>
    </row>
    <row r="343" spans="1:32" ht="135.75" thickBot="1" x14ac:dyDescent="0.3">
      <c r="A343" s="13">
        <v>98</v>
      </c>
      <c r="B343" s="4" t="s">
        <v>824</v>
      </c>
      <c r="C343" s="4" t="s">
        <v>806</v>
      </c>
      <c r="D343" s="7">
        <v>45082</v>
      </c>
      <c r="E343" s="3">
        <v>1589.83</v>
      </c>
      <c r="F343" s="4" t="s">
        <v>30</v>
      </c>
      <c r="G343" s="3">
        <v>14.65</v>
      </c>
      <c r="H343" s="4" t="s">
        <v>70</v>
      </c>
      <c r="I343" s="4" t="s">
        <v>71</v>
      </c>
      <c r="J343" s="4" t="s">
        <v>72</v>
      </c>
      <c r="K343" s="3">
        <v>125</v>
      </c>
      <c r="L343" s="3">
        <v>42.75</v>
      </c>
      <c r="M343" s="3">
        <v>22.81</v>
      </c>
      <c r="N343" s="3">
        <v>1141.8599999999999</v>
      </c>
      <c r="O343" s="4" t="s">
        <v>34</v>
      </c>
      <c r="P343" s="4" t="s">
        <v>34</v>
      </c>
      <c r="Q343" s="4" t="s">
        <v>35</v>
      </c>
      <c r="R343" s="2"/>
      <c r="S343" s="2"/>
      <c r="T343" s="4" t="s">
        <v>825</v>
      </c>
      <c r="U343" s="2" t="s">
        <v>37</v>
      </c>
      <c r="V343" s="2" t="s">
        <v>37</v>
      </c>
      <c r="W343" s="2" t="s">
        <v>37</v>
      </c>
      <c r="X343" s="2" t="s">
        <v>38</v>
      </c>
      <c r="Y343" s="2" t="s">
        <v>38</v>
      </c>
      <c r="Z343" s="2" t="s">
        <v>37</v>
      </c>
      <c r="AA343" s="6">
        <v>3.2013506879999998</v>
      </c>
      <c r="AB343" s="2"/>
      <c r="AC343" s="6">
        <v>3.0576128599999999</v>
      </c>
      <c r="AD343" cm="1">
        <f t="array" ref="AD343">IF(SUMPRODUCT(--($AM$2:$AM$112=TRIM(LEFT($B343,IFERROR(FIND(" ",$B343)-1,LEN($B343))))))&gt;0,1,0)</f>
        <v>0</v>
      </c>
      <c r="AE343" cm="1">
        <f t="array" ref="AE343">IF(SUMPRODUCT(--($AO$2:$AO$145=TRIM(LEFT($B343,IFERROR(FIND(" ",$B343)-1,LEN($B343))))))&gt;0,1,0)</f>
        <v>0</v>
      </c>
      <c r="AF343" cm="1">
        <f t="array" ref="AF343">IF(SUMPRODUCT(--($AQ$2:$AQ$71=TRIM(LEFT($B343,IFERROR(FIND(" ",$B343)-1,LEN($B343))))))&gt;0,1,0)</f>
        <v>0</v>
      </c>
    </row>
    <row r="344" spans="1:32" ht="135.75" thickBot="1" x14ac:dyDescent="0.3">
      <c r="A344" s="13">
        <v>66</v>
      </c>
      <c r="B344" s="4" t="s">
        <v>826</v>
      </c>
      <c r="C344" s="4" t="s">
        <v>827</v>
      </c>
      <c r="D344" s="7">
        <v>45126</v>
      </c>
      <c r="E344" s="3">
        <v>1291.8900000000001</v>
      </c>
      <c r="F344" s="4" t="s">
        <v>30</v>
      </c>
      <c r="G344" s="3">
        <v>7.25</v>
      </c>
      <c r="H344" s="4" t="s">
        <v>70</v>
      </c>
      <c r="I344" s="4" t="s">
        <v>94</v>
      </c>
      <c r="J344" s="4" t="s">
        <v>95</v>
      </c>
      <c r="K344" s="3">
        <v>72.568299999999994</v>
      </c>
      <c r="L344" s="3">
        <v>42.331499999999998</v>
      </c>
      <c r="M344" s="3">
        <v>17.75</v>
      </c>
      <c r="N344" s="3">
        <v>1107.92</v>
      </c>
      <c r="O344" s="4" t="s">
        <v>34</v>
      </c>
      <c r="P344" s="4" t="s">
        <v>34</v>
      </c>
      <c r="Q344" s="4" t="s">
        <v>35</v>
      </c>
      <c r="R344" s="3">
        <v>709.33100000000002</v>
      </c>
      <c r="S344" s="3">
        <v>13.725300000000001</v>
      </c>
      <c r="T344" s="4" t="s">
        <v>500</v>
      </c>
      <c r="U344" s="2" t="s">
        <v>37</v>
      </c>
      <c r="V344" s="2" t="s">
        <v>37</v>
      </c>
      <c r="W344" s="2" t="s">
        <v>37</v>
      </c>
      <c r="X344" s="2" t="s">
        <v>38</v>
      </c>
      <c r="Y344" s="2" t="s">
        <v>38</v>
      </c>
      <c r="Z344" s="2" t="s">
        <v>37</v>
      </c>
      <c r="AA344" s="6">
        <v>3.1112255370000002</v>
      </c>
      <c r="AB344" s="6">
        <v>2.8508489400000001</v>
      </c>
      <c r="AC344" s="6">
        <v>3.0445084019999999</v>
      </c>
      <c r="AD344" cm="1">
        <f t="array" ref="AD344">IF(SUMPRODUCT(--($AM$2:$AM$112=TRIM(LEFT($B344,IFERROR(FIND(" ",$B344)-1,LEN($B344))))))&gt;0,1,0)</f>
        <v>0</v>
      </c>
      <c r="AE344" cm="1">
        <f t="array" ref="AE344">IF(SUMPRODUCT(--($AO$2:$AO$145=TRIM(LEFT($B344,IFERROR(FIND(" ",$B344)-1,LEN($B344))))))&gt;0,1,0)</f>
        <v>0</v>
      </c>
      <c r="AF344" cm="1">
        <f t="array" ref="AF344">IF(SUMPRODUCT(--($AQ$2:$AQ$71=TRIM(LEFT($B344,IFERROR(FIND(" ",$B344)-1,LEN($B344))))))&gt;0,1,0)</f>
        <v>0</v>
      </c>
    </row>
    <row r="345" spans="1:32" ht="165.75" thickBot="1" x14ac:dyDescent="0.3">
      <c r="A345" s="13">
        <v>37</v>
      </c>
      <c r="B345" s="4" t="s">
        <v>828</v>
      </c>
      <c r="C345" s="4" t="s">
        <v>829</v>
      </c>
      <c r="D345" s="7">
        <v>45166</v>
      </c>
      <c r="E345" s="3">
        <v>597.62</v>
      </c>
      <c r="F345" s="4" t="s">
        <v>30</v>
      </c>
      <c r="G345" s="3">
        <v>36.83</v>
      </c>
      <c r="H345" s="4" t="s">
        <v>41</v>
      </c>
      <c r="I345" s="4" t="s">
        <v>41</v>
      </c>
      <c r="J345" s="4" t="s">
        <v>100</v>
      </c>
      <c r="K345" s="4"/>
      <c r="L345" s="4"/>
      <c r="M345" s="3">
        <v>50.03</v>
      </c>
      <c r="N345" s="3">
        <v>549.98</v>
      </c>
      <c r="O345" s="4" t="s">
        <v>34</v>
      </c>
      <c r="P345" s="4" t="s">
        <v>34</v>
      </c>
      <c r="Q345" s="4" t="s">
        <v>35</v>
      </c>
      <c r="R345" s="3">
        <v>228.73099999999999</v>
      </c>
      <c r="S345" s="3">
        <v>5.1904199999999996</v>
      </c>
      <c r="T345" s="4" t="s">
        <v>830</v>
      </c>
      <c r="U345" s="2" t="s">
        <v>37</v>
      </c>
      <c r="V345" s="2" t="s">
        <v>37</v>
      </c>
      <c r="W345" s="2" t="s">
        <v>37</v>
      </c>
      <c r="X345" s="2" t="s">
        <v>38</v>
      </c>
      <c r="Y345" s="2" t="s">
        <v>38</v>
      </c>
      <c r="Z345" s="2" t="s">
        <v>38</v>
      </c>
      <c r="AA345" s="6">
        <v>2.7764251230000001</v>
      </c>
      <c r="AB345" s="6">
        <v>2.3593250289999999</v>
      </c>
      <c r="AC345" s="6">
        <v>2.7403468969999998</v>
      </c>
      <c r="AD345" cm="1">
        <f t="array" ref="AD345">IF(SUMPRODUCT(--($AM$2:$AM$112=TRIM(LEFT($B345,IFERROR(FIND(" ",$B345)-1,LEN($B345))))))&gt;0,1,0)</f>
        <v>0</v>
      </c>
      <c r="AE345" cm="1">
        <f t="array" ref="AE345">IF(SUMPRODUCT(--($AO$2:$AO$145=TRIM(LEFT($B345,IFERROR(FIND(" ",$B345)-1,LEN($B345))))))&gt;0,1,0)</f>
        <v>0</v>
      </c>
      <c r="AF345" cm="1">
        <f t="array" ref="AF345">IF(SUMPRODUCT(--($AQ$2:$AQ$71=TRIM(LEFT($B345,IFERROR(FIND(" ",$B345)-1,LEN($B345))))))&gt;0,1,0)</f>
        <v>0</v>
      </c>
    </row>
    <row r="346" spans="1:32" ht="45.75" thickBot="1" x14ac:dyDescent="0.3">
      <c r="A346" s="13">
        <v>455</v>
      </c>
      <c r="B346" s="4" t="s">
        <v>831</v>
      </c>
      <c r="C346" s="4" t="s">
        <v>832</v>
      </c>
      <c r="D346" s="7">
        <v>44579</v>
      </c>
      <c r="E346" s="3">
        <v>67883.41</v>
      </c>
      <c r="F346" s="4" t="s">
        <v>30</v>
      </c>
      <c r="G346" s="3">
        <v>17.97</v>
      </c>
      <c r="H346" s="4" t="s">
        <v>184</v>
      </c>
      <c r="I346" s="4" t="s">
        <v>185</v>
      </c>
      <c r="J346" s="4" t="s">
        <v>186</v>
      </c>
      <c r="K346" s="3">
        <v>4500</v>
      </c>
      <c r="L346" s="3">
        <v>2270</v>
      </c>
      <c r="M346" s="3">
        <v>46</v>
      </c>
      <c r="N346" s="3">
        <v>73994.41</v>
      </c>
      <c r="O346" s="4" t="s">
        <v>34</v>
      </c>
      <c r="P346" s="4" t="s">
        <v>34</v>
      </c>
      <c r="Q346" s="4" t="s">
        <v>35</v>
      </c>
      <c r="R346" s="3">
        <v>7528</v>
      </c>
      <c r="S346" s="3">
        <v>25.683399999999999</v>
      </c>
      <c r="T346" s="4" t="s">
        <v>43</v>
      </c>
      <c r="U346" s="2" t="s">
        <v>37</v>
      </c>
      <c r="V346" s="2" t="s">
        <v>37</v>
      </c>
      <c r="W346" s="2" t="s">
        <v>37</v>
      </c>
      <c r="X346" s="2" t="s">
        <v>37</v>
      </c>
      <c r="Y346" s="2" t="s">
        <v>37</v>
      </c>
      <c r="Z346" s="2" t="s">
        <v>37</v>
      </c>
      <c r="AA346" s="6">
        <v>4.8317636500000001</v>
      </c>
      <c r="AB346" s="6">
        <v>3.8766796100000001</v>
      </c>
      <c r="AC346" s="6">
        <v>4.8691989119999999</v>
      </c>
      <c r="AD346" cm="1">
        <f t="array" ref="AD346">IF(SUMPRODUCT(--($AM$2:$AM$112=TRIM(LEFT($B346,IFERROR(FIND(" ",$B346)-1,LEN($B346))))))&gt;0,1,0)</f>
        <v>1</v>
      </c>
      <c r="AE346" cm="1">
        <f t="array" ref="AE346">IF(SUMPRODUCT(--($AO$2:$AO$145=TRIM(LEFT($B346,IFERROR(FIND(" ",$B346)-1,LEN($B346))))))&gt;0,1,0)</f>
        <v>1</v>
      </c>
      <c r="AF346" cm="1">
        <f t="array" ref="AF346">IF(SUMPRODUCT(--($AQ$2:$AQ$71=TRIM(LEFT($B346,IFERROR(FIND(" ",$B346)-1,LEN($B346))))))&gt;0,1,0)</f>
        <v>0</v>
      </c>
    </row>
    <row r="347" spans="1:32" ht="105.75" thickBot="1" x14ac:dyDescent="0.3">
      <c r="A347" s="13">
        <v>132</v>
      </c>
      <c r="B347" s="4" t="s">
        <v>833</v>
      </c>
      <c r="C347" s="4" t="s">
        <v>518</v>
      </c>
      <c r="D347" s="7">
        <v>45028</v>
      </c>
      <c r="E347" s="3">
        <v>8178.24</v>
      </c>
      <c r="F347" s="4" t="s">
        <v>30</v>
      </c>
      <c r="G347" s="3">
        <v>24.74</v>
      </c>
      <c r="H347" s="4" t="s">
        <v>70</v>
      </c>
      <c r="I347" s="4" t="s">
        <v>71</v>
      </c>
      <c r="J347" s="4" t="s">
        <v>417</v>
      </c>
      <c r="K347" s="4"/>
      <c r="L347" s="4"/>
      <c r="M347" s="3">
        <v>16.239999999999998</v>
      </c>
      <c r="N347" s="3">
        <v>7731.98</v>
      </c>
      <c r="O347" s="4" t="s">
        <v>34</v>
      </c>
      <c r="P347" s="4" t="s">
        <v>34</v>
      </c>
      <c r="Q347" s="4" t="s">
        <v>35</v>
      </c>
      <c r="R347" s="3">
        <v>1656.97</v>
      </c>
      <c r="S347" s="3">
        <v>13.793200000000001</v>
      </c>
      <c r="T347" s="4" t="s">
        <v>834</v>
      </c>
      <c r="U347" s="2" t="s">
        <v>38</v>
      </c>
      <c r="V347" s="2" t="s">
        <v>37</v>
      </c>
      <c r="W347" s="2" t="s">
        <v>37</v>
      </c>
      <c r="X347" s="2" t="s">
        <v>37</v>
      </c>
      <c r="Y347" s="2" t="s">
        <v>37</v>
      </c>
      <c r="Z347" s="2" t="s">
        <v>37</v>
      </c>
      <c r="AA347" s="6">
        <v>3.9126598509999999</v>
      </c>
      <c r="AB347" s="6">
        <v>3.2193146449999999</v>
      </c>
      <c r="AC347" s="6">
        <v>3.8882907219999998</v>
      </c>
      <c r="AD347" cm="1">
        <f t="array" ref="AD347">IF(SUMPRODUCT(--($AM$2:$AM$112=TRIM(LEFT($B347,IFERROR(FIND(" ",$B347)-1,LEN($B347))))))&gt;0,1,0)</f>
        <v>1</v>
      </c>
      <c r="AE347" cm="1">
        <f t="array" ref="AE347">IF(SUMPRODUCT(--($AO$2:$AO$145=TRIM(LEFT($B347,IFERROR(FIND(" ",$B347)-1,LEN($B347))))))&gt;0,1,0)</f>
        <v>1</v>
      </c>
      <c r="AF347" cm="1">
        <f t="array" ref="AF347">IF(SUMPRODUCT(--($AQ$2:$AQ$71=TRIM(LEFT($B347,IFERROR(FIND(" ",$B347)-1,LEN($B347))))))&gt;0,1,0)</f>
        <v>0</v>
      </c>
    </row>
    <row r="348" spans="1:32" ht="105.75" thickBot="1" x14ac:dyDescent="0.3">
      <c r="A348" s="13">
        <v>67</v>
      </c>
      <c r="B348" s="4" t="s">
        <v>835</v>
      </c>
      <c r="C348" s="4" t="s">
        <v>836</v>
      </c>
      <c r="D348" s="7">
        <v>45118</v>
      </c>
      <c r="E348" s="3">
        <v>1041.7</v>
      </c>
      <c r="F348" s="4" t="s">
        <v>69</v>
      </c>
      <c r="G348" s="3">
        <v>14.95</v>
      </c>
      <c r="H348" s="4" t="s">
        <v>279</v>
      </c>
      <c r="I348" s="4" t="s">
        <v>279</v>
      </c>
      <c r="J348" s="4" t="s">
        <v>280</v>
      </c>
      <c r="K348" s="4"/>
      <c r="L348" s="3">
        <v>95.4</v>
      </c>
      <c r="M348" s="3">
        <v>13.53</v>
      </c>
      <c r="N348" s="3">
        <v>1041.7</v>
      </c>
      <c r="O348" s="4" t="s">
        <v>49</v>
      </c>
      <c r="P348" s="4" t="s">
        <v>49</v>
      </c>
      <c r="Q348" s="4" t="s">
        <v>35</v>
      </c>
      <c r="R348" s="3">
        <v>2486.62</v>
      </c>
      <c r="S348" s="3">
        <v>17.9435</v>
      </c>
      <c r="T348" s="4" t="s">
        <v>834</v>
      </c>
      <c r="U348" s="2" t="s">
        <v>38</v>
      </c>
      <c r="V348" s="2" t="s">
        <v>37</v>
      </c>
      <c r="W348" s="2" t="s">
        <v>37</v>
      </c>
      <c r="X348" s="2" t="s">
        <v>37</v>
      </c>
      <c r="Y348" s="2" t="s">
        <v>37</v>
      </c>
      <c r="Z348" s="2" t="s">
        <v>37</v>
      </c>
      <c r="AA348" s="6">
        <v>3.017742664</v>
      </c>
      <c r="AB348" s="6">
        <v>3.3956094220000002</v>
      </c>
      <c r="AC348" s="6">
        <v>3.017742664</v>
      </c>
      <c r="AD348" cm="1">
        <f t="array" ref="AD348">IF(SUMPRODUCT(--($AM$2:$AM$112=TRIM(LEFT($B348,IFERROR(FIND(" ",$B348)-1,LEN($B348))))))&gt;0,1,0)</f>
        <v>0</v>
      </c>
      <c r="AE348" cm="1">
        <f t="array" ref="AE348">IF(SUMPRODUCT(--($AO$2:$AO$145=TRIM(LEFT($B348,IFERROR(FIND(" ",$B348)-1,LEN($B348))))))&gt;0,1,0)</f>
        <v>0</v>
      </c>
      <c r="AF348" cm="1">
        <f t="array" ref="AF348">IF(SUMPRODUCT(--($AQ$2:$AQ$71=TRIM(LEFT($B348,IFERROR(FIND(" ",$B348)-1,LEN($B348))))))&gt;0,1,0)</f>
        <v>0</v>
      </c>
    </row>
    <row r="349" spans="1:32" ht="75.75" thickBot="1" x14ac:dyDescent="0.3">
      <c r="A349" s="13">
        <v>216</v>
      </c>
      <c r="B349" s="4" t="s">
        <v>837</v>
      </c>
      <c r="C349" s="4" t="s">
        <v>838</v>
      </c>
      <c r="D349" s="7">
        <v>44907</v>
      </c>
      <c r="E349" s="3">
        <v>26960.76</v>
      </c>
      <c r="F349" s="4" t="s">
        <v>30</v>
      </c>
      <c r="G349" s="3">
        <v>24.95</v>
      </c>
      <c r="H349" s="4" t="s">
        <v>41</v>
      </c>
      <c r="I349" s="4" t="s">
        <v>41</v>
      </c>
      <c r="J349" s="4" t="s">
        <v>42</v>
      </c>
      <c r="K349" s="4"/>
      <c r="L349" s="4"/>
      <c r="M349" s="3">
        <v>36.19</v>
      </c>
      <c r="N349" s="3">
        <v>26408.55</v>
      </c>
      <c r="O349" s="4" t="s">
        <v>34</v>
      </c>
      <c r="P349" s="4" t="s">
        <v>34</v>
      </c>
      <c r="Q349" s="4" t="s">
        <v>35</v>
      </c>
      <c r="R349" s="3">
        <v>3629.04</v>
      </c>
      <c r="S349" s="3">
        <v>14.086600000000001</v>
      </c>
      <c r="T349" s="4" t="s">
        <v>97</v>
      </c>
      <c r="U349" s="2" t="s">
        <v>37</v>
      </c>
      <c r="V349" s="2" t="s">
        <v>37</v>
      </c>
      <c r="W349" s="2" t="s">
        <v>38</v>
      </c>
      <c r="X349" s="2" t="s">
        <v>37</v>
      </c>
      <c r="Y349" s="2" t="s">
        <v>37</v>
      </c>
      <c r="Z349" s="2" t="s">
        <v>37</v>
      </c>
      <c r="AA349" s="6">
        <v>4.43073213</v>
      </c>
      <c r="AB349" s="6">
        <v>3.559791755</v>
      </c>
      <c r="AC349" s="6">
        <v>4.4217445560000002</v>
      </c>
      <c r="AD349" cm="1">
        <f t="array" ref="AD349">IF(SUMPRODUCT(--($AM$2:$AM$112=TRIM(LEFT($B349,IFERROR(FIND(" ",$B349)-1,LEN($B349))))))&gt;0,1,0)</f>
        <v>0</v>
      </c>
      <c r="AE349" cm="1">
        <f t="array" ref="AE349">IF(SUMPRODUCT(--($AO$2:$AO$145=TRIM(LEFT($B349,IFERROR(FIND(" ",$B349)-1,LEN($B349))))))&gt;0,1,0)</f>
        <v>0</v>
      </c>
      <c r="AF349" cm="1">
        <f t="array" ref="AF349">IF(SUMPRODUCT(--($AQ$2:$AQ$71=TRIM(LEFT($B349,IFERROR(FIND(" ",$B349)-1,LEN($B349))))))&gt;0,1,0)</f>
        <v>0</v>
      </c>
    </row>
    <row r="350" spans="1:32" ht="45.75" thickBot="1" x14ac:dyDescent="0.3">
      <c r="A350" s="13">
        <v>48</v>
      </c>
      <c r="B350" s="4" t="s">
        <v>839</v>
      </c>
      <c r="C350" s="4" t="s">
        <v>840</v>
      </c>
      <c r="D350" s="7">
        <v>45139</v>
      </c>
      <c r="E350" s="3">
        <v>584.36</v>
      </c>
      <c r="F350" s="4" t="s">
        <v>46</v>
      </c>
      <c r="G350" s="3">
        <v>0.62</v>
      </c>
      <c r="H350" s="4" t="s">
        <v>118</v>
      </c>
      <c r="I350" s="4" t="s">
        <v>119</v>
      </c>
      <c r="J350" s="4" t="s">
        <v>120</v>
      </c>
      <c r="K350" s="4"/>
      <c r="L350" s="4"/>
      <c r="M350" s="4"/>
      <c r="N350" s="3">
        <v>430.98</v>
      </c>
      <c r="O350" s="4" t="s">
        <v>49</v>
      </c>
      <c r="P350" s="4" t="s">
        <v>49</v>
      </c>
      <c r="Q350" s="4" t="s">
        <v>35</v>
      </c>
      <c r="R350" s="3">
        <v>468.89299999999997</v>
      </c>
      <c r="S350" s="3">
        <v>39.472499999999997</v>
      </c>
      <c r="T350" s="4" t="s">
        <v>43</v>
      </c>
      <c r="U350" s="2" t="s">
        <v>37</v>
      </c>
      <c r="V350" s="2" t="s">
        <v>37</v>
      </c>
      <c r="W350" s="2" t="s">
        <v>37</v>
      </c>
      <c r="X350" s="2" t="s">
        <v>37</v>
      </c>
      <c r="Y350" s="2" t="s">
        <v>37</v>
      </c>
      <c r="Z350" s="2" t="s">
        <v>37</v>
      </c>
      <c r="AA350" s="6">
        <v>2.7666804800000002</v>
      </c>
      <c r="AB350" s="6">
        <v>2.6710737490000001</v>
      </c>
      <c r="AC350" s="6">
        <v>2.6344571170000002</v>
      </c>
      <c r="AD350" cm="1">
        <f t="array" ref="AD350">IF(SUMPRODUCT(--($AM$2:$AM$112=TRIM(LEFT($B350,IFERROR(FIND(" ",$B350)-1,LEN($B350))))))&gt;0,1,0)</f>
        <v>0</v>
      </c>
      <c r="AE350" cm="1">
        <f t="array" ref="AE350">IF(SUMPRODUCT(--($AO$2:$AO$145=TRIM(LEFT($B350,IFERROR(FIND(" ",$B350)-1,LEN($B350))))))&gt;0,1,0)</f>
        <v>0</v>
      </c>
      <c r="AF350" cm="1">
        <f t="array" ref="AF350">IF(SUMPRODUCT(--($AQ$2:$AQ$71=TRIM(LEFT($B350,IFERROR(FIND(" ",$B350)-1,LEN($B350))))))&gt;0,1,0)</f>
        <v>0</v>
      </c>
    </row>
    <row r="351" spans="1:32" ht="135.75" thickBot="1" x14ac:dyDescent="0.3">
      <c r="A351" s="13">
        <v>103</v>
      </c>
      <c r="B351" s="4" t="s">
        <v>841</v>
      </c>
      <c r="C351" s="2"/>
      <c r="D351" s="7">
        <v>45056</v>
      </c>
      <c r="E351" s="3">
        <v>7243.68</v>
      </c>
      <c r="F351" s="4" t="s">
        <v>30</v>
      </c>
      <c r="G351" s="3">
        <v>3.97</v>
      </c>
      <c r="H351" s="4" t="s">
        <v>41</v>
      </c>
      <c r="I351" s="4" t="s">
        <v>41</v>
      </c>
      <c r="J351" s="4" t="s">
        <v>100</v>
      </c>
      <c r="K351" s="4"/>
      <c r="L351" s="4"/>
      <c r="M351" s="3">
        <v>9.49</v>
      </c>
      <c r="N351" s="3">
        <v>4456.83</v>
      </c>
      <c r="O351" s="4" t="s">
        <v>34</v>
      </c>
      <c r="P351" s="4" t="s">
        <v>34</v>
      </c>
      <c r="Q351" s="4" t="s">
        <v>35</v>
      </c>
      <c r="R351" s="3">
        <v>5393.08</v>
      </c>
      <c r="S351" s="3">
        <v>3.9745400000000002</v>
      </c>
      <c r="T351" s="4" t="s">
        <v>220</v>
      </c>
      <c r="U351" s="2" t="s">
        <v>37</v>
      </c>
      <c r="V351" s="2" t="s">
        <v>37</v>
      </c>
      <c r="W351" s="2" t="s">
        <v>37</v>
      </c>
      <c r="X351" s="2" t="s">
        <v>38</v>
      </c>
      <c r="Y351" s="2" t="s">
        <v>38</v>
      </c>
      <c r="Z351" s="2" t="s">
        <v>37</v>
      </c>
      <c r="AA351" s="6">
        <v>3.8599592559999998</v>
      </c>
      <c r="AB351" s="6">
        <v>3.7318368629999998</v>
      </c>
      <c r="AC351" s="6">
        <v>3.649026069</v>
      </c>
      <c r="AD351" cm="1">
        <f t="array" ref="AD351">IF(SUMPRODUCT(--($AM$2:$AM$112=TRIM(LEFT($B351,IFERROR(FIND(" ",$B351)-1,LEN($B351))))))&gt;0,1,0)</f>
        <v>0</v>
      </c>
      <c r="AE351" cm="1">
        <f t="array" ref="AE351">IF(SUMPRODUCT(--($AO$2:$AO$145=TRIM(LEFT($B351,IFERROR(FIND(" ",$B351)-1,LEN($B351))))))&gt;0,1,0)</f>
        <v>0</v>
      </c>
      <c r="AF351" cm="1">
        <f t="array" ref="AF351">IF(SUMPRODUCT(--($AQ$2:$AQ$71=TRIM(LEFT($B351,IFERROR(FIND(" ",$B351)-1,LEN($B351))))))&gt;0,1,0)</f>
        <v>0</v>
      </c>
    </row>
    <row r="352" spans="1:32" ht="75.75" thickBot="1" x14ac:dyDescent="0.3">
      <c r="A352" s="13">
        <v>122</v>
      </c>
      <c r="B352" s="4" t="s">
        <v>842</v>
      </c>
      <c r="C352" s="4" t="s">
        <v>843</v>
      </c>
      <c r="D352" s="7">
        <v>45028</v>
      </c>
      <c r="E352" s="3">
        <v>12818.42</v>
      </c>
      <c r="F352" s="4" t="s">
        <v>69</v>
      </c>
      <c r="G352" s="3">
        <v>7.04</v>
      </c>
      <c r="H352" s="4" t="s">
        <v>70</v>
      </c>
      <c r="I352" s="4" t="s">
        <v>94</v>
      </c>
      <c r="J352" s="4" t="s">
        <v>328</v>
      </c>
      <c r="K352" s="4"/>
      <c r="L352" s="4"/>
      <c r="M352" s="3">
        <v>38.78</v>
      </c>
      <c r="N352" s="3">
        <v>4823.3599999999997</v>
      </c>
      <c r="O352" s="4" t="s">
        <v>207</v>
      </c>
      <c r="P352" s="4" t="s">
        <v>49</v>
      </c>
      <c r="Q352" s="4" t="s">
        <v>35</v>
      </c>
      <c r="R352" s="3">
        <v>1412.34</v>
      </c>
      <c r="S352" s="3">
        <v>57.876300000000001</v>
      </c>
      <c r="T352" s="4" t="s">
        <v>97</v>
      </c>
      <c r="U352" s="2" t="s">
        <v>37</v>
      </c>
      <c r="V352" s="2" t="s">
        <v>37</v>
      </c>
      <c r="W352" s="2" t="s">
        <v>38</v>
      </c>
      <c r="X352" s="2" t="s">
        <v>37</v>
      </c>
      <c r="Y352" s="2" t="s">
        <v>37</v>
      </c>
      <c r="Z352" s="2" t="s">
        <v>37</v>
      </c>
      <c r="AA352" s="6">
        <v>4.1078344969999998</v>
      </c>
      <c r="AB352" s="6">
        <v>3.1499392589999999</v>
      </c>
      <c r="AC352" s="6">
        <v>3.6833496769999998</v>
      </c>
      <c r="AD352" cm="1">
        <f t="array" ref="AD352">IF(SUMPRODUCT(--($AM$2:$AM$112=TRIM(LEFT($B352,IFERROR(FIND(" ",$B352)-1,LEN($B352))))))&gt;0,1,0)</f>
        <v>1</v>
      </c>
      <c r="AE352" cm="1">
        <f t="array" ref="AE352">IF(SUMPRODUCT(--($AO$2:$AO$145=TRIM(LEFT($B352,IFERROR(FIND(" ",$B352)-1,LEN($B352))))))&gt;0,1,0)</f>
        <v>1</v>
      </c>
      <c r="AF352" cm="1">
        <f t="array" ref="AF352">IF(SUMPRODUCT(--($AQ$2:$AQ$71=TRIM(LEFT($B352,IFERROR(FIND(" ",$B352)-1,LEN($B352))))))&gt;0,1,0)</f>
        <v>1</v>
      </c>
    </row>
    <row r="353" spans="1:32" ht="45.75" thickBot="1" x14ac:dyDescent="0.3">
      <c r="A353" s="13">
        <v>44</v>
      </c>
      <c r="B353" s="4" t="s">
        <v>844</v>
      </c>
      <c r="C353" s="4" t="s">
        <v>90</v>
      </c>
      <c r="D353" s="7">
        <v>45135</v>
      </c>
      <c r="E353" s="3">
        <v>6274.6</v>
      </c>
      <c r="F353" s="4" t="s">
        <v>30</v>
      </c>
      <c r="G353" s="4"/>
      <c r="H353" s="4" t="s">
        <v>41</v>
      </c>
      <c r="I353" s="4" t="s">
        <v>41</v>
      </c>
      <c r="J353" s="4" t="s">
        <v>42</v>
      </c>
      <c r="K353" s="3">
        <v>301</v>
      </c>
      <c r="L353" s="3">
        <v>264</v>
      </c>
      <c r="M353" s="3">
        <v>60.56</v>
      </c>
      <c r="N353" s="3">
        <v>6477.62</v>
      </c>
      <c r="O353" s="4" t="s">
        <v>34</v>
      </c>
      <c r="P353" s="4" t="s">
        <v>34</v>
      </c>
      <c r="Q353" s="4" t="s">
        <v>35</v>
      </c>
      <c r="R353" s="3">
        <v>9835.6</v>
      </c>
      <c r="S353" s="3">
        <v>-1501.93</v>
      </c>
      <c r="T353" s="4" t="s">
        <v>43</v>
      </c>
      <c r="U353" s="2" t="s">
        <v>37</v>
      </c>
      <c r="V353" s="2" t="s">
        <v>37</v>
      </c>
      <c r="W353" s="2" t="s">
        <v>37</v>
      </c>
      <c r="X353" s="2" t="s">
        <v>37</v>
      </c>
      <c r="Y353" s="2" t="s">
        <v>37</v>
      </c>
      <c r="Z353" s="2" t="s">
        <v>37</v>
      </c>
      <c r="AA353" s="6">
        <v>3.7975860450000001</v>
      </c>
      <c r="AB353" s="6">
        <v>3.9928008579999998</v>
      </c>
      <c r="AC353" s="6">
        <v>3.8114154669999998</v>
      </c>
      <c r="AD353" cm="1">
        <f t="array" ref="AD353">IF(SUMPRODUCT(--($AM$2:$AM$112=TRIM(LEFT($B353,IFERROR(FIND(" ",$B353)-1,LEN($B353))))))&gt;0,1,0)</f>
        <v>0</v>
      </c>
      <c r="AE353" cm="1">
        <f t="array" ref="AE353">IF(SUMPRODUCT(--($AO$2:$AO$145=TRIM(LEFT($B353,IFERROR(FIND(" ",$B353)-1,LEN($B353))))))&gt;0,1,0)</f>
        <v>0</v>
      </c>
      <c r="AF353" cm="1">
        <f t="array" ref="AF353">IF(SUMPRODUCT(--($AQ$2:$AQ$71=TRIM(LEFT($B353,IFERROR(FIND(" ",$B353)-1,LEN($B353))))))&gt;0,1,0)</f>
        <v>0</v>
      </c>
    </row>
    <row r="354" spans="1:32" ht="45.75" thickBot="1" x14ac:dyDescent="0.3">
      <c r="A354" s="13">
        <v>96</v>
      </c>
      <c r="B354" s="4" t="s">
        <v>845</v>
      </c>
      <c r="C354" s="4" t="s">
        <v>558</v>
      </c>
      <c r="D354" s="7">
        <v>45060</v>
      </c>
      <c r="E354" s="3">
        <v>18900.38</v>
      </c>
      <c r="F354" s="4" t="s">
        <v>107</v>
      </c>
      <c r="G354" s="3">
        <v>13.2</v>
      </c>
      <c r="H354" s="4" t="s">
        <v>118</v>
      </c>
      <c r="I354" s="4" t="s">
        <v>119</v>
      </c>
      <c r="J354" s="4" t="s">
        <v>120</v>
      </c>
      <c r="K354" s="3">
        <v>450</v>
      </c>
      <c r="L354" s="3">
        <v>275</v>
      </c>
      <c r="M354" s="3">
        <v>22.84</v>
      </c>
      <c r="N354" s="3">
        <v>13780.88</v>
      </c>
      <c r="O354" s="4" t="s">
        <v>34</v>
      </c>
      <c r="P354" s="4" t="s">
        <v>34</v>
      </c>
      <c r="Q354" s="4" t="s">
        <v>35</v>
      </c>
      <c r="R354" s="3">
        <v>3200.4</v>
      </c>
      <c r="S354" s="3">
        <v>36.584400000000002</v>
      </c>
      <c r="T354" s="4" t="s">
        <v>43</v>
      </c>
      <c r="U354" s="2" t="s">
        <v>37</v>
      </c>
      <c r="V354" s="2" t="s">
        <v>37</v>
      </c>
      <c r="W354" s="2" t="s">
        <v>37</v>
      </c>
      <c r="X354" s="2" t="s">
        <v>37</v>
      </c>
      <c r="Y354" s="2" t="s">
        <v>37</v>
      </c>
      <c r="Z354" s="2" t="s">
        <v>37</v>
      </c>
      <c r="AA354" s="6">
        <v>4.2764705359999997</v>
      </c>
      <c r="AB354" s="6">
        <v>3.5052042619999999</v>
      </c>
      <c r="AC354" s="6">
        <v>4.1392769510000003</v>
      </c>
      <c r="AD354" cm="1">
        <f t="array" ref="AD354">IF(SUMPRODUCT(--($AM$2:$AM$112=TRIM(LEFT($B354,IFERROR(FIND(" ",$B354)-1,LEN($B354))))))&gt;0,1,0)</f>
        <v>0</v>
      </c>
      <c r="AE354" cm="1">
        <f t="array" ref="AE354">IF(SUMPRODUCT(--($AO$2:$AO$145=TRIM(LEFT($B354,IFERROR(FIND(" ",$B354)-1,LEN($B354))))))&gt;0,1,0)</f>
        <v>0</v>
      </c>
      <c r="AF354" cm="1">
        <f t="array" ref="AF354">IF(SUMPRODUCT(--($AQ$2:$AQ$71=TRIM(LEFT($B354,IFERROR(FIND(" ",$B354)-1,LEN($B354))))))&gt;0,1,0)</f>
        <v>0</v>
      </c>
    </row>
    <row r="355" spans="1:32" ht="165.75" thickBot="1" x14ac:dyDescent="0.3">
      <c r="A355" s="13">
        <v>148</v>
      </c>
      <c r="B355" s="4" t="s">
        <v>846</v>
      </c>
      <c r="C355" s="2"/>
      <c r="D355" s="7">
        <v>44986</v>
      </c>
      <c r="E355" s="3">
        <v>2496.08</v>
      </c>
      <c r="F355" s="4" t="s">
        <v>30</v>
      </c>
      <c r="G355" s="4"/>
      <c r="H355" s="4" t="s">
        <v>51</v>
      </c>
      <c r="I355" s="4" t="s">
        <v>51</v>
      </c>
      <c r="J355" s="4" t="s">
        <v>52</v>
      </c>
      <c r="K355" s="4"/>
      <c r="L355" s="4"/>
      <c r="M355" s="3">
        <v>11.62</v>
      </c>
      <c r="N355" s="3">
        <v>1451.06</v>
      </c>
      <c r="O355" s="4" t="s">
        <v>34</v>
      </c>
      <c r="P355" s="4" t="s">
        <v>49</v>
      </c>
      <c r="Q355" s="4" t="s">
        <v>35</v>
      </c>
      <c r="R355" s="3">
        <v>135.45599999999999</v>
      </c>
      <c r="S355" s="3">
        <v>-47.611800000000002</v>
      </c>
      <c r="T355" s="4" t="s">
        <v>847</v>
      </c>
      <c r="U355" s="2" t="s">
        <v>37</v>
      </c>
      <c r="V355" s="2" t="s">
        <v>37</v>
      </c>
      <c r="W355" s="2" t="s">
        <v>38</v>
      </c>
      <c r="X355" s="2" t="s">
        <v>38</v>
      </c>
      <c r="Y355" s="2" t="s">
        <v>38</v>
      </c>
      <c r="Z355" s="2" t="s">
        <v>37</v>
      </c>
      <c r="AA355" s="6">
        <v>3.3972585</v>
      </c>
      <c r="AB355" s="6">
        <v>2.1317982469999999</v>
      </c>
      <c r="AC355" s="6">
        <v>3.1616853699999998</v>
      </c>
      <c r="AD355" cm="1">
        <f t="array" ref="AD355">IF(SUMPRODUCT(--($AM$2:$AM$112=TRIM(LEFT($B355,IFERROR(FIND(" ",$B355)-1,LEN($B355))))))&gt;0,1,0)</f>
        <v>1</v>
      </c>
      <c r="AE355" cm="1">
        <f t="array" ref="AE355">IF(SUMPRODUCT(--($AO$2:$AO$145=TRIM(LEFT($B355,IFERROR(FIND(" ",$B355)-1,LEN($B355))))))&gt;0,1,0)</f>
        <v>1</v>
      </c>
      <c r="AF355" cm="1">
        <f t="array" ref="AF355">IF(SUMPRODUCT(--($AQ$2:$AQ$71=TRIM(LEFT($B355,IFERROR(FIND(" ",$B355)-1,LEN($B355))))))&gt;0,1,0)</f>
        <v>0</v>
      </c>
    </row>
    <row r="356" spans="1:32" ht="45.75" thickBot="1" x14ac:dyDescent="0.3">
      <c r="A356" s="13">
        <v>82</v>
      </c>
      <c r="B356" s="4" t="s">
        <v>848</v>
      </c>
      <c r="C356" s="4" t="s">
        <v>849</v>
      </c>
      <c r="D356" s="7">
        <v>45069</v>
      </c>
      <c r="E356" s="3">
        <v>3159.23</v>
      </c>
      <c r="F356" s="4" t="s">
        <v>46</v>
      </c>
      <c r="G356" s="3">
        <v>19.52</v>
      </c>
      <c r="H356" s="4" t="s">
        <v>51</v>
      </c>
      <c r="I356" s="4" t="s">
        <v>51</v>
      </c>
      <c r="J356" s="4" t="s">
        <v>79</v>
      </c>
      <c r="K356" s="3">
        <v>40</v>
      </c>
      <c r="L356" s="3">
        <v>40</v>
      </c>
      <c r="M356" s="3">
        <v>42.11</v>
      </c>
      <c r="N356" s="3">
        <v>969.97</v>
      </c>
      <c r="O356" s="4" t="s">
        <v>34</v>
      </c>
      <c r="P356" s="4" t="s">
        <v>34</v>
      </c>
      <c r="Q356" s="4" t="s">
        <v>35</v>
      </c>
      <c r="R356" s="3">
        <v>446.43799999999999</v>
      </c>
      <c r="S356" s="3">
        <v>-2.9424399999999999</v>
      </c>
      <c r="T356" s="4" t="s">
        <v>43</v>
      </c>
      <c r="U356" s="2" t="s">
        <v>37</v>
      </c>
      <c r="V356" s="2" t="s">
        <v>37</v>
      </c>
      <c r="W356" s="2" t="s">
        <v>37</v>
      </c>
      <c r="X356" s="2" t="s">
        <v>37</v>
      </c>
      <c r="Y356" s="2" t="s">
        <v>37</v>
      </c>
      <c r="Z356" s="2" t="s">
        <v>37</v>
      </c>
      <c r="AA356" s="6">
        <v>3.4995812449999999</v>
      </c>
      <c r="AB356" s="6">
        <v>2.6497611540000001</v>
      </c>
      <c r="AC356" s="6">
        <v>2.9867583020000001</v>
      </c>
      <c r="AD356" cm="1">
        <f t="array" ref="AD356">IF(SUMPRODUCT(--($AM$2:$AM$112=TRIM(LEFT($B356,IFERROR(FIND(" ",$B356)-1,LEN($B356))))))&gt;0,1,0)</f>
        <v>0</v>
      </c>
      <c r="AE356" cm="1">
        <f t="array" ref="AE356">IF(SUMPRODUCT(--($AO$2:$AO$145=TRIM(LEFT($B356,IFERROR(FIND(" ",$B356)-1,LEN($B356))))))&gt;0,1,0)</f>
        <v>0</v>
      </c>
      <c r="AF356" cm="1">
        <f t="array" ref="AF356">IF(SUMPRODUCT(--($AQ$2:$AQ$71=TRIM(LEFT($B356,IFERROR(FIND(" ",$B356)-1,LEN($B356))))))&gt;0,1,0)</f>
        <v>0</v>
      </c>
    </row>
    <row r="357" spans="1:32" ht="45.75" thickBot="1" x14ac:dyDescent="0.3">
      <c r="A357" s="13">
        <v>350</v>
      </c>
      <c r="B357" s="4" t="s">
        <v>850</v>
      </c>
      <c r="C357" s="4" t="s">
        <v>851</v>
      </c>
      <c r="D357" s="7">
        <v>44685</v>
      </c>
      <c r="E357" s="3">
        <v>11700</v>
      </c>
      <c r="F357" s="4" t="s">
        <v>69</v>
      </c>
      <c r="G357" s="3">
        <v>22.82</v>
      </c>
      <c r="H357" s="4" t="s">
        <v>31</v>
      </c>
      <c r="I357" s="4" t="s">
        <v>32</v>
      </c>
      <c r="J357" s="4" t="s">
        <v>33</v>
      </c>
      <c r="K357" s="3">
        <v>725</v>
      </c>
      <c r="L357" s="3">
        <v>398</v>
      </c>
      <c r="M357" s="4"/>
      <c r="N357" s="3">
        <v>9344.9</v>
      </c>
      <c r="O357" s="4" t="s">
        <v>34</v>
      </c>
      <c r="P357" s="4" t="s">
        <v>34</v>
      </c>
      <c r="Q357" s="4" t="s">
        <v>35</v>
      </c>
      <c r="R357" s="3">
        <v>1551.9</v>
      </c>
      <c r="S357" s="3">
        <v>9.2838399999999996</v>
      </c>
      <c r="T357" s="4" t="s">
        <v>43</v>
      </c>
      <c r="U357" s="2" t="s">
        <v>37</v>
      </c>
      <c r="V357" s="2" t="s">
        <v>37</v>
      </c>
      <c r="W357" s="2" t="s">
        <v>37</v>
      </c>
      <c r="X357" s="2" t="s">
        <v>37</v>
      </c>
      <c r="Y357" s="2" t="s">
        <v>37</v>
      </c>
      <c r="Z357" s="2" t="s">
        <v>37</v>
      </c>
      <c r="AA357" s="6">
        <v>4.068185862</v>
      </c>
      <c r="AB357" s="6">
        <v>3.190863733</v>
      </c>
      <c r="AC357" s="6">
        <v>3.9705746579999999</v>
      </c>
      <c r="AD357" cm="1">
        <f t="array" ref="AD357">IF(SUMPRODUCT(--($AM$2:$AM$112=TRIM(LEFT($B357,IFERROR(FIND(" ",$B357)-1,LEN($B357))))))&gt;0,1,0)</f>
        <v>0</v>
      </c>
      <c r="AE357" cm="1">
        <f t="array" ref="AE357">IF(SUMPRODUCT(--($AO$2:$AO$145=TRIM(LEFT($B357,IFERROR(FIND(" ",$B357)-1,LEN($B357))))))&gt;0,1,0)</f>
        <v>0</v>
      </c>
      <c r="AF357" cm="1">
        <f t="array" ref="AF357">IF(SUMPRODUCT(--($AQ$2:$AQ$71=TRIM(LEFT($B357,IFERROR(FIND(" ",$B357)-1,LEN($B357))))))&gt;0,1,0)</f>
        <v>0</v>
      </c>
    </row>
    <row r="358" spans="1:32" ht="165.75" thickBot="1" x14ac:dyDescent="0.3">
      <c r="A358" s="13">
        <v>207</v>
      </c>
      <c r="B358" s="4" t="s">
        <v>852</v>
      </c>
      <c r="C358" s="4" t="s">
        <v>853</v>
      </c>
      <c r="D358" s="7">
        <v>44886</v>
      </c>
      <c r="E358" s="3">
        <v>4086.75</v>
      </c>
      <c r="F358" s="4" t="s">
        <v>30</v>
      </c>
      <c r="G358" s="4"/>
      <c r="H358" s="4" t="s">
        <v>65</v>
      </c>
      <c r="I358" s="4" t="s">
        <v>138</v>
      </c>
      <c r="J358" s="4" t="s">
        <v>139</v>
      </c>
      <c r="K358" s="3">
        <v>60</v>
      </c>
      <c r="L358" s="4"/>
      <c r="M358" s="3">
        <v>70.64</v>
      </c>
      <c r="N358" s="3">
        <v>1149.0899999999999</v>
      </c>
      <c r="O358" s="4" t="s">
        <v>49</v>
      </c>
      <c r="P358" s="4" t="s">
        <v>49</v>
      </c>
      <c r="Q358" s="4" t="s">
        <v>35</v>
      </c>
      <c r="R358" s="3">
        <v>770.08299999999997</v>
      </c>
      <c r="S358" s="3">
        <v>45.286900000000003</v>
      </c>
      <c r="T358" s="4" t="s">
        <v>854</v>
      </c>
      <c r="U358" s="2" t="s">
        <v>38</v>
      </c>
      <c r="V358" s="2" t="s">
        <v>37</v>
      </c>
      <c r="W358" s="2" t="s">
        <v>38</v>
      </c>
      <c r="X358" s="2" t="s">
        <v>38</v>
      </c>
      <c r="Y358" s="2" t="s">
        <v>37</v>
      </c>
      <c r="Z358" s="2" t="s">
        <v>37</v>
      </c>
      <c r="AA358" s="6">
        <v>3.6113780709999999</v>
      </c>
      <c r="AB358" s="6">
        <v>2.8865375360000001</v>
      </c>
      <c r="AC358" s="6">
        <v>3.060354045</v>
      </c>
      <c r="AD358" cm="1">
        <f t="array" ref="AD358">IF(SUMPRODUCT(--($AM$2:$AM$112=TRIM(LEFT($B358,IFERROR(FIND(" ",$B358)-1,LEN($B358))))))&gt;0,1,0)</f>
        <v>0</v>
      </c>
      <c r="AE358" cm="1">
        <f t="array" ref="AE358">IF(SUMPRODUCT(--($AO$2:$AO$145=TRIM(LEFT($B358,IFERROR(FIND(" ",$B358)-1,LEN($B358))))))&gt;0,1,0)</f>
        <v>0</v>
      </c>
      <c r="AF358" cm="1">
        <f t="array" ref="AF358">IF(SUMPRODUCT(--($AQ$2:$AQ$71=TRIM(LEFT($B358,IFERROR(FIND(" ",$B358)-1,LEN($B358))))))&gt;0,1,0)</f>
        <v>0</v>
      </c>
    </row>
    <row r="359" spans="1:32" ht="60.75" thickBot="1" x14ac:dyDescent="0.3">
      <c r="A359" s="13">
        <v>149</v>
      </c>
      <c r="B359" s="4" t="s">
        <v>855</v>
      </c>
      <c r="C359" s="4" t="s">
        <v>856</v>
      </c>
      <c r="D359" s="7">
        <v>44966</v>
      </c>
      <c r="E359" s="3">
        <v>3707.52</v>
      </c>
      <c r="F359" s="4" t="s">
        <v>46</v>
      </c>
      <c r="G359" s="3">
        <v>18.309999999999999</v>
      </c>
      <c r="H359" s="4" t="s">
        <v>41</v>
      </c>
      <c r="I359" s="4" t="s">
        <v>41</v>
      </c>
      <c r="J359" s="4" t="s">
        <v>60</v>
      </c>
      <c r="K359" s="4"/>
      <c r="L359" s="3">
        <v>120</v>
      </c>
      <c r="M359" s="3">
        <v>24.05</v>
      </c>
      <c r="N359" s="3">
        <v>2938.46</v>
      </c>
      <c r="O359" s="4" t="s">
        <v>34</v>
      </c>
      <c r="P359" s="4" t="s">
        <v>34</v>
      </c>
      <c r="Q359" s="4" t="s">
        <v>35</v>
      </c>
      <c r="R359" s="3">
        <v>1201.94</v>
      </c>
      <c r="S359" s="3">
        <v>5.5896699999999999</v>
      </c>
      <c r="T359" s="4" t="s">
        <v>43</v>
      </c>
      <c r="U359" s="2" t="s">
        <v>37</v>
      </c>
      <c r="V359" s="2" t="s">
        <v>37</v>
      </c>
      <c r="W359" s="2" t="s">
        <v>37</v>
      </c>
      <c r="X359" s="2" t="s">
        <v>37</v>
      </c>
      <c r="Y359" s="2" t="s">
        <v>37</v>
      </c>
      <c r="Z359" s="2" t="s">
        <v>37</v>
      </c>
      <c r="AA359" s="6">
        <v>3.5690835019999998</v>
      </c>
      <c r="AB359" s="6">
        <v>3.079882789</v>
      </c>
      <c r="AC359" s="6">
        <v>3.4681197830000001</v>
      </c>
      <c r="AD359" cm="1">
        <f t="array" ref="AD359">IF(SUMPRODUCT(--($AM$2:$AM$112=TRIM(LEFT($B359,IFERROR(FIND(" ",$B359)-1,LEN($B359))))))&gt;0,1,0)</f>
        <v>0</v>
      </c>
      <c r="AE359" cm="1">
        <f t="array" ref="AE359">IF(SUMPRODUCT(--($AO$2:$AO$145=TRIM(LEFT($B359,IFERROR(FIND(" ",$B359)-1,LEN($B359))))))&gt;0,1,0)</f>
        <v>0</v>
      </c>
      <c r="AF359" cm="1">
        <f t="array" ref="AF359">IF(SUMPRODUCT(--($AQ$2:$AQ$71=TRIM(LEFT($B359,IFERROR(FIND(" ",$B359)-1,LEN($B359))))))&gt;0,1,0)</f>
        <v>0</v>
      </c>
    </row>
    <row r="360" spans="1:32" ht="135.75" thickBot="1" x14ac:dyDescent="0.3">
      <c r="A360" s="13">
        <v>135</v>
      </c>
      <c r="B360" s="4" t="s">
        <v>857</v>
      </c>
      <c r="C360" s="4" t="s">
        <v>158</v>
      </c>
      <c r="D360" s="7">
        <v>44984</v>
      </c>
      <c r="E360" s="3">
        <v>6154.28</v>
      </c>
      <c r="F360" s="4" t="s">
        <v>30</v>
      </c>
      <c r="G360" s="3">
        <v>10.72</v>
      </c>
      <c r="H360" s="4" t="s">
        <v>65</v>
      </c>
      <c r="I360" s="4" t="s">
        <v>138</v>
      </c>
      <c r="J360" s="4" t="s">
        <v>176</v>
      </c>
      <c r="K360" s="4"/>
      <c r="L360" s="4"/>
      <c r="M360" s="3">
        <v>8.0399999999999991</v>
      </c>
      <c r="N360" s="3">
        <v>3494.61</v>
      </c>
      <c r="O360" s="4" t="s">
        <v>34</v>
      </c>
      <c r="P360" s="4" t="s">
        <v>34</v>
      </c>
      <c r="Q360" s="4" t="s">
        <v>35</v>
      </c>
      <c r="R360" s="3">
        <v>2143.3200000000002</v>
      </c>
      <c r="S360" s="3">
        <v>7.9262300000000003</v>
      </c>
      <c r="T360" s="4" t="s">
        <v>299</v>
      </c>
      <c r="U360" s="2" t="s">
        <v>37</v>
      </c>
      <c r="V360" s="2" t="s">
        <v>37</v>
      </c>
      <c r="W360" s="2" t="s">
        <v>37</v>
      </c>
      <c r="X360" s="2" t="s">
        <v>38</v>
      </c>
      <c r="Y360" s="2" t="s">
        <v>38</v>
      </c>
      <c r="Z360" s="2" t="s">
        <v>37</v>
      </c>
      <c r="AA360" s="6">
        <v>3.7891772509999999</v>
      </c>
      <c r="AB360" s="6">
        <v>3.3310870170000002</v>
      </c>
      <c r="AC360" s="6">
        <v>3.5433987149999999</v>
      </c>
      <c r="AD360" cm="1">
        <f t="array" ref="AD360">IF(SUMPRODUCT(--($AM$2:$AM$112=TRIM(LEFT($B360,IFERROR(FIND(" ",$B360)-1,LEN($B360))))))&gt;0,1,0)</f>
        <v>0</v>
      </c>
      <c r="AE360" cm="1">
        <f t="array" ref="AE360">IF(SUMPRODUCT(--($AO$2:$AO$145=TRIM(LEFT($B360,IFERROR(FIND(" ",$B360)-1,LEN($B360))))))&gt;0,1,0)</f>
        <v>1</v>
      </c>
      <c r="AF360" cm="1">
        <f t="array" ref="AF360">IF(SUMPRODUCT(--($AQ$2:$AQ$71=TRIM(LEFT($B360,IFERROR(FIND(" ",$B360)-1,LEN($B360))))))&gt;0,1,0)</f>
        <v>0</v>
      </c>
    </row>
    <row r="361" spans="1:32" ht="45.75" thickBot="1" x14ac:dyDescent="0.3">
      <c r="A361" s="13">
        <v>57</v>
      </c>
      <c r="B361" s="4" t="s">
        <v>858</v>
      </c>
      <c r="C361" s="4" t="s">
        <v>859</v>
      </c>
      <c r="D361" s="7">
        <v>45092</v>
      </c>
      <c r="E361" s="3">
        <v>2106.35</v>
      </c>
      <c r="F361" s="4" t="s">
        <v>46</v>
      </c>
      <c r="G361" s="3">
        <v>0.41</v>
      </c>
      <c r="H361" s="4" t="s">
        <v>118</v>
      </c>
      <c r="I361" s="4" t="s">
        <v>119</v>
      </c>
      <c r="J361" s="4" t="s">
        <v>355</v>
      </c>
      <c r="K361" s="4"/>
      <c r="L361" s="4"/>
      <c r="M361" s="3">
        <v>-1.2</v>
      </c>
      <c r="N361" s="3">
        <v>1876.43</v>
      </c>
      <c r="O361" s="4" t="s">
        <v>34</v>
      </c>
      <c r="P361" s="4" t="s">
        <v>34</v>
      </c>
      <c r="Q361" s="4" t="s">
        <v>35</v>
      </c>
      <c r="R361" s="3">
        <v>3244.82</v>
      </c>
      <c r="S361" s="3">
        <v>15.356</v>
      </c>
      <c r="T361" s="4" t="s">
        <v>43</v>
      </c>
      <c r="U361" s="2" t="s">
        <v>37</v>
      </c>
      <c r="V361" s="2" t="s">
        <v>37</v>
      </c>
      <c r="W361" s="2" t="s">
        <v>37</v>
      </c>
      <c r="X361" s="2" t="s">
        <v>37</v>
      </c>
      <c r="Y361" s="2" t="s">
        <v>37</v>
      </c>
      <c r="Z361" s="2" t="s">
        <v>37</v>
      </c>
      <c r="AA361" s="6">
        <v>3.3235305369999999</v>
      </c>
      <c r="AB361" s="6">
        <v>3.5111906099999999</v>
      </c>
      <c r="AC361" s="6">
        <v>3.2733323680000002</v>
      </c>
      <c r="AD361" cm="1">
        <f t="array" ref="AD361">IF(SUMPRODUCT(--($AM$2:$AM$112=TRIM(LEFT($B361,IFERROR(FIND(" ",$B361)-1,LEN($B361))))))&gt;0,1,0)</f>
        <v>0</v>
      </c>
      <c r="AE361" cm="1">
        <f t="array" ref="AE361">IF(SUMPRODUCT(--($AO$2:$AO$145=TRIM(LEFT($B361,IFERROR(FIND(" ",$B361)-1,LEN($B361))))))&gt;0,1,0)</f>
        <v>0</v>
      </c>
      <c r="AF361" cm="1">
        <f t="array" ref="AF361">IF(SUMPRODUCT(--($AQ$2:$AQ$71=TRIM(LEFT($B361,IFERROR(FIND(" ",$B361)-1,LEN($B361))))))&gt;0,1,0)</f>
        <v>0</v>
      </c>
    </row>
    <row r="362" spans="1:32" ht="75.75" thickBot="1" x14ac:dyDescent="0.3">
      <c r="A362" s="13">
        <v>185</v>
      </c>
      <c r="B362" s="4" t="s">
        <v>860</v>
      </c>
      <c r="C362" s="4" t="s">
        <v>861</v>
      </c>
      <c r="D362" s="7">
        <v>44908</v>
      </c>
      <c r="E362" s="3">
        <v>550</v>
      </c>
      <c r="F362" s="4" t="s">
        <v>46</v>
      </c>
      <c r="G362" s="3">
        <v>126</v>
      </c>
      <c r="H362" s="4" t="s">
        <v>51</v>
      </c>
      <c r="I362" s="4" t="s">
        <v>51</v>
      </c>
      <c r="J362" s="4" t="s">
        <v>79</v>
      </c>
      <c r="K362" s="4"/>
      <c r="L362" s="4"/>
      <c r="M362" s="4"/>
      <c r="N362" s="3">
        <v>550</v>
      </c>
      <c r="O362" s="4" t="s">
        <v>34</v>
      </c>
      <c r="P362" s="4" t="s">
        <v>34</v>
      </c>
      <c r="Q362" s="4" t="s">
        <v>35</v>
      </c>
      <c r="R362" s="3">
        <v>29.100999999999999</v>
      </c>
      <c r="S362" s="3">
        <v>-19.916799999999999</v>
      </c>
      <c r="T362" s="4" t="s">
        <v>387</v>
      </c>
      <c r="U362" s="2" t="s">
        <v>37</v>
      </c>
      <c r="V362" s="2" t="s">
        <v>37</v>
      </c>
      <c r="W362" s="2" t="s">
        <v>37</v>
      </c>
      <c r="X362" s="2" t="s">
        <v>37</v>
      </c>
      <c r="Y362" s="2" t="s">
        <v>37</v>
      </c>
      <c r="Z362" s="2" t="s">
        <v>37</v>
      </c>
      <c r="AA362" s="6">
        <v>2.7403626889999999</v>
      </c>
      <c r="AB362" s="6">
        <v>1.4639079129999999</v>
      </c>
      <c r="AC362" s="6">
        <v>2.7403626889999999</v>
      </c>
      <c r="AD362" cm="1">
        <f t="array" ref="AD362">IF(SUMPRODUCT(--($AM$2:$AM$112=TRIM(LEFT($B362,IFERROR(FIND(" ",$B362)-1,LEN($B362))))))&gt;0,1,0)</f>
        <v>0</v>
      </c>
      <c r="AE362" cm="1">
        <f t="array" ref="AE362">IF(SUMPRODUCT(--($AO$2:$AO$145=TRIM(LEFT($B362,IFERROR(FIND(" ",$B362)-1,LEN($B362))))))&gt;0,1,0)</f>
        <v>0</v>
      </c>
      <c r="AF362" cm="1">
        <f t="array" ref="AF362">IF(SUMPRODUCT(--($AQ$2:$AQ$71=TRIM(LEFT($B362,IFERROR(FIND(" ",$B362)-1,LEN($B362))))))&gt;0,1,0)</f>
        <v>0</v>
      </c>
    </row>
    <row r="363" spans="1:32" ht="135.75" thickBot="1" x14ac:dyDescent="0.3">
      <c r="A363" s="13">
        <v>227</v>
      </c>
      <c r="B363" s="4" t="s">
        <v>862</v>
      </c>
      <c r="C363" s="4" t="s">
        <v>230</v>
      </c>
      <c r="D363" s="7">
        <v>44845</v>
      </c>
      <c r="E363" s="3">
        <v>1680.54</v>
      </c>
      <c r="F363" s="4" t="s">
        <v>30</v>
      </c>
      <c r="G363" s="4"/>
      <c r="H363" s="4" t="s">
        <v>31</v>
      </c>
      <c r="I363" s="4" t="s">
        <v>32</v>
      </c>
      <c r="J363" s="4" t="s">
        <v>33</v>
      </c>
      <c r="K363" s="4"/>
      <c r="L363" s="4"/>
      <c r="M363" s="3">
        <v>50.32</v>
      </c>
      <c r="N363" s="3">
        <v>1976.93</v>
      </c>
      <c r="O363" s="4" t="s">
        <v>34</v>
      </c>
      <c r="P363" s="4" t="s">
        <v>34</v>
      </c>
      <c r="Q363" s="4" t="s">
        <v>35</v>
      </c>
      <c r="R363" s="3">
        <v>217.512</v>
      </c>
      <c r="S363" s="3">
        <v>-34.480400000000003</v>
      </c>
      <c r="T363" s="4" t="s">
        <v>242</v>
      </c>
      <c r="U363" s="2" t="s">
        <v>37</v>
      </c>
      <c r="V363" s="2" t="s">
        <v>37</v>
      </c>
      <c r="W363" s="2" t="s">
        <v>37</v>
      </c>
      <c r="X363" s="2" t="s">
        <v>38</v>
      </c>
      <c r="Y363" s="2" t="s">
        <v>38</v>
      </c>
      <c r="Z363" s="2" t="s">
        <v>37</v>
      </c>
      <c r="AA363" s="6">
        <v>3.2254488540000001</v>
      </c>
      <c r="AB363" s="6">
        <v>2.3374832219999999</v>
      </c>
      <c r="AC363" s="6">
        <v>3.2959912920000001</v>
      </c>
      <c r="AD363" cm="1">
        <f t="array" ref="AD363">IF(SUMPRODUCT(--($AM$2:$AM$112=TRIM(LEFT($B363,IFERROR(FIND(" ",$B363)-1,LEN($B363))))))&gt;0,1,0)</f>
        <v>0</v>
      </c>
      <c r="AE363" cm="1">
        <f t="array" ref="AE363">IF(SUMPRODUCT(--($AO$2:$AO$145=TRIM(LEFT($B363,IFERROR(FIND(" ",$B363)-1,LEN($B363))))))&gt;0,1,0)</f>
        <v>0</v>
      </c>
      <c r="AF363" cm="1">
        <f t="array" ref="AF363">IF(SUMPRODUCT(--($AQ$2:$AQ$71=TRIM(LEFT($B363,IFERROR(FIND(" ",$B363)-1,LEN($B363))))))&gt;0,1,0)</f>
        <v>0</v>
      </c>
    </row>
    <row r="364" spans="1:32" ht="180.75" thickBot="1" x14ac:dyDescent="0.3">
      <c r="A364" s="13">
        <v>75</v>
      </c>
      <c r="B364" s="4" t="s">
        <v>863</v>
      </c>
      <c r="C364" s="2"/>
      <c r="D364" s="7">
        <v>45056</v>
      </c>
      <c r="E364" s="3">
        <v>3322.95</v>
      </c>
      <c r="F364" s="4" t="s">
        <v>30</v>
      </c>
      <c r="G364" s="3">
        <v>12.06</v>
      </c>
      <c r="H364" s="4" t="s">
        <v>75</v>
      </c>
      <c r="I364" s="4" t="s">
        <v>83</v>
      </c>
      <c r="J364" s="4" t="s">
        <v>84</v>
      </c>
      <c r="K364" s="4"/>
      <c r="L364" s="4"/>
      <c r="M364" s="3">
        <v>5.66</v>
      </c>
      <c r="N364" s="3">
        <v>674.85</v>
      </c>
      <c r="O364" s="4" t="s">
        <v>34</v>
      </c>
      <c r="P364" s="4" t="s">
        <v>147</v>
      </c>
      <c r="Q364" s="4" t="s">
        <v>399</v>
      </c>
      <c r="R364" s="3">
        <v>4397.83</v>
      </c>
      <c r="S364" s="3">
        <v>0.22517499999999999</v>
      </c>
      <c r="T364" s="4" t="s">
        <v>864</v>
      </c>
      <c r="U364" s="2" t="s">
        <v>38</v>
      </c>
      <c r="V364" s="2" t="s">
        <v>37</v>
      </c>
      <c r="W364" s="2" t="s">
        <v>37</v>
      </c>
      <c r="X364" s="2" t="s">
        <v>38</v>
      </c>
      <c r="Y364" s="2" t="s">
        <v>37</v>
      </c>
      <c r="Z364" s="2" t="s">
        <v>37</v>
      </c>
      <c r="AA364" s="6">
        <v>3.5215238069999999</v>
      </c>
      <c r="AB364" s="6">
        <v>3.643238438</v>
      </c>
      <c r="AC364" s="6">
        <v>2.8292072519999998</v>
      </c>
      <c r="AD364" cm="1">
        <f t="array" ref="AD364">IF(SUMPRODUCT(--($AM$2:$AM$112=TRIM(LEFT($B364,IFERROR(FIND(" ",$B364)-1,LEN($B364))))))&gt;0,1,0)</f>
        <v>0</v>
      </c>
      <c r="AE364" cm="1">
        <f t="array" ref="AE364">IF(SUMPRODUCT(--($AO$2:$AO$145=TRIM(LEFT($B364,IFERROR(FIND(" ",$B364)-1,LEN($B364))))))&gt;0,1,0)</f>
        <v>0</v>
      </c>
      <c r="AF364" cm="1">
        <f t="array" ref="AF364">IF(SUMPRODUCT(--($AQ$2:$AQ$71=TRIM(LEFT($B364,IFERROR(FIND(" ",$B364)-1,LEN($B364))))))&gt;0,1,0)</f>
        <v>0</v>
      </c>
    </row>
    <row r="365" spans="1:32" ht="135.75" thickBot="1" x14ac:dyDescent="0.3">
      <c r="A365" s="13">
        <v>77</v>
      </c>
      <c r="B365" s="4" t="s">
        <v>865</v>
      </c>
      <c r="C365" s="2"/>
      <c r="D365" s="7">
        <v>45050</v>
      </c>
      <c r="E365" s="3">
        <v>4435.75</v>
      </c>
      <c r="F365" s="4" t="s">
        <v>30</v>
      </c>
      <c r="G365" s="3">
        <v>72.650000000000006</v>
      </c>
      <c r="H365" s="4" t="s">
        <v>47</v>
      </c>
      <c r="I365" s="4" t="s">
        <v>47</v>
      </c>
      <c r="J365" s="4" t="s">
        <v>48</v>
      </c>
      <c r="K365" s="3">
        <v>205</v>
      </c>
      <c r="L365" s="3">
        <v>112</v>
      </c>
      <c r="M365" s="3">
        <v>20.82</v>
      </c>
      <c r="N365" s="3">
        <v>2982.75</v>
      </c>
      <c r="O365" s="4" t="s">
        <v>34</v>
      </c>
      <c r="P365" s="4" t="s">
        <v>34</v>
      </c>
      <c r="Q365" s="4" t="s">
        <v>35</v>
      </c>
      <c r="R365" s="3">
        <v>8961</v>
      </c>
      <c r="S365" s="3">
        <v>-1.21607</v>
      </c>
      <c r="T365" s="4" t="s">
        <v>220</v>
      </c>
      <c r="U365" s="2" t="s">
        <v>37</v>
      </c>
      <c r="V365" s="2" t="s">
        <v>37</v>
      </c>
      <c r="W365" s="2" t="s">
        <v>37</v>
      </c>
      <c r="X365" s="2" t="s">
        <v>38</v>
      </c>
      <c r="Y365" s="2" t="s">
        <v>38</v>
      </c>
      <c r="Z365" s="2" t="s">
        <v>37</v>
      </c>
      <c r="AA365" s="6">
        <v>3.6469670609999998</v>
      </c>
      <c r="AB365" s="6">
        <v>3.9523564769999999</v>
      </c>
      <c r="AC365" s="6">
        <v>3.4746168540000002</v>
      </c>
      <c r="AD365" cm="1">
        <f t="array" ref="AD365">IF(SUMPRODUCT(--($AM$2:$AM$112=TRIM(LEFT($B365,IFERROR(FIND(" ",$B365)-1,LEN($B365))))))&gt;0,1,0)</f>
        <v>1</v>
      </c>
      <c r="AE365" cm="1">
        <f t="array" ref="AE365">IF(SUMPRODUCT(--($AO$2:$AO$145=TRIM(LEFT($B365,IFERROR(FIND(" ",$B365)-1,LEN($B365))))))&gt;0,1,0)</f>
        <v>1</v>
      </c>
      <c r="AF365" cm="1">
        <f t="array" ref="AF365">IF(SUMPRODUCT(--($AQ$2:$AQ$71=TRIM(LEFT($B365,IFERROR(FIND(" ",$B365)-1,LEN($B365))))))&gt;0,1,0)</f>
        <v>0</v>
      </c>
    </row>
    <row r="366" spans="1:32" ht="45.75" thickBot="1" x14ac:dyDescent="0.3">
      <c r="A366" s="13">
        <v>67</v>
      </c>
      <c r="B366" s="4" t="s">
        <v>866</v>
      </c>
      <c r="C366" s="4" t="s">
        <v>867</v>
      </c>
      <c r="D366" s="7">
        <v>45064</v>
      </c>
      <c r="E366" s="3">
        <v>814.31</v>
      </c>
      <c r="F366" s="4" t="s">
        <v>46</v>
      </c>
      <c r="G366" s="3">
        <v>11.02</v>
      </c>
      <c r="H366" s="4" t="s">
        <v>51</v>
      </c>
      <c r="I366" s="4" t="s">
        <v>51</v>
      </c>
      <c r="J366" s="4" t="s">
        <v>79</v>
      </c>
      <c r="K366" s="4"/>
      <c r="L366" s="4"/>
      <c r="M366" s="3">
        <v>21.69</v>
      </c>
      <c r="N366" s="3">
        <v>814.31</v>
      </c>
      <c r="O366" s="4" t="s">
        <v>34</v>
      </c>
      <c r="P366" s="4" t="s">
        <v>34</v>
      </c>
      <c r="Q366" s="4" t="s">
        <v>35</v>
      </c>
      <c r="R366" s="3">
        <v>143.10300000000001</v>
      </c>
      <c r="S366" s="3">
        <v>37.6404</v>
      </c>
      <c r="T366" s="4" t="s">
        <v>43</v>
      </c>
      <c r="U366" s="2" t="s">
        <v>37</v>
      </c>
      <c r="V366" s="2" t="s">
        <v>37</v>
      </c>
      <c r="W366" s="2" t="s">
        <v>37</v>
      </c>
      <c r="X366" s="2" t="s">
        <v>37</v>
      </c>
      <c r="Y366" s="2" t="s">
        <v>37</v>
      </c>
      <c r="Z366" s="2" t="s">
        <v>37</v>
      </c>
      <c r="AA366" s="6">
        <v>2.9107897679999999</v>
      </c>
      <c r="AB366" s="6">
        <v>2.155648738</v>
      </c>
      <c r="AC366" s="6">
        <v>2.9107897679999999</v>
      </c>
      <c r="AD366" cm="1">
        <f t="array" ref="AD366">IF(SUMPRODUCT(--($AM$2:$AM$112=TRIM(LEFT($B366,IFERROR(FIND(" ",$B366)-1,LEN($B366))))))&gt;0,1,0)</f>
        <v>0</v>
      </c>
      <c r="AE366" cm="1">
        <f t="array" ref="AE366">IF(SUMPRODUCT(--($AO$2:$AO$145=TRIM(LEFT($B366,IFERROR(FIND(" ",$B366)-1,LEN($B366))))))&gt;0,1,0)</f>
        <v>0</v>
      </c>
      <c r="AF366" cm="1">
        <f t="array" ref="AF366">IF(SUMPRODUCT(--($AQ$2:$AQ$71=TRIM(LEFT($B366,IFERROR(FIND(" ",$B366)-1,LEN($B366))))))&gt;0,1,0)</f>
        <v>0</v>
      </c>
    </row>
    <row r="367" spans="1:32" ht="75.75" thickBot="1" x14ac:dyDescent="0.3">
      <c r="A367" s="13">
        <v>46</v>
      </c>
      <c r="B367" s="4" t="s">
        <v>868</v>
      </c>
      <c r="C367" s="4" t="s">
        <v>200</v>
      </c>
      <c r="D367" s="7">
        <v>45089</v>
      </c>
      <c r="E367" s="3">
        <v>2356.46</v>
      </c>
      <c r="F367" s="4" t="s">
        <v>30</v>
      </c>
      <c r="G367" s="4"/>
      <c r="H367" s="4" t="s">
        <v>41</v>
      </c>
      <c r="I367" s="4" t="s">
        <v>41</v>
      </c>
      <c r="J367" s="4" t="s">
        <v>42</v>
      </c>
      <c r="K367" s="4"/>
      <c r="L367" s="4"/>
      <c r="M367" s="3">
        <v>72.569999999999993</v>
      </c>
      <c r="N367" s="3">
        <v>2675.57</v>
      </c>
      <c r="O367" s="4" t="s">
        <v>34</v>
      </c>
      <c r="P367" s="4" t="s">
        <v>869</v>
      </c>
      <c r="Q367" s="4" t="s">
        <v>35</v>
      </c>
      <c r="R367" s="3">
        <v>6.1280000000000001</v>
      </c>
      <c r="S367" s="3">
        <v>-4302.07</v>
      </c>
      <c r="T367" s="4" t="s">
        <v>97</v>
      </c>
      <c r="U367" s="2" t="s">
        <v>37</v>
      </c>
      <c r="V367" s="2" t="s">
        <v>37</v>
      </c>
      <c r="W367" s="2" t="s">
        <v>38</v>
      </c>
      <c r="X367" s="2" t="s">
        <v>37</v>
      </c>
      <c r="Y367" s="2" t="s">
        <v>37</v>
      </c>
      <c r="Z367" s="2" t="s">
        <v>37</v>
      </c>
      <c r="AA367" s="6">
        <v>3.372260072</v>
      </c>
      <c r="AB367" s="6">
        <v>0.78731875659999995</v>
      </c>
      <c r="AC367" s="6">
        <v>3.4274163180000001</v>
      </c>
      <c r="AD367" cm="1">
        <f t="array" ref="AD367">IF(SUMPRODUCT(--($AM$2:$AM$112=TRIM(LEFT($B367,IFERROR(FIND(" ",$B367)-1,LEN($B367))))))&gt;0,1,0)</f>
        <v>0</v>
      </c>
      <c r="AE367" cm="1">
        <f t="array" ref="AE367">IF(SUMPRODUCT(--($AO$2:$AO$145=TRIM(LEFT($B367,IFERROR(FIND(" ",$B367)-1,LEN($B367))))))&gt;0,1,0)</f>
        <v>0</v>
      </c>
      <c r="AF367" cm="1">
        <f t="array" ref="AF367">IF(SUMPRODUCT(--($AQ$2:$AQ$71=TRIM(LEFT($B367,IFERROR(FIND(" ",$B367)-1,LEN($B367))))))&gt;0,1,0)</f>
        <v>0</v>
      </c>
    </row>
    <row r="368" spans="1:32" ht="75.75" thickBot="1" x14ac:dyDescent="0.3">
      <c r="A368" s="13">
        <v>38</v>
      </c>
      <c r="B368" s="4" t="s">
        <v>870</v>
      </c>
      <c r="C368" s="4" t="s">
        <v>40</v>
      </c>
      <c r="D368" s="7">
        <v>45097</v>
      </c>
      <c r="E368" s="3">
        <v>1730.11</v>
      </c>
      <c r="F368" s="4" t="s">
        <v>30</v>
      </c>
      <c r="G368" s="4"/>
      <c r="H368" s="4" t="s">
        <v>41</v>
      </c>
      <c r="I368" s="4" t="s">
        <v>41</v>
      </c>
      <c r="J368" s="4" t="s">
        <v>42</v>
      </c>
      <c r="K368" s="4"/>
      <c r="L368" s="3">
        <v>92</v>
      </c>
      <c r="M368" s="3">
        <v>46.12</v>
      </c>
      <c r="N368" s="3">
        <v>2291.0700000000002</v>
      </c>
      <c r="O368" s="4" t="s">
        <v>34</v>
      </c>
      <c r="P368" s="4" t="s">
        <v>34</v>
      </c>
      <c r="Q368" s="4" t="s">
        <v>35</v>
      </c>
      <c r="R368" s="2"/>
      <c r="S368" s="2"/>
      <c r="T368" s="4" t="s">
        <v>338</v>
      </c>
      <c r="U368" s="2" t="s">
        <v>37</v>
      </c>
      <c r="V368" s="2" t="s">
        <v>37</v>
      </c>
      <c r="W368" s="2" t="s">
        <v>37</v>
      </c>
      <c r="X368" s="2" t="s">
        <v>37</v>
      </c>
      <c r="Y368" s="2" t="s">
        <v>37</v>
      </c>
      <c r="Z368" s="2" t="s">
        <v>38</v>
      </c>
      <c r="AA368" s="6">
        <v>3.2380737160000002</v>
      </c>
      <c r="AB368" s="2"/>
      <c r="AC368" s="6">
        <v>3.3600383589999998</v>
      </c>
      <c r="AD368" cm="1">
        <f t="array" ref="AD368">IF(SUMPRODUCT(--($AM$2:$AM$112=TRIM(LEFT($B368,IFERROR(FIND(" ",$B368)-1,LEN($B368))))))&gt;0,1,0)</f>
        <v>0</v>
      </c>
      <c r="AE368" cm="1">
        <f t="array" ref="AE368">IF(SUMPRODUCT(--($AO$2:$AO$145=TRIM(LEFT($B368,IFERROR(FIND(" ",$B368)-1,LEN($B368))))))&gt;0,1,0)</f>
        <v>0</v>
      </c>
      <c r="AF368" cm="1">
        <f t="array" ref="AF368">IF(SUMPRODUCT(--($AQ$2:$AQ$71=TRIM(LEFT($B368,IFERROR(FIND(" ",$B368)-1,LEN($B368))))))&gt;0,1,0)</f>
        <v>0</v>
      </c>
    </row>
    <row r="369" spans="1:32" ht="45.75" thickBot="1" x14ac:dyDescent="0.3">
      <c r="A369" s="13">
        <v>57</v>
      </c>
      <c r="B369" s="4" t="s">
        <v>871</v>
      </c>
      <c r="C369" s="4" t="s">
        <v>421</v>
      </c>
      <c r="D369" s="7">
        <v>45068</v>
      </c>
      <c r="E369" s="3">
        <v>7874.41</v>
      </c>
      <c r="F369" s="4" t="s">
        <v>46</v>
      </c>
      <c r="G369" s="3">
        <v>2.66</v>
      </c>
      <c r="H369" s="4" t="s">
        <v>118</v>
      </c>
      <c r="I369" s="4" t="s">
        <v>119</v>
      </c>
      <c r="J369" s="4" t="s">
        <v>120</v>
      </c>
      <c r="K369" s="4"/>
      <c r="L369" s="4"/>
      <c r="M369" s="3">
        <v>17.239999999999998</v>
      </c>
      <c r="N369" s="3">
        <v>6503.74</v>
      </c>
      <c r="O369" s="4" t="s">
        <v>34</v>
      </c>
      <c r="P369" s="4" t="s">
        <v>34</v>
      </c>
      <c r="Q369" s="4" t="s">
        <v>35</v>
      </c>
      <c r="R369" s="3">
        <v>3429.45</v>
      </c>
      <c r="S369" s="3">
        <v>62.869300000000003</v>
      </c>
      <c r="T369" s="4" t="s">
        <v>43</v>
      </c>
      <c r="U369" s="2" t="s">
        <v>37</v>
      </c>
      <c r="V369" s="2" t="s">
        <v>37</v>
      </c>
      <c r="W369" s="2" t="s">
        <v>37</v>
      </c>
      <c r="X369" s="2" t="s">
        <v>37</v>
      </c>
      <c r="Y369" s="2" t="s">
        <v>37</v>
      </c>
      <c r="Z369" s="2" t="s">
        <v>37</v>
      </c>
      <c r="AA369" s="6">
        <v>3.8962180239999999</v>
      </c>
      <c r="AB369" s="6">
        <v>3.5352244750000001</v>
      </c>
      <c r="AC369" s="6">
        <v>3.8131631709999998</v>
      </c>
      <c r="AD369" cm="1">
        <f t="array" ref="AD369">IF(SUMPRODUCT(--($AM$2:$AM$112=TRIM(LEFT($B369,IFERROR(FIND(" ",$B369)-1,LEN($B369))))))&gt;0,1,0)</f>
        <v>0</v>
      </c>
      <c r="AE369" cm="1">
        <f t="array" ref="AE369">IF(SUMPRODUCT(--($AO$2:$AO$145=TRIM(LEFT($B369,IFERROR(FIND(" ",$B369)-1,LEN($B369))))))&gt;0,1,0)</f>
        <v>0</v>
      </c>
      <c r="AF369" cm="1">
        <f t="array" ref="AF369">IF(SUMPRODUCT(--($AQ$2:$AQ$71=TRIM(LEFT($B369,IFERROR(FIND(" ",$B369)-1,LEN($B369))))))&gt;0,1,0)</f>
        <v>0</v>
      </c>
    </row>
    <row r="370" spans="1:32" ht="75.75" thickBot="1" x14ac:dyDescent="0.3">
      <c r="A370" s="13">
        <v>114</v>
      </c>
      <c r="B370" s="4" t="s">
        <v>872</v>
      </c>
      <c r="C370" s="4" t="s">
        <v>873</v>
      </c>
      <c r="D370" s="7">
        <v>44984</v>
      </c>
      <c r="E370" s="3">
        <v>1873.54</v>
      </c>
      <c r="F370" s="4" t="s">
        <v>30</v>
      </c>
      <c r="G370" s="3">
        <v>10.7</v>
      </c>
      <c r="H370" s="4" t="s">
        <v>75</v>
      </c>
      <c r="I370" s="4" t="s">
        <v>83</v>
      </c>
      <c r="J370" s="4" t="s">
        <v>796</v>
      </c>
      <c r="K370" s="4"/>
      <c r="L370" s="4"/>
      <c r="M370" s="3">
        <v>19.96</v>
      </c>
      <c r="N370" s="3">
        <v>1565.98</v>
      </c>
      <c r="O370" s="4" t="s">
        <v>49</v>
      </c>
      <c r="P370" s="4" t="s">
        <v>34</v>
      </c>
      <c r="Q370" s="4" t="s">
        <v>35</v>
      </c>
      <c r="R370" s="3">
        <v>1731.42</v>
      </c>
      <c r="S370" s="3">
        <v>6.6800800000000002</v>
      </c>
      <c r="T370" s="4" t="s">
        <v>97</v>
      </c>
      <c r="U370" s="2" t="s">
        <v>37</v>
      </c>
      <c r="V370" s="2" t="s">
        <v>37</v>
      </c>
      <c r="W370" s="2" t="s">
        <v>38</v>
      </c>
      <c r="X370" s="2" t="s">
        <v>37</v>
      </c>
      <c r="Y370" s="2" t="s">
        <v>37</v>
      </c>
      <c r="Z370" s="2" t="s">
        <v>37</v>
      </c>
      <c r="AA370" s="6">
        <v>3.2726629699999998</v>
      </c>
      <c r="AB370" s="6">
        <v>3.2384024299999998</v>
      </c>
      <c r="AC370" s="6">
        <v>3.1947862109999998</v>
      </c>
      <c r="AD370" cm="1">
        <f t="array" ref="AD370">IF(SUMPRODUCT(--($AM$2:$AM$112=TRIM(LEFT($B370,IFERROR(FIND(" ",$B370)-1,LEN($B370))))))&gt;0,1,0)</f>
        <v>0</v>
      </c>
      <c r="AE370" cm="1">
        <f t="array" ref="AE370">IF(SUMPRODUCT(--($AO$2:$AO$145=TRIM(LEFT($B370,IFERROR(FIND(" ",$B370)-1,LEN($B370))))))&gt;0,1,0)</f>
        <v>0</v>
      </c>
      <c r="AF370" cm="1">
        <f t="array" ref="AF370">IF(SUMPRODUCT(--($AQ$2:$AQ$71=TRIM(LEFT($B370,IFERROR(FIND(" ",$B370)-1,LEN($B370))))))&gt;0,1,0)</f>
        <v>0</v>
      </c>
    </row>
    <row r="371" spans="1:32" ht="135.75" thickBot="1" x14ac:dyDescent="0.3">
      <c r="A371" s="13">
        <v>101</v>
      </c>
      <c r="B371" s="4" t="s">
        <v>874</v>
      </c>
      <c r="C371" s="2"/>
      <c r="D371" s="7">
        <v>44999</v>
      </c>
      <c r="E371" s="3">
        <v>8003.72</v>
      </c>
      <c r="F371" s="4" t="s">
        <v>30</v>
      </c>
      <c r="G371" s="3">
        <v>7.49</v>
      </c>
      <c r="H371" s="4" t="s">
        <v>47</v>
      </c>
      <c r="I371" s="4" t="s">
        <v>47</v>
      </c>
      <c r="J371" s="4" t="s">
        <v>875</v>
      </c>
      <c r="K371" s="3">
        <v>379.2</v>
      </c>
      <c r="L371" s="3">
        <v>204.19</v>
      </c>
      <c r="M371" s="3">
        <v>6.15</v>
      </c>
      <c r="N371" s="3">
        <v>5715.82</v>
      </c>
      <c r="O371" s="4" t="s">
        <v>34</v>
      </c>
      <c r="P371" s="4" t="s">
        <v>34</v>
      </c>
      <c r="Q371" s="4" t="s">
        <v>35</v>
      </c>
      <c r="R371" s="3">
        <v>11475.3</v>
      </c>
      <c r="S371" s="3">
        <v>5.9131900000000002</v>
      </c>
      <c r="T371" s="4" t="s">
        <v>299</v>
      </c>
      <c r="U371" s="2" t="s">
        <v>37</v>
      </c>
      <c r="V371" s="2" t="s">
        <v>37</v>
      </c>
      <c r="W371" s="2" t="s">
        <v>37</v>
      </c>
      <c r="X371" s="2" t="s">
        <v>38</v>
      </c>
      <c r="Y371" s="2" t="s">
        <v>38</v>
      </c>
      <c r="Z371" s="2" t="s">
        <v>37</v>
      </c>
      <c r="AA371" s="6">
        <v>3.903291887</v>
      </c>
      <c r="AB371" s="6">
        <v>4.0597640479999999</v>
      </c>
      <c r="AC371" s="6">
        <v>3.7570785440000001</v>
      </c>
      <c r="AD371" cm="1">
        <f t="array" ref="AD371">IF(SUMPRODUCT(--($AM$2:$AM$112=TRIM(LEFT($B371,IFERROR(FIND(" ",$B371)-1,LEN($B371))))))&gt;0,1,0)</f>
        <v>1</v>
      </c>
      <c r="AE371" cm="1">
        <f t="array" ref="AE371">IF(SUMPRODUCT(--($AO$2:$AO$145=TRIM(LEFT($B371,IFERROR(FIND(" ",$B371)-1,LEN($B371))))))&gt;0,1,0)</f>
        <v>1</v>
      </c>
      <c r="AF371" cm="1">
        <f t="array" ref="AF371">IF(SUMPRODUCT(--($AQ$2:$AQ$71=TRIM(LEFT($B371,IFERROR(FIND(" ",$B371)-1,LEN($B371))))))&gt;0,1,0)</f>
        <v>1</v>
      </c>
    </row>
    <row r="372" spans="1:32" ht="165.75" thickBot="1" x14ac:dyDescent="0.3">
      <c r="A372" s="13">
        <v>58</v>
      </c>
      <c r="B372" s="4" t="s">
        <v>876</v>
      </c>
      <c r="C372" s="4" t="s">
        <v>877</v>
      </c>
      <c r="D372" s="7">
        <v>45057</v>
      </c>
      <c r="E372" s="3">
        <v>829.58</v>
      </c>
      <c r="F372" s="4" t="s">
        <v>30</v>
      </c>
      <c r="G372" s="3">
        <v>60.34</v>
      </c>
      <c r="H372" s="4" t="s">
        <v>31</v>
      </c>
      <c r="I372" s="4" t="s">
        <v>32</v>
      </c>
      <c r="J372" s="4" t="s">
        <v>33</v>
      </c>
      <c r="K372" s="4"/>
      <c r="L372" s="4"/>
      <c r="M372" s="3">
        <v>37.229999999999997</v>
      </c>
      <c r="N372" s="3">
        <v>611.34</v>
      </c>
      <c r="O372" s="4" t="s">
        <v>49</v>
      </c>
      <c r="P372" s="4" t="s">
        <v>34</v>
      </c>
      <c r="Q372" s="4" t="s">
        <v>35</v>
      </c>
      <c r="R372" s="3">
        <v>197.31100000000001</v>
      </c>
      <c r="S372" s="3">
        <v>-1.2442800000000001</v>
      </c>
      <c r="T372" s="4" t="s">
        <v>878</v>
      </c>
      <c r="U372" s="2" t="s">
        <v>37</v>
      </c>
      <c r="V372" s="2" t="s">
        <v>37</v>
      </c>
      <c r="W372" s="2" t="s">
        <v>38</v>
      </c>
      <c r="X372" s="2" t="s">
        <v>38</v>
      </c>
      <c r="Y372" s="2" t="s">
        <v>38</v>
      </c>
      <c r="Z372" s="2" t="s">
        <v>37</v>
      </c>
      <c r="AA372" s="6">
        <v>2.9188582730000001</v>
      </c>
      <c r="AB372" s="6">
        <v>2.295151298</v>
      </c>
      <c r="AC372" s="6">
        <v>2.7862828130000001</v>
      </c>
      <c r="AD372" cm="1">
        <f t="array" ref="AD372">IF(SUMPRODUCT(--($AM$2:$AM$112=TRIM(LEFT($B372,IFERROR(FIND(" ",$B372)-1,LEN($B372))))))&gt;0,1,0)</f>
        <v>0</v>
      </c>
      <c r="AE372" cm="1">
        <f t="array" ref="AE372">IF(SUMPRODUCT(--($AO$2:$AO$145=TRIM(LEFT($B372,IFERROR(FIND(" ",$B372)-1,LEN($B372))))))&gt;0,1,0)</f>
        <v>0</v>
      </c>
      <c r="AF372" cm="1">
        <f t="array" ref="AF372">IF(SUMPRODUCT(--($AQ$2:$AQ$71=TRIM(LEFT($B372,IFERROR(FIND(" ",$B372)-1,LEN($B372))))))&gt;0,1,0)</f>
        <v>0</v>
      </c>
    </row>
    <row r="373" spans="1:32" ht="45.75" thickBot="1" x14ac:dyDescent="0.3">
      <c r="A373" s="13">
        <v>160</v>
      </c>
      <c r="B373" s="4" t="s">
        <v>879</v>
      </c>
      <c r="C373" s="4" t="s">
        <v>880</v>
      </c>
      <c r="D373" s="7">
        <v>44913</v>
      </c>
      <c r="E373" s="3">
        <v>4674.09</v>
      </c>
      <c r="F373" s="4" t="s">
        <v>30</v>
      </c>
      <c r="G373" s="3">
        <v>18.79</v>
      </c>
      <c r="H373" s="4" t="s">
        <v>70</v>
      </c>
      <c r="I373" s="4" t="s">
        <v>71</v>
      </c>
      <c r="J373" s="4" t="s">
        <v>304</v>
      </c>
      <c r="K373" s="4"/>
      <c r="L373" s="4"/>
      <c r="M373" s="3">
        <v>9.5399999999999991</v>
      </c>
      <c r="N373" s="3">
        <v>4670.8900000000003</v>
      </c>
      <c r="O373" s="4" t="s">
        <v>34</v>
      </c>
      <c r="P373" s="4" t="s">
        <v>34</v>
      </c>
      <c r="Q373" s="4" t="s">
        <v>35</v>
      </c>
      <c r="R373" s="3">
        <v>21325</v>
      </c>
      <c r="S373" s="3">
        <v>5.9272499999999999</v>
      </c>
      <c r="T373" s="4" t="s">
        <v>43</v>
      </c>
      <c r="U373" s="2" t="s">
        <v>37</v>
      </c>
      <c r="V373" s="2" t="s">
        <v>37</v>
      </c>
      <c r="W373" s="2" t="s">
        <v>37</v>
      </c>
      <c r="X373" s="2" t="s">
        <v>37</v>
      </c>
      <c r="Y373" s="2" t="s">
        <v>37</v>
      </c>
      <c r="Z373" s="2" t="s">
        <v>37</v>
      </c>
      <c r="AA373" s="6">
        <v>3.6696970709999999</v>
      </c>
      <c r="AB373" s="6">
        <v>4.32888904</v>
      </c>
      <c r="AC373" s="6">
        <v>3.66939964</v>
      </c>
      <c r="AD373" cm="1">
        <f t="array" ref="AD373">IF(SUMPRODUCT(--($AM$2:$AM$112=TRIM(LEFT($B373,IFERROR(FIND(" ",$B373)-1,LEN($B373))))))&gt;0,1,0)</f>
        <v>0</v>
      </c>
      <c r="AE373" cm="1">
        <f t="array" ref="AE373">IF(SUMPRODUCT(--($AO$2:$AO$145=TRIM(LEFT($B373,IFERROR(FIND(" ",$B373)-1,LEN($B373))))))&gt;0,1,0)</f>
        <v>0</v>
      </c>
      <c r="AF373" cm="1">
        <f t="array" ref="AF373">IF(SUMPRODUCT(--($AQ$2:$AQ$71=TRIM(LEFT($B373,IFERROR(FIND(" ",$B373)-1,LEN($B373))))))&gt;0,1,0)</f>
        <v>0</v>
      </c>
    </row>
    <row r="374" spans="1:32" ht="45.75" thickBot="1" x14ac:dyDescent="0.3">
      <c r="A374" s="13">
        <v>79</v>
      </c>
      <c r="B374" s="4" t="s">
        <v>881</v>
      </c>
      <c r="C374" s="4" t="s">
        <v>882</v>
      </c>
      <c r="D374" s="7">
        <v>45019</v>
      </c>
      <c r="E374" s="3">
        <v>12004.54</v>
      </c>
      <c r="F374" s="4" t="s">
        <v>46</v>
      </c>
      <c r="G374" s="3">
        <v>5.09</v>
      </c>
      <c r="H374" s="4" t="s">
        <v>51</v>
      </c>
      <c r="I374" s="4" t="s">
        <v>51</v>
      </c>
      <c r="J374" s="4" t="s">
        <v>79</v>
      </c>
      <c r="K374" s="4"/>
      <c r="L374" s="4"/>
      <c r="M374" s="3">
        <v>13.67</v>
      </c>
      <c r="N374" s="3">
        <v>12004.54</v>
      </c>
      <c r="O374" s="4" t="s">
        <v>34</v>
      </c>
      <c r="P374" s="4" t="s">
        <v>34</v>
      </c>
      <c r="Q374" s="4" t="s">
        <v>35</v>
      </c>
      <c r="R374" s="3">
        <v>1038.17</v>
      </c>
      <c r="S374" s="3">
        <v>44.707900000000002</v>
      </c>
      <c r="T374" s="4" t="s">
        <v>43</v>
      </c>
      <c r="U374" s="2" t="s">
        <v>37</v>
      </c>
      <c r="V374" s="2" t="s">
        <v>37</v>
      </c>
      <c r="W374" s="2" t="s">
        <v>37</v>
      </c>
      <c r="X374" s="2" t="s">
        <v>37</v>
      </c>
      <c r="Y374" s="2" t="s">
        <v>37</v>
      </c>
      <c r="Z374" s="2" t="s">
        <v>37</v>
      </c>
      <c r="AA374" s="6">
        <v>4.0793455229999998</v>
      </c>
      <c r="AB374" s="6">
        <v>3.0162684749999999</v>
      </c>
      <c r="AC374" s="6">
        <v>4.0793455229999998</v>
      </c>
      <c r="AD374" cm="1">
        <f t="array" ref="AD374">IF(SUMPRODUCT(--($AM$2:$AM$112=TRIM(LEFT($B374,IFERROR(FIND(" ",$B374)-1,LEN($B374))))))&gt;0,1,0)</f>
        <v>0</v>
      </c>
      <c r="AE374" cm="1">
        <f t="array" ref="AE374">IF(SUMPRODUCT(--($AO$2:$AO$145=TRIM(LEFT($B374,IFERROR(FIND(" ",$B374)-1,LEN($B374))))))&gt;0,1,0)</f>
        <v>0</v>
      </c>
      <c r="AF374" cm="1">
        <f t="array" ref="AF374">IF(SUMPRODUCT(--($AQ$2:$AQ$71=TRIM(LEFT($B374,IFERROR(FIND(" ",$B374)-1,LEN($B374))))))&gt;0,1,0)</f>
        <v>0</v>
      </c>
    </row>
    <row r="375" spans="1:32" ht="75.75" thickBot="1" x14ac:dyDescent="0.3">
      <c r="A375" s="13">
        <v>53</v>
      </c>
      <c r="B375" s="4" t="s">
        <v>883</v>
      </c>
      <c r="C375" s="4" t="s">
        <v>884</v>
      </c>
      <c r="D375" s="7">
        <v>45045</v>
      </c>
      <c r="E375" s="3">
        <v>4843.74</v>
      </c>
      <c r="F375" s="4" t="s">
        <v>30</v>
      </c>
      <c r="G375" s="4"/>
      <c r="H375" s="4" t="s">
        <v>41</v>
      </c>
      <c r="I375" s="4" t="s">
        <v>41</v>
      </c>
      <c r="J375" s="4" t="s">
        <v>42</v>
      </c>
      <c r="K375" s="4"/>
      <c r="L375" s="3">
        <v>222.37</v>
      </c>
      <c r="M375" s="3">
        <v>38.96</v>
      </c>
      <c r="N375" s="3">
        <v>5489.38</v>
      </c>
      <c r="O375" s="4" t="s">
        <v>34</v>
      </c>
      <c r="P375" s="4" t="s">
        <v>96</v>
      </c>
      <c r="Q375" s="4" t="s">
        <v>35</v>
      </c>
      <c r="R375" s="2"/>
      <c r="S375" s="2"/>
      <c r="T375" s="4" t="s">
        <v>97</v>
      </c>
      <c r="U375" s="2" t="s">
        <v>37</v>
      </c>
      <c r="V375" s="2" t="s">
        <v>37</v>
      </c>
      <c r="W375" s="2" t="s">
        <v>38</v>
      </c>
      <c r="X375" s="2" t="s">
        <v>37</v>
      </c>
      <c r="Y375" s="2" t="s">
        <v>37</v>
      </c>
      <c r="Z375" s="2" t="s">
        <v>37</v>
      </c>
      <c r="AA375" s="6">
        <v>3.685180823</v>
      </c>
      <c r="AB375" s="2"/>
      <c r="AC375" s="6">
        <v>3.7395232960000002</v>
      </c>
      <c r="AD375" cm="1">
        <f t="array" ref="AD375">IF(SUMPRODUCT(--($AM$2:$AM$112=TRIM(LEFT($B375,IFERROR(FIND(" ",$B375)-1,LEN($B375))))))&gt;0,1,0)</f>
        <v>0</v>
      </c>
      <c r="AE375" cm="1">
        <f t="array" ref="AE375">IF(SUMPRODUCT(--($AO$2:$AO$145=TRIM(LEFT($B375,IFERROR(FIND(" ",$B375)-1,LEN($B375))))))&gt;0,1,0)</f>
        <v>0</v>
      </c>
      <c r="AF375" cm="1">
        <f t="array" ref="AF375">IF(SUMPRODUCT(--($AQ$2:$AQ$71=TRIM(LEFT($B375,IFERROR(FIND(" ",$B375)-1,LEN($B375))))))&gt;0,1,0)</f>
        <v>0</v>
      </c>
    </row>
    <row r="376" spans="1:32" ht="75.75" thickBot="1" x14ac:dyDescent="0.3">
      <c r="A376" s="13">
        <v>87</v>
      </c>
      <c r="B376" s="4" t="s">
        <v>885</v>
      </c>
      <c r="C376" s="4" t="s">
        <v>886</v>
      </c>
      <c r="D376" s="7">
        <v>44993</v>
      </c>
      <c r="E376" s="3">
        <v>4558.05</v>
      </c>
      <c r="F376" s="4" t="s">
        <v>30</v>
      </c>
      <c r="G376" s="3">
        <v>21.49</v>
      </c>
      <c r="H376" s="4" t="s">
        <v>47</v>
      </c>
      <c r="I376" s="4" t="s">
        <v>47</v>
      </c>
      <c r="J376" s="4" t="s">
        <v>875</v>
      </c>
      <c r="K376" s="4"/>
      <c r="L376" s="4"/>
      <c r="M376" s="3">
        <v>41.84</v>
      </c>
      <c r="N376" s="3">
        <v>2724.25</v>
      </c>
      <c r="O376" s="4" t="s">
        <v>34</v>
      </c>
      <c r="P376" s="4" t="s">
        <v>34</v>
      </c>
      <c r="Q376" s="4" t="s">
        <v>35</v>
      </c>
      <c r="R376" s="3">
        <v>2765.9</v>
      </c>
      <c r="S376" s="3">
        <v>-4.4898100000000003</v>
      </c>
      <c r="T376" s="4" t="s">
        <v>113</v>
      </c>
      <c r="U376" s="2" t="s">
        <v>37</v>
      </c>
      <c r="V376" s="2" t="s">
        <v>37</v>
      </c>
      <c r="W376" s="2" t="s">
        <v>37</v>
      </c>
      <c r="X376" s="2" t="s">
        <v>38</v>
      </c>
      <c r="Y376" s="2" t="s">
        <v>37</v>
      </c>
      <c r="Z376" s="2" t="s">
        <v>37</v>
      </c>
      <c r="AA376" s="6">
        <v>3.6587790849999999</v>
      </c>
      <c r="AB376" s="6">
        <v>3.441836474</v>
      </c>
      <c r="AC376" s="6">
        <v>3.4352469600000002</v>
      </c>
      <c r="AD376" cm="1">
        <f t="array" ref="AD376">IF(SUMPRODUCT(--($AM$2:$AM$112=TRIM(LEFT($B376,IFERROR(FIND(" ",$B376)-1,LEN($B376))))))&gt;0,1,0)</f>
        <v>1</v>
      </c>
      <c r="AE376" cm="1">
        <f t="array" ref="AE376">IF(SUMPRODUCT(--($AO$2:$AO$145=TRIM(LEFT($B376,IFERROR(FIND(" ",$B376)-1,LEN($B376))))))&gt;0,1,0)</f>
        <v>1</v>
      </c>
      <c r="AF376" cm="1">
        <f t="array" ref="AF376">IF(SUMPRODUCT(--($AQ$2:$AQ$71=TRIM(LEFT($B376,IFERROR(FIND(" ",$B376)-1,LEN($B376))))))&gt;0,1,0)</f>
        <v>0</v>
      </c>
    </row>
    <row r="377" spans="1:32" ht="45.75" thickBot="1" x14ac:dyDescent="0.3">
      <c r="A377" s="13">
        <v>75</v>
      </c>
      <c r="B377" s="4" t="s">
        <v>887</v>
      </c>
      <c r="C377" s="4" t="s">
        <v>888</v>
      </c>
      <c r="D377" s="7">
        <v>45006</v>
      </c>
      <c r="E377" s="3">
        <v>1043.48</v>
      </c>
      <c r="F377" s="4" t="s">
        <v>30</v>
      </c>
      <c r="G377" s="3">
        <v>6.31</v>
      </c>
      <c r="H377" s="4" t="s">
        <v>70</v>
      </c>
      <c r="I377" s="4" t="s">
        <v>94</v>
      </c>
      <c r="J377" s="4" t="s">
        <v>108</v>
      </c>
      <c r="K377" s="4"/>
      <c r="L377" s="4"/>
      <c r="M377" s="3">
        <v>285.45999999999998</v>
      </c>
      <c r="N377" s="3">
        <v>222.06</v>
      </c>
      <c r="O377" s="4" t="s">
        <v>34</v>
      </c>
      <c r="P377" s="4" t="s">
        <v>34</v>
      </c>
      <c r="Q377" s="4" t="s">
        <v>35</v>
      </c>
      <c r="R377" s="2"/>
      <c r="S377" s="2"/>
      <c r="T377" s="4" t="s">
        <v>43</v>
      </c>
      <c r="U377" s="2" t="s">
        <v>37</v>
      </c>
      <c r="V377" s="2" t="s">
        <v>37</v>
      </c>
      <c r="W377" s="2" t="s">
        <v>37</v>
      </c>
      <c r="X377" s="2" t="s">
        <v>37</v>
      </c>
      <c r="Y377" s="2" t="s">
        <v>37</v>
      </c>
      <c r="Z377" s="2" t="s">
        <v>37</v>
      </c>
      <c r="AA377" s="6">
        <v>3.01848413</v>
      </c>
      <c r="AB377" s="2"/>
      <c r="AC377" s="6">
        <v>2.3464703349999998</v>
      </c>
      <c r="AD377" cm="1">
        <f t="array" ref="AD377">IF(SUMPRODUCT(--($AM$2:$AM$112=TRIM(LEFT($B377,IFERROR(FIND(" ",$B377)-1,LEN($B377))))))&gt;0,1,0)</f>
        <v>0</v>
      </c>
      <c r="AE377" cm="1">
        <f t="array" ref="AE377">IF(SUMPRODUCT(--($AO$2:$AO$145=TRIM(LEFT($B377,IFERROR(FIND(" ",$B377)-1,LEN($B377))))))&gt;0,1,0)</f>
        <v>0</v>
      </c>
      <c r="AF377" cm="1">
        <f t="array" ref="AF377">IF(SUMPRODUCT(--($AQ$2:$AQ$71=TRIM(LEFT($B377,IFERROR(FIND(" ",$B377)-1,LEN($B377))))))&gt;0,1,0)</f>
        <v>0</v>
      </c>
    </row>
    <row r="378" spans="1:32" ht="75.75" thickBot="1" x14ac:dyDescent="0.3">
      <c r="A378" s="13">
        <v>54</v>
      </c>
      <c r="B378" s="4" t="s">
        <v>889</v>
      </c>
      <c r="C378" s="4" t="s">
        <v>196</v>
      </c>
      <c r="D378" s="7">
        <v>45034</v>
      </c>
      <c r="E378" s="3">
        <v>1531.24</v>
      </c>
      <c r="F378" s="4" t="s">
        <v>30</v>
      </c>
      <c r="G378" s="4"/>
      <c r="H378" s="4" t="s">
        <v>41</v>
      </c>
      <c r="I378" s="4" t="s">
        <v>41</v>
      </c>
      <c r="J378" s="4" t="s">
        <v>42</v>
      </c>
      <c r="K378" s="4"/>
      <c r="L378" s="4"/>
      <c r="M378" s="3">
        <v>102.88</v>
      </c>
      <c r="N378" s="3">
        <v>1867.01</v>
      </c>
      <c r="O378" s="4" t="s">
        <v>49</v>
      </c>
      <c r="P378" s="4" t="s">
        <v>34</v>
      </c>
      <c r="Q378" s="4" t="s">
        <v>35</v>
      </c>
      <c r="R378" s="3">
        <v>1.6E-2</v>
      </c>
      <c r="S378" s="3">
        <v>-602047</v>
      </c>
      <c r="T378" s="4" t="s">
        <v>97</v>
      </c>
      <c r="U378" s="2" t="s">
        <v>37</v>
      </c>
      <c r="V378" s="2" t="s">
        <v>37</v>
      </c>
      <c r="W378" s="2" t="s">
        <v>38</v>
      </c>
      <c r="X378" s="2" t="s">
        <v>37</v>
      </c>
      <c r="Y378" s="2" t="s">
        <v>37</v>
      </c>
      <c r="Z378" s="2" t="s">
        <v>37</v>
      </c>
      <c r="AA378" s="6">
        <v>3.185043265</v>
      </c>
      <c r="AB378" s="6">
        <v>-1.795880017</v>
      </c>
      <c r="AC378" s="6">
        <v>3.2711466439999999</v>
      </c>
      <c r="AD378" cm="1">
        <f t="array" ref="AD378">IF(SUMPRODUCT(--($AM$2:$AM$112=TRIM(LEFT($B378,IFERROR(FIND(" ",$B378)-1,LEN($B378))))))&gt;0,1,0)</f>
        <v>0</v>
      </c>
      <c r="AE378" cm="1">
        <f t="array" ref="AE378">IF(SUMPRODUCT(--($AO$2:$AO$145=TRIM(LEFT($B378,IFERROR(FIND(" ",$B378)-1,LEN($B378))))))&gt;0,1,0)</f>
        <v>0</v>
      </c>
      <c r="AF378" cm="1">
        <f t="array" ref="AF378">IF(SUMPRODUCT(--($AQ$2:$AQ$71=TRIM(LEFT($B378,IFERROR(FIND(" ",$B378)-1,LEN($B378))))))&gt;0,1,0)</f>
        <v>0</v>
      </c>
    </row>
    <row r="379" spans="1:32" ht="195.75" thickBot="1" x14ac:dyDescent="0.3">
      <c r="A379" s="13">
        <v>93</v>
      </c>
      <c r="B379" s="4" t="s">
        <v>890</v>
      </c>
      <c r="C379" s="2"/>
      <c r="D379" s="7">
        <v>44979</v>
      </c>
      <c r="E379" s="3">
        <v>614.74</v>
      </c>
      <c r="F379" s="4" t="s">
        <v>30</v>
      </c>
      <c r="G379" s="3">
        <v>32.520000000000003</v>
      </c>
      <c r="H379" s="4" t="s">
        <v>51</v>
      </c>
      <c r="I379" s="4" t="s">
        <v>51</v>
      </c>
      <c r="J379" s="4" t="s">
        <v>79</v>
      </c>
      <c r="K379" s="3">
        <v>62.8</v>
      </c>
      <c r="L379" s="3">
        <v>24.4</v>
      </c>
      <c r="M379" s="3">
        <v>5.3</v>
      </c>
      <c r="N379" s="3">
        <v>584.13</v>
      </c>
      <c r="O379" s="4" t="s">
        <v>34</v>
      </c>
      <c r="P379" s="4" t="s">
        <v>534</v>
      </c>
      <c r="Q379" s="4" t="s">
        <v>399</v>
      </c>
      <c r="R379" s="3">
        <v>49.195</v>
      </c>
      <c r="S379" s="3">
        <v>3.0402399999999998</v>
      </c>
      <c r="T379" s="4" t="s">
        <v>891</v>
      </c>
      <c r="U379" s="2" t="s">
        <v>38</v>
      </c>
      <c r="V379" s="2" t="s">
        <v>37</v>
      </c>
      <c r="W379" s="2" t="s">
        <v>37</v>
      </c>
      <c r="X379" s="2" t="s">
        <v>38</v>
      </c>
      <c r="Y379" s="2" t="s">
        <v>38</v>
      </c>
      <c r="Z379" s="2" t="s">
        <v>37</v>
      </c>
      <c r="AA379" s="6">
        <v>2.7886914730000001</v>
      </c>
      <c r="AB379" s="6">
        <v>1.691920965</v>
      </c>
      <c r="AC379" s="6">
        <v>2.7665095110000002</v>
      </c>
      <c r="AD379" cm="1">
        <f t="array" ref="AD379">IF(SUMPRODUCT(--($AM$2:$AM$112=TRIM(LEFT($B379,IFERROR(FIND(" ",$B379)-1,LEN($B379))))))&gt;0,1,0)</f>
        <v>0</v>
      </c>
      <c r="AE379" cm="1">
        <f t="array" ref="AE379">IF(SUMPRODUCT(--($AO$2:$AO$145=TRIM(LEFT($B379,IFERROR(FIND(" ",$B379)-1,LEN($B379))))))&gt;0,1,0)</f>
        <v>1</v>
      </c>
      <c r="AF379" cm="1">
        <f t="array" ref="AF379">IF(SUMPRODUCT(--($AQ$2:$AQ$71=TRIM(LEFT($B379,IFERROR(FIND(" ",$B379)-1,LEN($B379))))))&gt;0,1,0)</f>
        <v>1</v>
      </c>
    </row>
    <row r="380" spans="1:32" ht="225.75" thickBot="1" x14ac:dyDescent="0.3">
      <c r="A380" s="13">
        <v>79</v>
      </c>
      <c r="B380" s="4" t="s">
        <v>892</v>
      </c>
      <c r="C380" s="2"/>
      <c r="D380" s="7">
        <v>44997</v>
      </c>
      <c r="E380" s="3">
        <v>10062.950000000001</v>
      </c>
      <c r="F380" s="4" t="s">
        <v>30</v>
      </c>
      <c r="G380" s="4"/>
      <c r="H380" s="4" t="s">
        <v>31</v>
      </c>
      <c r="I380" s="4" t="s">
        <v>32</v>
      </c>
      <c r="J380" s="4" t="s">
        <v>33</v>
      </c>
      <c r="K380" s="4"/>
      <c r="L380" s="3">
        <v>311.51400000000001</v>
      </c>
      <c r="M380" s="3">
        <v>9.19</v>
      </c>
      <c r="N380" s="3">
        <v>10504.67</v>
      </c>
      <c r="O380" s="4" t="s">
        <v>34</v>
      </c>
      <c r="P380" s="4" t="s">
        <v>49</v>
      </c>
      <c r="Q380" s="4" t="s">
        <v>35</v>
      </c>
      <c r="R380" s="3">
        <v>1458.63</v>
      </c>
      <c r="S380" s="3">
        <v>-66.042599999999993</v>
      </c>
      <c r="T380" s="4" t="s">
        <v>893</v>
      </c>
      <c r="U380" s="2" t="s">
        <v>38</v>
      </c>
      <c r="V380" s="2" t="s">
        <v>37</v>
      </c>
      <c r="W380" s="2" t="s">
        <v>38</v>
      </c>
      <c r="X380" s="2" t="s">
        <v>38</v>
      </c>
      <c r="Y380" s="2" t="s">
        <v>38</v>
      </c>
      <c r="Z380" s="2" t="s">
        <v>37</v>
      </c>
      <c r="AA380" s="6">
        <v>4.0027253150000002</v>
      </c>
      <c r="AB380" s="6">
        <v>3.1639451420000002</v>
      </c>
      <c r="AC380" s="6">
        <v>4.0213824139999996</v>
      </c>
      <c r="AD380" cm="1">
        <f t="array" ref="AD380">IF(SUMPRODUCT(--($AM$2:$AM$112=TRIM(LEFT($B380,IFERROR(FIND(" ",$B380)-1,LEN($B380))))))&gt;0,1,0)</f>
        <v>0</v>
      </c>
      <c r="AE380" cm="1">
        <f t="array" ref="AE380">IF(SUMPRODUCT(--($AO$2:$AO$145=TRIM(LEFT($B380,IFERROR(FIND(" ",$B380)-1,LEN($B380))))))&gt;0,1,0)</f>
        <v>0</v>
      </c>
      <c r="AF380" cm="1">
        <f t="array" ref="AF380">IF(SUMPRODUCT(--($AQ$2:$AQ$71=TRIM(LEFT($B380,IFERROR(FIND(" ",$B380)-1,LEN($B380))))))&gt;0,1,0)</f>
        <v>0</v>
      </c>
    </row>
    <row r="381" spans="1:32" ht="105.75" thickBot="1" x14ac:dyDescent="0.3">
      <c r="A381" s="13">
        <v>35</v>
      </c>
      <c r="B381" s="4" t="s">
        <v>894</v>
      </c>
      <c r="C381" s="4" t="s">
        <v>895</v>
      </c>
      <c r="D381" s="7">
        <v>45056</v>
      </c>
      <c r="E381" s="3">
        <v>1166.27</v>
      </c>
      <c r="F381" s="4" t="s">
        <v>30</v>
      </c>
      <c r="G381" s="4"/>
      <c r="H381" s="4" t="s">
        <v>41</v>
      </c>
      <c r="I381" s="4" t="s">
        <v>41</v>
      </c>
      <c r="J381" s="4" t="s">
        <v>42</v>
      </c>
      <c r="K381" s="4"/>
      <c r="L381" s="4"/>
      <c r="M381" s="3">
        <v>88.76</v>
      </c>
      <c r="N381" s="3">
        <v>1200.1099999999999</v>
      </c>
      <c r="O381" s="4" t="s">
        <v>34</v>
      </c>
      <c r="P381" s="4" t="s">
        <v>638</v>
      </c>
      <c r="Q381" s="4" t="s">
        <v>35</v>
      </c>
      <c r="R381" s="3">
        <v>53.948</v>
      </c>
      <c r="S381" s="3">
        <v>-71.1755</v>
      </c>
      <c r="T381" s="4" t="s">
        <v>896</v>
      </c>
      <c r="U381" s="2" t="s">
        <v>37</v>
      </c>
      <c r="V381" s="2" t="s">
        <v>37</v>
      </c>
      <c r="W381" s="2" t="s">
        <v>38</v>
      </c>
      <c r="X381" s="2" t="s">
        <v>37</v>
      </c>
      <c r="Y381" s="2" t="s">
        <v>37</v>
      </c>
      <c r="Z381" s="2" t="s">
        <v>38</v>
      </c>
      <c r="AA381" s="6">
        <v>3.0667991040000002</v>
      </c>
      <c r="AB381" s="6">
        <v>1.7319753490000001</v>
      </c>
      <c r="AC381" s="6">
        <v>3.0792210550000001</v>
      </c>
      <c r="AD381" cm="1">
        <f t="array" ref="AD381">IF(SUMPRODUCT(--($AM$2:$AM$112=TRIM(LEFT($B381,IFERROR(FIND(" ",$B381)-1,LEN($B381))))))&gt;0,1,0)</f>
        <v>0</v>
      </c>
      <c r="AE381" cm="1">
        <f t="array" ref="AE381">IF(SUMPRODUCT(--($AO$2:$AO$145=TRIM(LEFT($B381,IFERROR(FIND(" ",$B381)-1,LEN($B381))))))&gt;0,1,0)</f>
        <v>0</v>
      </c>
      <c r="AF381" cm="1">
        <f t="array" ref="AF381">IF(SUMPRODUCT(--($AQ$2:$AQ$71=TRIM(LEFT($B381,IFERROR(FIND(" ",$B381)-1,LEN($B381))))))&gt;0,1,0)</f>
        <v>0</v>
      </c>
    </row>
    <row r="382" spans="1:32" ht="45.75" thickBot="1" x14ac:dyDescent="0.3">
      <c r="A382" s="13">
        <v>51</v>
      </c>
      <c r="B382" s="4" t="s">
        <v>897</v>
      </c>
      <c r="C382" s="4" t="s">
        <v>898</v>
      </c>
      <c r="D382" s="7">
        <v>45029</v>
      </c>
      <c r="E382" s="3">
        <v>623.78</v>
      </c>
      <c r="F382" s="4" t="s">
        <v>46</v>
      </c>
      <c r="G382" s="3">
        <v>1986.84</v>
      </c>
      <c r="H382" s="4" t="s">
        <v>47</v>
      </c>
      <c r="I382" s="4" t="s">
        <v>47</v>
      </c>
      <c r="J382" s="4" t="s">
        <v>48</v>
      </c>
      <c r="K382" s="4"/>
      <c r="L382" s="4"/>
      <c r="M382" s="3">
        <v>27.87</v>
      </c>
      <c r="N382" s="3">
        <v>411.4</v>
      </c>
      <c r="O382" s="4" t="s">
        <v>49</v>
      </c>
      <c r="P382" s="4" t="s">
        <v>49</v>
      </c>
      <c r="Q382" s="4" t="s">
        <v>35</v>
      </c>
      <c r="R382" s="3">
        <v>231.78100000000001</v>
      </c>
      <c r="S382" s="3">
        <v>-6.4760200000000001</v>
      </c>
      <c r="T382" s="4" t="s">
        <v>43</v>
      </c>
      <c r="U382" s="2" t="s">
        <v>37</v>
      </c>
      <c r="V382" s="2" t="s">
        <v>37</v>
      </c>
      <c r="W382" s="2" t="s">
        <v>37</v>
      </c>
      <c r="X382" s="2" t="s">
        <v>37</v>
      </c>
      <c r="Y382" s="2" t="s">
        <v>37</v>
      </c>
      <c r="Z382" s="2" t="s">
        <v>37</v>
      </c>
      <c r="AA382" s="6">
        <v>2.7950314459999999</v>
      </c>
      <c r="AB382" s="6">
        <v>2.3650778319999999</v>
      </c>
      <c r="AC382" s="6">
        <v>2.6142642870000001</v>
      </c>
      <c r="AD382" cm="1">
        <f t="array" ref="AD382">IF(SUMPRODUCT(--($AM$2:$AM$112=TRIM(LEFT($B382,IFERROR(FIND(" ",$B382)-1,LEN($B382))))))&gt;0,1,0)</f>
        <v>0</v>
      </c>
      <c r="AE382" cm="1">
        <f t="array" ref="AE382">IF(SUMPRODUCT(--($AO$2:$AO$145=TRIM(LEFT($B382,IFERROR(FIND(" ",$B382)-1,LEN($B382))))))&gt;0,1,0)</f>
        <v>0</v>
      </c>
      <c r="AF382" cm="1">
        <f t="array" ref="AF382">IF(SUMPRODUCT(--($AQ$2:$AQ$71=TRIM(LEFT($B382,IFERROR(FIND(" ",$B382)-1,LEN($B382))))))&gt;0,1,0)</f>
        <v>0</v>
      </c>
    </row>
    <row r="383" spans="1:32" ht="75.75" thickBot="1" x14ac:dyDescent="0.3">
      <c r="A383" s="13">
        <v>82</v>
      </c>
      <c r="B383" s="4" t="s">
        <v>899</v>
      </c>
      <c r="C383" s="4" t="s">
        <v>900</v>
      </c>
      <c r="D383" s="7">
        <v>44985</v>
      </c>
      <c r="E383" s="3">
        <v>1473.16</v>
      </c>
      <c r="F383" s="4" t="s">
        <v>107</v>
      </c>
      <c r="G383" s="3">
        <v>6.07</v>
      </c>
      <c r="H383" s="4" t="s">
        <v>118</v>
      </c>
      <c r="I383" s="4" t="s">
        <v>119</v>
      </c>
      <c r="J383" s="4" t="s">
        <v>120</v>
      </c>
      <c r="K383" s="4"/>
      <c r="L383" s="4"/>
      <c r="M383" s="3">
        <v>10.57</v>
      </c>
      <c r="N383" s="3">
        <v>875.57</v>
      </c>
      <c r="O383" s="4" t="s">
        <v>34</v>
      </c>
      <c r="P383" s="4" t="s">
        <v>49</v>
      </c>
      <c r="Q383" s="4" t="s">
        <v>35</v>
      </c>
      <c r="R383" s="3">
        <v>1145.19</v>
      </c>
      <c r="S383" s="3">
        <v>54.439700000000002</v>
      </c>
      <c r="T383" s="4" t="s">
        <v>104</v>
      </c>
      <c r="U383" s="2" t="s">
        <v>37</v>
      </c>
      <c r="V383" s="2" t="s">
        <v>37</v>
      </c>
      <c r="W383" s="2" t="s">
        <v>38</v>
      </c>
      <c r="X383" s="2" t="s">
        <v>37</v>
      </c>
      <c r="Y383" s="2" t="s">
        <v>37</v>
      </c>
      <c r="Z383" s="2" t="s">
        <v>37</v>
      </c>
      <c r="AA383" s="6">
        <v>3.1682499179999999</v>
      </c>
      <c r="AB383" s="6">
        <v>3.0588775469999998</v>
      </c>
      <c r="AC383" s="6">
        <v>2.9422908730000001</v>
      </c>
      <c r="AD383" cm="1">
        <f t="array" ref="AD383">IF(SUMPRODUCT(--($AM$2:$AM$112=TRIM(LEFT($B383,IFERROR(FIND(" ",$B383)-1,LEN($B383))))))&gt;0,1,0)</f>
        <v>0</v>
      </c>
      <c r="AE383" cm="1">
        <f t="array" ref="AE383">IF(SUMPRODUCT(--($AO$2:$AO$145=TRIM(LEFT($B383,IFERROR(FIND(" ",$B383)-1,LEN($B383))))))&gt;0,1,0)</f>
        <v>0</v>
      </c>
      <c r="AF383" cm="1">
        <f t="array" ref="AF383">IF(SUMPRODUCT(--($AQ$2:$AQ$71=TRIM(LEFT($B383,IFERROR(FIND(" ",$B383)-1,LEN($B383))))))&gt;0,1,0)</f>
        <v>0</v>
      </c>
    </row>
    <row r="384" spans="1:32" ht="45.75" thickBot="1" x14ac:dyDescent="0.3">
      <c r="A384" s="13">
        <v>47</v>
      </c>
      <c r="B384" s="4" t="s">
        <v>901</v>
      </c>
      <c r="C384" s="4" t="s">
        <v>122</v>
      </c>
      <c r="D384" s="7">
        <v>45032</v>
      </c>
      <c r="E384" s="3">
        <v>8839.85</v>
      </c>
      <c r="F384" s="4" t="s">
        <v>30</v>
      </c>
      <c r="G384" s="4"/>
      <c r="H384" s="4" t="s">
        <v>41</v>
      </c>
      <c r="I384" s="4" t="s">
        <v>41</v>
      </c>
      <c r="J384" s="4" t="s">
        <v>42</v>
      </c>
      <c r="K384" s="4"/>
      <c r="L384" s="4"/>
      <c r="M384" s="3">
        <v>80.7</v>
      </c>
      <c r="N384" s="3">
        <v>9506.07</v>
      </c>
      <c r="O384" s="4" t="s">
        <v>34</v>
      </c>
      <c r="P384" s="4" t="s">
        <v>34</v>
      </c>
      <c r="Q384" s="4" t="s">
        <v>35</v>
      </c>
      <c r="R384" s="3">
        <v>6.8090000000000002</v>
      </c>
      <c r="S384" s="3">
        <v>-4064.71</v>
      </c>
      <c r="T384" s="4" t="s">
        <v>43</v>
      </c>
      <c r="U384" s="2" t="s">
        <v>37</v>
      </c>
      <c r="V384" s="2" t="s">
        <v>37</v>
      </c>
      <c r="W384" s="2" t="s">
        <v>37</v>
      </c>
      <c r="X384" s="2" t="s">
        <v>37</v>
      </c>
      <c r="Y384" s="2" t="s">
        <v>37</v>
      </c>
      <c r="Z384" s="2" t="s">
        <v>37</v>
      </c>
      <c r="AA384" s="6">
        <v>3.946444896</v>
      </c>
      <c r="AB384" s="6">
        <v>0.83308333420000003</v>
      </c>
      <c r="AC384" s="6">
        <v>3.9780010080000001</v>
      </c>
      <c r="AD384" cm="1">
        <f t="array" ref="AD384">IF(SUMPRODUCT(--($AM$2:$AM$112=TRIM(LEFT($B384,IFERROR(FIND(" ",$B384)-1,LEN($B384))))))&gt;0,1,0)</f>
        <v>0</v>
      </c>
      <c r="AE384" cm="1">
        <f t="array" ref="AE384">IF(SUMPRODUCT(--($AO$2:$AO$145=TRIM(LEFT($B384,IFERROR(FIND(" ",$B384)-1,LEN($B384))))))&gt;0,1,0)</f>
        <v>0</v>
      </c>
      <c r="AF384" cm="1">
        <f t="array" ref="AF384">IF(SUMPRODUCT(--($AQ$2:$AQ$71=TRIM(LEFT($B384,IFERROR(FIND(" ",$B384)-1,LEN($B384))))))&gt;0,1,0)</f>
        <v>0</v>
      </c>
    </row>
    <row r="385" spans="1:32" ht="135.75" thickBot="1" x14ac:dyDescent="0.3">
      <c r="A385" s="13">
        <v>69</v>
      </c>
      <c r="B385" s="4" t="s">
        <v>902</v>
      </c>
      <c r="C385" s="2"/>
      <c r="D385" s="7">
        <v>44999</v>
      </c>
      <c r="E385" s="3">
        <v>4235.13</v>
      </c>
      <c r="F385" s="4" t="s">
        <v>30</v>
      </c>
      <c r="G385" s="3">
        <v>53.08</v>
      </c>
      <c r="H385" s="4" t="s">
        <v>31</v>
      </c>
      <c r="I385" s="4" t="s">
        <v>32</v>
      </c>
      <c r="J385" s="4" t="s">
        <v>33</v>
      </c>
      <c r="K385" s="4"/>
      <c r="L385" s="4"/>
      <c r="M385" s="3">
        <v>13.82</v>
      </c>
      <c r="N385" s="3">
        <v>4147.33</v>
      </c>
      <c r="O385" s="4" t="s">
        <v>34</v>
      </c>
      <c r="P385" s="4" t="s">
        <v>34</v>
      </c>
      <c r="Q385" s="4" t="s">
        <v>35</v>
      </c>
      <c r="R385" s="3">
        <v>630.55799999999999</v>
      </c>
      <c r="S385" s="3">
        <v>-11.4511</v>
      </c>
      <c r="T385" s="4" t="s">
        <v>369</v>
      </c>
      <c r="U385" s="2" t="s">
        <v>37</v>
      </c>
      <c r="V385" s="2" t="s">
        <v>37</v>
      </c>
      <c r="W385" s="2" t="s">
        <v>37</v>
      </c>
      <c r="X385" s="2" t="s">
        <v>38</v>
      </c>
      <c r="Y385" s="2" t="s">
        <v>38</v>
      </c>
      <c r="Z385" s="2" t="s">
        <v>37</v>
      </c>
      <c r="AA385" s="6">
        <v>3.6268667460000001</v>
      </c>
      <c r="AB385" s="6">
        <v>2.7997250400000002</v>
      </c>
      <c r="AC385" s="6">
        <v>3.6177685930000001</v>
      </c>
      <c r="AD385" cm="1">
        <f t="array" ref="AD385">IF(SUMPRODUCT(--($AM$2:$AM$112=TRIM(LEFT($B385,IFERROR(FIND(" ",$B385)-1,LEN($B385))))))&gt;0,1,0)</f>
        <v>0</v>
      </c>
      <c r="AE385" cm="1">
        <f t="array" ref="AE385">IF(SUMPRODUCT(--($AO$2:$AO$145=TRIM(LEFT($B385,IFERROR(FIND(" ",$B385)-1,LEN($B385))))))&gt;0,1,0)</f>
        <v>0</v>
      </c>
      <c r="AF385" cm="1">
        <f t="array" ref="AF385">IF(SUMPRODUCT(--($AQ$2:$AQ$71=TRIM(LEFT($B385,IFERROR(FIND(" ",$B385)-1,LEN($B385))))))&gt;0,1,0)</f>
        <v>0</v>
      </c>
    </row>
    <row r="386" spans="1:32" ht="75.75" thickBot="1" x14ac:dyDescent="0.3">
      <c r="A386" s="13">
        <v>116</v>
      </c>
      <c r="B386" s="4" t="s">
        <v>903</v>
      </c>
      <c r="C386" s="4" t="s">
        <v>904</v>
      </c>
      <c r="D386" s="7">
        <v>44931</v>
      </c>
      <c r="E386" s="3">
        <v>3783.87</v>
      </c>
      <c r="F386" s="4" t="s">
        <v>30</v>
      </c>
      <c r="G386" s="3">
        <v>7.47</v>
      </c>
      <c r="H386" s="4" t="s">
        <v>118</v>
      </c>
      <c r="I386" s="4" t="s">
        <v>119</v>
      </c>
      <c r="J386" s="4" t="s">
        <v>120</v>
      </c>
      <c r="K386" s="4"/>
      <c r="L386" s="4"/>
      <c r="M386" s="3">
        <v>8.16</v>
      </c>
      <c r="N386" s="3">
        <v>3783.87</v>
      </c>
      <c r="O386" s="4" t="s">
        <v>34</v>
      </c>
      <c r="P386" s="4" t="s">
        <v>34</v>
      </c>
      <c r="Q386" s="4" t="s">
        <v>35</v>
      </c>
      <c r="R386" s="3">
        <v>14900</v>
      </c>
      <c r="S386" s="3">
        <v>4.7785599999999997</v>
      </c>
      <c r="T386" s="4" t="s">
        <v>905</v>
      </c>
      <c r="U386" s="2" t="s">
        <v>37</v>
      </c>
      <c r="V386" s="2" t="s">
        <v>37</v>
      </c>
      <c r="W386" s="2" t="s">
        <v>37</v>
      </c>
      <c r="X386" s="2" t="s">
        <v>37</v>
      </c>
      <c r="Y386" s="2" t="s">
        <v>37</v>
      </c>
      <c r="Z386" s="2" t="s">
        <v>37</v>
      </c>
      <c r="AA386" s="6">
        <v>3.577936207</v>
      </c>
      <c r="AB386" s="6">
        <v>4.1731862680000003</v>
      </c>
      <c r="AC386" s="6">
        <v>3.577936207</v>
      </c>
      <c r="AD386" cm="1">
        <f t="array" ref="AD386">IF(SUMPRODUCT(--($AM$2:$AM$112=TRIM(LEFT($B386,IFERROR(FIND(" ",$B386)-1,LEN($B386))))))&gt;0,1,0)</f>
        <v>0</v>
      </c>
      <c r="AE386" cm="1">
        <f t="array" ref="AE386">IF(SUMPRODUCT(--($AO$2:$AO$145=TRIM(LEFT($B386,IFERROR(FIND(" ",$B386)-1,LEN($B386))))))&gt;0,1,0)</f>
        <v>0</v>
      </c>
      <c r="AF386" cm="1">
        <f t="array" ref="AF386">IF(SUMPRODUCT(--($AQ$2:$AQ$71=TRIM(LEFT($B386,IFERROR(FIND(" ",$B386)-1,LEN($B386))))))&gt;0,1,0)</f>
        <v>0</v>
      </c>
    </row>
    <row r="387" spans="1:32" ht="75.75" thickBot="1" x14ac:dyDescent="0.3">
      <c r="A387" s="13">
        <v>32</v>
      </c>
      <c r="B387" s="4" t="s">
        <v>906</v>
      </c>
      <c r="C387" s="4" t="s">
        <v>626</v>
      </c>
      <c r="D387" s="7">
        <v>45049</v>
      </c>
      <c r="E387" s="3">
        <v>705.11</v>
      </c>
      <c r="F387" s="4" t="s">
        <v>30</v>
      </c>
      <c r="G387" s="3">
        <v>7.43</v>
      </c>
      <c r="H387" s="4" t="s">
        <v>75</v>
      </c>
      <c r="I387" s="4" t="s">
        <v>111</v>
      </c>
      <c r="J387" s="4" t="s">
        <v>133</v>
      </c>
      <c r="K387" s="4"/>
      <c r="L387" s="3">
        <v>23.9</v>
      </c>
      <c r="M387" s="3">
        <v>32.799999999999997</v>
      </c>
      <c r="N387" s="3">
        <v>705.11</v>
      </c>
      <c r="O387" s="4" t="s">
        <v>34</v>
      </c>
      <c r="P387" s="4" t="s">
        <v>34</v>
      </c>
      <c r="Q387" s="4" t="s">
        <v>35</v>
      </c>
      <c r="R387" s="3">
        <v>505.858</v>
      </c>
      <c r="S387" s="3">
        <v>9.2786600000000004</v>
      </c>
      <c r="T387" s="4" t="s">
        <v>338</v>
      </c>
      <c r="U387" s="2" t="s">
        <v>37</v>
      </c>
      <c r="V387" s="2" t="s">
        <v>37</v>
      </c>
      <c r="W387" s="2" t="s">
        <v>37</v>
      </c>
      <c r="X387" s="2" t="s">
        <v>37</v>
      </c>
      <c r="Y387" s="2" t="s">
        <v>37</v>
      </c>
      <c r="Z387" s="2" t="s">
        <v>38</v>
      </c>
      <c r="AA387" s="6">
        <v>2.848256874</v>
      </c>
      <c r="AB387" s="6">
        <v>2.7040286230000001</v>
      </c>
      <c r="AC387" s="6">
        <v>2.848256874</v>
      </c>
      <c r="AD387" cm="1">
        <f t="array" ref="AD387">IF(SUMPRODUCT(--($AM$2:$AM$112=TRIM(LEFT($B387,IFERROR(FIND(" ",$B387)-1,LEN($B387))))))&gt;0,1,0)</f>
        <v>0</v>
      </c>
      <c r="AE387" cm="1">
        <f t="array" ref="AE387">IF(SUMPRODUCT(--($AO$2:$AO$145=TRIM(LEFT($B387,IFERROR(FIND(" ",$B387)-1,LEN($B387))))))&gt;0,1,0)</f>
        <v>0</v>
      </c>
      <c r="AF387" cm="1">
        <f t="array" ref="AF387">IF(SUMPRODUCT(--($AQ$2:$AQ$71=TRIM(LEFT($B387,IFERROR(FIND(" ",$B387)-1,LEN($B387))))))&gt;0,1,0)</f>
        <v>0</v>
      </c>
    </row>
    <row r="388" spans="1:32" ht="75.75" thickBot="1" x14ac:dyDescent="0.3">
      <c r="A388" s="13">
        <v>53</v>
      </c>
      <c r="B388" s="4" t="s">
        <v>907</v>
      </c>
      <c r="C388" s="4" t="s">
        <v>285</v>
      </c>
      <c r="D388" s="7">
        <v>45019</v>
      </c>
      <c r="E388" s="3">
        <v>1251.47</v>
      </c>
      <c r="F388" s="4" t="s">
        <v>30</v>
      </c>
      <c r="G388" s="4"/>
      <c r="H388" s="4" t="s">
        <v>41</v>
      </c>
      <c r="I388" s="4" t="s">
        <v>41</v>
      </c>
      <c r="J388" s="4" t="s">
        <v>42</v>
      </c>
      <c r="K388" s="4"/>
      <c r="L388" s="4"/>
      <c r="M388" s="3">
        <v>34.299999999999997</v>
      </c>
      <c r="N388" s="3">
        <v>1304.58</v>
      </c>
      <c r="O388" s="4" t="s">
        <v>34</v>
      </c>
      <c r="P388" s="4" t="s">
        <v>34</v>
      </c>
      <c r="Q388" s="4" t="s">
        <v>35</v>
      </c>
      <c r="R388" s="3">
        <v>257.30700000000002</v>
      </c>
      <c r="S388" s="3">
        <v>-7.5582200000000004</v>
      </c>
      <c r="T388" s="4" t="s">
        <v>113</v>
      </c>
      <c r="U388" s="2" t="s">
        <v>37</v>
      </c>
      <c r="V388" s="2" t="s">
        <v>37</v>
      </c>
      <c r="W388" s="2" t="s">
        <v>37</v>
      </c>
      <c r="X388" s="2" t="s">
        <v>38</v>
      </c>
      <c r="Y388" s="2" t="s">
        <v>37</v>
      </c>
      <c r="Z388" s="2" t="s">
        <v>37</v>
      </c>
      <c r="AA388" s="6">
        <v>3.0974204429999999</v>
      </c>
      <c r="AB388" s="6">
        <v>2.4104516010000001</v>
      </c>
      <c r="AC388" s="6">
        <v>3.1154707159999999</v>
      </c>
      <c r="AD388" cm="1">
        <f t="array" ref="AD388">IF(SUMPRODUCT(--($AM$2:$AM$112=TRIM(LEFT($B388,IFERROR(FIND(" ",$B388)-1,LEN($B388))))))&gt;0,1,0)</f>
        <v>0</v>
      </c>
      <c r="AE388" cm="1">
        <f t="array" ref="AE388">IF(SUMPRODUCT(--($AO$2:$AO$145=TRIM(LEFT($B388,IFERROR(FIND(" ",$B388)-1,LEN($B388))))))&gt;0,1,0)</f>
        <v>0</v>
      </c>
      <c r="AF388" cm="1">
        <f t="array" ref="AF388">IF(SUMPRODUCT(--($AQ$2:$AQ$71=TRIM(LEFT($B388,IFERROR(FIND(" ",$B388)-1,LEN($B388))))))&gt;0,1,0)</f>
        <v>0</v>
      </c>
    </row>
    <row r="389" spans="1:32" ht="135.75" thickBot="1" x14ac:dyDescent="0.3">
      <c r="A389" s="13">
        <v>339</v>
      </c>
      <c r="B389" s="4" t="s">
        <v>908</v>
      </c>
      <c r="C389" s="4" t="s">
        <v>909</v>
      </c>
      <c r="D389" s="7">
        <v>44607</v>
      </c>
      <c r="E389" s="3">
        <v>1800</v>
      </c>
      <c r="F389" s="4" t="s">
        <v>30</v>
      </c>
      <c r="G389" s="3">
        <v>12.5</v>
      </c>
      <c r="H389" s="4" t="s">
        <v>65</v>
      </c>
      <c r="I389" s="4" t="s">
        <v>138</v>
      </c>
      <c r="J389" s="4" t="s">
        <v>139</v>
      </c>
      <c r="K389" s="3">
        <v>65.5</v>
      </c>
      <c r="L389" s="3">
        <v>32.799999999999997</v>
      </c>
      <c r="M389" s="4"/>
      <c r="N389" s="3">
        <v>1094.0999999999999</v>
      </c>
      <c r="O389" s="4" t="s">
        <v>34</v>
      </c>
      <c r="P389" s="4" t="s">
        <v>34</v>
      </c>
      <c r="Q389" s="4" t="s">
        <v>35</v>
      </c>
      <c r="R389" s="3">
        <v>1310.0999999999999</v>
      </c>
      <c r="S389" s="3">
        <v>7.08955</v>
      </c>
      <c r="T389" s="4" t="s">
        <v>101</v>
      </c>
      <c r="U389" s="2" t="s">
        <v>37</v>
      </c>
      <c r="V389" s="2" t="s">
        <v>37</v>
      </c>
      <c r="W389" s="2" t="s">
        <v>37</v>
      </c>
      <c r="X389" s="2" t="s">
        <v>38</v>
      </c>
      <c r="Y389" s="2" t="s">
        <v>38</v>
      </c>
      <c r="Z389" s="2" t="s">
        <v>37</v>
      </c>
      <c r="AA389" s="6">
        <v>3.2552725050000002</v>
      </c>
      <c r="AB389" s="6">
        <v>3.117304447</v>
      </c>
      <c r="AC389" s="6">
        <v>3.0390570179999998</v>
      </c>
      <c r="AD389" cm="1">
        <f t="array" ref="AD389">IF(SUMPRODUCT(--($AM$2:$AM$112=TRIM(LEFT($B389,IFERROR(FIND(" ",$B389)-1,LEN($B389))))))&gt;0,1,0)</f>
        <v>0</v>
      </c>
      <c r="AE389" cm="1">
        <f t="array" ref="AE389">IF(SUMPRODUCT(--($AO$2:$AO$145=TRIM(LEFT($B389,IFERROR(FIND(" ",$B389)-1,LEN($B389))))))&gt;0,1,0)</f>
        <v>0</v>
      </c>
      <c r="AF389" cm="1">
        <f t="array" ref="AF389">IF(SUMPRODUCT(--($AQ$2:$AQ$71=TRIM(LEFT($B389,IFERROR(FIND(" ",$B389)-1,LEN($B389))))))&gt;0,1,0)</f>
        <v>0</v>
      </c>
    </row>
    <row r="390" spans="1:32" ht="75.75" thickBot="1" x14ac:dyDescent="0.3">
      <c r="A390" s="13">
        <v>63</v>
      </c>
      <c r="B390" s="4" t="s">
        <v>910</v>
      </c>
      <c r="C390" s="4" t="s">
        <v>294</v>
      </c>
      <c r="D390" s="7">
        <v>44993</v>
      </c>
      <c r="E390" s="3">
        <v>537.30999999999995</v>
      </c>
      <c r="F390" s="4" t="s">
        <v>107</v>
      </c>
      <c r="G390" s="3">
        <v>35.65</v>
      </c>
      <c r="H390" s="4" t="s">
        <v>75</v>
      </c>
      <c r="I390" s="4" t="s">
        <v>76</v>
      </c>
      <c r="J390" s="4" t="s">
        <v>295</v>
      </c>
      <c r="K390" s="3">
        <v>24.258900000000001</v>
      </c>
      <c r="L390" s="3">
        <v>15.7683</v>
      </c>
      <c r="M390" s="3">
        <v>86.7</v>
      </c>
      <c r="N390" s="3">
        <v>473.66</v>
      </c>
      <c r="O390" s="4" t="s">
        <v>34</v>
      </c>
      <c r="P390" s="4" t="s">
        <v>34</v>
      </c>
      <c r="Q390" s="4" t="s">
        <v>35</v>
      </c>
      <c r="R390" s="3">
        <v>665.87699999999995</v>
      </c>
      <c r="S390" s="3">
        <v>-1.6563699999999999</v>
      </c>
      <c r="T390" s="4" t="s">
        <v>43</v>
      </c>
      <c r="U390" s="2" t="s">
        <v>37</v>
      </c>
      <c r="V390" s="2" t="s">
        <v>37</v>
      </c>
      <c r="W390" s="2" t="s">
        <v>37</v>
      </c>
      <c r="X390" s="2" t="s">
        <v>37</v>
      </c>
      <c r="Y390" s="2" t="s">
        <v>37</v>
      </c>
      <c r="Z390" s="2" t="s">
        <v>37</v>
      </c>
      <c r="AA390" s="6">
        <v>2.7302249230000002</v>
      </c>
      <c r="AB390" s="6">
        <v>2.8233940139999998</v>
      </c>
      <c r="AC390" s="6">
        <v>2.6754667109999999</v>
      </c>
      <c r="AD390" cm="1">
        <f t="array" ref="AD390">IF(SUMPRODUCT(--($AM$2:$AM$112=TRIM(LEFT($B390,IFERROR(FIND(" ",$B390)-1,LEN($B390))))))&gt;0,1,0)</f>
        <v>0</v>
      </c>
      <c r="AE390" cm="1">
        <f t="array" ref="AE390">IF(SUMPRODUCT(--($AO$2:$AO$145=TRIM(LEFT($B390,IFERROR(FIND(" ",$B390)-1,LEN($B390))))))&gt;0,1,0)</f>
        <v>0</v>
      </c>
      <c r="AF390" cm="1">
        <f t="array" ref="AF390">IF(SUMPRODUCT(--($AQ$2:$AQ$71=TRIM(LEFT($B390,IFERROR(FIND(" ",$B390)-1,LEN($B390))))))&gt;0,1,0)</f>
        <v>0</v>
      </c>
    </row>
    <row r="391" spans="1:32" ht="135.75" thickBot="1" x14ac:dyDescent="0.3">
      <c r="A391" s="13">
        <v>59</v>
      </c>
      <c r="B391" s="4" t="s">
        <v>911</v>
      </c>
      <c r="C391" s="2"/>
      <c r="D391" s="7">
        <v>44998</v>
      </c>
      <c r="E391" s="3">
        <v>1445.89</v>
      </c>
      <c r="F391" s="4" t="s">
        <v>30</v>
      </c>
      <c r="G391" s="4"/>
      <c r="H391" s="4" t="s">
        <v>31</v>
      </c>
      <c r="I391" s="4" t="s">
        <v>32</v>
      </c>
      <c r="J391" s="4" t="s">
        <v>33</v>
      </c>
      <c r="K391" s="4"/>
      <c r="L391" s="4"/>
      <c r="M391" s="3">
        <v>29.94</v>
      </c>
      <c r="N391" s="3">
        <v>1416.26</v>
      </c>
      <c r="O391" s="4" t="s">
        <v>34</v>
      </c>
      <c r="P391" s="4" t="s">
        <v>34</v>
      </c>
      <c r="Q391" s="4" t="s">
        <v>35</v>
      </c>
      <c r="R391" s="3">
        <v>480.91699999999997</v>
      </c>
      <c r="S391" s="3">
        <v>-13.9869</v>
      </c>
      <c r="T391" s="4" t="s">
        <v>220</v>
      </c>
      <c r="U391" s="2" t="s">
        <v>37</v>
      </c>
      <c r="V391" s="2" t="s">
        <v>37</v>
      </c>
      <c r="W391" s="2" t="s">
        <v>37</v>
      </c>
      <c r="X391" s="2" t="s">
        <v>38</v>
      </c>
      <c r="Y391" s="2" t="s">
        <v>38</v>
      </c>
      <c r="Z391" s="2" t="s">
        <v>37</v>
      </c>
      <c r="AA391" s="6">
        <v>3.1601352540000001</v>
      </c>
      <c r="AB391" s="6">
        <v>2.682070129</v>
      </c>
      <c r="AC391" s="6">
        <v>3.1511429889999998</v>
      </c>
      <c r="AD391" cm="1">
        <f t="array" ref="AD391">IF(SUMPRODUCT(--($AM$2:$AM$112=TRIM(LEFT($B391,IFERROR(FIND(" ",$B391)-1,LEN($B391))))))&gt;0,1,0)</f>
        <v>0</v>
      </c>
      <c r="AE391" cm="1">
        <f t="array" ref="AE391">IF(SUMPRODUCT(--($AO$2:$AO$145=TRIM(LEFT($B391,IFERROR(FIND(" ",$B391)-1,LEN($B391))))))&gt;0,1,0)</f>
        <v>0</v>
      </c>
      <c r="AF391" cm="1">
        <f t="array" ref="AF391">IF(SUMPRODUCT(--($AQ$2:$AQ$71=TRIM(LEFT($B391,IFERROR(FIND(" ",$B391)-1,LEN($B391))))))&gt;0,1,0)</f>
        <v>0</v>
      </c>
    </row>
    <row r="392" spans="1:32" ht="45.75" thickBot="1" x14ac:dyDescent="0.3">
      <c r="A392" s="13">
        <v>68</v>
      </c>
      <c r="B392" s="4" t="s">
        <v>912</v>
      </c>
      <c r="C392" s="4" t="s">
        <v>913</v>
      </c>
      <c r="D392" s="7">
        <v>44984</v>
      </c>
      <c r="E392" s="3">
        <v>864.85</v>
      </c>
      <c r="F392" s="4" t="s">
        <v>46</v>
      </c>
      <c r="G392" s="3">
        <v>9.7799999999999994</v>
      </c>
      <c r="H392" s="4" t="s">
        <v>65</v>
      </c>
      <c r="I392" s="4" t="s">
        <v>138</v>
      </c>
      <c r="J392" s="4" t="s">
        <v>139</v>
      </c>
      <c r="K392" s="3">
        <v>23.638999999999999</v>
      </c>
      <c r="L392" s="3">
        <v>15.76</v>
      </c>
      <c r="M392" s="3">
        <v>42.45</v>
      </c>
      <c r="N392" s="3">
        <v>820.7</v>
      </c>
      <c r="O392" s="4" t="s">
        <v>34</v>
      </c>
      <c r="P392" s="4" t="s">
        <v>34</v>
      </c>
      <c r="Q392" s="4" t="s">
        <v>35</v>
      </c>
      <c r="R392" s="3">
        <v>108.877</v>
      </c>
      <c r="S392" s="3">
        <v>-115.605</v>
      </c>
      <c r="T392" s="4" t="s">
        <v>43</v>
      </c>
      <c r="U392" s="2" t="s">
        <v>37</v>
      </c>
      <c r="V392" s="2" t="s">
        <v>37</v>
      </c>
      <c r="W392" s="2" t="s">
        <v>37</v>
      </c>
      <c r="X392" s="2" t="s">
        <v>37</v>
      </c>
      <c r="Y392" s="2" t="s">
        <v>37</v>
      </c>
      <c r="Z392" s="2" t="s">
        <v>37</v>
      </c>
      <c r="AA392" s="6">
        <v>2.93694079</v>
      </c>
      <c r="AB392" s="6">
        <v>2.0369361459999999</v>
      </c>
      <c r="AC392" s="6">
        <v>2.914184433</v>
      </c>
      <c r="AD392" cm="1">
        <f t="array" ref="AD392">IF(SUMPRODUCT(--($AM$2:$AM$112=TRIM(LEFT($B392,IFERROR(FIND(" ",$B392)-1,LEN($B392))))))&gt;0,1,0)</f>
        <v>0</v>
      </c>
      <c r="AE392" cm="1">
        <f t="array" ref="AE392">IF(SUMPRODUCT(--($AO$2:$AO$145=TRIM(LEFT($B392,IFERROR(FIND(" ",$B392)-1,LEN($B392))))))&gt;0,1,0)</f>
        <v>0</v>
      </c>
      <c r="AF392" cm="1">
        <f t="array" ref="AF392">IF(SUMPRODUCT(--($AQ$2:$AQ$71=TRIM(LEFT($B392,IFERROR(FIND(" ",$B392)-1,LEN($B392))))))&gt;0,1,0)</f>
        <v>0</v>
      </c>
    </row>
    <row r="393" spans="1:32" ht="45.75" thickBot="1" x14ac:dyDescent="0.3">
      <c r="A393" s="13">
        <v>88</v>
      </c>
      <c r="B393" s="4" t="s">
        <v>914</v>
      </c>
      <c r="C393" s="4" t="s">
        <v>915</v>
      </c>
      <c r="D393" s="7">
        <v>44949</v>
      </c>
      <c r="E393" s="3">
        <v>7379.3</v>
      </c>
      <c r="F393" s="4" t="s">
        <v>46</v>
      </c>
      <c r="G393" s="3">
        <v>30.11</v>
      </c>
      <c r="H393" s="4" t="s">
        <v>70</v>
      </c>
      <c r="I393" s="4" t="s">
        <v>71</v>
      </c>
      <c r="J393" s="4" t="s">
        <v>72</v>
      </c>
      <c r="K393" s="4"/>
      <c r="L393" s="4"/>
      <c r="M393" s="3">
        <v>32.65</v>
      </c>
      <c r="N393" s="3">
        <v>6534.55</v>
      </c>
      <c r="O393" s="4" t="s">
        <v>34</v>
      </c>
      <c r="P393" s="4" t="s">
        <v>34</v>
      </c>
      <c r="Q393" s="4" t="s">
        <v>35</v>
      </c>
      <c r="R393" s="3">
        <v>1737.08</v>
      </c>
      <c r="S393" s="3">
        <v>6.2884500000000001</v>
      </c>
      <c r="T393" s="4" t="s">
        <v>43</v>
      </c>
      <c r="U393" s="2" t="s">
        <v>37</v>
      </c>
      <c r="V393" s="2" t="s">
        <v>37</v>
      </c>
      <c r="W393" s="2" t="s">
        <v>37</v>
      </c>
      <c r="X393" s="2" t="s">
        <v>37</v>
      </c>
      <c r="Y393" s="2" t="s">
        <v>37</v>
      </c>
      <c r="Z393" s="2" t="s">
        <v>37</v>
      </c>
      <c r="AA393" s="6">
        <v>3.8680151669999998</v>
      </c>
      <c r="AB393" s="6">
        <v>3.2398198200000001</v>
      </c>
      <c r="AC393" s="6">
        <v>3.8152156850000001</v>
      </c>
      <c r="AD393" cm="1">
        <f t="array" ref="AD393">IF(SUMPRODUCT(--($AM$2:$AM$112=TRIM(LEFT($B393,IFERROR(FIND(" ",$B393)-1,LEN($B393))))))&gt;0,1,0)</f>
        <v>1</v>
      </c>
      <c r="AE393" cm="1">
        <f t="array" ref="AE393">IF(SUMPRODUCT(--($AO$2:$AO$145=TRIM(LEFT($B393,IFERROR(FIND(" ",$B393)-1,LEN($B393))))))&gt;0,1,0)</f>
        <v>0</v>
      </c>
      <c r="AF393" cm="1">
        <f t="array" ref="AF393">IF(SUMPRODUCT(--($AQ$2:$AQ$71=TRIM(LEFT($B393,IFERROR(FIND(" ",$B393)-1,LEN($B393))))))&gt;0,1,0)</f>
        <v>0</v>
      </c>
    </row>
    <row r="394" spans="1:32" ht="75.75" thickBot="1" x14ac:dyDescent="0.3">
      <c r="A394" s="13">
        <v>64</v>
      </c>
      <c r="B394" s="4" t="s">
        <v>916</v>
      </c>
      <c r="C394" s="4" t="s">
        <v>917</v>
      </c>
      <c r="D394" s="7">
        <v>44973</v>
      </c>
      <c r="E394" s="3">
        <v>3034.94</v>
      </c>
      <c r="F394" s="4" t="s">
        <v>30</v>
      </c>
      <c r="G394" s="3">
        <v>5.47</v>
      </c>
      <c r="H394" s="4" t="s">
        <v>118</v>
      </c>
      <c r="I394" s="4" t="s">
        <v>119</v>
      </c>
      <c r="J394" s="4" t="s">
        <v>120</v>
      </c>
      <c r="K394" s="3">
        <v>90.9</v>
      </c>
      <c r="L394" s="3">
        <v>51.9</v>
      </c>
      <c r="M394" s="3">
        <v>83.41</v>
      </c>
      <c r="N394" s="3">
        <v>1277.4100000000001</v>
      </c>
      <c r="O394" s="4" t="s">
        <v>34</v>
      </c>
      <c r="P394" s="4" t="s">
        <v>166</v>
      </c>
      <c r="Q394" s="4" t="s">
        <v>35</v>
      </c>
      <c r="R394" s="3">
        <v>10845</v>
      </c>
      <c r="S394" s="3">
        <v>2.0440499999999999</v>
      </c>
      <c r="T394" s="4" t="s">
        <v>104</v>
      </c>
      <c r="U394" s="2" t="s">
        <v>37</v>
      </c>
      <c r="V394" s="2" t="s">
        <v>37</v>
      </c>
      <c r="W394" s="2" t="s">
        <v>38</v>
      </c>
      <c r="X394" s="2" t="s">
        <v>37</v>
      </c>
      <c r="Y394" s="2" t="s">
        <v>37</v>
      </c>
      <c r="Z394" s="2" t="s">
        <v>37</v>
      </c>
      <c r="AA394" s="6">
        <v>3.4821501100000001</v>
      </c>
      <c r="AB394" s="6">
        <v>4.035229556</v>
      </c>
      <c r="AC394" s="6">
        <v>3.1063303119999999</v>
      </c>
      <c r="AD394" cm="1">
        <f t="array" ref="AD394">IF(SUMPRODUCT(--($AM$2:$AM$112=TRIM(LEFT($B394,IFERROR(FIND(" ",$B394)-1,LEN($B394))))))&gt;0,1,0)</f>
        <v>0</v>
      </c>
      <c r="AE394" cm="1">
        <f t="array" ref="AE394">IF(SUMPRODUCT(--($AO$2:$AO$145=TRIM(LEFT($B394,IFERROR(FIND(" ",$B394)-1,LEN($B394))))))&gt;0,1,0)</f>
        <v>0</v>
      </c>
      <c r="AF394" cm="1">
        <f t="array" ref="AF394">IF(SUMPRODUCT(--($AQ$2:$AQ$71=TRIM(LEFT($B394,IFERROR(FIND(" ",$B394)-1,LEN($B394))))))&gt;0,1,0)</f>
        <v>0</v>
      </c>
    </row>
    <row r="395" spans="1:32" ht="135.75" thickBot="1" x14ac:dyDescent="0.3">
      <c r="A395" s="13">
        <v>68</v>
      </c>
      <c r="B395" s="4" t="s">
        <v>918</v>
      </c>
      <c r="C395" s="4" t="s">
        <v>241</v>
      </c>
      <c r="D395" s="7">
        <v>44966</v>
      </c>
      <c r="E395" s="3">
        <v>1106.81</v>
      </c>
      <c r="F395" s="4" t="s">
        <v>30</v>
      </c>
      <c r="G395" s="4"/>
      <c r="H395" s="4" t="s">
        <v>31</v>
      </c>
      <c r="I395" s="4" t="s">
        <v>32</v>
      </c>
      <c r="J395" s="4" t="s">
        <v>33</v>
      </c>
      <c r="K395" s="4"/>
      <c r="L395" s="3">
        <v>52</v>
      </c>
      <c r="M395" s="3">
        <v>17.170000000000002</v>
      </c>
      <c r="N395" s="3">
        <v>1446.15</v>
      </c>
      <c r="O395" s="4" t="s">
        <v>34</v>
      </c>
      <c r="P395" s="4" t="s">
        <v>34</v>
      </c>
      <c r="Q395" s="4" t="s">
        <v>35</v>
      </c>
      <c r="R395" s="3">
        <v>300.66800000000001</v>
      </c>
      <c r="S395" s="3">
        <v>-42.194000000000003</v>
      </c>
      <c r="T395" s="4" t="s">
        <v>919</v>
      </c>
      <c r="U395" s="2" t="s">
        <v>37</v>
      </c>
      <c r="V395" s="2" t="s">
        <v>37</v>
      </c>
      <c r="W395" s="2" t="s">
        <v>37</v>
      </c>
      <c r="X395" s="2" t="s">
        <v>38</v>
      </c>
      <c r="Y395" s="2" t="s">
        <v>38</v>
      </c>
      <c r="Z395" s="2" t="s">
        <v>37</v>
      </c>
      <c r="AA395" s="6">
        <v>3.0440730739999999</v>
      </c>
      <c r="AB395" s="6">
        <v>2.4780872089999999</v>
      </c>
      <c r="AC395" s="6">
        <v>3.160213342</v>
      </c>
      <c r="AD395" cm="1">
        <f t="array" ref="AD395">IF(SUMPRODUCT(--($AM$2:$AM$112=TRIM(LEFT($B395,IFERROR(FIND(" ",$B395)-1,LEN($B395))))))&gt;0,1,0)</f>
        <v>0</v>
      </c>
      <c r="AE395" cm="1">
        <f t="array" ref="AE395">IF(SUMPRODUCT(--($AO$2:$AO$145=TRIM(LEFT($B395,IFERROR(FIND(" ",$B395)-1,LEN($B395))))))&gt;0,1,0)</f>
        <v>0</v>
      </c>
      <c r="AF395" cm="1">
        <f t="array" ref="AF395">IF(SUMPRODUCT(--($AQ$2:$AQ$71=TRIM(LEFT($B395,IFERROR(FIND(" ",$B395)-1,LEN($B395))))))&gt;0,1,0)</f>
        <v>0</v>
      </c>
    </row>
    <row r="396" spans="1:32" ht="135.75" thickBot="1" x14ac:dyDescent="0.3">
      <c r="A396" s="13">
        <v>99</v>
      </c>
      <c r="B396" s="4" t="s">
        <v>920</v>
      </c>
      <c r="C396" s="2"/>
      <c r="D396" s="7">
        <v>44911</v>
      </c>
      <c r="E396" s="3">
        <v>6286.76</v>
      </c>
      <c r="F396" s="4" t="s">
        <v>30</v>
      </c>
      <c r="G396" s="3">
        <v>13.7</v>
      </c>
      <c r="H396" s="4" t="s">
        <v>31</v>
      </c>
      <c r="I396" s="4" t="s">
        <v>432</v>
      </c>
      <c r="J396" s="4" t="s">
        <v>433</v>
      </c>
      <c r="K396" s="3">
        <v>249</v>
      </c>
      <c r="L396" s="3">
        <v>124.5</v>
      </c>
      <c r="M396" s="3">
        <v>116.23</v>
      </c>
      <c r="N396" s="3">
        <v>3951.76</v>
      </c>
      <c r="O396" s="4" t="s">
        <v>34</v>
      </c>
      <c r="P396" s="4" t="s">
        <v>34</v>
      </c>
      <c r="Q396" s="4" t="s">
        <v>35</v>
      </c>
      <c r="R396" s="3">
        <v>1605</v>
      </c>
      <c r="S396" s="3">
        <v>0.67943200000000004</v>
      </c>
      <c r="T396" s="4" t="s">
        <v>101</v>
      </c>
      <c r="U396" s="2" t="s">
        <v>37</v>
      </c>
      <c r="V396" s="2" t="s">
        <v>37</v>
      </c>
      <c r="W396" s="2" t="s">
        <v>37</v>
      </c>
      <c r="X396" s="2" t="s">
        <v>38</v>
      </c>
      <c r="Y396" s="2" t="s">
        <v>38</v>
      </c>
      <c r="Z396" s="2" t="s">
        <v>37</v>
      </c>
      <c r="AA396" s="6">
        <v>3.7984268810000001</v>
      </c>
      <c r="AB396" s="6">
        <v>3.2054750369999998</v>
      </c>
      <c r="AC396" s="6">
        <v>3.5967905610000002</v>
      </c>
      <c r="AD396" cm="1">
        <f t="array" ref="AD396">IF(SUMPRODUCT(--($AM$2:$AM$112=TRIM(LEFT($B396,IFERROR(FIND(" ",$B396)-1,LEN($B396))))))&gt;0,1,0)</f>
        <v>0</v>
      </c>
      <c r="AE396" cm="1">
        <f t="array" ref="AE396">IF(SUMPRODUCT(--($AO$2:$AO$145=TRIM(LEFT($B396,IFERROR(FIND(" ",$B396)-1,LEN($B396))))))&gt;0,1,0)</f>
        <v>0</v>
      </c>
      <c r="AF396" cm="1">
        <f t="array" ref="AF396">IF(SUMPRODUCT(--($AQ$2:$AQ$71=TRIM(LEFT($B396,IFERROR(FIND(" ",$B396)-1,LEN($B396))))))&gt;0,1,0)</f>
        <v>1</v>
      </c>
    </row>
    <row r="397" spans="1:32" ht="60.75" thickBot="1" x14ac:dyDescent="0.3">
      <c r="A397" s="13">
        <v>60</v>
      </c>
      <c r="B397" s="4" t="s">
        <v>921</v>
      </c>
      <c r="C397" s="4" t="s">
        <v>922</v>
      </c>
      <c r="D397" s="7">
        <v>44965</v>
      </c>
      <c r="E397" s="3">
        <v>10552.14</v>
      </c>
      <c r="F397" s="4" t="s">
        <v>30</v>
      </c>
      <c r="G397" s="4"/>
      <c r="H397" s="4" t="s">
        <v>41</v>
      </c>
      <c r="I397" s="4" t="s">
        <v>41</v>
      </c>
      <c r="J397" s="4" t="s">
        <v>100</v>
      </c>
      <c r="K397" s="4"/>
      <c r="L397" s="4"/>
      <c r="M397" s="3">
        <v>35.979999999999997</v>
      </c>
      <c r="N397" s="3">
        <v>9752.74</v>
      </c>
      <c r="O397" s="4" t="s">
        <v>34</v>
      </c>
      <c r="P397" s="4" t="s">
        <v>34</v>
      </c>
      <c r="Q397" s="4" t="s">
        <v>35</v>
      </c>
      <c r="R397" s="3">
        <v>2160.9</v>
      </c>
      <c r="S397" s="3">
        <v>-17.443999999999999</v>
      </c>
      <c r="T397" s="4" t="s">
        <v>43</v>
      </c>
      <c r="U397" s="2" t="s">
        <v>37</v>
      </c>
      <c r="V397" s="2" t="s">
        <v>37</v>
      </c>
      <c r="W397" s="2" t="s">
        <v>37</v>
      </c>
      <c r="X397" s="2" t="s">
        <v>37</v>
      </c>
      <c r="Y397" s="2" t="s">
        <v>37</v>
      </c>
      <c r="Z397" s="2" t="s">
        <v>37</v>
      </c>
      <c r="AA397" s="6">
        <v>4.0233405449999999</v>
      </c>
      <c r="AB397" s="6">
        <v>3.3346346690000002</v>
      </c>
      <c r="AC397" s="6">
        <v>3.9891266459999999</v>
      </c>
      <c r="AD397" cm="1">
        <f t="array" ref="AD397">IF(SUMPRODUCT(--($AM$2:$AM$112=TRIM(LEFT($B397,IFERROR(FIND(" ",$B397)-1,LEN($B397))))))&gt;0,1,0)</f>
        <v>0</v>
      </c>
      <c r="AE397" cm="1">
        <f t="array" ref="AE397">IF(SUMPRODUCT(--($AO$2:$AO$145=TRIM(LEFT($B397,IFERROR(FIND(" ",$B397)-1,LEN($B397))))))&gt;0,1,0)</f>
        <v>0</v>
      </c>
      <c r="AF397" cm="1">
        <f t="array" ref="AF397">IF(SUMPRODUCT(--($AQ$2:$AQ$71=TRIM(LEFT($B397,IFERROR(FIND(" ",$B397)-1,LEN($B397))))))&gt;0,1,0)</f>
        <v>0</v>
      </c>
    </row>
    <row r="398" spans="1:32" ht="105.75" thickBot="1" x14ac:dyDescent="0.3">
      <c r="A398" s="13">
        <v>35</v>
      </c>
      <c r="B398" s="4" t="s">
        <v>923</v>
      </c>
      <c r="C398" s="4" t="s">
        <v>222</v>
      </c>
      <c r="D398" s="7">
        <v>44998</v>
      </c>
      <c r="E398" s="3">
        <v>2018.17</v>
      </c>
      <c r="F398" s="4" t="s">
        <v>30</v>
      </c>
      <c r="G398" s="4"/>
      <c r="H398" s="4" t="s">
        <v>41</v>
      </c>
      <c r="I398" s="4" t="s">
        <v>41</v>
      </c>
      <c r="J398" s="4" t="s">
        <v>42</v>
      </c>
      <c r="K398" s="4"/>
      <c r="L398" s="4"/>
      <c r="M398" s="3">
        <v>191.2</v>
      </c>
      <c r="N398" s="3">
        <v>2179.77</v>
      </c>
      <c r="O398" s="4" t="s">
        <v>34</v>
      </c>
      <c r="P398" s="4" t="s">
        <v>34</v>
      </c>
      <c r="Q398" s="4" t="s">
        <v>35</v>
      </c>
      <c r="R398" s="3">
        <v>12.895</v>
      </c>
      <c r="S398" s="3">
        <v>-993.88099999999997</v>
      </c>
      <c r="T398" s="4" t="s">
        <v>91</v>
      </c>
      <c r="U398" s="2" t="s">
        <v>37</v>
      </c>
      <c r="V398" s="2" t="s">
        <v>37</v>
      </c>
      <c r="W398" s="2" t="s">
        <v>37</v>
      </c>
      <c r="X398" s="2" t="s">
        <v>37</v>
      </c>
      <c r="Y398" s="2" t="s">
        <v>37</v>
      </c>
      <c r="Z398" s="2" t="s">
        <v>38</v>
      </c>
      <c r="AA398" s="6">
        <v>3.3049577459999999</v>
      </c>
      <c r="AB398" s="6">
        <v>1.1104213460000001</v>
      </c>
      <c r="AC398" s="6">
        <v>3.3384106710000001</v>
      </c>
      <c r="AD398" cm="1">
        <f t="array" ref="AD398">IF(SUMPRODUCT(--($AM$2:$AM$112=TRIM(LEFT($B398,IFERROR(FIND(" ",$B398)-1,LEN($B398))))))&gt;0,1,0)</f>
        <v>0</v>
      </c>
      <c r="AE398" cm="1">
        <f t="array" ref="AE398">IF(SUMPRODUCT(--($AO$2:$AO$145=TRIM(LEFT($B398,IFERROR(FIND(" ",$B398)-1,LEN($B398))))))&gt;0,1,0)</f>
        <v>0</v>
      </c>
      <c r="AF398" cm="1">
        <f t="array" ref="AF398">IF(SUMPRODUCT(--($AQ$2:$AQ$71=TRIM(LEFT($B398,IFERROR(FIND(" ",$B398)-1,LEN($B398))))))&gt;0,1,0)</f>
        <v>0</v>
      </c>
    </row>
    <row r="399" spans="1:32" ht="60.75" thickBot="1" x14ac:dyDescent="0.3">
      <c r="A399" s="13">
        <v>58</v>
      </c>
      <c r="B399" s="4" t="s">
        <v>924</v>
      </c>
      <c r="C399" s="4" t="s">
        <v>178</v>
      </c>
      <c r="D399" s="7">
        <v>44965</v>
      </c>
      <c r="E399" s="3">
        <v>715.86</v>
      </c>
      <c r="F399" s="4" t="s">
        <v>30</v>
      </c>
      <c r="G399" s="4"/>
      <c r="H399" s="4" t="s">
        <v>41</v>
      </c>
      <c r="I399" s="4" t="s">
        <v>41</v>
      </c>
      <c r="J399" s="4" t="s">
        <v>60</v>
      </c>
      <c r="K399" s="4"/>
      <c r="L399" s="4"/>
      <c r="M399" s="3">
        <v>44.46</v>
      </c>
      <c r="N399" s="3">
        <v>837.64</v>
      </c>
      <c r="O399" s="4" t="s">
        <v>34</v>
      </c>
      <c r="P399" s="4" t="s">
        <v>34</v>
      </c>
      <c r="Q399" s="4" t="s">
        <v>35</v>
      </c>
      <c r="R399" s="3">
        <v>236.22200000000001</v>
      </c>
      <c r="S399" s="3">
        <v>-16.077999999999999</v>
      </c>
      <c r="T399" s="4" t="s">
        <v>43</v>
      </c>
      <c r="U399" s="2" t="s">
        <v>37</v>
      </c>
      <c r="V399" s="2" t="s">
        <v>37</v>
      </c>
      <c r="W399" s="2" t="s">
        <v>37</v>
      </c>
      <c r="X399" s="2" t="s">
        <v>37</v>
      </c>
      <c r="Y399" s="2" t="s">
        <v>37</v>
      </c>
      <c r="Z399" s="2" t="s">
        <v>37</v>
      </c>
      <c r="AA399" s="6">
        <v>2.8548280959999999</v>
      </c>
      <c r="AB399" s="6">
        <v>2.373320342</v>
      </c>
      <c r="AC399" s="6">
        <v>2.923057408</v>
      </c>
      <c r="AD399" cm="1">
        <f t="array" ref="AD399">IF(SUMPRODUCT(--($AM$2:$AM$112=TRIM(LEFT($B399,IFERROR(FIND(" ",$B399)-1,LEN($B399))))))&gt;0,1,0)</f>
        <v>0</v>
      </c>
      <c r="AE399" cm="1">
        <f t="array" ref="AE399">IF(SUMPRODUCT(--($AO$2:$AO$145=TRIM(LEFT($B399,IFERROR(FIND(" ",$B399)-1,LEN($B399))))))&gt;0,1,0)</f>
        <v>0</v>
      </c>
      <c r="AF399" cm="1">
        <f t="array" ref="AF399">IF(SUMPRODUCT(--($AQ$2:$AQ$71=TRIM(LEFT($B399,IFERROR(FIND(" ",$B399)-1,LEN($B399))))))&gt;0,1,0)</f>
        <v>0</v>
      </c>
    </row>
    <row r="400" spans="1:32" ht="45.75" thickBot="1" x14ac:dyDescent="0.3">
      <c r="A400" s="13">
        <v>51</v>
      </c>
      <c r="B400" s="4" t="s">
        <v>925</v>
      </c>
      <c r="C400" s="4" t="s">
        <v>926</v>
      </c>
      <c r="D400" s="7">
        <v>44970</v>
      </c>
      <c r="E400" s="3">
        <v>810.03</v>
      </c>
      <c r="F400" s="4" t="s">
        <v>46</v>
      </c>
      <c r="G400" s="4"/>
      <c r="H400" s="4" t="s">
        <v>47</v>
      </c>
      <c r="I400" s="4" t="s">
        <v>47</v>
      </c>
      <c r="J400" s="4" t="s">
        <v>48</v>
      </c>
      <c r="K400" s="4"/>
      <c r="L400" s="4"/>
      <c r="M400" s="3">
        <v>47.57</v>
      </c>
      <c r="N400" s="3">
        <v>860.6</v>
      </c>
      <c r="O400" s="4" t="s">
        <v>49</v>
      </c>
      <c r="P400" s="4" t="s">
        <v>49</v>
      </c>
      <c r="Q400" s="4" t="s">
        <v>35</v>
      </c>
      <c r="R400" s="2"/>
      <c r="S400" s="2"/>
      <c r="T400" s="4" t="s">
        <v>43</v>
      </c>
      <c r="U400" s="2" t="s">
        <v>37</v>
      </c>
      <c r="V400" s="2" t="s">
        <v>37</v>
      </c>
      <c r="W400" s="2" t="s">
        <v>37</v>
      </c>
      <c r="X400" s="2" t="s">
        <v>37</v>
      </c>
      <c r="Y400" s="2" t="s">
        <v>37</v>
      </c>
      <c r="Z400" s="2" t="s">
        <v>37</v>
      </c>
      <c r="AA400" s="6">
        <v>2.9085011039999999</v>
      </c>
      <c r="AB400" s="2"/>
      <c r="AC400" s="6">
        <v>2.9348013420000001</v>
      </c>
      <c r="AD400" cm="1">
        <f t="array" ref="AD400">IF(SUMPRODUCT(--($AM$2:$AM$112=TRIM(LEFT($B400,IFERROR(FIND(" ",$B400)-1,LEN($B400))))))&gt;0,1,0)</f>
        <v>0</v>
      </c>
      <c r="AE400" cm="1">
        <f t="array" ref="AE400">IF(SUMPRODUCT(--($AO$2:$AO$145=TRIM(LEFT($B400,IFERROR(FIND(" ",$B400)-1,LEN($B400))))))&gt;0,1,0)</f>
        <v>0</v>
      </c>
      <c r="AF400" cm="1">
        <f t="array" ref="AF400">IF(SUMPRODUCT(--($AQ$2:$AQ$71=TRIM(LEFT($B400,IFERROR(FIND(" ",$B400)-1,LEN($B400))))))&gt;0,1,0)</f>
        <v>0</v>
      </c>
    </row>
    <row r="401" spans="1:32" ht="135.75" thickBot="1" x14ac:dyDescent="0.3">
      <c r="A401" s="13">
        <v>58</v>
      </c>
      <c r="B401" s="4" t="s">
        <v>927</v>
      </c>
      <c r="C401" s="4" t="s">
        <v>928</v>
      </c>
      <c r="D401" s="7">
        <v>44957</v>
      </c>
      <c r="E401" s="3">
        <v>998.96</v>
      </c>
      <c r="F401" s="4" t="s">
        <v>30</v>
      </c>
      <c r="G401" s="3">
        <v>14.02</v>
      </c>
      <c r="H401" s="4" t="s">
        <v>70</v>
      </c>
      <c r="I401" s="4" t="s">
        <v>94</v>
      </c>
      <c r="J401" s="4" t="s">
        <v>170</v>
      </c>
      <c r="K401" s="4"/>
      <c r="L401" s="4"/>
      <c r="M401" s="3">
        <v>115.4</v>
      </c>
      <c r="N401" s="3">
        <v>462.08</v>
      </c>
      <c r="O401" s="4" t="s">
        <v>34</v>
      </c>
      <c r="P401" s="4" t="s">
        <v>34</v>
      </c>
      <c r="Q401" s="4" t="s">
        <v>35</v>
      </c>
      <c r="R401" s="3">
        <v>9.2491000000000004E-2</v>
      </c>
      <c r="S401" s="2"/>
      <c r="T401" s="4" t="s">
        <v>242</v>
      </c>
      <c r="U401" s="2" t="s">
        <v>37</v>
      </c>
      <c r="V401" s="2" t="s">
        <v>37</v>
      </c>
      <c r="W401" s="2" t="s">
        <v>37</v>
      </c>
      <c r="X401" s="2" t="s">
        <v>38</v>
      </c>
      <c r="Y401" s="2" t="s">
        <v>38</v>
      </c>
      <c r="Z401" s="2" t="s">
        <v>37</v>
      </c>
      <c r="AA401" s="6">
        <v>2.9995480990000001</v>
      </c>
      <c r="AB401" s="6">
        <v>-1.033900525</v>
      </c>
      <c r="AC401" s="6">
        <v>2.664717172</v>
      </c>
      <c r="AD401" cm="1">
        <f t="array" ref="AD401">IF(SUMPRODUCT(--($AM$2:$AM$112=TRIM(LEFT($B401,IFERROR(FIND(" ",$B401)-1,LEN($B401))))))&gt;0,1,0)</f>
        <v>0</v>
      </c>
      <c r="AE401" cm="1">
        <f t="array" ref="AE401">IF(SUMPRODUCT(--($AO$2:$AO$145=TRIM(LEFT($B401,IFERROR(FIND(" ",$B401)-1,LEN($B401))))))&gt;0,1,0)</f>
        <v>0</v>
      </c>
      <c r="AF401" cm="1">
        <f t="array" ref="AF401">IF(SUMPRODUCT(--($AQ$2:$AQ$71=TRIM(LEFT($B401,IFERROR(FIND(" ",$B401)-1,LEN($B401))))))&gt;0,1,0)</f>
        <v>0</v>
      </c>
    </row>
    <row r="402" spans="1:32" ht="165.75" thickBot="1" x14ac:dyDescent="0.3">
      <c r="A402" s="13">
        <v>59</v>
      </c>
      <c r="B402" s="4" t="s">
        <v>929</v>
      </c>
      <c r="C402" s="4" t="s">
        <v>230</v>
      </c>
      <c r="D402" s="7">
        <v>44946</v>
      </c>
      <c r="E402" s="3">
        <v>1242.47</v>
      </c>
      <c r="F402" s="4" t="s">
        <v>30</v>
      </c>
      <c r="G402" s="3">
        <v>238.7</v>
      </c>
      <c r="H402" s="4" t="s">
        <v>31</v>
      </c>
      <c r="I402" s="4" t="s">
        <v>32</v>
      </c>
      <c r="J402" s="4" t="s">
        <v>33</v>
      </c>
      <c r="K402" s="4"/>
      <c r="L402" s="4"/>
      <c r="M402" s="3">
        <v>14.51</v>
      </c>
      <c r="N402" s="3">
        <v>1242.47</v>
      </c>
      <c r="O402" s="4" t="s">
        <v>49</v>
      </c>
      <c r="P402" s="4" t="s">
        <v>34</v>
      </c>
      <c r="Q402" s="4" t="s">
        <v>35</v>
      </c>
      <c r="R402" s="3">
        <v>98.933999999999997</v>
      </c>
      <c r="S402" s="3">
        <v>5.6027300000000002</v>
      </c>
      <c r="T402" s="4" t="s">
        <v>930</v>
      </c>
      <c r="U402" s="2" t="s">
        <v>37</v>
      </c>
      <c r="V402" s="2" t="s">
        <v>37</v>
      </c>
      <c r="W402" s="2" t="s">
        <v>38</v>
      </c>
      <c r="X402" s="2" t="s">
        <v>38</v>
      </c>
      <c r="Y402" s="2" t="s">
        <v>38</v>
      </c>
      <c r="Z402" s="2" t="s">
        <v>37</v>
      </c>
      <c r="AA402" s="6">
        <v>3.0942859110000001</v>
      </c>
      <c r="AB402" s="6">
        <v>1.9953455680000001</v>
      </c>
      <c r="AC402" s="6">
        <v>3.0942859110000001</v>
      </c>
      <c r="AD402" cm="1">
        <f t="array" ref="AD402">IF(SUMPRODUCT(--($AM$2:$AM$112=TRIM(LEFT($B402,IFERROR(FIND(" ",$B402)-1,LEN($B402))))))&gt;0,1,0)</f>
        <v>0</v>
      </c>
      <c r="AE402" cm="1">
        <f t="array" ref="AE402">IF(SUMPRODUCT(--($AO$2:$AO$145=TRIM(LEFT($B402,IFERROR(FIND(" ",$B402)-1,LEN($B402))))))&gt;0,1,0)</f>
        <v>0</v>
      </c>
      <c r="AF402" cm="1">
        <f t="array" ref="AF402">IF(SUMPRODUCT(--($AQ$2:$AQ$71=TRIM(LEFT($B402,IFERROR(FIND(" ",$B402)-1,LEN($B402))))))&gt;0,1,0)</f>
        <v>0</v>
      </c>
    </row>
    <row r="403" spans="1:32" ht="90.75" thickBot="1" x14ac:dyDescent="0.3">
      <c r="A403" s="13">
        <v>538</v>
      </c>
      <c r="B403" s="4" t="s">
        <v>931</v>
      </c>
      <c r="C403" s="4" t="s">
        <v>932</v>
      </c>
      <c r="D403" s="7">
        <v>44270</v>
      </c>
      <c r="E403" s="3">
        <v>20019.900000000001</v>
      </c>
      <c r="F403" s="4" t="s">
        <v>30</v>
      </c>
      <c r="G403" s="3">
        <v>10.31</v>
      </c>
      <c r="H403" s="4" t="s">
        <v>184</v>
      </c>
      <c r="I403" s="4" t="s">
        <v>185</v>
      </c>
      <c r="J403" s="4" t="s">
        <v>266</v>
      </c>
      <c r="K403" s="4"/>
      <c r="L403" s="4"/>
      <c r="M403" s="4"/>
      <c r="N403" s="3">
        <v>15619.37</v>
      </c>
      <c r="O403" s="4" t="s">
        <v>49</v>
      </c>
      <c r="P403" s="4" t="s">
        <v>49</v>
      </c>
      <c r="Q403" s="4" t="s">
        <v>35</v>
      </c>
      <c r="R403" s="3">
        <v>4283.87</v>
      </c>
      <c r="S403" s="3">
        <v>23.5641</v>
      </c>
      <c r="T403" s="4" t="s">
        <v>215</v>
      </c>
      <c r="U403" s="2" t="s">
        <v>37</v>
      </c>
      <c r="V403" s="2" t="s">
        <v>38</v>
      </c>
      <c r="W403" s="2" t="s">
        <v>37</v>
      </c>
      <c r="X403" s="2" t="s">
        <v>37</v>
      </c>
      <c r="Y403" s="2" t="s">
        <v>37</v>
      </c>
      <c r="Z403" s="2" t="s">
        <v>37</v>
      </c>
      <c r="AA403" s="6">
        <v>4.3014619039999999</v>
      </c>
      <c r="AB403" s="6">
        <v>3.6318362830000002</v>
      </c>
      <c r="AC403" s="6">
        <v>4.1936635129999997</v>
      </c>
      <c r="AD403" cm="1">
        <f t="array" ref="AD403">IF(SUMPRODUCT(--($AM$2:$AM$112=TRIM(LEFT($B403,IFERROR(FIND(" ",$B403)-1,LEN($B403))))))&gt;0,1,0)</f>
        <v>0</v>
      </c>
      <c r="AE403" cm="1">
        <f t="array" ref="AE403">IF(SUMPRODUCT(--($AO$2:$AO$145=TRIM(LEFT($B403,IFERROR(FIND(" ",$B403)-1,LEN($B403))))))&gt;0,1,0)</f>
        <v>0</v>
      </c>
      <c r="AF403" cm="1">
        <f t="array" ref="AF403">IF(SUMPRODUCT(--($AQ$2:$AQ$71=TRIM(LEFT($B403,IFERROR(FIND(" ",$B403)-1,LEN($B403))))))&gt;0,1,0)</f>
        <v>0</v>
      </c>
    </row>
    <row r="404" spans="1:32" ht="75.75" thickBot="1" x14ac:dyDescent="0.3">
      <c r="A404" s="13">
        <v>108</v>
      </c>
      <c r="B404" s="4" t="s">
        <v>933</v>
      </c>
      <c r="C404" s="2"/>
      <c r="D404" s="7">
        <v>44869</v>
      </c>
      <c r="E404" s="3">
        <v>5219.16</v>
      </c>
      <c r="F404" s="4" t="s">
        <v>107</v>
      </c>
      <c r="G404" s="3">
        <v>5.82</v>
      </c>
      <c r="H404" s="4" t="s">
        <v>47</v>
      </c>
      <c r="I404" s="4" t="s">
        <v>47</v>
      </c>
      <c r="J404" s="4" t="s">
        <v>48</v>
      </c>
      <c r="K404" s="3">
        <v>375</v>
      </c>
      <c r="L404" s="3">
        <v>250</v>
      </c>
      <c r="M404" s="3">
        <v>15.29</v>
      </c>
      <c r="N404" s="3">
        <v>4984.46</v>
      </c>
      <c r="O404" s="4" t="s">
        <v>49</v>
      </c>
      <c r="P404" s="4" t="s">
        <v>49</v>
      </c>
      <c r="Q404" s="4" t="s">
        <v>493</v>
      </c>
      <c r="R404" s="3">
        <v>1807.1</v>
      </c>
      <c r="S404" s="3">
        <v>-97.338300000000004</v>
      </c>
      <c r="T404" s="4" t="s">
        <v>934</v>
      </c>
      <c r="U404" s="2" t="s">
        <v>37</v>
      </c>
      <c r="V404" s="2" t="s">
        <v>38</v>
      </c>
      <c r="W404" s="2" t="s">
        <v>37</v>
      </c>
      <c r="X404" s="2" t="s">
        <v>37</v>
      </c>
      <c r="Y404" s="2" t="s">
        <v>37</v>
      </c>
      <c r="Z404" s="2" t="s">
        <v>37</v>
      </c>
      <c r="AA404" s="6">
        <v>3.7176006109999999</v>
      </c>
      <c r="AB404" s="6">
        <v>3.2569821860000001</v>
      </c>
      <c r="AC404" s="6">
        <v>3.697618115</v>
      </c>
      <c r="AD404" cm="1">
        <f t="array" ref="AD404">IF(SUMPRODUCT(--($AM$2:$AM$112=TRIM(LEFT($B404,IFERROR(FIND(" ",$B404)-1,LEN($B404))))))&gt;0,1,0)</f>
        <v>0</v>
      </c>
      <c r="AE404" cm="1">
        <f t="array" ref="AE404">IF(SUMPRODUCT(--($AO$2:$AO$145=TRIM(LEFT($B404,IFERROR(FIND(" ",$B404)-1,LEN($B404))))))&gt;0,1,0)</f>
        <v>0</v>
      </c>
      <c r="AF404" cm="1">
        <f t="array" ref="AF404">IF(SUMPRODUCT(--($AQ$2:$AQ$71=TRIM(LEFT($B404,IFERROR(FIND(" ",$B404)-1,LEN($B404))))))&gt;0,1,0)</f>
        <v>0</v>
      </c>
    </row>
    <row r="405" spans="1:32" ht="135.75" thickBot="1" x14ac:dyDescent="0.3">
      <c r="A405" s="13">
        <v>60</v>
      </c>
      <c r="B405" s="4" t="s">
        <v>935</v>
      </c>
      <c r="C405" s="4" t="s">
        <v>695</v>
      </c>
      <c r="D405" s="7">
        <v>44935</v>
      </c>
      <c r="E405" s="3">
        <v>2282.3200000000002</v>
      </c>
      <c r="F405" s="4" t="s">
        <v>30</v>
      </c>
      <c r="G405" s="3">
        <v>279.22000000000003</v>
      </c>
      <c r="H405" s="4" t="s">
        <v>31</v>
      </c>
      <c r="I405" s="4" t="s">
        <v>32</v>
      </c>
      <c r="J405" s="4" t="s">
        <v>33</v>
      </c>
      <c r="K405" s="4"/>
      <c r="L405" s="4"/>
      <c r="M405" s="3">
        <v>61.25</v>
      </c>
      <c r="N405" s="3">
        <v>2524.88</v>
      </c>
      <c r="O405" s="4" t="s">
        <v>34</v>
      </c>
      <c r="P405" s="4" t="s">
        <v>34</v>
      </c>
      <c r="Q405" s="4" t="s">
        <v>35</v>
      </c>
      <c r="R405" s="3">
        <v>302.91699999999997</v>
      </c>
      <c r="S405" s="3">
        <v>-4.4533399999999999</v>
      </c>
      <c r="T405" s="4" t="s">
        <v>242</v>
      </c>
      <c r="U405" s="2" t="s">
        <v>37</v>
      </c>
      <c r="V405" s="2" t="s">
        <v>37</v>
      </c>
      <c r="W405" s="2" t="s">
        <v>37</v>
      </c>
      <c r="X405" s="2" t="s">
        <v>38</v>
      </c>
      <c r="Y405" s="2" t="s">
        <v>38</v>
      </c>
      <c r="Z405" s="2" t="s">
        <v>37</v>
      </c>
      <c r="AA405" s="6">
        <v>3.3583765360000002</v>
      </c>
      <c r="AB405" s="6">
        <v>2.481323647</v>
      </c>
      <c r="AC405" s="6">
        <v>3.402240742</v>
      </c>
      <c r="AD405" cm="1">
        <f t="array" ref="AD405">IF(SUMPRODUCT(--($AM$2:$AM$112=TRIM(LEFT($B405,IFERROR(FIND(" ",$B405)-1,LEN($B405))))))&gt;0,1,0)</f>
        <v>0</v>
      </c>
      <c r="AE405" cm="1">
        <f t="array" ref="AE405">IF(SUMPRODUCT(--($AO$2:$AO$145=TRIM(LEFT($B405,IFERROR(FIND(" ",$B405)-1,LEN($B405))))))&gt;0,1,0)</f>
        <v>0</v>
      </c>
      <c r="AF405" cm="1">
        <f t="array" ref="AF405">IF(SUMPRODUCT(--($AQ$2:$AQ$71=TRIM(LEFT($B405,IFERROR(FIND(" ",$B405)-1,LEN($B405))))))&gt;0,1,0)</f>
        <v>0</v>
      </c>
    </row>
    <row r="406" spans="1:32" ht="150.75" thickBot="1" x14ac:dyDescent="0.3">
      <c r="A406" s="13">
        <v>167</v>
      </c>
      <c r="B406" s="4" t="s">
        <v>936</v>
      </c>
      <c r="C406" s="4" t="s">
        <v>937</v>
      </c>
      <c r="D406" s="7">
        <v>44784</v>
      </c>
      <c r="E406" s="3">
        <v>2158.96</v>
      </c>
      <c r="F406" s="4" t="s">
        <v>46</v>
      </c>
      <c r="G406" s="3">
        <v>19.43</v>
      </c>
      <c r="H406" s="4" t="s">
        <v>51</v>
      </c>
      <c r="I406" s="4" t="s">
        <v>51</v>
      </c>
      <c r="J406" s="4" t="s">
        <v>79</v>
      </c>
      <c r="K406" s="4"/>
      <c r="L406" s="4"/>
      <c r="M406" s="3">
        <v>139.4</v>
      </c>
      <c r="N406" s="3">
        <v>2158.96</v>
      </c>
      <c r="O406" s="4" t="s">
        <v>34</v>
      </c>
      <c r="P406" s="4" t="s">
        <v>34</v>
      </c>
      <c r="Q406" s="4" t="s">
        <v>35</v>
      </c>
      <c r="R406" s="3">
        <v>91.872</v>
      </c>
      <c r="S406" s="3">
        <v>77.239000000000004</v>
      </c>
      <c r="T406" s="4" t="s">
        <v>559</v>
      </c>
      <c r="U406" s="2" t="s">
        <v>38</v>
      </c>
      <c r="V406" s="2" t="s">
        <v>37</v>
      </c>
      <c r="W406" s="2" t="s">
        <v>37</v>
      </c>
      <c r="X406" s="2" t="s">
        <v>37</v>
      </c>
      <c r="Y406" s="2" t="s">
        <v>37</v>
      </c>
      <c r="Z406" s="2" t="s">
        <v>37</v>
      </c>
      <c r="AA406" s="6">
        <v>3.334244596</v>
      </c>
      <c r="AB406" s="6">
        <v>1.9631831710000001</v>
      </c>
      <c r="AC406" s="6">
        <v>3.334244596</v>
      </c>
      <c r="AD406" cm="1">
        <f t="array" ref="AD406">IF(SUMPRODUCT(--($AM$2:$AM$112=TRIM(LEFT($B406,IFERROR(FIND(" ",$B406)-1,LEN($B406))))))&gt;0,1,0)</f>
        <v>0</v>
      </c>
      <c r="AE406" cm="1">
        <f t="array" ref="AE406">IF(SUMPRODUCT(--($AO$2:$AO$145=TRIM(LEFT($B406,IFERROR(FIND(" ",$B406)-1,LEN($B406))))))&gt;0,1,0)</f>
        <v>0</v>
      </c>
      <c r="AF406" cm="1">
        <f t="array" ref="AF406">IF(SUMPRODUCT(--($AQ$2:$AQ$71=TRIM(LEFT($B406,IFERROR(FIND(" ",$B406)-1,LEN($B406))))))&gt;0,1,0)</f>
        <v>0</v>
      </c>
    </row>
    <row r="407" spans="1:32" ht="60.75" thickBot="1" x14ac:dyDescent="0.3">
      <c r="A407" s="13">
        <v>148</v>
      </c>
      <c r="B407" s="4" t="s">
        <v>938</v>
      </c>
      <c r="C407" s="4" t="s">
        <v>922</v>
      </c>
      <c r="D407" s="7">
        <v>44809</v>
      </c>
      <c r="E407" s="3">
        <v>7076.94</v>
      </c>
      <c r="F407" s="4" t="s">
        <v>30</v>
      </c>
      <c r="G407" s="4"/>
      <c r="H407" s="4" t="s">
        <v>41</v>
      </c>
      <c r="I407" s="4" t="s">
        <v>41</v>
      </c>
      <c r="J407" s="4" t="s">
        <v>100</v>
      </c>
      <c r="K407" s="4"/>
      <c r="L407" s="4"/>
      <c r="M407" s="3">
        <v>21.18</v>
      </c>
      <c r="N407" s="3">
        <v>7150.44</v>
      </c>
      <c r="O407" s="4" t="s">
        <v>34</v>
      </c>
      <c r="P407" s="4" t="s">
        <v>34</v>
      </c>
      <c r="Q407" s="4" t="s">
        <v>35</v>
      </c>
      <c r="R407" s="3">
        <v>805.5</v>
      </c>
      <c r="S407" s="3">
        <v>9.9068900000000006</v>
      </c>
      <c r="T407" s="4" t="s">
        <v>43</v>
      </c>
      <c r="U407" s="2" t="s">
        <v>37</v>
      </c>
      <c r="V407" s="2" t="s">
        <v>37</v>
      </c>
      <c r="W407" s="2" t="s">
        <v>37</v>
      </c>
      <c r="X407" s="2" t="s">
        <v>37</v>
      </c>
      <c r="Y407" s="2" t="s">
        <v>37</v>
      </c>
      <c r="Z407" s="2" t="s">
        <v>37</v>
      </c>
      <c r="AA407" s="6">
        <v>3.8498455140000001</v>
      </c>
      <c r="AB407" s="6">
        <v>2.9060655450000001</v>
      </c>
      <c r="AC407" s="6">
        <v>3.8543327669999998</v>
      </c>
      <c r="AD407" cm="1">
        <f t="array" ref="AD407">IF(SUMPRODUCT(--($AM$2:$AM$112=TRIM(LEFT($B407,IFERROR(FIND(" ",$B407)-1,LEN($B407))))))&gt;0,1,0)</f>
        <v>0</v>
      </c>
      <c r="AE407" cm="1">
        <f t="array" ref="AE407">IF(SUMPRODUCT(--($AO$2:$AO$145=TRIM(LEFT($B407,IFERROR(FIND(" ",$B407)-1,LEN($B407))))))&gt;0,1,0)</f>
        <v>0</v>
      </c>
      <c r="AF407" cm="1">
        <f t="array" ref="AF407">IF(SUMPRODUCT(--($AQ$2:$AQ$71=TRIM(LEFT($B407,IFERROR(FIND(" ",$B407)-1,LEN($B407))))))&gt;0,1,0)</f>
        <v>0</v>
      </c>
    </row>
    <row r="408" spans="1:32" ht="45.75" thickBot="1" x14ac:dyDescent="0.3">
      <c r="A408" s="13">
        <v>109</v>
      </c>
      <c r="B408" s="4" t="s">
        <v>939</v>
      </c>
      <c r="C408" s="4" t="s">
        <v>940</v>
      </c>
      <c r="D408" s="7">
        <v>44861</v>
      </c>
      <c r="E408" s="3">
        <v>4973.12</v>
      </c>
      <c r="F408" s="4" t="s">
        <v>30</v>
      </c>
      <c r="G408" s="3">
        <v>25.4</v>
      </c>
      <c r="H408" s="4" t="s">
        <v>70</v>
      </c>
      <c r="I408" s="4" t="s">
        <v>71</v>
      </c>
      <c r="J408" s="4" t="s">
        <v>72</v>
      </c>
      <c r="K408" s="3">
        <v>200</v>
      </c>
      <c r="L408" s="3">
        <v>100</v>
      </c>
      <c r="M408" s="3">
        <v>69.739999999999995</v>
      </c>
      <c r="N408" s="3">
        <v>4034.12</v>
      </c>
      <c r="O408" s="4" t="s">
        <v>34</v>
      </c>
      <c r="P408" s="4" t="s">
        <v>34</v>
      </c>
      <c r="Q408" s="4" t="s">
        <v>35</v>
      </c>
      <c r="R408" s="3">
        <v>1945.5</v>
      </c>
      <c r="S408" s="3">
        <v>12.3567</v>
      </c>
      <c r="T408" s="4" t="s">
        <v>43</v>
      </c>
      <c r="U408" s="2" t="s">
        <v>37</v>
      </c>
      <c r="V408" s="2" t="s">
        <v>37</v>
      </c>
      <c r="W408" s="2" t="s">
        <v>37</v>
      </c>
      <c r="X408" s="2" t="s">
        <v>37</v>
      </c>
      <c r="Y408" s="2" t="s">
        <v>37</v>
      </c>
      <c r="Z408" s="2" t="s">
        <v>37</v>
      </c>
      <c r="AA408" s="6">
        <v>3.696628939</v>
      </c>
      <c r="AB408" s="6">
        <v>3.2890312349999999</v>
      </c>
      <c r="AC408" s="6">
        <v>3.6057488129999999</v>
      </c>
      <c r="AD408" cm="1">
        <f t="array" ref="AD408">IF(SUMPRODUCT(--($AM$2:$AM$112=TRIM(LEFT($B408,IFERROR(FIND(" ",$B408)-1,LEN($B408))))))&gt;0,1,0)</f>
        <v>1</v>
      </c>
      <c r="AE408" cm="1">
        <f t="array" ref="AE408">IF(SUMPRODUCT(--($AO$2:$AO$145=TRIM(LEFT($B408,IFERROR(FIND(" ",$B408)-1,LEN($B408))))))&gt;0,1,0)</f>
        <v>1</v>
      </c>
      <c r="AF408" cm="1">
        <f t="array" ref="AF408">IF(SUMPRODUCT(--($AQ$2:$AQ$71=TRIM(LEFT($B408,IFERROR(FIND(" ",$B408)-1,LEN($B408))))))&gt;0,1,0)</f>
        <v>0</v>
      </c>
    </row>
    <row r="409" spans="1:32" ht="180.75" thickBot="1" x14ac:dyDescent="0.3">
      <c r="A409" s="13">
        <v>106</v>
      </c>
      <c r="B409" s="4" t="s">
        <v>941</v>
      </c>
      <c r="C409" s="2"/>
      <c r="D409" s="7">
        <v>44866</v>
      </c>
      <c r="E409" s="3">
        <v>1395.01</v>
      </c>
      <c r="F409" s="4" t="s">
        <v>30</v>
      </c>
      <c r="G409" s="3">
        <v>3.31</v>
      </c>
      <c r="H409" s="4" t="s">
        <v>70</v>
      </c>
      <c r="I409" s="4" t="s">
        <v>94</v>
      </c>
      <c r="J409" s="4" t="s">
        <v>108</v>
      </c>
      <c r="K409" s="4"/>
      <c r="L409" s="4"/>
      <c r="M409" s="3">
        <v>5.51</v>
      </c>
      <c r="N409" s="3">
        <v>1395.01</v>
      </c>
      <c r="O409" s="4" t="s">
        <v>49</v>
      </c>
      <c r="P409" s="4" t="s">
        <v>49</v>
      </c>
      <c r="Q409" s="4" t="s">
        <v>35</v>
      </c>
      <c r="R409" s="3">
        <v>2300.1</v>
      </c>
      <c r="S409" s="3">
        <v>54.106299999999997</v>
      </c>
      <c r="T409" s="4" t="s">
        <v>942</v>
      </c>
      <c r="U409" s="2" t="s">
        <v>38</v>
      </c>
      <c r="V409" s="2" t="s">
        <v>37</v>
      </c>
      <c r="W409" s="2" t="s">
        <v>37</v>
      </c>
      <c r="X409" s="2" t="s">
        <v>38</v>
      </c>
      <c r="Y409" s="2" t="s">
        <v>37</v>
      </c>
      <c r="Z409" s="2" t="s">
        <v>37</v>
      </c>
      <c r="AA409" s="6">
        <v>3.1445773209999999</v>
      </c>
      <c r="AB409" s="6">
        <v>3.361746718</v>
      </c>
      <c r="AC409" s="6">
        <v>3.1445773209999999</v>
      </c>
      <c r="AD409" cm="1">
        <f t="array" ref="AD409">IF(SUMPRODUCT(--($AM$2:$AM$112=TRIM(LEFT($B409,IFERROR(FIND(" ",$B409)-1,LEN($B409))))))&gt;0,1,0)</f>
        <v>1</v>
      </c>
      <c r="AE409" cm="1">
        <f t="array" ref="AE409">IF(SUMPRODUCT(--($AO$2:$AO$145=TRIM(LEFT($B409,IFERROR(FIND(" ",$B409)-1,LEN($B409))))))&gt;0,1,0)</f>
        <v>1</v>
      </c>
      <c r="AF409" cm="1">
        <f t="array" ref="AF409">IF(SUMPRODUCT(--($AQ$2:$AQ$71=TRIM(LEFT($B409,IFERROR(FIND(" ",$B409)-1,LEN($B409))))))&gt;0,1,0)</f>
        <v>0</v>
      </c>
    </row>
    <row r="410" spans="1:32" ht="45.75" thickBot="1" x14ac:dyDescent="0.3">
      <c r="A410" s="13">
        <v>171</v>
      </c>
      <c r="B410" s="4" t="s">
        <v>943</v>
      </c>
      <c r="C410" s="4" t="s">
        <v>944</v>
      </c>
      <c r="D410" s="7">
        <v>44774</v>
      </c>
      <c r="E410" s="3">
        <v>1830.71</v>
      </c>
      <c r="F410" s="4" t="s">
        <v>30</v>
      </c>
      <c r="G410" s="3">
        <v>10.56</v>
      </c>
      <c r="H410" s="4" t="s">
        <v>65</v>
      </c>
      <c r="I410" s="4" t="s">
        <v>138</v>
      </c>
      <c r="J410" s="4" t="s">
        <v>139</v>
      </c>
      <c r="K410" s="4"/>
      <c r="L410" s="3">
        <v>100</v>
      </c>
      <c r="M410" s="3">
        <v>34.119999999999997</v>
      </c>
      <c r="N410" s="3">
        <v>1625.87</v>
      </c>
      <c r="O410" s="4" t="s">
        <v>34</v>
      </c>
      <c r="P410" s="4" t="s">
        <v>34</v>
      </c>
      <c r="Q410" s="4" t="s">
        <v>35</v>
      </c>
      <c r="R410" s="3">
        <v>543.08199999999999</v>
      </c>
      <c r="S410" s="3">
        <v>12.331300000000001</v>
      </c>
      <c r="T410" s="4" t="s">
        <v>43</v>
      </c>
      <c r="U410" s="2" t="s">
        <v>37</v>
      </c>
      <c r="V410" s="2" t="s">
        <v>37</v>
      </c>
      <c r="W410" s="2" t="s">
        <v>37</v>
      </c>
      <c r="X410" s="2" t="s">
        <v>37</v>
      </c>
      <c r="Y410" s="2" t="s">
        <v>37</v>
      </c>
      <c r="Z410" s="2" t="s">
        <v>37</v>
      </c>
      <c r="AA410" s="6">
        <v>3.262619554</v>
      </c>
      <c r="AB410" s="6">
        <v>2.7348654090000002</v>
      </c>
      <c r="AC410" s="6">
        <v>3.2110858179999999</v>
      </c>
      <c r="AD410" cm="1">
        <f t="array" ref="AD410">IF(SUMPRODUCT(--($AM$2:$AM$112=TRIM(LEFT($B410,IFERROR(FIND(" ",$B410)-1,LEN($B410))))))&gt;0,1,0)</f>
        <v>0</v>
      </c>
      <c r="AE410" cm="1">
        <f t="array" ref="AE410">IF(SUMPRODUCT(--($AO$2:$AO$145=TRIM(LEFT($B410,IFERROR(FIND(" ",$B410)-1,LEN($B410))))))&gt;0,1,0)</f>
        <v>0</v>
      </c>
      <c r="AF410" cm="1">
        <f t="array" ref="AF410">IF(SUMPRODUCT(--($AQ$2:$AQ$71=TRIM(LEFT($B410,IFERROR(FIND(" ",$B410)-1,LEN($B410))))))&gt;0,1,0)</f>
        <v>0</v>
      </c>
    </row>
    <row r="411" spans="1:32" ht="75.75" thickBot="1" x14ac:dyDescent="0.3">
      <c r="A411" s="13">
        <v>97</v>
      </c>
      <c r="B411" s="4" t="s">
        <v>945</v>
      </c>
      <c r="C411" s="4" t="s">
        <v>946</v>
      </c>
      <c r="D411" s="7">
        <v>44872</v>
      </c>
      <c r="E411" s="3">
        <v>7965.55</v>
      </c>
      <c r="F411" s="4" t="s">
        <v>107</v>
      </c>
      <c r="G411" s="3">
        <v>11.44</v>
      </c>
      <c r="H411" s="4" t="s">
        <v>75</v>
      </c>
      <c r="I411" s="4" t="s">
        <v>83</v>
      </c>
      <c r="J411" s="4" t="s">
        <v>796</v>
      </c>
      <c r="K411" s="4"/>
      <c r="L411" s="4"/>
      <c r="M411" s="3">
        <v>9.94</v>
      </c>
      <c r="N411" s="3">
        <v>5805.75</v>
      </c>
      <c r="O411" s="4" t="s">
        <v>34</v>
      </c>
      <c r="P411" s="4" t="s">
        <v>49</v>
      </c>
      <c r="Q411" s="4" t="s">
        <v>35</v>
      </c>
      <c r="R411" s="3">
        <v>2098.9</v>
      </c>
      <c r="S411" s="3">
        <v>19.8675</v>
      </c>
      <c r="T411" s="4" t="s">
        <v>97</v>
      </c>
      <c r="U411" s="2" t="s">
        <v>37</v>
      </c>
      <c r="V411" s="2" t="s">
        <v>37</v>
      </c>
      <c r="W411" s="2" t="s">
        <v>38</v>
      </c>
      <c r="X411" s="2" t="s">
        <v>37</v>
      </c>
      <c r="Y411" s="2" t="s">
        <v>37</v>
      </c>
      <c r="Z411" s="2" t="s">
        <v>37</v>
      </c>
      <c r="AA411" s="6">
        <v>3.9012157680000001</v>
      </c>
      <c r="AB411" s="6">
        <v>3.3219917479999999</v>
      </c>
      <c r="AC411" s="6">
        <v>3.7638583309999998</v>
      </c>
      <c r="AD411" cm="1">
        <f t="array" ref="AD411">IF(SUMPRODUCT(--($AM$2:$AM$112=TRIM(LEFT($B411,IFERROR(FIND(" ",$B411)-1,LEN($B411))))))&gt;0,1,0)</f>
        <v>0</v>
      </c>
      <c r="AE411" cm="1">
        <f t="array" ref="AE411">IF(SUMPRODUCT(--($AO$2:$AO$145=TRIM(LEFT($B411,IFERROR(FIND(" ",$B411)-1,LEN($B411))))))&gt;0,1,0)</f>
        <v>0</v>
      </c>
      <c r="AF411" cm="1">
        <f t="array" ref="AF411">IF(SUMPRODUCT(--($AQ$2:$AQ$71=TRIM(LEFT($B411,IFERROR(FIND(" ",$B411)-1,LEN($B411))))))&gt;0,1,0)</f>
        <v>0</v>
      </c>
    </row>
    <row r="412" spans="1:32" ht="135.75" thickBot="1" x14ac:dyDescent="0.3">
      <c r="A412" s="13">
        <v>163</v>
      </c>
      <c r="B412" s="4" t="s">
        <v>947</v>
      </c>
      <c r="C412" s="2"/>
      <c r="D412" s="7">
        <v>44777</v>
      </c>
      <c r="E412" s="3">
        <v>4603.67</v>
      </c>
      <c r="F412" s="4" t="s">
        <v>30</v>
      </c>
      <c r="G412" s="3">
        <v>4.3499999999999996</v>
      </c>
      <c r="H412" s="4" t="s">
        <v>70</v>
      </c>
      <c r="I412" s="4" t="s">
        <v>94</v>
      </c>
      <c r="J412" s="4" t="s">
        <v>108</v>
      </c>
      <c r="K412" s="4"/>
      <c r="L412" s="4"/>
      <c r="M412" s="3">
        <v>47.49</v>
      </c>
      <c r="N412" s="3">
        <v>2902.98</v>
      </c>
      <c r="O412" s="4" t="s">
        <v>34</v>
      </c>
      <c r="P412" s="4" t="s">
        <v>34</v>
      </c>
      <c r="Q412" s="4" t="s">
        <v>35</v>
      </c>
      <c r="R412" s="3">
        <v>4549.1000000000004</v>
      </c>
      <c r="S412" s="3">
        <v>11.4834</v>
      </c>
      <c r="T412" s="4" t="s">
        <v>312</v>
      </c>
      <c r="U412" s="2" t="s">
        <v>37</v>
      </c>
      <c r="V412" s="2" t="s">
        <v>37</v>
      </c>
      <c r="W412" s="2" t="s">
        <v>37</v>
      </c>
      <c r="X412" s="2" t="s">
        <v>38</v>
      </c>
      <c r="Y412" s="2" t="s">
        <v>38</v>
      </c>
      <c r="Z412" s="2" t="s">
        <v>37</v>
      </c>
      <c r="AA412" s="6">
        <v>3.6631041849999999</v>
      </c>
      <c r="AB412" s="6">
        <v>3.6579254840000002</v>
      </c>
      <c r="AC412" s="6">
        <v>3.4628440440000001</v>
      </c>
      <c r="AD412" cm="1">
        <f t="array" ref="AD412">IF(SUMPRODUCT(--($AM$2:$AM$112=TRIM(LEFT($B412,IFERROR(FIND(" ",$B412)-1,LEN($B412))))))&gt;0,1,0)</f>
        <v>1</v>
      </c>
      <c r="AE412" cm="1">
        <f t="array" ref="AE412">IF(SUMPRODUCT(--($AO$2:$AO$145=TRIM(LEFT($B412,IFERROR(FIND(" ",$B412)-1,LEN($B412))))))&gt;0,1,0)</f>
        <v>1</v>
      </c>
      <c r="AF412" cm="1">
        <f t="array" ref="AF412">IF(SUMPRODUCT(--($AQ$2:$AQ$71=TRIM(LEFT($B412,IFERROR(FIND(" ",$B412)-1,LEN($B412))))))&gt;0,1,0)</f>
        <v>0</v>
      </c>
    </row>
    <row r="413" spans="1:32" ht="60.75" thickBot="1" x14ac:dyDescent="0.3">
      <c r="A413" s="13">
        <v>69</v>
      </c>
      <c r="B413" s="4" t="s">
        <v>948</v>
      </c>
      <c r="C413" s="4" t="s">
        <v>949</v>
      </c>
      <c r="D413" s="7">
        <v>44901</v>
      </c>
      <c r="E413" s="3">
        <v>5017.07</v>
      </c>
      <c r="F413" s="4" t="s">
        <v>30</v>
      </c>
      <c r="G413" s="3">
        <v>9.5299999999999994</v>
      </c>
      <c r="H413" s="4" t="s">
        <v>70</v>
      </c>
      <c r="I413" s="4" t="s">
        <v>94</v>
      </c>
      <c r="J413" s="4" t="s">
        <v>95</v>
      </c>
      <c r="K413" s="4"/>
      <c r="L413" s="4"/>
      <c r="M413" s="3">
        <v>35.049999999999997</v>
      </c>
      <c r="N413" s="3">
        <v>2560.59</v>
      </c>
      <c r="O413" s="4" t="s">
        <v>34</v>
      </c>
      <c r="P413" s="4" t="s">
        <v>34</v>
      </c>
      <c r="Q413" s="4" t="s">
        <v>35</v>
      </c>
      <c r="R413" s="3">
        <v>1682.49</v>
      </c>
      <c r="S413" s="3">
        <v>4.2522700000000002</v>
      </c>
      <c r="T413" s="4" t="s">
        <v>43</v>
      </c>
      <c r="U413" s="2" t="s">
        <v>37</v>
      </c>
      <c r="V413" s="2" t="s">
        <v>37</v>
      </c>
      <c r="W413" s="2" t="s">
        <v>37</v>
      </c>
      <c r="X413" s="2" t="s">
        <v>37</v>
      </c>
      <c r="Y413" s="2" t="s">
        <v>37</v>
      </c>
      <c r="Z413" s="2" t="s">
        <v>37</v>
      </c>
      <c r="AA413" s="6">
        <v>3.700450161</v>
      </c>
      <c r="AB413" s="6">
        <v>3.2259524919999998</v>
      </c>
      <c r="AC413" s="6">
        <v>3.4083400450000001</v>
      </c>
      <c r="AD413" cm="1">
        <f t="array" ref="AD413">IF(SUMPRODUCT(--($AM$2:$AM$112=TRIM(LEFT($B413,IFERROR(FIND(" ",$B413)-1,LEN($B413))))))&gt;0,1,0)</f>
        <v>0</v>
      </c>
      <c r="AE413" cm="1">
        <f t="array" ref="AE413">IF(SUMPRODUCT(--($AO$2:$AO$145=TRIM(LEFT($B413,IFERROR(FIND(" ",$B413)-1,LEN($B413))))))&gt;0,1,0)</f>
        <v>0</v>
      </c>
      <c r="AF413" cm="1">
        <f t="array" ref="AF413">IF(SUMPRODUCT(--($AQ$2:$AQ$71=TRIM(LEFT($B413,IFERROR(FIND(" ",$B413)-1,LEN($B413))))))&gt;0,1,0)</f>
        <v>0</v>
      </c>
    </row>
    <row r="414" spans="1:32" ht="135.75" thickBot="1" x14ac:dyDescent="0.3">
      <c r="A414" s="13">
        <v>100</v>
      </c>
      <c r="B414" s="4" t="s">
        <v>950</v>
      </c>
      <c r="C414" s="4" t="s">
        <v>951</v>
      </c>
      <c r="D414" s="7">
        <v>44857</v>
      </c>
      <c r="E414" s="3">
        <v>1238.83</v>
      </c>
      <c r="F414" s="4" t="s">
        <v>30</v>
      </c>
      <c r="G414" s="4"/>
      <c r="H414" s="4" t="s">
        <v>41</v>
      </c>
      <c r="I414" s="4" t="s">
        <v>41</v>
      </c>
      <c r="J414" s="4" t="s">
        <v>42</v>
      </c>
      <c r="K414" s="4"/>
      <c r="L414" s="3">
        <v>55.25</v>
      </c>
      <c r="M414" s="3">
        <v>18.03</v>
      </c>
      <c r="N414" s="3">
        <v>1238.83</v>
      </c>
      <c r="O414" s="4" t="s">
        <v>34</v>
      </c>
      <c r="P414" s="4" t="s">
        <v>96</v>
      </c>
      <c r="Q414" s="4" t="s">
        <v>35</v>
      </c>
      <c r="R414" s="3">
        <v>230.97200000000001</v>
      </c>
      <c r="S414" s="3">
        <v>-38.7498</v>
      </c>
      <c r="T414" s="4" t="s">
        <v>952</v>
      </c>
      <c r="U414" s="2" t="s">
        <v>38</v>
      </c>
      <c r="V414" s="2" t="s">
        <v>37</v>
      </c>
      <c r="W414" s="2" t="s">
        <v>38</v>
      </c>
      <c r="X414" s="2" t="s">
        <v>37</v>
      </c>
      <c r="Y414" s="2" t="s">
        <v>37</v>
      </c>
      <c r="Z414" s="2" t="s">
        <v>37</v>
      </c>
      <c r="AA414" s="6">
        <v>3.0930117140000002</v>
      </c>
      <c r="AB414" s="6">
        <v>2.3635593350000002</v>
      </c>
      <c r="AC414" s="6">
        <v>3.0930117140000002</v>
      </c>
      <c r="AD414" cm="1">
        <f t="array" ref="AD414">IF(SUMPRODUCT(--($AM$2:$AM$112=TRIM(LEFT($B414,IFERROR(FIND(" ",$B414)-1,LEN($B414))))))&gt;0,1,0)</f>
        <v>0</v>
      </c>
      <c r="AE414" cm="1">
        <f t="array" ref="AE414">IF(SUMPRODUCT(--($AO$2:$AO$145=TRIM(LEFT($B414,IFERROR(FIND(" ",$B414)-1,LEN($B414))))))&gt;0,1,0)</f>
        <v>0</v>
      </c>
      <c r="AF414" cm="1">
        <f t="array" ref="AF414">IF(SUMPRODUCT(--($AQ$2:$AQ$71=TRIM(LEFT($B414,IFERROR(FIND(" ",$B414)-1,LEN($B414))))))&gt;0,1,0)</f>
        <v>0</v>
      </c>
    </row>
    <row r="415" spans="1:32" ht="105.75" thickBot="1" x14ac:dyDescent="0.3">
      <c r="A415" s="13">
        <v>40</v>
      </c>
      <c r="B415" s="4" t="s">
        <v>953</v>
      </c>
      <c r="C415" s="4" t="s">
        <v>954</v>
      </c>
      <c r="D415" s="7">
        <v>44935</v>
      </c>
      <c r="E415" s="3">
        <v>606.61</v>
      </c>
      <c r="F415" s="4" t="s">
        <v>30</v>
      </c>
      <c r="G415" s="4"/>
      <c r="H415" s="4" t="s">
        <v>41</v>
      </c>
      <c r="I415" s="4" t="s">
        <v>41</v>
      </c>
      <c r="J415" s="4" t="s">
        <v>42</v>
      </c>
      <c r="K415" s="4"/>
      <c r="L415" s="4"/>
      <c r="M415" s="3">
        <v>103.06</v>
      </c>
      <c r="N415" s="3">
        <v>869.45</v>
      </c>
      <c r="O415" s="4" t="s">
        <v>34</v>
      </c>
      <c r="P415" s="4" t="s">
        <v>147</v>
      </c>
      <c r="Q415" s="4" t="s">
        <v>35</v>
      </c>
      <c r="R415" s="3">
        <v>40.579000000000001</v>
      </c>
      <c r="S415" s="3">
        <v>-214.166</v>
      </c>
      <c r="T415" s="4" t="s">
        <v>955</v>
      </c>
      <c r="U415" s="2" t="s">
        <v>37</v>
      </c>
      <c r="V415" s="2" t="s">
        <v>37</v>
      </c>
      <c r="W415" s="2" t="s">
        <v>38</v>
      </c>
      <c r="X415" s="2" t="s">
        <v>37</v>
      </c>
      <c r="Y415" s="2" t="s">
        <v>37</v>
      </c>
      <c r="Z415" s="2" t="s">
        <v>38</v>
      </c>
      <c r="AA415" s="6">
        <v>2.7829095650000002</v>
      </c>
      <c r="AB415" s="6">
        <v>1.6083013399999999</v>
      </c>
      <c r="AC415" s="6">
        <v>2.939244612</v>
      </c>
      <c r="AD415" cm="1">
        <f t="array" ref="AD415">IF(SUMPRODUCT(--($AM$2:$AM$112=TRIM(LEFT($B415,IFERROR(FIND(" ",$B415)-1,LEN($B415))))))&gt;0,1,0)</f>
        <v>0</v>
      </c>
      <c r="AE415" cm="1">
        <f t="array" ref="AE415">IF(SUMPRODUCT(--($AO$2:$AO$145=TRIM(LEFT($B415,IFERROR(FIND(" ",$B415)-1,LEN($B415))))))&gt;0,1,0)</f>
        <v>0</v>
      </c>
      <c r="AF415" cm="1">
        <f t="array" ref="AF415">IF(SUMPRODUCT(--($AQ$2:$AQ$71=TRIM(LEFT($B415,IFERROR(FIND(" ",$B415)-1,LEN($B415))))))&gt;0,1,0)</f>
        <v>0</v>
      </c>
    </row>
    <row r="416" spans="1:32" ht="45.75" thickBot="1" x14ac:dyDescent="0.3">
      <c r="A416" s="13">
        <v>363</v>
      </c>
      <c r="B416" s="4" t="s">
        <v>956</v>
      </c>
      <c r="C416" s="4" t="s">
        <v>380</v>
      </c>
      <c r="D416" s="7">
        <v>44481</v>
      </c>
      <c r="E416" s="3">
        <v>4847.91</v>
      </c>
      <c r="F416" s="4" t="s">
        <v>46</v>
      </c>
      <c r="G416" s="4"/>
      <c r="H416" s="4" t="s">
        <v>65</v>
      </c>
      <c r="I416" s="4" t="s">
        <v>66</v>
      </c>
      <c r="J416" s="4" t="s">
        <v>66</v>
      </c>
      <c r="K416" s="4"/>
      <c r="L416" s="4"/>
      <c r="M416" s="3">
        <v>9.5</v>
      </c>
      <c r="N416" s="3">
        <v>4847.91</v>
      </c>
      <c r="O416" s="4" t="s">
        <v>34</v>
      </c>
      <c r="P416" s="4" t="s">
        <v>34</v>
      </c>
      <c r="Q416" s="4" t="s">
        <v>35</v>
      </c>
      <c r="R416" s="3">
        <v>1347.55</v>
      </c>
      <c r="S416" s="3">
        <v>35.491300000000003</v>
      </c>
      <c r="T416" s="4" t="s">
        <v>43</v>
      </c>
      <c r="U416" s="2" t="s">
        <v>37</v>
      </c>
      <c r="V416" s="2" t="s">
        <v>37</v>
      </c>
      <c r="W416" s="2" t="s">
        <v>37</v>
      </c>
      <c r="X416" s="2" t="s">
        <v>37</v>
      </c>
      <c r="Y416" s="2" t="s">
        <v>37</v>
      </c>
      <c r="Z416" s="2" t="s">
        <v>37</v>
      </c>
      <c r="AA416" s="6">
        <v>3.6855545489999999</v>
      </c>
      <c r="AB416" s="6">
        <v>3.1295448879999999</v>
      </c>
      <c r="AC416" s="6">
        <v>3.6855545489999999</v>
      </c>
      <c r="AD416" cm="1">
        <f t="array" ref="AD416">IF(SUMPRODUCT(--($AM$2:$AM$112=TRIM(LEFT($B416,IFERROR(FIND(" ",$B416)-1,LEN($B416))))))&gt;0,1,0)</f>
        <v>0</v>
      </c>
      <c r="AE416" cm="1">
        <f t="array" ref="AE416">IF(SUMPRODUCT(--($AO$2:$AO$145=TRIM(LEFT($B416,IFERROR(FIND(" ",$B416)-1,LEN($B416))))))&gt;0,1,0)</f>
        <v>0</v>
      </c>
      <c r="AF416" cm="1">
        <f t="array" ref="AF416">IF(SUMPRODUCT(--($AQ$2:$AQ$71=TRIM(LEFT($B416,IFERROR(FIND(" ",$B416)-1,LEN($B416))))))&gt;0,1,0)</f>
        <v>0</v>
      </c>
    </row>
    <row r="417" spans="1:32" ht="75.75" thickBot="1" x14ac:dyDescent="0.3">
      <c r="A417" s="13">
        <v>153</v>
      </c>
      <c r="B417" s="4" t="s">
        <v>957</v>
      </c>
      <c r="C417" s="4" t="s">
        <v>958</v>
      </c>
      <c r="D417" s="7">
        <v>44775</v>
      </c>
      <c r="E417" s="3">
        <v>1083.1300000000001</v>
      </c>
      <c r="F417" s="4" t="s">
        <v>30</v>
      </c>
      <c r="G417" s="3">
        <v>6.46</v>
      </c>
      <c r="H417" s="4" t="s">
        <v>65</v>
      </c>
      <c r="I417" s="4" t="s">
        <v>138</v>
      </c>
      <c r="J417" s="4" t="s">
        <v>203</v>
      </c>
      <c r="K417" s="4"/>
      <c r="L417" s="3">
        <v>42.25</v>
      </c>
      <c r="M417" s="3">
        <v>20.8</v>
      </c>
      <c r="N417" s="3">
        <v>1083.1300000000001</v>
      </c>
      <c r="O417" s="4" t="s">
        <v>34</v>
      </c>
      <c r="P417" s="4" t="s">
        <v>49</v>
      </c>
      <c r="Q417" s="4" t="s">
        <v>35</v>
      </c>
      <c r="R417" s="3">
        <v>1537.72</v>
      </c>
      <c r="S417" s="3">
        <v>4.4763200000000003</v>
      </c>
      <c r="T417" s="4" t="s">
        <v>104</v>
      </c>
      <c r="U417" s="2" t="s">
        <v>37</v>
      </c>
      <c r="V417" s="2" t="s">
        <v>37</v>
      </c>
      <c r="W417" s="2" t="s">
        <v>38</v>
      </c>
      <c r="X417" s="2" t="s">
        <v>37</v>
      </c>
      <c r="Y417" s="2" t="s">
        <v>37</v>
      </c>
      <c r="Z417" s="2" t="s">
        <v>37</v>
      </c>
      <c r="AA417" s="6">
        <v>3.0346805849999998</v>
      </c>
      <c r="AB417" s="6">
        <v>3.186877263</v>
      </c>
      <c r="AC417" s="6">
        <v>3.0346805849999998</v>
      </c>
      <c r="AD417" cm="1">
        <f t="array" ref="AD417">IF(SUMPRODUCT(--($AM$2:$AM$112=TRIM(LEFT($B417,IFERROR(FIND(" ",$B417)-1,LEN($B417))))))&gt;0,1,0)</f>
        <v>0</v>
      </c>
      <c r="AE417" cm="1">
        <f t="array" ref="AE417">IF(SUMPRODUCT(--($AO$2:$AO$145=TRIM(LEFT($B417,IFERROR(FIND(" ",$B417)-1,LEN($B417))))))&gt;0,1,0)</f>
        <v>0</v>
      </c>
      <c r="AF417" cm="1">
        <f t="array" ref="AF417">IF(SUMPRODUCT(--($AQ$2:$AQ$71=TRIM(LEFT($B417,IFERROR(FIND(" ",$B417)-1,LEN($B417))))))&gt;0,1,0)</f>
        <v>0</v>
      </c>
    </row>
    <row r="418" spans="1:32" ht="135.75" thickBot="1" x14ac:dyDescent="0.3">
      <c r="A418" s="13">
        <v>58</v>
      </c>
      <c r="B418" s="4" t="s">
        <v>959</v>
      </c>
      <c r="C418" s="4" t="s">
        <v>230</v>
      </c>
      <c r="D418" s="7">
        <v>44907</v>
      </c>
      <c r="E418" s="3">
        <v>6150.35</v>
      </c>
      <c r="F418" s="4" t="s">
        <v>30</v>
      </c>
      <c r="G418" s="4"/>
      <c r="H418" s="4" t="s">
        <v>31</v>
      </c>
      <c r="I418" s="4" t="s">
        <v>32</v>
      </c>
      <c r="J418" s="4" t="s">
        <v>33</v>
      </c>
      <c r="K418" s="4"/>
      <c r="L418" s="4"/>
      <c r="M418" s="3">
        <v>41.47</v>
      </c>
      <c r="N418" s="3">
        <v>6150.35</v>
      </c>
      <c r="O418" s="4" t="s">
        <v>34</v>
      </c>
      <c r="P418" s="4" t="s">
        <v>34</v>
      </c>
      <c r="Q418" s="4" t="s">
        <v>35</v>
      </c>
      <c r="R418" s="3">
        <v>725.28899999999999</v>
      </c>
      <c r="S418" s="3">
        <v>-33.261499999999998</v>
      </c>
      <c r="T418" s="4" t="s">
        <v>450</v>
      </c>
      <c r="U418" s="2" t="s">
        <v>37</v>
      </c>
      <c r="V418" s="2" t="s">
        <v>37</v>
      </c>
      <c r="W418" s="2" t="s">
        <v>37</v>
      </c>
      <c r="X418" s="2" t="s">
        <v>38</v>
      </c>
      <c r="Y418" s="2" t="s">
        <v>38</v>
      </c>
      <c r="Z418" s="2" t="s">
        <v>37</v>
      </c>
      <c r="AA418" s="6">
        <v>3.7888998310000002</v>
      </c>
      <c r="AB418" s="6">
        <v>2.8605110909999998</v>
      </c>
      <c r="AC418" s="6">
        <v>3.7888998310000002</v>
      </c>
      <c r="AD418" cm="1">
        <f t="array" ref="AD418">IF(SUMPRODUCT(--($AM$2:$AM$112=TRIM(LEFT($B418,IFERROR(FIND(" ",$B418)-1,LEN($B418))))))&gt;0,1,0)</f>
        <v>0</v>
      </c>
      <c r="AE418" cm="1">
        <f t="array" ref="AE418">IF(SUMPRODUCT(--($AO$2:$AO$145=TRIM(LEFT($B418,IFERROR(FIND(" ",$B418)-1,LEN($B418))))))&gt;0,1,0)</f>
        <v>0</v>
      </c>
      <c r="AF418" cm="1">
        <f t="array" ref="AF418">IF(SUMPRODUCT(--($AQ$2:$AQ$71=TRIM(LEFT($B418,IFERROR(FIND(" ",$B418)-1,LEN($B418))))))&gt;0,1,0)</f>
        <v>1</v>
      </c>
    </row>
    <row r="419" spans="1:32" ht="105.75" thickBot="1" x14ac:dyDescent="0.3">
      <c r="A419" s="13">
        <v>171</v>
      </c>
      <c r="B419" s="4" t="s">
        <v>960</v>
      </c>
      <c r="C419" s="4" t="s">
        <v>961</v>
      </c>
      <c r="D419" s="7">
        <v>44748</v>
      </c>
      <c r="E419" s="3">
        <v>1777.33</v>
      </c>
      <c r="F419" s="4" t="s">
        <v>30</v>
      </c>
      <c r="G419" s="3">
        <v>2.95</v>
      </c>
      <c r="H419" s="4" t="s">
        <v>47</v>
      </c>
      <c r="I419" s="4" t="s">
        <v>47</v>
      </c>
      <c r="J419" s="4" t="s">
        <v>962</v>
      </c>
      <c r="K419" s="4"/>
      <c r="L419" s="4"/>
      <c r="M419" s="3">
        <v>46.99</v>
      </c>
      <c r="N419" s="3">
        <v>1574.33</v>
      </c>
      <c r="O419" s="4" t="s">
        <v>34</v>
      </c>
      <c r="P419" s="4" t="s">
        <v>49</v>
      </c>
      <c r="Q419" s="4" t="s">
        <v>35</v>
      </c>
      <c r="R419" s="3">
        <v>3793</v>
      </c>
      <c r="S419" s="3">
        <v>15.4495</v>
      </c>
      <c r="T419" s="4" t="s">
        <v>316</v>
      </c>
      <c r="U419" s="2" t="s">
        <v>37</v>
      </c>
      <c r="V419" s="2" t="s">
        <v>37</v>
      </c>
      <c r="W419" s="2" t="s">
        <v>38</v>
      </c>
      <c r="X419" s="2" t="s">
        <v>38</v>
      </c>
      <c r="Y419" s="2" t="s">
        <v>37</v>
      </c>
      <c r="Z419" s="2" t="s">
        <v>37</v>
      </c>
      <c r="AA419" s="6">
        <v>3.2497680720000002</v>
      </c>
      <c r="AB419" s="6">
        <v>3.5789828429999999</v>
      </c>
      <c r="AC419" s="6">
        <v>3.1970957709999999</v>
      </c>
      <c r="AD419" cm="1">
        <f t="array" ref="AD419">IF(SUMPRODUCT(--($AM$2:$AM$112=TRIM(LEFT($B419,IFERROR(FIND(" ",$B419)-1,LEN($B419))))))&gt;0,1,0)</f>
        <v>0</v>
      </c>
      <c r="AE419" cm="1">
        <f t="array" ref="AE419">IF(SUMPRODUCT(--($AO$2:$AO$145=TRIM(LEFT($B419,IFERROR(FIND(" ",$B419)-1,LEN($B419))))))&gt;0,1,0)</f>
        <v>0</v>
      </c>
      <c r="AF419" cm="1">
        <f t="array" ref="AF419">IF(SUMPRODUCT(--($AQ$2:$AQ$71=TRIM(LEFT($B419,IFERROR(FIND(" ",$B419)-1,LEN($B419))))))&gt;0,1,0)</f>
        <v>0</v>
      </c>
    </row>
    <row r="420" spans="1:32" ht="105.75" thickBot="1" x14ac:dyDescent="0.3">
      <c r="A420" s="13">
        <v>36</v>
      </c>
      <c r="B420" s="4" t="s">
        <v>963</v>
      </c>
      <c r="C420" s="4" t="s">
        <v>703</v>
      </c>
      <c r="D420" s="7">
        <v>44935</v>
      </c>
      <c r="E420" s="3">
        <v>1137.8699999999999</v>
      </c>
      <c r="F420" s="4" t="s">
        <v>30</v>
      </c>
      <c r="G420" s="4"/>
      <c r="H420" s="4" t="s">
        <v>41</v>
      </c>
      <c r="I420" s="4" t="s">
        <v>41</v>
      </c>
      <c r="J420" s="4" t="s">
        <v>42</v>
      </c>
      <c r="K420" s="4"/>
      <c r="L420" s="4"/>
      <c r="M420" s="3">
        <v>121.18</v>
      </c>
      <c r="N420" s="3">
        <v>1137.8699999999999</v>
      </c>
      <c r="O420" s="4" t="s">
        <v>34</v>
      </c>
      <c r="P420" s="4" t="s">
        <v>166</v>
      </c>
      <c r="Q420" s="4" t="s">
        <v>35</v>
      </c>
      <c r="R420" s="2"/>
      <c r="S420" s="2"/>
      <c r="T420" s="4" t="s">
        <v>964</v>
      </c>
      <c r="U420" s="2" t="s">
        <v>37</v>
      </c>
      <c r="V420" s="2" t="s">
        <v>37</v>
      </c>
      <c r="W420" s="2" t="s">
        <v>38</v>
      </c>
      <c r="X420" s="2" t="s">
        <v>37</v>
      </c>
      <c r="Y420" s="2" t="s">
        <v>37</v>
      </c>
      <c r="Z420" s="2" t="s">
        <v>38</v>
      </c>
      <c r="AA420" s="6">
        <v>3.0560926469999998</v>
      </c>
      <c r="AB420" s="2"/>
      <c r="AC420" s="6">
        <v>3.0560926469999998</v>
      </c>
      <c r="AD420" cm="1">
        <f t="array" ref="AD420">IF(SUMPRODUCT(--($AM$2:$AM$112=TRIM(LEFT($B420,IFERROR(FIND(" ",$B420)-1,LEN($B420))))))&gt;0,1,0)</f>
        <v>0</v>
      </c>
      <c r="AE420" cm="1">
        <f t="array" ref="AE420">IF(SUMPRODUCT(--($AO$2:$AO$145=TRIM(LEFT($B420,IFERROR(FIND(" ",$B420)-1,LEN($B420))))))&gt;0,1,0)</f>
        <v>0</v>
      </c>
      <c r="AF420" cm="1">
        <f t="array" ref="AF420">IF(SUMPRODUCT(--($AQ$2:$AQ$71=TRIM(LEFT($B420,IFERROR(FIND(" ",$B420)-1,LEN($B420))))))&gt;0,1,0)</f>
        <v>0</v>
      </c>
    </row>
    <row r="421" spans="1:32" ht="60.75" thickBot="1" x14ac:dyDescent="0.3">
      <c r="A421" s="13">
        <v>238</v>
      </c>
      <c r="B421" s="4" t="s">
        <v>965</v>
      </c>
      <c r="C421" s="4" t="s">
        <v>398</v>
      </c>
      <c r="D421" s="7">
        <v>44649</v>
      </c>
      <c r="E421" s="3">
        <v>6153.75</v>
      </c>
      <c r="F421" s="4" t="s">
        <v>30</v>
      </c>
      <c r="G421" s="3">
        <v>23.89</v>
      </c>
      <c r="H421" s="4" t="s">
        <v>41</v>
      </c>
      <c r="I421" s="4" t="s">
        <v>41</v>
      </c>
      <c r="J421" s="4" t="s">
        <v>100</v>
      </c>
      <c r="K421" s="4"/>
      <c r="L421" s="4"/>
      <c r="M421" s="3">
        <v>18.52</v>
      </c>
      <c r="N421" s="3">
        <v>5386.04</v>
      </c>
      <c r="O421" s="4" t="s">
        <v>34</v>
      </c>
      <c r="P421" s="4" t="s">
        <v>34</v>
      </c>
      <c r="Q421" s="4" t="s">
        <v>35</v>
      </c>
      <c r="R421" s="3">
        <v>2282.77</v>
      </c>
      <c r="S421" s="3">
        <v>4.75387</v>
      </c>
      <c r="T421" s="4" t="s">
        <v>43</v>
      </c>
      <c r="U421" s="2" t="s">
        <v>37</v>
      </c>
      <c r="V421" s="2" t="s">
        <v>37</v>
      </c>
      <c r="W421" s="2" t="s">
        <v>37</v>
      </c>
      <c r="X421" s="2" t="s">
        <v>37</v>
      </c>
      <c r="Y421" s="2" t="s">
        <v>37</v>
      </c>
      <c r="Z421" s="2" t="s">
        <v>37</v>
      </c>
      <c r="AA421" s="6">
        <v>3.7891398490000001</v>
      </c>
      <c r="AB421" s="6">
        <v>3.3584621559999999</v>
      </c>
      <c r="AC421" s="6">
        <v>3.7312695740000001</v>
      </c>
      <c r="AD421" cm="1">
        <f t="array" ref="AD421">IF(SUMPRODUCT(--($AM$2:$AM$112=TRIM(LEFT($B421,IFERROR(FIND(" ",$B421)-1,LEN($B421))))))&gt;0,1,0)</f>
        <v>0</v>
      </c>
      <c r="AE421" cm="1">
        <f t="array" ref="AE421">IF(SUMPRODUCT(--($AO$2:$AO$145=TRIM(LEFT($B421,IFERROR(FIND(" ",$B421)-1,LEN($B421))))))&gt;0,1,0)</f>
        <v>0</v>
      </c>
      <c r="AF421" cm="1">
        <f t="array" ref="AF421">IF(SUMPRODUCT(--($AQ$2:$AQ$71=TRIM(LEFT($B421,IFERROR(FIND(" ",$B421)-1,LEN($B421))))))&gt;0,1,0)</f>
        <v>0</v>
      </c>
    </row>
    <row r="422" spans="1:32" ht="45.75" thickBot="1" x14ac:dyDescent="0.3">
      <c r="A422" s="13">
        <v>156</v>
      </c>
      <c r="B422" s="4" t="s">
        <v>966</v>
      </c>
      <c r="C422" s="4" t="s">
        <v>967</v>
      </c>
      <c r="D422" s="7">
        <v>44763</v>
      </c>
      <c r="E422" s="3">
        <v>3691.21</v>
      </c>
      <c r="F422" s="4" t="s">
        <v>30</v>
      </c>
      <c r="G422" s="4"/>
      <c r="H422" s="4" t="s">
        <v>31</v>
      </c>
      <c r="I422" s="4" t="s">
        <v>32</v>
      </c>
      <c r="J422" s="4" t="s">
        <v>33</v>
      </c>
      <c r="K422" s="4"/>
      <c r="L422" s="4"/>
      <c r="M422" s="3">
        <v>88.13</v>
      </c>
      <c r="N422" s="3">
        <v>3492.86</v>
      </c>
      <c r="O422" s="4" t="s">
        <v>34</v>
      </c>
      <c r="P422" s="4" t="s">
        <v>34</v>
      </c>
      <c r="Q422" s="4" t="s">
        <v>35</v>
      </c>
      <c r="R422" s="3">
        <v>1045.55</v>
      </c>
      <c r="S422" s="3">
        <v>-40.141199999999998</v>
      </c>
      <c r="T422" s="4" t="s">
        <v>43</v>
      </c>
      <c r="U422" s="2" t="s">
        <v>37</v>
      </c>
      <c r="V422" s="2" t="s">
        <v>37</v>
      </c>
      <c r="W422" s="2" t="s">
        <v>37</v>
      </c>
      <c r="X422" s="2" t="s">
        <v>37</v>
      </c>
      <c r="Y422" s="2" t="s">
        <v>37</v>
      </c>
      <c r="Z422" s="2" t="s">
        <v>37</v>
      </c>
      <c r="AA422" s="6">
        <v>3.5671687539999999</v>
      </c>
      <c r="AB422" s="6">
        <v>3.0193448059999999</v>
      </c>
      <c r="AC422" s="6">
        <v>3.5431811789999998</v>
      </c>
      <c r="AD422" cm="1">
        <f t="array" ref="AD422">IF(SUMPRODUCT(--($AM$2:$AM$112=TRIM(LEFT($B422,IFERROR(FIND(" ",$B422)-1,LEN($B422))))))&gt;0,1,0)</f>
        <v>0</v>
      </c>
      <c r="AE422" cm="1">
        <f t="array" ref="AE422">IF(SUMPRODUCT(--($AO$2:$AO$145=TRIM(LEFT($B422,IFERROR(FIND(" ",$B422)-1,LEN($B422))))))&gt;0,1,0)</f>
        <v>0</v>
      </c>
      <c r="AF422" cm="1">
        <f t="array" ref="AF422">IF(SUMPRODUCT(--($AQ$2:$AQ$71=TRIM(LEFT($B422,IFERROR(FIND(" ",$B422)-1,LEN($B422))))))&gt;0,1,0)</f>
        <v>0</v>
      </c>
    </row>
    <row r="423" spans="1:32" ht="105.75" thickBot="1" x14ac:dyDescent="0.3">
      <c r="A423" s="13">
        <v>34</v>
      </c>
      <c r="B423" s="4" t="s">
        <v>968</v>
      </c>
      <c r="C423" s="4" t="s">
        <v>601</v>
      </c>
      <c r="D423" s="7">
        <v>44935</v>
      </c>
      <c r="E423" s="3">
        <v>1377.76</v>
      </c>
      <c r="F423" s="4" t="s">
        <v>30</v>
      </c>
      <c r="G423" s="3">
        <v>24.77</v>
      </c>
      <c r="H423" s="4" t="s">
        <v>65</v>
      </c>
      <c r="I423" s="4" t="s">
        <v>138</v>
      </c>
      <c r="J423" s="4" t="s">
        <v>139</v>
      </c>
      <c r="K423" s="4"/>
      <c r="L423" s="3">
        <v>38</v>
      </c>
      <c r="M423" s="3">
        <v>23.08</v>
      </c>
      <c r="N423" s="3">
        <v>1289.0899999999999</v>
      </c>
      <c r="O423" s="4" t="s">
        <v>34</v>
      </c>
      <c r="P423" s="4" t="s">
        <v>49</v>
      </c>
      <c r="Q423" s="4" t="s">
        <v>35</v>
      </c>
      <c r="R423" s="3">
        <v>282.74299999999999</v>
      </c>
      <c r="S423" s="3">
        <v>8.9151600000000002</v>
      </c>
      <c r="T423" s="4" t="s">
        <v>631</v>
      </c>
      <c r="U423" s="2" t="s">
        <v>37</v>
      </c>
      <c r="V423" s="2" t="s">
        <v>37</v>
      </c>
      <c r="W423" s="2" t="s">
        <v>38</v>
      </c>
      <c r="X423" s="2" t="s">
        <v>37</v>
      </c>
      <c r="Y423" s="2" t="s">
        <v>37</v>
      </c>
      <c r="Z423" s="2" t="s">
        <v>38</v>
      </c>
      <c r="AA423" s="6">
        <v>3.1391735719999998</v>
      </c>
      <c r="AB423" s="6">
        <v>2.4513918619999999</v>
      </c>
      <c r="AC423" s="6">
        <v>3.1102832390000001</v>
      </c>
      <c r="AD423" cm="1">
        <f t="array" ref="AD423">IF(SUMPRODUCT(--($AM$2:$AM$112=TRIM(LEFT($B423,IFERROR(FIND(" ",$B423)-1,LEN($B423))))))&gt;0,1,0)</f>
        <v>0</v>
      </c>
      <c r="AE423" cm="1">
        <f t="array" ref="AE423">IF(SUMPRODUCT(--($AO$2:$AO$145=TRIM(LEFT($B423,IFERROR(FIND(" ",$B423)-1,LEN($B423))))))&gt;0,1,0)</f>
        <v>0</v>
      </c>
      <c r="AF423" cm="1">
        <f t="array" ref="AF423">IF(SUMPRODUCT(--($AQ$2:$AQ$71=TRIM(LEFT($B423,IFERROR(FIND(" ",$B423)-1,LEN($B423))))))&gt;0,1,0)</f>
        <v>0</v>
      </c>
    </row>
    <row r="424" spans="1:32" ht="165.75" thickBot="1" x14ac:dyDescent="0.3">
      <c r="A424" s="13">
        <v>78</v>
      </c>
      <c r="B424" s="4" t="s">
        <v>969</v>
      </c>
      <c r="C424" s="2"/>
      <c r="D424" s="7">
        <v>44872</v>
      </c>
      <c r="E424" s="3">
        <v>3266.96</v>
      </c>
      <c r="F424" s="4" t="s">
        <v>30</v>
      </c>
      <c r="G424" s="4"/>
      <c r="H424" s="4" t="s">
        <v>51</v>
      </c>
      <c r="I424" s="4" t="s">
        <v>51</v>
      </c>
      <c r="J424" s="4" t="s">
        <v>79</v>
      </c>
      <c r="K424" s="4"/>
      <c r="L424" s="4"/>
      <c r="M424" s="3">
        <v>33.31</v>
      </c>
      <c r="N424" s="3">
        <v>3266.96</v>
      </c>
      <c r="O424" s="4" t="s">
        <v>49</v>
      </c>
      <c r="P424" s="4" t="s">
        <v>534</v>
      </c>
      <c r="Q424" s="4" t="s">
        <v>35</v>
      </c>
      <c r="R424" s="3">
        <v>192.46299999999999</v>
      </c>
      <c r="S424" s="3">
        <v>67.522999999999996</v>
      </c>
      <c r="T424" s="4" t="s">
        <v>167</v>
      </c>
      <c r="U424" s="2" t="s">
        <v>37</v>
      </c>
      <c r="V424" s="2" t="s">
        <v>37</v>
      </c>
      <c r="W424" s="2" t="s">
        <v>38</v>
      </c>
      <c r="X424" s="2" t="s">
        <v>38</v>
      </c>
      <c r="Y424" s="2" t="s">
        <v>38</v>
      </c>
      <c r="Z424" s="2" t="s">
        <v>37</v>
      </c>
      <c r="AA424" s="6">
        <v>3.5141438169999999</v>
      </c>
      <c r="AB424" s="6">
        <v>2.2843472509999998</v>
      </c>
      <c r="AC424" s="6">
        <v>3.5141438169999999</v>
      </c>
      <c r="AD424" cm="1">
        <f t="array" ref="AD424">IF(SUMPRODUCT(--($AM$2:$AM$112=TRIM(LEFT($B424,IFERROR(FIND(" ",$B424)-1,LEN($B424))))))&gt;0,1,0)</f>
        <v>0</v>
      </c>
      <c r="AE424" cm="1">
        <f t="array" ref="AE424">IF(SUMPRODUCT(--($AO$2:$AO$145=TRIM(LEFT($B424,IFERROR(FIND(" ",$B424)-1,LEN($B424))))))&gt;0,1,0)</f>
        <v>0</v>
      </c>
      <c r="AF424" cm="1">
        <f t="array" ref="AF424">IF(SUMPRODUCT(--($AQ$2:$AQ$71=TRIM(LEFT($B424,IFERROR(FIND(" ",$B424)-1,LEN($B424))))))&gt;0,1,0)</f>
        <v>0</v>
      </c>
    </row>
    <row r="425" spans="1:32" ht="120.75" thickBot="1" x14ac:dyDescent="0.3">
      <c r="A425" s="13">
        <v>102</v>
      </c>
      <c r="B425" s="4" t="s">
        <v>970</v>
      </c>
      <c r="C425" s="2"/>
      <c r="D425" s="7">
        <v>44819</v>
      </c>
      <c r="E425" s="3">
        <v>9116.68</v>
      </c>
      <c r="F425" s="4" t="s">
        <v>30</v>
      </c>
      <c r="G425" s="3">
        <v>18.5</v>
      </c>
      <c r="H425" s="4" t="s">
        <v>51</v>
      </c>
      <c r="I425" s="4" t="s">
        <v>51</v>
      </c>
      <c r="J425" s="4" t="s">
        <v>79</v>
      </c>
      <c r="K425" s="4"/>
      <c r="L425" s="4"/>
      <c r="M425" s="3">
        <v>17.37</v>
      </c>
      <c r="N425" s="3">
        <v>4431.63</v>
      </c>
      <c r="O425" s="4" t="s">
        <v>34</v>
      </c>
      <c r="P425" s="4" t="s">
        <v>534</v>
      </c>
      <c r="Q425" s="4" t="s">
        <v>35</v>
      </c>
      <c r="R425" s="3">
        <v>1033.08</v>
      </c>
      <c r="S425" s="2"/>
      <c r="T425" s="4" t="s">
        <v>971</v>
      </c>
      <c r="U425" s="2" t="s">
        <v>37</v>
      </c>
      <c r="V425" s="2" t="s">
        <v>37</v>
      </c>
      <c r="W425" s="2" t="s">
        <v>38</v>
      </c>
      <c r="X425" s="2" t="s">
        <v>38</v>
      </c>
      <c r="Y425" s="2" t="s">
        <v>38</v>
      </c>
      <c r="Z425" s="2" t="s">
        <v>37</v>
      </c>
      <c r="AA425" s="6">
        <v>3.9598367109999999</v>
      </c>
      <c r="AB425" s="6">
        <v>3.0141339540000001</v>
      </c>
      <c r="AC425" s="6">
        <v>3.646563494</v>
      </c>
      <c r="AD425" cm="1">
        <f t="array" ref="AD425">IF(SUMPRODUCT(--($AM$2:$AM$112=TRIM(LEFT($B425,IFERROR(FIND(" ",$B425)-1,LEN($B425))))))&gt;0,1,0)</f>
        <v>0</v>
      </c>
      <c r="AE425" cm="1">
        <f t="array" ref="AE425">IF(SUMPRODUCT(--($AO$2:$AO$145=TRIM(LEFT($B425,IFERROR(FIND(" ",$B425)-1,LEN($B425))))))&gt;0,1,0)</f>
        <v>0</v>
      </c>
      <c r="AF425" cm="1">
        <f t="array" ref="AF425">IF(SUMPRODUCT(--($AQ$2:$AQ$71=TRIM(LEFT($B425,IFERROR(FIND(" ",$B425)-1,LEN($B425))))))&gt;0,1,0)</f>
        <v>1</v>
      </c>
    </row>
    <row r="426" spans="1:32" ht="135.75" thickBot="1" x14ac:dyDescent="0.3">
      <c r="A426" s="13">
        <v>82</v>
      </c>
      <c r="B426" s="4" t="s">
        <v>972</v>
      </c>
      <c r="C426" s="4" t="s">
        <v>695</v>
      </c>
      <c r="D426" s="7">
        <v>44846</v>
      </c>
      <c r="E426" s="3">
        <v>4114.57</v>
      </c>
      <c r="F426" s="4" t="s">
        <v>30</v>
      </c>
      <c r="G426" s="3">
        <v>114.78</v>
      </c>
      <c r="H426" s="4" t="s">
        <v>31</v>
      </c>
      <c r="I426" s="4" t="s">
        <v>32</v>
      </c>
      <c r="J426" s="4" t="s">
        <v>33</v>
      </c>
      <c r="K426" s="3">
        <v>276</v>
      </c>
      <c r="L426" s="3">
        <v>138</v>
      </c>
      <c r="M426" s="3">
        <v>17.559999999999999</v>
      </c>
      <c r="N426" s="3">
        <v>4374.87</v>
      </c>
      <c r="O426" s="4" t="s">
        <v>34</v>
      </c>
      <c r="P426" s="4" t="s">
        <v>34</v>
      </c>
      <c r="Q426" s="4" t="s">
        <v>399</v>
      </c>
      <c r="R426" s="3">
        <v>246.298</v>
      </c>
      <c r="S426" s="3">
        <v>-2.6748099999999999</v>
      </c>
      <c r="T426" s="4" t="s">
        <v>242</v>
      </c>
      <c r="U426" s="2" t="s">
        <v>37</v>
      </c>
      <c r="V426" s="2" t="s">
        <v>37</v>
      </c>
      <c r="W426" s="2" t="s">
        <v>37</v>
      </c>
      <c r="X426" s="2" t="s">
        <v>38</v>
      </c>
      <c r="Y426" s="2" t="s">
        <v>38</v>
      </c>
      <c r="Z426" s="2" t="s">
        <v>37</v>
      </c>
      <c r="AA426" s="6">
        <v>3.6143244550000002</v>
      </c>
      <c r="AB426" s="6">
        <v>2.3914608849999999</v>
      </c>
      <c r="AC426" s="6">
        <v>3.6409651520000001</v>
      </c>
      <c r="AD426" cm="1">
        <f t="array" ref="AD426">IF(SUMPRODUCT(--($AM$2:$AM$112=TRIM(LEFT($B426,IFERROR(FIND(" ",$B426)-1,LEN($B426))))))&gt;0,1,0)</f>
        <v>0</v>
      </c>
      <c r="AE426" cm="1">
        <f t="array" ref="AE426">IF(SUMPRODUCT(--($AO$2:$AO$145=TRIM(LEFT($B426,IFERROR(FIND(" ",$B426)-1,LEN($B426))))))&gt;0,1,0)</f>
        <v>0</v>
      </c>
      <c r="AF426" cm="1">
        <f t="array" ref="AF426">IF(SUMPRODUCT(--($AQ$2:$AQ$71=TRIM(LEFT($B426,IFERROR(FIND(" ",$B426)-1,LEN($B426))))))&gt;0,1,0)</f>
        <v>0</v>
      </c>
    </row>
    <row r="427" spans="1:32" ht="75.75" thickBot="1" x14ac:dyDescent="0.3">
      <c r="A427" s="13">
        <v>245</v>
      </c>
      <c r="B427" s="4" t="s">
        <v>973</v>
      </c>
      <c r="C427" s="2"/>
      <c r="D427" s="7">
        <v>44616</v>
      </c>
      <c r="E427" s="3">
        <v>7427.14</v>
      </c>
      <c r="F427" s="4" t="s">
        <v>30</v>
      </c>
      <c r="G427" s="3">
        <v>13.24</v>
      </c>
      <c r="H427" s="4" t="s">
        <v>279</v>
      </c>
      <c r="I427" s="4" t="s">
        <v>279</v>
      </c>
      <c r="J427" s="4" t="s">
        <v>974</v>
      </c>
      <c r="K427" s="4"/>
      <c r="L427" s="4"/>
      <c r="M427" s="3">
        <v>47.16</v>
      </c>
      <c r="N427" s="3">
        <v>4048.15</v>
      </c>
      <c r="O427" s="4" t="s">
        <v>34</v>
      </c>
      <c r="P427" s="4" t="s">
        <v>34</v>
      </c>
      <c r="Q427" s="4" t="s">
        <v>35</v>
      </c>
      <c r="R427" s="3">
        <v>1992</v>
      </c>
      <c r="S427" s="3">
        <v>13.1653</v>
      </c>
      <c r="T427" s="4" t="s">
        <v>113</v>
      </c>
      <c r="U427" s="2" t="s">
        <v>37</v>
      </c>
      <c r="V427" s="2" t="s">
        <v>37</v>
      </c>
      <c r="W427" s="2" t="s">
        <v>37</v>
      </c>
      <c r="X427" s="2" t="s">
        <v>38</v>
      </c>
      <c r="Y427" s="2" t="s">
        <v>37</v>
      </c>
      <c r="Z427" s="2" t="s">
        <v>37</v>
      </c>
      <c r="AA427" s="6">
        <v>3.8708216100000001</v>
      </c>
      <c r="AB427" s="6">
        <v>3.299289334</v>
      </c>
      <c r="AC427" s="6">
        <v>3.607256596</v>
      </c>
      <c r="AD427" cm="1">
        <f t="array" ref="AD427">IF(SUMPRODUCT(--($AM$2:$AM$112=TRIM(LEFT($B427,IFERROR(FIND(" ",$B427)-1,LEN($B427))))))&gt;0,1,0)</f>
        <v>0</v>
      </c>
      <c r="AE427" cm="1">
        <f t="array" ref="AE427">IF(SUMPRODUCT(--($AO$2:$AO$145=TRIM(LEFT($B427,IFERROR(FIND(" ",$B427)-1,LEN($B427))))))&gt;0,1,0)</f>
        <v>0</v>
      </c>
      <c r="AF427" cm="1">
        <f t="array" ref="AF427">IF(SUMPRODUCT(--($AQ$2:$AQ$71=TRIM(LEFT($B427,IFERROR(FIND(" ",$B427)-1,LEN($B427))))))&gt;0,1,0)</f>
        <v>0</v>
      </c>
    </row>
    <row r="428" spans="1:32" ht="165.75" thickBot="1" x14ac:dyDescent="0.3">
      <c r="A428" s="13">
        <v>150</v>
      </c>
      <c r="B428" s="4" t="s">
        <v>975</v>
      </c>
      <c r="C428" s="2"/>
      <c r="D428" s="7">
        <v>44749</v>
      </c>
      <c r="E428" s="3">
        <v>1437.78</v>
      </c>
      <c r="F428" s="4" t="s">
        <v>30</v>
      </c>
      <c r="G428" s="3">
        <v>18.739999999999998</v>
      </c>
      <c r="H428" s="4" t="s">
        <v>41</v>
      </c>
      <c r="I428" s="4" t="s">
        <v>41</v>
      </c>
      <c r="J428" s="4" t="s">
        <v>60</v>
      </c>
      <c r="K428" s="4"/>
      <c r="L428" s="3">
        <v>45.96</v>
      </c>
      <c r="M428" s="3">
        <v>16.010000000000002</v>
      </c>
      <c r="N428" s="3">
        <v>1481.55</v>
      </c>
      <c r="O428" s="4" t="s">
        <v>34</v>
      </c>
      <c r="P428" s="4" t="s">
        <v>976</v>
      </c>
      <c r="Q428" s="4" t="s">
        <v>35</v>
      </c>
      <c r="R428" s="3">
        <v>6.0999999999999999E-2</v>
      </c>
      <c r="S428" s="3">
        <v>-14300</v>
      </c>
      <c r="T428" s="4" t="s">
        <v>977</v>
      </c>
      <c r="U428" s="2" t="s">
        <v>37</v>
      </c>
      <c r="V428" s="2" t="s">
        <v>37</v>
      </c>
      <c r="W428" s="2" t="s">
        <v>38</v>
      </c>
      <c r="X428" s="2" t="s">
        <v>38</v>
      </c>
      <c r="Y428" s="2" t="s">
        <v>38</v>
      </c>
      <c r="Z428" s="2" t="s">
        <v>37</v>
      </c>
      <c r="AA428" s="6">
        <v>3.1576924380000002</v>
      </c>
      <c r="AB428" s="6">
        <v>-1.214670165</v>
      </c>
      <c r="AC428" s="6">
        <v>3.1707163129999998</v>
      </c>
      <c r="AD428" cm="1">
        <f t="array" ref="AD428">IF(SUMPRODUCT(--($AM$2:$AM$112=TRIM(LEFT($B428,IFERROR(FIND(" ",$B428)-1,LEN($B428))))))&gt;0,1,0)</f>
        <v>0</v>
      </c>
      <c r="AE428" cm="1">
        <f t="array" ref="AE428">IF(SUMPRODUCT(--($AO$2:$AO$145=TRIM(LEFT($B428,IFERROR(FIND(" ",$B428)-1,LEN($B428))))))&gt;0,1,0)</f>
        <v>0</v>
      </c>
      <c r="AF428" cm="1">
        <f t="array" ref="AF428">IF(SUMPRODUCT(--($AQ$2:$AQ$71=TRIM(LEFT($B428,IFERROR(FIND(" ",$B428)-1,LEN($B428))))))&gt;0,1,0)</f>
        <v>1</v>
      </c>
    </row>
    <row r="429" spans="1:32" ht="75.75" thickBot="1" x14ac:dyDescent="0.3">
      <c r="A429" s="13">
        <v>62</v>
      </c>
      <c r="B429" s="4" t="s">
        <v>978</v>
      </c>
      <c r="C429" s="4" t="s">
        <v>979</v>
      </c>
      <c r="D429" s="7">
        <v>44866</v>
      </c>
      <c r="E429" s="3">
        <v>508.52</v>
      </c>
      <c r="F429" s="4" t="s">
        <v>30</v>
      </c>
      <c r="G429" s="3">
        <v>33.049999999999997</v>
      </c>
      <c r="H429" s="4" t="s">
        <v>31</v>
      </c>
      <c r="I429" s="4" t="s">
        <v>32</v>
      </c>
      <c r="J429" s="4" t="s">
        <v>33</v>
      </c>
      <c r="K429" s="4"/>
      <c r="L429" s="4"/>
      <c r="M429" s="3">
        <v>67.099999999999994</v>
      </c>
      <c r="N429" s="3">
        <v>359.48</v>
      </c>
      <c r="O429" s="4" t="s">
        <v>34</v>
      </c>
      <c r="P429" s="4" t="s">
        <v>34</v>
      </c>
      <c r="Q429" s="4" t="s">
        <v>35</v>
      </c>
      <c r="R429" s="3">
        <v>263.09699999999998</v>
      </c>
      <c r="S429" s="3">
        <v>-4.4856400000000001</v>
      </c>
      <c r="T429" s="4" t="s">
        <v>113</v>
      </c>
      <c r="U429" s="2" t="s">
        <v>37</v>
      </c>
      <c r="V429" s="2" t="s">
        <v>37</v>
      </c>
      <c r="W429" s="2" t="s">
        <v>37</v>
      </c>
      <c r="X429" s="2" t="s">
        <v>38</v>
      </c>
      <c r="Y429" s="2" t="s">
        <v>37</v>
      </c>
      <c r="Z429" s="2" t="s">
        <v>37</v>
      </c>
      <c r="AA429" s="6">
        <v>2.706308038</v>
      </c>
      <c r="AB429" s="6">
        <v>2.420115896</v>
      </c>
      <c r="AC429" s="6">
        <v>2.555674733</v>
      </c>
      <c r="AD429" cm="1">
        <f t="array" ref="AD429">IF(SUMPRODUCT(--($AM$2:$AM$112=TRIM(LEFT($B429,IFERROR(FIND(" ",$B429)-1,LEN($B429))))))&gt;0,1,0)</f>
        <v>0</v>
      </c>
      <c r="AE429" cm="1">
        <f t="array" ref="AE429">IF(SUMPRODUCT(--($AO$2:$AO$145=TRIM(LEFT($B429,IFERROR(FIND(" ",$B429)-1,LEN($B429))))))&gt;0,1,0)</f>
        <v>0</v>
      </c>
      <c r="AF429" cm="1">
        <f t="array" ref="AF429">IF(SUMPRODUCT(--($AQ$2:$AQ$71=TRIM(LEFT($B429,IFERROR(FIND(" ",$B429)-1,LEN($B429))))))&gt;0,1,0)</f>
        <v>0</v>
      </c>
    </row>
    <row r="430" spans="1:32" ht="45.75" thickBot="1" x14ac:dyDescent="0.3">
      <c r="A430" s="13">
        <v>54</v>
      </c>
      <c r="B430" s="4" t="s">
        <v>980</v>
      </c>
      <c r="C430" s="4" t="s">
        <v>981</v>
      </c>
      <c r="D430" s="7">
        <v>44875</v>
      </c>
      <c r="E430" s="3">
        <v>598.19000000000005</v>
      </c>
      <c r="F430" s="4" t="s">
        <v>69</v>
      </c>
      <c r="G430" s="3">
        <v>14.94</v>
      </c>
      <c r="H430" s="4" t="s">
        <v>47</v>
      </c>
      <c r="I430" s="4" t="s">
        <v>47</v>
      </c>
      <c r="J430" s="4" t="s">
        <v>48</v>
      </c>
      <c r="K430" s="4"/>
      <c r="L430" s="4"/>
      <c r="M430" s="3">
        <v>25.99</v>
      </c>
      <c r="N430" s="3">
        <v>604.15</v>
      </c>
      <c r="O430" s="4" t="s">
        <v>49</v>
      </c>
      <c r="P430" s="4" t="s">
        <v>49</v>
      </c>
      <c r="Q430" s="4" t="s">
        <v>35</v>
      </c>
      <c r="R430" s="2"/>
      <c r="S430" s="2"/>
      <c r="T430" s="4" t="s">
        <v>43</v>
      </c>
      <c r="U430" s="2" t="s">
        <v>37</v>
      </c>
      <c r="V430" s="2" t="s">
        <v>37</v>
      </c>
      <c r="W430" s="2" t="s">
        <v>37</v>
      </c>
      <c r="X430" s="2" t="s">
        <v>37</v>
      </c>
      <c r="Y430" s="2" t="s">
        <v>37</v>
      </c>
      <c r="Z430" s="2" t="s">
        <v>37</v>
      </c>
      <c r="AA430" s="6">
        <v>2.7768391490000002</v>
      </c>
      <c r="AB430" s="2"/>
      <c r="AC430" s="6">
        <v>2.78114478</v>
      </c>
      <c r="AD430" cm="1">
        <f t="array" ref="AD430">IF(SUMPRODUCT(--($AM$2:$AM$112=TRIM(LEFT($B430,IFERROR(FIND(" ",$B430)-1,LEN($B430))))))&gt;0,1,0)</f>
        <v>0</v>
      </c>
      <c r="AE430" cm="1">
        <f t="array" ref="AE430">IF(SUMPRODUCT(--($AO$2:$AO$145=TRIM(LEFT($B430,IFERROR(FIND(" ",$B430)-1,LEN($B430))))))&gt;0,1,0)</f>
        <v>0</v>
      </c>
      <c r="AF430" cm="1">
        <f t="array" ref="AF430">IF(SUMPRODUCT(--($AQ$2:$AQ$71=TRIM(LEFT($B430,IFERROR(FIND(" ",$B430)-1,LEN($B430))))))&gt;0,1,0)</f>
        <v>0</v>
      </c>
    </row>
    <row r="431" spans="1:32" ht="75.75" thickBot="1" x14ac:dyDescent="0.3">
      <c r="A431" s="13">
        <v>121</v>
      </c>
      <c r="B431" s="4" t="s">
        <v>982</v>
      </c>
      <c r="C431" s="4" t="s">
        <v>983</v>
      </c>
      <c r="D431" s="7">
        <v>44775</v>
      </c>
      <c r="E431" s="3">
        <v>1225.8399999999999</v>
      </c>
      <c r="F431" s="4" t="s">
        <v>30</v>
      </c>
      <c r="G431" s="4"/>
      <c r="H431" s="4" t="s">
        <v>31</v>
      </c>
      <c r="I431" s="4" t="s">
        <v>432</v>
      </c>
      <c r="J431" s="4" t="s">
        <v>433</v>
      </c>
      <c r="K431" s="4"/>
      <c r="L431" s="4"/>
      <c r="M431" s="3">
        <v>25.43</v>
      </c>
      <c r="N431" s="3">
        <v>1207.1600000000001</v>
      </c>
      <c r="O431" s="4" t="s">
        <v>49</v>
      </c>
      <c r="P431" s="4" t="s">
        <v>34</v>
      </c>
      <c r="Q431" s="4" t="s">
        <v>35</v>
      </c>
      <c r="R431" s="3">
        <v>473.209</v>
      </c>
      <c r="S431" s="3">
        <v>-0.79438500000000001</v>
      </c>
      <c r="T431" s="4" t="s">
        <v>97</v>
      </c>
      <c r="U431" s="2" t="s">
        <v>37</v>
      </c>
      <c r="V431" s="2" t="s">
        <v>37</v>
      </c>
      <c r="W431" s="2" t="s">
        <v>38</v>
      </c>
      <c r="X431" s="2" t="s">
        <v>37</v>
      </c>
      <c r="Y431" s="2" t="s">
        <v>37</v>
      </c>
      <c r="Z431" s="2" t="s">
        <v>37</v>
      </c>
      <c r="AA431" s="6">
        <v>3.0884337890000002</v>
      </c>
      <c r="AB431" s="6">
        <v>2.6750529959999998</v>
      </c>
      <c r="AC431" s="6">
        <v>3.0817648360000001</v>
      </c>
      <c r="AD431" cm="1">
        <f t="array" ref="AD431">IF(SUMPRODUCT(--($AM$2:$AM$112=TRIM(LEFT($B431,IFERROR(FIND(" ",$B431)-1,LEN($B431))))))&gt;0,1,0)</f>
        <v>0</v>
      </c>
      <c r="AE431" cm="1">
        <f t="array" ref="AE431">IF(SUMPRODUCT(--($AO$2:$AO$145=TRIM(LEFT($B431,IFERROR(FIND(" ",$B431)-1,LEN($B431))))))&gt;0,1,0)</f>
        <v>0</v>
      </c>
      <c r="AF431" cm="1">
        <f t="array" ref="AF431">IF(SUMPRODUCT(--($AQ$2:$AQ$71=TRIM(LEFT($B431,IFERROR(FIND(" ",$B431)-1,LEN($B431))))))&gt;0,1,0)</f>
        <v>0</v>
      </c>
    </row>
    <row r="432" spans="1:32" ht="135.75" thickBot="1" x14ac:dyDescent="0.3">
      <c r="A432" s="13">
        <v>39</v>
      </c>
      <c r="B432" s="4" t="s">
        <v>984</v>
      </c>
      <c r="C432" s="4" t="s">
        <v>122</v>
      </c>
      <c r="D432" s="7">
        <v>44886</v>
      </c>
      <c r="E432" s="3">
        <v>1000.19</v>
      </c>
      <c r="F432" s="4" t="s">
        <v>30</v>
      </c>
      <c r="G432" s="4"/>
      <c r="H432" s="4" t="s">
        <v>41</v>
      </c>
      <c r="I432" s="4" t="s">
        <v>41</v>
      </c>
      <c r="J432" s="4" t="s">
        <v>42</v>
      </c>
      <c r="K432" s="4"/>
      <c r="L432" s="4"/>
      <c r="M432" s="3">
        <v>113.06</v>
      </c>
      <c r="N432" s="3">
        <v>1217.5999999999999</v>
      </c>
      <c r="O432" s="4" t="s">
        <v>34</v>
      </c>
      <c r="P432" s="4" t="s">
        <v>34</v>
      </c>
      <c r="Q432" s="4" t="s">
        <v>35</v>
      </c>
      <c r="R432" s="2"/>
      <c r="S432" s="2"/>
      <c r="T432" s="4" t="s">
        <v>985</v>
      </c>
      <c r="U432" s="2" t="s">
        <v>37</v>
      </c>
      <c r="V432" s="2" t="s">
        <v>37</v>
      </c>
      <c r="W432" s="2" t="s">
        <v>37</v>
      </c>
      <c r="X432" s="2" t="s">
        <v>37</v>
      </c>
      <c r="Y432" s="2" t="s">
        <v>38</v>
      </c>
      <c r="Z432" s="2" t="s">
        <v>38</v>
      </c>
      <c r="AA432" s="6">
        <v>3.0000825080000002</v>
      </c>
      <c r="AB432" s="2"/>
      <c r="AC432" s="6">
        <v>3.0855046389999998</v>
      </c>
      <c r="AD432" cm="1">
        <f t="array" ref="AD432">IF(SUMPRODUCT(--($AM$2:$AM$112=TRIM(LEFT($B432,IFERROR(FIND(" ",$B432)-1,LEN($B432))))))&gt;0,1,0)</f>
        <v>0</v>
      </c>
      <c r="AE432" cm="1">
        <f t="array" ref="AE432">IF(SUMPRODUCT(--($AO$2:$AO$145=TRIM(LEFT($B432,IFERROR(FIND(" ",$B432)-1,LEN($B432))))))&gt;0,1,0)</f>
        <v>0</v>
      </c>
      <c r="AF432" cm="1">
        <f t="array" ref="AF432">IF(SUMPRODUCT(--($AQ$2:$AQ$71=TRIM(LEFT($B432,IFERROR(FIND(" ",$B432)-1,LEN($B432))))))&gt;0,1,0)</f>
        <v>0</v>
      </c>
    </row>
    <row r="433" spans="1:32" ht="135.75" thickBot="1" x14ac:dyDescent="0.3">
      <c r="A433" s="13">
        <v>56</v>
      </c>
      <c r="B433" s="4" t="s">
        <v>986</v>
      </c>
      <c r="C433" s="2"/>
      <c r="D433" s="7">
        <v>44861</v>
      </c>
      <c r="E433" s="3">
        <v>919.68</v>
      </c>
      <c r="F433" s="4" t="s">
        <v>30</v>
      </c>
      <c r="G433" s="4"/>
      <c r="H433" s="4" t="s">
        <v>31</v>
      </c>
      <c r="I433" s="4" t="s">
        <v>32</v>
      </c>
      <c r="J433" s="4" t="s">
        <v>33</v>
      </c>
      <c r="K433" s="4"/>
      <c r="L433" s="4"/>
      <c r="M433" s="3">
        <v>95.19</v>
      </c>
      <c r="N433" s="3">
        <v>1079.8399999999999</v>
      </c>
      <c r="O433" s="4" t="s">
        <v>34</v>
      </c>
      <c r="P433" s="4" t="s">
        <v>34</v>
      </c>
      <c r="Q433" s="4" t="s">
        <v>35</v>
      </c>
      <c r="R433" s="3">
        <v>147.398</v>
      </c>
      <c r="S433" s="3">
        <v>-34.7196</v>
      </c>
      <c r="T433" s="4" t="s">
        <v>450</v>
      </c>
      <c r="U433" s="2" t="s">
        <v>37</v>
      </c>
      <c r="V433" s="2" t="s">
        <v>37</v>
      </c>
      <c r="W433" s="2" t="s">
        <v>37</v>
      </c>
      <c r="X433" s="2" t="s">
        <v>38</v>
      </c>
      <c r="Y433" s="2" t="s">
        <v>38</v>
      </c>
      <c r="Z433" s="2" t="s">
        <v>37</v>
      </c>
      <c r="AA433" s="6">
        <v>2.9636367419999998</v>
      </c>
      <c r="AB433" s="6">
        <v>2.168491591</v>
      </c>
      <c r="AC433" s="6">
        <v>3.0333594110000002</v>
      </c>
      <c r="AD433" cm="1">
        <f t="array" ref="AD433">IF(SUMPRODUCT(--($AM$2:$AM$112=TRIM(LEFT($B433,IFERROR(FIND(" ",$B433)-1,LEN($B433))))))&gt;0,1,0)</f>
        <v>0</v>
      </c>
      <c r="AE433" cm="1">
        <f t="array" ref="AE433">IF(SUMPRODUCT(--($AO$2:$AO$145=TRIM(LEFT($B433,IFERROR(FIND(" ",$B433)-1,LEN($B433))))))&gt;0,1,0)</f>
        <v>0</v>
      </c>
      <c r="AF433" cm="1">
        <f t="array" ref="AF433">IF(SUMPRODUCT(--($AQ$2:$AQ$71=TRIM(LEFT($B433,IFERROR(FIND(" ",$B433)-1,LEN($B433))))))&gt;0,1,0)</f>
        <v>0</v>
      </c>
    </row>
    <row r="434" spans="1:32" ht="135.75" thickBot="1" x14ac:dyDescent="0.3">
      <c r="A434" s="13">
        <v>70</v>
      </c>
      <c r="B434" s="4" t="s">
        <v>987</v>
      </c>
      <c r="C434" s="4" t="s">
        <v>988</v>
      </c>
      <c r="D434" s="7">
        <v>44837</v>
      </c>
      <c r="E434" s="3">
        <v>836.45</v>
      </c>
      <c r="F434" s="4" t="s">
        <v>30</v>
      </c>
      <c r="G434" s="4"/>
      <c r="H434" s="4" t="s">
        <v>75</v>
      </c>
      <c r="I434" s="4" t="s">
        <v>83</v>
      </c>
      <c r="J434" s="4" t="s">
        <v>989</v>
      </c>
      <c r="K434" s="4"/>
      <c r="L434" s="4"/>
      <c r="M434" s="3">
        <v>32.81</v>
      </c>
      <c r="N434" s="3">
        <v>1406.15</v>
      </c>
      <c r="O434" s="4" t="s">
        <v>34</v>
      </c>
      <c r="P434" s="4" t="s">
        <v>976</v>
      </c>
      <c r="Q434" s="4" t="s">
        <v>35</v>
      </c>
      <c r="R434" s="3">
        <v>326.00900000000001</v>
      </c>
      <c r="S434" s="3">
        <v>-21.7302</v>
      </c>
      <c r="T434" s="4" t="s">
        <v>990</v>
      </c>
      <c r="U434" s="2" t="s">
        <v>37</v>
      </c>
      <c r="V434" s="2" t="s">
        <v>37</v>
      </c>
      <c r="W434" s="2" t="s">
        <v>38</v>
      </c>
      <c r="X434" s="2" t="s">
        <v>37</v>
      </c>
      <c r="Y434" s="2" t="s">
        <v>38</v>
      </c>
      <c r="Z434" s="2" t="s">
        <v>37</v>
      </c>
      <c r="AA434" s="6">
        <v>2.922439985</v>
      </c>
      <c r="AB434" s="6">
        <v>2.5132295899999999</v>
      </c>
      <c r="AC434" s="6">
        <v>3.1480316510000002</v>
      </c>
      <c r="AD434" cm="1">
        <f t="array" ref="AD434">IF(SUMPRODUCT(--($AM$2:$AM$112=TRIM(LEFT($B434,IFERROR(FIND(" ",$B434)-1,LEN($B434))))))&gt;0,1,0)</f>
        <v>0</v>
      </c>
      <c r="AE434" cm="1">
        <f t="array" ref="AE434">IF(SUMPRODUCT(--($AO$2:$AO$145=TRIM(LEFT($B434,IFERROR(FIND(" ",$B434)-1,LEN($B434))))))&gt;0,1,0)</f>
        <v>0</v>
      </c>
      <c r="AF434" cm="1">
        <f t="array" ref="AF434">IF(SUMPRODUCT(--($AQ$2:$AQ$71=TRIM(LEFT($B434,IFERROR(FIND(" ",$B434)-1,LEN($B434))))))&gt;0,1,0)</f>
        <v>0</v>
      </c>
    </row>
    <row r="435" spans="1:32" ht="45.75" thickBot="1" x14ac:dyDescent="0.3">
      <c r="A435" s="13">
        <v>83</v>
      </c>
      <c r="B435" s="4" t="s">
        <v>991</v>
      </c>
      <c r="C435" s="4" t="s">
        <v>392</v>
      </c>
      <c r="D435" s="7">
        <v>44810</v>
      </c>
      <c r="E435" s="3">
        <v>1700.93</v>
      </c>
      <c r="F435" s="4" t="s">
        <v>46</v>
      </c>
      <c r="G435" s="3">
        <v>8.24</v>
      </c>
      <c r="H435" s="4" t="s">
        <v>118</v>
      </c>
      <c r="I435" s="4" t="s">
        <v>119</v>
      </c>
      <c r="J435" s="4" t="s">
        <v>120</v>
      </c>
      <c r="K435" s="4"/>
      <c r="L435" s="4"/>
      <c r="M435" s="4"/>
      <c r="N435" s="3">
        <v>1645.69</v>
      </c>
      <c r="O435" s="4" t="s">
        <v>34</v>
      </c>
      <c r="P435" s="4" t="s">
        <v>34</v>
      </c>
      <c r="Q435" s="4" t="s">
        <v>35</v>
      </c>
      <c r="R435" s="3">
        <v>161.21700000000001</v>
      </c>
      <c r="S435" s="3">
        <v>64.576499999999996</v>
      </c>
      <c r="T435" s="4" t="s">
        <v>43</v>
      </c>
      <c r="U435" s="2" t="s">
        <v>37</v>
      </c>
      <c r="V435" s="2" t="s">
        <v>37</v>
      </c>
      <c r="W435" s="2" t="s">
        <v>37</v>
      </c>
      <c r="X435" s="2" t="s">
        <v>37</v>
      </c>
      <c r="Y435" s="2" t="s">
        <v>37</v>
      </c>
      <c r="Z435" s="2" t="s">
        <v>37</v>
      </c>
      <c r="AA435" s="6">
        <v>3.230686441</v>
      </c>
      <c r="AB435" s="6">
        <v>2.2074108350000001</v>
      </c>
      <c r="AC435" s="6">
        <v>3.2163480299999998</v>
      </c>
      <c r="AD435" cm="1">
        <f t="array" ref="AD435">IF(SUMPRODUCT(--($AM$2:$AM$112=TRIM(LEFT($B435,IFERROR(FIND(" ",$B435)-1,LEN($B435))))))&gt;0,1,0)</f>
        <v>0</v>
      </c>
      <c r="AE435" cm="1">
        <f t="array" ref="AE435">IF(SUMPRODUCT(--($AO$2:$AO$145=TRIM(LEFT($B435,IFERROR(FIND(" ",$B435)-1,LEN($B435))))))&gt;0,1,0)</f>
        <v>0</v>
      </c>
      <c r="AF435" cm="1">
        <f t="array" ref="AF435">IF(SUMPRODUCT(--($AQ$2:$AQ$71=TRIM(LEFT($B435,IFERROR(FIND(" ",$B435)-1,LEN($B435))))))&gt;0,1,0)</f>
        <v>0</v>
      </c>
    </row>
    <row r="436" spans="1:32" ht="75.75" thickBot="1" x14ac:dyDescent="0.3">
      <c r="A436" s="13">
        <v>53</v>
      </c>
      <c r="B436" s="4" t="s">
        <v>992</v>
      </c>
      <c r="C436" s="4" t="s">
        <v>917</v>
      </c>
      <c r="D436" s="7">
        <v>44851</v>
      </c>
      <c r="E436" s="3">
        <v>3476.26</v>
      </c>
      <c r="F436" s="4" t="s">
        <v>30</v>
      </c>
      <c r="G436" s="3">
        <v>206.54</v>
      </c>
      <c r="H436" s="4" t="s">
        <v>70</v>
      </c>
      <c r="I436" s="4" t="s">
        <v>94</v>
      </c>
      <c r="J436" s="4" t="s">
        <v>95</v>
      </c>
      <c r="K436" s="4"/>
      <c r="L436" s="4"/>
      <c r="M436" s="3">
        <v>40.729999999999997</v>
      </c>
      <c r="N436" s="3">
        <v>3114.23</v>
      </c>
      <c r="O436" s="4" t="s">
        <v>34</v>
      </c>
      <c r="P436" s="4" t="s">
        <v>166</v>
      </c>
      <c r="Q436" s="4" t="s">
        <v>35</v>
      </c>
      <c r="R436" s="3">
        <v>77.126000000000005</v>
      </c>
      <c r="S436" s="3">
        <v>-11.518599999999999</v>
      </c>
      <c r="T436" s="4" t="s">
        <v>104</v>
      </c>
      <c r="U436" s="2" t="s">
        <v>37</v>
      </c>
      <c r="V436" s="2" t="s">
        <v>37</v>
      </c>
      <c r="W436" s="2" t="s">
        <v>38</v>
      </c>
      <c r="X436" s="2" t="s">
        <v>37</v>
      </c>
      <c r="Y436" s="2" t="s">
        <v>37</v>
      </c>
      <c r="Z436" s="2" t="s">
        <v>37</v>
      </c>
      <c r="AA436" s="6">
        <v>3.5411122509999999</v>
      </c>
      <c r="AB436" s="6">
        <v>1.887200808</v>
      </c>
      <c r="AC436" s="6">
        <v>3.4933506840000002</v>
      </c>
      <c r="AD436" cm="1">
        <f t="array" ref="AD436">IF(SUMPRODUCT(--($AM$2:$AM$112=TRIM(LEFT($B436,IFERROR(FIND(" ",$B436)-1,LEN($B436))))))&gt;0,1,0)</f>
        <v>0</v>
      </c>
      <c r="AE436" cm="1">
        <f t="array" ref="AE436">IF(SUMPRODUCT(--($AO$2:$AO$145=TRIM(LEFT($B436,IFERROR(FIND(" ",$B436)-1,LEN($B436))))))&gt;0,1,0)</f>
        <v>0</v>
      </c>
      <c r="AF436" cm="1">
        <f t="array" ref="AF436">IF(SUMPRODUCT(--($AQ$2:$AQ$71=TRIM(LEFT($B436,IFERROR(FIND(" ",$B436)-1,LEN($B436))))))&gt;0,1,0)</f>
        <v>0</v>
      </c>
    </row>
    <row r="437" spans="1:32" ht="75.75" thickBot="1" x14ac:dyDescent="0.3">
      <c r="A437" s="13">
        <v>39</v>
      </c>
      <c r="B437" s="4" t="s">
        <v>993</v>
      </c>
      <c r="C437" s="4" t="s">
        <v>504</v>
      </c>
      <c r="D437" s="7">
        <v>44866</v>
      </c>
      <c r="E437" s="3">
        <v>16270.94</v>
      </c>
      <c r="F437" s="4" t="s">
        <v>30</v>
      </c>
      <c r="G437" s="3">
        <v>56.52</v>
      </c>
      <c r="H437" s="4" t="s">
        <v>41</v>
      </c>
      <c r="I437" s="4" t="s">
        <v>41</v>
      </c>
      <c r="J437" s="4" t="s">
        <v>60</v>
      </c>
      <c r="K437" s="4"/>
      <c r="L437" s="4"/>
      <c r="M437" s="3">
        <v>47.79</v>
      </c>
      <c r="N437" s="3">
        <v>17275.14</v>
      </c>
      <c r="O437" s="4" t="s">
        <v>34</v>
      </c>
      <c r="P437" s="4" t="s">
        <v>34</v>
      </c>
      <c r="Q437" s="4" t="s">
        <v>35</v>
      </c>
      <c r="R437" s="3">
        <v>1031.75</v>
      </c>
      <c r="S437" s="3">
        <v>23.611799999999999</v>
      </c>
      <c r="T437" s="4" t="s">
        <v>338</v>
      </c>
      <c r="U437" s="2" t="s">
        <v>37</v>
      </c>
      <c r="V437" s="2" t="s">
        <v>37</v>
      </c>
      <c r="W437" s="2" t="s">
        <v>37</v>
      </c>
      <c r="X437" s="2" t="s">
        <v>37</v>
      </c>
      <c r="Y437" s="2" t="s">
        <v>37</v>
      </c>
      <c r="Z437" s="2" t="s">
        <v>38</v>
      </c>
      <c r="AA437" s="6">
        <v>4.2114126440000001</v>
      </c>
      <c r="AB437" s="6">
        <v>3.0135744779999998</v>
      </c>
      <c r="AC437" s="6">
        <v>4.237421576</v>
      </c>
      <c r="AD437" cm="1">
        <f t="array" ref="AD437">IF(SUMPRODUCT(--($AM$2:$AM$112=TRIM(LEFT($B437,IFERROR(FIND(" ",$B437)-1,LEN($B437))))))&gt;0,1,0)</f>
        <v>0</v>
      </c>
      <c r="AE437" cm="1">
        <f t="array" ref="AE437">IF(SUMPRODUCT(--($AO$2:$AO$145=TRIM(LEFT($B437,IFERROR(FIND(" ",$B437)-1,LEN($B437))))))&gt;0,1,0)</f>
        <v>0</v>
      </c>
      <c r="AF437" cm="1">
        <f t="array" ref="AF437">IF(SUMPRODUCT(--($AQ$2:$AQ$71=TRIM(LEFT($B437,IFERROR(FIND(" ",$B437)-1,LEN($B437))))))&gt;0,1,0)</f>
        <v>0</v>
      </c>
    </row>
    <row r="438" spans="1:32" ht="165.75" thickBot="1" x14ac:dyDescent="0.3">
      <c r="A438" s="13">
        <v>58</v>
      </c>
      <c r="B438" s="4" t="s">
        <v>994</v>
      </c>
      <c r="C438" s="4" t="s">
        <v>637</v>
      </c>
      <c r="D438" s="7">
        <v>44832</v>
      </c>
      <c r="E438" s="3">
        <v>1413.24</v>
      </c>
      <c r="F438" s="4" t="s">
        <v>30</v>
      </c>
      <c r="G438" s="4"/>
      <c r="H438" s="4" t="s">
        <v>31</v>
      </c>
      <c r="I438" s="4" t="s">
        <v>32</v>
      </c>
      <c r="J438" s="4" t="s">
        <v>33</v>
      </c>
      <c r="K438" s="3">
        <v>100.491</v>
      </c>
      <c r="L438" s="3">
        <v>50.2455</v>
      </c>
      <c r="M438" s="3">
        <v>47.18</v>
      </c>
      <c r="N438" s="3">
        <v>1525.31</v>
      </c>
      <c r="O438" s="4" t="s">
        <v>34</v>
      </c>
      <c r="P438" s="4" t="s">
        <v>638</v>
      </c>
      <c r="Q438" s="4" t="s">
        <v>35</v>
      </c>
      <c r="R438" s="3">
        <v>166.405</v>
      </c>
      <c r="S438" s="3">
        <v>-44.691800000000001</v>
      </c>
      <c r="T438" s="4" t="s">
        <v>995</v>
      </c>
      <c r="U438" s="2" t="s">
        <v>37</v>
      </c>
      <c r="V438" s="2" t="s">
        <v>37</v>
      </c>
      <c r="W438" s="2" t="s">
        <v>38</v>
      </c>
      <c r="X438" s="2" t="s">
        <v>38</v>
      </c>
      <c r="Y438" s="2" t="s">
        <v>38</v>
      </c>
      <c r="Z438" s="2" t="s">
        <v>37</v>
      </c>
      <c r="AA438" s="6">
        <v>3.150215921</v>
      </c>
      <c r="AB438" s="6">
        <v>2.2211663709999998</v>
      </c>
      <c r="AC438" s="6">
        <v>3.1833581180000001</v>
      </c>
      <c r="AD438" cm="1">
        <f t="array" ref="AD438">IF(SUMPRODUCT(--($AM$2:$AM$112=TRIM(LEFT($B438,IFERROR(FIND(" ",$B438)-1,LEN($B438))))))&gt;0,1,0)</f>
        <v>0</v>
      </c>
      <c r="AE438" cm="1">
        <f t="array" ref="AE438">IF(SUMPRODUCT(--($AO$2:$AO$145=TRIM(LEFT($B438,IFERROR(FIND(" ",$B438)-1,LEN($B438))))))&gt;0,1,0)</f>
        <v>0</v>
      </c>
      <c r="AF438" cm="1">
        <f t="array" ref="AF438">IF(SUMPRODUCT(--($AQ$2:$AQ$71=TRIM(LEFT($B438,IFERROR(FIND(" ",$B438)-1,LEN($B438))))))&gt;0,1,0)</f>
        <v>0</v>
      </c>
    </row>
    <row r="439" spans="1:32" ht="45.75" thickBot="1" x14ac:dyDescent="0.3">
      <c r="A439" s="13">
        <v>150</v>
      </c>
      <c r="B439" s="4" t="s">
        <v>996</v>
      </c>
      <c r="C439" s="4" t="s">
        <v>997</v>
      </c>
      <c r="D439" s="7">
        <v>44692</v>
      </c>
      <c r="E439" s="3">
        <v>6930.25</v>
      </c>
      <c r="F439" s="4" t="s">
        <v>30</v>
      </c>
      <c r="G439" s="3">
        <v>26.92</v>
      </c>
      <c r="H439" s="4" t="s">
        <v>184</v>
      </c>
      <c r="I439" s="4" t="s">
        <v>251</v>
      </c>
      <c r="J439" s="4" t="s">
        <v>251</v>
      </c>
      <c r="K439" s="4"/>
      <c r="L439" s="4"/>
      <c r="M439" s="3">
        <v>11.56</v>
      </c>
      <c r="N439" s="3">
        <v>5150.79</v>
      </c>
      <c r="O439" s="4" t="s">
        <v>34</v>
      </c>
      <c r="P439" s="4" t="s">
        <v>34</v>
      </c>
      <c r="Q439" s="4" t="s">
        <v>35</v>
      </c>
      <c r="R439" s="3">
        <v>592.04499999999996</v>
      </c>
      <c r="S439" s="3">
        <v>6.7496099999999997</v>
      </c>
      <c r="T439" s="4" t="s">
        <v>43</v>
      </c>
      <c r="U439" s="2" t="s">
        <v>37</v>
      </c>
      <c r="V439" s="2" t="s">
        <v>37</v>
      </c>
      <c r="W439" s="2" t="s">
        <v>37</v>
      </c>
      <c r="X439" s="2" t="s">
        <v>37</v>
      </c>
      <c r="Y439" s="2" t="s">
        <v>37</v>
      </c>
      <c r="Z439" s="2" t="s">
        <v>37</v>
      </c>
      <c r="AA439" s="6">
        <v>3.8407489020000001</v>
      </c>
      <c r="AB439" s="6">
        <v>2.7723547179999999</v>
      </c>
      <c r="AC439" s="6">
        <v>3.7118738439999999</v>
      </c>
      <c r="AD439" cm="1">
        <f t="array" ref="AD439">IF(SUMPRODUCT(--($AM$2:$AM$112=TRIM(LEFT($B439,IFERROR(FIND(" ",$B439)-1,LEN($B439))))))&gt;0,1,0)</f>
        <v>0</v>
      </c>
      <c r="AE439" cm="1">
        <f t="array" ref="AE439">IF(SUMPRODUCT(--($AO$2:$AO$145=TRIM(LEFT($B439,IFERROR(FIND(" ",$B439)-1,LEN($B439))))))&gt;0,1,0)</f>
        <v>0</v>
      </c>
      <c r="AF439" cm="1">
        <f t="array" ref="AF439">IF(SUMPRODUCT(--($AQ$2:$AQ$71=TRIM(LEFT($B439,IFERROR(FIND(" ",$B439)-1,LEN($B439))))))&gt;0,1,0)</f>
        <v>1</v>
      </c>
    </row>
    <row r="440" spans="1:32" ht="45.75" thickBot="1" x14ac:dyDescent="0.3">
      <c r="A440" s="13">
        <v>419</v>
      </c>
      <c r="B440" s="4" t="s">
        <v>998</v>
      </c>
      <c r="C440" s="4" t="s">
        <v>999</v>
      </c>
      <c r="D440" s="7">
        <v>44312</v>
      </c>
      <c r="E440" s="3">
        <v>2626.15</v>
      </c>
      <c r="F440" s="4" t="s">
        <v>46</v>
      </c>
      <c r="G440" s="4"/>
      <c r="H440" s="4" t="s">
        <v>65</v>
      </c>
      <c r="I440" s="4" t="s">
        <v>66</v>
      </c>
      <c r="J440" s="4" t="s">
        <v>66</v>
      </c>
      <c r="K440" s="4"/>
      <c r="L440" s="4"/>
      <c r="M440" s="3">
        <v>11.67</v>
      </c>
      <c r="N440" s="3">
        <v>2626.15</v>
      </c>
      <c r="O440" s="4" t="s">
        <v>34</v>
      </c>
      <c r="P440" s="4" t="s">
        <v>34</v>
      </c>
      <c r="Q440" s="4" t="s">
        <v>35</v>
      </c>
      <c r="R440" s="3">
        <v>1854</v>
      </c>
      <c r="S440" s="3">
        <v>25.293299999999999</v>
      </c>
      <c r="T440" s="4" t="s">
        <v>43</v>
      </c>
      <c r="U440" s="2" t="s">
        <v>37</v>
      </c>
      <c r="V440" s="2" t="s">
        <v>37</v>
      </c>
      <c r="W440" s="2" t="s">
        <v>37</v>
      </c>
      <c r="X440" s="2" t="s">
        <v>37</v>
      </c>
      <c r="Y440" s="2" t="s">
        <v>37</v>
      </c>
      <c r="Z440" s="2" t="s">
        <v>37</v>
      </c>
      <c r="AA440" s="6">
        <v>3.4193195279999999</v>
      </c>
      <c r="AB440" s="6">
        <v>3.2681097299999999</v>
      </c>
      <c r="AC440" s="6">
        <v>3.4193195279999999</v>
      </c>
      <c r="AD440" cm="1">
        <f t="array" ref="AD440">IF(SUMPRODUCT(--($AM$2:$AM$112=TRIM(LEFT($B440,IFERROR(FIND(" ",$B440)-1,LEN($B440))))))&gt;0,1,0)</f>
        <v>0</v>
      </c>
      <c r="AE440" cm="1">
        <f t="array" ref="AE440">IF(SUMPRODUCT(--($AO$2:$AO$145=TRIM(LEFT($B440,IFERROR(FIND(" ",$B440)-1,LEN($B440))))))&gt;0,1,0)</f>
        <v>0</v>
      </c>
      <c r="AF440" cm="1">
        <f t="array" ref="AF440">IF(SUMPRODUCT(--($AQ$2:$AQ$71=TRIM(LEFT($B440,IFERROR(FIND(" ",$B440)-1,LEN($B440))))))&gt;0,1,0)</f>
        <v>0</v>
      </c>
    </row>
    <row r="441" spans="1:32" ht="165.75" thickBot="1" x14ac:dyDescent="0.3">
      <c r="A441" s="13">
        <v>91</v>
      </c>
      <c r="B441" s="4" t="s">
        <v>1000</v>
      </c>
      <c r="C441" s="4" t="s">
        <v>1001</v>
      </c>
      <c r="D441" s="7">
        <v>44770</v>
      </c>
      <c r="E441" s="3">
        <v>1096.9100000000001</v>
      </c>
      <c r="F441" s="4" t="s">
        <v>107</v>
      </c>
      <c r="G441" s="3">
        <v>6.88</v>
      </c>
      <c r="H441" s="4" t="s">
        <v>118</v>
      </c>
      <c r="I441" s="4" t="s">
        <v>119</v>
      </c>
      <c r="J441" s="4" t="s">
        <v>120</v>
      </c>
      <c r="K441" s="4"/>
      <c r="L441" s="4"/>
      <c r="M441" s="3">
        <v>4.2699999999999996</v>
      </c>
      <c r="N441" s="3">
        <v>552.28</v>
      </c>
      <c r="O441" s="4" t="s">
        <v>34</v>
      </c>
      <c r="P441" s="4" t="s">
        <v>34</v>
      </c>
      <c r="Q441" s="4" t="s">
        <v>35</v>
      </c>
      <c r="R441" s="3">
        <v>355.53500000000003</v>
      </c>
      <c r="S441" s="3">
        <v>53.350099999999998</v>
      </c>
      <c r="T441" s="4" t="s">
        <v>1002</v>
      </c>
      <c r="U441" s="2" t="s">
        <v>38</v>
      </c>
      <c r="V441" s="2" t="s">
        <v>37</v>
      </c>
      <c r="W441" s="2" t="s">
        <v>37</v>
      </c>
      <c r="X441" s="2" t="s">
        <v>37</v>
      </c>
      <c r="Y441" s="2" t="s">
        <v>37</v>
      </c>
      <c r="Z441" s="2" t="s">
        <v>37</v>
      </c>
      <c r="AA441" s="6">
        <v>3.0401709960000001</v>
      </c>
      <c r="AB441" s="6">
        <v>2.5508823610000002</v>
      </c>
      <c r="AC441" s="6">
        <v>2.742159316</v>
      </c>
      <c r="AD441" cm="1">
        <f t="array" ref="AD441">IF(SUMPRODUCT(--($AM$2:$AM$112=TRIM(LEFT($B441,IFERROR(FIND(" ",$B441)-1,LEN($B441))))))&gt;0,1,0)</f>
        <v>0</v>
      </c>
      <c r="AE441" cm="1">
        <f t="array" ref="AE441">IF(SUMPRODUCT(--($AO$2:$AO$145=TRIM(LEFT($B441,IFERROR(FIND(" ",$B441)-1,LEN($B441))))))&gt;0,1,0)</f>
        <v>0</v>
      </c>
      <c r="AF441" cm="1">
        <f t="array" ref="AF441">IF(SUMPRODUCT(--($AQ$2:$AQ$71=TRIM(LEFT($B441,IFERROR(FIND(" ",$B441)-1,LEN($B441))))))&gt;0,1,0)</f>
        <v>0</v>
      </c>
    </row>
    <row r="442" spans="1:32" ht="180.75" thickBot="1" x14ac:dyDescent="0.3">
      <c r="A442" s="13">
        <v>28</v>
      </c>
      <c r="B442" s="4" t="s">
        <v>1003</v>
      </c>
      <c r="C442" s="2"/>
      <c r="D442" s="7">
        <v>44851</v>
      </c>
      <c r="E442" s="3">
        <v>4583.83</v>
      </c>
      <c r="F442" s="4" t="s">
        <v>30</v>
      </c>
      <c r="G442" s="3">
        <v>3.93</v>
      </c>
      <c r="H442" s="4" t="s">
        <v>118</v>
      </c>
      <c r="I442" s="4" t="s">
        <v>119</v>
      </c>
      <c r="J442" s="4" t="s">
        <v>120</v>
      </c>
      <c r="K442" s="4"/>
      <c r="L442" s="4"/>
      <c r="M442" s="3">
        <v>9.18</v>
      </c>
      <c r="N442" s="3">
        <v>4583.83</v>
      </c>
      <c r="O442" s="4" t="s">
        <v>34</v>
      </c>
      <c r="P442" s="4" t="s">
        <v>34</v>
      </c>
      <c r="Q442" s="4" t="s">
        <v>493</v>
      </c>
      <c r="R442" s="3">
        <v>7693.57</v>
      </c>
      <c r="S442" s="3">
        <v>27.621500000000001</v>
      </c>
      <c r="T442" s="4" t="s">
        <v>1004</v>
      </c>
      <c r="U442" s="2" t="s">
        <v>38</v>
      </c>
      <c r="V442" s="2" t="s">
        <v>37</v>
      </c>
      <c r="W442" s="2" t="s">
        <v>37</v>
      </c>
      <c r="X442" s="2" t="s">
        <v>38</v>
      </c>
      <c r="Y442" s="2" t="s">
        <v>37</v>
      </c>
      <c r="Z442" s="2" t="s">
        <v>38</v>
      </c>
      <c r="AA442" s="6">
        <v>3.6612285029999998</v>
      </c>
      <c r="AB442" s="6">
        <v>3.8861279099999999</v>
      </c>
      <c r="AC442" s="6">
        <v>3.6612285029999998</v>
      </c>
      <c r="AD442" cm="1">
        <f t="array" ref="AD442">IF(SUMPRODUCT(--($AM$2:$AM$112=TRIM(LEFT($B442,IFERROR(FIND(" ",$B442)-1,LEN($B442))))))&gt;0,1,0)</f>
        <v>0</v>
      </c>
      <c r="AE442" cm="1">
        <f t="array" ref="AE442">IF(SUMPRODUCT(--($AO$2:$AO$145=TRIM(LEFT($B442,IFERROR(FIND(" ",$B442)-1,LEN($B442))))))&gt;0,1,0)</f>
        <v>0</v>
      </c>
      <c r="AF442" cm="1">
        <f t="array" ref="AF442">IF(SUMPRODUCT(--($AQ$2:$AQ$71=TRIM(LEFT($B442,IFERROR(FIND(" ",$B442)-1,LEN($B442))))))&gt;0,1,0)</f>
        <v>0</v>
      </c>
    </row>
    <row r="443" spans="1:32" ht="165.75" thickBot="1" x14ac:dyDescent="0.3">
      <c r="A443" s="13">
        <v>108</v>
      </c>
      <c r="B443" s="4" t="s">
        <v>1005</v>
      </c>
      <c r="C443" s="2"/>
      <c r="D443" s="7">
        <v>44736</v>
      </c>
      <c r="E443" s="3">
        <v>9271.36</v>
      </c>
      <c r="F443" s="4" t="s">
        <v>30</v>
      </c>
      <c r="G443" s="4"/>
      <c r="H443" s="4" t="s">
        <v>31</v>
      </c>
      <c r="I443" s="4" t="s">
        <v>32</v>
      </c>
      <c r="J443" s="4" t="s">
        <v>33</v>
      </c>
      <c r="K443" s="4"/>
      <c r="L443" s="4"/>
      <c r="M443" s="4"/>
      <c r="N443" s="3">
        <v>9497.11</v>
      </c>
      <c r="O443" s="4" t="s">
        <v>34</v>
      </c>
      <c r="P443" s="4" t="s">
        <v>534</v>
      </c>
      <c r="Q443" s="4" t="s">
        <v>35</v>
      </c>
      <c r="R443" s="3">
        <v>1338.6</v>
      </c>
      <c r="S443" s="3">
        <v>-16.162299999999998</v>
      </c>
      <c r="T443" s="4" t="s">
        <v>726</v>
      </c>
      <c r="U443" s="2" t="s">
        <v>37</v>
      </c>
      <c r="V443" s="2" t="s">
        <v>37</v>
      </c>
      <c r="W443" s="2" t="s">
        <v>38</v>
      </c>
      <c r="X443" s="2" t="s">
        <v>38</v>
      </c>
      <c r="Y443" s="2" t="s">
        <v>38</v>
      </c>
      <c r="Z443" s="2" t="s">
        <v>37</v>
      </c>
      <c r="AA443" s="6">
        <v>3.967143445</v>
      </c>
      <c r="AB443" s="6">
        <v>3.1266508210000001</v>
      </c>
      <c r="AC443" s="6">
        <v>3.977591468</v>
      </c>
      <c r="AD443" cm="1">
        <f t="array" ref="AD443">IF(SUMPRODUCT(--($AM$2:$AM$112=TRIM(LEFT($B443,IFERROR(FIND(" ",$B443)-1,LEN($B443))))))&gt;0,1,0)</f>
        <v>1</v>
      </c>
      <c r="AE443" cm="1">
        <f t="array" ref="AE443">IF(SUMPRODUCT(--($AO$2:$AO$145=TRIM(LEFT($B443,IFERROR(FIND(" ",$B443)-1,LEN($B443))))))&gt;0,1,0)</f>
        <v>1</v>
      </c>
      <c r="AF443" cm="1">
        <f t="array" ref="AF443">IF(SUMPRODUCT(--($AQ$2:$AQ$71=TRIM(LEFT($B443,IFERROR(FIND(" ",$B443)-1,LEN($B443))))))&gt;0,1,0)</f>
        <v>1</v>
      </c>
    </row>
    <row r="444" spans="1:32" ht="75.75" thickBot="1" x14ac:dyDescent="0.3">
      <c r="A444" s="13">
        <v>67</v>
      </c>
      <c r="B444" s="4" t="s">
        <v>1006</v>
      </c>
      <c r="C444" s="4" t="s">
        <v>1007</v>
      </c>
      <c r="D444" s="7">
        <v>44795</v>
      </c>
      <c r="E444" s="3">
        <v>905.66</v>
      </c>
      <c r="F444" s="4" t="s">
        <v>30</v>
      </c>
      <c r="G444" s="4"/>
      <c r="H444" s="4" t="s">
        <v>41</v>
      </c>
      <c r="I444" s="4" t="s">
        <v>41</v>
      </c>
      <c r="J444" s="4" t="s">
        <v>42</v>
      </c>
      <c r="K444" s="4"/>
      <c r="L444" s="4"/>
      <c r="M444" s="3">
        <v>63.5</v>
      </c>
      <c r="N444" s="3">
        <v>752.74</v>
      </c>
      <c r="O444" s="4" t="s">
        <v>34</v>
      </c>
      <c r="P444" s="4" t="s">
        <v>869</v>
      </c>
      <c r="Q444" s="4" t="s">
        <v>35</v>
      </c>
      <c r="R444" s="3">
        <v>194.13399999999999</v>
      </c>
      <c r="S444" s="3">
        <v>-12.4857</v>
      </c>
      <c r="T444" s="4" t="s">
        <v>104</v>
      </c>
      <c r="U444" s="2" t="s">
        <v>37</v>
      </c>
      <c r="V444" s="2" t="s">
        <v>37</v>
      </c>
      <c r="W444" s="2" t="s">
        <v>38</v>
      </c>
      <c r="X444" s="2" t="s">
        <v>37</v>
      </c>
      <c r="Y444" s="2" t="s">
        <v>37</v>
      </c>
      <c r="Z444" s="2" t="s">
        <v>37</v>
      </c>
      <c r="AA444" s="6">
        <v>2.9569651870000002</v>
      </c>
      <c r="AB444" s="6">
        <v>2.2881016029999999</v>
      </c>
      <c r="AC444" s="6">
        <v>2.8766449949999999</v>
      </c>
      <c r="AD444" cm="1">
        <f t="array" ref="AD444">IF(SUMPRODUCT(--($AM$2:$AM$112=TRIM(LEFT($B444,IFERROR(FIND(" ",$B444)-1,LEN($B444))))))&gt;0,1,0)</f>
        <v>0</v>
      </c>
      <c r="AE444" cm="1">
        <f t="array" ref="AE444">IF(SUMPRODUCT(--($AO$2:$AO$145=TRIM(LEFT($B444,IFERROR(FIND(" ",$B444)-1,LEN($B444))))))&gt;0,1,0)</f>
        <v>0</v>
      </c>
      <c r="AF444" cm="1">
        <f t="array" ref="AF444">IF(SUMPRODUCT(--($AQ$2:$AQ$71=TRIM(LEFT($B444,IFERROR(FIND(" ",$B444)-1,LEN($B444))))))&gt;0,1,0)</f>
        <v>0</v>
      </c>
    </row>
    <row r="445" spans="1:32" ht="135.75" thickBot="1" x14ac:dyDescent="0.3">
      <c r="A445" s="13">
        <v>192</v>
      </c>
      <c r="B445" s="4" t="s">
        <v>1008</v>
      </c>
      <c r="C445" s="4" t="s">
        <v>384</v>
      </c>
      <c r="D445" s="7">
        <v>44615</v>
      </c>
      <c r="E445" s="3">
        <v>6181.26</v>
      </c>
      <c r="F445" s="4" t="s">
        <v>30</v>
      </c>
      <c r="G445" s="3">
        <v>5.51</v>
      </c>
      <c r="H445" s="4" t="s">
        <v>75</v>
      </c>
      <c r="I445" s="4" t="s">
        <v>76</v>
      </c>
      <c r="J445" s="4" t="s">
        <v>298</v>
      </c>
      <c r="K445" s="4"/>
      <c r="L445" s="4"/>
      <c r="M445" s="3">
        <v>94</v>
      </c>
      <c r="N445" s="3">
        <v>1642.26</v>
      </c>
      <c r="O445" s="4" t="s">
        <v>34</v>
      </c>
      <c r="P445" s="4" t="s">
        <v>34</v>
      </c>
      <c r="Q445" s="4" t="s">
        <v>35</v>
      </c>
      <c r="R445" s="3">
        <v>18035</v>
      </c>
      <c r="S445" s="3">
        <v>1.1001399999999999</v>
      </c>
      <c r="T445" s="4" t="s">
        <v>225</v>
      </c>
      <c r="U445" s="2" t="s">
        <v>37</v>
      </c>
      <c r="V445" s="2" t="s">
        <v>37</v>
      </c>
      <c r="W445" s="2" t="s">
        <v>37</v>
      </c>
      <c r="X445" s="2" t="s">
        <v>38</v>
      </c>
      <c r="Y445" s="2" t="s">
        <v>38</v>
      </c>
      <c r="Z445" s="2" t="s">
        <v>37</v>
      </c>
      <c r="AA445" s="6">
        <v>3.7910770120000001</v>
      </c>
      <c r="AB445" s="6">
        <v>4.2561161470000002</v>
      </c>
      <c r="AC445" s="6">
        <v>3.215441915</v>
      </c>
      <c r="AD445" cm="1">
        <f t="array" ref="AD445">IF(SUMPRODUCT(--($AM$2:$AM$112=TRIM(LEFT($B445,IFERROR(FIND(" ",$B445)-1,LEN($B445))))))&gt;0,1,0)</f>
        <v>0</v>
      </c>
      <c r="AE445" cm="1">
        <f t="array" ref="AE445">IF(SUMPRODUCT(--($AO$2:$AO$145=TRIM(LEFT($B445,IFERROR(FIND(" ",$B445)-1,LEN($B445))))))&gt;0,1,0)</f>
        <v>0</v>
      </c>
      <c r="AF445" cm="1">
        <f t="array" ref="AF445">IF(SUMPRODUCT(--($AQ$2:$AQ$71=TRIM(LEFT($B445,IFERROR(FIND(" ",$B445)-1,LEN($B445))))))&gt;0,1,0)</f>
        <v>0</v>
      </c>
    </row>
    <row r="446" spans="1:32" ht="135.75" thickBot="1" x14ac:dyDescent="0.3">
      <c r="A446" s="13">
        <v>62</v>
      </c>
      <c r="B446" s="4" t="s">
        <v>1009</v>
      </c>
      <c r="C446" s="2"/>
      <c r="D446" s="7">
        <v>44795</v>
      </c>
      <c r="E446" s="3">
        <v>1579.34</v>
      </c>
      <c r="F446" s="4" t="s">
        <v>30</v>
      </c>
      <c r="G446" s="3">
        <v>14.73</v>
      </c>
      <c r="H446" s="4" t="s">
        <v>31</v>
      </c>
      <c r="I446" s="4" t="s">
        <v>32</v>
      </c>
      <c r="J446" s="4" t="s">
        <v>270</v>
      </c>
      <c r="K446" s="4"/>
      <c r="L446" s="4"/>
      <c r="M446" s="3">
        <v>53.46</v>
      </c>
      <c r="N446" s="3">
        <v>1650.87</v>
      </c>
      <c r="O446" s="4" t="s">
        <v>34</v>
      </c>
      <c r="P446" s="4" t="s">
        <v>34</v>
      </c>
      <c r="Q446" s="4" t="s">
        <v>35</v>
      </c>
      <c r="R446" s="3">
        <v>316.64800000000002</v>
      </c>
      <c r="S446" s="3">
        <v>23.653700000000001</v>
      </c>
      <c r="T446" s="4" t="s">
        <v>318</v>
      </c>
      <c r="U446" s="2" t="s">
        <v>37</v>
      </c>
      <c r="V446" s="2" t="s">
        <v>37</v>
      </c>
      <c r="W446" s="2" t="s">
        <v>37</v>
      </c>
      <c r="X446" s="2" t="s">
        <v>38</v>
      </c>
      <c r="Y446" s="2" t="s">
        <v>38</v>
      </c>
      <c r="Z446" s="2" t="s">
        <v>37</v>
      </c>
      <c r="AA446" s="6">
        <v>3.1984756349999999</v>
      </c>
      <c r="AB446" s="6">
        <v>2.5005767489999999</v>
      </c>
      <c r="AC446" s="6">
        <v>3.2177128760000002</v>
      </c>
      <c r="AD446" cm="1">
        <f t="array" ref="AD446">IF(SUMPRODUCT(--($AM$2:$AM$112=TRIM(LEFT($B446,IFERROR(FIND(" ",$B446)-1,LEN($B446))))))&gt;0,1,0)</f>
        <v>0</v>
      </c>
      <c r="AE446" cm="1">
        <f t="array" ref="AE446">IF(SUMPRODUCT(--($AO$2:$AO$145=TRIM(LEFT($B446,IFERROR(FIND(" ",$B446)-1,LEN($B446))))))&gt;0,1,0)</f>
        <v>0</v>
      </c>
      <c r="AF446" cm="1">
        <f t="array" ref="AF446">IF(SUMPRODUCT(--($AQ$2:$AQ$71=TRIM(LEFT($B446,IFERROR(FIND(" ",$B446)-1,LEN($B446))))))&gt;0,1,0)</f>
        <v>0</v>
      </c>
    </row>
    <row r="447" spans="1:32" ht="75.75" thickBot="1" x14ac:dyDescent="0.3">
      <c r="A447" s="13">
        <v>51</v>
      </c>
      <c r="B447" s="4" t="s">
        <v>1010</v>
      </c>
      <c r="C447" s="4" t="s">
        <v>1011</v>
      </c>
      <c r="D447" s="7">
        <v>44810</v>
      </c>
      <c r="E447" s="3">
        <v>587.79999999999995</v>
      </c>
      <c r="F447" s="4" t="s">
        <v>30</v>
      </c>
      <c r="G447" s="3">
        <v>26.85</v>
      </c>
      <c r="H447" s="4" t="s">
        <v>31</v>
      </c>
      <c r="I447" s="4" t="s">
        <v>32</v>
      </c>
      <c r="J447" s="4" t="s">
        <v>33</v>
      </c>
      <c r="K447" s="4"/>
      <c r="L447" s="4"/>
      <c r="M447" s="3">
        <v>50.32</v>
      </c>
      <c r="N447" s="3">
        <v>666.98</v>
      </c>
      <c r="O447" s="4" t="s">
        <v>34</v>
      </c>
      <c r="P447" s="4" t="s">
        <v>34</v>
      </c>
      <c r="Q447" s="4" t="s">
        <v>35</v>
      </c>
      <c r="R447" s="3">
        <v>167.72900000000001</v>
      </c>
      <c r="S447" s="3">
        <v>8.0357900000000004</v>
      </c>
      <c r="T447" s="4" t="s">
        <v>113</v>
      </c>
      <c r="U447" s="2" t="s">
        <v>37</v>
      </c>
      <c r="V447" s="2" t="s">
        <v>37</v>
      </c>
      <c r="W447" s="2" t="s">
        <v>37</v>
      </c>
      <c r="X447" s="2" t="s">
        <v>38</v>
      </c>
      <c r="Y447" s="2" t="s">
        <v>37</v>
      </c>
      <c r="Z447" s="2" t="s">
        <v>37</v>
      </c>
      <c r="AA447" s="6">
        <v>2.7692295819999999</v>
      </c>
      <c r="AB447" s="6">
        <v>2.2246081580000001</v>
      </c>
      <c r="AC447" s="6">
        <v>2.824112811</v>
      </c>
      <c r="AD447" cm="1">
        <f t="array" ref="AD447">IF(SUMPRODUCT(--($AM$2:$AM$112=TRIM(LEFT($B447,IFERROR(FIND(" ",$B447)-1,LEN($B447))))))&gt;0,1,0)</f>
        <v>0</v>
      </c>
      <c r="AE447" cm="1">
        <f t="array" ref="AE447">IF(SUMPRODUCT(--($AO$2:$AO$145=TRIM(LEFT($B447,IFERROR(FIND(" ",$B447)-1,LEN($B447))))))&gt;0,1,0)</f>
        <v>0</v>
      </c>
      <c r="AF447" cm="1">
        <f t="array" ref="AF447">IF(SUMPRODUCT(--($AQ$2:$AQ$71=TRIM(LEFT($B447,IFERROR(FIND(" ",$B447)-1,LEN($B447))))))&gt;0,1,0)</f>
        <v>0</v>
      </c>
    </row>
    <row r="448" spans="1:32" ht="75.75" thickBot="1" x14ac:dyDescent="0.3">
      <c r="A448" s="13">
        <v>45</v>
      </c>
      <c r="B448" s="4" t="s">
        <v>1012</v>
      </c>
      <c r="C448" s="4" t="s">
        <v>641</v>
      </c>
      <c r="D448" s="7">
        <v>44805</v>
      </c>
      <c r="E448" s="3">
        <v>1692.29</v>
      </c>
      <c r="F448" s="4" t="s">
        <v>30</v>
      </c>
      <c r="G448" s="3">
        <v>12.41</v>
      </c>
      <c r="H448" s="4" t="s">
        <v>75</v>
      </c>
      <c r="I448" s="4" t="s">
        <v>111</v>
      </c>
      <c r="J448" s="4" t="s">
        <v>133</v>
      </c>
      <c r="K448" s="4"/>
      <c r="L448" s="4"/>
      <c r="M448" s="3">
        <v>10.039999999999999</v>
      </c>
      <c r="N448" s="3">
        <v>933.26</v>
      </c>
      <c r="O448" s="4" t="s">
        <v>49</v>
      </c>
      <c r="P448" s="4" t="s">
        <v>49</v>
      </c>
      <c r="Q448" s="4" t="s">
        <v>35</v>
      </c>
      <c r="R448" s="3">
        <v>805.15300000000002</v>
      </c>
      <c r="S448" s="3">
        <v>6.9497299999999997</v>
      </c>
      <c r="T448" s="4" t="s">
        <v>113</v>
      </c>
      <c r="U448" s="2" t="s">
        <v>37</v>
      </c>
      <c r="V448" s="2" t="s">
        <v>37</v>
      </c>
      <c r="W448" s="2" t="s">
        <v>37</v>
      </c>
      <c r="X448" s="2" t="s">
        <v>38</v>
      </c>
      <c r="Y448" s="2" t="s">
        <v>37</v>
      </c>
      <c r="Z448" s="2" t="s">
        <v>37</v>
      </c>
      <c r="AA448" s="6">
        <v>3.2284747880000002</v>
      </c>
      <c r="AB448" s="6">
        <v>2.9058784150000001</v>
      </c>
      <c r="AC448" s="6">
        <v>2.9700026519999998</v>
      </c>
      <c r="AD448" cm="1">
        <f t="array" ref="AD448">IF(SUMPRODUCT(--($AM$2:$AM$112=TRIM(LEFT($B448,IFERROR(FIND(" ",$B448)-1,LEN($B448))))))&gt;0,1,0)</f>
        <v>0</v>
      </c>
      <c r="AE448" cm="1">
        <f t="array" ref="AE448">IF(SUMPRODUCT(--($AO$2:$AO$145=TRIM(LEFT($B448,IFERROR(FIND(" ",$B448)-1,LEN($B448))))))&gt;0,1,0)</f>
        <v>0</v>
      </c>
      <c r="AF448" cm="1">
        <f t="array" ref="AF448">IF(SUMPRODUCT(--($AQ$2:$AQ$71=TRIM(LEFT($B448,IFERROR(FIND(" ",$B448)-1,LEN($B448))))))&gt;0,1,0)</f>
        <v>0</v>
      </c>
    </row>
    <row r="449" spans="1:32" ht="135.75" thickBot="1" x14ac:dyDescent="0.3">
      <c r="A449" s="13">
        <v>135</v>
      </c>
      <c r="B449" s="4" t="s">
        <v>1013</v>
      </c>
      <c r="C449" s="2"/>
      <c r="D449" s="7">
        <v>44676</v>
      </c>
      <c r="E449" s="3">
        <v>36760.26</v>
      </c>
      <c r="F449" s="4" t="s">
        <v>30</v>
      </c>
      <c r="G449" s="4"/>
      <c r="H449" s="4" t="s">
        <v>184</v>
      </c>
      <c r="I449" s="4" t="s">
        <v>185</v>
      </c>
      <c r="J449" s="4" t="s">
        <v>762</v>
      </c>
      <c r="K449" s="3">
        <v>1000</v>
      </c>
      <c r="L449" s="3">
        <v>1000</v>
      </c>
      <c r="M449" s="3">
        <v>20.29</v>
      </c>
      <c r="N449" s="3">
        <v>37607.370000000003</v>
      </c>
      <c r="O449" s="4" t="s">
        <v>34</v>
      </c>
      <c r="P449" s="4" t="s">
        <v>34</v>
      </c>
      <c r="Q449" s="4" t="s">
        <v>399</v>
      </c>
      <c r="R449" s="3">
        <v>5077.4799999999996</v>
      </c>
      <c r="S449" s="3">
        <v>-20.0197</v>
      </c>
      <c r="T449" s="4" t="s">
        <v>1014</v>
      </c>
      <c r="U449" s="2" t="s">
        <v>38</v>
      </c>
      <c r="V449" s="2" t="s">
        <v>37</v>
      </c>
      <c r="W449" s="2" t="s">
        <v>37</v>
      </c>
      <c r="X449" s="2" t="s">
        <v>38</v>
      </c>
      <c r="Y449" s="2" t="s">
        <v>37</v>
      </c>
      <c r="Z449" s="2" t="s">
        <v>37</v>
      </c>
      <c r="AA449" s="6">
        <v>4.5653785740000004</v>
      </c>
      <c r="AB449" s="6">
        <v>3.7056482210000001</v>
      </c>
      <c r="AC449" s="6">
        <v>4.5752729629999997</v>
      </c>
      <c r="AD449" cm="1">
        <f t="array" ref="AD449">IF(SUMPRODUCT(--($AM$2:$AM$112=TRIM(LEFT($B449,IFERROR(FIND(" ",$B449)-1,LEN($B449))))))&gt;0,1,0)</f>
        <v>0</v>
      </c>
      <c r="AE449" cm="1">
        <f t="array" ref="AE449">IF(SUMPRODUCT(--($AO$2:$AO$145=TRIM(LEFT($B449,IFERROR(FIND(" ",$B449)-1,LEN($B449))))))&gt;0,1,0)</f>
        <v>0</v>
      </c>
      <c r="AF449" cm="1">
        <f t="array" ref="AF449">IF(SUMPRODUCT(--($AQ$2:$AQ$71=TRIM(LEFT($B449,IFERROR(FIND(" ",$B449)-1,LEN($B449))))))&gt;0,1,0)</f>
        <v>0</v>
      </c>
    </row>
    <row r="450" spans="1:32" ht="45.75" thickBot="1" x14ac:dyDescent="0.3">
      <c r="A450" s="13">
        <v>57</v>
      </c>
      <c r="B450" s="4" t="s">
        <v>1015</v>
      </c>
      <c r="C450" s="4" t="s">
        <v>838</v>
      </c>
      <c r="D450" s="7">
        <v>44777</v>
      </c>
      <c r="E450" s="3">
        <v>3434.11</v>
      </c>
      <c r="F450" s="4" t="s">
        <v>30</v>
      </c>
      <c r="G450" s="4"/>
      <c r="H450" s="4" t="s">
        <v>41</v>
      </c>
      <c r="I450" s="4" t="s">
        <v>41</v>
      </c>
      <c r="J450" s="4" t="s">
        <v>42</v>
      </c>
      <c r="K450" s="4"/>
      <c r="L450" s="4"/>
      <c r="M450" s="3">
        <v>123.51</v>
      </c>
      <c r="N450" s="3">
        <v>3702.05</v>
      </c>
      <c r="O450" s="4" t="s">
        <v>34</v>
      </c>
      <c r="P450" s="4" t="s">
        <v>34</v>
      </c>
      <c r="Q450" s="4" t="s">
        <v>35</v>
      </c>
      <c r="R450" s="2"/>
      <c r="S450" s="2"/>
      <c r="T450" s="4" t="s">
        <v>43</v>
      </c>
      <c r="U450" s="2" t="s">
        <v>37</v>
      </c>
      <c r="V450" s="2" t="s">
        <v>37</v>
      </c>
      <c r="W450" s="2" t="s">
        <v>37</v>
      </c>
      <c r="X450" s="2" t="s">
        <v>37</v>
      </c>
      <c r="Y450" s="2" t="s">
        <v>37</v>
      </c>
      <c r="Z450" s="2" t="s">
        <v>37</v>
      </c>
      <c r="AA450" s="6">
        <v>3.5358142020000001</v>
      </c>
      <c r="AB450" s="2"/>
      <c r="AC450" s="6">
        <v>3.5684422800000002</v>
      </c>
      <c r="AD450" cm="1">
        <f t="array" ref="AD450">IF(SUMPRODUCT(--($AM$2:$AM$112=TRIM(LEFT($B450,IFERROR(FIND(" ",$B450)-1,LEN($B450))))))&gt;0,1,0)</f>
        <v>0</v>
      </c>
      <c r="AE450" cm="1">
        <f t="array" ref="AE450">IF(SUMPRODUCT(--($AO$2:$AO$145=TRIM(LEFT($B450,IFERROR(FIND(" ",$B450)-1,LEN($B450))))))&gt;0,1,0)</f>
        <v>0</v>
      </c>
      <c r="AF450" cm="1">
        <f t="array" ref="AF450">IF(SUMPRODUCT(--($AQ$2:$AQ$71=TRIM(LEFT($B450,IFERROR(FIND(" ",$B450)-1,LEN($B450))))))&gt;0,1,0)</f>
        <v>0</v>
      </c>
    </row>
    <row r="451" spans="1:32" ht="45.75" thickBot="1" x14ac:dyDescent="0.3">
      <c r="A451" s="13">
        <v>153</v>
      </c>
      <c r="B451" s="4" t="s">
        <v>1016</v>
      </c>
      <c r="C451" s="4" t="s">
        <v>1017</v>
      </c>
      <c r="D451" s="7">
        <v>44641</v>
      </c>
      <c r="E451" s="3">
        <v>13661.06</v>
      </c>
      <c r="F451" s="4" t="s">
        <v>30</v>
      </c>
      <c r="G451" s="4"/>
      <c r="H451" s="4" t="s">
        <v>65</v>
      </c>
      <c r="I451" s="4" t="s">
        <v>206</v>
      </c>
      <c r="J451" s="4" t="s">
        <v>206</v>
      </c>
      <c r="K451" s="4"/>
      <c r="L451" s="4"/>
      <c r="M451" s="3">
        <v>29.02</v>
      </c>
      <c r="N451" s="3">
        <v>11473.33</v>
      </c>
      <c r="O451" s="4" t="s">
        <v>34</v>
      </c>
      <c r="P451" s="4" t="s">
        <v>34</v>
      </c>
      <c r="Q451" s="4" t="s">
        <v>35</v>
      </c>
      <c r="R451" s="3">
        <v>12004.1</v>
      </c>
      <c r="S451" s="3">
        <v>6.468</v>
      </c>
      <c r="T451" s="4" t="s">
        <v>43</v>
      </c>
      <c r="U451" s="2" t="s">
        <v>37</v>
      </c>
      <c r="V451" s="2" t="s">
        <v>37</v>
      </c>
      <c r="W451" s="2" t="s">
        <v>37</v>
      </c>
      <c r="X451" s="2" t="s">
        <v>37</v>
      </c>
      <c r="Y451" s="2" t="s">
        <v>37</v>
      </c>
      <c r="Z451" s="2" t="s">
        <v>37</v>
      </c>
      <c r="AA451" s="6">
        <v>4.1354843990000001</v>
      </c>
      <c r="AB451" s="6">
        <v>4.0793296049999999</v>
      </c>
      <c r="AC451" s="6">
        <v>4.0596894849999998</v>
      </c>
      <c r="AD451" cm="1">
        <f t="array" ref="AD451">IF(SUMPRODUCT(--($AM$2:$AM$112=TRIM(LEFT($B451,IFERROR(FIND(" ",$B451)-1,LEN($B451))))))&gt;0,1,0)</f>
        <v>0</v>
      </c>
      <c r="AE451" cm="1">
        <f t="array" ref="AE451">IF(SUMPRODUCT(--($AO$2:$AO$145=TRIM(LEFT($B451,IFERROR(FIND(" ",$B451)-1,LEN($B451))))))&gt;0,1,0)</f>
        <v>1</v>
      </c>
      <c r="AF451" cm="1">
        <f t="array" ref="AF451">IF(SUMPRODUCT(--($AQ$2:$AQ$71=TRIM(LEFT($B451,IFERROR(FIND(" ",$B451)-1,LEN($B451))))))&gt;0,1,0)</f>
        <v>0</v>
      </c>
    </row>
    <row r="452" spans="1:32" ht="135.75" thickBot="1" x14ac:dyDescent="0.3">
      <c r="A452" s="13">
        <v>53</v>
      </c>
      <c r="B452" s="4" t="s">
        <v>1018</v>
      </c>
      <c r="C452" s="4" t="s">
        <v>695</v>
      </c>
      <c r="D452" s="7">
        <v>44781</v>
      </c>
      <c r="E452" s="3">
        <v>7750.57</v>
      </c>
      <c r="F452" s="4" t="s">
        <v>30</v>
      </c>
      <c r="G452" s="4"/>
      <c r="H452" s="4" t="s">
        <v>31</v>
      </c>
      <c r="I452" s="4" t="s">
        <v>32</v>
      </c>
      <c r="J452" s="4" t="s">
        <v>33</v>
      </c>
      <c r="K452" s="4"/>
      <c r="L452" s="4"/>
      <c r="M452" s="3">
        <v>6.73</v>
      </c>
      <c r="N452" s="3">
        <v>8214.8799999999992</v>
      </c>
      <c r="O452" s="4" t="s">
        <v>34</v>
      </c>
      <c r="P452" s="4" t="s">
        <v>34</v>
      </c>
      <c r="Q452" s="4" t="s">
        <v>35</v>
      </c>
      <c r="R452" s="3">
        <v>698.97699999999998</v>
      </c>
      <c r="S452" s="3">
        <v>-18.413399999999999</v>
      </c>
      <c r="T452" s="4" t="s">
        <v>919</v>
      </c>
      <c r="U452" s="2" t="s">
        <v>37</v>
      </c>
      <c r="V452" s="2" t="s">
        <v>37</v>
      </c>
      <c r="W452" s="2" t="s">
        <v>37</v>
      </c>
      <c r="X452" s="2" t="s">
        <v>38</v>
      </c>
      <c r="Y452" s="2" t="s">
        <v>38</v>
      </c>
      <c r="Z452" s="2" t="s">
        <v>37</v>
      </c>
      <c r="AA452" s="6">
        <v>3.8893336430000001</v>
      </c>
      <c r="AB452" s="6">
        <v>2.844462885</v>
      </c>
      <c r="AC452" s="6">
        <v>3.9146012240000001</v>
      </c>
      <c r="AD452" cm="1">
        <f t="array" ref="AD452">IF(SUMPRODUCT(--($AM$2:$AM$112=TRIM(LEFT($B452,IFERROR(FIND(" ",$B452)-1,LEN($B452))))))&gt;0,1,0)</f>
        <v>0</v>
      </c>
      <c r="AE452" cm="1">
        <f t="array" ref="AE452">IF(SUMPRODUCT(--($AO$2:$AO$145=TRIM(LEFT($B452,IFERROR(FIND(" ",$B452)-1,LEN($B452))))))&gt;0,1,0)</f>
        <v>0</v>
      </c>
      <c r="AF452" cm="1">
        <f t="array" ref="AF452">IF(SUMPRODUCT(--($AQ$2:$AQ$71=TRIM(LEFT($B452,IFERROR(FIND(" ",$B452)-1,LEN($B452))))))&gt;0,1,0)</f>
        <v>0</v>
      </c>
    </row>
    <row r="453" spans="1:32" ht="120.75" thickBot="1" x14ac:dyDescent="0.3">
      <c r="A453" s="13">
        <v>63</v>
      </c>
      <c r="B453" s="4" t="s">
        <v>1019</v>
      </c>
      <c r="C453" s="4" t="s">
        <v>1020</v>
      </c>
      <c r="D453" s="7">
        <v>44767</v>
      </c>
      <c r="E453" s="3">
        <v>1963.6</v>
      </c>
      <c r="F453" s="4" t="s">
        <v>30</v>
      </c>
      <c r="G453" s="3">
        <v>23.35</v>
      </c>
      <c r="H453" s="4" t="s">
        <v>118</v>
      </c>
      <c r="I453" s="4" t="s">
        <v>119</v>
      </c>
      <c r="J453" s="4" t="s">
        <v>120</v>
      </c>
      <c r="K453" s="4"/>
      <c r="L453" s="4"/>
      <c r="M453" s="3">
        <v>11.24</v>
      </c>
      <c r="N453" s="3">
        <v>1963.6</v>
      </c>
      <c r="O453" s="4" t="s">
        <v>34</v>
      </c>
      <c r="P453" s="4" t="s">
        <v>1021</v>
      </c>
      <c r="Q453" s="4" t="s">
        <v>35</v>
      </c>
      <c r="R453" s="3">
        <v>556</v>
      </c>
      <c r="S453" s="3">
        <v>39.240499999999997</v>
      </c>
      <c r="T453" s="4" t="s">
        <v>1022</v>
      </c>
      <c r="U453" s="2" t="s">
        <v>38</v>
      </c>
      <c r="V453" s="2" t="s">
        <v>37</v>
      </c>
      <c r="W453" s="2" t="s">
        <v>38</v>
      </c>
      <c r="X453" s="2" t="s">
        <v>37</v>
      </c>
      <c r="Y453" s="2" t="s">
        <v>37</v>
      </c>
      <c r="Z453" s="2" t="s">
        <v>37</v>
      </c>
      <c r="AA453" s="6">
        <v>3.2930530230000001</v>
      </c>
      <c r="AB453" s="6">
        <v>2.745074792</v>
      </c>
      <c r="AC453" s="6">
        <v>3.2930530230000001</v>
      </c>
      <c r="AD453" cm="1">
        <f t="array" ref="AD453">IF(SUMPRODUCT(--($AM$2:$AM$112=TRIM(LEFT($B453,IFERROR(FIND(" ",$B453)-1,LEN($B453))))))&gt;0,1,0)</f>
        <v>0</v>
      </c>
      <c r="AE453" cm="1">
        <f t="array" ref="AE453">IF(SUMPRODUCT(--($AO$2:$AO$145=TRIM(LEFT($B453,IFERROR(FIND(" ",$B453)-1,LEN($B453))))))&gt;0,1,0)</f>
        <v>0</v>
      </c>
      <c r="AF453" cm="1">
        <f t="array" ref="AF453">IF(SUMPRODUCT(--($AQ$2:$AQ$71=TRIM(LEFT($B453,IFERROR(FIND(" ",$B453)-1,LEN($B453))))))&gt;0,1,0)</f>
        <v>0</v>
      </c>
    </row>
    <row r="454" spans="1:32" ht="135.75" thickBot="1" x14ac:dyDescent="0.3">
      <c r="A454" s="13">
        <v>55</v>
      </c>
      <c r="B454" s="4" t="s">
        <v>1023</v>
      </c>
      <c r="C454" s="4" t="s">
        <v>230</v>
      </c>
      <c r="D454" s="7">
        <v>44776</v>
      </c>
      <c r="E454" s="3">
        <v>2527.36</v>
      </c>
      <c r="F454" s="4" t="s">
        <v>30</v>
      </c>
      <c r="G454" s="4"/>
      <c r="H454" s="4" t="s">
        <v>31</v>
      </c>
      <c r="I454" s="4" t="s">
        <v>32</v>
      </c>
      <c r="J454" s="4" t="s">
        <v>33</v>
      </c>
      <c r="K454" s="4"/>
      <c r="L454" s="4"/>
      <c r="M454" s="3">
        <v>54.28</v>
      </c>
      <c r="N454" s="3">
        <v>2430.64</v>
      </c>
      <c r="O454" s="4" t="s">
        <v>34</v>
      </c>
      <c r="P454" s="4" t="s">
        <v>34</v>
      </c>
      <c r="Q454" s="4" t="s">
        <v>35</v>
      </c>
      <c r="R454" s="3">
        <v>299.44900000000001</v>
      </c>
      <c r="S454" s="3">
        <v>-33.360599999999998</v>
      </c>
      <c r="T454" s="4" t="s">
        <v>225</v>
      </c>
      <c r="U454" s="2" t="s">
        <v>37</v>
      </c>
      <c r="V454" s="2" t="s">
        <v>37</v>
      </c>
      <c r="W454" s="2" t="s">
        <v>37</v>
      </c>
      <c r="X454" s="2" t="s">
        <v>38</v>
      </c>
      <c r="Y454" s="2" t="s">
        <v>38</v>
      </c>
      <c r="Z454" s="2" t="s">
        <v>37</v>
      </c>
      <c r="AA454" s="6">
        <v>3.4026671080000002</v>
      </c>
      <c r="AB454" s="6">
        <v>2.4763228669999999</v>
      </c>
      <c r="AC454" s="6">
        <v>3.3857206409999998</v>
      </c>
      <c r="AD454" cm="1">
        <f t="array" ref="AD454">IF(SUMPRODUCT(--($AM$2:$AM$112=TRIM(LEFT($B454,IFERROR(FIND(" ",$B454)-1,LEN($B454))))))&gt;0,1,0)</f>
        <v>0</v>
      </c>
      <c r="AE454" cm="1">
        <f t="array" ref="AE454">IF(SUMPRODUCT(--($AO$2:$AO$145=TRIM(LEFT($B454,IFERROR(FIND(" ",$B454)-1,LEN($B454))))))&gt;0,1,0)</f>
        <v>0</v>
      </c>
      <c r="AF454" cm="1">
        <f t="array" ref="AF454">IF(SUMPRODUCT(--($AQ$2:$AQ$71=TRIM(LEFT($B454,IFERROR(FIND(" ",$B454)-1,LEN($B454))))))&gt;0,1,0)</f>
        <v>0</v>
      </c>
    </row>
    <row r="455" spans="1:32" ht="105.75" thickBot="1" x14ac:dyDescent="0.3">
      <c r="A455" s="13">
        <v>33</v>
      </c>
      <c r="B455" s="4" t="s">
        <v>1024</v>
      </c>
      <c r="C455" s="4" t="s">
        <v>291</v>
      </c>
      <c r="D455" s="7">
        <v>44805</v>
      </c>
      <c r="E455" s="3">
        <v>620.08000000000004</v>
      </c>
      <c r="F455" s="4" t="s">
        <v>30</v>
      </c>
      <c r="G455" s="4"/>
      <c r="H455" s="4" t="s">
        <v>41</v>
      </c>
      <c r="I455" s="4" t="s">
        <v>41</v>
      </c>
      <c r="J455" s="4" t="s">
        <v>42</v>
      </c>
      <c r="K455" s="4"/>
      <c r="L455" s="3">
        <v>34.5</v>
      </c>
      <c r="M455" s="3">
        <v>71.180000000000007</v>
      </c>
      <c r="N455" s="3">
        <v>983.44</v>
      </c>
      <c r="O455" s="4" t="s">
        <v>34</v>
      </c>
      <c r="P455" s="4" t="s">
        <v>292</v>
      </c>
      <c r="Q455" s="4" t="s">
        <v>35</v>
      </c>
      <c r="R455" s="2"/>
      <c r="S455" s="2"/>
      <c r="T455" s="4" t="s">
        <v>631</v>
      </c>
      <c r="U455" s="2" t="s">
        <v>37</v>
      </c>
      <c r="V455" s="2" t="s">
        <v>37</v>
      </c>
      <c r="W455" s="2" t="s">
        <v>38</v>
      </c>
      <c r="X455" s="2" t="s">
        <v>37</v>
      </c>
      <c r="Y455" s="2" t="s">
        <v>37</v>
      </c>
      <c r="Z455" s="2" t="s">
        <v>38</v>
      </c>
      <c r="AA455" s="6">
        <v>2.7924477240000001</v>
      </c>
      <c r="AB455" s="2"/>
      <c r="AC455" s="6">
        <v>2.992747869</v>
      </c>
      <c r="AD455" cm="1">
        <f t="array" ref="AD455">IF(SUMPRODUCT(--($AM$2:$AM$112=TRIM(LEFT($B455,IFERROR(FIND(" ",$B455)-1,LEN($B455))))))&gt;0,1,0)</f>
        <v>0</v>
      </c>
      <c r="AE455" cm="1">
        <f t="array" ref="AE455">IF(SUMPRODUCT(--($AO$2:$AO$145=TRIM(LEFT($B455,IFERROR(FIND(" ",$B455)-1,LEN($B455))))))&gt;0,1,0)</f>
        <v>0</v>
      </c>
      <c r="AF455" cm="1">
        <f t="array" ref="AF455">IF(SUMPRODUCT(--($AQ$2:$AQ$71=TRIM(LEFT($B455,IFERROR(FIND(" ",$B455)-1,LEN($B455))))))&gt;0,1,0)</f>
        <v>0</v>
      </c>
    </row>
    <row r="456" spans="1:32" ht="180.75" thickBot="1" x14ac:dyDescent="0.3">
      <c r="A456" s="13">
        <v>103</v>
      </c>
      <c r="B456" s="4" t="s">
        <v>1025</v>
      </c>
      <c r="C456" s="2"/>
      <c r="D456" s="7">
        <v>44706</v>
      </c>
      <c r="E456" s="3">
        <v>3150.52</v>
      </c>
      <c r="F456" s="4" t="s">
        <v>30</v>
      </c>
      <c r="G456" s="3">
        <v>25.05</v>
      </c>
      <c r="H456" s="4" t="s">
        <v>41</v>
      </c>
      <c r="I456" s="4" t="s">
        <v>41</v>
      </c>
      <c r="J456" s="4" t="s">
        <v>100</v>
      </c>
      <c r="K456" s="4"/>
      <c r="L456" s="4"/>
      <c r="M456" s="3">
        <v>32.04</v>
      </c>
      <c r="N456" s="3">
        <v>2220.52</v>
      </c>
      <c r="O456" s="4" t="s">
        <v>34</v>
      </c>
      <c r="P456" s="4" t="s">
        <v>34</v>
      </c>
      <c r="Q456" s="4" t="s">
        <v>35</v>
      </c>
      <c r="R456" s="3">
        <v>4575</v>
      </c>
      <c r="S456" s="3">
        <v>-2.1510000000000001E-2</v>
      </c>
      <c r="T456" s="4" t="s">
        <v>1026</v>
      </c>
      <c r="U456" s="2" t="s">
        <v>38</v>
      </c>
      <c r="V456" s="2" t="s">
        <v>37</v>
      </c>
      <c r="W456" s="2" t="s">
        <v>37</v>
      </c>
      <c r="X456" s="2" t="s">
        <v>38</v>
      </c>
      <c r="Y456" s="2" t="s">
        <v>38</v>
      </c>
      <c r="Z456" s="2" t="s">
        <v>37</v>
      </c>
      <c r="AA456" s="6">
        <v>3.4983822409999998</v>
      </c>
      <c r="AB456" s="6">
        <v>3.6603910979999998</v>
      </c>
      <c r="AC456" s="6">
        <v>3.3464546890000002</v>
      </c>
      <c r="AD456" cm="1">
        <f t="array" ref="AD456">IF(SUMPRODUCT(--($AM$2:$AM$112=TRIM(LEFT($B456,IFERROR(FIND(" ",$B456)-1,LEN($B456))))))&gt;0,1,0)</f>
        <v>1</v>
      </c>
      <c r="AE456" cm="1">
        <f t="array" ref="AE456">IF(SUMPRODUCT(--($AO$2:$AO$145=TRIM(LEFT($B456,IFERROR(FIND(" ",$B456)-1,LEN($B456))))))&gt;0,1,0)</f>
        <v>1</v>
      </c>
      <c r="AF456" cm="1">
        <f t="array" ref="AF456">IF(SUMPRODUCT(--($AQ$2:$AQ$71=TRIM(LEFT($B456,IFERROR(FIND(" ",$B456)-1,LEN($B456))))))&gt;0,1,0)</f>
        <v>0</v>
      </c>
    </row>
    <row r="457" spans="1:32" ht="75.75" thickBot="1" x14ac:dyDescent="0.3">
      <c r="A457" s="13">
        <v>189</v>
      </c>
      <c r="B457" s="4" t="s">
        <v>1027</v>
      </c>
      <c r="C457" s="4" t="s">
        <v>1028</v>
      </c>
      <c r="D457" s="7">
        <v>44585</v>
      </c>
      <c r="E457" s="3">
        <v>765.91</v>
      </c>
      <c r="F457" s="4" t="s">
        <v>46</v>
      </c>
      <c r="G457" s="3">
        <v>5.37</v>
      </c>
      <c r="H457" s="4" t="s">
        <v>118</v>
      </c>
      <c r="I457" s="4" t="s">
        <v>119</v>
      </c>
      <c r="J457" s="4" t="s">
        <v>355</v>
      </c>
      <c r="K457" s="4"/>
      <c r="L457" s="4"/>
      <c r="M457" s="3">
        <v>102.27</v>
      </c>
      <c r="N457" s="3">
        <v>218.46</v>
      </c>
      <c r="O457" s="4" t="s">
        <v>34</v>
      </c>
      <c r="P457" s="4" t="s">
        <v>49</v>
      </c>
      <c r="Q457" s="4" t="s">
        <v>35</v>
      </c>
      <c r="R457" s="3">
        <v>630.245</v>
      </c>
      <c r="S457" s="3">
        <v>-0.57103599999999999</v>
      </c>
      <c r="T457" s="4" t="s">
        <v>97</v>
      </c>
      <c r="U457" s="2" t="s">
        <v>37</v>
      </c>
      <c r="V457" s="2" t="s">
        <v>37</v>
      </c>
      <c r="W457" s="2" t="s">
        <v>38</v>
      </c>
      <c r="X457" s="2" t="s">
        <v>37</v>
      </c>
      <c r="Y457" s="2" t="s">
        <v>37</v>
      </c>
      <c r="Z457" s="2" t="s">
        <v>37</v>
      </c>
      <c r="AA457" s="6">
        <v>2.8841777400000002</v>
      </c>
      <c r="AB457" s="6">
        <v>2.7995094090000001</v>
      </c>
      <c r="AC457" s="6">
        <v>2.3393719289999999</v>
      </c>
      <c r="AD457" cm="1">
        <f t="array" ref="AD457">IF(SUMPRODUCT(--($AM$2:$AM$112=TRIM(LEFT($B457,IFERROR(FIND(" ",$B457)-1,LEN($B457))))))&gt;0,1,0)</f>
        <v>0</v>
      </c>
      <c r="AE457" cm="1">
        <f t="array" ref="AE457">IF(SUMPRODUCT(--($AO$2:$AO$145=TRIM(LEFT($B457,IFERROR(FIND(" ",$B457)-1,LEN($B457))))))&gt;0,1,0)</f>
        <v>0</v>
      </c>
      <c r="AF457" cm="1">
        <f t="array" ref="AF457">IF(SUMPRODUCT(--($AQ$2:$AQ$71=TRIM(LEFT($B457,IFERROR(FIND(" ",$B457)-1,LEN($B457))))))&gt;0,1,0)</f>
        <v>0</v>
      </c>
    </row>
    <row r="458" spans="1:32" ht="135.75" thickBot="1" x14ac:dyDescent="0.3">
      <c r="A458" s="13">
        <v>142</v>
      </c>
      <c r="B458" s="4" t="s">
        <v>1029</v>
      </c>
      <c r="C458" s="2"/>
      <c r="D458" s="7">
        <v>44649</v>
      </c>
      <c r="E458" s="3">
        <v>15491.58</v>
      </c>
      <c r="F458" s="4" t="s">
        <v>30</v>
      </c>
      <c r="G458" s="3">
        <v>10.54</v>
      </c>
      <c r="H458" s="4" t="s">
        <v>184</v>
      </c>
      <c r="I458" s="4" t="s">
        <v>185</v>
      </c>
      <c r="J458" s="4" t="s">
        <v>310</v>
      </c>
      <c r="K458" s="4"/>
      <c r="L458" s="4"/>
      <c r="M458" s="3">
        <v>36.11</v>
      </c>
      <c r="N458" s="3">
        <v>10065.58</v>
      </c>
      <c r="O458" s="4" t="s">
        <v>34</v>
      </c>
      <c r="P458" s="4" t="s">
        <v>49</v>
      </c>
      <c r="Q458" s="4" t="s">
        <v>399</v>
      </c>
      <c r="R458" s="3">
        <v>3500</v>
      </c>
      <c r="S458" s="3">
        <v>22.761900000000001</v>
      </c>
      <c r="T458" s="4" t="s">
        <v>369</v>
      </c>
      <c r="U458" s="2" t="s">
        <v>37</v>
      </c>
      <c r="V458" s="2" t="s">
        <v>37</v>
      </c>
      <c r="W458" s="2" t="s">
        <v>37</v>
      </c>
      <c r="X458" s="2" t="s">
        <v>38</v>
      </c>
      <c r="Y458" s="2" t="s">
        <v>38</v>
      </c>
      <c r="Z458" s="2" t="s">
        <v>37</v>
      </c>
      <c r="AA458" s="6">
        <v>4.1900957139999999</v>
      </c>
      <c r="AB458" s="6">
        <v>3.5440680439999999</v>
      </c>
      <c r="AC458" s="6">
        <v>4.0028388049999997</v>
      </c>
      <c r="AD458" cm="1">
        <f t="array" ref="AD458">IF(SUMPRODUCT(--($AM$2:$AM$112=TRIM(LEFT($B458,IFERROR(FIND(" ",$B458)-1,LEN($B458))))))&gt;0,1,0)</f>
        <v>0</v>
      </c>
      <c r="AE458" cm="1">
        <f t="array" ref="AE458">IF(SUMPRODUCT(--($AO$2:$AO$145=TRIM(LEFT($B458,IFERROR(FIND(" ",$B458)-1,LEN($B458))))))&gt;0,1,0)</f>
        <v>1</v>
      </c>
      <c r="AF458" cm="1">
        <f t="array" ref="AF458">IF(SUMPRODUCT(--($AQ$2:$AQ$71=TRIM(LEFT($B458,IFERROR(FIND(" ",$B458)-1,LEN($B458))))))&gt;0,1,0)</f>
        <v>0</v>
      </c>
    </row>
    <row r="459" spans="1:32" ht="105.75" thickBot="1" x14ac:dyDescent="0.3">
      <c r="A459" s="13">
        <v>217</v>
      </c>
      <c r="B459" s="4" t="s">
        <v>1030</v>
      </c>
      <c r="C459" s="4" t="s">
        <v>1031</v>
      </c>
      <c r="D459" s="7">
        <v>44544</v>
      </c>
      <c r="E459" s="3">
        <v>7936.38</v>
      </c>
      <c r="F459" s="4" t="s">
        <v>69</v>
      </c>
      <c r="G459" s="3">
        <v>22.48</v>
      </c>
      <c r="H459" s="4" t="s">
        <v>70</v>
      </c>
      <c r="I459" s="4" t="s">
        <v>94</v>
      </c>
      <c r="J459" s="4" t="s">
        <v>95</v>
      </c>
      <c r="K459" s="3">
        <v>150</v>
      </c>
      <c r="L459" s="3">
        <v>200</v>
      </c>
      <c r="M459" s="3">
        <v>51.11</v>
      </c>
      <c r="N459" s="3">
        <v>7071.38</v>
      </c>
      <c r="O459" s="4" t="s">
        <v>34</v>
      </c>
      <c r="P459" s="4" t="s">
        <v>166</v>
      </c>
      <c r="Q459" s="4" t="s">
        <v>35</v>
      </c>
      <c r="R459" s="3">
        <v>2045</v>
      </c>
      <c r="S459" s="3">
        <v>7.3985700000000003</v>
      </c>
      <c r="T459" s="4" t="s">
        <v>955</v>
      </c>
      <c r="U459" s="2" t="s">
        <v>37</v>
      </c>
      <c r="V459" s="2" t="s">
        <v>37</v>
      </c>
      <c r="W459" s="2" t="s">
        <v>38</v>
      </c>
      <c r="X459" s="2" t="s">
        <v>37</v>
      </c>
      <c r="Y459" s="2" t="s">
        <v>37</v>
      </c>
      <c r="Z459" s="2" t="s">
        <v>38</v>
      </c>
      <c r="AA459" s="6">
        <v>3.8996224540000002</v>
      </c>
      <c r="AB459" s="6">
        <v>3.3106933120000002</v>
      </c>
      <c r="AC459" s="6">
        <v>3.8495041759999999</v>
      </c>
      <c r="AD459" cm="1">
        <f t="array" ref="AD459">IF(SUMPRODUCT(--($AM$2:$AM$112=TRIM(LEFT($B459,IFERROR(FIND(" ",$B459)-1,LEN($B459))))))&gt;0,1,0)</f>
        <v>0</v>
      </c>
      <c r="AE459" cm="1">
        <f t="array" ref="AE459">IF(SUMPRODUCT(--($AO$2:$AO$145=TRIM(LEFT($B459,IFERROR(FIND(" ",$B459)-1,LEN($B459))))))&gt;0,1,0)</f>
        <v>0</v>
      </c>
      <c r="AF459" cm="1">
        <f t="array" ref="AF459">IF(SUMPRODUCT(--($AQ$2:$AQ$71=TRIM(LEFT($B459,IFERROR(FIND(" ",$B459)-1,LEN($B459))))))&gt;0,1,0)</f>
        <v>0</v>
      </c>
    </row>
    <row r="460" spans="1:32" ht="60.75" thickBot="1" x14ac:dyDescent="0.3">
      <c r="A460" s="13">
        <v>56</v>
      </c>
      <c r="B460" s="4" t="s">
        <v>1032</v>
      </c>
      <c r="C460" s="4" t="s">
        <v>1033</v>
      </c>
      <c r="D460" s="7">
        <v>44767</v>
      </c>
      <c r="E460" s="3">
        <v>1040.75</v>
      </c>
      <c r="F460" s="4" t="s">
        <v>107</v>
      </c>
      <c r="G460" s="3">
        <v>8.25</v>
      </c>
      <c r="H460" s="4" t="s">
        <v>70</v>
      </c>
      <c r="I460" s="4" t="s">
        <v>94</v>
      </c>
      <c r="J460" s="4" t="s">
        <v>170</v>
      </c>
      <c r="K460" s="4"/>
      <c r="L460" s="4"/>
      <c r="M460" s="3">
        <v>55.32</v>
      </c>
      <c r="N460" s="3">
        <v>676.08</v>
      </c>
      <c r="O460" s="4" t="s">
        <v>34</v>
      </c>
      <c r="P460" s="4" t="s">
        <v>34</v>
      </c>
      <c r="Q460" s="4" t="s">
        <v>35</v>
      </c>
      <c r="R460" s="3">
        <v>2078.42</v>
      </c>
      <c r="S460" s="3">
        <v>2.7457400000000001</v>
      </c>
      <c r="T460" s="4" t="s">
        <v>43</v>
      </c>
      <c r="U460" s="2" t="s">
        <v>37</v>
      </c>
      <c r="V460" s="2" t="s">
        <v>37</v>
      </c>
      <c r="W460" s="2" t="s">
        <v>37</v>
      </c>
      <c r="X460" s="2" t="s">
        <v>37</v>
      </c>
      <c r="Y460" s="2" t="s">
        <v>37</v>
      </c>
      <c r="Z460" s="2" t="s">
        <v>37</v>
      </c>
      <c r="AA460" s="6">
        <v>3.01734642</v>
      </c>
      <c r="AB460" s="6">
        <v>3.3177333130000002</v>
      </c>
      <c r="AC460" s="6">
        <v>2.829998089</v>
      </c>
      <c r="AD460" cm="1">
        <f t="array" ref="AD460">IF(SUMPRODUCT(--($AM$2:$AM$112=TRIM(LEFT($B460,IFERROR(FIND(" ",$B460)-1,LEN($B460))))))&gt;0,1,0)</f>
        <v>0</v>
      </c>
      <c r="AE460" cm="1">
        <f t="array" ref="AE460">IF(SUMPRODUCT(--($AO$2:$AO$145=TRIM(LEFT($B460,IFERROR(FIND(" ",$B460)-1,LEN($B460))))))&gt;0,1,0)</f>
        <v>0</v>
      </c>
      <c r="AF460" cm="1">
        <f t="array" ref="AF460">IF(SUMPRODUCT(--($AQ$2:$AQ$71=TRIM(LEFT($B460,IFERROR(FIND(" ",$B460)-1,LEN($B460))))))&gt;0,1,0)</f>
        <v>0</v>
      </c>
    </row>
    <row r="461" spans="1:32" ht="45.75" thickBot="1" x14ac:dyDescent="0.3">
      <c r="A461" s="13">
        <v>44</v>
      </c>
      <c r="B461" s="4" t="s">
        <v>1034</v>
      </c>
      <c r="C461" s="4" t="s">
        <v>325</v>
      </c>
      <c r="D461" s="7">
        <v>44781</v>
      </c>
      <c r="E461" s="3">
        <v>4618.2299999999996</v>
      </c>
      <c r="F461" s="4" t="s">
        <v>30</v>
      </c>
      <c r="G461" s="4"/>
      <c r="H461" s="4" t="s">
        <v>41</v>
      </c>
      <c r="I461" s="4" t="s">
        <v>41</v>
      </c>
      <c r="J461" s="4" t="s">
        <v>42</v>
      </c>
      <c r="K461" s="4"/>
      <c r="L461" s="4"/>
      <c r="M461" s="3">
        <v>88.82</v>
      </c>
      <c r="N461" s="3">
        <v>4621.26</v>
      </c>
      <c r="O461" s="4" t="s">
        <v>34</v>
      </c>
      <c r="P461" s="4" t="s">
        <v>34</v>
      </c>
      <c r="Q461" s="4" t="s">
        <v>35</v>
      </c>
      <c r="R461" s="3">
        <v>194.749</v>
      </c>
      <c r="S461" s="3">
        <v>-127.413</v>
      </c>
      <c r="T461" s="4" t="s">
        <v>43</v>
      </c>
      <c r="U461" s="2" t="s">
        <v>37</v>
      </c>
      <c r="V461" s="2" t="s">
        <v>37</v>
      </c>
      <c r="W461" s="2" t="s">
        <v>37</v>
      </c>
      <c r="X461" s="2" t="s">
        <v>37</v>
      </c>
      <c r="Y461" s="2" t="s">
        <v>37</v>
      </c>
      <c r="Z461" s="2" t="s">
        <v>37</v>
      </c>
      <c r="AA461" s="6">
        <v>3.6644755579999999</v>
      </c>
      <c r="AB461" s="6">
        <v>2.2894752359999999</v>
      </c>
      <c r="AC461" s="6">
        <v>3.6647604029999998</v>
      </c>
      <c r="AD461" cm="1">
        <f t="array" ref="AD461">IF(SUMPRODUCT(--($AM$2:$AM$112=TRIM(LEFT($B461,IFERROR(FIND(" ",$B461)-1,LEN($B461))))))&gt;0,1,0)</f>
        <v>0</v>
      </c>
      <c r="AE461" cm="1">
        <f t="array" ref="AE461">IF(SUMPRODUCT(--($AO$2:$AO$145=TRIM(LEFT($B461,IFERROR(FIND(" ",$B461)-1,LEN($B461))))))&gt;0,1,0)</f>
        <v>0</v>
      </c>
      <c r="AF461" cm="1">
        <f t="array" ref="AF461">IF(SUMPRODUCT(--($AQ$2:$AQ$71=TRIM(LEFT($B461,IFERROR(FIND(" ",$B461)-1,LEN($B461))))))&gt;0,1,0)</f>
        <v>0</v>
      </c>
    </row>
    <row r="462" spans="1:32" ht="135.75" thickBot="1" x14ac:dyDescent="0.3">
      <c r="A462" s="13">
        <v>209</v>
      </c>
      <c r="B462" s="4" t="s">
        <v>1035</v>
      </c>
      <c r="C462" s="4" t="s">
        <v>539</v>
      </c>
      <c r="D462" s="7">
        <v>44550</v>
      </c>
      <c r="E462" s="3">
        <v>1814.95</v>
      </c>
      <c r="F462" s="4" t="s">
        <v>30</v>
      </c>
      <c r="G462" s="3">
        <v>16.059999999999999</v>
      </c>
      <c r="H462" s="4" t="s">
        <v>51</v>
      </c>
      <c r="I462" s="4" t="s">
        <v>51</v>
      </c>
      <c r="J462" s="4" t="s">
        <v>79</v>
      </c>
      <c r="K462" s="4"/>
      <c r="L462" s="4"/>
      <c r="M462" s="3">
        <v>64.75</v>
      </c>
      <c r="N462" s="3">
        <v>637.05999999999995</v>
      </c>
      <c r="O462" s="4" t="s">
        <v>34</v>
      </c>
      <c r="P462" s="4" t="s">
        <v>34</v>
      </c>
      <c r="Q462" s="4" t="s">
        <v>35</v>
      </c>
      <c r="R462" s="3">
        <v>220.65100000000001</v>
      </c>
      <c r="S462" s="3">
        <v>8.1123999999999992</v>
      </c>
      <c r="T462" s="4" t="s">
        <v>101</v>
      </c>
      <c r="U462" s="2" t="s">
        <v>37</v>
      </c>
      <c r="V462" s="2" t="s">
        <v>37</v>
      </c>
      <c r="W462" s="2" t="s">
        <v>37</v>
      </c>
      <c r="X462" s="2" t="s">
        <v>38</v>
      </c>
      <c r="Y462" s="2" t="s">
        <v>38</v>
      </c>
      <c r="Z462" s="2" t="s">
        <v>37</v>
      </c>
      <c r="AA462" s="6">
        <v>3.2588646649999999</v>
      </c>
      <c r="AB462" s="6">
        <v>2.3437058999999998</v>
      </c>
      <c r="AC462" s="6">
        <v>2.804180337</v>
      </c>
      <c r="AD462" cm="1">
        <f t="array" ref="AD462">IF(SUMPRODUCT(--($AM$2:$AM$112=TRIM(LEFT($B462,IFERROR(FIND(" ",$B462)-1,LEN($B462))))))&gt;0,1,0)</f>
        <v>0</v>
      </c>
      <c r="AE462" cm="1">
        <f t="array" ref="AE462">IF(SUMPRODUCT(--($AO$2:$AO$145=TRIM(LEFT($B462,IFERROR(FIND(" ",$B462)-1,LEN($B462))))))&gt;0,1,0)</f>
        <v>0</v>
      </c>
      <c r="AF462" cm="1">
        <f t="array" ref="AF462">IF(SUMPRODUCT(--($AQ$2:$AQ$71=TRIM(LEFT($B462,IFERROR(FIND(" ",$B462)-1,LEN($B462))))))&gt;0,1,0)</f>
        <v>0</v>
      </c>
    </row>
    <row r="463" spans="1:32" ht="45.75" thickBot="1" x14ac:dyDescent="0.3">
      <c r="A463" s="13">
        <v>455</v>
      </c>
      <c r="B463" s="4" t="s">
        <v>1036</v>
      </c>
      <c r="C463" s="4" t="s">
        <v>398</v>
      </c>
      <c r="D463" s="7">
        <v>44202</v>
      </c>
      <c r="E463" s="3">
        <v>12806.69</v>
      </c>
      <c r="F463" s="4" t="s">
        <v>30</v>
      </c>
      <c r="G463" s="3">
        <v>22.39</v>
      </c>
      <c r="H463" s="4" t="s">
        <v>31</v>
      </c>
      <c r="I463" s="4" t="s">
        <v>32</v>
      </c>
      <c r="J463" s="4" t="s">
        <v>33</v>
      </c>
      <c r="K463" s="4"/>
      <c r="L463" s="3">
        <v>300</v>
      </c>
      <c r="M463" s="3">
        <v>40.96</v>
      </c>
      <c r="N463" s="3">
        <v>7839.65</v>
      </c>
      <c r="O463" s="4" t="s">
        <v>34</v>
      </c>
      <c r="P463" s="4" t="s">
        <v>34</v>
      </c>
      <c r="Q463" s="4" t="s">
        <v>35</v>
      </c>
      <c r="R463" s="3">
        <v>3480.82</v>
      </c>
      <c r="S463" s="3">
        <v>3.4289200000000002</v>
      </c>
      <c r="T463" s="4" t="s">
        <v>43</v>
      </c>
      <c r="U463" s="2" t="s">
        <v>37</v>
      </c>
      <c r="V463" s="2" t="s">
        <v>37</v>
      </c>
      <c r="W463" s="2" t="s">
        <v>37</v>
      </c>
      <c r="X463" s="2" t="s">
        <v>37</v>
      </c>
      <c r="Y463" s="2" t="s">
        <v>37</v>
      </c>
      <c r="Z463" s="2" t="s">
        <v>37</v>
      </c>
      <c r="AA463" s="6">
        <v>4.1074368970000004</v>
      </c>
      <c r="AB463" s="6">
        <v>3.5416815659999998</v>
      </c>
      <c r="AC463" s="6">
        <v>3.894296674</v>
      </c>
      <c r="AD463" cm="1">
        <f t="array" ref="AD463">IF(SUMPRODUCT(--($AM$2:$AM$112=TRIM(LEFT($B463,IFERROR(FIND(" ",$B463)-1,LEN($B463))))))&gt;0,1,0)</f>
        <v>0</v>
      </c>
      <c r="AE463" cm="1">
        <f t="array" ref="AE463">IF(SUMPRODUCT(--($AO$2:$AO$145=TRIM(LEFT($B463,IFERROR(FIND(" ",$B463)-1,LEN($B463))))))&gt;0,1,0)</f>
        <v>0</v>
      </c>
      <c r="AF463" cm="1">
        <f t="array" ref="AF463">IF(SUMPRODUCT(--($AQ$2:$AQ$71=TRIM(LEFT($B463,IFERROR(FIND(" ",$B463)-1,LEN($B463))))))&gt;0,1,0)</f>
        <v>0</v>
      </c>
    </row>
    <row r="464" spans="1:32" ht="105.75" thickBot="1" x14ac:dyDescent="0.3">
      <c r="A464" s="13">
        <v>106</v>
      </c>
      <c r="B464" s="4" t="s">
        <v>1037</v>
      </c>
      <c r="C464" s="4" t="s">
        <v>325</v>
      </c>
      <c r="D464" s="7">
        <v>44691</v>
      </c>
      <c r="E464" s="3">
        <v>10475.44</v>
      </c>
      <c r="F464" s="4" t="s">
        <v>30</v>
      </c>
      <c r="G464" s="4"/>
      <c r="H464" s="4" t="s">
        <v>41</v>
      </c>
      <c r="I464" s="4" t="s">
        <v>41</v>
      </c>
      <c r="J464" s="4" t="s">
        <v>42</v>
      </c>
      <c r="K464" s="3">
        <v>450</v>
      </c>
      <c r="L464" s="3">
        <v>450</v>
      </c>
      <c r="M464" s="3">
        <v>46.96</v>
      </c>
      <c r="N464" s="3">
        <v>10200.94</v>
      </c>
      <c r="O464" s="4" t="s">
        <v>34</v>
      </c>
      <c r="P464" s="4" t="s">
        <v>34</v>
      </c>
      <c r="Q464" s="4" t="s">
        <v>35</v>
      </c>
      <c r="R464" s="3">
        <v>462.50900000000001</v>
      </c>
      <c r="S464" s="3">
        <v>-74.435400000000001</v>
      </c>
      <c r="T464" s="4" t="s">
        <v>834</v>
      </c>
      <c r="U464" s="2" t="s">
        <v>38</v>
      </c>
      <c r="V464" s="2" t="s">
        <v>37</v>
      </c>
      <c r="W464" s="2" t="s">
        <v>37</v>
      </c>
      <c r="X464" s="2" t="s">
        <v>37</v>
      </c>
      <c r="Y464" s="2" t="s">
        <v>37</v>
      </c>
      <c r="Z464" s="2" t="s">
        <v>37</v>
      </c>
      <c r="AA464" s="6">
        <v>4.0201722740000001</v>
      </c>
      <c r="AB464" s="6">
        <v>2.6651201879999999</v>
      </c>
      <c r="AC464" s="6">
        <v>4.0086401929999997</v>
      </c>
      <c r="AD464" cm="1">
        <f t="array" ref="AD464">IF(SUMPRODUCT(--($AM$2:$AM$112=TRIM(LEFT($B464,IFERROR(FIND(" ",$B464)-1,LEN($B464))))))&gt;0,1,0)</f>
        <v>0</v>
      </c>
      <c r="AE464" cm="1">
        <f t="array" ref="AE464">IF(SUMPRODUCT(--($AO$2:$AO$145=TRIM(LEFT($B464,IFERROR(FIND(" ",$B464)-1,LEN($B464))))))&gt;0,1,0)</f>
        <v>0</v>
      </c>
      <c r="AF464" cm="1">
        <f t="array" ref="AF464">IF(SUMPRODUCT(--($AQ$2:$AQ$71=TRIM(LEFT($B464,IFERROR(FIND(" ",$B464)-1,LEN($B464))))))&gt;0,1,0)</f>
        <v>0</v>
      </c>
    </row>
    <row r="465" spans="1:32" ht="45.75" thickBot="1" x14ac:dyDescent="0.3">
      <c r="A465" s="13">
        <v>81</v>
      </c>
      <c r="B465" s="4" t="s">
        <v>1038</v>
      </c>
      <c r="C465" s="4" t="s">
        <v>1039</v>
      </c>
      <c r="D465" s="7">
        <v>44725</v>
      </c>
      <c r="E465" s="3">
        <v>26315.78</v>
      </c>
      <c r="F465" s="4" t="s">
        <v>46</v>
      </c>
      <c r="G465" s="3">
        <v>39.67</v>
      </c>
      <c r="H465" s="4" t="s">
        <v>51</v>
      </c>
      <c r="I465" s="4" t="s">
        <v>51</v>
      </c>
      <c r="J465" s="4" t="s">
        <v>79</v>
      </c>
      <c r="K465" s="4"/>
      <c r="L465" s="4"/>
      <c r="M465" s="3">
        <v>12.77</v>
      </c>
      <c r="N465" s="3">
        <v>22673.87</v>
      </c>
      <c r="O465" s="4" t="s">
        <v>34</v>
      </c>
      <c r="P465" s="4" t="s">
        <v>34</v>
      </c>
      <c r="Q465" s="4" t="s">
        <v>35</v>
      </c>
      <c r="R465" s="3">
        <v>1105.92</v>
      </c>
      <c r="S465" s="3">
        <v>32.683</v>
      </c>
      <c r="T465" s="4" t="s">
        <v>43</v>
      </c>
      <c r="U465" s="2" t="s">
        <v>37</v>
      </c>
      <c r="V465" s="2" t="s">
        <v>37</v>
      </c>
      <c r="W465" s="2" t="s">
        <v>37</v>
      </c>
      <c r="X465" s="2" t="s">
        <v>37</v>
      </c>
      <c r="Y465" s="2" t="s">
        <v>37</v>
      </c>
      <c r="Z465" s="2" t="s">
        <v>37</v>
      </c>
      <c r="AA465" s="6">
        <v>4.4202162469999999</v>
      </c>
      <c r="AB465" s="6">
        <v>3.0437237119999998</v>
      </c>
      <c r="AC465" s="6">
        <v>4.3555256519999999</v>
      </c>
      <c r="AD465" cm="1">
        <f t="array" ref="AD465">IF(SUMPRODUCT(--($AM$2:$AM$112=TRIM(LEFT($B465,IFERROR(FIND(" ",$B465)-1,LEN($B465))))))&gt;0,1,0)</f>
        <v>0</v>
      </c>
      <c r="AE465" cm="1">
        <f t="array" ref="AE465">IF(SUMPRODUCT(--($AO$2:$AO$145=TRIM(LEFT($B465,IFERROR(FIND(" ",$B465)-1,LEN($B465))))))&gt;0,1,0)</f>
        <v>0</v>
      </c>
      <c r="AF465" cm="1">
        <f t="array" ref="AF465">IF(SUMPRODUCT(--($AQ$2:$AQ$71=TRIM(LEFT($B465,IFERROR(FIND(" ",$B465)-1,LEN($B465))))))&gt;0,1,0)</f>
        <v>0</v>
      </c>
    </row>
    <row r="466" spans="1:32" ht="180.75" thickBot="1" x14ac:dyDescent="0.3">
      <c r="A466" s="13">
        <v>176</v>
      </c>
      <c r="B466" s="4" t="s">
        <v>1040</v>
      </c>
      <c r="C466" s="2"/>
      <c r="D466" s="7">
        <v>44592</v>
      </c>
      <c r="E466" s="3">
        <v>14436.81</v>
      </c>
      <c r="F466" s="4" t="s">
        <v>30</v>
      </c>
      <c r="G466" s="3">
        <v>26.98</v>
      </c>
      <c r="H466" s="4" t="s">
        <v>31</v>
      </c>
      <c r="I466" s="4" t="s">
        <v>32</v>
      </c>
      <c r="J466" s="4" t="s">
        <v>33</v>
      </c>
      <c r="K466" s="4"/>
      <c r="L466" s="4"/>
      <c r="M466" s="3">
        <v>4.63</v>
      </c>
      <c r="N466" s="3">
        <v>11414.64</v>
      </c>
      <c r="O466" s="4" t="s">
        <v>34</v>
      </c>
      <c r="P466" s="4" t="s">
        <v>34</v>
      </c>
      <c r="Q466" s="4" t="s">
        <v>35</v>
      </c>
      <c r="R466" s="3">
        <v>3217.17</v>
      </c>
      <c r="S466" s="3">
        <v>9.9309499999999993</v>
      </c>
      <c r="T466" s="4" t="s">
        <v>267</v>
      </c>
      <c r="U466" s="2" t="s">
        <v>38</v>
      </c>
      <c r="V466" s="2" t="s">
        <v>37</v>
      </c>
      <c r="W466" s="2" t="s">
        <v>37</v>
      </c>
      <c r="X466" s="2" t="s">
        <v>38</v>
      </c>
      <c r="Y466" s="2" t="s">
        <v>38</v>
      </c>
      <c r="Z466" s="2" t="s">
        <v>37</v>
      </c>
      <c r="AA466" s="6">
        <v>4.1594712410000003</v>
      </c>
      <c r="AB466" s="6">
        <v>3.5074740100000001</v>
      </c>
      <c r="AC466" s="6">
        <v>4.0574622189999996</v>
      </c>
      <c r="AD466" cm="1">
        <f t="array" ref="AD466">IF(SUMPRODUCT(--($AM$2:$AM$112=TRIM(LEFT($B466,IFERROR(FIND(" ",$B466)-1,LEN($B466))))))&gt;0,1,0)</f>
        <v>0</v>
      </c>
      <c r="AE466" cm="1">
        <f t="array" ref="AE466">IF(SUMPRODUCT(--($AO$2:$AO$145=TRIM(LEFT($B466,IFERROR(FIND(" ",$B466)-1,LEN($B466))))))&gt;0,1,0)</f>
        <v>1</v>
      </c>
      <c r="AF466" cm="1">
        <f t="array" ref="AF466">IF(SUMPRODUCT(--($AQ$2:$AQ$71=TRIM(LEFT($B466,IFERROR(FIND(" ",$B466)-1,LEN($B466))))))&gt;0,1,0)</f>
        <v>0</v>
      </c>
    </row>
    <row r="467" spans="1:32" ht="135.75" thickBot="1" x14ac:dyDescent="0.3">
      <c r="A467" s="13">
        <v>53</v>
      </c>
      <c r="B467" s="4" t="s">
        <v>1041</v>
      </c>
      <c r="C467" s="4" t="s">
        <v>314</v>
      </c>
      <c r="D467" s="7">
        <v>44763</v>
      </c>
      <c r="E467" s="3">
        <v>1363.37</v>
      </c>
      <c r="F467" s="4" t="s">
        <v>30</v>
      </c>
      <c r="G467" s="3">
        <v>13.45</v>
      </c>
      <c r="H467" s="4" t="s">
        <v>41</v>
      </c>
      <c r="I467" s="4" t="s">
        <v>41</v>
      </c>
      <c r="J467" s="4" t="s">
        <v>100</v>
      </c>
      <c r="K467" s="4"/>
      <c r="L467" s="4"/>
      <c r="M467" s="3">
        <v>29.3</v>
      </c>
      <c r="N467" s="3">
        <v>731.79</v>
      </c>
      <c r="O467" s="4" t="s">
        <v>34</v>
      </c>
      <c r="P467" s="4" t="s">
        <v>34</v>
      </c>
      <c r="Q467" s="4" t="s">
        <v>35</v>
      </c>
      <c r="R467" s="3">
        <v>1120.49</v>
      </c>
      <c r="S467" s="3">
        <v>5.8525600000000004</v>
      </c>
      <c r="T467" s="4" t="s">
        <v>225</v>
      </c>
      <c r="U467" s="2" t="s">
        <v>37</v>
      </c>
      <c r="V467" s="2" t="s">
        <v>37</v>
      </c>
      <c r="W467" s="2" t="s">
        <v>37</v>
      </c>
      <c r="X467" s="2" t="s">
        <v>38</v>
      </c>
      <c r="Y467" s="2" t="s">
        <v>38</v>
      </c>
      <c r="Z467" s="2" t="s">
        <v>37</v>
      </c>
      <c r="AA467" s="6">
        <v>3.1346137330000001</v>
      </c>
      <c r="AB467" s="6">
        <v>3.0494079850000002</v>
      </c>
      <c r="AC467" s="6">
        <v>2.864386471</v>
      </c>
      <c r="AD467" cm="1">
        <f t="array" ref="AD467">IF(SUMPRODUCT(--($AM$2:$AM$112=TRIM(LEFT($B467,IFERROR(FIND(" ",$B467)-1,LEN($B467))))))&gt;0,1,0)</f>
        <v>0</v>
      </c>
      <c r="AE467" cm="1">
        <f t="array" ref="AE467">IF(SUMPRODUCT(--($AO$2:$AO$145=TRIM(LEFT($B467,IFERROR(FIND(" ",$B467)-1,LEN($B467))))))&gt;0,1,0)</f>
        <v>0</v>
      </c>
      <c r="AF467" cm="1">
        <f t="array" ref="AF467">IF(SUMPRODUCT(--($AQ$2:$AQ$71=TRIM(LEFT($B467,IFERROR(FIND(" ",$B467)-1,LEN($B467))))))&gt;0,1,0)</f>
        <v>0</v>
      </c>
    </row>
    <row r="468" spans="1:32" ht="45.75" thickBot="1" x14ac:dyDescent="0.3">
      <c r="A468" s="13">
        <v>236</v>
      </c>
      <c r="B468" s="4" t="s">
        <v>1042</v>
      </c>
      <c r="C468" s="4" t="s">
        <v>1043</v>
      </c>
      <c r="D468" s="7">
        <v>44508</v>
      </c>
      <c r="E468" s="3">
        <v>782.12</v>
      </c>
      <c r="F468" s="4" t="s">
        <v>46</v>
      </c>
      <c r="G468" s="4"/>
      <c r="H468" s="4" t="s">
        <v>65</v>
      </c>
      <c r="I468" s="4" t="s">
        <v>66</v>
      </c>
      <c r="J468" s="4" t="s">
        <v>66</v>
      </c>
      <c r="K468" s="3">
        <v>32.5</v>
      </c>
      <c r="L468" s="3">
        <v>32.5</v>
      </c>
      <c r="M468" s="3">
        <v>-1.33</v>
      </c>
      <c r="N468" s="3">
        <v>782.12</v>
      </c>
      <c r="O468" s="4" t="s">
        <v>34</v>
      </c>
      <c r="P468" s="4" t="s">
        <v>34</v>
      </c>
      <c r="Q468" s="4" t="s">
        <v>35</v>
      </c>
      <c r="R468" s="3">
        <v>261.74599999999998</v>
      </c>
      <c r="S468" s="3">
        <v>38.744100000000003</v>
      </c>
      <c r="T468" s="4" t="s">
        <v>43</v>
      </c>
      <c r="U468" s="2" t="s">
        <v>37</v>
      </c>
      <c r="V468" s="2" t="s">
        <v>37</v>
      </c>
      <c r="W468" s="2" t="s">
        <v>37</v>
      </c>
      <c r="X468" s="2" t="s">
        <v>37</v>
      </c>
      <c r="Y468" s="2" t="s">
        <v>37</v>
      </c>
      <c r="Z468" s="2" t="s">
        <v>37</v>
      </c>
      <c r="AA468" s="6">
        <v>2.8932733920000002</v>
      </c>
      <c r="AB468" s="6">
        <v>2.4178800539999998</v>
      </c>
      <c r="AC468" s="6">
        <v>2.8932733920000002</v>
      </c>
      <c r="AD468" cm="1">
        <f t="array" ref="AD468">IF(SUMPRODUCT(--($AM$2:$AM$112=TRIM(LEFT($B468,IFERROR(FIND(" ",$B468)-1,LEN($B468))))))&gt;0,1,0)</f>
        <v>0</v>
      </c>
      <c r="AE468" cm="1">
        <f t="array" ref="AE468">IF(SUMPRODUCT(--($AO$2:$AO$145=TRIM(LEFT($B468,IFERROR(FIND(" ",$B468)-1,LEN($B468))))))&gt;0,1,0)</f>
        <v>0</v>
      </c>
      <c r="AF468" cm="1">
        <f t="array" ref="AF468">IF(SUMPRODUCT(--($AQ$2:$AQ$71=TRIM(LEFT($B468,IFERROR(FIND(" ",$B468)-1,LEN($B468))))))&gt;0,1,0)</f>
        <v>0</v>
      </c>
    </row>
    <row r="469" spans="1:32" ht="75.75" thickBot="1" x14ac:dyDescent="0.3">
      <c r="A469" s="13">
        <v>54</v>
      </c>
      <c r="B469" s="4" t="s">
        <v>1044</v>
      </c>
      <c r="C469" s="4" t="s">
        <v>1045</v>
      </c>
      <c r="D469" s="7">
        <v>44760</v>
      </c>
      <c r="E469" s="3">
        <v>538.91999999999996</v>
      </c>
      <c r="F469" s="4" t="s">
        <v>30</v>
      </c>
      <c r="G469" s="3">
        <v>10.08</v>
      </c>
      <c r="H469" s="4" t="s">
        <v>70</v>
      </c>
      <c r="I469" s="4" t="s">
        <v>94</v>
      </c>
      <c r="J469" s="4" t="s">
        <v>170</v>
      </c>
      <c r="K469" s="4"/>
      <c r="L469" s="4"/>
      <c r="M469" s="3">
        <v>37.36</v>
      </c>
      <c r="N469" s="3">
        <v>470.13</v>
      </c>
      <c r="O469" s="4" t="s">
        <v>49</v>
      </c>
      <c r="P469" s="4" t="s">
        <v>1021</v>
      </c>
      <c r="Q469" s="4" t="s">
        <v>35</v>
      </c>
      <c r="R469" s="3">
        <v>2786.24</v>
      </c>
      <c r="S469" s="3">
        <v>9.9466599999999996</v>
      </c>
      <c r="T469" s="4" t="s">
        <v>97</v>
      </c>
      <c r="U469" s="2" t="s">
        <v>37</v>
      </c>
      <c r="V469" s="2" t="s">
        <v>37</v>
      </c>
      <c r="W469" s="2" t="s">
        <v>38</v>
      </c>
      <c r="X469" s="2" t="s">
        <v>37</v>
      </c>
      <c r="Y469" s="2" t="s">
        <v>37</v>
      </c>
      <c r="Z469" s="2" t="s">
        <v>37</v>
      </c>
      <c r="AA469" s="6">
        <v>2.7315243009999999</v>
      </c>
      <c r="AB469" s="6">
        <v>3.4450185229999999</v>
      </c>
      <c r="AC469" s="6">
        <v>2.6722179650000002</v>
      </c>
      <c r="AD469" cm="1">
        <f t="array" ref="AD469">IF(SUMPRODUCT(--($AM$2:$AM$112=TRIM(LEFT($B469,IFERROR(FIND(" ",$B469)-1,LEN($B469))))))&gt;0,1,0)</f>
        <v>0</v>
      </c>
      <c r="AE469" cm="1">
        <f t="array" ref="AE469">IF(SUMPRODUCT(--($AO$2:$AO$145=TRIM(LEFT($B469,IFERROR(FIND(" ",$B469)-1,LEN($B469))))))&gt;0,1,0)</f>
        <v>0</v>
      </c>
      <c r="AF469" cm="1">
        <f t="array" ref="AF469">IF(SUMPRODUCT(--($AQ$2:$AQ$71=TRIM(LEFT($B469,IFERROR(FIND(" ",$B469)-1,LEN($B469))))))&gt;0,1,0)</f>
        <v>0</v>
      </c>
    </row>
    <row r="470" spans="1:32" ht="75.75" thickBot="1" x14ac:dyDescent="0.3">
      <c r="A470" s="13">
        <v>212</v>
      </c>
      <c r="B470" s="4" t="s">
        <v>1046</v>
      </c>
      <c r="C470" s="4" t="s">
        <v>1047</v>
      </c>
      <c r="D470" s="7">
        <v>44536</v>
      </c>
      <c r="E470" s="3">
        <v>2222.31</v>
      </c>
      <c r="F470" s="4" t="s">
        <v>30</v>
      </c>
      <c r="G470" s="3">
        <v>15.67</v>
      </c>
      <c r="H470" s="4" t="s">
        <v>47</v>
      </c>
      <c r="I470" s="4" t="s">
        <v>47</v>
      </c>
      <c r="J470" s="4" t="s">
        <v>875</v>
      </c>
      <c r="K470" s="4"/>
      <c r="L470" s="3">
        <v>71</v>
      </c>
      <c r="M470" s="3">
        <v>36.68</v>
      </c>
      <c r="N470" s="3">
        <v>2352.21</v>
      </c>
      <c r="O470" s="4" t="s">
        <v>34</v>
      </c>
      <c r="P470" s="4" t="s">
        <v>147</v>
      </c>
      <c r="Q470" s="4" t="s">
        <v>35</v>
      </c>
      <c r="R470" s="3">
        <v>970.1</v>
      </c>
      <c r="S470" s="3">
        <v>6.58263</v>
      </c>
      <c r="T470" s="4" t="s">
        <v>97</v>
      </c>
      <c r="U470" s="2" t="s">
        <v>37</v>
      </c>
      <c r="V470" s="2" t="s">
        <v>37</v>
      </c>
      <c r="W470" s="2" t="s">
        <v>38</v>
      </c>
      <c r="X470" s="2" t="s">
        <v>37</v>
      </c>
      <c r="Y470" s="2" t="s">
        <v>37</v>
      </c>
      <c r="Z470" s="2" t="s">
        <v>37</v>
      </c>
      <c r="AA470" s="6">
        <v>3.3468046409999999</v>
      </c>
      <c r="AB470" s="6">
        <v>2.9868165050000002</v>
      </c>
      <c r="AC470" s="6">
        <v>3.371476092</v>
      </c>
      <c r="AD470" cm="1">
        <f t="array" ref="AD470">IF(SUMPRODUCT(--($AM$2:$AM$112=TRIM(LEFT($B470,IFERROR(FIND(" ",$B470)-1,LEN($B470))))))&gt;0,1,0)</f>
        <v>0</v>
      </c>
      <c r="AE470" cm="1">
        <f t="array" ref="AE470">IF(SUMPRODUCT(--($AO$2:$AO$145=TRIM(LEFT($B470,IFERROR(FIND(" ",$B470)-1,LEN($B470))))))&gt;0,1,0)</f>
        <v>0</v>
      </c>
      <c r="AF470" cm="1">
        <f t="array" ref="AF470">IF(SUMPRODUCT(--($AQ$2:$AQ$71=TRIM(LEFT($B470,IFERROR(FIND(" ",$B470)-1,LEN($B470))))))&gt;0,1,0)</f>
        <v>0</v>
      </c>
    </row>
    <row r="471" spans="1:32" ht="105.75" thickBot="1" x14ac:dyDescent="0.3">
      <c r="A471" s="13">
        <v>89</v>
      </c>
      <c r="B471" s="4" t="s">
        <v>1048</v>
      </c>
      <c r="C471" s="4" t="s">
        <v>1049</v>
      </c>
      <c r="D471" s="7">
        <v>44706</v>
      </c>
      <c r="E471" s="3">
        <v>500.26</v>
      </c>
      <c r="F471" s="4" t="s">
        <v>30</v>
      </c>
      <c r="G471" s="3">
        <v>6.8</v>
      </c>
      <c r="H471" s="4" t="s">
        <v>70</v>
      </c>
      <c r="I471" s="4" t="s">
        <v>94</v>
      </c>
      <c r="J471" s="4" t="s">
        <v>108</v>
      </c>
      <c r="K471" s="4"/>
      <c r="L471" s="4"/>
      <c r="M471" s="3">
        <v>42.51</v>
      </c>
      <c r="N471" s="3">
        <v>167.62</v>
      </c>
      <c r="O471" s="4" t="s">
        <v>207</v>
      </c>
      <c r="P471" s="4" t="s">
        <v>1050</v>
      </c>
      <c r="Q471" s="4" t="s">
        <v>399</v>
      </c>
      <c r="R471" s="3">
        <v>141.26</v>
      </c>
      <c r="S471" s="3">
        <v>55.560899999999997</v>
      </c>
      <c r="T471" s="4" t="s">
        <v>1051</v>
      </c>
      <c r="U471" s="2" t="s">
        <v>37</v>
      </c>
      <c r="V471" s="2" t="s">
        <v>37</v>
      </c>
      <c r="W471" s="2" t="s">
        <v>38</v>
      </c>
      <c r="X471" s="2" t="s">
        <v>38</v>
      </c>
      <c r="Y471" s="2" t="s">
        <v>37</v>
      </c>
      <c r="Z471" s="2" t="s">
        <v>37</v>
      </c>
      <c r="AA471" s="6">
        <v>2.6991957790000001</v>
      </c>
      <c r="AB471" s="6">
        <v>2.1500192020000002</v>
      </c>
      <c r="AC471" s="6">
        <v>2.2243258359999998</v>
      </c>
      <c r="AD471" cm="1">
        <f t="array" ref="AD471">IF(SUMPRODUCT(--($AM$2:$AM$112=TRIM(LEFT($B471,IFERROR(FIND(" ",$B471)-1,LEN($B471))))))&gt;0,1,0)</f>
        <v>0</v>
      </c>
      <c r="AE471" cm="1">
        <f t="array" ref="AE471">IF(SUMPRODUCT(--($AO$2:$AO$145=TRIM(LEFT($B471,IFERROR(FIND(" ",$B471)-1,LEN($B471))))))&gt;0,1,0)</f>
        <v>0</v>
      </c>
      <c r="AF471" cm="1">
        <f t="array" ref="AF471">IF(SUMPRODUCT(--($AQ$2:$AQ$71=TRIM(LEFT($B471,IFERROR(FIND(" ",$B471)-1,LEN($B471))))))&gt;0,1,0)</f>
        <v>0</v>
      </c>
    </row>
    <row r="472" spans="1:32" ht="135.75" thickBot="1" x14ac:dyDescent="0.3">
      <c r="A472" s="13">
        <v>89</v>
      </c>
      <c r="B472" s="4" t="s">
        <v>1052</v>
      </c>
      <c r="C472" s="4" t="s">
        <v>1053</v>
      </c>
      <c r="D472" s="7">
        <v>44697</v>
      </c>
      <c r="E472" s="3">
        <v>3990</v>
      </c>
      <c r="F472" s="4" t="s">
        <v>30</v>
      </c>
      <c r="G472" s="3">
        <v>14.88</v>
      </c>
      <c r="H472" s="4" t="s">
        <v>31</v>
      </c>
      <c r="I472" s="4" t="s">
        <v>32</v>
      </c>
      <c r="J472" s="4" t="s">
        <v>270</v>
      </c>
      <c r="K472" s="4"/>
      <c r="L472" s="4"/>
      <c r="M472" s="4"/>
      <c r="N472" s="3">
        <v>3648.87</v>
      </c>
      <c r="O472" s="4" t="s">
        <v>34</v>
      </c>
      <c r="P472" s="4" t="s">
        <v>34</v>
      </c>
      <c r="Q472" s="4" t="s">
        <v>35</v>
      </c>
      <c r="R472" s="3">
        <v>2553.96</v>
      </c>
      <c r="S472" s="3">
        <v>6.6676599999999997</v>
      </c>
      <c r="T472" s="4" t="s">
        <v>101</v>
      </c>
      <c r="U472" s="2" t="s">
        <v>37</v>
      </c>
      <c r="V472" s="2" t="s">
        <v>37</v>
      </c>
      <c r="W472" s="2" t="s">
        <v>37</v>
      </c>
      <c r="X472" s="2" t="s">
        <v>38</v>
      </c>
      <c r="Y472" s="2" t="s">
        <v>38</v>
      </c>
      <c r="Z472" s="2" t="s">
        <v>37</v>
      </c>
      <c r="AA472" s="6">
        <v>3.600972896</v>
      </c>
      <c r="AB472" s="6">
        <v>3.4072140910000002</v>
      </c>
      <c r="AC472" s="6">
        <v>3.5621583910000001</v>
      </c>
      <c r="AD472" cm="1">
        <f t="array" ref="AD472">IF(SUMPRODUCT(--($AM$2:$AM$112=TRIM(LEFT($B472,IFERROR(FIND(" ",$B472)-1,LEN($B472))))))&gt;0,1,0)</f>
        <v>0</v>
      </c>
      <c r="AE472" cm="1">
        <f t="array" ref="AE472">IF(SUMPRODUCT(--($AO$2:$AO$145=TRIM(LEFT($B472,IFERROR(FIND(" ",$B472)-1,LEN($B472))))))&gt;0,1,0)</f>
        <v>0</v>
      </c>
      <c r="AF472" cm="1">
        <f t="array" ref="AF472">IF(SUMPRODUCT(--($AQ$2:$AQ$71=TRIM(LEFT($B472,IFERROR(FIND(" ",$B472)-1,LEN($B472))))))&gt;0,1,0)</f>
        <v>0</v>
      </c>
    </row>
    <row r="473" spans="1:32" ht="45.75" thickBot="1" x14ac:dyDescent="0.3">
      <c r="A473" s="13">
        <v>78</v>
      </c>
      <c r="B473" s="4" t="s">
        <v>1054</v>
      </c>
      <c r="C473" s="4" t="s">
        <v>231</v>
      </c>
      <c r="D473" s="7">
        <v>44712</v>
      </c>
      <c r="E473" s="3">
        <v>886.12</v>
      </c>
      <c r="F473" s="4" t="s">
        <v>46</v>
      </c>
      <c r="G473" s="3">
        <v>24.32</v>
      </c>
      <c r="H473" s="4" t="s">
        <v>51</v>
      </c>
      <c r="I473" s="4" t="s">
        <v>51</v>
      </c>
      <c r="J473" s="4" t="s">
        <v>79</v>
      </c>
      <c r="K473" s="3">
        <v>9.6921199999999992</v>
      </c>
      <c r="L473" s="4"/>
      <c r="M473" s="3">
        <v>54.12</v>
      </c>
      <c r="N473" s="3">
        <v>612.51</v>
      </c>
      <c r="O473" s="4" t="s">
        <v>34</v>
      </c>
      <c r="P473" s="4" t="s">
        <v>34</v>
      </c>
      <c r="Q473" s="4" t="s">
        <v>35</v>
      </c>
      <c r="R473" s="3">
        <v>102.161</v>
      </c>
      <c r="S473" s="3">
        <v>9.5654900000000005</v>
      </c>
      <c r="T473" s="4" t="s">
        <v>43</v>
      </c>
      <c r="U473" s="2" t="s">
        <v>37</v>
      </c>
      <c r="V473" s="2" t="s">
        <v>37</v>
      </c>
      <c r="W473" s="2" t="s">
        <v>37</v>
      </c>
      <c r="X473" s="2" t="s">
        <v>37</v>
      </c>
      <c r="Y473" s="2" t="s">
        <v>37</v>
      </c>
      <c r="Z473" s="2" t="s">
        <v>37</v>
      </c>
      <c r="AA473" s="6">
        <v>2.9474925390000002</v>
      </c>
      <c r="AB473" s="6">
        <v>2.0092851349999998</v>
      </c>
      <c r="AC473" s="6">
        <v>2.7871131839999999</v>
      </c>
      <c r="AD473" cm="1">
        <f t="array" ref="AD473">IF(SUMPRODUCT(--($AM$2:$AM$112=TRIM(LEFT($B473,IFERROR(FIND(" ",$B473)-1,LEN($B473))))))&gt;0,1,0)</f>
        <v>0</v>
      </c>
      <c r="AE473" cm="1">
        <f t="array" ref="AE473">IF(SUMPRODUCT(--($AO$2:$AO$145=TRIM(LEFT($B473,IFERROR(FIND(" ",$B473)-1,LEN($B473))))))&gt;0,1,0)</f>
        <v>0</v>
      </c>
      <c r="AF473" cm="1">
        <f t="array" ref="AF473">IF(SUMPRODUCT(--($AQ$2:$AQ$71=TRIM(LEFT($B473,IFERROR(FIND(" ",$B473)-1,LEN($B473))))))&gt;0,1,0)</f>
        <v>0</v>
      </c>
    </row>
    <row r="474" spans="1:32" ht="45.75" thickBot="1" x14ac:dyDescent="0.3">
      <c r="A474" s="13">
        <v>286</v>
      </c>
      <c r="B474" s="4" t="s">
        <v>1055</v>
      </c>
      <c r="C474" s="4" t="s">
        <v>488</v>
      </c>
      <c r="D474" s="7">
        <v>44418</v>
      </c>
      <c r="E474" s="3">
        <v>9363.06</v>
      </c>
      <c r="F474" s="4" t="s">
        <v>107</v>
      </c>
      <c r="G474" s="3">
        <v>22.13</v>
      </c>
      <c r="H474" s="4" t="s">
        <v>31</v>
      </c>
      <c r="I474" s="4" t="s">
        <v>32</v>
      </c>
      <c r="J474" s="4" t="s">
        <v>33</v>
      </c>
      <c r="K474" s="4"/>
      <c r="L474" s="4"/>
      <c r="M474" s="3">
        <v>5.17</v>
      </c>
      <c r="N474" s="3">
        <v>8640.26</v>
      </c>
      <c r="O474" s="4" t="s">
        <v>34</v>
      </c>
      <c r="P474" s="4" t="s">
        <v>34</v>
      </c>
      <c r="Q474" s="4" t="s">
        <v>35</v>
      </c>
      <c r="R474" s="3">
        <v>941.1</v>
      </c>
      <c r="S474" s="3">
        <v>32.581600000000002</v>
      </c>
      <c r="T474" s="4" t="s">
        <v>43</v>
      </c>
      <c r="U474" s="2" t="s">
        <v>37</v>
      </c>
      <c r="V474" s="2" t="s">
        <v>37</v>
      </c>
      <c r="W474" s="2" t="s">
        <v>37</v>
      </c>
      <c r="X474" s="2" t="s">
        <v>37</v>
      </c>
      <c r="Y474" s="2" t="s">
        <v>37</v>
      </c>
      <c r="Z474" s="2" t="s">
        <v>37</v>
      </c>
      <c r="AA474" s="6">
        <v>3.9714178059999998</v>
      </c>
      <c r="AB474" s="6">
        <v>2.9736357729999998</v>
      </c>
      <c r="AC474" s="6">
        <v>3.9365268109999998</v>
      </c>
      <c r="AD474" cm="1">
        <f t="array" ref="AD474">IF(SUMPRODUCT(--($AM$2:$AM$112=TRIM(LEFT($B474,IFERROR(FIND(" ",$B474)-1,LEN($B474))))))&gt;0,1,0)</f>
        <v>0</v>
      </c>
      <c r="AE474" cm="1">
        <f t="array" ref="AE474">IF(SUMPRODUCT(--($AO$2:$AO$145=TRIM(LEFT($B474,IFERROR(FIND(" ",$B474)-1,LEN($B474))))))&gt;0,1,0)</f>
        <v>0</v>
      </c>
      <c r="AF474" cm="1">
        <f t="array" ref="AF474">IF(SUMPRODUCT(--($AQ$2:$AQ$71=TRIM(LEFT($B474,IFERROR(FIND(" ",$B474)-1,LEN($B474))))))&gt;0,1,0)</f>
        <v>0</v>
      </c>
    </row>
    <row r="475" spans="1:32" ht="60.75" thickBot="1" x14ac:dyDescent="0.3">
      <c r="A475" s="13">
        <v>59</v>
      </c>
      <c r="B475" s="4" t="s">
        <v>1056</v>
      </c>
      <c r="C475" s="4" t="s">
        <v>332</v>
      </c>
      <c r="D475" s="7">
        <v>44728</v>
      </c>
      <c r="E475" s="3">
        <v>2229.39</v>
      </c>
      <c r="F475" s="4" t="s">
        <v>69</v>
      </c>
      <c r="G475" s="3">
        <v>17.98</v>
      </c>
      <c r="H475" s="4" t="s">
        <v>70</v>
      </c>
      <c r="I475" s="4" t="s">
        <v>94</v>
      </c>
      <c r="J475" s="4" t="s">
        <v>95</v>
      </c>
      <c r="K475" s="4"/>
      <c r="L475" s="4"/>
      <c r="M475" s="3">
        <v>87.78</v>
      </c>
      <c r="N475" s="3">
        <v>1777.54</v>
      </c>
      <c r="O475" s="4" t="s">
        <v>49</v>
      </c>
      <c r="P475" s="4" t="s">
        <v>49</v>
      </c>
      <c r="Q475" s="4" t="s">
        <v>35</v>
      </c>
      <c r="R475" s="3">
        <v>813.31200000000001</v>
      </c>
      <c r="S475" s="3">
        <v>4.9525699999999997</v>
      </c>
      <c r="T475" s="4" t="s">
        <v>43</v>
      </c>
      <c r="U475" s="2" t="s">
        <v>37</v>
      </c>
      <c r="V475" s="2" t="s">
        <v>37</v>
      </c>
      <c r="W475" s="2" t="s">
        <v>37</v>
      </c>
      <c r="X475" s="2" t="s">
        <v>37</v>
      </c>
      <c r="Y475" s="2" t="s">
        <v>37</v>
      </c>
      <c r="Z475" s="2" t="s">
        <v>37</v>
      </c>
      <c r="AA475" s="6">
        <v>3.3481860490000002</v>
      </c>
      <c r="AB475" s="6">
        <v>2.9102571799999999</v>
      </c>
      <c r="AC475" s="6">
        <v>3.2498193820000001</v>
      </c>
      <c r="AD475" cm="1">
        <f t="array" ref="AD475">IF(SUMPRODUCT(--($AM$2:$AM$112=TRIM(LEFT($B475,IFERROR(FIND(" ",$B475)-1,LEN($B475))))))&gt;0,1,0)</f>
        <v>0</v>
      </c>
      <c r="AE475" cm="1">
        <f t="array" ref="AE475">IF(SUMPRODUCT(--($AO$2:$AO$145=TRIM(LEFT($B475,IFERROR(FIND(" ",$B475)-1,LEN($B475))))))&gt;0,1,0)</f>
        <v>0</v>
      </c>
      <c r="AF475" cm="1">
        <f t="array" ref="AF475">IF(SUMPRODUCT(--($AQ$2:$AQ$71=TRIM(LEFT($B475,IFERROR(FIND(" ",$B475)-1,LEN($B475))))))&gt;0,1,0)</f>
        <v>0</v>
      </c>
    </row>
    <row r="476" spans="1:32" ht="45.75" thickBot="1" x14ac:dyDescent="0.3">
      <c r="A476" s="13">
        <v>330</v>
      </c>
      <c r="B476" s="4" t="s">
        <v>1057</v>
      </c>
      <c r="C476" s="4" t="s">
        <v>967</v>
      </c>
      <c r="D476" s="7">
        <v>44342</v>
      </c>
      <c r="E476" s="3">
        <v>10230.94</v>
      </c>
      <c r="F476" s="4" t="s">
        <v>30</v>
      </c>
      <c r="G476" s="4"/>
      <c r="H476" s="4" t="s">
        <v>184</v>
      </c>
      <c r="I476" s="4" t="s">
        <v>185</v>
      </c>
      <c r="J476" s="4" t="s">
        <v>186</v>
      </c>
      <c r="K476" s="4"/>
      <c r="L476" s="4"/>
      <c r="M476" s="4"/>
      <c r="N476" s="3">
        <v>8450</v>
      </c>
      <c r="O476" s="4" t="s">
        <v>34</v>
      </c>
      <c r="P476" s="4" t="s">
        <v>34</v>
      </c>
      <c r="Q476" s="4" t="s">
        <v>35</v>
      </c>
      <c r="R476" s="3">
        <v>1574.36</v>
      </c>
      <c r="S476" s="2"/>
      <c r="T476" s="4" t="s">
        <v>43</v>
      </c>
      <c r="U476" s="2" t="s">
        <v>37</v>
      </c>
      <c r="V476" s="2" t="s">
        <v>37</v>
      </c>
      <c r="W476" s="2" t="s">
        <v>37</v>
      </c>
      <c r="X476" s="2" t="s">
        <v>37</v>
      </c>
      <c r="Y476" s="2" t="s">
        <v>37</v>
      </c>
      <c r="Z476" s="2" t="s">
        <v>37</v>
      </c>
      <c r="AA476" s="6">
        <v>4.0099155379999996</v>
      </c>
      <c r="AB476" s="6">
        <v>3.1971040469999998</v>
      </c>
      <c r="AC476" s="6">
        <v>3.9268567089999999</v>
      </c>
      <c r="AD476" cm="1">
        <f t="array" ref="AD476">IF(SUMPRODUCT(--($AM$2:$AM$112=TRIM(LEFT($B476,IFERROR(FIND(" ",$B476)-1,LEN($B476))))))&gt;0,1,0)</f>
        <v>0</v>
      </c>
      <c r="AE476" cm="1">
        <f t="array" ref="AE476">IF(SUMPRODUCT(--($AO$2:$AO$145=TRIM(LEFT($B476,IFERROR(FIND(" ",$B476)-1,LEN($B476))))))&gt;0,1,0)</f>
        <v>0</v>
      </c>
      <c r="AF476" cm="1">
        <f t="array" ref="AF476">IF(SUMPRODUCT(--($AQ$2:$AQ$71=TRIM(LEFT($B476,IFERROR(FIND(" ",$B476)-1,LEN($B476))))))&gt;0,1,0)</f>
        <v>0</v>
      </c>
    </row>
    <row r="477" spans="1:32" ht="75.75" thickBot="1" x14ac:dyDescent="0.3">
      <c r="A477" s="13">
        <v>111</v>
      </c>
      <c r="B477" s="4" t="s">
        <v>1058</v>
      </c>
      <c r="C477" s="4" t="s">
        <v>1059</v>
      </c>
      <c r="D477" s="7">
        <v>44648</v>
      </c>
      <c r="E477" s="3">
        <v>3072.46</v>
      </c>
      <c r="F477" s="4" t="s">
        <v>30</v>
      </c>
      <c r="G477" s="3">
        <v>17.91</v>
      </c>
      <c r="H477" s="4" t="s">
        <v>31</v>
      </c>
      <c r="I477" s="4" t="s">
        <v>432</v>
      </c>
      <c r="J477" s="4" t="s">
        <v>433</v>
      </c>
      <c r="K477" s="3">
        <v>66</v>
      </c>
      <c r="L477" s="4"/>
      <c r="M477" s="3">
        <v>48.55</v>
      </c>
      <c r="N477" s="3">
        <v>1711.15</v>
      </c>
      <c r="O477" s="4" t="s">
        <v>34</v>
      </c>
      <c r="P477" s="4" t="s">
        <v>34</v>
      </c>
      <c r="Q477" s="4" t="s">
        <v>35</v>
      </c>
      <c r="R477" s="3">
        <v>1681.14</v>
      </c>
      <c r="S477" s="3">
        <v>-1.6412199999999999</v>
      </c>
      <c r="T477" s="4" t="s">
        <v>43</v>
      </c>
      <c r="U477" s="2" t="s">
        <v>37</v>
      </c>
      <c r="V477" s="2" t="s">
        <v>37</v>
      </c>
      <c r="W477" s="2" t="s">
        <v>37</v>
      </c>
      <c r="X477" s="2" t="s">
        <v>37</v>
      </c>
      <c r="Y477" s="2" t="s">
        <v>37</v>
      </c>
      <c r="Z477" s="2" t="s">
        <v>37</v>
      </c>
      <c r="AA477" s="6">
        <v>3.4874862379999998</v>
      </c>
      <c r="AB477" s="6">
        <v>3.2256038820000001</v>
      </c>
      <c r="AC477" s="6">
        <v>3.2332880820000001</v>
      </c>
      <c r="AD477" cm="1">
        <f t="array" ref="AD477">IF(SUMPRODUCT(--($AM$2:$AM$112=TRIM(LEFT($B477,IFERROR(FIND(" ",$B477)-1,LEN($B477))))))&gt;0,1,0)</f>
        <v>1</v>
      </c>
      <c r="AE477" cm="1">
        <f t="array" ref="AE477">IF(SUMPRODUCT(--($AO$2:$AO$145=TRIM(LEFT($B477,IFERROR(FIND(" ",$B477)-1,LEN($B477))))))&gt;0,1,0)</f>
        <v>1</v>
      </c>
      <c r="AF477" cm="1">
        <f t="array" ref="AF477">IF(SUMPRODUCT(--($AQ$2:$AQ$71=TRIM(LEFT($B477,IFERROR(FIND(" ",$B477)-1,LEN($B477))))))&gt;0,1,0)</f>
        <v>0</v>
      </c>
    </row>
    <row r="478" spans="1:32" ht="45.75" thickBot="1" x14ac:dyDescent="0.3">
      <c r="A478" s="13">
        <v>74</v>
      </c>
      <c r="B478" s="4" t="s">
        <v>1060</v>
      </c>
      <c r="C478" s="4" t="s">
        <v>1061</v>
      </c>
      <c r="D478" s="7">
        <v>44697</v>
      </c>
      <c r="E478" s="3">
        <v>1281.6600000000001</v>
      </c>
      <c r="F478" s="4" t="s">
        <v>46</v>
      </c>
      <c r="G478" s="3">
        <v>5.61</v>
      </c>
      <c r="H478" s="4" t="s">
        <v>118</v>
      </c>
      <c r="I478" s="4" t="s">
        <v>119</v>
      </c>
      <c r="J478" s="4" t="s">
        <v>120</v>
      </c>
      <c r="K478" s="4"/>
      <c r="L478" s="4"/>
      <c r="M478" s="3">
        <v>10.73</v>
      </c>
      <c r="N478" s="3">
        <v>571.9</v>
      </c>
      <c r="O478" s="4" t="s">
        <v>34</v>
      </c>
      <c r="P478" s="4" t="s">
        <v>34</v>
      </c>
      <c r="Q478" s="4" t="s">
        <v>35</v>
      </c>
      <c r="R478" s="3">
        <v>396.34100000000001</v>
      </c>
      <c r="S478" s="3">
        <v>42.236899999999999</v>
      </c>
      <c r="T478" s="4" t="s">
        <v>43</v>
      </c>
      <c r="U478" s="2" t="s">
        <v>37</v>
      </c>
      <c r="V478" s="2" t="s">
        <v>37</v>
      </c>
      <c r="W478" s="2" t="s">
        <v>37</v>
      </c>
      <c r="X478" s="2" t="s">
        <v>37</v>
      </c>
      <c r="Y478" s="2" t="s">
        <v>37</v>
      </c>
      <c r="Z478" s="2" t="s">
        <v>37</v>
      </c>
      <c r="AA478" s="6">
        <v>3.10777283</v>
      </c>
      <c r="AB478" s="6">
        <v>2.5980690009999998</v>
      </c>
      <c r="AC478" s="6">
        <v>2.757320097</v>
      </c>
      <c r="AD478" cm="1">
        <f t="array" ref="AD478">IF(SUMPRODUCT(--($AM$2:$AM$112=TRIM(LEFT($B478,IFERROR(FIND(" ",$B478)-1,LEN($B478))))))&gt;0,1,0)</f>
        <v>0</v>
      </c>
      <c r="AE478" cm="1">
        <f t="array" ref="AE478">IF(SUMPRODUCT(--($AO$2:$AO$145=TRIM(LEFT($B478,IFERROR(FIND(" ",$B478)-1,LEN($B478))))))&gt;0,1,0)</f>
        <v>0</v>
      </c>
      <c r="AF478" cm="1">
        <f t="array" ref="AF478">IF(SUMPRODUCT(--($AQ$2:$AQ$71=TRIM(LEFT($B478,IFERROR(FIND(" ",$B478)-1,LEN($B478))))))&gt;0,1,0)</f>
        <v>0</v>
      </c>
    </row>
    <row r="479" spans="1:32" ht="75.75" thickBot="1" x14ac:dyDescent="0.3">
      <c r="A479" s="13">
        <v>55</v>
      </c>
      <c r="B479" s="4" t="s">
        <v>1062</v>
      </c>
      <c r="C479" s="4" t="s">
        <v>749</v>
      </c>
      <c r="D479" s="7">
        <v>44715</v>
      </c>
      <c r="E479" s="3">
        <v>2862.28</v>
      </c>
      <c r="F479" s="4" t="s">
        <v>30</v>
      </c>
      <c r="G479" s="4"/>
      <c r="H479" s="4" t="s">
        <v>41</v>
      </c>
      <c r="I479" s="4" t="s">
        <v>41</v>
      </c>
      <c r="J479" s="4" t="s">
        <v>42</v>
      </c>
      <c r="K479" s="4"/>
      <c r="L479" s="4"/>
      <c r="M479" s="3">
        <v>135.81</v>
      </c>
      <c r="N479" s="3">
        <v>3774.64</v>
      </c>
      <c r="O479" s="4" t="s">
        <v>34</v>
      </c>
      <c r="P479" s="4" t="s">
        <v>34</v>
      </c>
      <c r="Q479" s="4" t="s">
        <v>35</v>
      </c>
      <c r="R479" s="3">
        <v>30.829000000000001</v>
      </c>
      <c r="S479" s="3">
        <v>-34185.800000000003</v>
      </c>
      <c r="T479" s="4" t="s">
        <v>88</v>
      </c>
      <c r="U479" s="2" t="s">
        <v>37</v>
      </c>
      <c r="V479" s="2" t="s">
        <v>37</v>
      </c>
      <c r="W479" s="2" t="s">
        <v>37</v>
      </c>
      <c r="X479" s="2" t="s">
        <v>37</v>
      </c>
      <c r="Y479" s="2" t="s">
        <v>37</v>
      </c>
      <c r="Z479" s="2" t="s">
        <v>38</v>
      </c>
      <c r="AA479" s="6">
        <v>3.4567121159999998</v>
      </c>
      <c r="AB479" s="6">
        <v>1.488959438</v>
      </c>
      <c r="AC479" s="6">
        <v>3.5768755379999999</v>
      </c>
      <c r="AD479" cm="1">
        <f t="array" ref="AD479">IF(SUMPRODUCT(--($AM$2:$AM$112=TRIM(LEFT($B479,IFERROR(FIND(" ",$B479)-1,LEN($B479))))))&gt;0,1,0)</f>
        <v>0</v>
      </c>
      <c r="AE479" cm="1">
        <f t="array" ref="AE479">IF(SUMPRODUCT(--($AO$2:$AO$145=TRIM(LEFT($B479,IFERROR(FIND(" ",$B479)-1,LEN($B479))))))&gt;0,1,0)</f>
        <v>0</v>
      </c>
      <c r="AF479" cm="1">
        <f t="array" ref="AF479">IF(SUMPRODUCT(--($AQ$2:$AQ$71=TRIM(LEFT($B479,IFERROR(FIND(" ",$B479)-1,LEN($B479))))))&gt;0,1,0)</f>
        <v>0</v>
      </c>
    </row>
    <row r="480" spans="1:32" ht="45.75" thickBot="1" x14ac:dyDescent="0.3">
      <c r="A480" s="13">
        <v>78</v>
      </c>
      <c r="B480" s="4" t="s">
        <v>1063</v>
      </c>
      <c r="C480" s="4" t="s">
        <v>344</v>
      </c>
      <c r="D480" s="7">
        <v>44683</v>
      </c>
      <c r="E480" s="3">
        <v>674.29</v>
      </c>
      <c r="F480" s="4" t="s">
        <v>46</v>
      </c>
      <c r="G480" s="3">
        <v>149.69999999999999</v>
      </c>
      <c r="H480" s="4" t="s">
        <v>47</v>
      </c>
      <c r="I480" s="4" t="s">
        <v>47</v>
      </c>
      <c r="J480" s="4" t="s">
        <v>48</v>
      </c>
      <c r="K480" s="4"/>
      <c r="L480" s="4"/>
      <c r="M480" s="3">
        <v>32.82</v>
      </c>
      <c r="N480" s="3">
        <v>619.02</v>
      </c>
      <c r="O480" s="4" t="s">
        <v>49</v>
      </c>
      <c r="P480" s="4" t="s">
        <v>49</v>
      </c>
      <c r="Q480" s="4" t="s">
        <v>35</v>
      </c>
      <c r="R480" s="3">
        <v>27.159800000000001</v>
      </c>
      <c r="S480" s="3">
        <v>14.816800000000001</v>
      </c>
      <c r="T480" s="4" t="s">
        <v>43</v>
      </c>
      <c r="U480" s="2" t="s">
        <v>37</v>
      </c>
      <c r="V480" s="2" t="s">
        <v>37</v>
      </c>
      <c r="W480" s="2" t="s">
        <v>37</v>
      </c>
      <c r="X480" s="2" t="s">
        <v>37</v>
      </c>
      <c r="Y480" s="2" t="s">
        <v>37</v>
      </c>
      <c r="Z480" s="2" t="s">
        <v>37</v>
      </c>
      <c r="AA480" s="6">
        <v>2.828846719</v>
      </c>
      <c r="AB480" s="6">
        <v>1.433926568</v>
      </c>
      <c r="AC480" s="6">
        <v>2.7917046810000001</v>
      </c>
      <c r="AD480" cm="1">
        <f t="array" ref="AD480">IF(SUMPRODUCT(--($AM$2:$AM$112=TRIM(LEFT($B480,IFERROR(FIND(" ",$B480)-1,LEN($B480))))))&gt;0,1,0)</f>
        <v>0</v>
      </c>
      <c r="AE480" cm="1">
        <f t="array" ref="AE480">IF(SUMPRODUCT(--($AO$2:$AO$145=TRIM(LEFT($B480,IFERROR(FIND(" ",$B480)-1,LEN($B480))))))&gt;0,1,0)</f>
        <v>0</v>
      </c>
      <c r="AF480" cm="1">
        <f t="array" ref="AF480">IF(SUMPRODUCT(--($AQ$2:$AQ$71=TRIM(LEFT($B480,IFERROR(FIND(" ",$B480)-1,LEN($B480))))))&gt;0,1,0)</f>
        <v>0</v>
      </c>
    </row>
    <row r="481" spans="1:32" ht="135.75" thickBot="1" x14ac:dyDescent="0.3">
      <c r="A481" s="13">
        <v>92</v>
      </c>
      <c r="B481" s="4" t="s">
        <v>1064</v>
      </c>
      <c r="C481" s="4" t="s">
        <v>230</v>
      </c>
      <c r="D481" s="7">
        <v>44662</v>
      </c>
      <c r="E481" s="3">
        <v>6130.68</v>
      </c>
      <c r="F481" s="4" t="s">
        <v>30</v>
      </c>
      <c r="G481" s="4"/>
      <c r="H481" s="4" t="s">
        <v>31</v>
      </c>
      <c r="I481" s="4" t="s">
        <v>32</v>
      </c>
      <c r="J481" s="4" t="s">
        <v>33</v>
      </c>
      <c r="K481" s="4"/>
      <c r="L481" s="4"/>
      <c r="M481" s="3">
        <v>34.42</v>
      </c>
      <c r="N481" s="3">
        <v>6146.01</v>
      </c>
      <c r="O481" s="4" t="s">
        <v>34</v>
      </c>
      <c r="P481" s="4" t="s">
        <v>34</v>
      </c>
      <c r="Q481" s="4" t="s">
        <v>35</v>
      </c>
      <c r="R481" s="3">
        <v>438.95400000000001</v>
      </c>
      <c r="S481" s="3">
        <v>-16.9161</v>
      </c>
      <c r="T481" s="4" t="s">
        <v>312</v>
      </c>
      <c r="U481" s="2" t="s">
        <v>37</v>
      </c>
      <c r="V481" s="2" t="s">
        <v>37</v>
      </c>
      <c r="W481" s="2" t="s">
        <v>37</v>
      </c>
      <c r="X481" s="2" t="s">
        <v>38</v>
      </c>
      <c r="Y481" s="2" t="s">
        <v>38</v>
      </c>
      <c r="Z481" s="2" t="s">
        <v>37</v>
      </c>
      <c r="AA481" s="6">
        <v>3.7875086480000002</v>
      </c>
      <c r="AB481" s="6">
        <v>2.6424190109999999</v>
      </c>
      <c r="AC481" s="6">
        <v>3.7885932630000001</v>
      </c>
      <c r="AD481" cm="1">
        <f t="array" ref="AD481">IF(SUMPRODUCT(--($AM$2:$AM$112=TRIM(LEFT($B481,IFERROR(FIND(" ",$B481)-1,LEN($B481))))))&gt;0,1,0)</f>
        <v>0</v>
      </c>
      <c r="AE481" cm="1">
        <f t="array" ref="AE481">IF(SUMPRODUCT(--($AO$2:$AO$145=TRIM(LEFT($B481,IFERROR(FIND(" ",$B481)-1,LEN($B481))))))&gt;0,1,0)</f>
        <v>0</v>
      </c>
      <c r="AF481" cm="1">
        <f t="array" ref="AF481">IF(SUMPRODUCT(--($AQ$2:$AQ$71=TRIM(LEFT($B481,IFERROR(FIND(" ",$B481)-1,LEN($B481))))))&gt;0,1,0)</f>
        <v>0</v>
      </c>
    </row>
    <row r="482" spans="1:32" ht="180.75" thickBot="1" x14ac:dyDescent="0.3">
      <c r="A482" s="13">
        <v>38</v>
      </c>
      <c r="B482" s="4" t="s">
        <v>1065</v>
      </c>
      <c r="C482" s="2"/>
      <c r="D482" s="7">
        <v>44735</v>
      </c>
      <c r="E482" s="3">
        <v>744.53</v>
      </c>
      <c r="F482" s="4" t="s">
        <v>30</v>
      </c>
      <c r="G482" s="4"/>
      <c r="H482" s="4" t="s">
        <v>41</v>
      </c>
      <c r="I482" s="4" t="s">
        <v>41</v>
      </c>
      <c r="J482" s="4" t="s">
        <v>42</v>
      </c>
      <c r="K482" s="4"/>
      <c r="L482" s="4"/>
      <c r="M482" s="3">
        <v>41.21</v>
      </c>
      <c r="N482" s="3">
        <v>476.01</v>
      </c>
      <c r="O482" s="4" t="s">
        <v>34</v>
      </c>
      <c r="P482" s="4" t="s">
        <v>869</v>
      </c>
      <c r="Q482" s="4" t="s">
        <v>35</v>
      </c>
      <c r="R482" s="3">
        <v>229.97300000000001</v>
      </c>
      <c r="S482" s="3">
        <v>-22.709700000000002</v>
      </c>
      <c r="T482" s="4" t="s">
        <v>1066</v>
      </c>
      <c r="U482" s="2" t="s">
        <v>37</v>
      </c>
      <c r="V482" s="2" t="s">
        <v>37</v>
      </c>
      <c r="W482" s="2" t="s">
        <v>38</v>
      </c>
      <c r="X482" s="2" t="s">
        <v>38</v>
      </c>
      <c r="Y482" s="2" t="s">
        <v>38</v>
      </c>
      <c r="Z482" s="2" t="s">
        <v>38</v>
      </c>
      <c r="AA482" s="6">
        <v>2.8718822020000001</v>
      </c>
      <c r="AB482" s="6">
        <v>2.3616768509999999</v>
      </c>
      <c r="AC482" s="6">
        <v>2.6776160760000001</v>
      </c>
      <c r="AD482" cm="1">
        <f t="array" ref="AD482">IF(SUMPRODUCT(--($AM$2:$AM$112=TRIM(LEFT($B482,IFERROR(FIND(" ",$B482)-1,LEN($B482))))))&gt;0,1,0)</f>
        <v>0</v>
      </c>
      <c r="AE482" cm="1">
        <f t="array" ref="AE482">IF(SUMPRODUCT(--($AO$2:$AO$145=TRIM(LEFT($B482,IFERROR(FIND(" ",$B482)-1,LEN($B482))))))&gt;0,1,0)</f>
        <v>0</v>
      </c>
      <c r="AF482" cm="1">
        <f t="array" ref="AF482">IF(SUMPRODUCT(--($AQ$2:$AQ$71=TRIM(LEFT($B482,IFERROR(FIND(" ",$B482)-1,LEN($B482))))))&gt;0,1,0)</f>
        <v>0</v>
      </c>
    </row>
    <row r="483" spans="1:32" ht="135.75" thickBot="1" x14ac:dyDescent="0.3">
      <c r="A483" s="13">
        <v>82</v>
      </c>
      <c r="B483" s="4" t="s">
        <v>1067</v>
      </c>
      <c r="C483" s="4" t="s">
        <v>539</v>
      </c>
      <c r="D483" s="7">
        <v>44670</v>
      </c>
      <c r="E483" s="3">
        <v>12790.86</v>
      </c>
      <c r="F483" s="4" t="s">
        <v>30</v>
      </c>
      <c r="G483" s="3">
        <v>25.84</v>
      </c>
      <c r="H483" s="4" t="s">
        <v>51</v>
      </c>
      <c r="I483" s="4" t="s">
        <v>51</v>
      </c>
      <c r="J483" s="4" t="s">
        <v>79</v>
      </c>
      <c r="K483" s="4"/>
      <c r="L483" s="4"/>
      <c r="M483" s="3">
        <v>15.95</v>
      </c>
      <c r="N483" s="3">
        <v>9110.6</v>
      </c>
      <c r="O483" s="4" t="s">
        <v>34</v>
      </c>
      <c r="P483" s="4" t="s">
        <v>34</v>
      </c>
      <c r="Q483" s="4" t="s">
        <v>35</v>
      </c>
      <c r="R483" s="3">
        <v>942.40899999999999</v>
      </c>
      <c r="S483" s="3">
        <v>19.5763</v>
      </c>
      <c r="T483" s="4" t="s">
        <v>312</v>
      </c>
      <c r="U483" s="2" t="s">
        <v>37</v>
      </c>
      <c r="V483" s="2" t="s">
        <v>37</v>
      </c>
      <c r="W483" s="2" t="s">
        <v>37</v>
      </c>
      <c r="X483" s="2" t="s">
        <v>38</v>
      </c>
      <c r="Y483" s="2" t="s">
        <v>38</v>
      </c>
      <c r="Z483" s="2" t="s">
        <v>37</v>
      </c>
      <c r="AA483" s="6">
        <v>4.1068997449999998</v>
      </c>
      <c r="AB483" s="6">
        <v>2.9742394249999999</v>
      </c>
      <c r="AC483" s="6">
        <v>3.9595469790000002</v>
      </c>
      <c r="AD483" cm="1">
        <f t="array" ref="AD483">IF(SUMPRODUCT(--($AM$2:$AM$112=TRIM(LEFT($B483,IFERROR(FIND(" ",$B483)-1,LEN($B483))))))&gt;0,1,0)</f>
        <v>0</v>
      </c>
      <c r="AE483" cm="1">
        <f t="array" ref="AE483">IF(SUMPRODUCT(--($AO$2:$AO$145=TRIM(LEFT($B483,IFERROR(FIND(" ",$B483)-1,LEN($B483))))))&gt;0,1,0)</f>
        <v>0</v>
      </c>
      <c r="AF483" cm="1">
        <f t="array" ref="AF483">IF(SUMPRODUCT(--($AQ$2:$AQ$71=TRIM(LEFT($B483,IFERROR(FIND(" ",$B483)-1,LEN($B483))))))&gt;0,1,0)</f>
        <v>0</v>
      </c>
    </row>
    <row r="484" spans="1:32" ht="60.75" thickBot="1" x14ac:dyDescent="0.3">
      <c r="A484" s="13">
        <v>117</v>
      </c>
      <c r="B484" s="4" t="s">
        <v>1068</v>
      </c>
      <c r="C484" s="4" t="s">
        <v>1069</v>
      </c>
      <c r="D484" s="7">
        <v>44614</v>
      </c>
      <c r="E484" s="3">
        <v>3571.28</v>
      </c>
      <c r="F484" s="4" t="s">
        <v>30</v>
      </c>
      <c r="G484" s="3">
        <v>10.57</v>
      </c>
      <c r="H484" s="4" t="s">
        <v>70</v>
      </c>
      <c r="I484" s="4" t="s">
        <v>71</v>
      </c>
      <c r="J484" s="4" t="s">
        <v>239</v>
      </c>
      <c r="K484" s="3">
        <v>160</v>
      </c>
      <c r="L484" s="3">
        <v>73.5</v>
      </c>
      <c r="M484" s="3">
        <v>52.88</v>
      </c>
      <c r="N484" s="3">
        <v>2583.2800000000002</v>
      </c>
      <c r="O484" s="4" t="s">
        <v>34</v>
      </c>
      <c r="P484" s="4" t="s">
        <v>34</v>
      </c>
      <c r="Q484" s="4" t="s">
        <v>35</v>
      </c>
      <c r="R484" s="3">
        <v>3833</v>
      </c>
      <c r="S484" s="3">
        <v>5.9604200000000001</v>
      </c>
      <c r="T484" s="4" t="s">
        <v>43</v>
      </c>
      <c r="U484" s="2" t="s">
        <v>37</v>
      </c>
      <c r="V484" s="2" t="s">
        <v>37</v>
      </c>
      <c r="W484" s="2" t="s">
        <v>37</v>
      </c>
      <c r="X484" s="2" t="s">
        <v>37</v>
      </c>
      <c r="Y484" s="2" t="s">
        <v>37</v>
      </c>
      <c r="Z484" s="2" t="s">
        <v>37</v>
      </c>
      <c r="AA484" s="6">
        <v>3.5528239020000001</v>
      </c>
      <c r="AB484" s="6">
        <v>3.5835388190000002</v>
      </c>
      <c r="AC484" s="6">
        <v>3.4121714820000002</v>
      </c>
      <c r="AD484" cm="1">
        <f t="array" ref="AD484">IF(SUMPRODUCT(--($AM$2:$AM$112=TRIM(LEFT($B484,IFERROR(FIND(" ",$B484)-1,LEN($B484))))))&gt;0,1,0)</f>
        <v>1</v>
      </c>
      <c r="AE484" cm="1">
        <f t="array" ref="AE484">IF(SUMPRODUCT(--($AO$2:$AO$145=TRIM(LEFT($B484,IFERROR(FIND(" ",$B484)-1,LEN($B484))))))&gt;0,1,0)</f>
        <v>1</v>
      </c>
      <c r="AF484" cm="1">
        <f t="array" ref="AF484">IF(SUMPRODUCT(--($AQ$2:$AQ$71=TRIM(LEFT($B484,IFERROR(FIND(" ",$B484)-1,LEN($B484))))))&gt;0,1,0)</f>
        <v>0</v>
      </c>
    </row>
    <row r="485" spans="1:32" ht="75.75" thickBot="1" x14ac:dyDescent="0.3">
      <c r="A485" s="13">
        <v>195</v>
      </c>
      <c r="B485" s="4" t="s">
        <v>1070</v>
      </c>
      <c r="C485" s="4" t="s">
        <v>1071</v>
      </c>
      <c r="D485" s="7">
        <v>44504</v>
      </c>
      <c r="E485" s="3">
        <v>796.35</v>
      </c>
      <c r="F485" s="4" t="s">
        <v>30</v>
      </c>
      <c r="G485" s="4"/>
      <c r="H485" s="4" t="s">
        <v>31</v>
      </c>
      <c r="I485" s="4" t="s">
        <v>432</v>
      </c>
      <c r="J485" s="4" t="s">
        <v>1072</v>
      </c>
      <c r="K485" s="4"/>
      <c r="L485" s="4"/>
      <c r="M485" s="3">
        <v>66.06</v>
      </c>
      <c r="N485" s="3">
        <v>843.13</v>
      </c>
      <c r="O485" s="4" t="s">
        <v>34</v>
      </c>
      <c r="P485" s="4" t="s">
        <v>34</v>
      </c>
      <c r="Q485" s="4" t="s">
        <v>35</v>
      </c>
      <c r="R485" s="3">
        <v>290.28899999999999</v>
      </c>
      <c r="S485" s="3">
        <v>-1.9918100000000001</v>
      </c>
      <c r="T485" s="4" t="s">
        <v>43</v>
      </c>
      <c r="U485" s="2" t="s">
        <v>37</v>
      </c>
      <c r="V485" s="2" t="s">
        <v>37</v>
      </c>
      <c r="W485" s="2" t="s">
        <v>37</v>
      </c>
      <c r="X485" s="2" t="s">
        <v>37</v>
      </c>
      <c r="Y485" s="2" t="s">
        <v>37</v>
      </c>
      <c r="Z485" s="2" t="s">
        <v>37</v>
      </c>
      <c r="AA485" s="6">
        <v>2.9011039840000001</v>
      </c>
      <c r="AB485" s="6">
        <v>2.4628305789999998</v>
      </c>
      <c r="AC485" s="6">
        <v>2.9258945430000001</v>
      </c>
      <c r="AD485" cm="1">
        <f t="array" ref="AD485">IF(SUMPRODUCT(--($AM$2:$AM$112=TRIM(LEFT($B485,IFERROR(FIND(" ",$B485)-1,LEN($B485))))))&gt;0,1,0)</f>
        <v>1</v>
      </c>
      <c r="AE485" cm="1">
        <f t="array" ref="AE485">IF(SUMPRODUCT(--($AO$2:$AO$145=TRIM(LEFT($B485,IFERROR(FIND(" ",$B485)-1,LEN($B485))))))&gt;0,1,0)</f>
        <v>0</v>
      </c>
      <c r="AF485" cm="1">
        <f t="array" ref="AF485">IF(SUMPRODUCT(--($AQ$2:$AQ$71=TRIM(LEFT($B485,IFERROR(FIND(" ",$B485)-1,LEN($B485))))))&gt;0,1,0)</f>
        <v>0</v>
      </c>
    </row>
    <row r="486" spans="1:32" ht="135.75" thickBot="1" x14ac:dyDescent="0.3">
      <c r="A486" s="13">
        <v>273</v>
      </c>
      <c r="B486" s="4" t="s">
        <v>1073</v>
      </c>
      <c r="C486" s="4" t="s">
        <v>1074</v>
      </c>
      <c r="D486" s="7">
        <v>44391</v>
      </c>
      <c r="E486" s="3">
        <v>4753.58</v>
      </c>
      <c r="F486" s="4" t="s">
        <v>30</v>
      </c>
      <c r="G486" s="3">
        <v>26.12</v>
      </c>
      <c r="H486" s="4" t="s">
        <v>70</v>
      </c>
      <c r="I486" s="4" t="s">
        <v>71</v>
      </c>
      <c r="J486" s="4" t="s">
        <v>72</v>
      </c>
      <c r="K486" s="4"/>
      <c r="L486" s="4"/>
      <c r="M486" s="3">
        <v>-0.49</v>
      </c>
      <c r="N486" s="3">
        <v>3410.78</v>
      </c>
      <c r="O486" s="4" t="s">
        <v>34</v>
      </c>
      <c r="P486" s="4" t="s">
        <v>56</v>
      </c>
      <c r="Q486" s="4" t="s">
        <v>399</v>
      </c>
      <c r="R486" s="3">
        <v>1546.9</v>
      </c>
      <c r="S486" s="3">
        <v>11.080500000000001</v>
      </c>
      <c r="T486" s="4" t="s">
        <v>1075</v>
      </c>
      <c r="U486" s="2" t="s">
        <v>37</v>
      </c>
      <c r="V486" s="2" t="s">
        <v>38</v>
      </c>
      <c r="W486" s="2" t="s">
        <v>38</v>
      </c>
      <c r="X486" s="2" t="s">
        <v>38</v>
      </c>
      <c r="Y486" s="2" t="s">
        <v>37</v>
      </c>
      <c r="Z486" s="2" t="s">
        <v>37</v>
      </c>
      <c r="AA486" s="6">
        <v>3.6770208069999999</v>
      </c>
      <c r="AB486" s="6">
        <v>3.189462239</v>
      </c>
      <c r="AC486" s="6">
        <v>3.5328537080000002</v>
      </c>
      <c r="AD486" cm="1">
        <f t="array" ref="AD486">IF(SUMPRODUCT(--($AM$2:$AM$112=TRIM(LEFT($B486,IFERROR(FIND(" ",$B486)-1,LEN($B486))))))&gt;0,1,0)</f>
        <v>0</v>
      </c>
      <c r="AE486" cm="1">
        <f t="array" ref="AE486">IF(SUMPRODUCT(--($AO$2:$AO$145=TRIM(LEFT($B486,IFERROR(FIND(" ",$B486)-1,LEN($B486))))))&gt;0,1,0)</f>
        <v>1</v>
      </c>
      <c r="AF486" cm="1">
        <f t="array" ref="AF486">IF(SUMPRODUCT(--($AQ$2:$AQ$71=TRIM(LEFT($B486,IFERROR(FIND(" ",$B486)-1,LEN($B486))))))&gt;0,1,0)</f>
        <v>0</v>
      </c>
    </row>
    <row r="487" spans="1:32" ht="195.75" thickBot="1" x14ac:dyDescent="0.3">
      <c r="A487" s="13">
        <v>101</v>
      </c>
      <c r="B487" s="4" t="s">
        <v>1076</v>
      </c>
      <c r="C487" s="4" t="s">
        <v>158</v>
      </c>
      <c r="D487" s="7">
        <v>44627</v>
      </c>
      <c r="E487" s="3">
        <v>4560.4399999999996</v>
      </c>
      <c r="F487" s="4" t="s">
        <v>30</v>
      </c>
      <c r="G487" s="3">
        <v>3.96</v>
      </c>
      <c r="H487" s="4" t="s">
        <v>75</v>
      </c>
      <c r="I487" s="4" t="s">
        <v>76</v>
      </c>
      <c r="J487" s="4" t="s">
        <v>77</v>
      </c>
      <c r="K487" s="4"/>
      <c r="L487" s="4"/>
      <c r="M487" s="4"/>
      <c r="N487" s="3">
        <v>1596.59</v>
      </c>
      <c r="O487" s="4" t="s">
        <v>34</v>
      </c>
      <c r="P487" s="4" t="s">
        <v>34</v>
      </c>
      <c r="Q487" s="4" t="s">
        <v>35</v>
      </c>
      <c r="R487" s="3">
        <v>5408.66</v>
      </c>
      <c r="S487" s="3">
        <v>-9.4819399999999998</v>
      </c>
      <c r="T487" s="4" t="s">
        <v>1077</v>
      </c>
      <c r="U487" s="2" t="s">
        <v>38</v>
      </c>
      <c r="V487" s="2" t="s">
        <v>37</v>
      </c>
      <c r="W487" s="2" t="s">
        <v>37</v>
      </c>
      <c r="X487" s="2" t="s">
        <v>38</v>
      </c>
      <c r="Y487" s="2" t="s">
        <v>38</v>
      </c>
      <c r="Z487" s="2" t="s">
        <v>37</v>
      </c>
      <c r="AA487" s="6">
        <v>3.6590067460000002</v>
      </c>
      <c r="AB487" s="6">
        <v>3.7330896820000001</v>
      </c>
      <c r="AC487" s="6">
        <v>3.2031934049999999</v>
      </c>
      <c r="AD487" cm="1">
        <f t="array" ref="AD487">IF(SUMPRODUCT(--($AM$2:$AM$112=TRIM(LEFT($B487,IFERROR(FIND(" ",$B487)-1,LEN($B487))))))&gt;0,1,0)</f>
        <v>0</v>
      </c>
      <c r="AE487" cm="1">
        <f t="array" ref="AE487">IF(SUMPRODUCT(--($AO$2:$AO$145=TRIM(LEFT($B487,IFERROR(FIND(" ",$B487)-1,LEN($B487))))))&gt;0,1,0)</f>
        <v>0</v>
      </c>
      <c r="AF487" cm="1">
        <f t="array" ref="AF487">IF(SUMPRODUCT(--($AQ$2:$AQ$71=TRIM(LEFT($B487,IFERROR(FIND(" ",$B487)-1,LEN($B487))))))&gt;0,1,0)</f>
        <v>0</v>
      </c>
    </row>
    <row r="488" spans="1:32" ht="135.75" thickBot="1" x14ac:dyDescent="0.3">
      <c r="A488" s="13">
        <v>251</v>
      </c>
      <c r="B488" s="4" t="s">
        <v>1078</v>
      </c>
      <c r="C488" s="2"/>
      <c r="D488" s="7">
        <v>44417</v>
      </c>
      <c r="E488" s="3">
        <v>4533.1899999999996</v>
      </c>
      <c r="F488" s="4" t="s">
        <v>30</v>
      </c>
      <c r="G488" s="3">
        <v>8.0299999999999994</v>
      </c>
      <c r="H488" s="4" t="s">
        <v>127</v>
      </c>
      <c r="I488" s="4" t="s">
        <v>128</v>
      </c>
      <c r="J488" s="4" t="s">
        <v>129</v>
      </c>
      <c r="K488" s="4"/>
      <c r="L488" s="4"/>
      <c r="M488" s="3">
        <v>10.98</v>
      </c>
      <c r="N488" s="3">
        <v>4533.1899999999996</v>
      </c>
      <c r="O488" s="4" t="s">
        <v>34</v>
      </c>
      <c r="P488" s="4" t="s">
        <v>34</v>
      </c>
      <c r="Q488" s="4" t="s">
        <v>35</v>
      </c>
      <c r="R488" s="3">
        <v>4799.6499999999996</v>
      </c>
      <c r="S488" s="3">
        <v>20.145600000000002</v>
      </c>
      <c r="T488" s="4" t="s">
        <v>312</v>
      </c>
      <c r="U488" s="2" t="s">
        <v>37</v>
      </c>
      <c r="V488" s="2" t="s">
        <v>37</v>
      </c>
      <c r="W488" s="2" t="s">
        <v>37</v>
      </c>
      <c r="X488" s="2" t="s">
        <v>38</v>
      </c>
      <c r="Y488" s="2" t="s">
        <v>38</v>
      </c>
      <c r="Z488" s="2" t="s">
        <v>37</v>
      </c>
      <c r="AA488" s="6">
        <v>3.656403922</v>
      </c>
      <c r="AB488" s="6">
        <v>3.681209569</v>
      </c>
      <c r="AC488" s="6">
        <v>3.656403922</v>
      </c>
      <c r="AD488" cm="1">
        <f t="array" ref="AD488">IF(SUMPRODUCT(--($AM$2:$AM$112=TRIM(LEFT($B488,IFERROR(FIND(" ",$B488)-1,LEN($B488))))))&gt;0,1,0)</f>
        <v>1</v>
      </c>
      <c r="AE488" cm="1">
        <f t="array" ref="AE488">IF(SUMPRODUCT(--($AO$2:$AO$145=TRIM(LEFT($B488,IFERROR(FIND(" ",$B488)-1,LEN($B488))))))&gt;0,1,0)</f>
        <v>0</v>
      </c>
      <c r="AF488" cm="1">
        <f t="array" ref="AF488">IF(SUMPRODUCT(--($AQ$2:$AQ$71=TRIM(LEFT($B488,IFERROR(FIND(" ",$B488)-1,LEN($B488))))))&gt;0,1,0)</f>
        <v>0</v>
      </c>
    </row>
    <row r="489" spans="1:32" ht="75.75" thickBot="1" x14ac:dyDescent="0.3">
      <c r="A489" s="13">
        <v>175</v>
      </c>
      <c r="B489" s="4" t="s">
        <v>1079</v>
      </c>
      <c r="C489" s="4" t="s">
        <v>1080</v>
      </c>
      <c r="D489" s="7">
        <v>44522</v>
      </c>
      <c r="E489" s="3">
        <v>5747.01</v>
      </c>
      <c r="F489" s="4" t="s">
        <v>30</v>
      </c>
      <c r="G489" s="3">
        <v>57.62</v>
      </c>
      <c r="H489" s="4" t="s">
        <v>184</v>
      </c>
      <c r="I489" s="4" t="s">
        <v>251</v>
      </c>
      <c r="J489" s="4" t="s">
        <v>251</v>
      </c>
      <c r="K489" s="4"/>
      <c r="L489" s="4"/>
      <c r="M489" s="3">
        <v>26.76</v>
      </c>
      <c r="N489" s="3">
        <v>5298.97</v>
      </c>
      <c r="O489" s="4" t="s">
        <v>34</v>
      </c>
      <c r="P489" s="4" t="s">
        <v>638</v>
      </c>
      <c r="Q489" s="4" t="s">
        <v>35</v>
      </c>
      <c r="R489" s="3">
        <v>1409.02</v>
      </c>
      <c r="S489" s="3">
        <v>-1.4212400000000001</v>
      </c>
      <c r="T489" s="4" t="s">
        <v>104</v>
      </c>
      <c r="U489" s="2" t="s">
        <v>37</v>
      </c>
      <c r="V489" s="2" t="s">
        <v>37</v>
      </c>
      <c r="W489" s="2" t="s">
        <v>38</v>
      </c>
      <c r="X489" s="2" t="s">
        <v>37</v>
      </c>
      <c r="Y489" s="2" t="s">
        <v>37</v>
      </c>
      <c r="Z489" s="2" t="s">
        <v>37</v>
      </c>
      <c r="AA489" s="6">
        <v>3.7594419530000001</v>
      </c>
      <c r="AB489" s="6">
        <v>3.1489171580000002</v>
      </c>
      <c r="AC489" s="6">
        <v>3.7241914610000002</v>
      </c>
      <c r="AD489" cm="1">
        <f t="array" ref="AD489">IF(SUMPRODUCT(--($AM$2:$AM$112=TRIM(LEFT($B489,IFERROR(FIND(" ",$B489)-1,LEN($B489))))))&gt;0,1,0)</f>
        <v>0</v>
      </c>
      <c r="AE489" cm="1">
        <f t="array" ref="AE489">IF(SUMPRODUCT(--($AO$2:$AO$145=TRIM(LEFT($B489,IFERROR(FIND(" ",$B489)-1,LEN($B489))))))&gt;0,1,0)</f>
        <v>0</v>
      </c>
      <c r="AF489" cm="1">
        <f t="array" ref="AF489">IF(SUMPRODUCT(--($AQ$2:$AQ$71=TRIM(LEFT($B489,IFERROR(FIND(" ",$B489)-1,LEN($B489))))))&gt;0,1,0)</f>
        <v>0</v>
      </c>
    </row>
    <row r="490" spans="1:32" ht="165.75" thickBot="1" x14ac:dyDescent="0.3">
      <c r="A490" s="13">
        <v>70</v>
      </c>
      <c r="B490" s="4" t="s">
        <v>1081</v>
      </c>
      <c r="C490" s="4" t="s">
        <v>350</v>
      </c>
      <c r="D490" s="7">
        <v>44669</v>
      </c>
      <c r="E490" s="3">
        <v>1089.07</v>
      </c>
      <c r="F490" s="4" t="s">
        <v>30</v>
      </c>
      <c r="G490" s="3">
        <v>21.38</v>
      </c>
      <c r="H490" s="4" t="s">
        <v>41</v>
      </c>
      <c r="I490" s="4" t="s">
        <v>41</v>
      </c>
      <c r="J490" s="4" t="s">
        <v>60</v>
      </c>
      <c r="K490" s="3">
        <v>79.014700000000005</v>
      </c>
      <c r="L490" s="3">
        <v>19.753699999999998</v>
      </c>
      <c r="M490" s="3">
        <v>30.62</v>
      </c>
      <c r="N490" s="3">
        <v>1152.67</v>
      </c>
      <c r="O490" s="4" t="s">
        <v>34</v>
      </c>
      <c r="P490" s="4" t="s">
        <v>147</v>
      </c>
      <c r="Q490" s="4" t="s">
        <v>35</v>
      </c>
      <c r="R490" s="3">
        <v>473.43799999999999</v>
      </c>
      <c r="S490" s="3">
        <v>4.9006499999999997</v>
      </c>
      <c r="T490" s="4" t="s">
        <v>167</v>
      </c>
      <c r="U490" s="2" t="s">
        <v>37</v>
      </c>
      <c r="V490" s="2" t="s">
        <v>37</v>
      </c>
      <c r="W490" s="2" t="s">
        <v>38</v>
      </c>
      <c r="X490" s="2" t="s">
        <v>38</v>
      </c>
      <c r="Y490" s="2" t="s">
        <v>38</v>
      </c>
      <c r="Z490" s="2" t="s">
        <v>37</v>
      </c>
      <c r="AA490" s="6">
        <v>3.0370557950000001</v>
      </c>
      <c r="AB490" s="6">
        <v>2.6752631130000002</v>
      </c>
      <c r="AC490" s="6">
        <v>3.06170499</v>
      </c>
      <c r="AD490" cm="1">
        <f t="array" ref="AD490">IF(SUMPRODUCT(--($AM$2:$AM$112=TRIM(LEFT($B490,IFERROR(FIND(" ",$B490)-1,LEN($B490))))))&gt;0,1,0)</f>
        <v>0</v>
      </c>
      <c r="AE490" cm="1">
        <f t="array" ref="AE490">IF(SUMPRODUCT(--($AO$2:$AO$145=TRIM(LEFT($B490,IFERROR(FIND(" ",$B490)-1,LEN($B490))))))&gt;0,1,0)</f>
        <v>1</v>
      </c>
      <c r="AF490" cm="1">
        <f t="array" ref="AF490">IF(SUMPRODUCT(--($AQ$2:$AQ$71=TRIM(LEFT($B490,IFERROR(FIND(" ",$B490)-1,LEN($B490))))))&gt;0,1,0)</f>
        <v>0</v>
      </c>
    </row>
    <row r="491" spans="1:32" ht="75.75" thickBot="1" x14ac:dyDescent="0.3">
      <c r="A491" s="13">
        <v>104</v>
      </c>
      <c r="B491" s="4" t="s">
        <v>1082</v>
      </c>
      <c r="C491" s="4" t="s">
        <v>1083</v>
      </c>
      <c r="D491" s="7">
        <v>44620</v>
      </c>
      <c r="E491" s="3">
        <v>6592.58</v>
      </c>
      <c r="F491" s="4" t="s">
        <v>46</v>
      </c>
      <c r="G491" s="3">
        <v>24.23</v>
      </c>
      <c r="H491" s="4" t="s">
        <v>51</v>
      </c>
      <c r="I491" s="4" t="s">
        <v>51</v>
      </c>
      <c r="J491" s="4" t="s">
        <v>79</v>
      </c>
      <c r="K491" s="4"/>
      <c r="L491" s="4"/>
      <c r="M491" s="3">
        <v>1.74</v>
      </c>
      <c r="N491" s="3">
        <v>4685.74</v>
      </c>
      <c r="O491" s="4" t="s">
        <v>34</v>
      </c>
      <c r="P491" s="4" t="s">
        <v>34</v>
      </c>
      <c r="Q491" s="4" t="s">
        <v>35</v>
      </c>
      <c r="R491" s="3">
        <v>534.81700000000001</v>
      </c>
      <c r="S491" s="3">
        <v>10.895300000000001</v>
      </c>
      <c r="T491" s="4" t="s">
        <v>245</v>
      </c>
      <c r="U491" s="2" t="s">
        <v>37</v>
      </c>
      <c r="V491" s="2" t="s">
        <v>37</v>
      </c>
      <c r="W491" s="2" t="s">
        <v>37</v>
      </c>
      <c r="X491" s="2" t="s">
        <v>37</v>
      </c>
      <c r="Y491" s="2" t="s">
        <v>37</v>
      </c>
      <c r="Z491" s="2" t="s">
        <v>37</v>
      </c>
      <c r="AA491" s="6">
        <v>3.8190554090000002</v>
      </c>
      <c r="AB491" s="6">
        <v>2.728205204</v>
      </c>
      <c r="AC491" s="6">
        <v>3.6707781869999998</v>
      </c>
      <c r="AD491" cm="1">
        <f t="array" ref="AD491">IF(SUMPRODUCT(--($AM$2:$AM$112=TRIM(LEFT($B491,IFERROR(FIND(" ",$B491)-1,LEN($B491))))))&gt;0,1,0)</f>
        <v>0</v>
      </c>
      <c r="AE491" cm="1">
        <f t="array" ref="AE491">IF(SUMPRODUCT(--($AO$2:$AO$145=TRIM(LEFT($B491,IFERROR(FIND(" ",$B491)-1,LEN($B491))))))&gt;0,1,0)</f>
        <v>0</v>
      </c>
      <c r="AF491" cm="1">
        <f t="array" ref="AF491">IF(SUMPRODUCT(--($AQ$2:$AQ$71=TRIM(LEFT($B491,IFERROR(FIND(" ",$B491)-1,LEN($B491))))))&gt;0,1,0)</f>
        <v>0</v>
      </c>
    </row>
    <row r="492" spans="1:32" ht="135.75" thickBot="1" x14ac:dyDescent="0.3">
      <c r="A492" s="13">
        <v>288</v>
      </c>
      <c r="B492" s="4" t="s">
        <v>1084</v>
      </c>
      <c r="C492" s="4" t="s">
        <v>1085</v>
      </c>
      <c r="D492" s="7">
        <v>44362</v>
      </c>
      <c r="E492" s="3">
        <v>1381.75</v>
      </c>
      <c r="F492" s="4" t="s">
        <v>30</v>
      </c>
      <c r="G492" s="3">
        <v>10.57</v>
      </c>
      <c r="H492" s="4" t="s">
        <v>279</v>
      </c>
      <c r="I492" s="4" t="s">
        <v>279</v>
      </c>
      <c r="J492" s="4" t="s">
        <v>974</v>
      </c>
      <c r="K492" s="4"/>
      <c r="L492" s="4"/>
      <c r="M492" s="3">
        <v>-88.62</v>
      </c>
      <c r="N492" s="3">
        <v>360.48</v>
      </c>
      <c r="O492" s="4" t="s">
        <v>34</v>
      </c>
      <c r="P492" s="4" t="s">
        <v>34</v>
      </c>
      <c r="Q492" s="4" t="s">
        <v>35</v>
      </c>
      <c r="R492" s="2"/>
      <c r="S492" s="2"/>
      <c r="T492" s="4" t="s">
        <v>369</v>
      </c>
      <c r="U492" s="2" t="s">
        <v>37</v>
      </c>
      <c r="V492" s="2" t="s">
        <v>37</v>
      </c>
      <c r="W492" s="2" t="s">
        <v>37</v>
      </c>
      <c r="X492" s="2" t="s">
        <v>38</v>
      </c>
      <c r="Y492" s="2" t="s">
        <v>38</v>
      </c>
      <c r="Z492" s="2" t="s">
        <v>37</v>
      </c>
      <c r="AA492" s="6">
        <v>3.1404294730000002</v>
      </c>
      <c r="AB492" s="2"/>
      <c r="AC492" s="6">
        <v>2.5568811739999999</v>
      </c>
      <c r="AD492" cm="1">
        <f t="array" ref="AD492">IF(SUMPRODUCT(--($AM$2:$AM$112=TRIM(LEFT($B492,IFERROR(FIND(" ",$B492)-1,LEN($B492))))))&gt;0,1,0)</f>
        <v>0</v>
      </c>
      <c r="AE492" cm="1">
        <f t="array" ref="AE492">IF(SUMPRODUCT(--($AO$2:$AO$145=TRIM(LEFT($B492,IFERROR(FIND(" ",$B492)-1,LEN($B492))))))&gt;0,1,0)</f>
        <v>0</v>
      </c>
      <c r="AF492" cm="1">
        <f t="array" ref="AF492">IF(SUMPRODUCT(--($AQ$2:$AQ$71=TRIM(LEFT($B492,IFERROR(FIND(" ",$B492)-1,LEN($B492))))))&gt;0,1,0)</f>
        <v>1</v>
      </c>
    </row>
    <row r="493" spans="1:32" ht="135.75" thickBot="1" x14ac:dyDescent="0.3">
      <c r="A493" s="13">
        <v>63</v>
      </c>
      <c r="B493" s="4" t="s">
        <v>1086</v>
      </c>
      <c r="C493" s="4" t="s">
        <v>539</v>
      </c>
      <c r="D493" s="7">
        <v>44676</v>
      </c>
      <c r="E493" s="3">
        <v>5004.1400000000003</v>
      </c>
      <c r="F493" s="4" t="s">
        <v>30</v>
      </c>
      <c r="G493" s="3">
        <v>17.18</v>
      </c>
      <c r="H493" s="4" t="s">
        <v>51</v>
      </c>
      <c r="I493" s="4" t="s">
        <v>51</v>
      </c>
      <c r="J493" s="4" t="s">
        <v>79</v>
      </c>
      <c r="K493" s="3">
        <v>735</v>
      </c>
      <c r="L493" s="3">
        <v>220</v>
      </c>
      <c r="M493" s="4"/>
      <c r="N493" s="3">
        <v>5031.22</v>
      </c>
      <c r="O493" s="4" t="s">
        <v>34</v>
      </c>
      <c r="P493" s="4" t="s">
        <v>34</v>
      </c>
      <c r="Q493" s="4" t="s">
        <v>35</v>
      </c>
      <c r="R493" s="3">
        <v>422.67899999999997</v>
      </c>
      <c r="S493" s="3">
        <v>-30.523900000000001</v>
      </c>
      <c r="T493" s="4" t="s">
        <v>312</v>
      </c>
      <c r="U493" s="2" t="s">
        <v>37</v>
      </c>
      <c r="V493" s="2" t="s">
        <v>37</v>
      </c>
      <c r="W493" s="2" t="s">
        <v>37</v>
      </c>
      <c r="X493" s="2" t="s">
        <v>38</v>
      </c>
      <c r="Y493" s="2" t="s">
        <v>38</v>
      </c>
      <c r="Z493" s="2" t="s">
        <v>37</v>
      </c>
      <c r="AA493" s="6">
        <v>3.6993294510000001</v>
      </c>
      <c r="AB493" s="6">
        <v>2.626010671</v>
      </c>
      <c r="AC493" s="6">
        <v>3.7016733080000002</v>
      </c>
      <c r="AD493" cm="1">
        <f t="array" ref="AD493">IF(SUMPRODUCT(--($AM$2:$AM$112=TRIM(LEFT($B493,IFERROR(FIND(" ",$B493)-1,LEN($B493))))))&gt;0,1,0)</f>
        <v>0</v>
      </c>
      <c r="AE493" cm="1">
        <f t="array" ref="AE493">IF(SUMPRODUCT(--($AO$2:$AO$145=TRIM(LEFT($B493,IFERROR(FIND(" ",$B493)-1,LEN($B493))))))&gt;0,1,0)</f>
        <v>0</v>
      </c>
      <c r="AF493" cm="1">
        <f t="array" ref="AF493">IF(SUMPRODUCT(--($AQ$2:$AQ$71=TRIM(LEFT($B493,IFERROR(FIND(" ",$B493)-1,LEN($B493))))))&gt;0,1,0)</f>
        <v>0</v>
      </c>
    </row>
    <row r="494" spans="1:32" ht="225.75" thickBot="1" x14ac:dyDescent="0.3">
      <c r="A494" s="13">
        <v>66</v>
      </c>
      <c r="B494" s="4" t="s">
        <v>1087</v>
      </c>
      <c r="C494" s="4" t="s">
        <v>1088</v>
      </c>
      <c r="D494" s="7">
        <v>44658</v>
      </c>
      <c r="E494" s="3">
        <v>8122.15</v>
      </c>
      <c r="F494" s="4" t="s">
        <v>30</v>
      </c>
      <c r="G494" s="3">
        <v>14.39</v>
      </c>
      <c r="H494" s="4" t="s">
        <v>31</v>
      </c>
      <c r="I494" s="4" t="s">
        <v>32</v>
      </c>
      <c r="J494" s="4" t="s">
        <v>33</v>
      </c>
      <c r="K494" s="4"/>
      <c r="L494" s="4"/>
      <c r="M494" s="3">
        <v>14.18</v>
      </c>
      <c r="N494" s="3">
        <v>6407.95</v>
      </c>
      <c r="O494" s="4" t="s">
        <v>34</v>
      </c>
      <c r="P494" s="4" t="s">
        <v>49</v>
      </c>
      <c r="Q494" s="4" t="s">
        <v>35</v>
      </c>
      <c r="R494" s="3">
        <v>1673.2</v>
      </c>
      <c r="S494" s="3">
        <v>25.334499999999998</v>
      </c>
      <c r="T494" s="4" t="s">
        <v>1089</v>
      </c>
      <c r="U494" s="2" t="s">
        <v>37</v>
      </c>
      <c r="V494" s="2" t="s">
        <v>37</v>
      </c>
      <c r="W494" s="2" t="s">
        <v>38</v>
      </c>
      <c r="X494" s="2" t="s">
        <v>38</v>
      </c>
      <c r="Y494" s="2" t="s">
        <v>38</v>
      </c>
      <c r="Z494" s="2" t="s">
        <v>38</v>
      </c>
      <c r="AA494" s="6">
        <v>3.9096710059999999</v>
      </c>
      <c r="AB494" s="6">
        <v>3.2235478560000002</v>
      </c>
      <c r="AC494" s="6">
        <v>3.8067191139999998</v>
      </c>
      <c r="AD494" cm="1">
        <f t="array" ref="AD494">IF(SUMPRODUCT(--($AM$2:$AM$112=TRIM(LEFT($B494,IFERROR(FIND(" ",$B494)-1,LEN($B494))))))&gt;0,1,0)</f>
        <v>0</v>
      </c>
      <c r="AE494" cm="1">
        <f t="array" ref="AE494">IF(SUMPRODUCT(--($AO$2:$AO$145=TRIM(LEFT($B494,IFERROR(FIND(" ",$B494)-1,LEN($B494))))))&gt;0,1,0)</f>
        <v>0</v>
      </c>
      <c r="AF494" cm="1">
        <f t="array" ref="AF494">IF(SUMPRODUCT(--($AQ$2:$AQ$71=TRIM(LEFT($B494,IFERROR(FIND(" ",$B494)-1,LEN($B494))))))&gt;0,1,0)</f>
        <v>0</v>
      </c>
    </row>
    <row r="495" spans="1:32" ht="75.75" thickBot="1" x14ac:dyDescent="0.3">
      <c r="A495" s="13">
        <v>147</v>
      </c>
      <c r="B495" s="4" t="s">
        <v>1090</v>
      </c>
      <c r="C495" s="4" t="s">
        <v>1091</v>
      </c>
      <c r="D495" s="7">
        <v>44545</v>
      </c>
      <c r="E495" s="3">
        <v>6473.22</v>
      </c>
      <c r="F495" s="4" t="s">
        <v>107</v>
      </c>
      <c r="G495" s="3">
        <v>51.71</v>
      </c>
      <c r="H495" s="4" t="s">
        <v>31</v>
      </c>
      <c r="I495" s="4" t="s">
        <v>432</v>
      </c>
      <c r="J495" s="4" t="s">
        <v>1072</v>
      </c>
      <c r="K495" s="4"/>
      <c r="L495" s="4"/>
      <c r="M495" s="3">
        <v>41.61</v>
      </c>
      <c r="N495" s="3">
        <v>5699.99</v>
      </c>
      <c r="O495" s="4" t="s">
        <v>34</v>
      </c>
      <c r="P495" s="4" t="s">
        <v>34</v>
      </c>
      <c r="Q495" s="4" t="s">
        <v>35</v>
      </c>
      <c r="R495" s="3">
        <v>1199.83</v>
      </c>
      <c r="S495" s="3">
        <v>15.0875</v>
      </c>
      <c r="T495" s="4" t="s">
        <v>43</v>
      </c>
      <c r="U495" s="2" t="s">
        <v>37</v>
      </c>
      <c r="V495" s="2" t="s">
        <v>37</v>
      </c>
      <c r="W495" s="2" t="s">
        <v>37</v>
      </c>
      <c r="X495" s="2" t="s">
        <v>37</v>
      </c>
      <c r="Y495" s="2" t="s">
        <v>37</v>
      </c>
      <c r="Z495" s="2" t="s">
        <v>37</v>
      </c>
      <c r="AA495" s="6">
        <v>3.811120367</v>
      </c>
      <c r="AB495" s="6">
        <v>3.0791197170000002</v>
      </c>
      <c r="AC495" s="6">
        <v>3.7558740940000002</v>
      </c>
      <c r="AD495" cm="1">
        <f t="array" ref="AD495">IF(SUMPRODUCT(--($AM$2:$AM$112=TRIM(LEFT($B495,IFERROR(FIND(" ",$B495)-1,LEN($B495))))))&gt;0,1,0)</f>
        <v>1</v>
      </c>
      <c r="AE495" cm="1">
        <f t="array" ref="AE495">IF(SUMPRODUCT(--($AO$2:$AO$145=TRIM(LEFT($B495,IFERROR(FIND(" ",$B495)-1,LEN($B495))))))&gt;0,1,0)</f>
        <v>0</v>
      </c>
      <c r="AF495" cm="1">
        <f t="array" ref="AF495">IF(SUMPRODUCT(--($AQ$2:$AQ$71=TRIM(LEFT($B495,IFERROR(FIND(" ",$B495)-1,LEN($B495))))))&gt;0,1,0)</f>
        <v>0</v>
      </c>
    </row>
    <row r="496" spans="1:32" ht="60.75" thickBot="1" x14ac:dyDescent="0.3">
      <c r="A496" s="13">
        <v>73</v>
      </c>
      <c r="B496" s="4" t="s">
        <v>1092</v>
      </c>
      <c r="C496" s="4" t="s">
        <v>1093</v>
      </c>
      <c r="D496" s="7">
        <v>44648</v>
      </c>
      <c r="E496" s="3">
        <v>1136.8</v>
      </c>
      <c r="F496" s="4" t="s">
        <v>46</v>
      </c>
      <c r="G496" s="3">
        <v>32.200000000000003</v>
      </c>
      <c r="H496" s="4" t="s">
        <v>47</v>
      </c>
      <c r="I496" s="4" t="s">
        <v>47</v>
      </c>
      <c r="J496" s="4" t="s">
        <v>962</v>
      </c>
      <c r="K496" s="3">
        <v>24</v>
      </c>
      <c r="L496" s="3">
        <v>24</v>
      </c>
      <c r="M496" s="3">
        <v>10.41</v>
      </c>
      <c r="N496" s="3">
        <v>679</v>
      </c>
      <c r="O496" s="4" t="s">
        <v>34</v>
      </c>
      <c r="P496" s="4" t="s">
        <v>34</v>
      </c>
      <c r="Q496" s="4" t="s">
        <v>35</v>
      </c>
      <c r="R496" s="3">
        <v>2026</v>
      </c>
      <c r="S496" s="3">
        <v>-1.21513</v>
      </c>
      <c r="T496" s="4" t="s">
        <v>43</v>
      </c>
      <c r="U496" s="2" t="s">
        <v>37</v>
      </c>
      <c r="V496" s="2" t="s">
        <v>37</v>
      </c>
      <c r="W496" s="2" t="s">
        <v>37</v>
      </c>
      <c r="X496" s="2" t="s">
        <v>37</v>
      </c>
      <c r="Y496" s="2" t="s">
        <v>37</v>
      </c>
      <c r="Z496" s="2" t="s">
        <v>37</v>
      </c>
      <c r="AA496" s="6">
        <v>3.0556840649999999</v>
      </c>
      <c r="AB496" s="6">
        <v>3.3066394410000002</v>
      </c>
      <c r="AC496" s="6">
        <v>2.8318697739999998</v>
      </c>
      <c r="AD496" cm="1">
        <f t="array" ref="AD496">IF(SUMPRODUCT(--($AM$2:$AM$112=TRIM(LEFT($B496,IFERROR(FIND(" ",$B496)-1,LEN($B496))))))&gt;0,1,0)</f>
        <v>0</v>
      </c>
      <c r="AE496" cm="1">
        <f t="array" ref="AE496">IF(SUMPRODUCT(--($AO$2:$AO$145=TRIM(LEFT($B496,IFERROR(FIND(" ",$B496)-1,LEN($B496))))))&gt;0,1,0)</f>
        <v>0</v>
      </c>
      <c r="AF496" cm="1">
        <f t="array" ref="AF496">IF(SUMPRODUCT(--($AQ$2:$AQ$71=TRIM(LEFT($B496,IFERROR(FIND(" ",$B496)-1,LEN($B496))))))&gt;0,1,0)</f>
        <v>0</v>
      </c>
    </row>
    <row r="497" spans="1:32" ht="75.75" thickBot="1" x14ac:dyDescent="0.3">
      <c r="A497" s="13">
        <v>334</v>
      </c>
      <c r="B497" s="4" t="s">
        <v>1094</v>
      </c>
      <c r="C497" s="4" t="s">
        <v>1095</v>
      </c>
      <c r="D497" s="7">
        <v>44280</v>
      </c>
      <c r="E497" s="3">
        <v>7033.9</v>
      </c>
      <c r="F497" s="4" t="s">
        <v>107</v>
      </c>
      <c r="G497" s="4"/>
      <c r="H497" s="4" t="s">
        <v>31</v>
      </c>
      <c r="I497" s="4" t="s">
        <v>432</v>
      </c>
      <c r="J497" s="4" t="s">
        <v>1072</v>
      </c>
      <c r="K497" s="3">
        <v>108.8</v>
      </c>
      <c r="L497" s="3">
        <v>337.7</v>
      </c>
      <c r="M497" s="4"/>
      <c r="N497" s="3">
        <v>7040.89</v>
      </c>
      <c r="O497" s="4" t="s">
        <v>34</v>
      </c>
      <c r="P497" s="4" t="s">
        <v>34</v>
      </c>
      <c r="Q497" s="4" t="s">
        <v>399</v>
      </c>
      <c r="R497" s="3">
        <v>1487.47</v>
      </c>
      <c r="S497" s="3">
        <v>11.560700000000001</v>
      </c>
      <c r="T497" s="4" t="s">
        <v>934</v>
      </c>
      <c r="U497" s="2" t="s">
        <v>37</v>
      </c>
      <c r="V497" s="2" t="s">
        <v>38</v>
      </c>
      <c r="W497" s="2" t="s">
        <v>37</v>
      </c>
      <c r="X497" s="2" t="s">
        <v>37</v>
      </c>
      <c r="Y497" s="2" t="s">
        <v>37</v>
      </c>
      <c r="Z497" s="2" t="s">
        <v>37</v>
      </c>
      <c r="AA497" s="6">
        <v>3.84719619</v>
      </c>
      <c r="AB497" s="6">
        <v>3.1724482150000002</v>
      </c>
      <c r="AC497" s="6">
        <v>3.8476275590000002</v>
      </c>
      <c r="AD497" cm="1">
        <f t="array" ref="AD497">IF(SUMPRODUCT(--($AM$2:$AM$112=TRIM(LEFT($B497,IFERROR(FIND(" ",$B497)-1,LEN($B497))))))&gt;0,1,0)</f>
        <v>0</v>
      </c>
      <c r="AE497" cm="1">
        <f t="array" ref="AE497">IF(SUMPRODUCT(--($AO$2:$AO$145=TRIM(LEFT($B497,IFERROR(FIND(" ",$B497)-1,LEN($B497))))))&gt;0,1,0)</f>
        <v>0</v>
      </c>
      <c r="AF497" cm="1">
        <f t="array" ref="AF497">IF(SUMPRODUCT(--($AQ$2:$AQ$71=TRIM(LEFT($B497,IFERROR(FIND(" ",$B497)-1,LEN($B497))))))&gt;0,1,0)</f>
        <v>0</v>
      </c>
    </row>
    <row r="498" spans="1:32" ht="165.75" thickBot="1" x14ac:dyDescent="0.3">
      <c r="A498" s="13">
        <v>60</v>
      </c>
      <c r="B498" s="4" t="s">
        <v>1096</v>
      </c>
      <c r="C498" s="4" t="s">
        <v>196</v>
      </c>
      <c r="D498" s="7">
        <v>44664</v>
      </c>
      <c r="E498" s="3">
        <v>1081.49</v>
      </c>
      <c r="F498" s="4" t="s">
        <v>30</v>
      </c>
      <c r="G498" s="4"/>
      <c r="H498" s="4" t="s">
        <v>41</v>
      </c>
      <c r="I498" s="4" t="s">
        <v>41</v>
      </c>
      <c r="J498" s="4" t="s">
        <v>42</v>
      </c>
      <c r="K498" s="4"/>
      <c r="L498" s="4"/>
      <c r="M498" s="3">
        <v>55.53</v>
      </c>
      <c r="N498" s="3">
        <v>1349.41</v>
      </c>
      <c r="O498" s="4" t="s">
        <v>49</v>
      </c>
      <c r="P498" s="4" t="s">
        <v>166</v>
      </c>
      <c r="Q498" s="4" t="s">
        <v>35</v>
      </c>
      <c r="R498" s="2"/>
      <c r="S498" s="2"/>
      <c r="T498" s="4" t="s">
        <v>1097</v>
      </c>
      <c r="U498" s="2" t="s">
        <v>37</v>
      </c>
      <c r="V498" s="2" t="s">
        <v>37</v>
      </c>
      <c r="W498" s="2" t="s">
        <v>38</v>
      </c>
      <c r="X498" s="2" t="s">
        <v>38</v>
      </c>
      <c r="Y498" s="2" t="s">
        <v>38</v>
      </c>
      <c r="Z498" s="2" t="s">
        <v>37</v>
      </c>
      <c r="AA498" s="6">
        <v>3.0340225080000001</v>
      </c>
      <c r="AB498" s="2"/>
      <c r="AC498" s="6">
        <v>3.130143924</v>
      </c>
      <c r="AD498" cm="1">
        <f t="array" ref="AD498">IF(SUMPRODUCT(--($AM$2:$AM$112=TRIM(LEFT($B498,IFERROR(FIND(" ",$B498)-1,LEN($B498))))))&gt;0,1,0)</f>
        <v>0</v>
      </c>
      <c r="AE498" cm="1">
        <f t="array" ref="AE498">IF(SUMPRODUCT(--($AO$2:$AO$145=TRIM(LEFT($B498,IFERROR(FIND(" ",$B498)-1,LEN($B498))))))&gt;0,1,0)</f>
        <v>0</v>
      </c>
      <c r="AF498" cm="1">
        <f t="array" ref="AF498">IF(SUMPRODUCT(--($AQ$2:$AQ$71=TRIM(LEFT($B498,IFERROR(FIND(" ",$B498)-1,LEN($B498))))))&gt;0,1,0)</f>
        <v>0</v>
      </c>
    </row>
    <row r="499" spans="1:32" ht="45.75" thickBot="1" x14ac:dyDescent="0.3">
      <c r="A499" s="13">
        <v>85</v>
      </c>
      <c r="B499" s="4" t="s">
        <v>1098</v>
      </c>
      <c r="C499" s="4" t="s">
        <v>705</v>
      </c>
      <c r="D499" s="7">
        <v>44627</v>
      </c>
      <c r="E499" s="3">
        <v>3247</v>
      </c>
      <c r="F499" s="4" t="s">
        <v>107</v>
      </c>
      <c r="G499" s="3">
        <v>2.77</v>
      </c>
      <c r="H499" s="4" t="s">
        <v>118</v>
      </c>
      <c r="I499" s="4" t="s">
        <v>119</v>
      </c>
      <c r="J499" s="4" t="s">
        <v>120</v>
      </c>
      <c r="K499" s="4"/>
      <c r="L499" s="4"/>
      <c r="M499" s="3">
        <v>16.28</v>
      </c>
      <c r="N499" s="3">
        <v>3268.41</v>
      </c>
      <c r="O499" s="4" t="s">
        <v>34</v>
      </c>
      <c r="P499" s="4" t="s">
        <v>34</v>
      </c>
      <c r="Q499" s="4" t="s">
        <v>35</v>
      </c>
      <c r="R499" s="3">
        <v>1533.48</v>
      </c>
      <c r="S499" s="3">
        <v>41.009700000000002</v>
      </c>
      <c r="T499" s="4" t="s">
        <v>43</v>
      </c>
      <c r="U499" s="2" t="s">
        <v>37</v>
      </c>
      <c r="V499" s="2" t="s">
        <v>37</v>
      </c>
      <c r="W499" s="2" t="s">
        <v>37</v>
      </c>
      <c r="X499" s="2" t="s">
        <v>37</v>
      </c>
      <c r="Y499" s="2" t="s">
        <v>37</v>
      </c>
      <c r="Z499" s="2" t="s">
        <v>37</v>
      </c>
      <c r="AA499" s="6">
        <v>3.5114822889999999</v>
      </c>
      <c r="AB499" s="6">
        <v>3.1856781160000001</v>
      </c>
      <c r="AC499" s="6">
        <v>3.5143365310000001</v>
      </c>
      <c r="AD499" cm="1">
        <f t="array" ref="AD499">IF(SUMPRODUCT(--($AM$2:$AM$112=TRIM(LEFT($B499,IFERROR(FIND(" ",$B499)-1,LEN($B499))))))&gt;0,1,0)</f>
        <v>0</v>
      </c>
      <c r="AE499" cm="1">
        <f t="array" ref="AE499">IF(SUMPRODUCT(--($AO$2:$AO$145=TRIM(LEFT($B499,IFERROR(FIND(" ",$B499)-1,LEN($B499))))))&gt;0,1,0)</f>
        <v>0</v>
      </c>
      <c r="AF499" cm="1">
        <f t="array" ref="AF499">IF(SUMPRODUCT(--($AQ$2:$AQ$71=TRIM(LEFT($B499,IFERROR(FIND(" ",$B499)-1,LEN($B499))))))&gt;0,1,0)</f>
        <v>0</v>
      </c>
    </row>
    <row r="500" spans="1:32" ht="135.75" thickBot="1" x14ac:dyDescent="0.3">
      <c r="A500" s="13">
        <v>62</v>
      </c>
      <c r="B500" s="4" t="s">
        <v>1099</v>
      </c>
      <c r="C500" s="4" t="s">
        <v>1100</v>
      </c>
      <c r="D500" s="7">
        <v>44656</v>
      </c>
      <c r="E500" s="3">
        <v>1912</v>
      </c>
      <c r="F500" s="4" t="s">
        <v>30</v>
      </c>
      <c r="G500" s="3">
        <v>12.57</v>
      </c>
      <c r="H500" s="4" t="s">
        <v>41</v>
      </c>
      <c r="I500" s="4" t="s">
        <v>41</v>
      </c>
      <c r="J500" s="4" t="s">
        <v>100</v>
      </c>
      <c r="K500" s="4"/>
      <c r="L500" s="4"/>
      <c r="M500" s="3">
        <v>7.24</v>
      </c>
      <c r="N500" s="3">
        <v>1619.26</v>
      </c>
      <c r="O500" s="4" t="s">
        <v>34</v>
      </c>
      <c r="P500" s="4" t="s">
        <v>34</v>
      </c>
      <c r="Q500" s="4" t="s">
        <v>35</v>
      </c>
      <c r="R500" s="3">
        <v>481.25200000000001</v>
      </c>
      <c r="S500" s="3">
        <v>27.642600000000002</v>
      </c>
      <c r="T500" s="4" t="s">
        <v>225</v>
      </c>
      <c r="U500" s="2" t="s">
        <v>37</v>
      </c>
      <c r="V500" s="2" t="s">
        <v>37</v>
      </c>
      <c r="W500" s="2" t="s">
        <v>37</v>
      </c>
      <c r="X500" s="2" t="s">
        <v>38</v>
      </c>
      <c r="Y500" s="2" t="s">
        <v>38</v>
      </c>
      <c r="Z500" s="2" t="s">
        <v>37</v>
      </c>
      <c r="AA500" s="6">
        <v>3.281487888</v>
      </c>
      <c r="AB500" s="6">
        <v>2.6823725469999999</v>
      </c>
      <c r="AC500" s="6">
        <v>3.2093165880000001</v>
      </c>
      <c r="AD500" cm="1">
        <f t="array" ref="AD500">IF(SUMPRODUCT(--($AM$2:$AM$112=TRIM(LEFT($B500,IFERROR(FIND(" ",$B500)-1,LEN($B500))))))&gt;0,1,0)</f>
        <v>0</v>
      </c>
      <c r="AE500" cm="1">
        <f t="array" ref="AE500">IF(SUMPRODUCT(--($AO$2:$AO$145=TRIM(LEFT($B500,IFERROR(FIND(" ",$B500)-1,LEN($B500))))))&gt;0,1,0)</f>
        <v>0</v>
      </c>
      <c r="AF500" cm="1">
        <f t="array" ref="AF500">IF(SUMPRODUCT(--($AQ$2:$AQ$71=TRIM(LEFT($B500,IFERROR(FIND(" ",$B500)-1,LEN($B500))))))&gt;0,1,0)</f>
        <v>0</v>
      </c>
    </row>
    <row r="501" spans="1:32" ht="165.75" thickBot="1" x14ac:dyDescent="0.3">
      <c r="A501" s="13">
        <v>81</v>
      </c>
      <c r="B501" s="4" t="s">
        <v>1101</v>
      </c>
      <c r="C501" s="4" t="s">
        <v>391</v>
      </c>
      <c r="D501" s="7">
        <v>44628</v>
      </c>
      <c r="E501" s="3">
        <v>2450.5100000000002</v>
      </c>
      <c r="F501" s="4" t="s">
        <v>30</v>
      </c>
      <c r="G501" s="3">
        <v>11.32</v>
      </c>
      <c r="H501" s="4" t="s">
        <v>47</v>
      </c>
      <c r="I501" s="4" t="s">
        <v>47</v>
      </c>
      <c r="J501" s="4" t="s">
        <v>159</v>
      </c>
      <c r="K501" s="4"/>
      <c r="L501" s="4"/>
      <c r="M501" s="3">
        <v>67.319999999999993</v>
      </c>
      <c r="N501" s="3">
        <v>1863.69</v>
      </c>
      <c r="O501" s="4" t="s">
        <v>49</v>
      </c>
      <c r="P501" s="4" t="s">
        <v>34</v>
      </c>
      <c r="Q501" s="4" t="s">
        <v>35</v>
      </c>
      <c r="R501" s="3">
        <v>1531.47</v>
      </c>
      <c r="S501" s="3">
        <v>4.0815200000000003</v>
      </c>
      <c r="T501" s="4" t="s">
        <v>847</v>
      </c>
      <c r="U501" s="2" t="s">
        <v>37</v>
      </c>
      <c r="V501" s="2" t="s">
        <v>37</v>
      </c>
      <c r="W501" s="2" t="s">
        <v>38</v>
      </c>
      <c r="X501" s="2" t="s">
        <v>38</v>
      </c>
      <c r="Y501" s="2" t="s">
        <v>38</v>
      </c>
      <c r="Z501" s="2" t="s">
        <v>37</v>
      </c>
      <c r="AA501" s="6">
        <v>3.3892564790000002</v>
      </c>
      <c r="AB501" s="6">
        <v>3.1851084940000001</v>
      </c>
      <c r="AC501" s="6">
        <v>3.2703736750000001</v>
      </c>
      <c r="AD501" cm="1">
        <f t="array" ref="AD501">IF(SUMPRODUCT(--($AM$2:$AM$112=TRIM(LEFT($B501,IFERROR(FIND(" ",$B501)-1,LEN($B501))))))&gt;0,1,0)</f>
        <v>0</v>
      </c>
      <c r="AE501" cm="1">
        <f t="array" ref="AE501">IF(SUMPRODUCT(--($AO$2:$AO$145=TRIM(LEFT($B501,IFERROR(FIND(" ",$B501)-1,LEN($B501))))))&gt;0,1,0)</f>
        <v>0</v>
      </c>
      <c r="AF501" cm="1">
        <f t="array" ref="AF501">IF(SUMPRODUCT(--($AQ$2:$AQ$71=TRIM(LEFT($B501,IFERROR(FIND(" ",$B501)-1,LEN($B501))))))&gt;0,1,0)</f>
        <v>0</v>
      </c>
    </row>
    <row r="502" spans="1:32" ht="135.75" thickBot="1" x14ac:dyDescent="0.3">
      <c r="A502" s="13">
        <v>93</v>
      </c>
      <c r="B502" s="4" t="s">
        <v>1102</v>
      </c>
      <c r="C502" s="4" t="s">
        <v>539</v>
      </c>
      <c r="D502" s="7">
        <v>44608</v>
      </c>
      <c r="E502" s="3">
        <v>3653.67</v>
      </c>
      <c r="F502" s="4" t="s">
        <v>30</v>
      </c>
      <c r="G502" s="3">
        <v>13.45</v>
      </c>
      <c r="H502" s="4" t="s">
        <v>51</v>
      </c>
      <c r="I502" s="4" t="s">
        <v>51</v>
      </c>
      <c r="J502" s="4" t="s">
        <v>79</v>
      </c>
      <c r="K502" s="4"/>
      <c r="L502" s="4"/>
      <c r="M502" s="3">
        <v>37.74</v>
      </c>
      <c r="N502" s="3">
        <v>1323.65</v>
      </c>
      <c r="O502" s="4" t="s">
        <v>34</v>
      </c>
      <c r="P502" s="4" t="s">
        <v>34</v>
      </c>
      <c r="Q502" s="4" t="s">
        <v>35</v>
      </c>
      <c r="R502" s="3">
        <v>451.142</v>
      </c>
      <c r="S502" s="3">
        <v>21.494499999999999</v>
      </c>
      <c r="T502" s="4" t="s">
        <v>225</v>
      </c>
      <c r="U502" s="2" t="s">
        <v>37</v>
      </c>
      <c r="V502" s="2" t="s">
        <v>37</v>
      </c>
      <c r="W502" s="2" t="s">
        <v>37</v>
      </c>
      <c r="X502" s="2" t="s">
        <v>38</v>
      </c>
      <c r="Y502" s="2" t="s">
        <v>38</v>
      </c>
      <c r="Z502" s="2" t="s">
        <v>37</v>
      </c>
      <c r="AA502" s="6">
        <v>3.5627293189999998</v>
      </c>
      <c r="AB502" s="6">
        <v>2.654313261</v>
      </c>
      <c r="AC502" s="6">
        <v>3.1217731639999999</v>
      </c>
      <c r="AD502" cm="1">
        <f t="array" ref="AD502">IF(SUMPRODUCT(--($AM$2:$AM$112=TRIM(LEFT($B502,IFERROR(FIND(" ",$B502)-1,LEN($B502))))))&gt;0,1,0)</f>
        <v>0</v>
      </c>
      <c r="AE502" cm="1">
        <f t="array" ref="AE502">IF(SUMPRODUCT(--($AO$2:$AO$145=TRIM(LEFT($B502,IFERROR(FIND(" ",$B502)-1,LEN($B502))))))&gt;0,1,0)</f>
        <v>0</v>
      </c>
      <c r="AF502" cm="1">
        <f t="array" ref="AF502">IF(SUMPRODUCT(--($AQ$2:$AQ$71=TRIM(LEFT($B502,IFERROR(FIND(" ",$B502)-1,LEN($B502))))))&gt;0,1,0)</f>
        <v>0</v>
      </c>
    </row>
    <row r="503" spans="1:32" ht="75.75" thickBot="1" x14ac:dyDescent="0.3">
      <c r="A503" s="13">
        <v>54</v>
      </c>
      <c r="B503" s="4" t="s">
        <v>1103</v>
      </c>
      <c r="C503" s="4" t="s">
        <v>1104</v>
      </c>
      <c r="D503" s="7">
        <v>44662</v>
      </c>
      <c r="E503" s="3">
        <v>5640.04</v>
      </c>
      <c r="F503" s="4" t="s">
        <v>30</v>
      </c>
      <c r="G503" s="3">
        <v>41.22</v>
      </c>
      <c r="H503" s="4" t="s">
        <v>31</v>
      </c>
      <c r="I503" s="4" t="s">
        <v>32</v>
      </c>
      <c r="J503" s="4" t="s">
        <v>33</v>
      </c>
      <c r="K503" s="4"/>
      <c r="L503" s="4"/>
      <c r="M503" s="3">
        <v>35.25</v>
      </c>
      <c r="N503" s="3">
        <v>5830.13</v>
      </c>
      <c r="O503" s="4" t="s">
        <v>34</v>
      </c>
      <c r="P503" s="4" t="s">
        <v>34</v>
      </c>
      <c r="Q503" s="4" t="s">
        <v>35</v>
      </c>
      <c r="R503" s="3">
        <v>618.65700000000004</v>
      </c>
      <c r="S503" s="3">
        <v>7.6784800000000004</v>
      </c>
      <c r="T503" s="4" t="s">
        <v>113</v>
      </c>
      <c r="U503" s="2" t="s">
        <v>37</v>
      </c>
      <c r="V503" s="2" t="s">
        <v>37</v>
      </c>
      <c r="W503" s="2" t="s">
        <v>37</v>
      </c>
      <c r="X503" s="2" t="s">
        <v>38</v>
      </c>
      <c r="Y503" s="2" t="s">
        <v>37</v>
      </c>
      <c r="Z503" s="2" t="s">
        <v>37</v>
      </c>
      <c r="AA503" s="6">
        <v>3.7512821839999999</v>
      </c>
      <c r="AB503" s="6">
        <v>2.7914499309999998</v>
      </c>
      <c r="AC503" s="6">
        <v>3.7656782390000001</v>
      </c>
      <c r="AD503" cm="1">
        <f t="array" ref="AD503">IF(SUMPRODUCT(--($AM$2:$AM$112=TRIM(LEFT($B503,IFERROR(FIND(" ",$B503)-1,LEN($B503))))))&gt;0,1,0)</f>
        <v>0</v>
      </c>
      <c r="AE503" cm="1">
        <f t="array" ref="AE503">IF(SUMPRODUCT(--($AO$2:$AO$145=TRIM(LEFT($B503,IFERROR(FIND(" ",$B503)-1,LEN($B503))))))&gt;0,1,0)</f>
        <v>0</v>
      </c>
      <c r="AF503" cm="1">
        <f t="array" ref="AF503">IF(SUMPRODUCT(--($AQ$2:$AQ$71=TRIM(LEFT($B503,IFERROR(FIND(" ",$B503)-1,LEN($B503))))))&gt;0,1,0)</f>
        <v>0</v>
      </c>
    </row>
    <row r="504" spans="1:32" ht="135.75" thickBot="1" x14ac:dyDescent="0.3">
      <c r="A504" s="13">
        <v>68</v>
      </c>
      <c r="B504" s="4" t="s">
        <v>1105</v>
      </c>
      <c r="C504" s="4" t="s">
        <v>230</v>
      </c>
      <c r="D504" s="7">
        <v>44641</v>
      </c>
      <c r="E504" s="3">
        <v>9327.25</v>
      </c>
      <c r="F504" s="4" t="s">
        <v>30</v>
      </c>
      <c r="G504" s="4"/>
      <c r="H504" s="4" t="s">
        <v>31</v>
      </c>
      <c r="I504" s="4" t="s">
        <v>32</v>
      </c>
      <c r="J504" s="4" t="s">
        <v>33</v>
      </c>
      <c r="K504" s="4"/>
      <c r="L504" s="4"/>
      <c r="M504" s="3">
        <v>-1.98</v>
      </c>
      <c r="N504" s="3">
        <v>9575.8700000000008</v>
      </c>
      <c r="O504" s="4" t="s">
        <v>34</v>
      </c>
      <c r="P504" s="4" t="s">
        <v>34</v>
      </c>
      <c r="Q504" s="4" t="s">
        <v>35</v>
      </c>
      <c r="R504" s="3">
        <v>592.17600000000004</v>
      </c>
      <c r="S504" s="3">
        <v>-33.4435</v>
      </c>
      <c r="T504" s="4" t="s">
        <v>369</v>
      </c>
      <c r="U504" s="2" t="s">
        <v>37</v>
      </c>
      <c r="V504" s="2" t="s">
        <v>37</v>
      </c>
      <c r="W504" s="2" t="s">
        <v>37</v>
      </c>
      <c r="X504" s="2" t="s">
        <v>38</v>
      </c>
      <c r="Y504" s="2" t="s">
        <v>38</v>
      </c>
      <c r="Z504" s="2" t="s">
        <v>37</v>
      </c>
      <c r="AA504" s="6">
        <v>3.9697536169999998</v>
      </c>
      <c r="AB504" s="6">
        <v>2.7724508019999998</v>
      </c>
      <c r="AC504" s="6">
        <v>3.9811782419999999</v>
      </c>
      <c r="AD504" cm="1">
        <f t="array" ref="AD504">IF(SUMPRODUCT(--($AM$2:$AM$112=TRIM(LEFT($B504,IFERROR(FIND(" ",$B504)-1,LEN($B504))))))&gt;0,1,0)</f>
        <v>0</v>
      </c>
      <c r="AE504" cm="1">
        <f t="array" ref="AE504">IF(SUMPRODUCT(--($AO$2:$AO$145=TRIM(LEFT($B504,IFERROR(FIND(" ",$B504)-1,LEN($B504))))))&gt;0,1,0)</f>
        <v>0</v>
      </c>
      <c r="AF504" cm="1">
        <f t="array" ref="AF504">IF(SUMPRODUCT(--($AQ$2:$AQ$71=TRIM(LEFT($B504,IFERROR(FIND(" ",$B504)-1,LEN($B504))))))&gt;0,1,0)</f>
        <v>0</v>
      </c>
    </row>
    <row r="505" spans="1:32" ht="45.75" thickBot="1" x14ac:dyDescent="0.3">
      <c r="A505" s="13">
        <v>77</v>
      </c>
      <c r="B505" s="4" t="s">
        <v>1106</v>
      </c>
      <c r="C505" s="4" t="s">
        <v>421</v>
      </c>
      <c r="D505" s="7">
        <v>44620</v>
      </c>
      <c r="E505" s="3">
        <v>2769.66</v>
      </c>
      <c r="F505" s="4" t="s">
        <v>30</v>
      </c>
      <c r="G505" s="3">
        <v>8.8699999999999992</v>
      </c>
      <c r="H505" s="4" t="s">
        <v>118</v>
      </c>
      <c r="I505" s="4" t="s">
        <v>273</v>
      </c>
      <c r="J505" s="4" t="s">
        <v>273</v>
      </c>
      <c r="K505" s="4"/>
      <c r="L505" s="4"/>
      <c r="M505" s="3">
        <v>62.52</v>
      </c>
      <c r="N505" s="3">
        <v>3091.64</v>
      </c>
      <c r="O505" s="4" t="s">
        <v>34</v>
      </c>
      <c r="P505" s="4" t="s">
        <v>34</v>
      </c>
      <c r="Q505" s="4" t="s">
        <v>35</v>
      </c>
      <c r="R505" s="3">
        <v>3244.05</v>
      </c>
      <c r="S505" s="3">
        <v>5.4915099999999999</v>
      </c>
      <c r="T505" s="4" t="s">
        <v>43</v>
      </c>
      <c r="U505" s="2" t="s">
        <v>37</v>
      </c>
      <c r="V505" s="2" t="s">
        <v>37</v>
      </c>
      <c r="W505" s="2" t="s">
        <v>37</v>
      </c>
      <c r="X505" s="2" t="s">
        <v>37</v>
      </c>
      <c r="Y505" s="2" t="s">
        <v>37</v>
      </c>
      <c r="Z505" s="2" t="s">
        <v>37</v>
      </c>
      <c r="AA505" s="6">
        <v>3.442426459</v>
      </c>
      <c r="AB505" s="6">
        <v>3.511087539</v>
      </c>
      <c r="AC505" s="6">
        <v>3.4901889179999999</v>
      </c>
      <c r="AD505" cm="1">
        <f t="array" ref="AD505">IF(SUMPRODUCT(--($AM$2:$AM$112=TRIM(LEFT($B505,IFERROR(FIND(" ",$B505)-1,LEN($B505))))))&gt;0,1,0)</f>
        <v>0</v>
      </c>
      <c r="AE505" cm="1">
        <f t="array" ref="AE505">IF(SUMPRODUCT(--($AO$2:$AO$145=TRIM(LEFT($B505,IFERROR(FIND(" ",$B505)-1,LEN($B505))))))&gt;0,1,0)</f>
        <v>1</v>
      </c>
      <c r="AF505" cm="1">
        <f t="array" ref="AF505">IF(SUMPRODUCT(--($AQ$2:$AQ$71=TRIM(LEFT($B505,IFERROR(FIND(" ",$B505)-1,LEN($B505))))))&gt;0,1,0)</f>
        <v>0</v>
      </c>
    </row>
    <row r="506" spans="1:32" ht="105.75" thickBot="1" x14ac:dyDescent="0.3">
      <c r="A506" s="13">
        <v>124</v>
      </c>
      <c r="B506" s="4" t="s">
        <v>1107</v>
      </c>
      <c r="C506" s="4" t="s">
        <v>1108</v>
      </c>
      <c r="D506" s="7">
        <v>44550</v>
      </c>
      <c r="E506" s="3">
        <v>29005.19</v>
      </c>
      <c r="F506" s="4" t="s">
        <v>30</v>
      </c>
      <c r="G506" s="3">
        <v>20.95</v>
      </c>
      <c r="H506" s="4" t="s">
        <v>31</v>
      </c>
      <c r="I506" s="4" t="s">
        <v>32</v>
      </c>
      <c r="J506" s="4" t="s">
        <v>33</v>
      </c>
      <c r="K506" s="4"/>
      <c r="L506" s="4"/>
      <c r="M506" s="4"/>
      <c r="N506" s="3">
        <v>27951.16</v>
      </c>
      <c r="O506" s="4" t="s">
        <v>34</v>
      </c>
      <c r="P506" s="4" t="s">
        <v>34</v>
      </c>
      <c r="Q506" s="4" t="s">
        <v>35</v>
      </c>
      <c r="R506" s="3">
        <v>5764.82</v>
      </c>
      <c r="S506" s="3">
        <v>12.781499999999999</v>
      </c>
      <c r="T506" s="4" t="s">
        <v>91</v>
      </c>
      <c r="U506" s="2" t="s">
        <v>37</v>
      </c>
      <c r="V506" s="2" t="s">
        <v>37</v>
      </c>
      <c r="W506" s="2" t="s">
        <v>37</v>
      </c>
      <c r="X506" s="2" t="s">
        <v>37</v>
      </c>
      <c r="Y506" s="2" t="s">
        <v>37</v>
      </c>
      <c r="Z506" s="2" t="s">
        <v>38</v>
      </c>
      <c r="AA506" s="6">
        <v>4.4624757150000001</v>
      </c>
      <c r="AB506" s="6">
        <v>3.7607857509999998</v>
      </c>
      <c r="AC506" s="6">
        <v>4.4463998360000003</v>
      </c>
      <c r="AD506" cm="1">
        <f t="array" ref="AD506">IF(SUMPRODUCT(--($AM$2:$AM$112=TRIM(LEFT($B506,IFERROR(FIND(" ",$B506)-1,LEN($B506))))))&gt;0,1,0)</f>
        <v>0</v>
      </c>
      <c r="AE506" cm="1">
        <f t="array" ref="AE506">IF(SUMPRODUCT(--($AO$2:$AO$145=TRIM(LEFT($B506,IFERROR(FIND(" ",$B506)-1,LEN($B506))))))&gt;0,1,0)</f>
        <v>1</v>
      </c>
      <c r="AF506" cm="1">
        <f t="array" ref="AF506">IF(SUMPRODUCT(--($AQ$2:$AQ$71=TRIM(LEFT($B506,IFERROR(FIND(" ",$B506)-1,LEN($B506))))))&gt;0,1,0)</f>
        <v>0</v>
      </c>
    </row>
    <row r="507" spans="1:32" ht="45.75" thickBot="1" x14ac:dyDescent="0.3">
      <c r="A507" s="13">
        <v>162</v>
      </c>
      <c r="B507" s="4" t="s">
        <v>1109</v>
      </c>
      <c r="C507" s="4" t="s">
        <v>1110</v>
      </c>
      <c r="D507" s="7">
        <v>44489</v>
      </c>
      <c r="E507" s="3">
        <v>873.54</v>
      </c>
      <c r="F507" s="4" t="s">
        <v>107</v>
      </c>
      <c r="G507" s="4"/>
      <c r="H507" s="4" t="s">
        <v>65</v>
      </c>
      <c r="I507" s="4" t="s">
        <v>66</v>
      </c>
      <c r="J507" s="4" t="s">
        <v>66</v>
      </c>
      <c r="K507" s="4"/>
      <c r="L507" s="4"/>
      <c r="M507" s="3">
        <v>39.81</v>
      </c>
      <c r="N507" s="3">
        <v>987.82</v>
      </c>
      <c r="O507" s="4" t="s">
        <v>34</v>
      </c>
      <c r="P507" s="4" t="s">
        <v>34</v>
      </c>
      <c r="Q507" s="4" t="s">
        <v>35</v>
      </c>
      <c r="R507" s="3">
        <v>289.94299999999998</v>
      </c>
      <c r="S507" s="3">
        <v>38.069800000000001</v>
      </c>
      <c r="T507" s="4" t="s">
        <v>43</v>
      </c>
      <c r="U507" s="2" t="s">
        <v>37</v>
      </c>
      <c r="V507" s="2" t="s">
        <v>37</v>
      </c>
      <c r="W507" s="2" t="s">
        <v>37</v>
      </c>
      <c r="X507" s="2" t="s">
        <v>37</v>
      </c>
      <c r="Y507" s="2" t="s">
        <v>37</v>
      </c>
      <c r="Z507" s="2" t="s">
        <v>37</v>
      </c>
      <c r="AA507" s="6">
        <v>2.9412827959999999</v>
      </c>
      <c r="AB507" s="6">
        <v>2.4623126279999998</v>
      </c>
      <c r="AC507" s="6">
        <v>2.9946778150000002</v>
      </c>
      <c r="AD507" cm="1">
        <f t="array" ref="AD507">IF(SUMPRODUCT(--($AM$2:$AM$112=TRIM(LEFT($B507,IFERROR(FIND(" ",$B507)-1,LEN($B507))))))&gt;0,1,0)</f>
        <v>0</v>
      </c>
      <c r="AE507" cm="1">
        <f t="array" ref="AE507">IF(SUMPRODUCT(--($AO$2:$AO$145=TRIM(LEFT($B507,IFERROR(FIND(" ",$B507)-1,LEN($B507))))))&gt;0,1,0)</f>
        <v>0</v>
      </c>
      <c r="AF507" cm="1">
        <f t="array" ref="AF507">IF(SUMPRODUCT(--($AQ$2:$AQ$71=TRIM(LEFT($B507,IFERROR(FIND(" ",$B507)-1,LEN($B507))))))&gt;0,1,0)</f>
        <v>0</v>
      </c>
    </row>
    <row r="508" spans="1:32" ht="60.75" thickBot="1" x14ac:dyDescent="0.3">
      <c r="A508" s="13">
        <v>112</v>
      </c>
      <c r="B508" s="4" t="s">
        <v>1111</v>
      </c>
      <c r="C508" s="4" t="s">
        <v>1112</v>
      </c>
      <c r="D508" s="7">
        <v>44553</v>
      </c>
      <c r="E508" s="3">
        <v>7412.58</v>
      </c>
      <c r="F508" s="4" t="s">
        <v>107</v>
      </c>
      <c r="G508" s="3">
        <v>17.059999999999999</v>
      </c>
      <c r="H508" s="4" t="s">
        <v>41</v>
      </c>
      <c r="I508" s="4" t="s">
        <v>41</v>
      </c>
      <c r="J508" s="4" t="s">
        <v>100</v>
      </c>
      <c r="K508" s="4"/>
      <c r="L508" s="4"/>
      <c r="M508" s="3">
        <v>19</v>
      </c>
      <c r="N508" s="3">
        <v>5397.18</v>
      </c>
      <c r="O508" s="4" t="s">
        <v>34</v>
      </c>
      <c r="P508" s="4" t="s">
        <v>34</v>
      </c>
      <c r="Q508" s="4" t="s">
        <v>35</v>
      </c>
      <c r="R508" s="3">
        <v>2042.8</v>
      </c>
      <c r="S508" s="3">
        <v>8.0300600000000006</v>
      </c>
      <c r="T508" s="4" t="s">
        <v>43</v>
      </c>
      <c r="U508" s="2" t="s">
        <v>37</v>
      </c>
      <c r="V508" s="2" t="s">
        <v>37</v>
      </c>
      <c r="W508" s="2" t="s">
        <v>37</v>
      </c>
      <c r="X508" s="2" t="s">
        <v>37</v>
      </c>
      <c r="Y508" s="2" t="s">
        <v>37</v>
      </c>
      <c r="Z508" s="2" t="s">
        <v>37</v>
      </c>
      <c r="AA508" s="6">
        <v>3.869969394</v>
      </c>
      <c r="AB508" s="6">
        <v>3.3102258490000001</v>
      </c>
      <c r="AC508" s="6">
        <v>3.7321669019999999</v>
      </c>
      <c r="AD508" cm="1">
        <f t="array" ref="AD508">IF(SUMPRODUCT(--($AM$2:$AM$112=TRIM(LEFT($B508,IFERROR(FIND(" ",$B508)-1,LEN($B508))))))&gt;0,1,0)</f>
        <v>0</v>
      </c>
      <c r="AE508" cm="1">
        <f t="array" ref="AE508">IF(SUMPRODUCT(--($AO$2:$AO$145=TRIM(LEFT($B508,IFERROR(FIND(" ",$B508)-1,LEN($B508))))))&gt;0,1,0)</f>
        <v>0</v>
      </c>
      <c r="AF508" cm="1">
        <f t="array" ref="AF508">IF(SUMPRODUCT(--($AQ$2:$AQ$71=TRIM(LEFT($B508,IFERROR(FIND(" ",$B508)-1,LEN($B508))))))&gt;0,1,0)</f>
        <v>0</v>
      </c>
    </row>
    <row r="509" spans="1:32" ht="45.75" thickBot="1" x14ac:dyDescent="0.3">
      <c r="A509" s="13">
        <v>209</v>
      </c>
      <c r="B509" s="4" t="s">
        <v>1113</v>
      </c>
      <c r="C509" s="4" t="s">
        <v>724</v>
      </c>
      <c r="D509" s="7">
        <v>44417</v>
      </c>
      <c r="E509" s="3">
        <v>5108.57</v>
      </c>
      <c r="F509" s="4" t="s">
        <v>30</v>
      </c>
      <c r="G509" s="4"/>
      <c r="H509" s="4" t="s">
        <v>65</v>
      </c>
      <c r="I509" s="4" t="s">
        <v>206</v>
      </c>
      <c r="J509" s="4" t="s">
        <v>206</v>
      </c>
      <c r="K509" s="4"/>
      <c r="L509" s="3">
        <v>178.5</v>
      </c>
      <c r="M509" s="4"/>
      <c r="N509" s="3">
        <v>5108.57</v>
      </c>
      <c r="O509" s="4" t="s">
        <v>34</v>
      </c>
      <c r="P509" s="4" t="s">
        <v>49</v>
      </c>
      <c r="Q509" s="4" t="s">
        <v>35</v>
      </c>
      <c r="R509" s="3">
        <v>4391.79</v>
      </c>
      <c r="S509" s="3">
        <v>18.359400000000001</v>
      </c>
      <c r="T509" s="4" t="s">
        <v>43</v>
      </c>
      <c r="U509" s="2" t="s">
        <v>37</v>
      </c>
      <c r="V509" s="2" t="s">
        <v>37</v>
      </c>
      <c r="W509" s="2" t="s">
        <v>37</v>
      </c>
      <c r="X509" s="2" t="s">
        <v>37</v>
      </c>
      <c r="Y509" s="2" t="s">
        <v>37</v>
      </c>
      <c r="Z509" s="2" t="s">
        <v>37</v>
      </c>
      <c r="AA509" s="6">
        <v>3.7082993489999998</v>
      </c>
      <c r="AB509" s="6">
        <v>3.6426415649999999</v>
      </c>
      <c r="AC509" s="6">
        <v>3.7082993489999998</v>
      </c>
      <c r="AD509" cm="1">
        <f t="array" ref="AD509">IF(SUMPRODUCT(--($AM$2:$AM$112=TRIM(LEFT($B509,IFERROR(FIND(" ",$B509)-1,LEN($B509))))))&gt;0,1,0)</f>
        <v>0</v>
      </c>
      <c r="AE509" cm="1">
        <f t="array" ref="AE509">IF(SUMPRODUCT(--($AO$2:$AO$145=TRIM(LEFT($B509,IFERROR(FIND(" ",$B509)-1,LEN($B509))))))&gt;0,1,0)</f>
        <v>0</v>
      </c>
      <c r="AF509" cm="1">
        <f t="array" ref="AF509">IF(SUMPRODUCT(--($AQ$2:$AQ$71=TRIM(LEFT($B509,IFERROR(FIND(" ",$B509)-1,LEN($B509))))))&gt;0,1,0)</f>
        <v>0</v>
      </c>
    </row>
    <row r="510" spans="1:32" ht="105.75" thickBot="1" x14ac:dyDescent="0.3">
      <c r="A510" s="13">
        <v>31</v>
      </c>
      <c r="B510" s="4" t="s">
        <v>1114</v>
      </c>
      <c r="C510" s="4" t="s">
        <v>1115</v>
      </c>
      <c r="D510" s="7">
        <v>44664</v>
      </c>
      <c r="E510" s="3">
        <v>910.66</v>
      </c>
      <c r="F510" s="4" t="s">
        <v>30</v>
      </c>
      <c r="G510" s="3">
        <v>14.77</v>
      </c>
      <c r="H510" s="4" t="s">
        <v>41</v>
      </c>
      <c r="I510" s="4" t="s">
        <v>41</v>
      </c>
      <c r="J510" s="4" t="s">
        <v>42</v>
      </c>
      <c r="K510" s="4"/>
      <c r="L510" s="4"/>
      <c r="M510" s="3">
        <v>40.79</v>
      </c>
      <c r="N510" s="3">
        <v>952.6</v>
      </c>
      <c r="O510" s="4" t="s">
        <v>34</v>
      </c>
      <c r="P510" s="4" t="s">
        <v>34</v>
      </c>
      <c r="Q510" s="4" t="s">
        <v>35</v>
      </c>
      <c r="R510" s="3">
        <v>183.982</v>
      </c>
      <c r="S510" s="3">
        <v>31.463699999999999</v>
      </c>
      <c r="T510" s="4" t="s">
        <v>91</v>
      </c>
      <c r="U510" s="2" t="s">
        <v>37</v>
      </c>
      <c r="V510" s="2" t="s">
        <v>37</v>
      </c>
      <c r="W510" s="2" t="s">
        <v>37</v>
      </c>
      <c r="X510" s="2" t="s">
        <v>37</v>
      </c>
      <c r="Y510" s="2" t="s">
        <v>37</v>
      </c>
      <c r="Z510" s="2" t="s">
        <v>38</v>
      </c>
      <c r="AA510" s="6">
        <v>2.9593562609999999</v>
      </c>
      <c r="AB510" s="6">
        <v>2.264775336</v>
      </c>
      <c r="AC510" s="6">
        <v>2.9789105770000002</v>
      </c>
      <c r="AD510" cm="1">
        <f t="array" ref="AD510">IF(SUMPRODUCT(--($AM$2:$AM$112=TRIM(LEFT($B510,IFERROR(FIND(" ",$B510)-1,LEN($B510))))))&gt;0,1,0)</f>
        <v>0</v>
      </c>
      <c r="AE510" cm="1">
        <f t="array" ref="AE510">IF(SUMPRODUCT(--($AO$2:$AO$145=TRIM(LEFT($B510,IFERROR(FIND(" ",$B510)-1,LEN($B510))))))&gt;0,1,0)</f>
        <v>0</v>
      </c>
      <c r="AF510" cm="1">
        <f t="array" ref="AF510">IF(SUMPRODUCT(--($AQ$2:$AQ$71=TRIM(LEFT($B510,IFERROR(FIND(" ",$B510)-1,LEN($B510))))))&gt;0,1,0)</f>
        <v>0</v>
      </c>
    </row>
    <row r="511" spans="1:32" ht="45.75" thickBot="1" x14ac:dyDescent="0.3">
      <c r="A511" s="13">
        <v>97</v>
      </c>
      <c r="B511" s="4" t="s">
        <v>1116</v>
      </c>
      <c r="C511" s="4" t="s">
        <v>1117</v>
      </c>
      <c r="D511" s="7">
        <v>44571</v>
      </c>
      <c r="E511" s="3">
        <v>12006.42</v>
      </c>
      <c r="F511" s="4" t="s">
        <v>107</v>
      </c>
      <c r="G511" s="3">
        <v>37.79</v>
      </c>
      <c r="H511" s="4" t="s">
        <v>184</v>
      </c>
      <c r="I511" s="4" t="s">
        <v>185</v>
      </c>
      <c r="J511" s="4" t="s">
        <v>186</v>
      </c>
      <c r="K511" s="4"/>
      <c r="L511" s="4"/>
      <c r="M511" s="3">
        <v>66.680000000000007</v>
      </c>
      <c r="N511" s="3">
        <v>11861.01</v>
      </c>
      <c r="O511" s="4" t="s">
        <v>34</v>
      </c>
      <c r="P511" s="4" t="s">
        <v>34</v>
      </c>
      <c r="Q511" s="4" t="s">
        <v>35</v>
      </c>
      <c r="R511" s="3">
        <v>2800.5</v>
      </c>
      <c r="S511" s="3">
        <v>2.7104900000000001</v>
      </c>
      <c r="T511" s="4" t="s">
        <v>43</v>
      </c>
      <c r="U511" s="2" t="s">
        <v>37</v>
      </c>
      <c r="V511" s="2" t="s">
        <v>37</v>
      </c>
      <c r="W511" s="2" t="s">
        <v>37</v>
      </c>
      <c r="X511" s="2" t="s">
        <v>37</v>
      </c>
      <c r="Y511" s="2" t="s">
        <v>37</v>
      </c>
      <c r="Z511" s="2" t="s">
        <v>37</v>
      </c>
      <c r="AA511" s="6">
        <v>4.0794135310000001</v>
      </c>
      <c r="AB511" s="6">
        <v>3.4472355769999998</v>
      </c>
      <c r="AC511" s="6">
        <v>4.0741216720000004</v>
      </c>
      <c r="AD511" cm="1">
        <f t="array" ref="AD511">IF(SUMPRODUCT(--($AM$2:$AM$112=TRIM(LEFT($B511,IFERROR(FIND(" ",$B511)-1,LEN($B511))))))&gt;0,1,0)</f>
        <v>0</v>
      </c>
      <c r="AE511" cm="1">
        <f t="array" ref="AE511">IF(SUMPRODUCT(--($AO$2:$AO$145=TRIM(LEFT($B511,IFERROR(FIND(" ",$B511)-1,LEN($B511))))))&gt;0,1,0)</f>
        <v>0</v>
      </c>
      <c r="AF511" cm="1">
        <f t="array" ref="AF511">IF(SUMPRODUCT(--($AQ$2:$AQ$71=TRIM(LEFT($B511,IFERROR(FIND(" ",$B511)-1,LEN($B511))))))&gt;0,1,0)</f>
        <v>0</v>
      </c>
    </row>
    <row r="512" spans="1:32" ht="165.75" thickBot="1" x14ac:dyDescent="0.3">
      <c r="A512" s="13">
        <v>119</v>
      </c>
      <c r="B512" s="4" t="s">
        <v>1118</v>
      </c>
      <c r="C512" s="4" t="s">
        <v>623</v>
      </c>
      <c r="D512" s="7">
        <v>44537</v>
      </c>
      <c r="E512" s="3">
        <v>5155.66</v>
      </c>
      <c r="F512" s="4" t="s">
        <v>30</v>
      </c>
      <c r="G512" s="3">
        <v>39.85</v>
      </c>
      <c r="H512" s="4" t="s">
        <v>31</v>
      </c>
      <c r="I512" s="4" t="s">
        <v>32</v>
      </c>
      <c r="J512" s="4" t="s">
        <v>33</v>
      </c>
      <c r="K512" s="4"/>
      <c r="L512" s="4"/>
      <c r="M512" s="3">
        <v>7.0000000000000007E-2</v>
      </c>
      <c r="N512" s="3">
        <v>5311.58</v>
      </c>
      <c r="O512" s="4" t="s">
        <v>34</v>
      </c>
      <c r="P512" s="4" t="s">
        <v>166</v>
      </c>
      <c r="Q512" s="4" t="s">
        <v>35</v>
      </c>
      <c r="R512" s="3">
        <v>501.399</v>
      </c>
      <c r="S512" s="3">
        <v>9.9835700000000003</v>
      </c>
      <c r="T512" s="4" t="s">
        <v>726</v>
      </c>
      <c r="U512" s="2" t="s">
        <v>37</v>
      </c>
      <c r="V512" s="2" t="s">
        <v>37</v>
      </c>
      <c r="W512" s="2" t="s">
        <v>38</v>
      </c>
      <c r="X512" s="2" t="s">
        <v>38</v>
      </c>
      <c r="Y512" s="2" t="s">
        <v>38</v>
      </c>
      <c r="Z512" s="2" t="s">
        <v>37</v>
      </c>
      <c r="AA512" s="6">
        <v>3.712284269</v>
      </c>
      <c r="AB512" s="6">
        <v>2.7001834630000001</v>
      </c>
      <c r="AC512" s="6">
        <v>3.7252237269999999</v>
      </c>
      <c r="AD512" cm="1">
        <f t="array" ref="AD512">IF(SUMPRODUCT(--($AM$2:$AM$112=TRIM(LEFT($B512,IFERROR(FIND(" ",$B512)-1,LEN($B512))))))&gt;0,1,0)</f>
        <v>0</v>
      </c>
      <c r="AE512" cm="1">
        <f t="array" ref="AE512">IF(SUMPRODUCT(--($AO$2:$AO$145=TRIM(LEFT($B512,IFERROR(FIND(" ",$B512)-1,LEN($B512))))))&gt;0,1,0)</f>
        <v>0</v>
      </c>
      <c r="AF512" cm="1">
        <f t="array" ref="AF512">IF(SUMPRODUCT(--($AQ$2:$AQ$71=TRIM(LEFT($B512,IFERROR(FIND(" ",$B512)-1,LEN($B512))))))&gt;0,1,0)</f>
        <v>1</v>
      </c>
    </row>
    <row r="513" spans="1:32" ht="45.75" thickBot="1" x14ac:dyDescent="0.3">
      <c r="A513" s="13">
        <v>157</v>
      </c>
      <c r="B513" s="4" t="s">
        <v>1119</v>
      </c>
      <c r="C513" s="4" t="s">
        <v>518</v>
      </c>
      <c r="D513" s="7">
        <v>44480</v>
      </c>
      <c r="E513" s="3">
        <v>5959.13</v>
      </c>
      <c r="F513" s="4" t="s">
        <v>107</v>
      </c>
      <c r="G513" s="3">
        <v>15.5</v>
      </c>
      <c r="H513" s="4" t="s">
        <v>31</v>
      </c>
      <c r="I513" s="4" t="s">
        <v>32</v>
      </c>
      <c r="J513" s="4" t="s">
        <v>33</v>
      </c>
      <c r="K513" s="4"/>
      <c r="L513" s="3">
        <v>325</v>
      </c>
      <c r="M513" s="4"/>
      <c r="N513" s="3">
        <v>5881.97</v>
      </c>
      <c r="O513" s="4" t="s">
        <v>34</v>
      </c>
      <c r="P513" s="4" t="s">
        <v>34</v>
      </c>
      <c r="Q513" s="4" t="s">
        <v>35</v>
      </c>
      <c r="R513" s="3">
        <v>709.37599999999998</v>
      </c>
      <c r="S513" s="3">
        <v>42.563299999999998</v>
      </c>
      <c r="T513" s="4" t="s">
        <v>43</v>
      </c>
      <c r="U513" s="2" t="s">
        <v>37</v>
      </c>
      <c r="V513" s="2" t="s">
        <v>37</v>
      </c>
      <c r="W513" s="2" t="s">
        <v>37</v>
      </c>
      <c r="X513" s="2" t="s">
        <v>37</v>
      </c>
      <c r="Y513" s="2" t="s">
        <v>37</v>
      </c>
      <c r="Z513" s="2" t="s">
        <v>37</v>
      </c>
      <c r="AA513" s="6">
        <v>3.7751828600000001</v>
      </c>
      <c r="AB513" s="6">
        <v>2.8508764910000002</v>
      </c>
      <c r="AC513" s="6">
        <v>3.7695228049999998</v>
      </c>
      <c r="AD513" cm="1">
        <f t="array" ref="AD513">IF(SUMPRODUCT(--($AM$2:$AM$112=TRIM(LEFT($B513,IFERROR(FIND(" ",$B513)-1,LEN($B513))))))&gt;0,1,0)</f>
        <v>0</v>
      </c>
      <c r="AE513" cm="1">
        <f t="array" ref="AE513">IF(SUMPRODUCT(--($AO$2:$AO$145=TRIM(LEFT($B513,IFERROR(FIND(" ",$B513)-1,LEN($B513))))))&gt;0,1,0)</f>
        <v>0</v>
      </c>
      <c r="AF513" cm="1">
        <f t="array" ref="AF513">IF(SUMPRODUCT(--($AQ$2:$AQ$71=TRIM(LEFT($B513,IFERROR(FIND(" ",$B513)-1,LEN($B513))))))&gt;0,1,0)</f>
        <v>0</v>
      </c>
    </row>
    <row r="514" spans="1:32" ht="135.75" thickBot="1" x14ac:dyDescent="0.3">
      <c r="A514" s="13">
        <v>107</v>
      </c>
      <c r="B514" s="4" t="s">
        <v>1120</v>
      </c>
      <c r="C514" s="4" t="s">
        <v>230</v>
      </c>
      <c r="D514" s="7">
        <v>44547</v>
      </c>
      <c r="E514" s="3">
        <v>2594.15</v>
      </c>
      <c r="F514" s="4" t="s">
        <v>30</v>
      </c>
      <c r="G514" s="3">
        <v>56.5</v>
      </c>
      <c r="H514" s="4" t="s">
        <v>31</v>
      </c>
      <c r="I514" s="4" t="s">
        <v>32</v>
      </c>
      <c r="J514" s="4" t="s">
        <v>33</v>
      </c>
      <c r="K514" s="4"/>
      <c r="L514" s="4"/>
      <c r="M514" s="4"/>
      <c r="N514" s="3">
        <v>2562.73</v>
      </c>
      <c r="O514" s="4" t="s">
        <v>34</v>
      </c>
      <c r="P514" s="4" t="s">
        <v>34</v>
      </c>
      <c r="Q514" s="4" t="s">
        <v>35</v>
      </c>
      <c r="R514" s="3">
        <v>471.40300000000002</v>
      </c>
      <c r="S514" s="3">
        <v>-6.3686299999999996</v>
      </c>
      <c r="T514" s="4" t="s">
        <v>312</v>
      </c>
      <c r="U514" s="2" t="s">
        <v>37</v>
      </c>
      <c r="V514" s="2" t="s">
        <v>37</v>
      </c>
      <c r="W514" s="2" t="s">
        <v>37</v>
      </c>
      <c r="X514" s="2" t="s">
        <v>38</v>
      </c>
      <c r="Y514" s="2" t="s">
        <v>38</v>
      </c>
      <c r="Z514" s="2" t="s">
        <v>37</v>
      </c>
      <c r="AA514" s="6">
        <v>3.4139950840000002</v>
      </c>
      <c r="AB514" s="6">
        <v>2.6733923420000001</v>
      </c>
      <c r="AC514" s="6">
        <v>3.4087028529999999</v>
      </c>
      <c r="AD514" cm="1">
        <f t="array" ref="AD514">IF(SUMPRODUCT(--($AM$2:$AM$112=TRIM(LEFT($B514,IFERROR(FIND(" ",$B514)-1,LEN($B514))))))&gt;0,1,0)</f>
        <v>0</v>
      </c>
      <c r="AE514" cm="1">
        <f t="array" ref="AE514">IF(SUMPRODUCT(--($AO$2:$AO$145=TRIM(LEFT($B514,IFERROR(FIND(" ",$B514)-1,LEN($B514))))))&gt;0,1,0)</f>
        <v>0</v>
      </c>
      <c r="AF514" cm="1">
        <f t="array" ref="AF514">IF(SUMPRODUCT(--($AQ$2:$AQ$71=TRIM(LEFT($B514,IFERROR(FIND(" ",$B514)-1,LEN($B514))))))&gt;0,1,0)</f>
        <v>0</v>
      </c>
    </row>
    <row r="515" spans="1:32" ht="45.75" thickBot="1" x14ac:dyDescent="0.3">
      <c r="A515" s="13">
        <v>202</v>
      </c>
      <c r="B515" s="4" t="s">
        <v>1121</v>
      </c>
      <c r="C515" s="4" t="s">
        <v>1122</v>
      </c>
      <c r="D515" s="7">
        <v>44414</v>
      </c>
      <c r="E515" s="3">
        <v>950.74</v>
      </c>
      <c r="F515" s="4" t="s">
        <v>30</v>
      </c>
      <c r="G515" s="4"/>
      <c r="H515" s="4" t="s">
        <v>41</v>
      </c>
      <c r="I515" s="4" t="s">
        <v>41</v>
      </c>
      <c r="J515" s="4" t="s">
        <v>42</v>
      </c>
      <c r="K515" s="4"/>
      <c r="L515" s="3">
        <v>29.25</v>
      </c>
      <c r="M515" s="3">
        <v>34.1</v>
      </c>
      <c r="N515" s="3">
        <v>941.14</v>
      </c>
      <c r="O515" s="4" t="s">
        <v>34</v>
      </c>
      <c r="P515" s="4" t="s">
        <v>687</v>
      </c>
      <c r="Q515" s="4" t="s">
        <v>35</v>
      </c>
      <c r="R515" s="3">
        <v>106.748</v>
      </c>
      <c r="S515" s="3">
        <v>-143.41200000000001</v>
      </c>
      <c r="T515" s="4" t="s">
        <v>43</v>
      </c>
      <c r="U515" s="2" t="s">
        <v>37</v>
      </c>
      <c r="V515" s="2" t="s">
        <v>37</v>
      </c>
      <c r="W515" s="2" t="s">
        <v>37</v>
      </c>
      <c r="X515" s="2" t="s">
        <v>37</v>
      </c>
      <c r="Y515" s="2" t="s">
        <v>37</v>
      </c>
      <c r="Z515" s="2" t="s">
        <v>37</v>
      </c>
      <c r="AA515" s="6">
        <v>2.9780617660000002</v>
      </c>
      <c r="AB515" s="6">
        <v>2.0283597470000001</v>
      </c>
      <c r="AC515" s="6">
        <v>2.9736542319999999</v>
      </c>
      <c r="AD515" cm="1">
        <f t="array" ref="AD515">IF(SUMPRODUCT(--($AM$2:$AM$112=TRIM(LEFT($B515,IFERROR(FIND(" ",$B515)-1,LEN($B515))))))&gt;0,1,0)</f>
        <v>0</v>
      </c>
      <c r="AE515" cm="1">
        <f t="array" ref="AE515">IF(SUMPRODUCT(--($AO$2:$AO$145=TRIM(LEFT($B515,IFERROR(FIND(" ",$B515)-1,LEN($B515))))))&gt;0,1,0)</f>
        <v>0</v>
      </c>
      <c r="AF515" cm="1">
        <f t="array" ref="AF515">IF(SUMPRODUCT(--($AQ$2:$AQ$71=TRIM(LEFT($B515,IFERROR(FIND(" ",$B515)-1,LEN($B515))))))&gt;0,1,0)</f>
        <v>0</v>
      </c>
    </row>
    <row r="516" spans="1:32" ht="105.75" thickBot="1" x14ac:dyDescent="0.3">
      <c r="A516" s="13">
        <v>34</v>
      </c>
      <c r="B516" s="4" t="s">
        <v>1123</v>
      </c>
      <c r="C516" s="2"/>
      <c r="D516" s="7">
        <v>44649</v>
      </c>
      <c r="E516" s="3">
        <v>2643.6</v>
      </c>
      <c r="F516" s="4" t="s">
        <v>30</v>
      </c>
      <c r="G516" s="3">
        <v>33.06</v>
      </c>
      <c r="H516" s="4" t="s">
        <v>31</v>
      </c>
      <c r="I516" s="4" t="s">
        <v>432</v>
      </c>
      <c r="J516" s="4" t="s">
        <v>433</v>
      </c>
      <c r="K516" s="4"/>
      <c r="L516" s="4"/>
      <c r="M516" s="3">
        <v>21.08</v>
      </c>
      <c r="N516" s="3">
        <v>3179.69</v>
      </c>
      <c r="O516" s="4" t="s">
        <v>34</v>
      </c>
      <c r="P516" s="4" t="s">
        <v>166</v>
      </c>
      <c r="Q516" s="4" t="s">
        <v>493</v>
      </c>
      <c r="R516" s="3">
        <v>1619.59</v>
      </c>
      <c r="S516" s="3">
        <v>3.20167</v>
      </c>
      <c r="T516" s="4" t="s">
        <v>351</v>
      </c>
      <c r="U516" s="2" t="s">
        <v>37</v>
      </c>
      <c r="V516" s="2" t="s">
        <v>37</v>
      </c>
      <c r="W516" s="2" t="s">
        <v>38</v>
      </c>
      <c r="X516" s="2" t="s">
        <v>38</v>
      </c>
      <c r="Y516" s="2" t="s">
        <v>37</v>
      </c>
      <c r="Z516" s="2" t="s">
        <v>37</v>
      </c>
      <c r="AA516" s="6">
        <v>3.4221957430000001</v>
      </c>
      <c r="AB516" s="6">
        <v>3.2094050869999999</v>
      </c>
      <c r="AC516" s="6">
        <v>3.5023847809999999</v>
      </c>
      <c r="AD516" cm="1">
        <f t="array" ref="AD516">IF(SUMPRODUCT(--($AM$2:$AM$112=TRIM(LEFT($B516,IFERROR(FIND(" ",$B516)-1,LEN($B516))))))&gt;0,1,0)</f>
        <v>0</v>
      </c>
      <c r="AE516" cm="1">
        <f t="array" ref="AE516">IF(SUMPRODUCT(--($AO$2:$AO$145=TRIM(LEFT($B516,IFERROR(FIND(" ",$B516)-1,LEN($B516))))))&gt;0,1,0)</f>
        <v>0</v>
      </c>
      <c r="AF516" cm="1">
        <f t="array" ref="AF516">IF(SUMPRODUCT(--($AQ$2:$AQ$71=TRIM(LEFT($B516,IFERROR(FIND(" ",$B516)-1,LEN($B516))))))&gt;0,1,0)</f>
        <v>0</v>
      </c>
    </row>
    <row r="517" spans="1:32" ht="60.75" thickBot="1" x14ac:dyDescent="0.3">
      <c r="A517" s="13">
        <v>60</v>
      </c>
      <c r="B517" s="4" t="s">
        <v>1124</v>
      </c>
      <c r="C517" s="4" t="s">
        <v>1125</v>
      </c>
      <c r="D517" s="7">
        <v>44601</v>
      </c>
      <c r="E517" s="3">
        <v>2262.65</v>
      </c>
      <c r="F517" s="4" t="s">
        <v>30</v>
      </c>
      <c r="G517" s="3">
        <v>14.26</v>
      </c>
      <c r="H517" s="4" t="s">
        <v>70</v>
      </c>
      <c r="I517" s="4" t="s">
        <v>94</v>
      </c>
      <c r="J517" s="4" t="s">
        <v>95</v>
      </c>
      <c r="K517" s="4"/>
      <c r="L517" s="4"/>
      <c r="M517" s="3">
        <v>65.150000000000006</v>
      </c>
      <c r="N517" s="3">
        <v>1512.59</v>
      </c>
      <c r="O517" s="4" t="s">
        <v>34</v>
      </c>
      <c r="P517" s="4" t="s">
        <v>34</v>
      </c>
      <c r="Q517" s="4" t="s">
        <v>35</v>
      </c>
      <c r="R517" s="3">
        <v>988.00099999999998</v>
      </c>
      <c r="S517" s="3">
        <v>2.7907899999999999</v>
      </c>
      <c r="T517" s="4" t="s">
        <v>43</v>
      </c>
      <c r="U517" s="2" t="s">
        <v>37</v>
      </c>
      <c r="V517" s="2" t="s">
        <v>37</v>
      </c>
      <c r="W517" s="2" t="s">
        <v>37</v>
      </c>
      <c r="X517" s="2" t="s">
        <v>37</v>
      </c>
      <c r="Y517" s="2" t="s">
        <v>37</v>
      </c>
      <c r="Z517" s="2" t="s">
        <v>37</v>
      </c>
      <c r="AA517" s="6">
        <v>3.3546173800000001</v>
      </c>
      <c r="AB517" s="6">
        <v>2.9947573840000001</v>
      </c>
      <c r="AC517" s="6">
        <v>3.1797212250000002</v>
      </c>
      <c r="AD517" cm="1">
        <f t="array" ref="AD517">IF(SUMPRODUCT(--($AM$2:$AM$112=TRIM(LEFT($B517,IFERROR(FIND(" ",$B517)-1,LEN($B517))))))&gt;0,1,0)</f>
        <v>0</v>
      </c>
      <c r="AE517" cm="1">
        <f t="array" ref="AE517">IF(SUMPRODUCT(--($AO$2:$AO$145=TRIM(LEFT($B517,IFERROR(FIND(" ",$B517)-1,LEN($B517))))))&gt;0,1,0)</f>
        <v>0</v>
      </c>
      <c r="AF517" cm="1">
        <f t="array" ref="AF517">IF(SUMPRODUCT(--($AQ$2:$AQ$71=TRIM(LEFT($B517,IFERROR(FIND(" ",$B517)-1,LEN($B517))))))&gt;0,1,0)</f>
        <v>0</v>
      </c>
    </row>
    <row r="518" spans="1:32" ht="45.75" thickBot="1" x14ac:dyDescent="0.3">
      <c r="A518" s="13">
        <v>193</v>
      </c>
      <c r="B518" s="4" t="s">
        <v>1126</v>
      </c>
      <c r="C518" s="4" t="s">
        <v>132</v>
      </c>
      <c r="D518" s="7">
        <v>44412</v>
      </c>
      <c r="E518" s="3">
        <v>15516.32</v>
      </c>
      <c r="F518" s="4" t="s">
        <v>46</v>
      </c>
      <c r="G518" s="3">
        <v>14.68</v>
      </c>
      <c r="H518" s="4" t="s">
        <v>51</v>
      </c>
      <c r="I518" s="4" t="s">
        <v>51</v>
      </c>
      <c r="J518" s="4" t="s">
        <v>79</v>
      </c>
      <c r="K518" s="3">
        <v>709</v>
      </c>
      <c r="L518" s="3">
        <v>421</v>
      </c>
      <c r="M518" s="3">
        <v>15.13</v>
      </c>
      <c r="N518" s="3">
        <v>11309.93</v>
      </c>
      <c r="O518" s="4" t="s">
        <v>34</v>
      </c>
      <c r="P518" s="4" t="s">
        <v>34</v>
      </c>
      <c r="Q518" s="4" t="s">
        <v>35</v>
      </c>
      <c r="R518" s="3">
        <v>782.06299999999999</v>
      </c>
      <c r="S518" s="3">
        <v>63.029499999999999</v>
      </c>
      <c r="T518" s="4" t="s">
        <v>43</v>
      </c>
      <c r="U518" s="2" t="s">
        <v>37</v>
      </c>
      <c r="V518" s="2" t="s">
        <v>37</v>
      </c>
      <c r="W518" s="2" t="s">
        <v>37</v>
      </c>
      <c r="X518" s="2" t="s">
        <v>37</v>
      </c>
      <c r="Y518" s="2" t="s">
        <v>37</v>
      </c>
      <c r="Z518" s="2" t="s">
        <v>37</v>
      </c>
      <c r="AA518" s="6">
        <v>4.1907887280000002</v>
      </c>
      <c r="AB518" s="6">
        <v>2.8932417400000001</v>
      </c>
      <c r="AC518" s="6">
        <v>4.0534599169999996</v>
      </c>
      <c r="AD518" cm="1">
        <f t="array" ref="AD518">IF(SUMPRODUCT(--($AM$2:$AM$112=TRIM(LEFT($B518,IFERROR(FIND(" ",$B518)-1,LEN($B518))))))&gt;0,1,0)</f>
        <v>0</v>
      </c>
      <c r="AE518" cm="1">
        <f t="array" ref="AE518">IF(SUMPRODUCT(--($AO$2:$AO$145=TRIM(LEFT($B518,IFERROR(FIND(" ",$B518)-1,LEN($B518))))))&gt;0,1,0)</f>
        <v>0</v>
      </c>
      <c r="AF518" cm="1">
        <f t="array" ref="AF518">IF(SUMPRODUCT(--($AQ$2:$AQ$71=TRIM(LEFT($B518,IFERROR(FIND(" ",$B518)-1,LEN($B518))))))&gt;0,1,0)</f>
        <v>0</v>
      </c>
    </row>
    <row r="519" spans="1:32" ht="75.75" thickBot="1" x14ac:dyDescent="0.3">
      <c r="A519" s="13">
        <v>249</v>
      </c>
      <c r="B519" s="4" t="s">
        <v>1127</v>
      </c>
      <c r="C519" s="4" t="s">
        <v>1128</v>
      </c>
      <c r="D519" s="7">
        <v>44327</v>
      </c>
      <c r="E519" s="3">
        <v>2459.5100000000002</v>
      </c>
      <c r="F519" s="4" t="s">
        <v>30</v>
      </c>
      <c r="G519" s="3">
        <v>18.54</v>
      </c>
      <c r="H519" s="4" t="s">
        <v>47</v>
      </c>
      <c r="I519" s="4" t="s">
        <v>47</v>
      </c>
      <c r="J519" s="4" t="s">
        <v>875</v>
      </c>
      <c r="K519" s="3">
        <v>93.43</v>
      </c>
      <c r="L519" s="3">
        <v>55.12</v>
      </c>
      <c r="M519" s="4"/>
      <c r="N519" s="3">
        <v>1817.74</v>
      </c>
      <c r="O519" s="4" t="s">
        <v>34</v>
      </c>
      <c r="P519" s="4" t="s">
        <v>34</v>
      </c>
      <c r="Q519" s="4" t="s">
        <v>35</v>
      </c>
      <c r="R519" s="3">
        <v>1126.26</v>
      </c>
      <c r="S519" s="3">
        <v>9.9799000000000007</v>
      </c>
      <c r="T519" s="4" t="s">
        <v>113</v>
      </c>
      <c r="U519" s="2" t="s">
        <v>37</v>
      </c>
      <c r="V519" s="2" t="s">
        <v>37</v>
      </c>
      <c r="W519" s="2" t="s">
        <v>37</v>
      </c>
      <c r="X519" s="2" t="s">
        <v>38</v>
      </c>
      <c r="Y519" s="2" t="s">
        <v>37</v>
      </c>
      <c r="Z519" s="2" t="s">
        <v>37</v>
      </c>
      <c r="AA519" s="6">
        <v>3.3908485929999999</v>
      </c>
      <c r="AB519" s="6">
        <v>3.0516386600000001</v>
      </c>
      <c r="AC519" s="6">
        <v>3.2595317640000001</v>
      </c>
      <c r="AD519" cm="1">
        <f t="array" ref="AD519">IF(SUMPRODUCT(--($AM$2:$AM$112=TRIM(LEFT($B519,IFERROR(FIND(" ",$B519)-1,LEN($B519))))))&gt;0,1,0)</f>
        <v>1</v>
      </c>
      <c r="AE519" cm="1">
        <f t="array" ref="AE519">IF(SUMPRODUCT(--($AO$2:$AO$145=TRIM(LEFT($B519,IFERROR(FIND(" ",$B519)-1,LEN($B519))))))&gt;0,1,0)</f>
        <v>1</v>
      </c>
      <c r="AF519" cm="1">
        <f t="array" ref="AF519">IF(SUMPRODUCT(--($AQ$2:$AQ$71=TRIM(LEFT($B519,IFERROR(FIND(" ",$B519)-1,LEN($B519))))))&gt;0,1,0)</f>
        <v>0</v>
      </c>
    </row>
    <row r="520" spans="1:32" ht="45.75" thickBot="1" x14ac:dyDescent="0.3">
      <c r="A520" s="13">
        <v>102</v>
      </c>
      <c r="B520" s="4" t="s">
        <v>1129</v>
      </c>
      <c r="C520" s="4" t="s">
        <v>1130</v>
      </c>
      <c r="D520" s="7">
        <v>44519</v>
      </c>
      <c r="E520" s="3">
        <v>526.05999999999995</v>
      </c>
      <c r="F520" s="4" t="s">
        <v>46</v>
      </c>
      <c r="G520" s="3">
        <v>6.86</v>
      </c>
      <c r="H520" s="4" t="s">
        <v>65</v>
      </c>
      <c r="I520" s="4" t="s">
        <v>66</v>
      </c>
      <c r="J520" s="4" t="s">
        <v>66</v>
      </c>
      <c r="K520" s="4"/>
      <c r="L520" s="4"/>
      <c r="M520" s="3">
        <v>24.66</v>
      </c>
      <c r="N520" s="3">
        <v>537.07000000000005</v>
      </c>
      <c r="O520" s="4" t="s">
        <v>34</v>
      </c>
      <c r="P520" s="4" t="s">
        <v>34</v>
      </c>
      <c r="Q520" s="4" t="s">
        <v>35</v>
      </c>
      <c r="R520" s="3">
        <v>139.595</v>
      </c>
      <c r="S520" s="3">
        <v>37.770000000000003</v>
      </c>
      <c r="T520" s="4" t="s">
        <v>43</v>
      </c>
      <c r="U520" s="2" t="s">
        <v>37</v>
      </c>
      <c r="V520" s="2" t="s">
        <v>37</v>
      </c>
      <c r="W520" s="2" t="s">
        <v>37</v>
      </c>
      <c r="X520" s="2" t="s">
        <v>37</v>
      </c>
      <c r="Y520" s="2" t="s">
        <v>37</v>
      </c>
      <c r="Z520" s="2" t="s">
        <v>37</v>
      </c>
      <c r="AA520" s="6">
        <v>2.7210352809999998</v>
      </c>
      <c r="AB520" s="6">
        <v>2.1448698629999998</v>
      </c>
      <c r="AC520" s="6">
        <v>2.730030894</v>
      </c>
      <c r="AD520" cm="1">
        <f t="array" ref="AD520">IF(SUMPRODUCT(--($AM$2:$AM$112=TRIM(LEFT($B520,IFERROR(FIND(" ",$B520)-1,LEN($B520))))))&gt;0,1,0)</f>
        <v>0</v>
      </c>
      <c r="AE520" cm="1">
        <f t="array" ref="AE520">IF(SUMPRODUCT(--($AO$2:$AO$145=TRIM(LEFT($B520,IFERROR(FIND(" ",$B520)-1,LEN($B520))))))&gt;0,1,0)</f>
        <v>0</v>
      </c>
      <c r="AF520" cm="1">
        <f t="array" ref="AF520">IF(SUMPRODUCT(--($AQ$2:$AQ$71=TRIM(LEFT($B520,IFERROR(FIND(" ",$B520)-1,LEN($B520))))))&gt;0,1,0)</f>
        <v>0</v>
      </c>
    </row>
    <row r="521" spans="1:32" ht="165.75" thickBot="1" x14ac:dyDescent="0.3">
      <c r="A521" s="13">
        <v>34</v>
      </c>
      <c r="B521" s="4" t="s">
        <v>1131</v>
      </c>
      <c r="C521" s="4" t="s">
        <v>1132</v>
      </c>
      <c r="D521" s="7">
        <v>44614</v>
      </c>
      <c r="E521" s="3">
        <v>2720.16</v>
      </c>
      <c r="F521" s="4" t="s">
        <v>30</v>
      </c>
      <c r="G521" s="3">
        <v>9.91</v>
      </c>
      <c r="H521" s="4" t="s">
        <v>184</v>
      </c>
      <c r="I521" s="4" t="s">
        <v>185</v>
      </c>
      <c r="J521" s="4" t="s">
        <v>1133</v>
      </c>
      <c r="K521" s="3">
        <v>130</v>
      </c>
      <c r="L521" s="4"/>
      <c r="M521" s="3">
        <v>17.34</v>
      </c>
      <c r="N521" s="3">
        <v>2681.3</v>
      </c>
      <c r="O521" s="4" t="s">
        <v>34</v>
      </c>
      <c r="P521" s="4" t="s">
        <v>34</v>
      </c>
      <c r="Q521" s="4" t="s">
        <v>35</v>
      </c>
      <c r="R521" s="3">
        <v>1050.8</v>
      </c>
      <c r="S521" s="3">
        <v>4.5852599999999999</v>
      </c>
      <c r="T521" s="4" t="s">
        <v>1134</v>
      </c>
      <c r="U521" s="2" t="s">
        <v>37</v>
      </c>
      <c r="V521" s="2" t="s">
        <v>37</v>
      </c>
      <c r="W521" s="2" t="s">
        <v>37</v>
      </c>
      <c r="X521" s="2" t="s">
        <v>38</v>
      </c>
      <c r="Y521" s="2" t="s">
        <v>38</v>
      </c>
      <c r="Z521" s="2" t="s">
        <v>38</v>
      </c>
      <c r="AA521" s="6">
        <v>3.4345944500000001</v>
      </c>
      <c r="AB521" s="6">
        <v>3.0215200640000002</v>
      </c>
      <c r="AC521" s="6">
        <v>3.4283454080000002</v>
      </c>
      <c r="AD521" cm="1">
        <f t="array" ref="AD521">IF(SUMPRODUCT(--($AM$2:$AM$112=TRIM(LEFT($B521,IFERROR(FIND(" ",$B521)-1,LEN($B521))))))&gt;0,1,0)</f>
        <v>0</v>
      </c>
      <c r="AE521" cm="1">
        <f t="array" ref="AE521">IF(SUMPRODUCT(--($AO$2:$AO$145=TRIM(LEFT($B521,IFERROR(FIND(" ",$B521)-1,LEN($B521))))))&gt;0,1,0)</f>
        <v>0</v>
      </c>
      <c r="AF521" cm="1">
        <f t="array" ref="AF521">IF(SUMPRODUCT(--($AQ$2:$AQ$71=TRIM(LEFT($B521,IFERROR(FIND(" ",$B521)-1,LEN($B521))))))&gt;0,1,0)</f>
        <v>0</v>
      </c>
    </row>
    <row r="522" spans="1:32" ht="45.75" thickBot="1" x14ac:dyDescent="0.3">
      <c r="A522" s="13">
        <v>182</v>
      </c>
      <c r="B522" s="4" t="s">
        <v>1135</v>
      </c>
      <c r="C522" s="4" t="s">
        <v>1136</v>
      </c>
      <c r="D522" s="7">
        <v>44405</v>
      </c>
      <c r="E522" s="3">
        <v>3630.55</v>
      </c>
      <c r="F522" s="4" t="s">
        <v>107</v>
      </c>
      <c r="G522" s="4"/>
      <c r="H522" s="4" t="s">
        <v>65</v>
      </c>
      <c r="I522" s="4" t="s">
        <v>66</v>
      </c>
      <c r="J522" s="4" t="s">
        <v>66</v>
      </c>
      <c r="K522" s="4"/>
      <c r="L522" s="3">
        <v>140</v>
      </c>
      <c r="M522" s="4"/>
      <c r="N522" s="3">
        <v>3630.55</v>
      </c>
      <c r="O522" s="4" t="s">
        <v>34</v>
      </c>
      <c r="P522" s="4" t="s">
        <v>34</v>
      </c>
      <c r="Q522" s="4" t="s">
        <v>35</v>
      </c>
      <c r="R522" s="3">
        <v>983.101</v>
      </c>
      <c r="S522" s="3">
        <v>51.277700000000003</v>
      </c>
      <c r="T522" s="4" t="s">
        <v>43</v>
      </c>
      <c r="U522" s="2" t="s">
        <v>37</v>
      </c>
      <c r="V522" s="2" t="s">
        <v>37</v>
      </c>
      <c r="W522" s="2" t="s">
        <v>37</v>
      </c>
      <c r="X522" s="2" t="s">
        <v>37</v>
      </c>
      <c r="Y522" s="2" t="s">
        <v>37</v>
      </c>
      <c r="Z522" s="2" t="s">
        <v>37</v>
      </c>
      <c r="AA522" s="6">
        <v>3.559972422</v>
      </c>
      <c r="AB522" s="6">
        <v>2.992598138</v>
      </c>
      <c r="AC522" s="6">
        <v>3.559972422</v>
      </c>
      <c r="AD522" cm="1">
        <f t="array" ref="AD522">IF(SUMPRODUCT(--($AM$2:$AM$112=TRIM(LEFT($B522,IFERROR(FIND(" ",$B522)-1,LEN($B522))))))&gt;0,1,0)</f>
        <v>0</v>
      </c>
      <c r="AE522" cm="1">
        <f t="array" ref="AE522">IF(SUMPRODUCT(--($AO$2:$AO$145=TRIM(LEFT($B522,IFERROR(FIND(" ",$B522)-1,LEN($B522))))))&gt;0,1,0)</f>
        <v>0</v>
      </c>
      <c r="AF522" cm="1">
        <f t="array" ref="AF522">IF(SUMPRODUCT(--($AQ$2:$AQ$71=TRIM(LEFT($B522,IFERROR(FIND(" ",$B522)-1,LEN($B522))))))&gt;0,1,0)</f>
        <v>0</v>
      </c>
    </row>
    <row r="523" spans="1:32" ht="45.75" thickBot="1" x14ac:dyDescent="0.3">
      <c r="A523" s="13">
        <v>292</v>
      </c>
      <c r="B523" s="4" t="s">
        <v>1137</v>
      </c>
      <c r="C523" s="4" t="s">
        <v>1138</v>
      </c>
      <c r="D523" s="7">
        <v>44249</v>
      </c>
      <c r="E523" s="3">
        <v>5245.72</v>
      </c>
      <c r="F523" s="4" t="s">
        <v>46</v>
      </c>
      <c r="G523" s="4"/>
      <c r="H523" s="4" t="s">
        <v>65</v>
      </c>
      <c r="I523" s="4" t="s">
        <v>66</v>
      </c>
      <c r="J523" s="4" t="s">
        <v>66</v>
      </c>
      <c r="K523" s="4"/>
      <c r="L523" s="3">
        <v>280</v>
      </c>
      <c r="M523" s="4"/>
      <c r="N523" s="3">
        <v>7061.42</v>
      </c>
      <c r="O523" s="4" t="s">
        <v>34</v>
      </c>
      <c r="P523" s="4" t="s">
        <v>34</v>
      </c>
      <c r="Q523" s="4" t="s">
        <v>35</v>
      </c>
      <c r="R523" s="3">
        <v>1994.9</v>
      </c>
      <c r="S523" s="3">
        <v>40.006300000000003</v>
      </c>
      <c r="T523" s="4" t="s">
        <v>43</v>
      </c>
      <c r="U523" s="2" t="s">
        <v>37</v>
      </c>
      <c r="V523" s="2" t="s">
        <v>37</v>
      </c>
      <c r="W523" s="2" t="s">
        <v>37</v>
      </c>
      <c r="X523" s="2" t="s">
        <v>37</v>
      </c>
      <c r="Y523" s="2" t="s">
        <v>37</v>
      </c>
      <c r="Z523" s="2" t="s">
        <v>37</v>
      </c>
      <c r="AA523" s="6">
        <v>3.7198051059999999</v>
      </c>
      <c r="AB523" s="6">
        <v>3.29992113</v>
      </c>
      <c r="AC523" s="6">
        <v>3.8488920430000002</v>
      </c>
      <c r="AD523" cm="1">
        <f t="array" ref="AD523">IF(SUMPRODUCT(--($AM$2:$AM$112=TRIM(LEFT($B523,IFERROR(FIND(" ",$B523)-1,LEN($B523))))))&gt;0,1,0)</f>
        <v>0</v>
      </c>
      <c r="AE523" cm="1">
        <f t="array" ref="AE523">IF(SUMPRODUCT(--($AO$2:$AO$145=TRIM(LEFT($B523,IFERROR(FIND(" ",$B523)-1,LEN($B523))))))&gt;0,1,0)</f>
        <v>0</v>
      </c>
      <c r="AF523" cm="1">
        <f t="array" ref="AF523">IF(SUMPRODUCT(--($AQ$2:$AQ$71=TRIM(LEFT($B523,IFERROR(FIND(" ",$B523)-1,LEN($B523))))))&gt;0,1,0)</f>
        <v>0</v>
      </c>
    </row>
    <row r="524" spans="1:32" ht="135.75" thickBot="1" x14ac:dyDescent="0.3">
      <c r="A524" s="13">
        <v>82</v>
      </c>
      <c r="B524" s="4" t="s">
        <v>1139</v>
      </c>
      <c r="C524" s="4" t="s">
        <v>224</v>
      </c>
      <c r="D524" s="7">
        <v>44543</v>
      </c>
      <c r="E524" s="3">
        <v>3731.39</v>
      </c>
      <c r="F524" s="4" t="s">
        <v>30</v>
      </c>
      <c r="G524" s="3">
        <v>21.8</v>
      </c>
      <c r="H524" s="4" t="s">
        <v>70</v>
      </c>
      <c r="I524" s="4" t="s">
        <v>71</v>
      </c>
      <c r="J524" s="4" t="s">
        <v>72</v>
      </c>
      <c r="K524" s="4"/>
      <c r="L524" s="4"/>
      <c r="M524" s="3">
        <v>3.71</v>
      </c>
      <c r="N524" s="3">
        <v>3630.49</v>
      </c>
      <c r="O524" s="4" t="s">
        <v>34</v>
      </c>
      <c r="P524" s="4" t="s">
        <v>34</v>
      </c>
      <c r="Q524" s="4" t="s">
        <v>35</v>
      </c>
      <c r="R524" s="3">
        <v>1529</v>
      </c>
      <c r="S524" s="3">
        <v>8.2014399999999998</v>
      </c>
      <c r="T524" s="4" t="s">
        <v>312</v>
      </c>
      <c r="U524" s="2" t="s">
        <v>37</v>
      </c>
      <c r="V524" s="2" t="s">
        <v>37</v>
      </c>
      <c r="W524" s="2" t="s">
        <v>37</v>
      </c>
      <c r="X524" s="2" t="s">
        <v>38</v>
      </c>
      <c r="Y524" s="2" t="s">
        <v>38</v>
      </c>
      <c r="Z524" s="2" t="s">
        <v>37</v>
      </c>
      <c r="AA524" s="6">
        <v>3.571870643</v>
      </c>
      <c r="AB524" s="6">
        <v>3.1844074849999999</v>
      </c>
      <c r="AC524" s="6">
        <v>3.5599652449999999</v>
      </c>
      <c r="AD524" cm="1">
        <f t="array" ref="AD524">IF(SUMPRODUCT(--($AM$2:$AM$112=TRIM(LEFT($B524,IFERROR(FIND(" ",$B524)-1,LEN($B524))))))&gt;0,1,0)</f>
        <v>0</v>
      </c>
      <c r="AE524" cm="1">
        <f t="array" ref="AE524">IF(SUMPRODUCT(--($AO$2:$AO$145=TRIM(LEFT($B524,IFERROR(FIND(" ",$B524)-1,LEN($B524))))))&gt;0,1,0)</f>
        <v>0</v>
      </c>
      <c r="AF524" cm="1">
        <f t="array" ref="AF524">IF(SUMPRODUCT(--($AQ$2:$AQ$71=TRIM(LEFT($B524,IFERROR(FIND(" ",$B524)-1,LEN($B524))))))&gt;0,1,0)</f>
        <v>0</v>
      </c>
    </row>
    <row r="525" spans="1:32" ht="135.75" thickBot="1" x14ac:dyDescent="0.3">
      <c r="A525" s="13">
        <v>77</v>
      </c>
      <c r="B525" s="4" t="s">
        <v>1140</v>
      </c>
      <c r="C525" s="4" t="s">
        <v>917</v>
      </c>
      <c r="D525" s="7">
        <v>44550</v>
      </c>
      <c r="E525" s="3">
        <v>736.56</v>
      </c>
      <c r="F525" s="4" t="s">
        <v>46</v>
      </c>
      <c r="G525" s="3">
        <v>21.6</v>
      </c>
      <c r="H525" s="4" t="s">
        <v>118</v>
      </c>
      <c r="I525" s="4" t="s">
        <v>119</v>
      </c>
      <c r="J525" s="4" t="s">
        <v>120</v>
      </c>
      <c r="K525" s="4"/>
      <c r="L525" s="4"/>
      <c r="M525" s="4"/>
      <c r="N525" s="3">
        <v>736.56</v>
      </c>
      <c r="O525" s="4" t="s">
        <v>34</v>
      </c>
      <c r="P525" s="4" t="s">
        <v>166</v>
      </c>
      <c r="Q525" s="4" t="s">
        <v>35</v>
      </c>
      <c r="R525" s="3">
        <v>119.9</v>
      </c>
      <c r="S525" s="3">
        <v>60.216799999999999</v>
      </c>
      <c r="T525" s="4" t="s">
        <v>1141</v>
      </c>
      <c r="U525" s="2" t="s">
        <v>38</v>
      </c>
      <c r="V525" s="2" t="s">
        <v>37</v>
      </c>
      <c r="W525" s="2" t="s">
        <v>38</v>
      </c>
      <c r="X525" s="2" t="s">
        <v>37</v>
      </c>
      <c r="Y525" s="2" t="s">
        <v>37</v>
      </c>
      <c r="Z525" s="2" t="s">
        <v>37</v>
      </c>
      <c r="AA525" s="6">
        <v>2.8672081299999999</v>
      </c>
      <c r="AB525" s="6">
        <v>2.0788191829999998</v>
      </c>
      <c r="AC525" s="6">
        <v>2.8672081299999999</v>
      </c>
      <c r="AD525" cm="1">
        <f t="array" ref="AD525">IF(SUMPRODUCT(--($AM$2:$AM$112=TRIM(LEFT($B525,IFERROR(FIND(" ",$B525)-1,LEN($B525))))))&gt;0,1,0)</f>
        <v>0</v>
      </c>
      <c r="AE525" cm="1">
        <f t="array" ref="AE525">IF(SUMPRODUCT(--($AO$2:$AO$145=TRIM(LEFT($B525,IFERROR(FIND(" ",$B525)-1,LEN($B525))))))&gt;0,1,0)</f>
        <v>0</v>
      </c>
      <c r="AF525" cm="1">
        <f t="array" ref="AF525">IF(SUMPRODUCT(--($AQ$2:$AQ$71=TRIM(LEFT($B525,IFERROR(FIND(" ",$B525)-1,LEN($B525))))))&gt;0,1,0)</f>
        <v>0</v>
      </c>
    </row>
    <row r="526" spans="1:32" ht="75.75" thickBot="1" x14ac:dyDescent="0.3">
      <c r="A526" s="13">
        <v>74</v>
      </c>
      <c r="B526" s="4" t="s">
        <v>1142</v>
      </c>
      <c r="C526" s="4" t="s">
        <v>1143</v>
      </c>
      <c r="D526" s="7">
        <v>44549</v>
      </c>
      <c r="E526" s="3">
        <v>623.67999999999995</v>
      </c>
      <c r="F526" s="4" t="s">
        <v>30</v>
      </c>
      <c r="G526" s="3">
        <v>14.5</v>
      </c>
      <c r="H526" s="4" t="s">
        <v>47</v>
      </c>
      <c r="I526" s="4" t="s">
        <v>47</v>
      </c>
      <c r="J526" s="4" t="s">
        <v>962</v>
      </c>
      <c r="K526" s="4"/>
      <c r="L526" s="4"/>
      <c r="M526" s="4"/>
      <c r="N526" s="3">
        <v>784.68</v>
      </c>
      <c r="O526" s="4" t="s">
        <v>34</v>
      </c>
      <c r="P526" s="4" t="s">
        <v>638</v>
      </c>
      <c r="Q526" s="4" t="s">
        <v>399</v>
      </c>
      <c r="R526" s="3">
        <v>1278</v>
      </c>
      <c r="S526" s="3">
        <v>-2.2691699999999999</v>
      </c>
      <c r="T526" s="4" t="s">
        <v>97</v>
      </c>
      <c r="U526" s="2" t="s">
        <v>37</v>
      </c>
      <c r="V526" s="2" t="s">
        <v>37</v>
      </c>
      <c r="W526" s="2" t="s">
        <v>38</v>
      </c>
      <c r="X526" s="2" t="s">
        <v>37</v>
      </c>
      <c r="Y526" s="2" t="s">
        <v>37</v>
      </c>
      <c r="Z526" s="2" t="s">
        <v>37</v>
      </c>
      <c r="AA526" s="6">
        <v>2.7949618169999999</v>
      </c>
      <c r="AB526" s="6">
        <v>3.1065308539999998</v>
      </c>
      <c r="AC526" s="6">
        <v>2.8946925829999999</v>
      </c>
      <c r="AD526" cm="1">
        <f t="array" ref="AD526">IF(SUMPRODUCT(--($AM$2:$AM$112=TRIM(LEFT($B526,IFERROR(FIND(" ",$B526)-1,LEN($B526))))))&gt;0,1,0)</f>
        <v>0</v>
      </c>
      <c r="AE526" cm="1">
        <f t="array" ref="AE526">IF(SUMPRODUCT(--($AO$2:$AO$145=TRIM(LEFT($B526,IFERROR(FIND(" ",$B526)-1,LEN($B526))))))&gt;0,1,0)</f>
        <v>0</v>
      </c>
      <c r="AF526" cm="1">
        <f t="array" ref="AF526">IF(SUMPRODUCT(--($AQ$2:$AQ$71=TRIM(LEFT($B526,IFERROR(FIND(" ",$B526)-1,LEN($B526))))))&gt;0,1,0)</f>
        <v>0</v>
      </c>
    </row>
    <row r="527" spans="1:32" ht="60.75" thickBot="1" x14ac:dyDescent="0.3">
      <c r="A527" s="13">
        <v>58</v>
      </c>
      <c r="B527" s="4" t="s">
        <v>1144</v>
      </c>
      <c r="C527" s="4" t="s">
        <v>1145</v>
      </c>
      <c r="D527" s="7">
        <v>44571</v>
      </c>
      <c r="E527" s="3">
        <v>1557.82</v>
      </c>
      <c r="F527" s="4" t="s">
        <v>30</v>
      </c>
      <c r="G527" s="3">
        <v>6.27</v>
      </c>
      <c r="H527" s="4" t="s">
        <v>41</v>
      </c>
      <c r="I527" s="4" t="s">
        <v>41</v>
      </c>
      <c r="J527" s="4" t="s">
        <v>60</v>
      </c>
      <c r="K527" s="4"/>
      <c r="L527" s="4"/>
      <c r="M527" s="3">
        <v>20.75</v>
      </c>
      <c r="N527" s="3">
        <v>1330.19</v>
      </c>
      <c r="O527" s="4" t="s">
        <v>34</v>
      </c>
      <c r="P527" s="4" t="s">
        <v>34</v>
      </c>
      <c r="Q527" s="4" t="s">
        <v>35</v>
      </c>
      <c r="R527" s="3">
        <v>1145.28</v>
      </c>
      <c r="S527" s="3">
        <v>8.5004899999999992</v>
      </c>
      <c r="T527" s="4" t="s">
        <v>43</v>
      </c>
      <c r="U527" s="2" t="s">
        <v>37</v>
      </c>
      <c r="V527" s="2" t="s">
        <v>37</v>
      </c>
      <c r="W527" s="2" t="s">
        <v>37</v>
      </c>
      <c r="X527" s="2" t="s">
        <v>37</v>
      </c>
      <c r="Y527" s="2" t="s">
        <v>37</v>
      </c>
      <c r="Z527" s="2" t="s">
        <v>37</v>
      </c>
      <c r="AA527" s="6">
        <v>3.1925172750000002</v>
      </c>
      <c r="AB527" s="6">
        <v>3.0589116770000002</v>
      </c>
      <c r="AC527" s="6">
        <v>3.1239136790000002</v>
      </c>
      <c r="AD527" cm="1">
        <f t="array" ref="AD527">IF(SUMPRODUCT(--($AM$2:$AM$112=TRIM(LEFT($B527,IFERROR(FIND(" ",$B527)-1,LEN($B527))))))&gt;0,1,0)</f>
        <v>0</v>
      </c>
      <c r="AE527" cm="1">
        <f t="array" ref="AE527">IF(SUMPRODUCT(--($AO$2:$AO$145=TRIM(LEFT($B527,IFERROR(FIND(" ",$B527)-1,LEN($B527))))))&gt;0,1,0)</f>
        <v>0</v>
      </c>
      <c r="AF527" cm="1">
        <f t="array" ref="AF527">IF(SUMPRODUCT(--($AQ$2:$AQ$71=TRIM(LEFT($B527,IFERROR(FIND(" ",$B527)-1,LEN($B527))))))&gt;0,1,0)</f>
        <v>0</v>
      </c>
    </row>
    <row r="528" spans="1:32" ht="105.75" thickBot="1" x14ac:dyDescent="0.3">
      <c r="A528" s="13">
        <v>141</v>
      </c>
      <c r="B528" s="4" t="s">
        <v>1146</v>
      </c>
      <c r="C528" s="4" t="s">
        <v>1147</v>
      </c>
      <c r="D528" s="7">
        <v>44454</v>
      </c>
      <c r="E528" s="3">
        <v>1277.74</v>
      </c>
      <c r="F528" s="4" t="s">
        <v>46</v>
      </c>
      <c r="G528" s="3">
        <v>9.26</v>
      </c>
      <c r="H528" s="4" t="s">
        <v>65</v>
      </c>
      <c r="I528" s="4" t="s">
        <v>138</v>
      </c>
      <c r="J528" s="4" t="s">
        <v>139</v>
      </c>
      <c r="K528" s="4"/>
      <c r="L528" s="3">
        <v>75</v>
      </c>
      <c r="M528" s="3">
        <v>53.42</v>
      </c>
      <c r="N528" s="3">
        <v>962.6</v>
      </c>
      <c r="O528" s="4" t="s">
        <v>34</v>
      </c>
      <c r="P528" s="4" t="s">
        <v>34</v>
      </c>
      <c r="Q528" s="4" t="s">
        <v>35</v>
      </c>
      <c r="R528" s="3">
        <v>518.07399999999996</v>
      </c>
      <c r="S528" s="3">
        <v>31.115600000000001</v>
      </c>
      <c r="T528" s="4" t="s">
        <v>371</v>
      </c>
      <c r="U528" s="2" t="s">
        <v>37</v>
      </c>
      <c r="V528" s="2" t="s">
        <v>37</v>
      </c>
      <c r="W528" s="2" t="s">
        <v>37</v>
      </c>
      <c r="X528" s="2" t="s">
        <v>37</v>
      </c>
      <c r="Y528" s="2" t="s">
        <v>38</v>
      </c>
      <c r="Z528" s="2" t="s">
        <v>37</v>
      </c>
      <c r="AA528" s="6">
        <v>3.1064424910000001</v>
      </c>
      <c r="AB528" s="6">
        <v>2.7143917970000002</v>
      </c>
      <c r="AC528" s="6">
        <v>2.983445857</v>
      </c>
      <c r="AD528" cm="1">
        <f t="array" ref="AD528">IF(SUMPRODUCT(--($AM$2:$AM$112=TRIM(LEFT($B528,IFERROR(FIND(" ",$B528)-1,LEN($B528))))))&gt;0,1,0)</f>
        <v>0</v>
      </c>
      <c r="AE528" cm="1">
        <f t="array" ref="AE528">IF(SUMPRODUCT(--($AO$2:$AO$145=TRIM(LEFT($B528,IFERROR(FIND(" ",$B528)-1,LEN($B528))))))&gt;0,1,0)</f>
        <v>0</v>
      </c>
      <c r="AF528" cm="1">
        <f t="array" ref="AF528">IF(SUMPRODUCT(--($AQ$2:$AQ$71=TRIM(LEFT($B528,IFERROR(FIND(" ",$B528)-1,LEN($B528))))))&gt;0,1,0)</f>
        <v>0</v>
      </c>
    </row>
    <row r="529" spans="1:32" ht="135.75" thickBot="1" x14ac:dyDescent="0.3">
      <c r="A529" s="13">
        <v>96</v>
      </c>
      <c r="B529" s="4" t="s">
        <v>1148</v>
      </c>
      <c r="C529" s="2"/>
      <c r="D529" s="7">
        <v>44515</v>
      </c>
      <c r="E529" s="3">
        <v>11485.69</v>
      </c>
      <c r="F529" s="4" t="s">
        <v>30</v>
      </c>
      <c r="G529" s="3">
        <v>20.39</v>
      </c>
      <c r="H529" s="4" t="s">
        <v>51</v>
      </c>
      <c r="I529" s="4" t="s">
        <v>51</v>
      </c>
      <c r="J529" s="4" t="s">
        <v>79</v>
      </c>
      <c r="K529" s="4"/>
      <c r="L529" s="4"/>
      <c r="M529" s="3">
        <v>10.65</v>
      </c>
      <c r="N529" s="3">
        <v>11485.69</v>
      </c>
      <c r="O529" s="4" t="s">
        <v>34</v>
      </c>
      <c r="P529" s="4" t="s">
        <v>34</v>
      </c>
      <c r="Q529" s="4" t="s">
        <v>35</v>
      </c>
      <c r="R529" s="3">
        <v>1205.7</v>
      </c>
      <c r="S529" s="3">
        <v>3.2595200000000002</v>
      </c>
      <c r="T529" s="4" t="s">
        <v>101</v>
      </c>
      <c r="U529" s="2" t="s">
        <v>37</v>
      </c>
      <c r="V529" s="2" t="s">
        <v>37</v>
      </c>
      <c r="W529" s="2" t="s">
        <v>37</v>
      </c>
      <c r="X529" s="2" t="s">
        <v>38</v>
      </c>
      <c r="Y529" s="2" t="s">
        <v>38</v>
      </c>
      <c r="Z529" s="2" t="s">
        <v>37</v>
      </c>
      <c r="AA529" s="6">
        <v>4.0601570899999997</v>
      </c>
      <c r="AB529" s="6">
        <v>3.0812392609999999</v>
      </c>
      <c r="AC529" s="6">
        <v>4.0601570899999997</v>
      </c>
      <c r="AD529" cm="1">
        <f t="array" ref="AD529">IF(SUMPRODUCT(--($AM$2:$AM$112=TRIM(LEFT($B529,IFERROR(FIND(" ",$B529)-1,LEN($B529))))))&gt;0,1,0)</f>
        <v>1</v>
      </c>
      <c r="AE529" cm="1">
        <f t="array" ref="AE529">IF(SUMPRODUCT(--($AO$2:$AO$145=TRIM(LEFT($B529,IFERROR(FIND(" ",$B529)-1,LEN($B529))))))&gt;0,1,0)</f>
        <v>1</v>
      </c>
      <c r="AF529" cm="1">
        <f t="array" ref="AF529">IF(SUMPRODUCT(--($AQ$2:$AQ$71=TRIM(LEFT($B529,IFERROR(FIND(" ",$B529)-1,LEN($B529))))))&gt;0,1,0)</f>
        <v>0</v>
      </c>
    </row>
    <row r="530" spans="1:32" ht="75.75" thickBot="1" x14ac:dyDescent="0.3">
      <c r="A530" s="13">
        <v>281</v>
      </c>
      <c r="B530" s="4" t="s">
        <v>1149</v>
      </c>
      <c r="C530" s="4" t="s">
        <v>541</v>
      </c>
      <c r="D530" s="7">
        <v>44249</v>
      </c>
      <c r="E530" s="3">
        <v>2697.24</v>
      </c>
      <c r="F530" s="4" t="s">
        <v>30</v>
      </c>
      <c r="G530" s="3">
        <v>10.42</v>
      </c>
      <c r="H530" s="4" t="s">
        <v>47</v>
      </c>
      <c r="I530" s="4" t="s">
        <v>47</v>
      </c>
      <c r="J530" s="4" t="s">
        <v>542</v>
      </c>
      <c r="K530" s="3">
        <v>85</v>
      </c>
      <c r="L530" s="3">
        <v>50</v>
      </c>
      <c r="M530" s="3">
        <v>16.690000000000001</v>
      </c>
      <c r="N530" s="3">
        <v>1576.17</v>
      </c>
      <c r="O530" s="4" t="s">
        <v>34</v>
      </c>
      <c r="P530" s="4" t="s">
        <v>34</v>
      </c>
      <c r="Q530" s="4" t="s">
        <v>35</v>
      </c>
      <c r="R530" s="3">
        <v>1858.27</v>
      </c>
      <c r="S530" s="3">
        <v>11.699</v>
      </c>
      <c r="T530" s="4" t="s">
        <v>113</v>
      </c>
      <c r="U530" s="2" t="s">
        <v>37</v>
      </c>
      <c r="V530" s="2" t="s">
        <v>37</v>
      </c>
      <c r="W530" s="2" t="s">
        <v>37</v>
      </c>
      <c r="X530" s="2" t="s">
        <v>38</v>
      </c>
      <c r="Y530" s="2" t="s">
        <v>37</v>
      </c>
      <c r="Z530" s="2" t="s">
        <v>37</v>
      </c>
      <c r="AA530" s="6">
        <v>3.430919592</v>
      </c>
      <c r="AB530" s="6">
        <v>3.2691088160000001</v>
      </c>
      <c r="AC530" s="6">
        <v>3.1976030569999998</v>
      </c>
      <c r="AD530" cm="1">
        <f t="array" ref="AD530">IF(SUMPRODUCT(--($AM$2:$AM$112=TRIM(LEFT($B530,IFERROR(FIND(" ",$B530)-1,LEN($B530))))))&gt;0,1,0)</f>
        <v>0</v>
      </c>
      <c r="AE530" cm="1">
        <f t="array" ref="AE530">IF(SUMPRODUCT(--($AO$2:$AO$145=TRIM(LEFT($B530,IFERROR(FIND(" ",$B530)-1,LEN($B530))))))&gt;0,1,0)</f>
        <v>0</v>
      </c>
      <c r="AF530" cm="1">
        <f t="array" ref="AF530">IF(SUMPRODUCT(--($AQ$2:$AQ$71=TRIM(LEFT($B530,IFERROR(FIND(" ",$B530)-1,LEN($B530))))))&gt;0,1,0)</f>
        <v>0</v>
      </c>
    </row>
    <row r="531" spans="1:32" ht="165.75" thickBot="1" x14ac:dyDescent="0.3">
      <c r="A531" s="13">
        <v>62</v>
      </c>
      <c r="B531" s="4" t="s">
        <v>1150</v>
      </c>
      <c r="C531" s="4" t="s">
        <v>1151</v>
      </c>
      <c r="D531" s="7">
        <v>44550</v>
      </c>
      <c r="E531" s="3">
        <v>3141.05</v>
      </c>
      <c r="F531" s="4" t="s">
        <v>30</v>
      </c>
      <c r="G531" s="4"/>
      <c r="H531" s="4" t="s">
        <v>47</v>
      </c>
      <c r="I531" s="4" t="s">
        <v>47</v>
      </c>
      <c r="J531" s="4" t="s">
        <v>875</v>
      </c>
      <c r="K531" s="4"/>
      <c r="L531" s="4"/>
      <c r="M531" s="3">
        <v>22.39</v>
      </c>
      <c r="N531" s="3">
        <v>1727.05</v>
      </c>
      <c r="O531" s="4" t="s">
        <v>34</v>
      </c>
      <c r="P531" s="4" t="s">
        <v>34</v>
      </c>
      <c r="Q531" s="4" t="s">
        <v>35</v>
      </c>
      <c r="R531" s="3">
        <v>2510</v>
      </c>
      <c r="S531" s="3">
        <v>-2.5497999999999998</v>
      </c>
      <c r="T531" s="4" t="s">
        <v>1152</v>
      </c>
      <c r="U531" s="2" t="s">
        <v>37</v>
      </c>
      <c r="V531" s="2" t="s">
        <v>38</v>
      </c>
      <c r="W531" s="2" t="s">
        <v>37</v>
      </c>
      <c r="X531" s="2" t="s">
        <v>38</v>
      </c>
      <c r="Y531" s="2" t="s">
        <v>38</v>
      </c>
      <c r="Z531" s="2" t="s">
        <v>37</v>
      </c>
      <c r="AA531" s="6">
        <v>3.4970748500000002</v>
      </c>
      <c r="AB531" s="6">
        <v>3.3996737210000001</v>
      </c>
      <c r="AC531" s="6">
        <v>3.2373049109999998</v>
      </c>
      <c r="AD531" cm="1">
        <f t="array" ref="AD531">IF(SUMPRODUCT(--($AM$2:$AM$112=TRIM(LEFT($B531,IFERROR(FIND(" ",$B531)-1,LEN($B531))))))&gt;0,1,0)</f>
        <v>0</v>
      </c>
      <c r="AE531" cm="1">
        <f t="array" ref="AE531">IF(SUMPRODUCT(--($AO$2:$AO$145=TRIM(LEFT($B531,IFERROR(FIND(" ",$B531)-1,LEN($B531))))))&gt;0,1,0)</f>
        <v>0</v>
      </c>
      <c r="AF531" cm="1">
        <f t="array" ref="AF531">IF(SUMPRODUCT(--($AQ$2:$AQ$71=TRIM(LEFT($B531,IFERROR(FIND(" ",$B531)-1,LEN($B531))))))&gt;0,1,0)</f>
        <v>0</v>
      </c>
    </row>
    <row r="532" spans="1:32" ht="45.75" thickBot="1" x14ac:dyDescent="0.3">
      <c r="A532" s="13">
        <v>122</v>
      </c>
      <c r="B532" s="4" t="s">
        <v>1153</v>
      </c>
      <c r="C532" s="4" t="s">
        <v>1154</v>
      </c>
      <c r="D532" s="7">
        <v>44466</v>
      </c>
      <c r="E532" s="3">
        <v>2442.7600000000002</v>
      </c>
      <c r="F532" s="4" t="s">
        <v>30</v>
      </c>
      <c r="G532" s="4"/>
      <c r="H532" s="4" t="s">
        <v>47</v>
      </c>
      <c r="I532" s="4" t="s">
        <v>47</v>
      </c>
      <c r="J532" s="4" t="s">
        <v>875</v>
      </c>
      <c r="K532" s="3">
        <v>63</v>
      </c>
      <c r="L532" s="4"/>
      <c r="M532" s="3">
        <v>12.27</v>
      </c>
      <c r="N532" s="3">
        <v>1494.89</v>
      </c>
      <c r="O532" s="4" t="s">
        <v>34</v>
      </c>
      <c r="P532" s="4" t="s">
        <v>976</v>
      </c>
      <c r="Q532" s="4" t="s">
        <v>35</v>
      </c>
      <c r="R532" s="3">
        <v>1970.13</v>
      </c>
      <c r="S532" s="3">
        <v>13.036199999999999</v>
      </c>
      <c r="T532" s="4" t="s">
        <v>43</v>
      </c>
      <c r="U532" s="2" t="s">
        <v>37</v>
      </c>
      <c r="V532" s="2" t="s">
        <v>37</v>
      </c>
      <c r="W532" s="2" t="s">
        <v>37</v>
      </c>
      <c r="X532" s="2" t="s">
        <v>37</v>
      </c>
      <c r="Y532" s="2" t="s">
        <v>37</v>
      </c>
      <c r="Z532" s="2" t="s">
        <v>37</v>
      </c>
      <c r="AA532" s="6">
        <v>3.3878808</v>
      </c>
      <c r="AB532" s="6">
        <v>3.2944948840000001</v>
      </c>
      <c r="AC532" s="6">
        <v>3.1746092369999999</v>
      </c>
      <c r="AD532" cm="1">
        <f t="array" ref="AD532">IF(SUMPRODUCT(--($AM$2:$AM$112=TRIM(LEFT($B532,IFERROR(FIND(" ",$B532)-1,LEN($B532))))))&gt;0,1,0)</f>
        <v>1</v>
      </c>
      <c r="AE532" cm="1">
        <f t="array" ref="AE532">IF(SUMPRODUCT(--($AO$2:$AO$145=TRIM(LEFT($B532,IFERROR(FIND(" ",$B532)-1,LEN($B532))))))&gt;0,1,0)</f>
        <v>0</v>
      </c>
      <c r="AF532" cm="1">
        <f t="array" ref="AF532">IF(SUMPRODUCT(--($AQ$2:$AQ$71=TRIM(LEFT($B532,IFERROR(FIND(" ",$B532)-1,LEN($B532))))))&gt;0,1,0)</f>
        <v>1</v>
      </c>
    </row>
    <row r="533" spans="1:32" ht="45.75" thickBot="1" x14ac:dyDescent="0.3">
      <c r="A533" s="13">
        <v>66</v>
      </c>
      <c r="B533" s="4" t="s">
        <v>1155</v>
      </c>
      <c r="C533" s="4" t="s">
        <v>325</v>
      </c>
      <c r="D533" s="7">
        <v>44543</v>
      </c>
      <c r="E533" s="3">
        <v>5403.53</v>
      </c>
      <c r="F533" s="4" t="s">
        <v>30</v>
      </c>
      <c r="G533" s="4"/>
      <c r="H533" s="4" t="s">
        <v>41</v>
      </c>
      <c r="I533" s="4" t="s">
        <v>41</v>
      </c>
      <c r="J533" s="4" t="s">
        <v>42</v>
      </c>
      <c r="K533" s="3">
        <v>350</v>
      </c>
      <c r="L533" s="3">
        <v>235</v>
      </c>
      <c r="M533" s="3">
        <v>79.16</v>
      </c>
      <c r="N533" s="3">
        <v>6132.83</v>
      </c>
      <c r="O533" s="4" t="s">
        <v>34</v>
      </c>
      <c r="P533" s="4" t="s">
        <v>34</v>
      </c>
      <c r="Q533" s="4" t="s">
        <v>35</v>
      </c>
      <c r="R533" s="3">
        <v>5.3999999999999999E-2</v>
      </c>
      <c r="S533" s="9">
        <v>-1160000</v>
      </c>
      <c r="T533" s="4" t="s">
        <v>43</v>
      </c>
      <c r="U533" s="2" t="s">
        <v>37</v>
      </c>
      <c r="V533" s="2" t="s">
        <v>37</v>
      </c>
      <c r="W533" s="2" t="s">
        <v>37</v>
      </c>
      <c r="X533" s="2" t="s">
        <v>37</v>
      </c>
      <c r="Y533" s="2" t="s">
        <v>37</v>
      </c>
      <c r="Z533" s="2" t="s">
        <v>37</v>
      </c>
      <c r="AA533" s="6">
        <v>3.7326775670000001</v>
      </c>
      <c r="AB533" s="6">
        <v>-1.2676062400000001</v>
      </c>
      <c r="AC533" s="6">
        <v>3.787660926</v>
      </c>
      <c r="AD533" cm="1">
        <f t="array" ref="AD533">IF(SUMPRODUCT(--($AM$2:$AM$112=TRIM(LEFT($B533,IFERROR(FIND(" ",$B533)-1,LEN($B533))))))&gt;0,1,0)</f>
        <v>0</v>
      </c>
      <c r="AE533" cm="1">
        <f t="array" ref="AE533">IF(SUMPRODUCT(--($AO$2:$AO$145=TRIM(LEFT($B533,IFERROR(FIND(" ",$B533)-1,LEN($B533))))))&gt;0,1,0)</f>
        <v>0</v>
      </c>
      <c r="AF533" cm="1">
        <f t="array" ref="AF533">IF(SUMPRODUCT(--($AQ$2:$AQ$71=TRIM(LEFT($B533,IFERROR(FIND(" ",$B533)-1,LEN($B533))))))&gt;0,1,0)</f>
        <v>0</v>
      </c>
    </row>
    <row r="534" spans="1:32" ht="150.75" thickBot="1" x14ac:dyDescent="0.3">
      <c r="A534" s="13">
        <v>91</v>
      </c>
      <c r="B534" s="4" t="s">
        <v>1156</v>
      </c>
      <c r="C534" s="4" t="s">
        <v>1157</v>
      </c>
      <c r="D534" s="7">
        <v>44508</v>
      </c>
      <c r="E534" s="3">
        <v>2644.94</v>
      </c>
      <c r="F534" s="4" t="s">
        <v>69</v>
      </c>
      <c r="G534" s="3">
        <v>9.4</v>
      </c>
      <c r="H534" s="4" t="s">
        <v>47</v>
      </c>
      <c r="I534" s="4" t="s">
        <v>47</v>
      </c>
      <c r="J534" s="4" t="s">
        <v>48</v>
      </c>
      <c r="K534" s="4"/>
      <c r="L534" s="4"/>
      <c r="M534" s="3">
        <v>29.58</v>
      </c>
      <c r="N534" s="3">
        <v>2644.94</v>
      </c>
      <c r="O534" s="4" t="s">
        <v>49</v>
      </c>
      <c r="P534" s="4" t="s">
        <v>152</v>
      </c>
      <c r="Q534" s="4" t="s">
        <v>35</v>
      </c>
      <c r="R534" s="3">
        <v>617.58500000000004</v>
      </c>
      <c r="S534" s="3">
        <v>31.681000000000001</v>
      </c>
      <c r="T534" s="4" t="s">
        <v>228</v>
      </c>
      <c r="U534" s="2" t="s">
        <v>38</v>
      </c>
      <c r="V534" s="2" t="s">
        <v>37</v>
      </c>
      <c r="W534" s="2" t="s">
        <v>38</v>
      </c>
      <c r="X534" s="2" t="s">
        <v>37</v>
      </c>
      <c r="Y534" s="2" t="s">
        <v>37</v>
      </c>
      <c r="Z534" s="2" t="s">
        <v>37</v>
      </c>
      <c r="AA534" s="6">
        <v>3.4224158249999999</v>
      </c>
      <c r="AB534" s="6">
        <v>2.7906967389999999</v>
      </c>
      <c r="AC534" s="6">
        <v>3.4224158249999999</v>
      </c>
      <c r="AD534" cm="1">
        <f t="array" ref="AD534">IF(SUMPRODUCT(--($AM$2:$AM$112=TRIM(LEFT($B534,IFERROR(FIND(" ",$B534)-1,LEN($B534))))))&gt;0,1,0)</f>
        <v>1</v>
      </c>
      <c r="AE534" cm="1">
        <f t="array" ref="AE534">IF(SUMPRODUCT(--($AO$2:$AO$145=TRIM(LEFT($B534,IFERROR(FIND(" ",$B534)-1,LEN($B534))))))&gt;0,1,0)</f>
        <v>0</v>
      </c>
      <c r="AF534" cm="1">
        <f t="array" ref="AF534">IF(SUMPRODUCT(--($AQ$2:$AQ$71=TRIM(LEFT($B534,IFERROR(FIND(" ",$B534)-1,LEN($B534))))))&gt;0,1,0)</f>
        <v>0</v>
      </c>
    </row>
    <row r="535" spans="1:32" ht="120.75" thickBot="1" x14ac:dyDescent="0.3">
      <c r="A535" s="13">
        <v>96</v>
      </c>
      <c r="B535" s="4" t="s">
        <v>1158</v>
      </c>
      <c r="C535" s="4" t="s">
        <v>904</v>
      </c>
      <c r="D535" s="7">
        <v>44496</v>
      </c>
      <c r="E535" s="3">
        <v>2333.84</v>
      </c>
      <c r="F535" s="4" t="s">
        <v>46</v>
      </c>
      <c r="G535" s="3">
        <v>29.83</v>
      </c>
      <c r="H535" s="4" t="s">
        <v>118</v>
      </c>
      <c r="I535" s="4" t="s">
        <v>119</v>
      </c>
      <c r="J535" s="4" t="s">
        <v>120</v>
      </c>
      <c r="K535" s="4"/>
      <c r="L535" s="4"/>
      <c r="M535" s="3">
        <v>3.41</v>
      </c>
      <c r="N535" s="3">
        <v>2333.84</v>
      </c>
      <c r="O535" s="4" t="s">
        <v>34</v>
      </c>
      <c r="P535" s="4" t="s">
        <v>34</v>
      </c>
      <c r="Q535" s="4" t="s">
        <v>35</v>
      </c>
      <c r="R535" s="3">
        <v>1146</v>
      </c>
      <c r="S535" s="3">
        <v>26.2653</v>
      </c>
      <c r="T535" s="4" t="s">
        <v>321</v>
      </c>
      <c r="U535" s="2" t="s">
        <v>38</v>
      </c>
      <c r="V535" s="2" t="s">
        <v>37</v>
      </c>
      <c r="W535" s="2" t="s">
        <v>37</v>
      </c>
      <c r="X535" s="2" t="s">
        <v>37</v>
      </c>
      <c r="Y535" s="2" t="s">
        <v>37</v>
      </c>
      <c r="Z535" s="2" t="s">
        <v>37</v>
      </c>
      <c r="AA535" s="6">
        <v>3.3680710789999999</v>
      </c>
      <c r="AB535" s="6">
        <v>3.0591846180000002</v>
      </c>
      <c r="AC535" s="6">
        <v>3.3680710789999999</v>
      </c>
      <c r="AD535" cm="1">
        <f t="array" ref="AD535">IF(SUMPRODUCT(--($AM$2:$AM$112=TRIM(LEFT($B535,IFERROR(FIND(" ",$B535)-1,LEN($B535))))))&gt;0,1,0)</f>
        <v>0</v>
      </c>
      <c r="AE535" cm="1">
        <f t="array" ref="AE535">IF(SUMPRODUCT(--($AO$2:$AO$145=TRIM(LEFT($B535,IFERROR(FIND(" ",$B535)-1,LEN($B535))))))&gt;0,1,0)</f>
        <v>0</v>
      </c>
      <c r="AF535" cm="1">
        <f t="array" ref="AF535">IF(SUMPRODUCT(--($AQ$2:$AQ$71=TRIM(LEFT($B535,IFERROR(FIND(" ",$B535)-1,LEN($B535))))))&gt;0,1,0)</f>
        <v>0</v>
      </c>
    </row>
    <row r="536" spans="1:32" ht="75.75" thickBot="1" x14ac:dyDescent="0.3">
      <c r="A536" s="13">
        <v>68</v>
      </c>
      <c r="B536" s="4" t="s">
        <v>1159</v>
      </c>
      <c r="C536" s="4" t="s">
        <v>1160</v>
      </c>
      <c r="D536" s="7">
        <v>44536</v>
      </c>
      <c r="E536" s="3">
        <v>825.03</v>
      </c>
      <c r="F536" s="4" t="s">
        <v>30</v>
      </c>
      <c r="G536" s="3">
        <v>8.02</v>
      </c>
      <c r="H536" s="4" t="s">
        <v>75</v>
      </c>
      <c r="I536" s="4" t="s">
        <v>111</v>
      </c>
      <c r="J536" s="4" t="s">
        <v>133</v>
      </c>
      <c r="K536" s="4"/>
      <c r="L536" s="4"/>
      <c r="M536" s="3">
        <v>52.64</v>
      </c>
      <c r="N536" s="3">
        <v>455.27</v>
      </c>
      <c r="O536" s="4" t="s">
        <v>34</v>
      </c>
      <c r="P536" s="4" t="s">
        <v>34</v>
      </c>
      <c r="Q536" s="4" t="s">
        <v>35</v>
      </c>
      <c r="R536" s="3">
        <v>527.35500000000002</v>
      </c>
      <c r="S536" s="3">
        <v>2.2846099999999998</v>
      </c>
      <c r="T536" s="4" t="s">
        <v>43</v>
      </c>
      <c r="U536" s="2" t="s">
        <v>37</v>
      </c>
      <c r="V536" s="2" t="s">
        <v>37</v>
      </c>
      <c r="W536" s="2" t="s">
        <v>37</v>
      </c>
      <c r="X536" s="2" t="s">
        <v>37</v>
      </c>
      <c r="Y536" s="2" t="s">
        <v>37</v>
      </c>
      <c r="Z536" s="2" t="s">
        <v>37</v>
      </c>
      <c r="AA536" s="6">
        <v>2.9164697409999998</v>
      </c>
      <c r="AB536" s="6">
        <v>2.722103068</v>
      </c>
      <c r="AC536" s="6">
        <v>2.6582690329999998</v>
      </c>
      <c r="AD536" cm="1">
        <f t="array" ref="AD536">IF(SUMPRODUCT(--($AM$2:$AM$112=TRIM(LEFT($B536,IFERROR(FIND(" ",$B536)-1,LEN($B536))))))&gt;0,1,0)</f>
        <v>0</v>
      </c>
      <c r="AE536" cm="1">
        <f t="array" ref="AE536">IF(SUMPRODUCT(--($AO$2:$AO$145=TRIM(LEFT($B536,IFERROR(FIND(" ",$B536)-1,LEN($B536))))))&gt;0,1,0)</f>
        <v>0</v>
      </c>
      <c r="AF536" cm="1">
        <f t="array" ref="AF536">IF(SUMPRODUCT(--($AQ$2:$AQ$71=TRIM(LEFT($B536,IFERROR(FIND(" ",$B536)-1,LEN($B536))))))&gt;0,1,0)</f>
        <v>0</v>
      </c>
    </row>
    <row r="537" spans="1:32" ht="105.75" thickBot="1" x14ac:dyDescent="0.3">
      <c r="A537" s="13">
        <v>35</v>
      </c>
      <c r="B537" s="4" t="s">
        <v>1161</v>
      </c>
      <c r="C537" s="4" t="s">
        <v>1162</v>
      </c>
      <c r="D537" s="7">
        <v>44580</v>
      </c>
      <c r="E537" s="3">
        <v>1279.3499999999999</v>
      </c>
      <c r="F537" s="4" t="s">
        <v>30</v>
      </c>
      <c r="G537" s="4"/>
      <c r="H537" s="4" t="s">
        <v>41</v>
      </c>
      <c r="I537" s="4" t="s">
        <v>41</v>
      </c>
      <c r="J537" s="4" t="s">
        <v>42</v>
      </c>
      <c r="K537" s="4"/>
      <c r="L537" s="4"/>
      <c r="M537" s="3">
        <v>61.88</v>
      </c>
      <c r="N537" s="3">
        <v>1455.79</v>
      </c>
      <c r="O537" s="4" t="s">
        <v>34</v>
      </c>
      <c r="P537" s="4" t="s">
        <v>1163</v>
      </c>
      <c r="Q537" s="4" t="s">
        <v>35</v>
      </c>
      <c r="R537" s="3">
        <v>81.69</v>
      </c>
      <c r="S537" s="3">
        <v>-274.32299999999998</v>
      </c>
      <c r="T537" s="4" t="s">
        <v>631</v>
      </c>
      <c r="U537" s="2" t="s">
        <v>37</v>
      </c>
      <c r="V537" s="2" t="s">
        <v>37</v>
      </c>
      <c r="W537" s="2" t="s">
        <v>38</v>
      </c>
      <c r="X537" s="2" t="s">
        <v>37</v>
      </c>
      <c r="Y537" s="2" t="s">
        <v>37</v>
      </c>
      <c r="Z537" s="2" t="s">
        <v>38</v>
      </c>
      <c r="AA537" s="6">
        <v>3.1069893730000002</v>
      </c>
      <c r="AB537" s="6">
        <v>1.9121688960000001</v>
      </c>
      <c r="AC537" s="6">
        <v>3.1630987319999999</v>
      </c>
      <c r="AD537" cm="1">
        <f t="array" ref="AD537">IF(SUMPRODUCT(--($AM$2:$AM$112=TRIM(LEFT($B537,IFERROR(FIND(" ",$B537)-1,LEN($B537))))))&gt;0,1,0)</f>
        <v>0</v>
      </c>
      <c r="AE537" cm="1">
        <f t="array" ref="AE537">IF(SUMPRODUCT(--($AO$2:$AO$145=TRIM(LEFT($B537,IFERROR(FIND(" ",$B537)-1,LEN($B537))))))&gt;0,1,0)</f>
        <v>0</v>
      </c>
      <c r="AF537" cm="1">
        <f t="array" ref="AF537">IF(SUMPRODUCT(--($AQ$2:$AQ$71=TRIM(LEFT($B537,IFERROR(FIND(" ",$B537)-1,LEN($B537))))))&gt;0,1,0)</f>
        <v>0</v>
      </c>
    </row>
    <row r="538" spans="1:32" ht="45.75" thickBot="1" x14ac:dyDescent="0.3">
      <c r="A538" s="13">
        <v>236</v>
      </c>
      <c r="B538" s="4" t="s">
        <v>1164</v>
      </c>
      <c r="C538" s="4" t="s">
        <v>832</v>
      </c>
      <c r="D538" s="7">
        <v>44298</v>
      </c>
      <c r="E538" s="3">
        <v>17241.47</v>
      </c>
      <c r="F538" s="4" t="s">
        <v>30</v>
      </c>
      <c r="G538" s="3">
        <v>82.75</v>
      </c>
      <c r="H538" s="4" t="s">
        <v>31</v>
      </c>
      <c r="I538" s="4" t="s">
        <v>32</v>
      </c>
      <c r="J538" s="4" t="s">
        <v>33</v>
      </c>
      <c r="K538" s="4"/>
      <c r="L538" s="3">
        <v>515</v>
      </c>
      <c r="M538" s="4"/>
      <c r="N538" s="3">
        <v>15963.36</v>
      </c>
      <c r="O538" s="4" t="s">
        <v>34</v>
      </c>
      <c r="P538" s="4" t="s">
        <v>34</v>
      </c>
      <c r="Q538" s="4" t="s">
        <v>35</v>
      </c>
      <c r="R538" s="3">
        <v>1362.38</v>
      </c>
      <c r="S538" s="3">
        <v>2.13279</v>
      </c>
      <c r="T538" s="4" t="s">
        <v>43</v>
      </c>
      <c r="U538" s="2" t="s">
        <v>37</v>
      </c>
      <c r="V538" s="2" t="s">
        <v>37</v>
      </c>
      <c r="W538" s="2" t="s">
        <v>37</v>
      </c>
      <c r="X538" s="2" t="s">
        <v>37</v>
      </c>
      <c r="Y538" s="2" t="s">
        <v>37</v>
      </c>
      <c r="Z538" s="2" t="s">
        <v>37</v>
      </c>
      <c r="AA538" s="6">
        <v>4.2365742910000002</v>
      </c>
      <c r="AB538" s="6">
        <v>3.1342982589999999</v>
      </c>
      <c r="AC538" s="6">
        <v>4.2031243079999996</v>
      </c>
      <c r="AD538" cm="1">
        <f t="array" ref="AD538">IF(SUMPRODUCT(--($AM$2:$AM$112=TRIM(LEFT($B538,IFERROR(FIND(" ",$B538)-1,LEN($B538))))))&gt;0,1,0)</f>
        <v>0</v>
      </c>
      <c r="AE538" cm="1">
        <f t="array" ref="AE538">IF(SUMPRODUCT(--($AO$2:$AO$145=TRIM(LEFT($B538,IFERROR(FIND(" ",$B538)-1,LEN($B538))))))&gt;0,1,0)</f>
        <v>1</v>
      </c>
      <c r="AF538" cm="1">
        <f t="array" ref="AF538">IF(SUMPRODUCT(--($AQ$2:$AQ$71=TRIM(LEFT($B538,IFERROR(FIND(" ",$B538)-1,LEN($B538))))))&gt;0,1,0)</f>
        <v>0</v>
      </c>
    </row>
    <row r="539" spans="1:32" ht="165.75" thickBot="1" x14ac:dyDescent="0.3">
      <c r="A539" s="13">
        <v>94</v>
      </c>
      <c r="B539" s="4" t="s">
        <v>1165</v>
      </c>
      <c r="C539" s="2"/>
      <c r="D539" s="7">
        <v>44493</v>
      </c>
      <c r="E539" s="3">
        <v>4551.82</v>
      </c>
      <c r="F539" s="4" t="s">
        <v>30</v>
      </c>
      <c r="G539" s="4"/>
      <c r="H539" s="4" t="s">
        <v>51</v>
      </c>
      <c r="I539" s="4" t="s">
        <v>51</v>
      </c>
      <c r="J539" s="4" t="s">
        <v>79</v>
      </c>
      <c r="K539" s="4"/>
      <c r="L539" s="4"/>
      <c r="M539" s="3">
        <v>15.93</v>
      </c>
      <c r="N539" s="3">
        <v>1737.74</v>
      </c>
      <c r="O539" s="4" t="s">
        <v>49</v>
      </c>
      <c r="P539" s="4" t="s">
        <v>34</v>
      </c>
      <c r="Q539" s="4" t="s">
        <v>493</v>
      </c>
      <c r="R539" s="3">
        <v>154.49700000000001</v>
      </c>
      <c r="S539" s="3">
        <v>37.0852</v>
      </c>
      <c r="T539" s="4" t="s">
        <v>1166</v>
      </c>
      <c r="U539" s="2" t="s">
        <v>37</v>
      </c>
      <c r="V539" s="2" t="s">
        <v>37</v>
      </c>
      <c r="W539" s="2" t="s">
        <v>38</v>
      </c>
      <c r="X539" s="2" t="s">
        <v>38</v>
      </c>
      <c r="Y539" s="2" t="s">
        <v>38</v>
      </c>
      <c r="Z539" s="2" t="s">
        <v>37</v>
      </c>
      <c r="AA539" s="6">
        <v>3.65818508</v>
      </c>
      <c r="AB539" s="6">
        <v>2.1889200510000002</v>
      </c>
      <c r="AC539" s="6">
        <v>3.2399847980000001</v>
      </c>
      <c r="AD539" cm="1">
        <f t="array" ref="AD539">IF(SUMPRODUCT(--($AM$2:$AM$112=TRIM(LEFT($B539,IFERROR(FIND(" ",$B539)-1,LEN($B539))))))&gt;0,1,0)</f>
        <v>0</v>
      </c>
      <c r="AE539" cm="1">
        <f t="array" ref="AE539">IF(SUMPRODUCT(--($AO$2:$AO$145=TRIM(LEFT($B539,IFERROR(FIND(" ",$B539)-1,LEN($B539))))))&gt;0,1,0)</f>
        <v>0</v>
      </c>
      <c r="AF539" cm="1">
        <f t="array" ref="AF539">IF(SUMPRODUCT(--($AQ$2:$AQ$71=TRIM(LEFT($B539,IFERROR(FIND(" ",$B539)-1,LEN($B539))))))&gt;0,1,0)</f>
        <v>0</v>
      </c>
    </row>
    <row r="540" spans="1:32" ht="135.75" thickBot="1" x14ac:dyDescent="0.3">
      <c r="A540" s="13">
        <v>84</v>
      </c>
      <c r="B540" s="4" t="s">
        <v>1167</v>
      </c>
      <c r="C540" s="2"/>
      <c r="D540" s="7">
        <v>44508</v>
      </c>
      <c r="E540" s="3">
        <v>1429.42</v>
      </c>
      <c r="F540" s="4" t="s">
        <v>30</v>
      </c>
      <c r="G540" s="3">
        <v>10.83</v>
      </c>
      <c r="H540" s="4" t="s">
        <v>51</v>
      </c>
      <c r="I540" s="4" t="s">
        <v>51</v>
      </c>
      <c r="J540" s="4" t="s">
        <v>79</v>
      </c>
      <c r="K540" s="4"/>
      <c r="L540" s="4"/>
      <c r="M540" s="3">
        <v>1.4</v>
      </c>
      <c r="N540" s="3">
        <v>935.41</v>
      </c>
      <c r="O540" s="4" t="s">
        <v>34</v>
      </c>
      <c r="P540" s="4" t="s">
        <v>34</v>
      </c>
      <c r="Q540" s="4" t="s">
        <v>35</v>
      </c>
      <c r="R540" s="3">
        <v>411</v>
      </c>
      <c r="S540" s="3">
        <v>-3.4557199999999999</v>
      </c>
      <c r="T540" s="4" t="s">
        <v>312</v>
      </c>
      <c r="U540" s="2" t="s">
        <v>37</v>
      </c>
      <c r="V540" s="2" t="s">
        <v>37</v>
      </c>
      <c r="W540" s="2" t="s">
        <v>37</v>
      </c>
      <c r="X540" s="2" t="s">
        <v>38</v>
      </c>
      <c r="Y540" s="2" t="s">
        <v>38</v>
      </c>
      <c r="Z540" s="2" t="s">
        <v>37</v>
      </c>
      <c r="AA540" s="6">
        <v>3.1551598539999999</v>
      </c>
      <c r="AB540" s="6">
        <v>2.6138418219999999</v>
      </c>
      <c r="AC540" s="6">
        <v>2.9710020080000001</v>
      </c>
      <c r="AD540" cm="1">
        <f t="array" ref="AD540">IF(SUMPRODUCT(--($AM$2:$AM$112=TRIM(LEFT($B540,IFERROR(FIND(" ",$B540)-1,LEN($B540))))))&gt;0,1,0)</f>
        <v>0</v>
      </c>
      <c r="AE540" cm="1">
        <f t="array" ref="AE540">IF(SUMPRODUCT(--($AO$2:$AO$145=TRIM(LEFT($B540,IFERROR(FIND(" ",$B540)-1,LEN($B540))))))&gt;0,1,0)</f>
        <v>0</v>
      </c>
      <c r="AF540" cm="1">
        <f t="array" ref="AF540">IF(SUMPRODUCT(--($AQ$2:$AQ$71=TRIM(LEFT($B540,IFERROR(FIND(" ",$B540)-1,LEN($B540))))))&gt;0,1,0)</f>
        <v>0</v>
      </c>
    </row>
    <row r="541" spans="1:32" ht="165.75" thickBot="1" x14ac:dyDescent="0.3">
      <c r="A541" s="13">
        <v>84</v>
      </c>
      <c r="B541" s="4" t="s">
        <v>1168</v>
      </c>
      <c r="C541" s="2"/>
      <c r="D541" s="7">
        <v>44505</v>
      </c>
      <c r="E541" s="3">
        <v>13300.92</v>
      </c>
      <c r="F541" s="4" t="s">
        <v>30</v>
      </c>
      <c r="G541" s="3">
        <v>12.61</v>
      </c>
      <c r="H541" s="4" t="s">
        <v>31</v>
      </c>
      <c r="I541" s="4" t="s">
        <v>32</v>
      </c>
      <c r="J541" s="4" t="s">
        <v>33</v>
      </c>
      <c r="K541" s="3">
        <v>582.53</v>
      </c>
      <c r="L541" s="3">
        <v>291.26499999999999</v>
      </c>
      <c r="M541" s="3">
        <v>19.989999999999998</v>
      </c>
      <c r="N541" s="3">
        <v>11215.92</v>
      </c>
      <c r="O541" s="4" t="s">
        <v>34</v>
      </c>
      <c r="P541" s="4" t="s">
        <v>166</v>
      </c>
      <c r="Q541" s="4" t="s">
        <v>35</v>
      </c>
      <c r="R541" s="3">
        <v>1920</v>
      </c>
      <c r="S541" s="3">
        <v>28.593800000000002</v>
      </c>
      <c r="T541" s="4" t="s">
        <v>1169</v>
      </c>
      <c r="U541" s="2" t="s">
        <v>37</v>
      </c>
      <c r="V541" s="2" t="s">
        <v>37</v>
      </c>
      <c r="W541" s="2" t="s">
        <v>38</v>
      </c>
      <c r="X541" s="2" t="s">
        <v>38</v>
      </c>
      <c r="Y541" s="2" t="s">
        <v>38</v>
      </c>
      <c r="Z541" s="2" t="s">
        <v>37</v>
      </c>
      <c r="AA541" s="6">
        <v>4.1238816810000003</v>
      </c>
      <c r="AB541" s="6">
        <v>3.2833012290000001</v>
      </c>
      <c r="AC541" s="6">
        <v>4.0498349029999998</v>
      </c>
      <c r="AD541" cm="1">
        <f t="array" ref="AD541">IF(SUMPRODUCT(--($AM$2:$AM$112=TRIM(LEFT($B541,IFERROR(FIND(" ",$B541)-1,LEN($B541))))))&gt;0,1,0)</f>
        <v>1</v>
      </c>
      <c r="AE541" cm="1">
        <f t="array" ref="AE541">IF(SUMPRODUCT(--($AO$2:$AO$145=TRIM(LEFT($B541,IFERROR(FIND(" ",$B541)-1,LEN($B541))))))&gt;0,1,0)</f>
        <v>1</v>
      </c>
      <c r="AF541" cm="1">
        <f t="array" ref="AF541">IF(SUMPRODUCT(--($AQ$2:$AQ$71=TRIM(LEFT($B541,IFERROR(FIND(" ",$B541)-1,LEN($B541))))))&gt;0,1,0)</f>
        <v>1</v>
      </c>
    </row>
    <row r="542" spans="1:32" ht="75.75" thickBot="1" x14ac:dyDescent="0.3">
      <c r="A542" s="13">
        <v>168</v>
      </c>
      <c r="B542" s="4" t="s">
        <v>1170</v>
      </c>
      <c r="C542" s="4" t="s">
        <v>1171</v>
      </c>
      <c r="D542" s="7">
        <v>44389</v>
      </c>
      <c r="E542" s="3">
        <v>2353.69</v>
      </c>
      <c r="F542" s="4" t="s">
        <v>30</v>
      </c>
      <c r="G542" s="4"/>
      <c r="H542" s="4" t="s">
        <v>65</v>
      </c>
      <c r="I542" s="4" t="s">
        <v>206</v>
      </c>
      <c r="J542" s="4" t="s">
        <v>206</v>
      </c>
      <c r="K542" s="4"/>
      <c r="L542" s="3">
        <v>70.793300000000002</v>
      </c>
      <c r="M542" s="4"/>
      <c r="N542" s="3">
        <v>2290.69</v>
      </c>
      <c r="O542" s="4" t="s">
        <v>34</v>
      </c>
      <c r="P542" s="4" t="s">
        <v>34</v>
      </c>
      <c r="Q542" s="4" t="s">
        <v>35</v>
      </c>
      <c r="R542" s="3">
        <v>1482.4</v>
      </c>
      <c r="S542" s="3">
        <v>5.45444</v>
      </c>
      <c r="T542" s="4" t="s">
        <v>113</v>
      </c>
      <c r="U542" s="2" t="s">
        <v>37</v>
      </c>
      <c r="V542" s="2" t="s">
        <v>37</v>
      </c>
      <c r="W542" s="2" t="s">
        <v>37</v>
      </c>
      <c r="X542" s="2" t="s">
        <v>38</v>
      </c>
      <c r="Y542" s="2" t="s">
        <v>37</v>
      </c>
      <c r="Z542" s="2" t="s">
        <v>37</v>
      </c>
      <c r="AA542" s="6">
        <v>3.3717492619999998</v>
      </c>
      <c r="AB542" s="6">
        <v>3.1709654060000001</v>
      </c>
      <c r="AC542" s="6">
        <v>3.3599663199999998</v>
      </c>
      <c r="AD542" cm="1">
        <f t="array" ref="AD542">IF(SUMPRODUCT(--($AM$2:$AM$112=TRIM(LEFT($B542,IFERROR(FIND(" ",$B542)-1,LEN($B542))))))&gt;0,1,0)</f>
        <v>0</v>
      </c>
      <c r="AE542" cm="1">
        <f t="array" ref="AE542">IF(SUMPRODUCT(--($AO$2:$AO$145=TRIM(LEFT($B542,IFERROR(FIND(" ",$B542)-1,LEN($B542))))))&gt;0,1,0)</f>
        <v>0</v>
      </c>
      <c r="AF542" cm="1">
        <f t="array" ref="AF542">IF(SUMPRODUCT(--($AQ$2:$AQ$71=TRIM(LEFT($B542,IFERROR(FIND(" ",$B542)-1,LEN($B542))))))&gt;0,1,0)</f>
        <v>0</v>
      </c>
    </row>
    <row r="543" spans="1:32" ht="45.75" thickBot="1" x14ac:dyDescent="0.3">
      <c r="A543" s="13">
        <v>326</v>
      </c>
      <c r="B543" s="4" t="s">
        <v>1172</v>
      </c>
      <c r="C543" s="4" t="s">
        <v>1173</v>
      </c>
      <c r="D543" s="7">
        <v>44165</v>
      </c>
      <c r="E543" s="3">
        <v>43598.58</v>
      </c>
      <c r="F543" s="4" t="s">
        <v>46</v>
      </c>
      <c r="G543" s="3">
        <v>25.03</v>
      </c>
      <c r="H543" s="4" t="s">
        <v>65</v>
      </c>
      <c r="I543" s="4" t="s">
        <v>138</v>
      </c>
      <c r="J543" s="4" t="s">
        <v>139</v>
      </c>
      <c r="K543" s="3">
        <v>2380</v>
      </c>
      <c r="L543" s="3">
        <v>1075</v>
      </c>
      <c r="M543" s="3">
        <v>7.25</v>
      </c>
      <c r="N543" s="3">
        <v>38419.08</v>
      </c>
      <c r="O543" s="4" t="s">
        <v>34</v>
      </c>
      <c r="P543" s="4" t="s">
        <v>34</v>
      </c>
      <c r="Q543" s="4" t="s">
        <v>35</v>
      </c>
      <c r="R543" s="3">
        <v>4658.1000000000004</v>
      </c>
      <c r="S543" s="3">
        <v>33.520099999999999</v>
      </c>
      <c r="T543" s="4" t="s">
        <v>43</v>
      </c>
      <c r="U543" s="2" t="s">
        <v>37</v>
      </c>
      <c r="V543" s="2" t="s">
        <v>37</v>
      </c>
      <c r="W543" s="2" t="s">
        <v>37</v>
      </c>
      <c r="X543" s="2" t="s">
        <v>37</v>
      </c>
      <c r="Y543" s="2" t="s">
        <v>37</v>
      </c>
      <c r="Z543" s="2" t="s">
        <v>37</v>
      </c>
      <c r="AA543" s="6">
        <v>4.6394723449999997</v>
      </c>
      <c r="AB543" s="6">
        <v>3.6682088080000002</v>
      </c>
      <c r="AC543" s="6">
        <v>4.584546961</v>
      </c>
      <c r="AD543" cm="1">
        <f t="array" ref="AD543">IF(SUMPRODUCT(--($AM$2:$AM$112=TRIM(LEFT($B543,IFERROR(FIND(" ",$B543)-1,LEN($B543))))))&gt;0,1,0)</f>
        <v>0</v>
      </c>
      <c r="AE543" cm="1">
        <f t="array" ref="AE543">IF(SUMPRODUCT(--($AO$2:$AO$145=TRIM(LEFT($B543,IFERROR(FIND(" ",$B543)-1,LEN($B543))))))&gt;0,1,0)</f>
        <v>0</v>
      </c>
      <c r="AF543" cm="1">
        <f t="array" ref="AF543">IF(SUMPRODUCT(--($AQ$2:$AQ$71=TRIM(LEFT($B543,IFERROR(FIND(" ",$B543)-1,LEN($B543))))))&gt;0,1,0)</f>
        <v>0</v>
      </c>
    </row>
    <row r="544" spans="1:32" ht="45.75" thickBot="1" x14ac:dyDescent="0.3">
      <c r="A544" s="13">
        <v>82</v>
      </c>
      <c r="B544" s="4" t="s">
        <v>1174</v>
      </c>
      <c r="C544" s="4" t="s">
        <v>1175</v>
      </c>
      <c r="D544" s="7">
        <v>44505</v>
      </c>
      <c r="E544" s="3">
        <v>2987.44</v>
      </c>
      <c r="F544" s="4" t="s">
        <v>30</v>
      </c>
      <c r="G544" s="3">
        <v>25.57</v>
      </c>
      <c r="H544" s="4" t="s">
        <v>51</v>
      </c>
      <c r="I544" s="4" t="s">
        <v>51</v>
      </c>
      <c r="J544" s="4" t="s">
        <v>79</v>
      </c>
      <c r="K544" s="4"/>
      <c r="L544" s="4"/>
      <c r="M544" s="3">
        <v>10.26</v>
      </c>
      <c r="N544" s="3">
        <v>2064.34</v>
      </c>
      <c r="O544" s="4" t="s">
        <v>34</v>
      </c>
      <c r="P544" s="4" t="s">
        <v>34</v>
      </c>
      <c r="Q544" s="4" t="s">
        <v>35</v>
      </c>
      <c r="R544" s="3">
        <v>1175.3900000000001</v>
      </c>
      <c r="S544" s="3">
        <v>14.869300000000001</v>
      </c>
      <c r="T544" s="4" t="s">
        <v>43</v>
      </c>
      <c r="U544" s="2" t="s">
        <v>37</v>
      </c>
      <c r="V544" s="2" t="s">
        <v>37</v>
      </c>
      <c r="W544" s="2" t="s">
        <v>37</v>
      </c>
      <c r="X544" s="2" t="s">
        <v>37</v>
      </c>
      <c r="Y544" s="2" t="s">
        <v>37</v>
      </c>
      <c r="Z544" s="2" t="s">
        <v>37</v>
      </c>
      <c r="AA544" s="6">
        <v>3.475299192</v>
      </c>
      <c r="AB544" s="6">
        <v>3.0701819910000001</v>
      </c>
      <c r="AC544" s="6">
        <v>3.3147812280000002</v>
      </c>
      <c r="AD544" cm="1">
        <f t="array" ref="AD544">IF(SUMPRODUCT(--($AM$2:$AM$112=TRIM(LEFT($B544,IFERROR(FIND(" ",$B544)-1,LEN($B544))))))&gt;0,1,0)</f>
        <v>0</v>
      </c>
      <c r="AE544" cm="1">
        <f t="array" ref="AE544">IF(SUMPRODUCT(--($AO$2:$AO$145=TRIM(LEFT($B544,IFERROR(FIND(" ",$B544)-1,LEN($B544))))))&gt;0,1,0)</f>
        <v>0</v>
      </c>
      <c r="AF544" cm="1">
        <f t="array" ref="AF544">IF(SUMPRODUCT(--($AQ$2:$AQ$71=TRIM(LEFT($B544,IFERROR(FIND(" ",$B544)-1,LEN($B544))))))&gt;0,1,0)</f>
        <v>0</v>
      </c>
    </row>
    <row r="545" spans="1:32" ht="195.75" thickBot="1" x14ac:dyDescent="0.3">
      <c r="A545" s="13">
        <v>55</v>
      </c>
      <c r="B545" s="4" t="s">
        <v>1176</v>
      </c>
      <c r="C545" s="4" t="s">
        <v>1177</v>
      </c>
      <c r="D545" s="7">
        <v>44544</v>
      </c>
      <c r="E545" s="3">
        <v>2164.81</v>
      </c>
      <c r="F545" s="4" t="s">
        <v>30</v>
      </c>
      <c r="G545" s="3">
        <v>6.77</v>
      </c>
      <c r="H545" s="4" t="s">
        <v>70</v>
      </c>
      <c r="I545" s="4" t="s">
        <v>94</v>
      </c>
      <c r="J545" s="4" t="s">
        <v>95</v>
      </c>
      <c r="K545" s="4"/>
      <c r="L545" s="4"/>
      <c r="M545" s="3">
        <v>8.43</v>
      </c>
      <c r="N545" s="3">
        <v>673.11</v>
      </c>
      <c r="O545" s="4" t="s">
        <v>34</v>
      </c>
      <c r="P545" s="4" t="s">
        <v>34</v>
      </c>
      <c r="Q545" s="4" t="s">
        <v>493</v>
      </c>
      <c r="R545" s="3">
        <v>5366.7</v>
      </c>
      <c r="S545" s="3">
        <v>6.7918799999999999</v>
      </c>
      <c r="T545" s="4" t="s">
        <v>1178</v>
      </c>
      <c r="U545" s="2" t="s">
        <v>38</v>
      </c>
      <c r="V545" s="2" t="s">
        <v>38</v>
      </c>
      <c r="W545" s="2" t="s">
        <v>37</v>
      </c>
      <c r="X545" s="2" t="s">
        <v>38</v>
      </c>
      <c r="Y545" s="2" t="s">
        <v>38</v>
      </c>
      <c r="Z545" s="2" t="s">
        <v>37</v>
      </c>
      <c r="AA545" s="6">
        <v>3.335419785</v>
      </c>
      <c r="AB545" s="6">
        <v>3.7297073190000001</v>
      </c>
      <c r="AC545" s="6">
        <v>2.8280860429999999</v>
      </c>
      <c r="AD545" cm="1">
        <f t="array" ref="AD545">IF(SUMPRODUCT(--($AM$2:$AM$112=TRIM(LEFT($B545,IFERROR(FIND(" ",$B545)-1,LEN($B545))))))&gt;0,1,0)</f>
        <v>1</v>
      </c>
      <c r="AE545" cm="1">
        <f t="array" ref="AE545">IF(SUMPRODUCT(--($AO$2:$AO$145=TRIM(LEFT($B545,IFERROR(FIND(" ",$B545)-1,LEN($B545))))))&gt;0,1,0)</f>
        <v>0</v>
      </c>
      <c r="AF545" cm="1">
        <f t="array" ref="AF545">IF(SUMPRODUCT(--($AQ$2:$AQ$71=TRIM(LEFT($B545,IFERROR(FIND(" ",$B545)-1,LEN($B545))))))&gt;0,1,0)</f>
        <v>0</v>
      </c>
    </row>
    <row r="546" spans="1:32" ht="45.75" thickBot="1" x14ac:dyDescent="0.3">
      <c r="A546" s="13">
        <v>59</v>
      </c>
      <c r="B546" s="4" t="s">
        <v>1179</v>
      </c>
      <c r="C546" s="4" t="s">
        <v>1180</v>
      </c>
      <c r="D546" s="7">
        <v>44538</v>
      </c>
      <c r="E546" s="3">
        <v>1265.81</v>
      </c>
      <c r="F546" s="4" t="s">
        <v>69</v>
      </c>
      <c r="G546" s="4"/>
      <c r="H546" s="4" t="s">
        <v>47</v>
      </c>
      <c r="I546" s="4" t="s">
        <v>47</v>
      </c>
      <c r="J546" s="4" t="s">
        <v>48</v>
      </c>
      <c r="K546" s="4"/>
      <c r="L546" s="4"/>
      <c r="M546" s="3">
        <v>38.76</v>
      </c>
      <c r="N546" s="3">
        <v>1326.6</v>
      </c>
      <c r="O546" s="4" t="s">
        <v>49</v>
      </c>
      <c r="P546" s="4" t="s">
        <v>49</v>
      </c>
      <c r="Q546" s="4" t="s">
        <v>35</v>
      </c>
      <c r="R546" s="2"/>
      <c r="S546" s="2"/>
      <c r="T546" s="4" t="s">
        <v>43</v>
      </c>
      <c r="U546" s="2" t="s">
        <v>37</v>
      </c>
      <c r="V546" s="2" t="s">
        <v>37</v>
      </c>
      <c r="W546" s="2" t="s">
        <v>37</v>
      </c>
      <c r="X546" s="2" t="s">
        <v>37</v>
      </c>
      <c r="Y546" s="2" t="s">
        <v>37</v>
      </c>
      <c r="Z546" s="2" t="s">
        <v>37</v>
      </c>
      <c r="AA546" s="6">
        <v>3.1023685219999999</v>
      </c>
      <c r="AB546" s="2"/>
      <c r="AC546" s="6">
        <v>3.1227399930000002</v>
      </c>
      <c r="AD546" cm="1">
        <f t="array" ref="AD546">IF(SUMPRODUCT(--($AM$2:$AM$112=TRIM(LEFT($B546,IFERROR(FIND(" ",$B546)-1,LEN($B546))))))&gt;0,1,0)</f>
        <v>0</v>
      </c>
      <c r="AE546" cm="1">
        <f t="array" ref="AE546">IF(SUMPRODUCT(--($AO$2:$AO$145=TRIM(LEFT($B546,IFERROR(FIND(" ",$B546)-1,LEN($B546))))))&gt;0,1,0)</f>
        <v>0</v>
      </c>
      <c r="AF546" cm="1">
        <f t="array" ref="AF546">IF(SUMPRODUCT(--($AQ$2:$AQ$71=TRIM(LEFT($B546,IFERROR(FIND(" ",$B546)-1,LEN($B546))))))&gt;0,1,0)</f>
        <v>0</v>
      </c>
    </row>
    <row r="547" spans="1:32" ht="45.75" thickBot="1" x14ac:dyDescent="0.3">
      <c r="A547" s="13">
        <v>114</v>
      </c>
      <c r="B547" s="4" t="s">
        <v>1181</v>
      </c>
      <c r="C547" s="4" t="s">
        <v>1182</v>
      </c>
      <c r="D547" s="7">
        <v>44460</v>
      </c>
      <c r="E547" s="3">
        <v>545.64</v>
      </c>
      <c r="F547" s="4" t="s">
        <v>107</v>
      </c>
      <c r="G547" s="4"/>
      <c r="H547" s="4" t="s">
        <v>65</v>
      </c>
      <c r="I547" s="4" t="s">
        <v>138</v>
      </c>
      <c r="J547" s="4" t="s">
        <v>176</v>
      </c>
      <c r="K547" s="4"/>
      <c r="L547" s="4"/>
      <c r="M547" s="4"/>
      <c r="N547" s="3">
        <v>599.77</v>
      </c>
      <c r="O547" s="4" t="s">
        <v>34</v>
      </c>
      <c r="P547" s="4" t="s">
        <v>34</v>
      </c>
      <c r="Q547" s="4" t="s">
        <v>35</v>
      </c>
      <c r="R547" s="3">
        <v>-2.7506599999999999</v>
      </c>
      <c r="S547" s="3">
        <v>62.052700000000002</v>
      </c>
      <c r="T547" s="4" t="s">
        <v>43</v>
      </c>
      <c r="U547" s="2" t="s">
        <v>37</v>
      </c>
      <c r="V547" s="2" t="s">
        <v>37</v>
      </c>
      <c r="W547" s="2" t="s">
        <v>37</v>
      </c>
      <c r="X547" s="2" t="s">
        <v>37</v>
      </c>
      <c r="Y547" s="2" t="s">
        <v>37</v>
      </c>
      <c r="Z547" s="2" t="s">
        <v>37</v>
      </c>
      <c r="AA547" s="6">
        <v>2.7369062</v>
      </c>
      <c r="AB547" s="2"/>
      <c r="AC547" s="6">
        <v>2.7779847389999999</v>
      </c>
      <c r="AD547" cm="1">
        <f t="array" ref="AD547">IF(SUMPRODUCT(--($AM$2:$AM$112=TRIM(LEFT($B547,IFERROR(FIND(" ",$B547)-1,LEN($B547))))))&gt;0,1,0)</f>
        <v>0</v>
      </c>
      <c r="AE547" cm="1">
        <f t="array" ref="AE547">IF(SUMPRODUCT(--($AO$2:$AO$145=TRIM(LEFT($B547,IFERROR(FIND(" ",$B547)-1,LEN($B547))))))&gt;0,1,0)</f>
        <v>0</v>
      </c>
      <c r="AF547" cm="1">
        <f t="array" ref="AF547">IF(SUMPRODUCT(--($AQ$2:$AQ$71=TRIM(LEFT($B547,IFERROR(FIND(" ",$B547)-1,LEN($B547))))))&gt;0,1,0)</f>
        <v>0</v>
      </c>
    </row>
    <row r="548" spans="1:32" ht="45.75" thickBot="1" x14ac:dyDescent="0.3">
      <c r="A548" s="13">
        <v>187</v>
      </c>
      <c r="B548" s="4" t="s">
        <v>1183</v>
      </c>
      <c r="C548" s="4" t="s">
        <v>1184</v>
      </c>
      <c r="D548" s="7">
        <v>44348</v>
      </c>
      <c r="E548" s="3">
        <v>2494.86</v>
      </c>
      <c r="F548" s="4" t="s">
        <v>46</v>
      </c>
      <c r="G548" s="4"/>
      <c r="H548" s="4" t="s">
        <v>65</v>
      </c>
      <c r="I548" s="4" t="s">
        <v>66</v>
      </c>
      <c r="J548" s="4" t="s">
        <v>66</v>
      </c>
      <c r="K548" s="3">
        <v>97</v>
      </c>
      <c r="L548" s="3">
        <v>97</v>
      </c>
      <c r="M548" s="4"/>
      <c r="N548" s="3">
        <v>2494.86</v>
      </c>
      <c r="O548" s="4" t="s">
        <v>34</v>
      </c>
      <c r="P548" s="4" t="s">
        <v>34</v>
      </c>
      <c r="Q548" s="4" t="s">
        <v>35</v>
      </c>
      <c r="R548" s="3">
        <v>789.55700000000002</v>
      </c>
      <c r="S548" s="3">
        <v>34.047499999999999</v>
      </c>
      <c r="T548" s="4" t="s">
        <v>43</v>
      </c>
      <c r="U548" s="2" t="s">
        <v>37</v>
      </c>
      <c r="V548" s="2" t="s">
        <v>37</v>
      </c>
      <c r="W548" s="2" t="s">
        <v>37</v>
      </c>
      <c r="X548" s="2" t="s">
        <v>37</v>
      </c>
      <c r="Y548" s="2" t="s">
        <v>37</v>
      </c>
      <c r="Z548" s="2" t="s">
        <v>37</v>
      </c>
      <c r="AA548" s="6">
        <v>3.3970461799999998</v>
      </c>
      <c r="AB548" s="6">
        <v>2.897383488</v>
      </c>
      <c r="AC548" s="6">
        <v>3.3970461799999998</v>
      </c>
      <c r="AD548" cm="1">
        <f t="array" ref="AD548">IF(SUMPRODUCT(--($AM$2:$AM$112=TRIM(LEFT($B548,IFERROR(FIND(" ",$B548)-1,LEN($B548))))))&gt;0,1,0)</f>
        <v>0</v>
      </c>
      <c r="AE548" cm="1">
        <f t="array" ref="AE548">IF(SUMPRODUCT(--($AO$2:$AO$145=TRIM(LEFT($B548,IFERROR(FIND(" ",$B548)-1,LEN($B548))))))&gt;0,1,0)</f>
        <v>0</v>
      </c>
      <c r="AF548" cm="1">
        <f t="array" ref="AF548">IF(SUMPRODUCT(--($AQ$2:$AQ$71=TRIM(LEFT($B548,IFERROR(FIND(" ",$B548)-1,LEN($B548))))))&gt;0,1,0)</f>
        <v>0</v>
      </c>
    </row>
    <row r="549" spans="1:32" ht="75.75" thickBot="1" x14ac:dyDescent="0.3">
      <c r="A549" s="13">
        <v>83</v>
      </c>
      <c r="B549" s="4" t="s">
        <v>1185</v>
      </c>
      <c r="C549" s="4" t="s">
        <v>1186</v>
      </c>
      <c r="D549" s="7">
        <v>44494</v>
      </c>
      <c r="E549" s="3">
        <v>1909.23</v>
      </c>
      <c r="F549" s="4" t="s">
        <v>30</v>
      </c>
      <c r="G549" s="3">
        <v>8.66</v>
      </c>
      <c r="H549" s="4" t="s">
        <v>31</v>
      </c>
      <c r="I549" s="4" t="s">
        <v>32</v>
      </c>
      <c r="J549" s="4" t="s">
        <v>270</v>
      </c>
      <c r="K549" s="4"/>
      <c r="L549" s="4"/>
      <c r="M549" s="3">
        <v>68.98</v>
      </c>
      <c r="N549" s="3">
        <v>935.35</v>
      </c>
      <c r="O549" s="4" t="s">
        <v>34</v>
      </c>
      <c r="P549" s="4" t="s">
        <v>34</v>
      </c>
      <c r="Q549" s="4" t="s">
        <v>35</v>
      </c>
      <c r="R549" s="3">
        <v>2714.63</v>
      </c>
      <c r="S549" s="3">
        <v>3.4803600000000001</v>
      </c>
      <c r="T549" s="4" t="s">
        <v>113</v>
      </c>
      <c r="U549" s="2" t="s">
        <v>37</v>
      </c>
      <c r="V549" s="2" t="s">
        <v>37</v>
      </c>
      <c r="W549" s="2" t="s">
        <v>37</v>
      </c>
      <c r="X549" s="2" t="s">
        <v>38</v>
      </c>
      <c r="Y549" s="2" t="s">
        <v>37</v>
      </c>
      <c r="Z549" s="2" t="s">
        <v>37</v>
      </c>
      <c r="AA549" s="6">
        <v>3.2808582500000001</v>
      </c>
      <c r="AB549" s="6">
        <v>3.433710644</v>
      </c>
      <c r="AC549" s="6">
        <v>2.9709741510000001</v>
      </c>
      <c r="AD549" cm="1">
        <f t="array" ref="AD549">IF(SUMPRODUCT(--($AM$2:$AM$112=TRIM(LEFT($B549,IFERROR(FIND(" ",$B549)-1,LEN($B549))))))&gt;0,1,0)</f>
        <v>0</v>
      </c>
      <c r="AE549" cm="1">
        <f t="array" ref="AE549">IF(SUMPRODUCT(--($AO$2:$AO$145=TRIM(LEFT($B549,IFERROR(FIND(" ",$B549)-1,LEN($B549))))))&gt;0,1,0)</f>
        <v>0</v>
      </c>
      <c r="AF549" cm="1">
        <f t="array" ref="AF549">IF(SUMPRODUCT(--($AQ$2:$AQ$71=TRIM(LEFT($B549,IFERROR(FIND(" ",$B549)-1,LEN($B549))))))&gt;0,1,0)</f>
        <v>0</v>
      </c>
    </row>
    <row r="550" spans="1:32" ht="75.75" thickBot="1" x14ac:dyDescent="0.3">
      <c r="A550" s="13">
        <v>341</v>
      </c>
      <c r="B550" s="4" t="s">
        <v>1187</v>
      </c>
      <c r="C550" s="4" t="s">
        <v>1188</v>
      </c>
      <c r="D550" s="7">
        <v>44131</v>
      </c>
      <c r="E550" s="3">
        <v>34092.300000000003</v>
      </c>
      <c r="F550" s="4" t="s">
        <v>46</v>
      </c>
      <c r="G550" s="3">
        <v>37.229999999999997</v>
      </c>
      <c r="H550" s="4" t="s">
        <v>31</v>
      </c>
      <c r="I550" s="4" t="s">
        <v>432</v>
      </c>
      <c r="J550" s="4" t="s">
        <v>1072</v>
      </c>
      <c r="K550" s="3">
        <v>1500</v>
      </c>
      <c r="L550" s="3">
        <v>1000</v>
      </c>
      <c r="M550" s="3">
        <v>28.27</v>
      </c>
      <c r="N550" s="3">
        <v>35143.019999999997</v>
      </c>
      <c r="O550" s="4" t="s">
        <v>34</v>
      </c>
      <c r="P550" s="4" t="s">
        <v>34</v>
      </c>
      <c r="Q550" s="4" t="s">
        <v>35</v>
      </c>
      <c r="R550" s="3">
        <v>3147.6</v>
      </c>
      <c r="S550" s="3">
        <v>26.387</v>
      </c>
      <c r="T550" s="4" t="s">
        <v>43</v>
      </c>
      <c r="U550" s="2" t="s">
        <v>37</v>
      </c>
      <c r="V550" s="2" t="s">
        <v>37</v>
      </c>
      <c r="W550" s="2" t="s">
        <v>37</v>
      </c>
      <c r="X550" s="2" t="s">
        <v>37</v>
      </c>
      <c r="Y550" s="2" t="s">
        <v>37</v>
      </c>
      <c r="Z550" s="2" t="s">
        <v>37</v>
      </c>
      <c r="AA550" s="6">
        <v>4.5326563010000003</v>
      </c>
      <c r="AB550" s="6">
        <v>3.497979537</v>
      </c>
      <c r="AC550" s="6">
        <v>4.5458390800000004</v>
      </c>
      <c r="AD550" cm="1">
        <f t="array" ref="AD550">IF(SUMPRODUCT(--($AM$2:$AM$112=TRIM(LEFT($B550,IFERROR(FIND(" ",$B550)-1,LEN($B550))))))&gt;0,1,0)</f>
        <v>1</v>
      </c>
      <c r="AE550" cm="1">
        <f t="array" ref="AE550">IF(SUMPRODUCT(--($AO$2:$AO$145=TRIM(LEFT($B550,IFERROR(FIND(" ",$B550)-1,LEN($B550))))))&gt;0,1,0)</f>
        <v>1</v>
      </c>
      <c r="AF550" cm="1">
        <f t="array" ref="AF550">IF(SUMPRODUCT(--($AQ$2:$AQ$71=TRIM(LEFT($B550,IFERROR(FIND(" ",$B550)-1,LEN($B550))))))&gt;0,1,0)</f>
        <v>0</v>
      </c>
    </row>
    <row r="551" spans="1:32" ht="45.75" thickBot="1" x14ac:dyDescent="0.3">
      <c r="A551" s="13">
        <v>98</v>
      </c>
      <c r="B551" s="4" t="s">
        <v>1189</v>
      </c>
      <c r="C551" s="4" t="s">
        <v>45</v>
      </c>
      <c r="D551" s="7">
        <v>44467</v>
      </c>
      <c r="E551" s="3">
        <v>10731.2</v>
      </c>
      <c r="F551" s="4" t="s">
        <v>46</v>
      </c>
      <c r="G551" s="3">
        <v>6.32</v>
      </c>
      <c r="H551" s="4" t="s">
        <v>47</v>
      </c>
      <c r="I551" s="4" t="s">
        <v>47</v>
      </c>
      <c r="J551" s="4" t="s">
        <v>48</v>
      </c>
      <c r="K551" s="4"/>
      <c r="L551" s="4"/>
      <c r="M551" s="3">
        <v>4.7300000000000004</v>
      </c>
      <c r="N551" s="3">
        <v>11560.49</v>
      </c>
      <c r="O551" s="4" t="s">
        <v>49</v>
      </c>
      <c r="P551" s="4" t="s">
        <v>49</v>
      </c>
      <c r="Q551" s="4" t="s">
        <v>35</v>
      </c>
      <c r="R551" s="3">
        <v>2460.1</v>
      </c>
      <c r="S551" s="3">
        <v>50.344499999999996</v>
      </c>
      <c r="T551" s="4" t="s">
        <v>43</v>
      </c>
      <c r="U551" s="2" t="s">
        <v>37</v>
      </c>
      <c r="V551" s="2" t="s">
        <v>37</v>
      </c>
      <c r="W551" s="2" t="s">
        <v>37</v>
      </c>
      <c r="X551" s="2" t="s">
        <v>37</v>
      </c>
      <c r="Y551" s="2" t="s">
        <v>37</v>
      </c>
      <c r="Z551" s="2" t="s">
        <v>37</v>
      </c>
      <c r="AA551" s="6">
        <v>4.0306482890000002</v>
      </c>
      <c r="AB551" s="6">
        <v>3.3909527609999999</v>
      </c>
      <c r="AC551" s="6">
        <v>4.0629762420000004</v>
      </c>
      <c r="AD551" cm="1">
        <f t="array" ref="AD551">IF(SUMPRODUCT(--($AM$2:$AM$112=TRIM(LEFT($B551,IFERROR(FIND(" ",$B551)-1,LEN($B551))))))&gt;0,1,0)</f>
        <v>0</v>
      </c>
      <c r="AE551" cm="1">
        <f t="array" ref="AE551">IF(SUMPRODUCT(--($AO$2:$AO$145=TRIM(LEFT($B551,IFERROR(FIND(" ",$B551)-1,LEN($B551))))))&gt;0,1,0)</f>
        <v>0</v>
      </c>
      <c r="AF551" cm="1">
        <f t="array" ref="AF551">IF(SUMPRODUCT(--($AQ$2:$AQ$71=TRIM(LEFT($B551,IFERROR(FIND(" ",$B551)-1,LEN($B551))))))&gt;0,1,0)</f>
        <v>0</v>
      </c>
    </row>
    <row r="552" spans="1:32" ht="45.75" thickBot="1" x14ac:dyDescent="0.3">
      <c r="A552" s="13">
        <v>72</v>
      </c>
      <c r="B552" s="4" t="s">
        <v>1190</v>
      </c>
      <c r="C552" s="4" t="s">
        <v>818</v>
      </c>
      <c r="D552" s="7">
        <v>44495</v>
      </c>
      <c r="E552" s="3">
        <v>1879.65</v>
      </c>
      <c r="F552" s="4" t="s">
        <v>46</v>
      </c>
      <c r="G552" s="3">
        <v>8.1300000000000008</v>
      </c>
      <c r="H552" s="4" t="s">
        <v>118</v>
      </c>
      <c r="I552" s="4" t="s">
        <v>119</v>
      </c>
      <c r="J552" s="4" t="s">
        <v>120</v>
      </c>
      <c r="K552" s="4"/>
      <c r="L552" s="4"/>
      <c r="M552" s="3">
        <v>7.21</v>
      </c>
      <c r="N552" s="3">
        <v>1219.6500000000001</v>
      </c>
      <c r="O552" s="4" t="s">
        <v>34</v>
      </c>
      <c r="P552" s="4" t="s">
        <v>34</v>
      </c>
      <c r="Q552" s="4" t="s">
        <v>35</v>
      </c>
      <c r="R552" s="3">
        <v>347.85899999999998</v>
      </c>
      <c r="S552" s="3">
        <v>49.377800000000001</v>
      </c>
      <c r="T552" s="4" t="s">
        <v>43</v>
      </c>
      <c r="U552" s="2" t="s">
        <v>37</v>
      </c>
      <c r="V552" s="2" t="s">
        <v>37</v>
      </c>
      <c r="W552" s="2" t="s">
        <v>37</v>
      </c>
      <c r="X552" s="2" t="s">
        <v>37</v>
      </c>
      <c r="Y552" s="2" t="s">
        <v>37</v>
      </c>
      <c r="Z552" s="2" t="s">
        <v>37</v>
      </c>
      <c r="AA552" s="6">
        <v>3.2740769890000001</v>
      </c>
      <c r="AB552" s="6">
        <v>2.5414032440000001</v>
      </c>
      <c r="AC552" s="6">
        <v>3.0862352199999998</v>
      </c>
      <c r="AD552" cm="1">
        <f t="array" ref="AD552">IF(SUMPRODUCT(--($AM$2:$AM$112=TRIM(LEFT($B552,IFERROR(FIND(" ",$B552)-1,LEN($B552))))))&gt;0,1,0)</f>
        <v>0</v>
      </c>
      <c r="AE552" cm="1">
        <f t="array" ref="AE552">IF(SUMPRODUCT(--($AO$2:$AO$145=TRIM(LEFT($B552,IFERROR(FIND(" ",$B552)-1,LEN($B552))))))&gt;0,1,0)</f>
        <v>0</v>
      </c>
      <c r="AF552" cm="1">
        <f t="array" ref="AF552">IF(SUMPRODUCT(--($AQ$2:$AQ$71=TRIM(LEFT($B552,IFERROR(FIND(" ",$B552)-1,LEN($B552))))))&gt;0,1,0)</f>
        <v>0</v>
      </c>
    </row>
    <row r="553" spans="1:32" ht="45.75" thickBot="1" x14ac:dyDescent="0.3">
      <c r="A553" s="13">
        <v>207</v>
      </c>
      <c r="B553" s="4" t="s">
        <v>1191</v>
      </c>
      <c r="C553" s="4" t="s">
        <v>1192</v>
      </c>
      <c r="D553" s="7">
        <v>44305</v>
      </c>
      <c r="E553" s="3">
        <v>5887.24</v>
      </c>
      <c r="F553" s="4" t="s">
        <v>46</v>
      </c>
      <c r="G553" s="4"/>
      <c r="H553" s="4" t="s">
        <v>65</v>
      </c>
      <c r="I553" s="4" t="s">
        <v>66</v>
      </c>
      <c r="J553" s="4" t="s">
        <v>66</v>
      </c>
      <c r="K553" s="4"/>
      <c r="L553" s="4"/>
      <c r="M553" s="3">
        <v>11.86</v>
      </c>
      <c r="N553" s="3">
        <v>5034.13</v>
      </c>
      <c r="O553" s="4" t="s">
        <v>34</v>
      </c>
      <c r="P553" s="4" t="s">
        <v>34</v>
      </c>
      <c r="Q553" s="4" t="s">
        <v>35</v>
      </c>
      <c r="R553" s="3">
        <v>1053.95</v>
      </c>
      <c r="S553" s="3">
        <v>51.109099999999998</v>
      </c>
      <c r="T553" s="4" t="s">
        <v>43</v>
      </c>
      <c r="U553" s="2" t="s">
        <v>37</v>
      </c>
      <c r="V553" s="2" t="s">
        <v>37</v>
      </c>
      <c r="W553" s="2" t="s">
        <v>37</v>
      </c>
      <c r="X553" s="2" t="s">
        <v>37</v>
      </c>
      <c r="Y553" s="2" t="s">
        <v>37</v>
      </c>
      <c r="Z553" s="2" t="s">
        <v>37</v>
      </c>
      <c r="AA553" s="6">
        <v>3.769911741</v>
      </c>
      <c r="AB553" s="6">
        <v>3.0228200080000001</v>
      </c>
      <c r="AC553" s="6">
        <v>3.7019244260000002</v>
      </c>
      <c r="AD553" cm="1">
        <f t="array" ref="AD553">IF(SUMPRODUCT(--($AM$2:$AM$112=TRIM(LEFT($B553,IFERROR(FIND(" ",$B553)-1,LEN($B553))))))&gt;0,1,0)</f>
        <v>0</v>
      </c>
      <c r="AE553" cm="1">
        <f t="array" ref="AE553">IF(SUMPRODUCT(--($AO$2:$AO$145=TRIM(LEFT($B553,IFERROR(FIND(" ",$B553)-1,LEN($B553))))))&gt;0,1,0)</f>
        <v>0</v>
      </c>
      <c r="AF553" cm="1">
        <f t="array" ref="AF553">IF(SUMPRODUCT(--($AQ$2:$AQ$71=TRIM(LEFT($B553,IFERROR(FIND(" ",$B553)-1,LEN($B553))))))&gt;0,1,0)</f>
        <v>0</v>
      </c>
    </row>
    <row r="554" spans="1:32" ht="45.75" thickBot="1" x14ac:dyDescent="0.3">
      <c r="A554" s="13">
        <v>99</v>
      </c>
      <c r="B554" s="4" t="s">
        <v>1193</v>
      </c>
      <c r="C554" s="4" t="s">
        <v>1194</v>
      </c>
      <c r="D554" s="7">
        <v>44455</v>
      </c>
      <c r="E554" s="3">
        <v>2021.07</v>
      </c>
      <c r="F554" s="4" t="s">
        <v>46</v>
      </c>
      <c r="G554" s="4"/>
      <c r="H554" s="4" t="s">
        <v>65</v>
      </c>
      <c r="I554" s="4" t="s">
        <v>66</v>
      </c>
      <c r="J554" s="4" t="s">
        <v>66</v>
      </c>
      <c r="K554" s="3">
        <v>105</v>
      </c>
      <c r="L554" s="3">
        <v>70</v>
      </c>
      <c r="M554" s="4"/>
      <c r="N554" s="3">
        <v>2021.07</v>
      </c>
      <c r="O554" s="4" t="s">
        <v>34</v>
      </c>
      <c r="P554" s="4" t="s">
        <v>34</v>
      </c>
      <c r="Q554" s="4" t="s">
        <v>35</v>
      </c>
      <c r="R554" s="3">
        <v>491.70800000000003</v>
      </c>
      <c r="S554" s="3">
        <v>56.504600000000003</v>
      </c>
      <c r="T554" s="4" t="s">
        <v>43</v>
      </c>
      <c r="U554" s="2" t="s">
        <v>37</v>
      </c>
      <c r="V554" s="2" t="s">
        <v>37</v>
      </c>
      <c r="W554" s="2" t="s">
        <v>37</v>
      </c>
      <c r="X554" s="2" t="s">
        <v>37</v>
      </c>
      <c r="Y554" s="2" t="s">
        <v>37</v>
      </c>
      <c r="Z554" s="2" t="s">
        <v>37</v>
      </c>
      <c r="AA554" s="6">
        <v>3.3055813559999998</v>
      </c>
      <c r="AB554" s="6">
        <v>2.6917072740000001</v>
      </c>
      <c r="AC554" s="6">
        <v>3.3055813559999998</v>
      </c>
      <c r="AD554" cm="1">
        <f t="array" ref="AD554">IF(SUMPRODUCT(--($AM$2:$AM$112=TRIM(LEFT($B554,IFERROR(FIND(" ",$B554)-1,LEN($B554))))))&gt;0,1,0)</f>
        <v>0</v>
      </c>
      <c r="AE554" cm="1">
        <f t="array" ref="AE554">IF(SUMPRODUCT(--($AO$2:$AO$145=TRIM(LEFT($B554,IFERROR(FIND(" ",$B554)-1,LEN($B554))))))&gt;0,1,0)</f>
        <v>0</v>
      </c>
      <c r="AF554" cm="1">
        <f t="array" ref="AF554">IF(SUMPRODUCT(--($AQ$2:$AQ$71=TRIM(LEFT($B554,IFERROR(FIND(" ",$B554)-1,LEN($B554))))))&gt;0,1,0)</f>
        <v>0</v>
      </c>
    </row>
    <row r="555" spans="1:32" ht="75.75" thickBot="1" x14ac:dyDescent="0.3">
      <c r="A555" s="13">
        <v>83</v>
      </c>
      <c r="B555" s="4" t="s">
        <v>1195</v>
      </c>
      <c r="C555" s="4" t="s">
        <v>1196</v>
      </c>
      <c r="D555" s="7">
        <v>44477</v>
      </c>
      <c r="E555" s="3">
        <v>690.71</v>
      </c>
      <c r="F555" s="4" t="s">
        <v>30</v>
      </c>
      <c r="G555" s="3">
        <v>58.39</v>
      </c>
      <c r="H555" s="4" t="s">
        <v>47</v>
      </c>
      <c r="I555" s="4" t="s">
        <v>47</v>
      </c>
      <c r="J555" s="4" t="s">
        <v>48</v>
      </c>
      <c r="K555" s="4"/>
      <c r="L555" s="4"/>
      <c r="M555" s="4"/>
      <c r="N555" s="3">
        <v>736.37</v>
      </c>
      <c r="O555" s="4" t="s">
        <v>49</v>
      </c>
      <c r="P555" s="4" t="s">
        <v>1197</v>
      </c>
      <c r="Q555" s="4" t="s">
        <v>35</v>
      </c>
      <c r="R555" s="2"/>
      <c r="S555" s="2"/>
      <c r="T555" s="4" t="s">
        <v>97</v>
      </c>
      <c r="U555" s="2" t="s">
        <v>37</v>
      </c>
      <c r="V555" s="2" t="s">
        <v>37</v>
      </c>
      <c r="W555" s="2" t="s">
        <v>38</v>
      </c>
      <c r="X555" s="2" t="s">
        <v>37</v>
      </c>
      <c r="Y555" s="2" t="s">
        <v>37</v>
      </c>
      <c r="Z555" s="2" t="s">
        <v>37</v>
      </c>
      <c r="AA555" s="6">
        <v>2.8392957440000002</v>
      </c>
      <c r="AB555" s="2"/>
      <c r="AC555" s="6">
        <v>2.8670960870000002</v>
      </c>
      <c r="AD555" cm="1">
        <f t="array" ref="AD555">IF(SUMPRODUCT(--($AM$2:$AM$112=TRIM(LEFT($B555,IFERROR(FIND(" ",$B555)-1,LEN($B555))))))&gt;0,1,0)</f>
        <v>1</v>
      </c>
      <c r="AE555" cm="1">
        <f t="array" ref="AE555">IF(SUMPRODUCT(--($AO$2:$AO$145=TRIM(LEFT($B555,IFERROR(FIND(" ",$B555)-1,LEN($B555))))))&gt;0,1,0)</f>
        <v>0</v>
      </c>
      <c r="AF555" cm="1">
        <f t="array" ref="AF555">IF(SUMPRODUCT(--($AQ$2:$AQ$71=TRIM(LEFT($B555,IFERROR(FIND(" ",$B555)-1,LEN($B555))))))&gt;0,1,0)</f>
        <v>0</v>
      </c>
    </row>
    <row r="556" spans="1:32" ht="75.75" thickBot="1" x14ac:dyDescent="0.3">
      <c r="A556" s="13">
        <v>67</v>
      </c>
      <c r="B556" s="4" t="s">
        <v>1198</v>
      </c>
      <c r="C556" s="4" t="s">
        <v>1199</v>
      </c>
      <c r="D556" s="7">
        <v>44501</v>
      </c>
      <c r="E556" s="3">
        <v>518.69000000000005</v>
      </c>
      <c r="F556" s="4" t="s">
        <v>30</v>
      </c>
      <c r="G556" s="3">
        <v>4.7</v>
      </c>
      <c r="H556" s="4" t="s">
        <v>47</v>
      </c>
      <c r="I556" s="4" t="s">
        <v>47</v>
      </c>
      <c r="J556" s="4" t="s">
        <v>48</v>
      </c>
      <c r="K556" s="4"/>
      <c r="L556" s="4"/>
      <c r="M556" s="3">
        <v>43.5</v>
      </c>
      <c r="N556" s="3">
        <v>452.48</v>
      </c>
      <c r="O556" s="4" t="s">
        <v>34</v>
      </c>
      <c r="P556" s="4" t="s">
        <v>1197</v>
      </c>
      <c r="Q556" s="4" t="s">
        <v>35</v>
      </c>
      <c r="R556" s="3">
        <v>259.06799999999998</v>
      </c>
      <c r="S556" s="3">
        <v>23.9559</v>
      </c>
      <c r="T556" s="4" t="s">
        <v>97</v>
      </c>
      <c r="U556" s="2" t="s">
        <v>37</v>
      </c>
      <c r="V556" s="2" t="s">
        <v>37</v>
      </c>
      <c r="W556" s="2" t="s">
        <v>38</v>
      </c>
      <c r="X556" s="2" t="s">
        <v>37</v>
      </c>
      <c r="Y556" s="2" t="s">
        <v>37</v>
      </c>
      <c r="Z556" s="2" t="s">
        <v>37</v>
      </c>
      <c r="AA556" s="6">
        <v>2.7149078750000002</v>
      </c>
      <c r="AB556" s="6">
        <v>2.4134137720000002</v>
      </c>
      <c r="AC556" s="6">
        <v>2.6555993880000002</v>
      </c>
      <c r="AD556" cm="1">
        <f t="array" ref="AD556">IF(SUMPRODUCT(--($AM$2:$AM$112=TRIM(LEFT($B556,IFERROR(FIND(" ",$B556)-1,LEN($B556))))))&gt;0,1,0)</f>
        <v>0</v>
      </c>
      <c r="AE556" cm="1">
        <f t="array" ref="AE556">IF(SUMPRODUCT(--($AO$2:$AO$145=TRIM(LEFT($B556,IFERROR(FIND(" ",$B556)-1,LEN($B556))))))&gt;0,1,0)</f>
        <v>0</v>
      </c>
      <c r="AF556" cm="1">
        <f t="array" ref="AF556">IF(SUMPRODUCT(--($AQ$2:$AQ$71=TRIM(LEFT($B556,IFERROR(FIND(" ",$B556)-1,LEN($B556))))))&gt;0,1,0)</f>
        <v>0</v>
      </c>
    </row>
    <row r="557" spans="1:32" ht="135.75" thickBot="1" x14ac:dyDescent="0.3">
      <c r="A557" s="13">
        <v>115</v>
      </c>
      <c r="B557" s="4" t="s">
        <v>1200</v>
      </c>
      <c r="C557" s="4" t="s">
        <v>1201</v>
      </c>
      <c r="D557" s="7">
        <v>44432</v>
      </c>
      <c r="E557" s="3">
        <v>2540.4699999999998</v>
      </c>
      <c r="F557" s="4" t="s">
        <v>30</v>
      </c>
      <c r="G557" s="3">
        <v>1.54</v>
      </c>
      <c r="H557" s="4" t="s">
        <v>65</v>
      </c>
      <c r="I557" s="4" t="s">
        <v>138</v>
      </c>
      <c r="J557" s="4" t="s">
        <v>139</v>
      </c>
      <c r="K557" s="4"/>
      <c r="L557" s="4"/>
      <c r="M557" s="3">
        <v>0.2</v>
      </c>
      <c r="N557" s="3">
        <v>2540.4699999999998</v>
      </c>
      <c r="O557" s="4" t="s">
        <v>34</v>
      </c>
      <c r="P557" s="4" t="s">
        <v>578</v>
      </c>
      <c r="Q557" s="4" t="s">
        <v>35</v>
      </c>
      <c r="R557" s="3">
        <v>8108.46</v>
      </c>
      <c r="S557" s="3">
        <v>49.248100000000001</v>
      </c>
      <c r="T557" s="4" t="s">
        <v>461</v>
      </c>
      <c r="U557" s="2" t="s">
        <v>38</v>
      </c>
      <c r="V557" s="2" t="s">
        <v>37</v>
      </c>
      <c r="W557" s="2" t="s">
        <v>37</v>
      </c>
      <c r="X557" s="2" t="s">
        <v>37</v>
      </c>
      <c r="Y557" s="2" t="s">
        <v>37</v>
      </c>
      <c r="Z557" s="2" t="s">
        <v>38</v>
      </c>
      <c r="AA557" s="6">
        <v>3.4049140709999999</v>
      </c>
      <c r="AB557" s="6">
        <v>3.9089383789999999</v>
      </c>
      <c r="AC557" s="6">
        <v>3.4049140709999999</v>
      </c>
      <c r="AD557" cm="1">
        <f t="array" ref="AD557">IF(SUMPRODUCT(--($AM$2:$AM$112=TRIM(LEFT($B557,IFERROR(FIND(" ",$B557)-1,LEN($B557))))))&gt;0,1,0)</f>
        <v>0</v>
      </c>
      <c r="AE557" cm="1">
        <f t="array" ref="AE557">IF(SUMPRODUCT(--($AO$2:$AO$145=TRIM(LEFT($B557,IFERROR(FIND(" ",$B557)-1,LEN($B557))))))&gt;0,1,0)</f>
        <v>0</v>
      </c>
      <c r="AF557" cm="1">
        <f t="array" ref="AF557">IF(SUMPRODUCT(--($AQ$2:$AQ$71=TRIM(LEFT($B557,IFERROR(FIND(" ",$B557)-1,LEN($B557))))))&gt;0,1,0)</f>
        <v>0</v>
      </c>
    </row>
    <row r="558" spans="1:32" ht="165.75" thickBot="1" x14ac:dyDescent="0.3">
      <c r="A558" s="13">
        <v>74</v>
      </c>
      <c r="B558" s="4" t="s">
        <v>1202</v>
      </c>
      <c r="C558" s="4" t="s">
        <v>499</v>
      </c>
      <c r="D558" s="7">
        <v>44473</v>
      </c>
      <c r="E558" s="3">
        <v>4071.11</v>
      </c>
      <c r="F558" s="4" t="s">
        <v>30</v>
      </c>
      <c r="G558" s="3">
        <v>10.18</v>
      </c>
      <c r="H558" s="4" t="s">
        <v>70</v>
      </c>
      <c r="I558" s="4" t="s">
        <v>94</v>
      </c>
      <c r="J558" s="4" t="s">
        <v>108</v>
      </c>
      <c r="K558" s="4"/>
      <c r="L558" s="4"/>
      <c r="M558" s="3">
        <v>6.31</v>
      </c>
      <c r="N558" s="3">
        <v>1479</v>
      </c>
      <c r="O558" s="4" t="s">
        <v>207</v>
      </c>
      <c r="P558" s="4" t="s">
        <v>34</v>
      </c>
      <c r="Q558" s="4" t="s">
        <v>35</v>
      </c>
      <c r="R558" s="3">
        <v>636.95799999999997</v>
      </c>
      <c r="S558" s="3">
        <v>20.546099999999999</v>
      </c>
      <c r="T558" s="4" t="s">
        <v>726</v>
      </c>
      <c r="U558" s="2" t="s">
        <v>37</v>
      </c>
      <c r="V558" s="2" t="s">
        <v>37</v>
      </c>
      <c r="W558" s="2" t="s">
        <v>38</v>
      </c>
      <c r="X558" s="2" t="s">
        <v>38</v>
      </c>
      <c r="Y558" s="2" t="s">
        <v>38</v>
      </c>
      <c r="Z558" s="2" t="s">
        <v>37</v>
      </c>
      <c r="AA558" s="6">
        <v>3.609712837</v>
      </c>
      <c r="AB558" s="6">
        <v>2.8041107969999999</v>
      </c>
      <c r="AC558" s="6">
        <v>3.1699681740000001</v>
      </c>
      <c r="AD558" cm="1">
        <f t="array" ref="AD558">IF(SUMPRODUCT(--($AM$2:$AM$112=TRIM(LEFT($B558,IFERROR(FIND(" ",$B558)-1,LEN($B558))))))&gt;0,1,0)</f>
        <v>0</v>
      </c>
      <c r="AE558" cm="1">
        <f t="array" ref="AE558">IF(SUMPRODUCT(--($AO$2:$AO$145=TRIM(LEFT($B558,IFERROR(FIND(" ",$B558)-1,LEN($B558))))))&gt;0,1,0)</f>
        <v>0</v>
      </c>
      <c r="AF558" cm="1">
        <f t="array" ref="AF558">IF(SUMPRODUCT(--($AQ$2:$AQ$71=TRIM(LEFT($B558,IFERROR(FIND(" ",$B558)-1,LEN($B558))))))&gt;0,1,0)</f>
        <v>0</v>
      </c>
    </row>
    <row r="559" spans="1:32" ht="60.75" thickBot="1" x14ac:dyDescent="0.3">
      <c r="A559" s="13">
        <v>263</v>
      </c>
      <c r="B559" s="4" t="s">
        <v>1203</v>
      </c>
      <c r="C559" s="4" t="s">
        <v>1204</v>
      </c>
      <c r="D559" s="7">
        <v>44200</v>
      </c>
      <c r="E559" s="3">
        <v>2432.69</v>
      </c>
      <c r="F559" s="4" t="s">
        <v>30</v>
      </c>
      <c r="G559" s="3">
        <v>21.28</v>
      </c>
      <c r="H559" s="4" t="s">
        <v>41</v>
      </c>
      <c r="I559" s="4" t="s">
        <v>41</v>
      </c>
      <c r="J559" s="4" t="s">
        <v>100</v>
      </c>
      <c r="K559" s="4"/>
      <c r="L559" s="3">
        <v>76.53</v>
      </c>
      <c r="M559" s="4"/>
      <c r="N559" s="3">
        <v>2432.69</v>
      </c>
      <c r="O559" s="4" t="s">
        <v>34</v>
      </c>
      <c r="P559" s="4" t="s">
        <v>34</v>
      </c>
      <c r="Q559" s="4" t="s">
        <v>35</v>
      </c>
      <c r="R559" s="3">
        <v>4577.53</v>
      </c>
      <c r="S559" s="3">
        <v>0.38666400000000001</v>
      </c>
      <c r="T559" s="4" t="s">
        <v>43</v>
      </c>
      <c r="U559" s="2" t="s">
        <v>37</v>
      </c>
      <c r="V559" s="2" t="s">
        <v>37</v>
      </c>
      <c r="W559" s="2" t="s">
        <v>37</v>
      </c>
      <c r="X559" s="2" t="s">
        <v>37</v>
      </c>
      <c r="Y559" s="2" t="s">
        <v>37</v>
      </c>
      <c r="Z559" s="2" t="s">
        <v>37</v>
      </c>
      <c r="AA559" s="6">
        <v>3.3860867699999999</v>
      </c>
      <c r="AB559" s="6">
        <v>3.660631199</v>
      </c>
      <c r="AC559" s="6">
        <v>3.3860867699999999</v>
      </c>
      <c r="AD559" cm="1">
        <f t="array" ref="AD559">IF(SUMPRODUCT(--($AM$2:$AM$112=TRIM(LEFT($B559,IFERROR(FIND(" ",$B559)-1,LEN($B559))))))&gt;0,1,0)</f>
        <v>0</v>
      </c>
      <c r="AE559" cm="1">
        <f t="array" ref="AE559">IF(SUMPRODUCT(--($AO$2:$AO$145=TRIM(LEFT($B559,IFERROR(FIND(" ",$B559)-1,LEN($B559))))))&gt;0,1,0)</f>
        <v>0</v>
      </c>
      <c r="AF559" cm="1">
        <f t="array" ref="AF559">IF(SUMPRODUCT(--($AQ$2:$AQ$71=TRIM(LEFT($B559,IFERROR(FIND(" ",$B559)-1,LEN($B559))))))&gt;0,1,0)</f>
        <v>0</v>
      </c>
    </row>
    <row r="560" spans="1:32" ht="45.75" thickBot="1" x14ac:dyDescent="0.3">
      <c r="A560" s="13">
        <v>318</v>
      </c>
      <c r="B560" s="4" t="s">
        <v>1205</v>
      </c>
      <c r="C560" s="4" t="s">
        <v>1206</v>
      </c>
      <c r="D560" s="7">
        <v>44120</v>
      </c>
      <c r="E560" s="3">
        <v>2031.57</v>
      </c>
      <c r="F560" s="4" t="s">
        <v>46</v>
      </c>
      <c r="G560" s="3">
        <v>3.23</v>
      </c>
      <c r="H560" s="4" t="s">
        <v>65</v>
      </c>
      <c r="I560" s="4" t="s">
        <v>66</v>
      </c>
      <c r="J560" s="4" t="s">
        <v>66</v>
      </c>
      <c r="K560" s="4"/>
      <c r="L560" s="4"/>
      <c r="M560" s="3">
        <v>11.92</v>
      </c>
      <c r="N560" s="3">
        <v>2031.57</v>
      </c>
      <c r="O560" s="4" t="s">
        <v>34</v>
      </c>
      <c r="P560" s="4" t="s">
        <v>34</v>
      </c>
      <c r="Q560" s="4" t="s">
        <v>35</v>
      </c>
      <c r="R560" s="3">
        <v>3150.4</v>
      </c>
      <c r="S560" s="3">
        <v>32.380600000000001</v>
      </c>
      <c r="T560" s="4" t="s">
        <v>43</v>
      </c>
      <c r="U560" s="2" t="s">
        <v>37</v>
      </c>
      <c r="V560" s="2" t="s">
        <v>37</v>
      </c>
      <c r="W560" s="2" t="s">
        <v>37</v>
      </c>
      <c r="X560" s="2" t="s">
        <v>37</v>
      </c>
      <c r="Y560" s="2" t="s">
        <v>37</v>
      </c>
      <c r="Z560" s="2" t="s">
        <v>37</v>
      </c>
      <c r="AA560" s="6">
        <v>3.3078317909999999</v>
      </c>
      <c r="AB560" s="6">
        <v>3.4983656989999998</v>
      </c>
      <c r="AC560" s="6">
        <v>3.3078317909999999</v>
      </c>
      <c r="AD560" cm="1">
        <f t="array" ref="AD560">IF(SUMPRODUCT(--($AM$2:$AM$112=TRIM(LEFT($B560,IFERROR(FIND(" ",$B560)-1,LEN($B560))))))&gt;0,1,0)</f>
        <v>0</v>
      </c>
      <c r="AE560" cm="1">
        <f t="array" ref="AE560">IF(SUMPRODUCT(--($AO$2:$AO$145=TRIM(LEFT($B560,IFERROR(FIND(" ",$B560)-1,LEN($B560))))))&gt;0,1,0)</f>
        <v>0</v>
      </c>
      <c r="AF560" cm="1">
        <f t="array" ref="AF560">IF(SUMPRODUCT(--($AQ$2:$AQ$71=TRIM(LEFT($B560,IFERROR(FIND(" ",$B560)-1,LEN($B560))))))&gt;0,1,0)</f>
        <v>0</v>
      </c>
    </row>
    <row r="561" spans="1:32" ht="165.75" thickBot="1" x14ac:dyDescent="0.3">
      <c r="A561" s="13">
        <v>216</v>
      </c>
      <c r="B561" s="4" t="s">
        <v>1207</v>
      </c>
      <c r="C561" s="4" t="s">
        <v>384</v>
      </c>
      <c r="D561" s="7">
        <v>44263</v>
      </c>
      <c r="E561" s="3">
        <v>7249.22</v>
      </c>
      <c r="F561" s="4" t="s">
        <v>46</v>
      </c>
      <c r="G561" s="4"/>
      <c r="H561" s="4" t="s">
        <v>65</v>
      </c>
      <c r="I561" s="4" t="s">
        <v>206</v>
      </c>
      <c r="J561" s="4" t="s">
        <v>206</v>
      </c>
      <c r="K561" s="3">
        <v>81.900000000000006</v>
      </c>
      <c r="L561" s="4"/>
      <c r="M561" s="3">
        <v>26.46</v>
      </c>
      <c r="N561" s="3">
        <v>7249.22</v>
      </c>
      <c r="O561" s="4" t="s">
        <v>34</v>
      </c>
      <c r="P561" s="4" t="s">
        <v>34</v>
      </c>
      <c r="Q561" s="4" t="s">
        <v>35</v>
      </c>
      <c r="R561" s="3">
        <v>25677</v>
      </c>
      <c r="S561" s="3">
        <v>17.345700000000001</v>
      </c>
      <c r="T561" s="4" t="s">
        <v>1208</v>
      </c>
      <c r="U561" s="2" t="s">
        <v>38</v>
      </c>
      <c r="V561" s="2" t="s">
        <v>37</v>
      </c>
      <c r="W561" s="2" t="s">
        <v>37</v>
      </c>
      <c r="X561" s="2" t="s">
        <v>37</v>
      </c>
      <c r="Y561" s="2" t="s">
        <v>38</v>
      </c>
      <c r="Z561" s="2" t="s">
        <v>37</v>
      </c>
      <c r="AA561" s="6">
        <v>3.8602912800000002</v>
      </c>
      <c r="AB561" s="6">
        <v>4.4095442809999996</v>
      </c>
      <c r="AC561" s="6">
        <v>3.8602912800000002</v>
      </c>
      <c r="AD561" cm="1">
        <f t="array" ref="AD561">IF(SUMPRODUCT(--($AM$2:$AM$112=TRIM(LEFT($B561,IFERROR(FIND(" ",$B561)-1,LEN($B561))))))&gt;0,1,0)</f>
        <v>0</v>
      </c>
      <c r="AE561" cm="1">
        <f t="array" ref="AE561">IF(SUMPRODUCT(--($AO$2:$AO$145=TRIM(LEFT($B561,IFERROR(FIND(" ",$B561)-1,LEN($B561))))))&gt;0,1,0)</f>
        <v>0</v>
      </c>
      <c r="AF561" cm="1">
        <f t="array" ref="AF561">IF(SUMPRODUCT(--($AQ$2:$AQ$71=TRIM(LEFT($B561,IFERROR(FIND(" ",$B561)-1,LEN($B561))))))&gt;0,1,0)</f>
        <v>0</v>
      </c>
    </row>
    <row r="562" spans="1:32" ht="45.75" thickBot="1" x14ac:dyDescent="0.3">
      <c r="A562" s="13">
        <v>214</v>
      </c>
      <c r="B562" s="4" t="s">
        <v>1209</v>
      </c>
      <c r="C562" s="4" t="s">
        <v>1210</v>
      </c>
      <c r="D562" s="7">
        <v>44265</v>
      </c>
      <c r="E562" s="3">
        <v>880.15</v>
      </c>
      <c r="F562" s="4" t="s">
        <v>46</v>
      </c>
      <c r="G562" s="4"/>
      <c r="H562" s="4" t="s">
        <v>65</v>
      </c>
      <c r="I562" s="4" t="s">
        <v>66</v>
      </c>
      <c r="J562" s="4" t="s">
        <v>66</v>
      </c>
      <c r="K562" s="4"/>
      <c r="L562" s="3">
        <v>37.725000000000001</v>
      </c>
      <c r="M562" s="4"/>
      <c r="N562" s="3">
        <v>880.15</v>
      </c>
      <c r="O562" s="4" t="s">
        <v>34</v>
      </c>
      <c r="P562" s="4" t="s">
        <v>34</v>
      </c>
      <c r="Q562" s="4" t="s">
        <v>35</v>
      </c>
      <c r="R562" s="3">
        <v>249.65199999999999</v>
      </c>
      <c r="S562" s="3">
        <v>41.240099999999998</v>
      </c>
      <c r="T562" s="4" t="s">
        <v>43</v>
      </c>
      <c r="U562" s="2" t="s">
        <v>37</v>
      </c>
      <c r="V562" s="2" t="s">
        <v>37</v>
      </c>
      <c r="W562" s="2" t="s">
        <v>37</v>
      </c>
      <c r="X562" s="2" t="s">
        <v>37</v>
      </c>
      <c r="Y562" s="2" t="s">
        <v>37</v>
      </c>
      <c r="Z562" s="2" t="s">
        <v>37</v>
      </c>
      <c r="AA562" s="6">
        <v>2.944556693</v>
      </c>
      <c r="AB562" s="6">
        <v>2.3973350500000001</v>
      </c>
      <c r="AC562" s="6">
        <v>2.944556693</v>
      </c>
      <c r="AD562" cm="1">
        <f t="array" ref="AD562">IF(SUMPRODUCT(--($AM$2:$AM$112=TRIM(LEFT($B562,IFERROR(FIND(" ",$B562)-1,LEN($B562))))))&gt;0,1,0)</f>
        <v>0</v>
      </c>
      <c r="AE562" cm="1">
        <f t="array" ref="AE562">IF(SUMPRODUCT(--($AO$2:$AO$145=TRIM(LEFT($B562,IFERROR(FIND(" ",$B562)-1,LEN($B562))))))&gt;0,1,0)</f>
        <v>0</v>
      </c>
      <c r="AF562" cm="1">
        <f t="array" ref="AF562">IF(SUMPRODUCT(--($AQ$2:$AQ$71=TRIM(LEFT($B562,IFERROR(FIND(" ",$B562)-1,LEN($B562))))))&gt;0,1,0)</f>
        <v>0</v>
      </c>
    </row>
    <row r="563" spans="1:32" ht="45.75" thickBot="1" x14ac:dyDescent="0.3">
      <c r="A563" s="13">
        <v>124</v>
      </c>
      <c r="B563" s="4" t="s">
        <v>1211</v>
      </c>
      <c r="C563" s="4" t="s">
        <v>1212</v>
      </c>
      <c r="D563" s="7">
        <v>44391</v>
      </c>
      <c r="E563" s="3">
        <v>518.02</v>
      </c>
      <c r="F563" s="4" t="s">
        <v>46</v>
      </c>
      <c r="G563" s="4"/>
      <c r="H563" s="4" t="s">
        <v>65</v>
      </c>
      <c r="I563" s="4" t="s">
        <v>66</v>
      </c>
      <c r="J563" s="4" t="s">
        <v>66</v>
      </c>
      <c r="K563" s="4"/>
      <c r="L563" s="4"/>
      <c r="M563" s="3">
        <v>14.09</v>
      </c>
      <c r="N563" s="3">
        <v>518.02</v>
      </c>
      <c r="O563" s="4" t="s">
        <v>34</v>
      </c>
      <c r="P563" s="4" t="s">
        <v>34</v>
      </c>
      <c r="Q563" s="4" t="s">
        <v>35</v>
      </c>
      <c r="R563" s="3">
        <v>151.83000000000001</v>
      </c>
      <c r="S563" s="3">
        <v>43.244700000000002</v>
      </c>
      <c r="T563" s="4" t="s">
        <v>43</v>
      </c>
      <c r="U563" s="2" t="s">
        <v>37</v>
      </c>
      <c r="V563" s="2" t="s">
        <v>37</v>
      </c>
      <c r="W563" s="2" t="s">
        <v>37</v>
      </c>
      <c r="X563" s="2" t="s">
        <v>37</v>
      </c>
      <c r="Y563" s="2" t="s">
        <v>37</v>
      </c>
      <c r="Z563" s="2" t="s">
        <v>37</v>
      </c>
      <c r="AA563" s="6">
        <v>2.7143465280000001</v>
      </c>
      <c r="AB563" s="6">
        <v>2.1813575919999999</v>
      </c>
      <c r="AC563" s="6">
        <v>2.7143465280000001</v>
      </c>
      <c r="AD563" cm="1">
        <f t="array" ref="AD563">IF(SUMPRODUCT(--($AM$2:$AM$112=TRIM(LEFT($B563,IFERROR(FIND(" ",$B563)-1,LEN($B563))))))&gt;0,1,0)</f>
        <v>0</v>
      </c>
      <c r="AE563" cm="1">
        <f t="array" ref="AE563">IF(SUMPRODUCT(--($AO$2:$AO$145=TRIM(LEFT($B563,IFERROR(FIND(" ",$B563)-1,LEN($B563))))))&gt;0,1,0)</f>
        <v>0</v>
      </c>
      <c r="AF563" cm="1">
        <f t="array" ref="AF563">IF(SUMPRODUCT(--($AQ$2:$AQ$71=TRIM(LEFT($B563,IFERROR(FIND(" ",$B563)-1,LEN($B563))))))&gt;0,1,0)</f>
        <v>0</v>
      </c>
    </row>
    <row r="564" spans="1:32" ht="105.75" thickBot="1" x14ac:dyDescent="0.3">
      <c r="A564" s="13">
        <v>30</v>
      </c>
      <c r="B564" s="4" t="s">
        <v>1213</v>
      </c>
      <c r="C564" s="4" t="s">
        <v>291</v>
      </c>
      <c r="D564" s="7">
        <v>44518</v>
      </c>
      <c r="E564" s="3">
        <v>2506.42</v>
      </c>
      <c r="F564" s="4" t="s">
        <v>30</v>
      </c>
      <c r="G564" s="4"/>
      <c r="H564" s="4" t="s">
        <v>41</v>
      </c>
      <c r="I564" s="4" t="s">
        <v>41</v>
      </c>
      <c r="J564" s="4" t="s">
        <v>42</v>
      </c>
      <c r="K564" s="4"/>
      <c r="L564" s="4"/>
      <c r="M564" s="3">
        <v>77.180000000000007</v>
      </c>
      <c r="N564" s="3">
        <v>3007.51</v>
      </c>
      <c r="O564" s="4" t="s">
        <v>34</v>
      </c>
      <c r="P564" s="4" t="s">
        <v>292</v>
      </c>
      <c r="Q564" s="4" t="s">
        <v>35</v>
      </c>
      <c r="R564" s="3">
        <v>164.30699999999999</v>
      </c>
      <c r="S564" s="3">
        <v>-62.884099999999997</v>
      </c>
      <c r="T564" s="4" t="s">
        <v>91</v>
      </c>
      <c r="U564" s="2" t="s">
        <v>37</v>
      </c>
      <c r="V564" s="2" t="s">
        <v>37</v>
      </c>
      <c r="W564" s="2" t="s">
        <v>37</v>
      </c>
      <c r="X564" s="2" t="s">
        <v>37</v>
      </c>
      <c r="Y564" s="2" t="s">
        <v>37</v>
      </c>
      <c r="Z564" s="2" t="s">
        <v>38</v>
      </c>
      <c r="AA564" s="6">
        <v>3.3990538469999998</v>
      </c>
      <c r="AB564" s="6">
        <v>2.2156560660000002</v>
      </c>
      <c r="AC564" s="6">
        <v>3.4782070799999998</v>
      </c>
      <c r="AD564" cm="1">
        <f t="array" ref="AD564">IF(SUMPRODUCT(--($AM$2:$AM$112=TRIM(LEFT($B564,IFERROR(FIND(" ",$B564)-1,LEN($B564))))))&gt;0,1,0)</f>
        <v>0</v>
      </c>
      <c r="AE564" cm="1">
        <f t="array" ref="AE564">IF(SUMPRODUCT(--($AO$2:$AO$145=TRIM(LEFT($B564,IFERROR(FIND(" ",$B564)-1,LEN($B564))))))&gt;0,1,0)</f>
        <v>0</v>
      </c>
      <c r="AF564" cm="1">
        <f t="array" ref="AF564">IF(SUMPRODUCT(--($AQ$2:$AQ$71=TRIM(LEFT($B564,IFERROR(FIND(" ",$B564)-1,LEN($B564))))))&gt;0,1,0)</f>
        <v>0</v>
      </c>
    </row>
    <row r="565" spans="1:32" ht="75.75" thickBot="1" x14ac:dyDescent="0.3">
      <c r="A565" s="13">
        <v>32</v>
      </c>
      <c r="B565" s="4" t="s">
        <v>1214</v>
      </c>
      <c r="C565" s="4" t="s">
        <v>1215</v>
      </c>
      <c r="D565" s="7">
        <v>44515</v>
      </c>
      <c r="E565" s="3">
        <v>9480.44</v>
      </c>
      <c r="F565" s="4" t="s">
        <v>30</v>
      </c>
      <c r="G565" s="3">
        <v>26.84</v>
      </c>
      <c r="H565" s="4" t="s">
        <v>51</v>
      </c>
      <c r="I565" s="4" t="s">
        <v>51</v>
      </c>
      <c r="J565" s="4" t="s">
        <v>79</v>
      </c>
      <c r="K565" s="4"/>
      <c r="L565" s="4"/>
      <c r="M565" s="4"/>
      <c r="N565" s="3">
        <v>7513.22</v>
      </c>
      <c r="O565" s="4" t="s">
        <v>34</v>
      </c>
      <c r="P565" s="4" t="s">
        <v>34</v>
      </c>
      <c r="Q565" s="4" t="s">
        <v>35</v>
      </c>
      <c r="R565" s="3">
        <v>606.82399999999996</v>
      </c>
      <c r="S565" s="3">
        <v>22.672699999999999</v>
      </c>
      <c r="T565" s="4" t="s">
        <v>88</v>
      </c>
      <c r="U565" s="2" t="s">
        <v>37</v>
      </c>
      <c r="V565" s="2" t="s">
        <v>37</v>
      </c>
      <c r="W565" s="2" t="s">
        <v>37</v>
      </c>
      <c r="X565" s="2" t="s">
        <v>37</v>
      </c>
      <c r="Y565" s="2" t="s">
        <v>37</v>
      </c>
      <c r="Z565" s="2" t="s">
        <v>38</v>
      </c>
      <c r="AA565" s="6">
        <v>3.9768284939999998</v>
      </c>
      <c r="AB565" s="6">
        <v>2.7830627489999999</v>
      </c>
      <c r="AC565" s="6">
        <v>3.8758261059999999</v>
      </c>
      <c r="AD565" cm="1">
        <f t="array" ref="AD565">IF(SUMPRODUCT(--($AM$2:$AM$112=TRIM(LEFT($B565,IFERROR(FIND(" ",$B565)-1,LEN($B565))))))&gt;0,1,0)</f>
        <v>0</v>
      </c>
      <c r="AE565" cm="1">
        <f t="array" ref="AE565">IF(SUMPRODUCT(--($AO$2:$AO$145=TRIM(LEFT($B565,IFERROR(FIND(" ",$B565)-1,LEN($B565))))))&gt;0,1,0)</f>
        <v>0</v>
      </c>
      <c r="AF565" cm="1">
        <f t="array" ref="AF565">IF(SUMPRODUCT(--($AQ$2:$AQ$71=TRIM(LEFT($B565,IFERROR(FIND(" ",$B565)-1,LEN($B565))))))&gt;0,1,0)</f>
        <v>0</v>
      </c>
    </row>
    <row r="566" spans="1:32" ht="135.75" thickBot="1" x14ac:dyDescent="0.3">
      <c r="A566" s="13">
        <v>36</v>
      </c>
      <c r="B566" s="4" t="s">
        <v>1216</v>
      </c>
      <c r="C566" s="4" t="s">
        <v>1217</v>
      </c>
      <c r="D566" s="7">
        <v>44508</v>
      </c>
      <c r="E566" s="3">
        <v>674.61</v>
      </c>
      <c r="F566" s="4" t="s">
        <v>30</v>
      </c>
      <c r="G566" s="3">
        <v>15.94</v>
      </c>
      <c r="H566" s="4" t="s">
        <v>184</v>
      </c>
      <c r="I566" s="4" t="s">
        <v>251</v>
      </c>
      <c r="J566" s="4" t="s">
        <v>251</v>
      </c>
      <c r="K566" s="4"/>
      <c r="L566" s="4"/>
      <c r="M566" s="3">
        <v>4.26</v>
      </c>
      <c r="N566" s="3">
        <v>483.78</v>
      </c>
      <c r="O566" s="4" t="s">
        <v>34</v>
      </c>
      <c r="P566" s="4" t="s">
        <v>49</v>
      </c>
      <c r="Q566" s="4" t="s">
        <v>35</v>
      </c>
      <c r="R566" s="3">
        <v>218.47800000000001</v>
      </c>
      <c r="S566" s="3">
        <v>-0.24393100000000001</v>
      </c>
      <c r="T566" s="4" t="s">
        <v>1218</v>
      </c>
      <c r="U566" s="2" t="s">
        <v>37</v>
      </c>
      <c r="V566" s="2" t="s">
        <v>37</v>
      </c>
      <c r="W566" s="2" t="s">
        <v>38</v>
      </c>
      <c r="X566" s="2" t="s">
        <v>37</v>
      </c>
      <c r="Y566" s="2" t="s">
        <v>37</v>
      </c>
      <c r="Z566" s="2" t="s">
        <v>38</v>
      </c>
      <c r="AA566" s="6">
        <v>2.8290527750000001</v>
      </c>
      <c r="AB566" s="6">
        <v>2.3394077119999999</v>
      </c>
      <c r="AC566" s="6">
        <v>2.6846479099999998</v>
      </c>
      <c r="AD566" cm="1">
        <f t="array" ref="AD566">IF(SUMPRODUCT(--($AM$2:$AM$112=TRIM(LEFT($B566,IFERROR(FIND(" ",$B566)-1,LEN($B566))))))&gt;0,1,0)</f>
        <v>0</v>
      </c>
      <c r="AE566" cm="1">
        <f t="array" ref="AE566">IF(SUMPRODUCT(--($AO$2:$AO$145=TRIM(LEFT($B566,IFERROR(FIND(" ",$B566)-1,LEN($B566))))))&gt;0,1,0)</f>
        <v>0</v>
      </c>
      <c r="AF566" cm="1">
        <f t="array" ref="AF566">IF(SUMPRODUCT(--($AQ$2:$AQ$71=TRIM(LEFT($B566,IFERROR(FIND(" ",$B566)-1,LEN($B566))))))&gt;0,1,0)</f>
        <v>1</v>
      </c>
    </row>
    <row r="567" spans="1:32" ht="75.75" thickBot="1" x14ac:dyDescent="0.3">
      <c r="A567" s="13">
        <v>89</v>
      </c>
      <c r="B567" s="4" t="s">
        <v>1219</v>
      </c>
      <c r="C567" s="4" t="s">
        <v>1220</v>
      </c>
      <c r="D567" s="7">
        <v>44431</v>
      </c>
      <c r="E567" s="3">
        <v>917.82</v>
      </c>
      <c r="F567" s="4" t="s">
        <v>30</v>
      </c>
      <c r="G567" s="3">
        <v>15.66</v>
      </c>
      <c r="H567" s="4" t="s">
        <v>51</v>
      </c>
      <c r="I567" s="4" t="s">
        <v>51</v>
      </c>
      <c r="J567" s="4" t="s">
        <v>79</v>
      </c>
      <c r="K567" s="4"/>
      <c r="L567" s="4"/>
      <c r="M567" s="4"/>
      <c r="N567" s="3">
        <v>420.57</v>
      </c>
      <c r="O567" s="4" t="s">
        <v>34</v>
      </c>
      <c r="P567" s="4" t="s">
        <v>34</v>
      </c>
      <c r="Q567" s="4" t="s">
        <v>35</v>
      </c>
      <c r="R567" s="3">
        <v>58.838999999999999</v>
      </c>
      <c r="S567" s="3">
        <v>53.816899999999997</v>
      </c>
      <c r="T567" s="4" t="s">
        <v>113</v>
      </c>
      <c r="U567" s="2" t="s">
        <v>37</v>
      </c>
      <c r="V567" s="2" t="s">
        <v>37</v>
      </c>
      <c r="W567" s="2" t="s">
        <v>37</v>
      </c>
      <c r="X567" s="2" t="s">
        <v>38</v>
      </c>
      <c r="Y567" s="2" t="s">
        <v>37</v>
      </c>
      <c r="Z567" s="2" t="s">
        <v>37</v>
      </c>
      <c r="AA567" s="6">
        <v>2.962757517</v>
      </c>
      <c r="AB567" s="6">
        <v>1.7696652829999999</v>
      </c>
      <c r="AC567" s="6">
        <v>2.6238382900000001</v>
      </c>
      <c r="AD567" cm="1">
        <f t="array" ref="AD567">IF(SUMPRODUCT(--($AM$2:$AM$112=TRIM(LEFT($B567,IFERROR(FIND(" ",$B567)-1,LEN($B567))))))&gt;0,1,0)</f>
        <v>0</v>
      </c>
      <c r="AE567" cm="1">
        <f t="array" ref="AE567">IF(SUMPRODUCT(--($AO$2:$AO$145=TRIM(LEFT($B567,IFERROR(FIND(" ",$B567)-1,LEN($B567))))))&gt;0,1,0)</f>
        <v>0</v>
      </c>
      <c r="AF567" cm="1">
        <f t="array" ref="AF567">IF(SUMPRODUCT(--($AQ$2:$AQ$71=TRIM(LEFT($B567,IFERROR(FIND(" ",$B567)-1,LEN($B567))))))&gt;0,1,0)</f>
        <v>0</v>
      </c>
    </row>
    <row r="568" spans="1:32" ht="45.75" thickBot="1" x14ac:dyDescent="0.3">
      <c r="A568" s="13">
        <v>32</v>
      </c>
      <c r="B568" s="4" t="s">
        <v>1221</v>
      </c>
      <c r="C568" s="4" t="s">
        <v>1222</v>
      </c>
      <c r="D568" s="7">
        <v>44510</v>
      </c>
      <c r="E568" s="3">
        <v>704.88</v>
      </c>
      <c r="F568" s="4" t="s">
        <v>30</v>
      </c>
      <c r="G568" s="3">
        <v>12.46</v>
      </c>
      <c r="H568" s="4" t="s">
        <v>118</v>
      </c>
      <c r="I568" s="4" t="s">
        <v>119</v>
      </c>
      <c r="J568" s="4" t="s">
        <v>120</v>
      </c>
      <c r="K568" s="4"/>
      <c r="L568" s="3">
        <v>43.5</v>
      </c>
      <c r="M568" s="3">
        <v>8.56</v>
      </c>
      <c r="N568" s="3">
        <v>615.74</v>
      </c>
      <c r="O568" s="4" t="s">
        <v>49</v>
      </c>
      <c r="P568" s="4" t="s">
        <v>49</v>
      </c>
      <c r="Q568" s="4" t="s">
        <v>35</v>
      </c>
      <c r="R568" s="3">
        <v>116.45699999999999</v>
      </c>
      <c r="S568" s="3">
        <v>9.0756700000000006</v>
      </c>
      <c r="T568" s="4" t="s">
        <v>43</v>
      </c>
      <c r="U568" s="2" t="s">
        <v>37</v>
      </c>
      <c r="V568" s="2" t="s">
        <v>37</v>
      </c>
      <c r="W568" s="2" t="s">
        <v>37</v>
      </c>
      <c r="X568" s="2" t="s">
        <v>37</v>
      </c>
      <c r="Y568" s="2" t="s">
        <v>37</v>
      </c>
      <c r="Z568" s="2" t="s">
        <v>37</v>
      </c>
      <c r="AA568" s="6">
        <v>2.848115188</v>
      </c>
      <c r="AB568" s="6">
        <v>2.066165598</v>
      </c>
      <c r="AC568" s="6">
        <v>2.7893973669999998</v>
      </c>
      <c r="AD568" cm="1">
        <f t="array" ref="AD568">IF(SUMPRODUCT(--($AM$2:$AM$112=TRIM(LEFT($B568,IFERROR(FIND(" ",$B568)-1,LEN($B568))))))&gt;0,1,0)</f>
        <v>0</v>
      </c>
      <c r="AE568" cm="1">
        <f t="array" ref="AE568">IF(SUMPRODUCT(--($AO$2:$AO$145=TRIM(LEFT($B568,IFERROR(FIND(" ",$B568)-1,LEN($B568))))))&gt;0,1,0)</f>
        <v>0</v>
      </c>
      <c r="AF568" cm="1">
        <f t="array" ref="AF568">IF(SUMPRODUCT(--($AQ$2:$AQ$71=TRIM(LEFT($B568,IFERROR(FIND(" ",$B568)-1,LEN($B568))))))&gt;0,1,0)</f>
        <v>0</v>
      </c>
    </row>
    <row r="569" spans="1:32" ht="45.75" thickBot="1" x14ac:dyDescent="0.3">
      <c r="A569" s="13">
        <v>24</v>
      </c>
      <c r="B569" s="4" t="s">
        <v>1223</v>
      </c>
      <c r="C569" s="4" t="s">
        <v>1224</v>
      </c>
      <c r="D569" s="7">
        <v>44515</v>
      </c>
      <c r="E569" s="3">
        <v>1690</v>
      </c>
      <c r="F569" s="4" t="s">
        <v>30</v>
      </c>
      <c r="G569" s="4"/>
      <c r="H569" s="4" t="s">
        <v>51</v>
      </c>
      <c r="I569" s="4" t="s">
        <v>51</v>
      </c>
      <c r="J569" s="4" t="s">
        <v>261</v>
      </c>
      <c r="K569" s="4"/>
      <c r="L569" s="4"/>
      <c r="M569" s="4"/>
      <c r="N569" s="3">
        <v>1649.1</v>
      </c>
      <c r="O569" s="4" t="s">
        <v>34</v>
      </c>
      <c r="P569" s="4" t="s">
        <v>34</v>
      </c>
      <c r="Q569" s="4" t="s">
        <v>35</v>
      </c>
      <c r="R569" s="2"/>
      <c r="S569" s="2"/>
      <c r="T569" s="4" t="s">
        <v>43</v>
      </c>
      <c r="U569" s="2" t="s">
        <v>37</v>
      </c>
      <c r="V569" s="2" t="s">
        <v>37</v>
      </c>
      <c r="W569" s="2" t="s">
        <v>37</v>
      </c>
      <c r="X569" s="2" t="s">
        <v>37</v>
      </c>
      <c r="Y569" s="2" t="s">
        <v>37</v>
      </c>
      <c r="Z569" s="2" t="s">
        <v>37</v>
      </c>
      <c r="AA569" s="6">
        <v>3.227886705</v>
      </c>
      <c r="AB569" s="2"/>
      <c r="AC569" s="6">
        <v>3.2172469920000002</v>
      </c>
      <c r="AD569" cm="1">
        <f t="array" ref="AD569">IF(SUMPRODUCT(--($AM$2:$AM$112=TRIM(LEFT($B569,IFERROR(FIND(" ",$B569)-1,LEN($B569))))))&gt;0,1,0)</f>
        <v>0</v>
      </c>
      <c r="AE569" cm="1">
        <f t="array" ref="AE569">IF(SUMPRODUCT(--($AO$2:$AO$145=TRIM(LEFT($B569,IFERROR(FIND(" ",$B569)-1,LEN($B569))))))&gt;0,1,0)</f>
        <v>0</v>
      </c>
      <c r="AF569" cm="1">
        <f t="array" ref="AF569">IF(SUMPRODUCT(--($AQ$2:$AQ$71=TRIM(LEFT($B569,IFERROR(FIND(" ",$B569)-1,LEN($B569))))))&gt;0,1,0)</f>
        <v>0</v>
      </c>
    </row>
    <row r="570" spans="1:32" ht="75.75" thickBot="1" x14ac:dyDescent="0.3">
      <c r="A570" s="13">
        <v>65</v>
      </c>
      <c r="B570" s="4" t="s">
        <v>1225</v>
      </c>
      <c r="C570" s="4" t="s">
        <v>1226</v>
      </c>
      <c r="D570" s="7">
        <v>44454</v>
      </c>
      <c r="E570" s="3">
        <v>30206.99</v>
      </c>
      <c r="F570" s="4" t="s">
        <v>107</v>
      </c>
      <c r="G570" s="3">
        <v>42.1</v>
      </c>
      <c r="H570" s="4" t="s">
        <v>70</v>
      </c>
      <c r="I570" s="4" t="s">
        <v>94</v>
      </c>
      <c r="J570" s="4" t="s">
        <v>108</v>
      </c>
      <c r="K570" s="3">
        <v>1400</v>
      </c>
      <c r="L570" s="3">
        <v>1400</v>
      </c>
      <c r="M570" s="3">
        <v>1.45</v>
      </c>
      <c r="N570" s="3">
        <v>26704.99</v>
      </c>
      <c r="O570" s="4" t="s">
        <v>34</v>
      </c>
      <c r="P570" s="4" t="s">
        <v>49</v>
      </c>
      <c r="Q570" s="4" t="s">
        <v>493</v>
      </c>
      <c r="R570" s="3">
        <v>3370.4</v>
      </c>
      <c r="S570" s="3">
        <v>35.6708</v>
      </c>
      <c r="T570" s="4" t="s">
        <v>97</v>
      </c>
      <c r="U570" s="2" t="s">
        <v>37</v>
      </c>
      <c r="V570" s="2" t="s">
        <v>37</v>
      </c>
      <c r="W570" s="2" t="s">
        <v>38</v>
      </c>
      <c r="X570" s="2" t="s">
        <v>37</v>
      </c>
      <c r="Y570" s="2" t="s">
        <v>37</v>
      </c>
      <c r="Z570" s="2" t="s">
        <v>37</v>
      </c>
      <c r="AA570" s="6">
        <v>4.4801074520000004</v>
      </c>
      <c r="AB570" s="6">
        <v>3.5276814459999999</v>
      </c>
      <c r="AC570" s="6">
        <v>4.4265924200000004</v>
      </c>
      <c r="AD570" cm="1">
        <f t="array" ref="AD570">IF(SUMPRODUCT(--($AM$2:$AM$112=TRIM(LEFT($B570,IFERROR(FIND(" ",$B570)-1,LEN($B570))))))&gt;0,1,0)</f>
        <v>0</v>
      </c>
      <c r="AE570" cm="1">
        <f t="array" ref="AE570">IF(SUMPRODUCT(--($AO$2:$AO$145=TRIM(LEFT($B570,IFERROR(FIND(" ",$B570)-1,LEN($B570))))))&gt;0,1,0)</f>
        <v>0</v>
      </c>
      <c r="AF570" cm="1">
        <f t="array" ref="AF570">IF(SUMPRODUCT(--($AQ$2:$AQ$71=TRIM(LEFT($B570,IFERROR(FIND(" ",$B570)-1,LEN($B570))))))&gt;0,1,0)</f>
        <v>1</v>
      </c>
    </row>
    <row r="571" spans="1:32" ht="60.75" thickBot="1" x14ac:dyDescent="0.3">
      <c r="A571" s="13">
        <v>73</v>
      </c>
      <c r="B571" s="4" t="s">
        <v>1227</v>
      </c>
      <c r="C571" s="4" t="s">
        <v>1228</v>
      </c>
      <c r="D571" s="7">
        <v>44441</v>
      </c>
      <c r="E571" s="3">
        <v>11716.56</v>
      </c>
      <c r="F571" s="4" t="s">
        <v>30</v>
      </c>
      <c r="G571" s="3">
        <v>21.87</v>
      </c>
      <c r="H571" s="4" t="s">
        <v>41</v>
      </c>
      <c r="I571" s="4" t="s">
        <v>41</v>
      </c>
      <c r="J571" s="4" t="s">
        <v>60</v>
      </c>
      <c r="K571" s="3">
        <v>420</v>
      </c>
      <c r="L571" s="3">
        <v>367</v>
      </c>
      <c r="M571" s="3">
        <v>16.32</v>
      </c>
      <c r="N571" s="3">
        <v>10268.459999999999</v>
      </c>
      <c r="O571" s="4" t="s">
        <v>34</v>
      </c>
      <c r="P571" s="4" t="s">
        <v>34</v>
      </c>
      <c r="Q571" s="4" t="s">
        <v>35</v>
      </c>
      <c r="R571" s="3">
        <v>3018.7</v>
      </c>
      <c r="S571" s="3">
        <v>13.257400000000001</v>
      </c>
      <c r="T571" s="4" t="s">
        <v>43</v>
      </c>
      <c r="U571" s="2" t="s">
        <v>37</v>
      </c>
      <c r="V571" s="2" t="s">
        <v>37</v>
      </c>
      <c r="W571" s="2" t="s">
        <v>37</v>
      </c>
      <c r="X571" s="2" t="s">
        <v>37</v>
      </c>
      <c r="Y571" s="2" t="s">
        <v>37</v>
      </c>
      <c r="Z571" s="2" t="s">
        <v>37</v>
      </c>
      <c r="AA571" s="6">
        <v>4.0688001209999998</v>
      </c>
      <c r="AB571" s="6">
        <v>3.479819955</v>
      </c>
      <c r="AC571" s="6">
        <v>4.011505316</v>
      </c>
      <c r="AD571" cm="1">
        <f t="array" ref="AD571">IF(SUMPRODUCT(--($AM$2:$AM$112=TRIM(LEFT($B571,IFERROR(FIND(" ",$B571)-1,LEN($B571))))))&gt;0,1,0)</f>
        <v>1</v>
      </c>
      <c r="AE571" cm="1">
        <f t="array" ref="AE571">IF(SUMPRODUCT(--($AO$2:$AO$145=TRIM(LEFT($B571,IFERROR(FIND(" ",$B571)-1,LEN($B571))))))&gt;0,1,0)</f>
        <v>1</v>
      </c>
      <c r="AF571" cm="1">
        <f t="array" ref="AF571">IF(SUMPRODUCT(--($AQ$2:$AQ$71=TRIM(LEFT($B571,IFERROR(FIND(" ",$B571)-1,LEN($B571))))))&gt;0,1,0)</f>
        <v>0</v>
      </c>
    </row>
    <row r="572" spans="1:32" ht="60.75" thickBot="1" x14ac:dyDescent="0.3">
      <c r="A572" s="13">
        <v>171</v>
      </c>
      <c r="B572" s="4" t="s">
        <v>1229</v>
      </c>
      <c r="C572" s="4" t="s">
        <v>1230</v>
      </c>
      <c r="D572" s="7">
        <v>44301</v>
      </c>
      <c r="E572" s="3">
        <v>20329.099999999999</v>
      </c>
      <c r="F572" s="4" t="s">
        <v>30</v>
      </c>
      <c r="G572" s="3">
        <v>23.86</v>
      </c>
      <c r="H572" s="4" t="s">
        <v>41</v>
      </c>
      <c r="I572" s="4" t="s">
        <v>41</v>
      </c>
      <c r="J572" s="4" t="s">
        <v>100</v>
      </c>
      <c r="K572" s="4"/>
      <c r="L572" s="3">
        <v>520.35400000000004</v>
      </c>
      <c r="M572" s="3">
        <v>24.75</v>
      </c>
      <c r="N572" s="3">
        <v>16645.37</v>
      </c>
      <c r="O572" s="4" t="s">
        <v>34</v>
      </c>
      <c r="P572" s="4" t="s">
        <v>34</v>
      </c>
      <c r="Q572" s="4" t="s">
        <v>35</v>
      </c>
      <c r="R572" s="3">
        <v>4681.47</v>
      </c>
      <c r="S572" s="3">
        <v>11.131500000000001</v>
      </c>
      <c r="T572" s="4" t="s">
        <v>43</v>
      </c>
      <c r="U572" s="2" t="s">
        <v>37</v>
      </c>
      <c r="V572" s="2" t="s">
        <v>37</v>
      </c>
      <c r="W572" s="2" t="s">
        <v>37</v>
      </c>
      <c r="X572" s="2" t="s">
        <v>37</v>
      </c>
      <c r="Y572" s="2" t="s">
        <v>37</v>
      </c>
      <c r="Z572" s="2" t="s">
        <v>37</v>
      </c>
      <c r="AA572" s="6">
        <v>4.3081181519999996</v>
      </c>
      <c r="AB572" s="6">
        <v>3.6703822449999999</v>
      </c>
      <c r="AC572" s="6">
        <v>4.2212934530000004</v>
      </c>
      <c r="AD572" cm="1">
        <f t="array" ref="AD572">IF(SUMPRODUCT(--($AM$2:$AM$112=TRIM(LEFT($B572,IFERROR(FIND(" ",$B572)-1,LEN($B572))))))&gt;0,1,0)</f>
        <v>0</v>
      </c>
      <c r="AE572" cm="1">
        <f t="array" ref="AE572">IF(SUMPRODUCT(--($AO$2:$AO$145=TRIM(LEFT($B572,IFERROR(FIND(" ",$B572)-1,LEN($B572))))))&gt;0,1,0)</f>
        <v>1</v>
      </c>
      <c r="AF572" cm="1">
        <f t="array" ref="AF572">IF(SUMPRODUCT(--($AQ$2:$AQ$71=TRIM(LEFT($B572,IFERROR(FIND(" ",$B572)-1,LEN($B572))))))&gt;0,1,0)</f>
        <v>0</v>
      </c>
    </row>
    <row r="573" spans="1:32" ht="165.75" thickBot="1" x14ac:dyDescent="0.3">
      <c r="A573" s="13">
        <v>67</v>
      </c>
      <c r="B573" s="4" t="s">
        <v>1231</v>
      </c>
      <c r="C573" s="4" t="s">
        <v>1232</v>
      </c>
      <c r="D573" s="7">
        <v>44446</v>
      </c>
      <c r="E573" s="3">
        <v>3235.63</v>
      </c>
      <c r="F573" s="4" t="s">
        <v>30</v>
      </c>
      <c r="G573" s="3">
        <v>102.7</v>
      </c>
      <c r="H573" s="4" t="s">
        <v>51</v>
      </c>
      <c r="I573" s="4" t="s">
        <v>51</v>
      </c>
      <c r="J573" s="4" t="s">
        <v>79</v>
      </c>
      <c r="K573" s="3">
        <v>196</v>
      </c>
      <c r="L573" s="3">
        <v>86</v>
      </c>
      <c r="M573" s="3">
        <v>3.47</v>
      </c>
      <c r="N573" s="3">
        <v>1968.22</v>
      </c>
      <c r="O573" s="4" t="s">
        <v>34</v>
      </c>
      <c r="P573" s="4" t="s">
        <v>439</v>
      </c>
      <c r="Q573" s="4" t="s">
        <v>35</v>
      </c>
      <c r="R573" s="3">
        <v>300.56599999999997</v>
      </c>
      <c r="S573" s="3">
        <v>-26.3035</v>
      </c>
      <c r="T573" s="4" t="s">
        <v>726</v>
      </c>
      <c r="U573" s="2" t="s">
        <v>37</v>
      </c>
      <c r="V573" s="2" t="s">
        <v>37</v>
      </c>
      <c r="W573" s="2" t="s">
        <v>38</v>
      </c>
      <c r="X573" s="2" t="s">
        <v>38</v>
      </c>
      <c r="Y573" s="2" t="s">
        <v>38</v>
      </c>
      <c r="Z573" s="2" t="s">
        <v>37</v>
      </c>
      <c r="AA573" s="6">
        <v>3.5099588530000001</v>
      </c>
      <c r="AB573" s="6">
        <v>2.477939852</v>
      </c>
      <c r="AC573" s="6">
        <v>3.2940736410000002</v>
      </c>
      <c r="AD573" cm="1">
        <f t="array" ref="AD573">IF(SUMPRODUCT(--($AM$2:$AM$112=TRIM(LEFT($B573,IFERROR(FIND(" ",$B573)-1,LEN($B573))))))&gt;0,1,0)</f>
        <v>0</v>
      </c>
      <c r="AE573" cm="1">
        <f t="array" ref="AE573">IF(SUMPRODUCT(--($AO$2:$AO$145=TRIM(LEFT($B573,IFERROR(FIND(" ",$B573)-1,LEN($B573))))))&gt;0,1,0)</f>
        <v>0</v>
      </c>
      <c r="AF573" cm="1">
        <f t="array" ref="AF573">IF(SUMPRODUCT(--($AQ$2:$AQ$71=TRIM(LEFT($B573,IFERROR(FIND(" ",$B573)-1,LEN($B573))))))&gt;0,1,0)</f>
        <v>0</v>
      </c>
    </row>
    <row r="574" spans="1:32" ht="45.75" thickBot="1" x14ac:dyDescent="0.3">
      <c r="A574" s="13">
        <v>208</v>
      </c>
      <c r="B574" s="4" t="s">
        <v>1233</v>
      </c>
      <c r="C574" s="4" t="s">
        <v>819</v>
      </c>
      <c r="D574" s="7">
        <v>44244</v>
      </c>
      <c r="E574" s="3">
        <v>6792.52</v>
      </c>
      <c r="F574" s="4" t="s">
        <v>46</v>
      </c>
      <c r="G574" s="3">
        <v>7.61</v>
      </c>
      <c r="H574" s="4" t="s">
        <v>118</v>
      </c>
      <c r="I574" s="4" t="s">
        <v>119</v>
      </c>
      <c r="J574" s="4" t="s">
        <v>120</v>
      </c>
      <c r="K574" s="4"/>
      <c r="L574" s="4"/>
      <c r="M574" s="3">
        <v>0.4</v>
      </c>
      <c r="N574" s="3">
        <v>2496.52</v>
      </c>
      <c r="O574" s="4" t="s">
        <v>34</v>
      </c>
      <c r="P574" s="4" t="s">
        <v>34</v>
      </c>
      <c r="Q574" s="4" t="s">
        <v>35</v>
      </c>
      <c r="R574" s="3">
        <v>2463</v>
      </c>
      <c r="S574" s="3">
        <v>18.1738</v>
      </c>
      <c r="T574" s="4" t="s">
        <v>43</v>
      </c>
      <c r="U574" s="2" t="s">
        <v>37</v>
      </c>
      <c r="V574" s="2" t="s">
        <v>37</v>
      </c>
      <c r="W574" s="2" t="s">
        <v>37</v>
      </c>
      <c r="X574" s="2" t="s">
        <v>37</v>
      </c>
      <c r="Y574" s="2" t="s">
        <v>37</v>
      </c>
      <c r="Z574" s="2" t="s">
        <v>37</v>
      </c>
      <c r="AA574" s="6">
        <v>3.8320309259999998</v>
      </c>
      <c r="AB574" s="6">
        <v>3.3914644119999999</v>
      </c>
      <c r="AC574" s="6">
        <v>3.3973350500000001</v>
      </c>
      <c r="AD574" cm="1">
        <f t="array" ref="AD574">IF(SUMPRODUCT(--($AM$2:$AM$112=TRIM(LEFT($B574,IFERROR(FIND(" ",$B574)-1,LEN($B574))))))&gt;0,1,0)</f>
        <v>0</v>
      </c>
      <c r="AE574" cm="1">
        <f t="array" ref="AE574">IF(SUMPRODUCT(--($AO$2:$AO$145=TRIM(LEFT($B574,IFERROR(FIND(" ",$B574)-1,LEN($B574))))))&gt;0,1,0)</f>
        <v>0</v>
      </c>
      <c r="AF574" cm="1">
        <f t="array" ref="AF574">IF(SUMPRODUCT(--($AQ$2:$AQ$71=TRIM(LEFT($B574,IFERROR(FIND(" ",$B574)-1,LEN($B574))))))&gt;0,1,0)</f>
        <v>0</v>
      </c>
    </row>
    <row r="575" spans="1:32" ht="60.75" thickBot="1" x14ac:dyDescent="0.3">
      <c r="A575" s="13">
        <v>154</v>
      </c>
      <c r="B575" s="4" t="s">
        <v>1234</v>
      </c>
      <c r="C575" s="4" t="s">
        <v>1235</v>
      </c>
      <c r="D575" s="7">
        <v>44319</v>
      </c>
      <c r="E575" s="3">
        <v>3766.63</v>
      </c>
      <c r="F575" s="4" t="s">
        <v>107</v>
      </c>
      <c r="G575" s="3">
        <v>5.36</v>
      </c>
      <c r="H575" s="4" t="s">
        <v>184</v>
      </c>
      <c r="I575" s="4" t="s">
        <v>185</v>
      </c>
      <c r="J575" s="4" t="s">
        <v>1133</v>
      </c>
      <c r="K575" s="3">
        <v>125</v>
      </c>
      <c r="L575" s="3">
        <v>36</v>
      </c>
      <c r="M575" s="4"/>
      <c r="N575" s="3">
        <v>775.73</v>
      </c>
      <c r="O575" s="4" t="s">
        <v>34</v>
      </c>
      <c r="P575" s="4" t="s">
        <v>34</v>
      </c>
      <c r="Q575" s="4" t="s">
        <v>35</v>
      </c>
      <c r="R575" s="3">
        <v>2977.4</v>
      </c>
      <c r="S575" s="3">
        <v>18.690100000000001</v>
      </c>
      <c r="T575" s="4" t="s">
        <v>43</v>
      </c>
      <c r="U575" s="2" t="s">
        <v>37</v>
      </c>
      <c r="V575" s="2" t="s">
        <v>37</v>
      </c>
      <c r="W575" s="2" t="s">
        <v>37</v>
      </c>
      <c r="X575" s="2" t="s">
        <v>37</v>
      </c>
      <c r="Y575" s="2" t="s">
        <v>37</v>
      </c>
      <c r="Z575" s="2" t="s">
        <v>37</v>
      </c>
      <c r="AA575" s="6">
        <v>3.575952961</v>
      </c>
      <c r="AB575" s="6">
        <v>3.4738371840000002</v>
      </c>
      <c r="AC575" s="6">
        <v>2.8897105870000002</v>
      </c>
      <c r="AD575" cm="1">
        <f t="array" ref="AD575">IF(SUMPRODUCT(--($AM$2:$AM$112=TRIM(LEFT($B575,IFERROR(FIND(" ",$B575)-1,LEN($B575))))))&gt;0,1,0)</f>
        <v>0</v>
      </c>
      <c r="AE575" cm="1">
        <f t="array" ref="AE575">IF(SUMPRODUCT(--($AO$2:$AO$145=TRIM(LEFT($B575,IFERROR(FIND(" ",$B575)-1,LEN($B575))))))&gt;0,1,0)</f>
        <v>0</v>
      </c>
      <c r="AF575" cm="1">
        <f t="array" ref="AF575">IF(SUMPRODUCT(--($AQ$2:$AQ$71=TRIM(LEFT($B575,IFERROR(FIND(" ",$B575)-1,LEN($B575))))))&gt;0,1,0)</f>
        <v>0</v>
      </c>
    </row>
    <row r="576" spans="1:32" ht="75.75" thickBot="1" x14ac:dyDescent="0.3">
      <c r="A576" s="13">
        <v>118</v>
      </c>
      <c r="B576" s="4" t="s">
        <v>1236</v>
      </c>
      <c r="C576" s="4" t="s">
        <v>1237</v>
      </c>
      <c r="D576" s="7">
        <v>44368</v>
      </c>
      <c r="E576" s="3">
        <v>2075.48</v>
      </c>
      <c r="F576" s="4" t="s">
        <v>30</v>
      </c>
      <c r="G576" s="3">
        <v>43.93</v>
      </c>
      <c r="H576" s="4" t="s">
        <v>70</v>
      </c>
      <c r="I576" s="4" t="s">
        <v>71</v>
      </c>
      <c r="J576" s="4" t="s">
        <v>1238</v>
      </c>
      <c r="K576" s="3">
        <v>64</v>
      </c>
      <c r="L576" s="3">
        <v>200</v>
      </c>
      <c r="M576" s="4"/>
      <c r="N576" s="3">
        <v>2083.2199999999998</v>
      </c>
      <c r="O576" s="4" t="s">
        <v>34</v>
      </c>
      <c r="P576" s="4" t="s">
        <v>166</v>
      </c>
      <c r="Q576" s="4" t="s">
        <v>35</v>
      </c>
      <c r="R576" s="3">
        <v>348.35899999999998</v>
      </c>
      <c r="S576" s="3">
        <v>7.3033400000000004</v>
      </c>
      <c r="T576" s="4" t="s">
        <v>97</v>
      </c>
      <c r="U576" s="2" t="s">
        <v>37</v>
      </c>
      <c r="V576" s="2" t="s">
        <v>37</v>
      </c>
      <c r="W576" s="2" t="s">
        <v>38</v>
      </c>
      <c r="X576" s="2" t="s">
        <v>37</v>
      </c>
      <c r="Y576" s="2" t="s">
        <v>37</v>
      </c>
      <c r="Z576" s="2" t="s">
        <v>37</v>
      </c>
      <c r="AA576" s="6">
        <v>3.3171185529999998</v>
      </c>
      <c r="AB576" s="6">
        <v>2.5420270349999998</v>
      </c>
      <c r="AC576" s="6">
        <v>3.3187351359999999</v>
      </c>
      <c r="AD576" cm="1">
        <f t="array" ref="AD576">IF(SUMPRODUCT(--($AM$2:$AM$112=TRIM(LEFT($B576,IFERROR(FIND(" ",$B576)-1,LEN($B576))))))&gt;0,1,0)</f>
        <v>0</v>
      </c>
      <c r="AE576" cm="1">
        <f t="array" ref="AE576">IF(SUMPRODUCT(--($AO$2:$AO$145=TRIM(LEFT($B576,IFERROR(FIND(" ",$B576)-1,LEN($B576))))))&gt;0,1,0)</f>
        <v>0</v>
      </c>
      <c r="AF576" cm="1">
        <f t="array" ref="AF576">IF(SUMPRODUCT(--($AQ$2:$AQ$71=TRIM(LEFT($B576,IFERROR(FIND(" ",$B576)-1,LEN($B576))))))&gt;0,1,0)</f>
        <v>1</v>
      </c>
    </row>
    <row r="577" spans="1:32" ht="165.75" thickBot="1" x14ac:dyDescent="0.3">
      <c r="A577" s="13">
        <v>100</v>
      </c>
      <c r="B577" s="4" t="s">
        <v>1239</v>
      </c>
      <c r="C577" s="4" t="s">
        <v>637</v>
      </c>
      <c r="D577" s="7">
        <v>44391</v>
      </c>
      <c r="E577" s="3">
        <v>5247.7</v>
      </c>
      <c r="F577" s="4" t="s">
        <v>30</v>
      </c>
      <c r="G577" s="3">
        <v>15.57</v>
      </c>
      <c r="H577" s="4" t="s">
        <v>70</v>
      </c>
      <c r="I577" s="4" t="s">
        <v>94</v>
      </c>
      <c r="J577" s="4" t="s">
        <v>95</v>
      </c>
      <c r="K577" s="3">
        <v>162.6</v>
      </c>
      <c r="L577" s="3">
        <v>81.3</v>
      </c>
      <c r="M577" s="3">
        <v>14.5</v>
      </c>
      <c r="N577" s="3">
        <v>2692.7</v>
      </c>
      <c r="O577" s="4" t="s">
        <v>34</v>
      </c>
      <c r="P577" s="4" t="s">
        <v>638</v>
      </c>
      <c r="Q577" s="4" t="s">
        <v>35</v>
      </c>
      <c r="R577" s="3">
        <v>1904</v>
      </c>
      <c r="S577" s="3">
        <v>6.1946899999999996</v>
      </c>
      <c r="T577" s="4" t="s">
        <v>726</v>
      </c>
      <c r="U577" s="2" t="s">
        <v>37</v>
      </c>
      <c r="V577" s="2" t="s">
        <v>37</v>
      </c>
      <c r="W577" s="2" t="s">
        <v>38</v>
      </c>
      <c r="X577" s="2" t="s">
        <v>38</v>
      </c>
      <c r="Y577" s="2" t="s">
        <v>38</v>
      </c>
      <c r="Z577" s="2" t="s">
        <v>37</v>
      </c>
      <c r="AA577" s="6">
        <v>3.7199689990000002</v>
      </c>
      <c r="AB577" s="6">
        <v>3.2796669440000001</v>
      </c>
      <c r="AC577" s="6">
        <v>3.43018797</v>
      </c>
      <c r="AD577" cm="1">
        <f t="array" ref="AD577">IF(SUMPRODUCT(--($AM$2:$AM$112=TRIM(LEFT($B577,IFERROR(FIND(" ",$B577)-1,LEN($B577))))))&gt;0,1,0)</f>
        <v>0</v>
      </c>
      <c r="AE577" cm="1">
        <f t="array" ref="AE577">IF(SUMPRODUCT(--($AO$2:$AO$145=TRIM(LEFT($B577,IFERROR(FIND(" ",$B577)-1,LEN($B577))))))&gt;0,1,0)</f>
        <v>0</v>
      </c>
      <c r="AF577" cm="1">
        <f t="array" ref="AF577">IF(SUMPRODUCT(--($AQ$2:$AQ$71=TRIM(LEFT($B577,IFERROR(FIND(" ",$B577)-1,LEN($B577))))))&gt;0,1,0)</f>
        <v>1</v>
      </c>
    </row>
    <row r="578" spans="1:32" ht="105.75" thickBot="1" x14ac:dyDescent="0.3">
      <c r="A578" s="13">
        <v>146</v>
      </c>
      <c r="B578" s="4" t="s">
        <v>1240</v>
      </c>
      <c r="C578" s="4" t="s">
        <v>961</v>
      </c>
      <c r="D578" s="7">
        <v>44327</v>
      </c>
      <c r="E578" s="3">
        <v>2991.62</v>
      </c>
      <c r="F578" s="4" t="s">
        <v>30</v>
      </c>
      <c r="G578" s="3">
        <v>21.84</v>
      </c>
      <c r="H578" s="4" t="s">
        <v>47</v>
      </c>
      <c r="I578" s="4" t="s">
        <v>47</v>
      </c>
      <c r="J578" s="4" t="s">
        <v>962</v>
      </c>
      <c r="K578" s="3">
        <v>171.1</v>
      </c>
      <c r="L578" s="3">
        <v>82.7</v>
      </c>
      <c r="M578" s="4"/>
      <c r="N578" s="3">
        <v>2788.62</v>
      </c>
      <c r="O578" s="4" t="s">
        <v>34</v>
      </c>
      <c r="P578" s="4" t="s">
        <v>49</v>
      </c>
      <c r="Q578" s="4" t="s">
        <v>35</v>
      </c>
      <c r="R578" s="3">
        <v>6943</v>
      </c>
      <c r="S578" s="3">
        <v>-8.5638199999999998</v>
      </c>
      <c r="T578" s="4" t="s">
        <v>316</v>
      </c>
      <c r="U578" s="2" t="s">
        <v>37</v>
      </c>
      <c r="V578" s="2" t="s">
        <v>37</v>
      </c>
      <c r="W578" s="2" t="s">
        <v>38</v>
      </c>
      <c r="X578" s="2" t="s">
        <v>38</v>
      </c>
      <c r="Y578" s="2" t="s">
        <v>37</v>
      </c>
      <c r="Z578" s="2" t="s">
        <v>37</v>
      </c>
      <c r="AA578" s="6">
        <v>3.475906428</v>
      </c>
      <c r="AB578" s="6">
        <v>3.8415471650000002</v>
      </c>
      <c r="AC578" s="6">
        <v>3.445389338</v>
      </c>
      <c r="AD578" cm="1">
        <f t="array" ref="AD578">IF(SUMPRODUCT(--($AM$2:$AM$112=TRIM(LEFT($B578,IFERROR(FIND(" ",$B578)-1,LEN($B578))))))&gt;0,1,0)</f>
        <v>1</v>
      </c>
      <c r="AE578" cm="1">
        <f t="array" ref="AE578">IF(SUMPRODUCT(--($AO$2:$AO$145=TRIM(LEFT($B578,IFERROR(FIND(" ",$B578)-1,LEN($B578))))))&gt;0,1,0)</f>
        <v>0</v>
      </c>
      <c r="AF578" cm="1">
        <f t="array" ref="AF578">IF(SUMPRODUCT(--($AQ$2:$AQ$71=TRIM(LEFT($B578,IFERROR(FIND(" ",$B578)-1,LEN($B578))))))&gt;0,1,0)</f>
        <v>0</v>
      </c>
    </row>
    <row r="579" spans="1:32" ht="210.75" thickBot="1" x14ac:dyDescent="0.3">
      <c r="A579" s="13">
        <v>70</v>
      </c>
      <c r="B579" s="4" t="s">
        <v>1241</v>
      </c>
      <c r="C579" s="2"/>
      <c r="D579" s="7">
        <v>44427</v>
      </c>
      <c r="E579" s="3">
        <v>7250.09</v>
      </c>
      <c r="F579" s="4" t="s">
        <v>30</v>
      </c>
      <c r="G579" s="3">
        <v>18.760000000000002</v>
      </c>
      <c r="H579" s="4" t="s">
        <v>31</v>
      </c>
      <c r="I579" s="4" t="s">
        <v>32</v>
      </c>
      <c r="J579" s="4" t="s">
        <v>33</v>
      </c>
      <c r="K579" s="4"/>
      <c r="L579" s="3">
        <v>176.38499999999999</v>
      </c>
      <c r="M579" s="3">
        <v>10.48</v>
      </c>
      <c r="N579" s="3">
        <v>6409.81</v>
      </c>
      <c r="O579" s="4" t="s">
        <v>34</v>
      </c>
      <c r="P579" s="4" t="s">
        <v>869</v>
      </c>
      <c r="Q579" s="4" t="s">
        <v>35</v>
      </c>
      <c r="R579" s="3">
        <v>667.524</v>
      </c>
      <c r="S579" s="3">
        <v>12.97</v>
      </c>
      <c r="T579" s="4" t="s">
        <v>1242</v>
      </c>
      <c r="U579" s="2" t="s">
        <v>37</v>
      </c>
      <c r="V579" s="2" t="s">
        <v>37</v>
      </c>
      <c r="W579" s="2" t="s">
        <v>38</v>
      </c>
      <c r="X579" s="2" t="s">
        <v>38</v>
      </c>
      <c r="Y579" s="2" t="s">
        <v>38</v>
      </c>
      <c r="Z579" s="2" t="s">
        <v>37</v>
      </c>
      <c r="AA579" s="6">
        <v>3.8603433979999999</v>
      </c>
      <c r="AB579" s="6">
        <v>2.8244668850000001</v>
      </c>
      <c r="AC579" s="6">
        <v>3.8068451560000001</v>
      </c>
      <c r="AD579" cm="1">
        <f t="array" ref="AD579">IF(SUMPRODUCT(--($AM$2:$AM$112=TRIM(LEFT($B579,IFERROR(FIND(" ",$B579)-1,LEN($B579))))))&gt;0,1,0)</f>
        <v>0</v>
      </c>
      <c r="AE579" cm="1">
        <f t="array" ref="AE579">IF(SUMPRODUCT(--($AO$2:$AO$145=TRIM(LEFT($B579,IFERROR(FIND(" ",$B579)-1,LEN($B579))))))&gt;0,1,0)</f>
        <v>0</v>
      </c>
      <c r="AF579" cm="1">
        <f t="array" ref="AF579">IF(SUMPRODUCT(--($AQ$2:$AQ$71=TRIM(LEFT($B579,IFERROR(FIND(" ",$B579)-1,LEN($B579))))))&gt;0,1,0)</f>
        <v>0</v>
      </c>
    </row>
    <row r="580" spans="1:32" ht="45.75" thickBot="1" x14ac:dyDescent="0.3">
      <c r="A580" s="13">
        <v>39</v>
      </c>
      <c r="B580" s="4" t="s">
        <v>1243</v>
      </c>
      <c r="C580" s="4" t="s">
        <v>122</v>
      </c>
      <c r="D580" s="7">
        <v>44469</v>
      </c>
      <c r="E580" s="3">
        <v>10962.09</v>
      </c>
      <c r="F580" s="4" t="s">
        <v>30</v>
      </c>
      <c r="G580" s="4"/>
      <c r="H580" s="4" t="s">
        <v>41</v>
      </c>
      <c r="I580" s="4" t="s">
        <v>41</v>
      </c>
      <c r="J580" s="4" t="s">
        <v>42</v>
      </c>
      <c r="K580" s="4"/>
      <c r="L580" s="3">
        <v>750</v>
      </c>
      <c r="M580" s="3">
        <v>24.26</v>
      </c>
      <c r="N580" s="3">
        <v>10962.09</v>
      </c>
      <c r="O580" s="4" t="s">
        <v>34</v>
      </c>
      <c r="P580" s="4" t="s">
        <v>34</v>
      </c>
      <c r="Q580" s="4" t="s">
        <v>35</v>
      </c>
      <c r="R580" s="3">
        <v>92.522999999999996</v>
      </c>
      <c r="S580" s="3">
        <v>-226.57300000000001</v>
      </c>
      <c r="T580" s="4" t="s">
        <v>25</v>
      </c>
      <c r="U580" s="2" t="s">
        <v>37</v>
      </c>
      <c r="V580" s="2" t="s">
        <v>37</v>
      </c>
      <c r="W580" s="2" t="s">
        <v>37</v>
      </c>
      <c r="X580" s="2" t="s">
        <v>37</v>
      </c>
      <c r="Y580" s="2" t="s">
        <v>37</v>
      </c>
      <c r="Z580" s="2" t="s">
        <v>38</v>
      </c>
      <c r="AA580" s="6">
        <v>4.039893363</v>
      </c>
      <c r="AB580" s="6">
        <v>1.9662497059999999</v>
      </c>
      <c r="AC580" s="6">
        <v>4.039893363</v>
      </c>
      <c r="AD580" cm="1">
        <f t="array" ref="AD580">IF(SUMPRODUCT(--($AM$2:$AM$112=TRIM(LEFT($B580,IFERROR(FIND(" ",$B580)-1,LEN($B580))))))&gt;0,1,0)</f>
        <v>0</v>
      </c>
      <c r="AE580" cm="1">
        <f t="array" ref="AE580">IF(SUMPRODUCT(--($AO$2:$AO$145=TRIM(LEFT($B580,IFERROR(FIND(" ",$B580)-1,LEN($B580))))))&gt;0,1,0)</f>
        <v>0</v>
      </c>
      <c r="AF580" cm="1">
        <f t="array" ref="AF580">IF(SUMPRODUCT(--($AQ$2:$AQ$71=TRIM(LEFT($B580,IFERROR(FIND(" ",$B580)-1,LEN($B580))))))&gt;0,1,0)</f>
        <v>0</v>
      </c>
    </row>
    <row r="581" spans="1:32" ht="135.75" thickBot="1" x14ac:dyDescent="0.3">
      <c r="A581" s="13">
        <v>53</v>
      </c>
      <c r="B581" s="4" t="s">
        <v>783</v>
      </c>
      <c r="C581" s="4" t="s">
        <v>1244</v>
      </c>
      <c r="D581" s="7">
        <v>44449</v>
      </c>
      <c r="E581" s="3">
        <v>1371.2</v>
      </c>
      <c r="F581" s="4" t="s">
        <v>30</v>
      </c>
      <c r="G581" s="3">
        <v>13.49</v>
      </c>
      <c r="H581" s="4" t="s">
        <v>70</v>
      </c>
      <c r="I581" s="4" t="s">
        <v>94</v>
      </c>
      <c r="J581" s="4" t="s">
        <v>108</v>
      </c>
      <c r="K581" s="4"/>
      <c r="L581" s="4"/>
      <c r="M581" s="3">
        <v>49.82</v>
      </c>
      <c r="N581" s="3">
        <v>1285.1500000000001</v>
      </c>
      <c r="O581" s="4" t="s">
        <v>34</v>
      </c>
      <c r="P581" s="4" t="s">
        <v>34</v>
      </c>
      <c r="Q581" s="4" t="s">
        <v>35</v>
      </c>
      <c r="R581" s="3">
        <v>15005</v>
      </c>
      <c r="S581" s="3">
        <v>-116.48</v>
      </c>
      <c r="T581" s="4" t="s">
        <v>312</v>
      </c>
      <c r="U581" s="2" t="s">
        <v>37</v>
      </c>
      <c r="V581" s="2" t="s">
        <v>37</v>
      </c>
      <c r="W581" s="2" t="s">
        <v>37</v>
      </c>
      <c r="X581" s="2" t="s">
        <v>38</v>
      </c>
      <c r="Y581" s="2" t="s">
        <v>38</v>
      </c>
      <c r="Z581" s="2" t="s">
        <v>37</v>
      </c>
      <c r="AA581" s="6">
        <v>3.1371008050000002</v>
      </c>
      <c r="AB581" s="6">
        <v>4.1762360000000003</v>
      </c>
      <c r="AC581" s="6">
        <v>3.1089538210000001</v>
      </c>
      <c r="AD581" cm="1">
        <f t="array" ref="AD581">IF(SUMPRODUCT(--($AM$2:$AM$112=TRIM(LEFT($B581,IFERROR(FIND(" ",$B581)-1,LEN($B581))))))&gt;0,1,0)</f>
        <v>0</v>
      </c>
      <c r="AE581" cm="1">
        <f t="array" ref="AE581">IF(SUMPRODUCT(--($AO$2:$AO$145=TRIM(LEFT($B581,IFERROR(FIND(" ",$B581)-1,LEN($B581))))))&gt;0,1,0)</f>
        <v>0</v>
      </c>
      <c r="AF581" cm="1">
        <f t="array" ref="AF581">IF(SUMPRODUCT(--($AQ$2:$AQ$71=TRIM(LEFT($B581,IFERROR(FIND(" ",$B581)-1,LEN($B581))))))&gt;0,1,0)</f>
        <v>0</v>
      </c>
    </row>
    <row r="582" spans="1:32" ht="75.75" thickBot="1" x14ac:dyDescent="0.3">
      <c r="A582" s="13">
        <v>114</v>
      </c>
      <c r="B582" s="4" t="s">
        <v>1245</v>
      </c>
      <c r="C582" s="4" t="s">
        <v>1246</v>
      </c>
      <c r="D582" s="7">
        <v>44364</v>
      </c>
      <c r="E582" s="3">
        <v>969.03</v>
      </c>
      <c r="F582" s="4" t="s">
        <v>30</v>
      </c>
      <c r="G582" s="3">
        <v>3.42</v>
      </c>
      <c r="H582" s="4" t="s">
        <v>70</v>
      </c>
      <c r="I582" s="4" t="s">
        <v>94</v>
      </c>
      <c r="J582" s="4" t="s">
        <v>328</v>
      </c>
      <c r="K582" s="3">
        <v>35</v>
      </c>
      <c r="L582" s="3">
        <v>35</v>
      </c>
      <c r="M582" s="3">
        <v>37.76</v>
      </c>
      <c r="N582" s="3">
        <v>969.03</v>
      </c>
      <c r="O582" s="4" t="s">
        <v>34</v>
      </c>
      <c r="P582" s="4" t="s">
        <v>96</v>
      </c>
      <c r="Q582" s="4" t="s">
        <v>35</v>
      </c>
      <c r="R582" s="3">
        <v>812.03300000000002</v>
      </c>
      <c r="S582" s="3">
        <v>11.941700000000001</v>
      </c>
      <c r="T582" s="4" t="s">
        <v>97</v>
      </c>
      <c r="U582" s="2" t="s">
        <v>37</v>
      </c>
      <c r="V582" s="2" t="s">
        <v>37</v>
      </c>
      <c r="W582" s="2" t="s">
        <v>38</v>
      </c>
      <c r="X582" s="2" t="s">
        <v>37</v>
      </c>
      <c r="Y582" s="2" t="s">
        <v>37</v>
      </c>
      <c r="Z582" s="2" t="s">
        <v>37</v>
      </c>
      <c r="AA582" s="6">
        <v>2.986337222</v>
      </c>
      <c r="AB582" s="6">
        <v>2.9095736790000002</v>
      </c>
      <c r="AC582" s="6">
        <v>2.986337222</v>
      </c>
      <c r="AD582" cm="1">
        <f t="array" ref="AD582">IF(SUMPRODUCT(--($AM$2:$AM$112=TRIM(LEFT($B582,IFERROR(FIND(" ",$B582)-1,LEN($B582))))))&gt;0,1,0)</f>
        <v>0</v>
      </c>
      <c r="AE582" cm="1">
        <f t="array" ref="AE582">IF(SUMPRODUCT(--($AO$2:$AO$145=TRIM(LEFT($B582,IFERROR(FIND(" ",$B582)-1,LEN($B582))))))&gt;0,1,0)</f>
        <v>0</v>
      </c>
      <c r="AF582" cm="1">
        <f t="array" ref="AF582">IF(SUMPRODUCT(--($AQ$2:$AQ$71=TRIM(LEFT($B582,IFERROR(FIND(" ",$B582)-1,LEN($B582))))))&gt;0,1,0)</f>
        <v>0</v>
      </c>
    </row>
    <row r="583" spans="1:32" ht="135.75" thickBot="1" x14ac:dyDescent="0.3">
      <c r="A583" s="13">
        <v>66</v>
      </c>
      <c r="B583" s="4" t="s">
        <v>1247</v>
      </c>
      <c r="C583" s="4" t="s">
        <v>325</v>
      </c>
      <c r="D583" s="7">
        <v>44431</v>
      </c>
      <c r="E583" s="3">
        <v>1896.56</v>
      </c>
      <c r="F583" s="4" t="s">
        <v>30</v>
      </c>
      <c r="G583" s="4"/>
      <c r="H583" s="4" t="s">
        <v>41</v>
      </c>
      <c r="I583" s="4" t="s">
        <v>41</v>
      </c>
      <c r="J583" s="4" t="s">
        <v>42</v>
      </c>
      <c r="K583" s="4"/>
      <c r="L583" s="4"/>
      <c r="M583" s="4"/>
      <c r="N583" s="3">
        <v>1896.56</v>
      </c>
      <c r="O583" s="4" t="s">
        <v>49</v>
      </c>
      <c r="P583" s="4" t="s">
        <v>34</v>
      </c>
      <c r="Q583" s="4" t="s">
        <v>35</v>
      </c>
      <c r="R583" s="3">
        <v>0.14799999999999999</v>
      </c>
      <c r="S583" s="3">
        <v>-161184</v>
      </c>
      <c r="T583" s="4" t="s">
        <v>1141</v>
      </c>
      <c r="U583" s="2" t="s">
        <v>38</v>
      </c>
      <c r="V583" s="2" t="s">
        <v>37</v>
      </c>
      <c r="W583" s="2" t="s">
        <v>38</v>
      </c>
      <c r="X583" s="2" t="s">
        <v>37</v>
      </c>
      <c r="Y583" s="2" t="s">
        <v>37</v>
      </c>
      <c r="Z583" s="2" t="s">
        <v>37</v>
      </c>
      <c r="AA583" s="6">
        <v>3.2779665869999999</v>
      </c>
      <c r="AB583" s="6">
        <v>-0.82973828459999999</v>
      </c>
      <c r="AC583" s="6">
        <v>3.2779665869999999</v>
      </c>
      <c r="AD583" cm="1">
        <f t="array" ref="AD583">IF(SUMPRODUCT(--($AM$2:$AM$112=TRIM(LEFT($B583,IFERROR(FIND(" ",$B583)-1,LEN($B583))))))&gt;0,1,0)</f>
        <v>0</v>
      </c>
      <c r="AE583" cm="1">
        <f t="array" ref="AE583">IF(SUMPRODUCT(--($AO$2:$AO$145=TRIM(LEFT($B583,IFERROR(FIND(" ",$B583)-1,LEN($B583))))))&gt;0,1,0)</f>
        <v>0</v>
      </c>
      <c r="AF583" cm="1">
        <f t="array" ref="AF583">IF(SUMPRODUCT(--($AQ$2:$AQ$71=TRIM(LEFT($B583,IFERROR(FIND(" ",$B583)-1,LEN($B583))))))&gt;0,1,0)</f>
        <v>0</v>
      </c>
    </row>
    <row r="584" spans="1:32" ht="45.75" thickBot="1" x14ac:dyDescent="0.3">
      <c r="A584" s="13">
        <v>148</v>
      </c>
      <c r="B584" s="4" t="s">
        <v>1248</v>
      </c>
      <c r="C584" s="4" t="s">
        <v>442</v>
      </c>
      <c r="D584" s="7">
        <v>44308</v>
      </c>
      <c r="E584" s="3">
        <v>1200.1199999999999</v>
      </c>
      <c r="F584" s="4" t="s">
        <v>46</v>
      </c>
      <c r="G584" s="4"/>
      <c r="H584" s="4" t="s">
        <v>65</v>
      </c>
      <c r="I584" s="4" t="s">
        <v>66</v>
      </c>
      <c r="J584" s="4" t="s">
        <v>66</v>
      </c>
      <c r="K584" s="4"/>
      <c r="L584" s="4"/>
      <c r="M584" s="3">
        <v>24.29</v>
      </c>
      <c r="N584" s="3">
        <v>1200.1199999999999</v>
      </c>
      <c r="O584" s="4" t="s">
        <v>34</v>
      </c>
      <c r="P584" s="4" t="s">
        <v>34</v>
      </c>
      <c r="Q584" s="4" t="s">
        <v>35</v>
      </c>
      <c r="R584" s="3">
        <v>269.37900000000002</v>
      </c>
      <c r="S584" s="3">
        <v>49.247599999999998</v>
      </c>
      <c r="T584" s="4" t="s">
        <v>43</v>
      </c>
      <c r="U584" s="2" t="s">
        <v>37</v>
      </c>
      <c r="V584" s="2" t="s">
        <v>37</v>
      </c>
      <c r="W584" s="2" t="s">
        <v>37</v>
      </c>
      <c r="X584" s="2" t="s">
        <v>37</v>
      </c>
      <c r="Y584" s="2" t="s">
        <v>37</v>
      </c>
      <c r="Z584" s="2" t="s">
        <v>37</v>
      </c>
      <c r="AA584" s="6">
        <v>3.0792246730000001</v>
      </c>
      <c r="AB584" s="6">
        <v>2.4303637359999999</v>
      </c>
      <c r="AC584" s="6">
        <v>3.0792246730000001</v>
      </c>
      <c r="AD584" cm="1">
        <f t="array" ref="AD584">IF(SUMPRODUCT(--($AM$2:$AM$112=TRIM(LEFT($B584,IFERROR(FIND(" ",$B584)-1,LEN($B584))))))&gt;0,1,0)</f>
        <v>0</v>
      </c>
      <c r="AE584" cm="1">
        <f t="array" ref="AE584">IF(SUMPRODUCT(--($AO$2:$AO$145=TRIM(LEFT($B584,IFERROR(FIND(" ",$B584)-1,LEN($B584))))))&gt;0,1,0)</f>
        <v>0</v>
      </c>
      <c r="AF584" cm="1">
        <f t="array" ref="AF584">IF(SUMPRODUCT(--($AQ$2:$AQ$71=TRIM(LEFT($B584,IFERROR(FIND(" ",$B584)-1,LEN($B584))))))&gt;0,1,0)</f>
        <v>0</v>
      </c>
    </row>
    <row r="585" spans="1:32" ht="45.75" thickBot="1" x14ac:dyDescent="0.3">
      <c r="A585" s="13">
        <v>158</v>
      </c>
      <c r="B585" s="4" t="s">
        <v>1249</v>
      </c>
      <c r="C585" s="4" t="s">
        <v>334</v>
      </c>
      <c r="D585" s="7">
        <v>44294</v>
      </c>
      <c r="E585" s="3">
        <v>862.33</v>
      </c>
      <c r="F585" s="4" t="s">
        <v>30</v>
      </c>
      <c r="G585" s="4"/>
      <c r="H585" s="4" t="s">
        <v>65</v>
      </c>
      <c r="I585" s="4" t="s">
        <v>66</v>
      </c>
      <c r="J585" s="4" t="s">
        <v>66</v>
      </c>
      <c r="K585" s="4"/>
      <c r="L585" s="3">
        <v>25.7</v>
      </c>
      <c r="M585" s="3">
        <v>20.420000000000002</v>
      </c>
      <c r="N585" s="3">
        <v>862.33</v>
      </c>
      <c r="O585" s="4" t="s">
        <v>34</v>
      </c>
      <c r="P585" s="4" t="s">
        <v>34</v>
      </c>
      <c r="Q585" s="4" t="s">
        <v>35</v>
      </c>
      <c r="R585" s="3">
        <v>168.136</v>
      </c>
      <c r="S585" s="3">
        <v>38.357799999999997</v>
      </c>
      <c r="T585" s="4" t="s">
        <v>43</v>
      </c>
      <c r="U585" s="2" t="s">
        <v>37</v>
      </c>
      <c r="V585" s="2" t="s">
        <v>37</v>
      </c>
      <c r="W585" s="2" t="s">
        <v>37</v>
      </c>
      <c r="X585" s="2" t="s">
        <v>37</v>
      </c>
      <c r="Y585" s="2" t="s">
        <v>37</v>
      </c>
      <c r="Z585" s="2" t="s">
        <v>37</v>
      </c>
      <c r="AA585" s="6">
        <v>2.9356734950000001</v>
      </c>
      <c r="AB585" s="6">
        <v>2.2256607110000002</v>
      </c>
      <c r="AC585" s="6">
        <v>2.9356734950000001</v>
      </c>
      <c r="AD585" cm="1">
        <f t="array" ref="AD585">IF(SUMPRODUCT(--($AM$2:$AM$112=TRIM(LEFT($B585,IFERROR(FIND(" ",$B585)-1,LEN($B585))))))&gt;0,1,0)</f>
        <v>0</v>
      </c>
      <c r="AE585" cm="1">
        <f t="array" ref="AE585">IF(SUMPRODUCT(--($AO$2:$AO$145=TRIM(LEFT($B585,IFERROR(FIND(" ",$B585)-1,LEN($B585))))))&gt;0,1,0)</f>
        <v>0</v>
      </c>
      <c r="AF585" cm="1">
        <f t="array" ref="AF585">IF(SUMPRODUCT(--($AQ$2:$AQ$71=TRIM(LEFT($B585,IFERROR(FIND(" ",$B585)-1,LEN($B585))))))&gt;0,1,0)</f>
        <v>0</v>
      </c>
    </row>
    <row r="586" spans="1:32" ht="75.75" thickBot="1" x14ac:dyDescent="0.3">
      <c r="A586" s="13">
        <v>69</v>
      </c>
      <c r="B586" s="4" t="s">
        <v>1250</v>
      </c>
      <c r="C586" s="4" t="s">
        <v>1251</v>
      </c>
      <c r="D586" s="7">
        <v>44419</v>
      </c>
      <c r="E586" s="3">
        <v>626.83000000000004</v>
      </c>
      <c r="F586" s="4" t="s">
        <v>107</v>
      </c>
      <c r="G586" s="4"/>
      <c r="H586" s="4" t="s">
        <v>31</v>
      </c>
      <c r="I586" s="4" t="s">
        <v>432</v>
      </c>
      <c r="J586" s="4" t="s">
        <v>433</v>
      </c>
      <c r="K586" s="3">
        <v>11.5</v>
      </c>
      <c r="L586" s="3">
        <v>11.5</v>
      </c>
      <c r="M586" s="3">
        <v>67.760000000000005</v>
      </c>
      <c r="N586" s="3">
        <v>626.83000000000004</v>
      </c>
      <c r="O586" s="4" t="s">
        <v>34</v>
      </c>
      <c r="P586" s="4" t="s">
        <v>34</v>
      </c>
      <c r="Q586" s="4" t="s">
        <v>35</v>
      </c>
      <c r="R586" s="2"/>
      <c r="S586" s="2"/>
      <c r="T586" s="4" t="s">
        <v>43</v>
      </c>
      <c r="U586" s="2" t="s">
        <v>37</v>
      </c>
      <c r="V586" s="2" t="s">
        <v>37</v>
      </c>
      <c r="W586" s="2" t="s">
        <v>37</v>
      </c>
      <c r="X586" s="2" t="s">
        <v>37</v>
      </c>
      <c r="Y586" s="2" t="s">
        <v>37</v>
      </c>
      <c r="Z586" s="2" t="s">
        <v>37</v>
      </c>
      <c r="AA586" s="6">
        <v>2.7971497740000002</v>
      </c>
      <c r="AB586" s="2"/>
      <c r="AC586" s="6">
        <v>2.7971497740000002</v>
      </c>
      <c r="AD586" cm="1">
        <f t="array" ref="AD586">IF(SUMPRODUCT(--($AM$2:$AM$112=TRIM(LEFT($B586,IFERROR(FIND(" ",$B586)-1,LEN($B586))))))&gt;0,1,0)</f>
        <v>0</v>
      </c>
      <c r="AE586" cm="1">
        <f t="array" ref="AE586">IF(SUMPRODUCT(--($AO$2:$AO$145=TRIM(LEFT($B586,IFERROR(FIND(" ",$B586)-1,LEN($B586))))))&gt;0,1,0)</f>
        <v>0</v>
      </c>
      <c r="AF586" cm="1">
        <f t="array" ref="AF586">IF(SUMPRODUCT(--($AQ$2:$AQ$71=TRIM(LEFT($B586,IFERROR(FIND(" ",$B586)-1,LEN($B586))))))&gt;0,1,0)</f>
        <v>0</v>
      </c>
    </row>
    <row r="587" spans="1:32" ht="75.75" thickBot="1" x14ac:dyDescent="0.3">
      <c r="A587" s="13">
        <v>46</v>
      </c>
      <c r="B587" s="4" t="s">
        <v>1252</v>
      </c>
      <c r="C587" s="4" t="s">
        <v>222</v>
      </c>
      <c r="D587" s="7">
        <v>44447</v>
      </c>
      <c r="E587" s="3">
        <v>1373.86</v>
      </c>
      <c r="F587" s="4" t="s">
        <v>30</v>
      </c>
      <c r="G587" s="4"/>
      <c r="H587" s="4" t="s">
        <v>41</v>
      </c>
      <c r="I587" s="4" t="s">
        <v>41</v>
      </c>
      <c r="J587" s="4" t="s">
        <v>42</v>
      </c>
      <c r="K587" s="4"/>
      <c r="L587" s="4"/>
      <c r="M587" s="3">
        <v>82.78</v>
      </c>
      <c r="N587" s="3">
        <v>1637.33</v>
      </c>
      <c r="O587" s="4" t="s">
        <v>34</v>
      </c>
      <c r="P587" s="4" t="s">
        <v>147</v>
      </c>
      <c r="Q587" s="4" t="s">
        <v>35</v>
      </c>
      <c r="R587" s="3">
        <v>8.2880000000000003</v>
      </c>
      <c r="S587" s="3">
        <v>-727.71</v>
      </c>
      <c r="T587" s="4" t="s">
        <v>97</v>
      </c>
      <c r="U587" s="2" t="s">
        <v>37</v>
      </c>
      <c r="V587" s="2" t="s">
        <v>37</v>
      </c>
      <c r="W587" s="2" t="s">
        <v>38</v>
      </c>
      <c r="X587" s="2" t="s">
        <v>37</v>
      </c>
      <c r="Y587" s="2" t="s">
        <v>37</v>
      </c>
      <c r="Z587" s="2" t="s">
        <v>37</v>
      </c>
      <c r="AA587" s="6">
        <v>3.1379424789999999</v>
      </c>
      <c r="AB587" s="6">
        <v>0.91844974239999999</v>
      </c>
      <c r="AC587" s="6">
        <v>3.2141362189999998</v>
      </c>
      <c r="AD587" cm="1">
        <f t="array" ref="AD587">IF(SUMPRODUCT(--($AM$2:$AM$112=TRIM(LEFT($B587,IFERROR(FIND(" ",$B587)-1,LEN($B587))))))&gt;0,1,0)</f>
        <v>0</v>
      </c>
      <c r="AE587" cm="1">
        <f t="array" ref="AE587">IF(SUMPRODUCT(--($AO$2:$AO$145=TRIM(LEFT($B587,IFERROR(FIND(" ",$B587)-1,LEN($B587))))))&gt;0,1,0)</f>
        <v>0</v>
      </c>
      <c r="AF587" cm="1">
        <f t="array" ref="AF587">IF(SUMPRODUCT(--($AQ$2:$AQ$71=TRIM(LEFT($B587,IFERROR(FIND(" ",$B587)-1,LEN($B587))))))&gt;0,1,0)</f>
        <v>0</v>
      </c>
    </row>
    <row r="588" spans="1:32" ht="135.75" thickBot="1" x14ac:dyDescent="0.3">
      <c r="A588" s="13">
        <v>96</v>
      </c>
      <c r="B588" s="4" t="s">
        <v>1253</v>
      </c>
      <c r="C588" s="4" t="s">
        <v>230</v>
      </c>
      <c r="D588" s="7">
        <v>44375</v>
      </c>
      <c r="E588" s="3">
        <v>1692.8</v>
      </c>
      <c r="F588" s="4" t="s">
        <v>30</v>
      </c>
      <c r="G588" s="3">
        <v>61.34</v>
      </c>
      <c r="H588" s="4" t="s">
        <v>31</v>
      </c>
      <c r="I588" s="4" t="s">
        <v>32</v>
      </c>
      <c r="J588" s="4" t="s">
        <v>33</v>
      </c>
      <c r="K588" s="3">
        <v>127</v>
      </c>
      <c r="L588" s="3">
        <v>59</v>
      </c>
      <c r="M588" s="3">
        <v>82.09</v>
      </c>
      <c r="N588" s="3">
        <v>1812.29</v>
      </c>
      <c r="O588" s="4" t="s">
        <v>34</v>
      </c>
      <c r="P588" s="4" t="s">
        <v>34</v>
      </c>
      <c r="Q588" s="4" t="s">
        <v>35</v>
      </c>
      <c r="R588" s="3">
        <v>307.86500000000001</v>
      </c>
      <c r="S588" s="3">
        <v>1.931</v>
      </c>
      <c r="T588" s="4" t="s">
        <v>1254</v>
      </c>
      <c r="U588" s="2" t="s">
        <v>37</v>
      </c>
      <c r="V588" s="2" t="s">
        <v>37</v>
      </c>
      <c r="W588" s="2" t="s">
        <v>37</v>
      </c>
      <c r="X588" s="2" t="s">
        <v>38</v>
      </c>
      <c r="Y588" s="2" t="s">
        <v>38</v>
      </c>
      <c r="Z588" s="2" t="s">
        <v>37</v>
      </c>
      <c r="AA588" s="6">
        <v>3.22860565</v>
      </c>
      <c r="AB588" s="6">
        <v>2.4883603179999998</v>
      </c>
      <c r="AC588" s="6">
        <v>3.2582276939999999</v>
      </c>
      <c r="AD588" cm="1">
        <f t="array" ref="AD588">IF(SUMPRODUCT(--($AM$2:$AM$112=TRIM(LEFT($B588,IFERROR(FIND(" ",$B588)-1,LEN($B588))))))&gt;0,1,0)</f>
        <v>0</v>
      </c>
      <c r="AE588" cm="1">
        <f t="array" ref="AE588">IF(SUMPRODUCT(--($AO$2:$AO$145=TRIM(LEFT($B588,IFERROR(FIND(" ",$B588)-1,LEN($B588))))))&gt;0,1,0)</f>
        <v>0</v>
      </c>
      <c r="AF588" cm="1">
        <f t="array" ref="AF588">IF(SUMPRODUCT(--($AQ$2:$AQ$71=TRIM(LEFT($B588,IFERROR(FIND(" ",$B588)-1,LEN($B588))))))&gt;0,1,0)</f>
        <v>0</v>
      </c>
    </row>
    <row r="589" spans="1:32" ht="135.75" thickBot="1" x14ac:dyDescent="0.3">
      <c r="A589" s="13">
        <v>182</v>
      </c>
      <c r="B589" s="4" t="s">
        <v>1255</v>
      </c>
      <c r="C589" s="4" t="s">
        <v>843</v>
      </c>
      <c r="D589" s="7">
        <v>44249</v>
      </c>
      <c r="E589" s="3">
        <v>10949.35</v>
      </c>
      <c r="F589" s="4" t="s">
        <v>69</v>
      </c>
      <c r="G589" s="3">
        <v>15.14</v>
      </c>
      <c r="H589" s="4" t="s">
        <v>118</v>
      </c>
      <c r="I589" s="4" t="s">
        <v>119</v>
      </c>
      <c r="J589" s="4" t="s">
        <v>120</v>
      </c>
      <c r="K589" s="4"/>
      <c r="L589" s="4"/>
      <c r="M589" s="3">
        <v>-1.41</v>
      </c>
      <c r="N589" s="3">
        <v>5475.97</v>
      </c>
      <c r="O589" s="4" t="s">
        <v>49</v>
      </c>
      <c r="P589" s="4" t="s">
        <v>49</v>
      </c>
      <c r="Q589" s="4" t="s">
        <v>1256</v>
      </c>
      <c r="R589" s="3">
        <v>3050.68</v>
      </c>
      <c r="S589" s="3">
        <v>13.7424</v>
      </c>
      <c r="T589" s="4" t="s">
        <v>461</v>
      </c>
      <c r="U589" s="2" t="s">
        <v>38</v>
      </c>
      <c r="V589" s="2" t="s">
        <v>37</v>
      </c>
      <c r="W589" s="2" t="s">
        <v>37</v>
      </c>
      <c r="X589" s="2" t="s">
        <v>37</v>
      </c>
      <c r="Y589" s="2" t="s">
        <v>37</v>
      </c>
      <c r="Z589" s="2" t="s">
        <v>38</v>
      </c>
      <c r="AA589" s="6">
        <v>4.0393883380000002</v>
      </c>
      <c r="AB589" s="6">
        <v>3.4843966549999998</v>
      </c>
      <c r="AC589" s="6">
        <v>3.7384610600000001</v>
      </c>
      <c r="AD589" cm="1">
        <f t="array" ref="AD589">IF(SUMPRODUCT(--($AM$2:$AM$112=TRIM(LEFT($B589,IFERROR(FIND(" ",$B589)-1,LEN($B589))))))&gt;0,1,0)</f>
        <v>0</v>
      </c>
      <c r="AE589" cm="1">
        <f t="array" ref="AE589">IF(SUMPRODUCT(--($AO$2:$AO$145=TRIM(LEFT($B589,IFERROR(FIND(" ",$B589)-1,LEN($B589))))))&gt;0,1,0)</f>
        <v>0</v>
      </c>
      <c r="AF589" cm="1">
        <f t="array" ref="AF589">IF(SUMPRODUCT(--($AQ$2:$AQ$71=TRIM(LEFT($B589,IFERROR(FIND(" ",$B589)-1,LEN($B589))))))&gt;0,1,0)</f>
        <v>0</v>
      </c>
    </row>
    <row r="590" spans="1:32" ht="45.75" thickBot="1" x14ac:dyDescent="0.3">
      <c r="A590" s="13">
        <v>60</v>
      </c>
      <c r="B590" s="4" t="s">
        <v>1257</v>
      </c>
      <c r="C590" s="4" t="s">
        <v>643</v>
      </c>
      <c r="D590" s="7">
        <v>44419</v>
      </c>
      <c r="E590" s="3">
        <v>1459.77</v>
      </c>
      <c r="F590" s="4" t="s">
        <v>107</v>
      </c>
      <c r="G590" s="4"/>
      <c r="H590" s="4" t="s">
        <v>118</v>
      </c>
      <c r="I590" s="4" t="s">
        <v>119</v>
      </c>
      <c r="J590" s="4" t="s">
        <v>120</v>
      </c>
      <c r="K590" s="4"/>
      <c r="L590" s="3">
        <v>45</v>
      </c>
      <c r="M590" s="3">
        <v>2.23</v>
      </c>
      <c r="N590" s="3">
        <v>594.72</v>
      </c>
      <c r="O590" s="4" t="s">
        <v>34</v>
      </c>
      <c r="P590" s="4" t="s">
        <v>34</v>
      </c>
      <c r="Q590" s="4" t="s">
        <v>35</v>
      </c>
      <c r="R590" s="3">
        <v>528.51</v>
      </c>
      <c r="S590" s="3">
        <v>-13.869899999999999</v>
      </c>
      <c r="T590" s="4" t="s">
        <v>43</v>
      </c>
      <c r="U590" s="2" t="s">
        <v>37</v>
      </c>
      <c r="V590" s="2" t="s">
        <v>37</v>
      </c>
      <c r="W590" s="2" t="s">
        <v>37</v>
      </c>
      <c r="X590" s="2" t="s">
        <v>37</v>
      </c>
      <c r="Y590" s="2" t="s">
        <v>37</v>
      </c>
      <c r="Z590" s="2" t="s">
        <v>37</v>
      </c>
      <c r="AA590" s="6">
        <v>3.1642844339999998</v>
      </c>
      <c r="AB590" s="6">
        <v>2.7230532090000001</v>
      </c>
      <c r="AC590" s="6">
        <v>2.7743125439999998</v>
      </c>
      <c r="AD590" cm="1">
        <f t="array" ref="AD590">IF(SUMPRODUCT(--($AM$2:$AM$112=TRIM(LEFT($B590,IFERROR(FIND(" ",$B590)-1,LEN($B590))))))&gt;0,1,0)</f>
        <v>0</v>
      </c>
      <c r="AE590" cm="1">
        <f t="array" ref="AE590">IF(SUMPRODUCT(--($AO$2:$AO$145=TRIM(LEFT($B590,IFERROR(FIND(" ",$B590)-1,LEN($B590))))))&gt;0,1,0)</f>
        <v>0</v>
      </c>
      <c r="AF590" cm="1">
        <f t="array" ref="AF590">IF(SUMPRODUCT(--($AQ$2:$AQ$71=TRIM(LEFT($B590,IFERROR(FIND(" ",$B590)-1,LEN($B590))))))&gt;0,1,0)</f>
        <v>0</v>
      </c>
    </row>
    <row r="591" spans="1:32" ht="45.75" thickBot="1" x14ac:dyDescent="0.3">
      <c r="A591" s="13">
        <v>127</v>
      </c>
      <c r="B591" s="4" t="s">
        <v>1258</v>
      </c>
      <c r="C591" s="4" t="s">
        <v>243</v>
      </c>
      <c r="D591" s="7">
        <v>44326</v>
      </c>
      <c r="E591" s="3">
        <v>1382.69</v>
      </c>
      <c r="F591" s="4" t="s">
        <v>46</v>
      </c>
      <c r="G591" s="4"/>
      <c r="H591" s="4" t="s">
        <v>118</v>
      </c>
      <c r="I591" s="4" t="s">
        <v>119</v>
      </c>
      <c r="J591" s="4" t="s">
        <v>120</v>
      </c>
      <c r="K591" s="3">
        <v>37.5</v>
      </c>
      <c r="L591" s="3">
        <v>37.5</v>
      </c>
      <c r="M591" s="3">
        <v>-2.04</v>
      </c>
      <c r="N591" s="3">
        <v>1019.47</v>
      </c>
      <c r="O591" s="4" t="s">
        <v>34</v>
      </c>
      <c r="P591" s="4" t="s">
        <v>34</v>
      </c>
      <c r="Q591" s="4" t="s">
        <v>35</v>
      </c>
      <c r="R591" s="3">
        <v>557.904</v>
      </c>
      <c r="S591" s="3">
        <v>-3.6312000000000002</v>
      </c>
      <c r="T591" s="4" t="s">
        <v>43</v>
      </c>
      <c r="U591" s="2" t="s">
        <v>37</v>
      </c>
      <c r="V591" s="2" t="s">
        <v>37</v>
      </c>
      <c r="W591" s="2" t="s">
        <v>37</v>
      </c>
      <c r="X591" s="2" t="s">
        <v>37</v>
      </c>
      <c r="Y591" s="2" t="s">
        <v>37</v>
      </c>
      <c r="Z591" s="2" t="s">
        <v>37</v>
      </c>
      <c r="AA591" s="6">
        <v>3.1407248220000001</v>
      </c>
      <c r="AB591" s="6">
        <v>2.7465594750000002</v>
      </c>
      <c r="AC591" s="6">
        <v>3.0083744499999998</v>
      </c>
      <c r="AD591" cm="1">
        <f t="array" ref="AD591">IF(SUMPRODUCT(--($AM$2:$AM$112=TRIM(LEFT($B591,IFERROR(FIND(" ",$B591)-1,LEN($B591))))))&gt;0,1,0)</f>
        <v>0</v>
      </c>
      <c r="AE591" cm="1">
        <f t="array" ref="AE591">IF(SUMPRODUCT(--($AO$2:$AO$145=TRIM(LEFT($B591,IFERROR(FIND(" ",$B591)-1,LEN($B591))))))&gt;0,1,0)</f>
        <v>0</v>
      </c>
      <c r="AF591" cm="1">
        <f t="array" ref="AF591">IF(SUMPRODUCT(--($AQ$2:$AQ$71=TRIM(LEFT($B591,IFERROR(FIND(" ",$B591)-1,LEN($B591))))))&gt;0,1,0)</f>
        <v>0</v>
      </c>
    </row>
    <row r="592" spans="1:32" ht="45.75" thickBot="1" x14ac:dyDescent="0.3">
      <c r="A592" s="13">
        <v>133</v>
      </c>
      <c r="B592" s="4" t="s">
        <v>1259</v>
      </c>
      <c r="C592" s="4" t="s">
        <v>775</v>
      </c>
      <c r="D592" s="7">
        <v>44315</v>
      </c>
      <c r="E592" s="3">
        <v>16394.41</v>
      </c>
      <c r="F592" s="4" t="s">
        <v>46</v>
      </c>
      <c r="G592" s="3">
        <v>19.04</v>
      </c>
      <c r="H592" s="4" t="s">
        <v>51</v>
      </c>
      <c r="I592" s="4" t="s">
        <v>51</v>
      </c>
      <c r="J592" s="4" t="s">
        <v>79</v>
      </c>
      <c r="K592" s="4"/>
      <c r="L592" s="3">
        <v>365</v>
      </c>
      <c r="M592" s="3">
        <v>15.53</v>
      </c>
      <c r="N592" s="3">
        <v>10795.78</v>
      </c>
      <c r="O592" s="4" t="s">
        <v>34</v>
      </c>
      <c r="P592" s="4" t="s">
        <v>34</v>
      </c>
      <c r="Q592" s="4" t="s">
        <v>35</v>
      </c>
      <c r="R592" s="3">
        <v>1161.3699999999999</v>
      </c>
      <c r="S592" s="3">
        <v>37.264299999999999</v>
      </c>
      <c r="T592" s="4" t="s">
        <v>43</v>
      </c>
      <c r="U592" s="2" t="s">
        <v>37</v>
      </c>
      <c r="V592" s="2" t="s">
        <v>37</v>
      </c>
      <c r="W592" s="2" t="s">
        <v>37</v>
      </c>
      <c r="X592" s="2" t="s">
        <v>37</v>
      </c>
      <c r="Y592" s="2" t="s">
        <v>37</v>
      </c>
      <c r="Z592" s="2" t="s">
        <v>37</v>
      </c>
      <c r="AA592" s="6">
        <v>4.2146957919999997</v>
      </c>
      <c r="AB592" s="6">
        <v>3.0649706029999999</v>
      </c>
      <c r="AC592" s="6">
        <v>4.0332540259999998</v>
      </c>
      <c r="AD592" cm="1">
        <f t="array" ref="AD592">IF(SUMPRODUCT(--($AM$2:$AM$112=TRIM(LEFT($B592,IFERROR(FIND(" ",$B592)-1,LEN($B592))))))&gt;0,1,0)</f>
        <v>0</v>
      </c>
      <c r="AE592" cm="1">
        <f t="array" ref="AE592">IF(SUMPRODUCT(--($AO$2:$AO$145=TRIM(LEFT($B592,IFERROR(FIND(" ",$B592)-1,LEN($B592))))))&gt;0,1,0)</f>
        <v>0</v>
      </c>
      <c r="AF592" cm="1">
        <f t="array" ref="AF592">IF(SUMPRODUCT(--($AQ$2:$AQ$71=TRIM(LEFT($B592,IFERROR(FIND(" ",$B592)-1,LEN($B592))))))&gt;0,1,0)</f>
        <v>0</v>
      </c>
    </row>
    <row r="593" spans="1:32" ht="135.75" thickBot="1" x14ac:dyDescent="0.3">
      <c r="A593" s="13">
        <v>70</v>
      </c>
      <c r="B593" s="4" t="s">
        <v>1260</v>
      </c>
      <c r="C593" s="4" t="s">
        <v>230</v>
      </c>
      <c r="D593" s="7">
        <v>44403</v>
      </c>
      <c r="E593" s="3">
        <v>5477.39</v>
      </c>
      <c r="F593" s="4" t="s">
        <v>30</v>
      </c>
      <c r="G593" s="4"/>
      <c r="H593" s="4" t="s">
        <v>31</v>
      </c>
      <c r="I593" s="4" t="s">
        <v>32</v>
      </c>
      <c r="J593" s="4" t="s">
        <v>33</v>
      </c>
      <c r="K593" s="3">
        <v>382.22</v>
      </c>
      <c r="L593" s="3">
        <v>191.11</v>
      </c>
      <c r="M593" s="3">
        <v>4.2</v>
      </c>
      <c r="N593" s="3">
        <v>5392.07</v>
      </c>
      <c r="O593" s="4" t="s">
        <v>34</v>
      </c>
      <c r="P593" s="4" t="s">
        <v>34</v>
      </c>
      <c r="Q593" s="4" t="s">
        <v>35</v>
      </c>
      <c r="R593" s="3">
        <v>477.221</v>
      </c>
      <c r="S593" s="3">
        <v>-34.441099999999999</v>
      </c>
      <c r="T593" s="4" t="s">
        <v>312</v>
      </c>
      <c r="U593" s="2" t="s">
        <v>37</v>
      </c>
      <c r="V593" s="2" t="s">
        <v>37</v>
      </c>
      <c r="W593" s="2" t="s">
        <v>37</v>
      </c>
      <c r="X593" s="2" t="s">
        <v>38</v>
      </c>
      <c r="Y593" s="2" t="s">
        <v>38</v>
      </c>
      <c r="Z593" s="2" t="s">
        <v>37</v>
      </c>
      <c r="AA593" s="6">
        <v>3.7385736650000001</v>
      </c>
      <c r="AB593" s="6">
        <v>2.678719546</v>
      </c>
      <c r="AC593" s="6">
        <v>3.7317555219999998</v>
      </c>
      <c r="AD593" cm="1">
        <f t="array" ref="AD593">IF(SUMPRODUCT(--($AM$2:$AM$112=TRIM(LEFT($B593,IFERROR(FIND(" ",$B593)-1,LEN($B593))))))&gt;0,1,0)</f>
        <v>0</v>
      </c>
      <c r="AE593" cm="1">
        <f t="array" ref="AE593">IF(SUMPRODUCT(--($AO$2:$AO$145=TRIM(LEFT($B593,IFERROR(FIND(" ",$B593)-1,LEN($B593))))))&gt;0,1,0)</f>
        <v>0</v>
      </c>
      <c r="AF593" cm="1">
        <f t="array" ref="AF593">IF(SUMPRODUCT(--($AQ$2:$AQ$71=TRIM(LEFT($B593,IFERROR(FIND(" ",$B593)-1,LEN($B593))))))&gt;0,1,0)</f>
        <v>0</v>
      </c>
    </row>
    <row r="594" spans="1:32" ht="45.75" thickBot="1" x14ac:dyDescent="0.3">
      <c r="A594" s="13">
        <v>145</v>
      </c>
      <c r="B594" s="4" t="s">
        <v>1261</v>
      </c>
      <c r="C594" s="4" t="s">
        <v>235</v>
      </c>
      <c r="D594" s="7">
        <v>44298</v>
      </c>
      <c r="E594" s="3">
        <v>2869.75</v>
      </c>
      <c r="F594" s="4" t="s">
        <v>46</v>
      </c>
      <c r="G594" s="4"/>
      <c r="H594" s="4" t="s">
        <v>65</v>
      </c>
      <c r="I594" s="4" t="s">
        <v>66</v>
      </c>
      <c r="J594" s="4" t="s">
        <v>66</v>
      </c>
      <c r="K594" s="4"/>
      <c r="L594" s="4"/>
      <c r="M594" s="3">
        <v>7.6</v>
      </c>
      <c r="N594" s="3">
        <v>2869.75</v>
      </c>
      <c r="O594" s="4" t="s">
        <v>34</v>
      </c>
      <c r="P594" s="4" t="s">
        <v>34</v>
      </c>
      <c r="Q594" s="4" t="s">
        <v>35</v>
      </c>
      <c r="R594" s="3">
        <v>1018.52</v>
      </c>
      <c r="S594" s="3">
        <v>67.880600000000001</v>
      </c>
      <c r="T594" s="4" t="s">
        <v>43</v>
      </c>
      <c r="U594" s="2" t="s">
        <v>37</v>
      </c>
      <c r="V594" s="2" t="s">
        <v>37</v>
      </c>
      <c r="W594" s="2" t="s">
        <v>37</v>
      </c>
      <c r="X594" s="2" t="s">
        <v>37</v>
      </c>
      <c r="Y594" s="2" t="s">
        <v>37</v>
      </c>
      <c r="Z594" s="2" t="s">
        <v>37</v>
      </c>
      <c r="AA594" s="6">
        <v>3.4578440650000002</v>
      </c>
      <c r="AB594" s="6">
        <v>3.0079695609999999</v>
      </c>
      <c r="AC594" s="6">
        <v>3.4578440650000002</v>
      </c>
      <c r="AD594" cm="1">
        <f t="array" ref="AD594">IF(SUMPRODUCT(--($AM$2:$AM$112=TRIM(LEFT($B594,IFERROR(FIND(" ",$B594)-1,LEN($B594))))))&gt;0,1,0)</f>
        <v>0</v>
      </c>
      <c r="AE594" cm="1">
        <f t="array" ref="AE594">IF(SUMPRODUCT(--($AO$2:$AO$145=TRIM(LEFT($B594,IFERROR(FIND(" ",$B594)-1,LEN($B594))))))&gt;0,1,0)</f>
        <v>0</v>
      </c>
      <c r="AF594" cm="1">
        <f t="array" ref="AF594">IF(SUMPRODUCT(--($AQ$2:$AQ$71=TRIM(LEFT($B594,IFERROR(FIND(" ",$B594)-1,LEN($B594))))))&gt;0,1,0)</f>
        <v>0</v>
      </c>
    </row>
    <row r="595" spans="1:32" ht="45.75" thickBot="1" x14ac:dyDescent="0.3">
      <c r="A595" s="13">
        <v>70</v>
      </c>
      <c r="B595" s="4" t="s">
        <v>1262</v>
      </c>
      <c r="C595" s="4" t="s">
        <v>1263</v>
      </c>
      <c r="D595" s="7">
        <v>44396</v>
      </c>
      <c r="E595" s="3">
        <v>2892.16</v>
      </c>
      <c r="F595" s="4" t="s">
        <v>46</v>
      </c>
      <c r="G595" s="3">
        <v>10.47</v>
      </c>
      <c r="H595" s="4" t="s">
        <v>51</v>
      </c>
      <c r="I595" s="4" t="s">
        <v>51</v>
      </c>
      <c r="J595" s="4" t="s">
        <v>79</v>
      </c>
      <c r="K595" s="4"/>
      <c r="L595" s="4"/>
      <c r="M595" s="3">
        <v>16.3</v>
      </c>
      <c r="N595" s="3">
        <v>2892.16</v>
      </c>
      <c r="O595" s="4" t="s">
        <v>34</v>
      </c>
      <c r="P595" s="4" t="s">
        <v>34</v>
      </c>
      <c r="Q595" s="4" t="s">
        <v>35</v>
      </c>
      <c r="R595" s="3">
        <v>430.04300000000001</v>
      </c>
      <c r="S595" s="3">
        <v>21.4053</v>
      </c>
      <c r="T595" s="4" t="s">
        <v>43</v>
      </c>
      <c r="U595" s="2" t="s">
        <v>37</v>
      </c>
      <c r="V595" s="2" t="s">
        <v>37</v>
      </c>
      <c r="W595" s="2" t="s">
        <v>37</v>
      </c>
      <c r="X595" s="2" t="s">
        <v>37</v>
      </c>
      <c r="Y595" s="2" t="s">
        <v>37</v>
      </c>
      <c r="Z595" s="2" t="s">
        <v>37</v>
      </c>
      <c r="AA595" s="6">
        <v>3.4612223150000001</v>
      </c>
      <c r="AB595" s="6">
        <v>2.6335118830000002</v>
      </c>
      <c r="AC595" s="6">
        <v>3.4612223150000001</v>
      </c>
      <c r="AD595" cm="1">
        <f t="array" ref="AD595">IF(SUMPRODUCT(--($AM$2:$AM$112=TRIM(LEFT($B595,IFERROR(FIND(" ",$B595)-1,LEN($B595))))))&gt;0,1,0)</f>
        <v>0</v>
      </c>
      <c r="AE595" cm="1">
        <f t="array" ref="AE595">IF(SUMPRODUCT(--($AO$2:$AO$145=TRIM(LEFT($B595,IFERROR(FIND(" ",$B595)-1,LEN($B595))))))&gt;0,1,0)</f>
        <v>0</v>
      </c>
      <c r="AF595" cm="1">
        <f t="array" ref="AF595">IF(SUMPRODUCT(--($AQ$2:$AQ$71=TRIM(LEFT($B595,IFERROR(FIND(" ",$B595)-1,LEN($B595))))))&gt;0,1,0)</f>
        <v>0</v>
      </c>
    </row>
    <row r="596" spans="1:32" ht="135.75" thickBot="1" x14ac:dyDescent="0.3">
      <c r="A596" s="13">
        <v>55</v>
      </c>
      <c r="B596" s="4" t="s">
        <v>1264</v>
      </c>
      <c r="C596" s="4" t="s">
        <v>1265</v>
      </c>
      <c r="D596" s="7">
        <v>44417</v>
      </c>
      <c r="E596" s="3">
        <v>530.89</v>
      </c>
      <c r="F596" s="4" t="s">
        <v>30</v>
      </c>
      <c r="G596" s="3">
        <v>16.350000000000001</v>
      </c>
      <c r="H596" s="4" t="s">
        <v>75</v>
      </c>
      <c r="I596" s="4" t="s">
        <v>111</v>
      </c>
      <c r="J596" s="4" t="s">
        <v>112</v>
      </c>
      <c r="K596" s="3">
        <v>30.8</v>
      </c>
      <c r="L596" s="3">
        <v>15.4</v>
      </c>
      <c r="M596" s="3">
        <v>39.5</v>
      </c>
      <c r="N596" s="3">
        <v>370.31</v>
      </c>
      <c r="O596" s="4" t="s">
        <v>34</v>
      </c>
      <c r="P596" s="4" t="s">
        <v>34</v>
      </c>
      <c r="Q596" s="4" t="s">
        <v>35</v>
      </c>
      <c r="R596" s="3">
        <v>554.02499999999998</v>
      </c>
      <c r="S596" s="3">
        <v>2.0137100000000001</v>
      </c>
      <c r="T596" s="4" t="s">
        <v>312</v>
      </c>
      <c r="U596" s="2" t="s">
        <v>37</v>
      </c>
      <c r="V596" s="2" t="s">
        <v>37</v>
      </c>
      <c r="W596" s="2" t="s">
        <v>37</v>
      </c>
      <c r="X596" s="2" t="s">
        <v>38</v>
      </c>
      <c r="Y596" s="2" t="s">
        <v>38</v>
      </c>
      <c r="Z596" s="2" t="s">
        <v>37</v>
      </c>
      <c r="AA596" s="6">
        <v>2.725004545</v>
      </c>
      <c r="AB596" s="6">
        <v>2.7435293619999999</v>
      </c>
      <c r="AC596" s="6">
        <v>2.56856544</v>
      </c>
      <c r="AD596" cm="1">
        <f t="array" ref="AD596">IF(SUMPRODUCT(--($AM$2:$AM$112=TRIM(LEFT($B596,IFERROR(FIND(" ",$B596)-1,LEN($B596))))))&gt;0,1,0)</f>
        <v>0</v>
      </c>
      <c r="AE596" cm="1">
        <f t="array" ref="AE596">IF(SUMPRODUCT(--($AO$2:$AO$145=TRIM(LEFT($B596,IFERROR(FIND(" ",$B596)-1,LEN($B596))))))&gt;0,1,0)</f>
        <v>0</v>
      </c>
      <c r="AF596" cm="1">
        <f t="array" ref="AF596">IF(SUMPRODUCT(--($AQ$2:$AQ$71=TRIM(LEFT($B596,IFERROR(FIND(" ",$B596)-1,LEN($B596))))))&gt;0,1,0)</f>
        <v>0</v>
      </c>
    </row>
    <row r="597" spans="1:32" ht="105.75" thickBot="1" x14ac:dyDescent="0.3">
      <c r="A597" s="13">
        <v>54</v>
      </c>
      <c r="B597" s="4" t="s">
        <v>1266</v>
      </c>
      <c r="C597" s="4" t="s">
        <v>1267</v>
      </c>
      <c r="D597" s="7">
        <v>44417</v>
      </c>
      <c r="E597" s="3">
        <v>2931.75</v>
      </c>
      <c r="F597" s="4" t="s">
        <v>30</v>
      </c>
      <c r="G597" s="3">
        <v>24.57</v>
      </c>
      <c r="H597" s="4" t="s">
        <v>51</v>
      </c>
      <c r="I597" s="4" t="s">
        <v>51</v>
      </c>
      <c r="J597" s="4" t="s">
        <v>79</v>
      </c>
      <c r="K597" s="4"/>
      <c r="L597" s="4"/>
      <c r="M597" s="3">
        <v>18.41</v>
      </c>
      <c r="N597" s="3">
        <v>1831.66</v>
      </c>
      <c r="O597" s="4" t="s">
        <v>49</v>
      </c>
      <c r="P597" s="4" t="s">
        <v>34</v>
      </c>
      <c r="Q597" s="4" t="s">
        <v>35</v>
      </c>
      <c r="R597" s="3">
        <v>171.42099999999999</v>
      </c>
      <c r="S597" s="3">
        <v>57.429400000000001</v>
      </c>
      <c r="T597" s="4" t="s">
        <v>316</v>
      </c>
      <c r="U597" s="2" t="s">
        <v>37</v>
      </c>
      <c r="V597" s="2" t="s">
        <v>37</v>
      </c>
      <c r="W597" s="2" t="s">
        <v>38</v>
      </c>
      <c r="X597" s="2" t="s">
        <v>38</v>
      </c>
      <c r="Y597" s="2" t="s">
        <v>37</v>
      </c>
      <c r="Z597" s="2" t="s">
        <v>37</v>
      </c>
      <c r="AA597" s="6">
        <v>3.4671269339999999</v>
      </c>
      <c r="AB597" s="6">
        <v>2.2340640239999998</v>
      </c>
      <c r="AC597" s="6">
        <v>3.262844861</v>
      </c>
      <c r="AD597" cm="1">
        <f t="array" ref="AD597">IF(SUMPRODUCT(--($AM$2:$AM$112=TRIM(LEFT($B597,IFERROR(FIND(" ",$B597)-1,LEN($B597))))))&gt;0,1,0)</f>
        <v>0</v>
      </c>
      <c r="AE597" cm="1">
        <f t="array" ref="AE597">IF(SUMPRODUCT(--($AO$2:$AO$145=TRIM(LEFT($B597,IFERROR(FIND(" ",$B597)-1,LEN($B597))))))&gt;0,1,0)</f>
        <v>0</v>
      </c>
      <c r="AF597" cm="1">
        <f t="array" ref="AF597">IF(SUMPRODUCT(--($AQ$2:$AQ$71=TRIM(LEFT($B597,IFERROR(FIND(" ",$B597)-1,LEN($B597))))))&gt;0,1,0)</f>
        <v>0</v>
      </c>
    </row>
    <row r="598" spans="1:32" ht="75.75" thickBot="1" x14ac:dyDescent="0.3">
      <c r="A598" s="13">
        <v>56</v>
      </c>
      <c r="B598" s="4" t="s">
        <v>1268</v>
      </c>
      <c r="C598" s="4" t="s">
        <v>1269</v>
      </c>
      <c r="D598" s="7">
        <v>44413</v>
      </c>
      <c r="E598" s="3">
        <v>1618.96</v>
      </c>
      <c r="F598" s="4" t="s">
        <v>107</v>
      </c>
      <c r="G598" s="4"/>
      <c r="H598" s="4" t="s">
        <v>184</v>
      </c>
      <c r="I598" s="4" t="s">
        <v>185</v>
      </c>
      <c r="J598" s="4" t="s">
        <v>762</v>
      </c>
      <c r="K598" s="4"/>
      <c r="L598" s="4"/>
      <c r="M598" s="3">
        <v>108.53</v>
      </c>
      <c r="N598" s="3">
        <v>1784.96</v>
      </c>
      <c r="O598" s="4" t="s">
        <v>49</v>
      </c>
      <c r="P598" s="4" t="s">
        <v>34</v>
      </c>
      <c r="Q598" s="4" t="s">
        <v>35</v>
      </c>
      <c r="R598" s="3">
        <v>15.409700000000001</v>
      </c>
      <c r="S598" s="3">
        <v>-248.72300000000001</v>
      </c>
      <c r="T598" s="4" t="s">
        <v>97</v>
      </c>
      <c r="U598" s="2" t="s">
        <v>37</v>
      </c>
      <c r="V598" s="2" t="s">
        <v>37</v>
      </c>
      <c r="W598" s="2" t="s">
        <v>38</v>
      </c>
      <c r="X598" s="2" t="s">
        <v>37</v>
      </c>
      <c r="Y598" s="2" t="s">
        <v>37</v>
      </c>
      <c r="Z598" s="2" t="s">
        <v>37</v>
      </c>
      <c r="AA598" s="6">
        <v>3.2092361189999998</v>
      </c>
      <c r="AB598" s="6">
        <v>1.1877941839999999</v>
      </c>
      <c r="AC598" s="6">
        <v>3.2516284880000002</v>
      </c>
      <c r="AD598" cm="1">
        <f t="array" ref="AD598">IF(SUMPRODUCT(--($AM$2:$AM$112=TRIM(LEFT($B598,IFERROR(FIND(" ",$B598)-1,LEN($B598))))))&gt;0,1,0)</f>
        <v>0</v>
      </c>
      <c r="AE598" cm="1">
        <f t="array" ref="AE598">IF(SUMPRODUCT(--($AO$2:$AO$145=TRIM(LEFT($B598,IFERROR(FIND(" ",$B598)-1,LEN($B598))))))&gt;0,1,0)</f>
        <v>0</v>
      </c>
      <c r="AF598" cm="1">
        <f t="array" ref="AF598">IF(SUMPRODUCT(--($AQ$2:$AQ$71=TRIM(LEFT($B598,IFERROR(FIND(" ",$B598)-1,LEN($B598))))))&gt;0,1,0)</f>
        <v>0</v>
      </c>
    </row>
    <row r="599" spans="1:32" ht="135.75" thickBot="1" x14ac:dyDescent="0.3">
      <c r="A599" s="13">
        <v>53</v>
      </c>
      <c r="B599" s="4" t="s">
        <v>1270</v>
      </c>
      <c r="C599" s="4" t="s">
        <v>391</v>
      </c>
      <c r="D599" s="7">
        <v>44413</v>
      </c>
      <c r="E599" s="3">
        <v>4839.8</v>
      </c>
      <c r="F599" s="4" t="s">
        <v>30</v>
      </c>
      <c r="G599" s="3">
        <v>25.79</v>
      </c>
      <c r="H599" s="4" t="s">
        <v>31</v>
      </c>
      <c r="I599" s="4" t="s">
        <v>32</v>
      </c>
      <c r="J599" s="4" t="s">
        <v>33</v>
      </c>
      <c r="K599" s="3">
        <v>320</v>
      </c>
      <c r="L599" s="3">
        <v>150</v>
      </c>
      <c r="M599" s="3">
        <v>16.100000000000001</v>
      </c>
      <c r="N599" s="3">
        <v>3806.48</v>
      </c>
      <c r="O599" s="4" t="s">
        <v>34</v>
      </c>
      <c r="P599" s="4" t="s">
        <v>34</v>
      </c>
      <c r="Q599" s="4" t="s">
        <v>35</v>
      </c>
      <c r="R599" s="3">
        <v>740.91600000000005</v>
      </c>
      <c r="S599" s="3">
        <v>2.8342100000000001</v>
      </c>
      <c r="T599" s="4" t="s">
        <v>312</v>
      </c>
      <c r="U599" s="2" t="s">
        <v>37</v>
      </c>
      <c r="V599" s="2" t="s">
        <v>37</v>
      </c>
      <c r="W599" s="2" t="s">
        <v>37</v>
      </c>
      <c r="X599" s="2" t="s">
        <v>38</v>
      </c>
      <c r="Y599" s="2" t="s">
        <v>38</v>
      </c>
      <c r="Z599" s="2" t="s">
        <v>37</v>
      </c>
      <c r="AA599" s="6">
        <v>3.684827415</v>
      </c>
      <c r="AB599" s="6">
        <v>2.8697689729999998</v>
      </c>
      <c r="AC599" s="6">
        <v>3.5805235519999998</v>
      </c>
      <c r="AD599" cm="1">
        <f t="array" ref="AD599">IF(SUMPRODUCT(--($AM$2:$AM$112=TRIM(LEFT($B599,IFERROR(FIND(" ",$B599)-1,LEN($B599))))))&gt;0,1,0)</f>
        <v>0</v>
      </c>
      <c r="AE599" cm="1">
        <f t="array" ref="AE599">IF(SUMPRODUCT(--($AO$2:$AO$145=TRIM(LEFT($B599,IFERROR(FIND(" ",$B599)-1,LEN($B599))))))&gt;0,1,0)</f>
        <v>0</v>
      </c>
      <c r="AF599" cm="1">
        <f t="array" ref="AF599">IF(SUMPRODUCT(--($AQ$2:$AQ$71=TRIM(LEFT($B599,IFERROR(FIND(" ",$B599)-1,LEN($B599))))))&gt;0,1,0)</f>
        <v>0</v>
      </c>
    </row>
    <row r="600" spans="1:32" ht="135.75" thickBot="1" x14ac:dyDescent="0.3">
      <c r="A600" s="13">
        <v>94</v>
      </c>
      <c r="B600" s="4" t="s">
        <v>1271</v>
      </c>
      <c r="C600" s="2"/>
      <c r="D600" s="7">
        <v>44348</v>
      </c>
      <c r="E600" s="3">
        <v>4703.66</v>
      </c>
      <c r="F600" s="4" t="s">
        <v>30</v>
      </c>
      <c r="G600" s="4"/>
      <c r="H600" s="4" t="s">
        <v>31</v>
      </c>
      <c r="I600" s="4" t="s">
        <v>32</v>
      </c>
      <c r="J600" s="4" t="s">
        <v>33</v>
      </c>
      <c r="K600" s="3">
        <v>290.62599999999998</v>
      </c>
      <c r="L600" s="3">
        <v>171.73400000000001</v>
      </c>
      <c r="M600" s="3">
        <v>31.33</v>
      </c>
      <c r="N600" s="3">
        <v>4797.38</v>
      </c>
      <c r="O600" s="4" t="s">
        <v>34</v>
      </c>
      <c r="P600" s="4" t="s">
        <v>34</v>
      </c>
      <c r="Q600" s="4" t="s">
        <v>35</v>
      </c>
      <c r="R600" s="3">
        <v>869.25800000000004</v>
      </c>
      <c r="S600" s="3">
        <v>-14.426299999999999</v>
      </c>
      <c r="T600" s="4" t="s">
        <v>312</v>
      </c>
      <c r="U600" s="2" t="s">
        <v>37</v>
      </c>
      <c r="V600" s="2" t="s">
        <v>37</v>
      </c>
      <c r="W600" s="2" t="s">
        <v>37</v>
      </c>
      <c r="X600" s="2" t="s">
        <v>38</v>
      </c>
      <c r="Y600" s="2" t="s">
        <v>38</v>
      </c>
      <c r="Z600" s="2" t="s">
        <v>37</v>
      </c>
      <c r="AA600" s="6">
        <v>3.672435922</v>
      </c>
      <c r="AB600" s="6">
        <v>2.9391486960000002</v>
      </c>
      <c r="AC600" s="6">
        <v>3.6810041199999999</v>
      </c>
      <c r="AD600" cm="1">
        <f t="array" ref="AD600">IF(SUMPRODUCT(--($AM$2:$AM$112=TRIM(LEFT($B600,IFERROR(FIND(" ",$B600)-1,LEN($B600))))))&gt;0,1,0)</f>
        <v>1</v>
      </c>
      <c r="AE600" cm="1">
        <f t="array" ref="AE600">IF(SUMPRODUCT(--($AO$2:$AO$145=TRIM(LEFT($B600,IFERROR(FIND(" ",$B600)-1,LEN($B600))))))&gt;0,1,0)</f>
        <v>1</v>
      </c>
      <c r="AF600" cm="1">
        <f t="array" ref="AF600">IF(SUMPRODUCT(--($AQ$2:$AQ$71=TRIM(LEFT($B600,IFERROR(FIND(" ",$B600)-1,LEN($B600))))))&gt;0,1,0)</f>
        <v>0</v>
      </c>
    </row>
    <row r="601" spans="1:32" ht="45.75" thickBot="1" x14ac:dyDescent="0.3">
      <c r="A601" s="13">
        <v>64</v>
      </c>
      <c r="B601" s="4" t="s">
        <v>1272</v>
      </c>
      <c r="C601" s="4" t="s">
        <v>899</v>
      </c>
      <c r="D601" s="7">
        <v>44389</v>
      </c>
      <c r="E601" s="3">
        <v>558.86</v>
      </c>
      <c r="F601" s="4" t="s">
        <v>46</v>
      </c>
      <c r="G601" s="3">
        <v>6.74</v>
      </c>
      <c r="H601" s="4" t="s">
        <v>118</v>
      </c>
      <c r="I601" s="4" t="s">
        <v>119</v>
      </c>
      <c r="J601" s="4" t="s">
        <v>120</v>
      </c>
      <c r="K601" s="3">
        <v>6</v>
      </c>
      <c r="L601" s="3">
        <v>3</v>
      </c>
      <c r="M601" s="3">
        <v>25.12</v>
      </c>
      <c r="N601" s="3">
        <v>308.02</v>
      </c>
      <c r="O601" s="4" t="s">
        <v>34</v>
      </c>
      <c r="P601" s="4" t="s">
        <v>34</v>
      </c>
      <c r="Q601" s="4" t="s">
        <v>35</v>
      </c>
      <c r="R601" s="3">
        <v>116.227</v>
      </c>
      <c r="S601" s="3">
        <v>27.334800000000001</v>
      </c>
      <c r="T601" s="4" t="s">
        <v>43</v>
      </c>
      <c r="U601" s="2" t="s">
        <v>37</v>
      </c>
      <c r="V601" s="2" t="s">
        <v>37</v>
      </c>
      <c r="W601" s="2" t="s">
        <v>37</v>
      </c>
      <c r="X601" s="2" t="s">
        <v>37</v>
      </c>
      <c r="Y601" s="2" t="s">
        <v>37</v>
      </c>
      <c r="Z601" s="2" t="s">
        <v>37</v>
      </c>
      <c r="AA601" s="6">
        <v>2.747303026</v>
      </c>
      <c r="AB601" s="6">
        <v>2.0653070279999999</v>
      </c>
      <c r="AC601" s="6">
        <v>2.4885789169999999</v>
      </c>
      <c r="AD601" cm="1">
        <f t="array" ref="AD601">IF(SUMPRODUCT(--($AM$2:$AM$112=TRIM(LEFT($B601,IFERROR(FIND(" ",$B601)-1,LEN($B601))))))&gt;0,1,0)</f>
        <v>0</v>
      </c>
      <c r="AE601" cm="1">
        <f t="array" ref="AE601">IF(SUMPRODUCT(--($AO$2:$AO$145=TRIM(LEFT($B601,IFERROR(FIND(" ",$B601)-1,LEN($B601))))))&gt;0,1,0)</f>
        <v>0</v>
      </c>
      <c r="AF601" cm="1">
        <f t="array" ref="AF601">IF(SUMPRODUCT(--($AQ$2:$AQ$71=TRIM(LEFT($B601,IFERROR(FIND(" ",$B601)-1,LEN($B601))))))&gt;0,1,0)</f>
        <v>0</v>
      </c>
    </row>
    <row r="602" spans="1:32" ht="135.75" thickBot="1" x14ac:dyDescent="0.3">
      <c r="A602" s="13">
        <v>64</v>
      </c>
      <c r="B602" s="4" t="s">
        <v>1273</v>
      </c>
      <c r="C602" s="4" t="s">
        <v>230</v>
      </c>
      <c r="D602" s="7">
        <v>44386</v>
      </c>
      <c r="E602" s="3">
        <v>5537.7</v>
      </c>
      <c r="F602" s="4" t="s">
        <v>30</v>
      </c>
      <c r="G602" s="3">
        <v>35.06</v>
      </c>
      <c r="H602" s="4" t="s">
        <v>184</v>
      </c>
      <c r="I602" s="4" t="s">
        <v>185</v>
      </c>
      <c r="J602" s="4" t="s">
        <v>762</v>
      </c>
      <c r="K602" s="4"/>
      <c r="L602" s="3">
        <v>99.5</v>
      </c>
      <c r="M602" s="3">
        <v>63.93</v>
      </c>
      <c r="N602" s="3">
        <v>6045.32</v>
      </c>
      <c r="O602" s="4" t="s">
        <v>34</v>
      </c>
      <c r="P602" s="4" t="s">
        <v>34</v>
      </c>
      <c r="Q602" s="4" t="s">
        <v>35</v>
      </c>
      <c r="R602" s="3">
        <v>757.98</v>
      </c>
      <c r="S602" s="3">
        <v>15.7836</v>
      </c>
      <c r="T602" s="4" t="s">
        <v>312</v>
      </c>
      <c r="U602" s="2" t="s">
        <v>37</v>
      </c>
      <c r="V602" s="2" t="s">
        <v>37</v>
      </c>
      <c r="W602" s="2" t="s">
        <v>37</v>
      </c>
      <c r="X602" s="2" t="s">
        <v>38</v>
      </c>
      <c r="Y602" s="2" t="s">
        <v>38</v>
      </c>
      <c r="Z602" s="2" t="s">
        <v>37</v>
      </c>
      <c r="AA602" s="6">
        <v>3.7433294250000002</v>
      </c>
      <c r="AB602" s="6">
        <v>2.879657747</v>
      </c>
      <c r="AC602" s="6">
        <v>3.7814192950000001</v>
      </c>
      <c r="AD602" cm="1">
        <f t="array" ref="AD602">IF(SUMPRODUCT(--($AM$2:$AM$112=TRIM(LEFT($B602,IFERROR(FIND(" ",$B602)-1,LEN($B602))))))&gt;0,1,0)</f>
        <v>0</v>
      </c>
      <c r="AE602" cm="1">
        <f t="array" ref="AE602">IF(SUMPRODUCT(--($AO$2:$AO$145=TRIM(LEFT($B602,IFERROR(FIND(" ",$B602)-1,LEN($B602))))))&gt;0,1,0)</f>
        <v>0</v>
      </c>
      <c r="AF602" cm="1">
        <f t="array" ref="AF602">IF(SUMPRODUCT(--($AQ$2:$AQ$71=TRIM(LEFT($B602,IFERROR(FIND(" ",$B602)-1,LEN($B602))))))&gt;0,1,0)</f>
        <v>0</v>
      </c>
    </row>
    <row r="603" spans="1:32" ht="45.75" thickBot="1" x14ac:dyDescent="0.3">
      <c r="A603" s="13">
        <v>107</v>
      </c>
      <c r="B603" s="4" t="s">
        <v>1274</v>
      </c>
      <c r="C603" s="4" t="s">
        <v>1275</v>
      </c>
      <c r="D603" s="7">
        <v>44326</v>
      </c>
      <c r="E603" s="3">
        <v>1449.15</v>
      </c>
      <c r="F603" s="4" t="s">
        <v>46</v>
      </c>
      <c r="G603" s="3">
        <v>47.23</v>
      </c>
      <c r="H603" s="4" t="s">
        <v>47</v>
      </c>
      <c r="I603" s="4" t="s">
        <v>47</v>
      </c>
      <c r="J603" s="4" t="s">
        <v>48</v>
      </c>
      <c r="K603" s="4"/>
      <c r="L603" s="4"/>
      <c r="M603" s="3">
        <v>57.41</v>
      </c>
      <c r="N603" s="3">
        <v>1180.6500000000001</v>
      </c>
      <c r="O603" s="4" t="s">
        <v>34</v>
      </c>
      <c r="P603" s="4" t="s">
        <v>34</v>
      </c>
      <c r="Q603" s="4" t="s">
        <v>35</v>
      </c>
      <c r="R603" s="3">
        <v>231.672</v>
      </c>
      <c r="S603" s="3">
        <v>10.5983</v>
      </c>
      <c r="T603" s="4" t="s">
        <v>43</v>
      </c>
      <c r="U603" s="2" t="s">
        <v>37</v>
      </c>
      <c r="V603" s="2" t="s">
        <v>37</v>
      </c>
      <c r="W603" s="2" t="s">
        <v>37</v>
      </c>
      <c r="X603" s="2" t="s">
        <v>37</v>
      </c>
      <c r="Y603" s="2" t="s">
        <v>37</v>
      </c>
      <c r="Z603" s="2" t="s">
        <v>37</v>
      </c>
      <c r="AA603" s="6">
        <v>3.1611133410000001</v>
      </c>
      <c r="AB603" s="6">
        <v>2.3648735479999998</v>
      </c>
      <c r="AC603" s="6">
        <v>3.072121171</v>
      </c>
      <c r="AD603" cm="1">
        <f t="array" ref="AD603">IF(SUMPRODUCT(--($AM$2:$AM$112=TRIM(LEFT($B603,IFERROR(FIND(" ",$B603)-1,LEN($B603))))))&gt;0,1,0)</f>
        <v>0</v>
      </c>
      <c r="AE603" cm="1">
        <f t="array" ref="AE603">IF(SUMPRODUCT(--($AO$2:$AO$145=TRIM(LEFT($B603,IFERROR(FIND(" ",$B603)-1,LEN($B603))))))&gt;0,1,0)</f>
        <v>0</v>
      </c>
      <c r="AF603" cm="1">
        <f t="array" ref="AF603">IF(SUMPRODUCT(--($AQ$2:$AQ$71=TRIM(LEFT($B603,IFERROR(FIND(" ",$B603)-1,LEN($B603))))))&gt;0,1,0)</f>
        <v>0</v>
      </c>
    </row>
    <row r="604" spans="1:32" ht="45.75" thickBot="1" x14ac:dyDescent="0.3">
      <c r="A604" s="13">
        <v>95</v>
      </c>
      <c r="B604" s="4" t="s">
        <v>1276</v>
      </c>
      <c r="C604" s="4" t="s">
        <v>116</v>
      </c>
      <c r="D604" s="7">
        <v>44340</v>
      </c>
      <c r="E604" s="3">
        <v>8815.27</v>
      </c>
      <c r="F604" s="4" t="s">
        <v>46</v>
      </c>
      <c r="G604" s="4"/>
      <c r="H604" s="4" t="s">
        <v>118</v>
      </c>
      <c r="I604" s="4" t="s">
        <v>119</v>
      </c>
      <c r="J604" s="4" t="s">
        <v>120</v>
      </c>
      <c r="K604" s="3">
        <v>250</v>
      </c>
      <c r="L604" s="3">
        <v>250</v>
      </c>
      <c r="M604" s="3">
        <v>0.94</v>
      </c>
      <c r="N604" s="3">
        <v>7171.41</v>
      </c>
      <c r="O604" s="4" t="s">
        <v>34</v>
      </c>
      <c r="P604" s="4" t="s">
        <v>34</v>
      </c>
      <c r="Q604" s="4" t="s">
        <v>35</v>
      </c>
      <c r="R604" s="3">
        <v>1677.84</v>
      </c>
      <c r="S604" s="3">
        <v>0.96799299999999999</v>
      </c>
      <c r="T604" s="4" t="s">
        <v>43</v>
      </c>
      <c r="U604" s="2" t="s">
        <v>37</v>
      </c>
      <c r="V604" s="2" t="s">
        <v>37</v>
      </c>
      <c r="W604" s="2" t="s">
        <v>37</v>
      </c>
      <c r="X604" s="2" t="s">
        <v>37</v>
      </c>
      <c r="Y604" s="2" t="s">
        <v>37</v>
      </c>
      <c r="Z604" s="2" t="s">
        <v>37</v>
      </c>
      <c r="AA604" s="6">
        <v>3.945235619</v>
      </c>
      <c r="AB604" s="6">
        <v>3.2247505439999999</v>
      </c>
      <c r="AC604" s="6">
        <v>3.855604552</v>
      </c>
      <c r="AD604" cm="1">
        <f t="array" ref="AD604">IF(SUMPRODUCT(--($AM$2:$AM$112=TRIM(LEFT($B604,IFERROR(FIND(" ",$B604)-1,LEN($B604))))))&gt;0,1,0)</f>
        <v>0</v>
      </c>
      <c r="AE604" cm="1">
        <f t="array" ref="AE604">IF(SUMPRODUCT(--($AO$2:$AO$145=TRIM(LEFT($B604,IFERROR(FIND(" ",$B604)-1,LEN($B604))))))&gt;0,1,0)</f>
        <v>0</v>
      </c>
      <c r="AF604" cm="1">
        <f t="array" ref="AF604">IF(SUMPRODUCT(--($AQ$2:$AQ$71=TRIM(LEFT($B604,IFERROR(FIND(" ",$B604)-1,LEN($B604))))))&gt;0,1,0)</f>
        <v>0</v>
      </c>
    </row>
    <row r="605" spans="1:32" ht="75.75" thickBot="1" x14ac:dyDescent="0.3">
      <c r="A605" s="13">
        <v>75</v>
      </c>
      <c r="B605" s="4" t="s">
        <v>1277</v>
      </c>
      <c r="C605" s="4" t="s">
        <v>1278</v>
      </c>
      <c r="D605" s="7">
        <v>44368</v>
      </c>
      <c r="E605" s="3">
        <v>1312.47</v>
      </c>
      <c r="F605" s="4" t="s">
        <v>30</v>
      </c>
      <c r="G605" s="3">
        <v>21.91</v>
      </c>
      <c r="H605" s="4" t="s">
        <v>47</v>
      </c>
      <c r="I605" s="4" t="s">
        <v>47</v>
      </c>
      <c r="J605" s="4" t="s">
        <v>875</v>
      </c>
      <c r="K605" s="4"/>
      <c r="L605" s="4"/>
      <c r="M605" s="4"/>
      <c r="N605" s="3">
        <v>1118.98</v>
      </c>
      <c r="O605" s="4" t="s">
        <v>34</v>
      </c>
      <c r="P605" s="4" t="s">
        <v>34</v>
      </c>
      <c r="Q605" s="4" t="s">
        <v>35</v>
      </c>
      <c r="R605" s="3">
        <v>764.04100000000005</v>
      </c>
      <c r="S605" s="3">
        <v>1.93974</v>
      </c>
      <c r="T605" s="4" t="s">
        <v>113</v>
      </c>
      <c r="U605" s="2" t="s">
        <v>37</v>
      </c>
      <c r="V605" s="2" t="s">
        <v>37</v>
      </c>
      <c r="W605" s="2" t="s">
        <v>37</v>
      </c>
      <c r="X605" s="2" t="s">
        <v>38</v>
      </c>
      <c r="Y605" s="2" t="s">
        <v>37</v>
      </c>
      <c r="Z605" s="2" t="s">
        <v>37</v>
      </c>
      <c r="AA605" s="6">
        <v>3.1180893850000002</v>
      </c>
      <c r="AB605" s="6">
        <v>2.8831166640000001</v>
      </c>
      <c r="AC605" s="6">
        <v>3.0488223240000001</v>
      </c>
      <c r="AD605" cm="1">
        <f t="array" ref="AD605">IF(SUMPRODUCT(--($AM$2:$AM$112=TRIM(LEFT($B605,IFERROR(FIND(" ",$B605)-1,LEN($B605))))))&gt;0,1,0)</f>
        <v>0</v>
      </c>
      <c r="AE605" cm="1">
        <f t="array" ref="AE605">IF(SUMPRODUCT(--($AO$2:$AO$145=TRIM(LEFT($B605,IFERROR(FIND(" ",$B605)-1,LEN($B605))))))&gt;0,1,0)</f>
        <v>0</v>
      </c>
      <c r="AF605" cm="1">
        <f t="array" ref="AF605">IF(SUMPRODUCT(--($AQ$2:$AQ$71=TRIM(LEFT($B605,IFERROR(FIND(" ",$B605)-1,LEN($B605))))))&gt;0,1,0)</f>
        <v>0</v>
      </c>
    </row>
    <row r="606" spans="1:32" ht="45.75" thickBot="1" x14ac:dyDescent="0.3">
      <c r="A606" s="13">
        <v>99</v>
      </c>
      <c r="B606" s="4" t="s">
        <v>1279</v>
      </c>
      <c r="C606" s="4" t="s">
        <v>1280</v>
      </c>
      <c r="D606" s="7">
        <v>44334</v>
      </c>
      <c r="E606" s="3">
        <v>900.57</v>
      </c>
      <c r="F606" s="4" t="s">
        <v>46</v>
      </c>
      <c r="G606" s="4"/>
      <c r="H606" s="4" t="s">
        <v>65</v>
      </c>
      <c r="I606" s="4" t="s">
        <v>66</v>
      </c>
      <c r="J606" s="4" t="s">
        <v>66</v>
      </c>
      <c r="K606" s="4"/>
      <c r="L606" s="3">
        <v>35</v>
      </c>
      <c r="M606" s="3">
        <v>13.37</v>
      </c>
      <c r="N606" s="3">
        <v>900.57</v>
      </c>
      <c r="O606" s="4" t="s">
        <v>34</v>
      </c>
      <c r="P606" s="4" t="s">
        <v>34</v>
      </c>
      <c r="Q606" s="4" t="s">
        <v>35</v>
      </c>
      <c r="R606" s="3">
        <v>133.17099999999999</v>
      </c>
      <c r="S606" s="3">
        <v>47.811900000000001</v>
      </c>
      <c r="T606" s="4" t="s">
        <v>43</v>
      </c>
      <c r="U606" s="2" t="s">
        <v>37</v>
      </c>
      <c r="V606" s="2" t="s">
        <v>37</v>
      </c>
      <c r="W606" s="2" t="s">
        <v>37</v>
      </c>
      <c r="X606" s="2" t="s">
        <v>37</v>
      </c>
      <c r="Y606" s="2" t="s">
        <v>37</v>
      </c>
      <c r="Z606" s="2" t="s">
        <v>37</v>
      </c>
      <c r="AA606" s="6">
        <v>2.9545174759999999</v>
      </c>
      <c r="AB606" s="6">
        <v>2.1244096610000001</v>
      </c>
      <c r="AC606" s="6">
        <v>2.9545174759999999</v>
      </c>
      <c r="AD606" cm="1">
        <f t="array" ref="AD606">IF(SUMPRODUCT(--($AM$2:$AM$112=TRIM(LEFT($B606,IFERROR(FIND(" ",$B606)-1,LEN($B606))))))&gt;0,1,0)</f>
        <v>0</v>
      </c>
      <c r="AE606" cm="1">
        <f t="array" ref="AE606">IF(SUMPRODUCT(--($AO$2:$AO$145=TRIM(LEFT($B606,IFERROR(FIND(" ",$B606)-1,LEN($B606))))))&gt;0,1,0)</f>
        <v>0</v>
      </c>
      <c r="AF606" cm="1">
        <f t="array" ref="AF606">IF(SUMPRODUCT(--($AQ$2:$AQ$71=TRIM(LEFT($B606,IFERROR(FIND(" ",$B606)-1,LEN($B606))))))&gt;0,1,0)</f>
        <v>0</v>
      </c>
    </row>
    <row r="607" spans="1:32" ht="165.75" thickBot="1" x14ac:dyDescent="0.3">
      <c r="A607" s="13">
        <v>199</v>
      </c>
      <c r="B607" s="4" t="s">
        <v>1281</v>
      </c>
      <c r="C607" s="2"/>
      <c r="D607" s="7">
        <v>44186</v>
      </c>
      <c r="E607" s="3">
        <v>3344.32</v>
      </c>
      <c r="F607" s="4" t="s">
        <v>30</v>
      </c>
      <c r="G607" s="3">
        <v>12.61</v>
      </c>
      <c r="H607" s="4" t="s">
        <v>75</v>
      </c>
      <c r="I607" s="4" t="s">
        <v>111</v>
      </c>
      <c r="J607" s="4" t="s">
        <v>133</v>
      </c>
      <c r="K607" s="4"/>
      <c r="L607" s="4"/>
      <c r="M607" s="4"/>
      <c r="N607" s="3">
        <v>1962.96</v>
      </c>
      <c r="O607" s="4" t="s">
        <v>49</v>
      </c>
      <c r="P607" s="4" t="s">
        <v>34</v>
      </c>
      <c r="Q607" s="4" t="s">
        <v>35</v>
      </c>
      <c r="R607" s="3">
        <v>330.14600000000002</v>
      </c>
      <c r="S607" s="3">
        <v>-48.753799999999998</v>
      </c>
      <c r="T607" s="4" t="s">
        <v>726</v>
      </c>
      <c r="U607" s="2" t="s">
        <v>37</v>
      </c>
      <c r="V607" s="2" t="s">
        <v>37</v>
      </c>
      <c r="W607" s="2" t="s">
        <v>38</v>
      </c>
      <c r="X607" s="2" t="s">
        <v>38</v>
      </c>
      <c r="Y607" s="2" t="s">
        <v>38</v>
      </c>
      <c r="Z607" s="2" t="s">
        <v>37</v>
      </c>
      <c r="AA607" s="6">
        <v>3.5243078259999998</v>
      </c>
      <c r="AB607" s="6">
        <v>2.5187060400000001</v>
      </c>
      <c r="AC607" s="6">
        <v>3.2929114500000001</v>
      </c>
      <c r="AD607" cm="1">
        <f t="array" ref="AD607">IF(SUMPRODUCT(--($AM$2:$AM$112=TRIM(LEFT($B607,IFERROR(FIND(" ",$B607)-1,LEN($B607))))))&gt;0,1,0)</f>
        <v>0</v>
      </c>
      <c r="AE607" cm="1">
        <f t="array" ref="AE607">IF(SUMPRODUCT(--($AO$2:$AO$145=TRIM(LEFT($B607,IFERROR(FIND(" ",$B607)-1,LEN($B607))))))&gt;0,1,0)</f>
        <v>0</v>
      </c>
      <c r="AF607" cm="1">
        <f t="array" ref="AF607">IF(SUMPRODUCT(--($AQ$2:$AQ$71=TRIM(LEFT($B607,IFERROR(FIND(" ",$B607)-1,LEN($B607))))))&gt;0,1,0)</f>
        <v>0</v>
      </c>
    </row>
    <row r="608" spans="1:32" ht="75.75" thickBot="1" x14ac:dyDescent="0.3">
      <c r="A608" s="13">
        <v>108</v>
      </c>
      <c r="B608" s="4" t="s">
        <v>1282</v>
      </c>
      <c r="C608" s="4" t="s">
        <v>1283</v>
      </c>
      <c r="D608" s="7">
        <v>44312</v>
      </c>
      <c r="E608" s="3">
        <v>6355.2</v>
      </c>
      <c r="F608" s="4" t="s">
        <v>30</v>
      </c>
      <c r="G608" s="3">
        <v>21.65</v>
      </c>
      <c r="H608" s="4" t="s">
        <v>47</v>
      </c>
      <c r="I608" s="4" t="s">
        <v>47</v>
      </c>
      <c r="J608" s="4" t="s">
        <v>875</v>
      </c>
      <c r="K608" s="3">
        <v>281</v>
      </c>
      <c r="L608" s="3">
        <v>141</v>
      </c>
      <c r="M608" s="4"/>
      <c r="N608" s="3">
        <v>4633.3999999999996</v>
      </c>
      <c r="O608" s="4" t="s">
        <v>34</v>
      </c>
      <c r="P608" s="4" t="s">
        <v>34</v>
      </c>
      <c r="Q608" s="4" t="s">
        <v>399</v>
      </c>
      <c r="R608" s="3">
        <v>1729.8</v>
      </c>
      <c r="S608" s="3">
        <v>14.1835</v>
      </c>
      <c r="T608" s="4" t="s">
        <v>113</v>
      </c>
      <c r="U608" s="2" t="s">
        <v>37</v>
      </c>
      <c r="V608" s="2" t="s">
        <v>37</v>
      </c>
      <c r="W608" s="2" t="s">
        <v>37</v>
      </c>
      <c r="X608" s="2" t="s">
        <v>38</v>
      </c>
      <c r="Y608" s="2" t="s">
        <v>37</v>
      </c>
      <c r="Z608" s="2" t="s">
        <v>37</v>
      </c>
      <c r="AA608" s="6">
        <v>3.8031292219999999</v>
      </c>
      <c r="AB608" s="6">
        <v>3.2379958929999999</v>
      </c>
      <c r="AC608" s="6">
        <v>3.665899794</v>
      </c>
      <c r="AD608" cm="1">
        <f t="array" ref="AD608">IF(SUMPRODUCT(--($AM$2:$AM$112=TRIM(LEFT($B608,IFERROR(FIND(" ",$B608)-1,LEN($B608))))))&gt;0,1,0)</f>
        <v>0</v>
      </c>
      <c r="AE608" cm="1">
        <f t="array" ref="AE608">IF(SUMPRODUCT(--($AO$2:$AO$145=TRIM(LEFT($B608,IFERROR(FIND(" ",$B608)-1,LEN($B608))))))&gt;0,1,0)</f>
        <v>1</v>
      </c>
      <c r="AF608" cm="1">
        <f t="array" ref="AF608">IF(SUMPRODUCT(--($AQ$2:$AQ$71=TRIM(LEFT($B608,IFERROR(FIND(" ",$B608)-1,LEN($B608))))))&gt;0,1,0)</f>
        <v>0</v>
      </c>
    </row>
    <row r="609" spans="1:32" ht="45.75" thickBot="1" x14ac:dyDescent="0.3">
      <c r="A609" s="13">
        <v>62</v>
      </c>
      <c r="B609" s="4" t="s">
        <v>1284</v>
      </c>
      <c r="C609" s="4" t="s">
        <v>1285</v>
      </c>
      <c r="D609" s="7">
        <v>44375</v>
      </c>
      <c r="E609" s="3">
        <v>2216.64</v>
      </c>
      <c r="F609" s="4" t="s">
        <v>46</v>
      </c>
      <c r="G609" s="3">
        <v>20.8</v>
      </c>
      <c r="H609" s="4" t="s">
        <v>51</v>
      </c>
      <c r="I609" s="4" t="s">
        <v>51</v>
      </c>
      <c r="J609" s="4" t="s">
        <v>79</v>
      </c>
      <c r="K609" s="4"/>
      <c r="L609" s="3">
        <v>20.2</v>
      </c>
      <c r="M609" s="3">
        <v>28.19</v>
      </c>
      <c r="N609" s="3">
        <v>754.77</v>
      </c>
      <c r="O609" s="4" t="s">
        <v>34</v>
      </c>
      <c r="P609" s="4" t="s">
        <v>34</v>
      </c>
      <c r="Q609" s="4" t="s">
        <v>35</v>
      </c>
      <c r="R609" s="3">
        <v>4541.1000000000004</v>
      </c>
      <c r="S609" s="3">
        <v>9.4800599999999999</v>
      </c>
      <c r="T609" s="4" t="s">
        <v>43</v>
      </c>
      <c r="U609" s="2" t="s">
        <v>37</v>
      </c>
      <c r="V609" s="2" t="s">
        <v>37</v>
      </c>
      <c r="W609" s="2" t="s">
        <v>37</v>
      </c>
      <c r="X609" s="2" t="s">
        <v>37</v>
      </c>
      <c r="Y609" s="2" t="s">
        <v>37</v>
      </c>
      <c r="Z609" s="2" t="s">
        <v>37</v>
      </c>
      <c r="AA609" s="6">
        <v>3.3456951660000001</v>
      </c>
      <c r="AB609" s="6">
        <v>3.657161066</v>
      </c>
      <c r="AC609" s="6">
        <v>2.87781463</v>
      </c>
      <c r="AD609" cm="1">
        <f t="array" ref="AD609">IF(SUMPRODUCT(--($AM$2:$AM$112=TRIM(LEFT($B609,IFERROR(FIND(" ",$B609)-1,LEN($B609))))))&gt;0,1,0)</f>
        <v>0</v>
      </c>
      <c r="AE609" cm="1">
        <f t="array" ref="AE609">IF(SUMPRODUCT(--($AO$2:$AO$145=TRIM(LEFT($B609,IFERROR(FIND(" ",$B609)-1,LEN($B609))))))&gt;0,1,0)</f>
        <v>0</v>
      </c>
      <c r="AF609" cm="1">
        <f t="array" ref="AF609">IF(SUMPRODUCT(--($AQ$2:$AQ$71=TRIM(LEFT($B609,IFERROR(FIND(" ",$B609)-1,LEN($B609))))))&gt;0,1,0)</f>
        <v>0</v>
      </c>
    </row>
    <row r="610" spans="1:32" ht="150.75" thickBot="1" x14ac:dyDescent="0.3">
      <c r="A610" s="13">
        <v>32</v>
      </c>
      <c r="B610" s="4" t="s">
        <v>1286</v>
      </c>
      <c r="C610" s="4" t="s">
        <v>222</v>
      </c>
      <c r="D610" s="7">
        <v>44411</v>
      </c>
      <c r="E610" s="3">
        <v>2079.2399999999998</v>
      </c>
      <c r="F610" s="4" t="s">
        <v>30</v>
      </c>
      <c r="G610" s="3">
        <v>35.86</v>
      </c>
      <c r="H610" s="4" t="s">
        <v>41</v>
      </c>
      <c r="I610" s="4" t="s">
        <v>41</v>
      </c>
      <c r="J610" s="4" t="s">
        <v>42</v>
      </c>
      <c r="K610" s="4"/>
      <c r="L610" s="4"/>
      <c r="M610" s="3">
        <v>24.99</v>
      </c>
      <c r="N610" s="3">
        <v>2673.31</v>
      </c>
      <c r="O610" s="4" t="s">
        <v>34</v>
      </c>
      <c r="P610" s="4" t="s">
        <v>147</v>
      </c>
      <c r="Q610" s="4" t="s">
        <v>35</v>
      </c>
      <c r="R610" s="3">
        <v>138.81100000000001</v>
      </c>
      <c r="S610" s="3">
        <v>17.2102</v>
      </c>
      <c r="T610" s="4" t="s">
        <v>1287</v>
      </c>
      <c r="U610" s="2" t="s">
        <v>38</v>
      </c>
      <c r="V610" s="2" t="s">
        <v>37</v>
      </c>
      <c r="W610" s="2" t="s">
        <v>38</v>
      </c>
      <c r="X610" s="2" t="s">
        <v>37</v>
      </c>
      <c r="Y610" s="2" t="s">
        <v>37</v>
      </c>
      <c r="Z610" s="2" t="s">
        <v>38</v>
      </c>
      <c r="AA610" s="6">
        <v>3.3179046209999998</v>
      </c>
      <c r="AB610" s="6">
        <v>2.1424238830000002</v>
      </c>
      <c r="AC610" s="6">
        <v>3.4270493229999999</v>
      </c>
      <c r="AD610" cm="1">
        <f t="array" ref="AD610">IF(SUMPRODUCT(--($AM$2:$AM$112=TRIM(LEFT($B610,IFERROR(FIND(" ",$B610)-1,LEN($B610))))))&gt;0,1,0)</f>
        <v>0</v>
      </c>
      <c r="AE610" cm="1">
        <f t="array" ref="AE610">IF(SUMPRODUCT(--($AO$2:$AO$145=TRIM(LEFT($B610,IFERROR(FIND(" ",$B610)-1,LEN($B610))))))&gt;0,1,0)</f>
        <v>0</v>
      </c>
      <c r="AF610" cm="1">
        <f t="array" ref="AF610">IF(SUMPRODUCT(--($AQ$2:$AQ$71=TRIM(LEFT($B610,IFERROR(FIND(" ",$B610)-1,LEN($B610))))))&gt;0,1,0)</f>
        <v>0</v>
      </c>
    </row>
    <row r="611" spans="1:32" ht="135.75" thickBot="1" x14ac:dyDescent="0.3">
      <c r="A611" s="13">
        <v>388</v>
      </c>
      <c r="B611" s="4" t="s">
        <v>1288</v>
      </c>
      <c r="C611" s="4" t="s">
        <v>1289</v>
      </c>
      <c r="D611" s="7">
        <v>43903</v>
      </c>
      <c r="E611" s="3">
        <v>2738.21</v>
      </c>
      <c r="F611" s="4" t="s">
        <v>30</v>
      </c>
      <c r="G611" s="3">
        <v>7</v>
      </c>
      <c r="H611" s="4" t="s">
        <v>184</v>
      </c>
      <c r="I611" s="4" t="s">
        <v>251</v>
      </c>
      <c r="J611" s="4" t="s">
        <v>251</v>
      </c>
      <c r="K611" s="4"/>
      <c r="L611" s="4"/>
      <c r="M611" s="4"/>
      <c r="N611" s="3">
        <v>783.21</v>
      </c>
      <c r="O611" s="4" t="s">
        <v>34</v>
      </c>
      <c r="P611" s="4" t="s">
        <v>34</v>
      </c>
      <c r="Q611" s="4" t="s">
        <v>399</v>
      </c>
      <c r="R611" s="3">
        <v>1107.2</v>
      </c>
      <c r="S611" s="3">
        <v>0.215363</v>
      </c>
      <c r="T611" s="4" t="s">
        <v>312</v>
      </c>
      <c r="U611" s="2" t="s">
        <v>37</v>
      </c>
      <c r="V611" s="2" t="s">
        <v>37</v>
      </c>
      <c r="W611" s="2" t="s">
        <v>37</v>
      </c>
      <c r="X611" s="2" t="s">
        <v>38</v>
      </c>
      <c r="Y611" s="2" t="s">
        <v>38</v>
      </c>
      <c r="Z611" s="2" t="s">
        <v>37</v>
      </c>
      <c r="AA611" s="6">
        <v>3.4374667520000002</v>
      </c>
      <c r="AB611" s="6">
        <v>3.0442260769999998</v>
      </c>
      <c r="AC611" s="6">
        <v>2.8938782239999998</v>
      </c>
      <c r="AD611" cm="1">
        <f t="array" ref="AD611">IF(SUMPRODUCT(--($AM$2:$AM$112=TRIM(LEFT($B611,IFERROR(FIND(" ",$B611)-1,LEN($B611))))))&gt;0,1,0)</f>
        <v>0</v>
      </c>
      <c r="AE611" cm="1">
        <f t="array" ref="AE611">IF(SUMPRODUCT(--($AO$2:$AO$145=TRIM(LEFT($B611,IFERROR(FIND(" ",$B611)-1,LEN($B611))))))&gt;0,1,0)</f>
        <v>0</v>
      </c>
      <c r="AF611" cm="1">
        <f t="array" ref="AF611">IF(SUMPRODUCT(--($AQ$2:$AQ$71=TRIM(LEFT($B611,IFERROR(FIND(" ",$B611)-1,LEN($B611))))))&gt;0,1,0)</f>
        <v>1</v>
      </c>
    </row>
    <row r="612" spans="1:32" ht="75.75" thickBot="1" x14ac:dyDescent="0.3">
      <c r="A612" s="13">
        <v>78</v>
      </c>
      <c r="B612" s="4" t="s">
        <v>1290</v>
      </c>
      <c r="C612" s="4" t="s">
        <v>1291</v>
      </c>
      <c r="D612" s="7">
        <v>44334</v>
      </c>
      <c r="E612" s="3">
        <v>2726.52</v>
      </c>
      <c r="F612" s="4" t="s">
        <v>107</v>
      </c>
      <c r="G612" s="3">
        <v>16.309999999999999</v>
      </c>
      <c r="H612" s="4" t="s">
        <v>127</v>
      </c>
      <c r="I612" s="4" t="s">
        <v>365</v>
      </c>
      <c r="J612" s="4" t="s">
        <v>1292</v>
      </c>
      <c r="K612" s="3">
        <v>110</v>
      </c>
      <c r="L612" s="3">
        <v>66</v>
      </c>
      <c r="M612" s="4"/>
      <c r="N612" s="3">
        <v>2171.23</v>
      </c>
      <c r="O612" s="4" t="s">
        <v>34</v>
      </c>
      <c r="P612" s="4" t="s">
        <v>34</v>
      </c>
      <c r="Q612" s="4" t="s">
        <v>35</v>
      </c>
      <c r="R612" s="3">
        <v>16957.900000000001</v>
      </c>
      <c r="S612" s="3">
        <v>0.579067</v>
      </c>
      <c r="T612" s="4" t="s">
        <v>43</v>
      </c>
      <c r="U612" s="2" t="s">
        <v>37</v>
      </c>
      <c r="V612" s="2" t="s">
        <v>37</v>
      </c>
      <c r="W612" s="2" t="s">
        <v>37</v>
      </c>
      <c r="X612" s="2" t="s">
        <v>37</v>
      </c>
      <c r="Y612" s="2" t="s">
        <v>37</v>
      </c>
      <c r="Z612" s="2" t="s">
        <v>37</v>
      </c>
      <c r="AA612" s="6">
        <v>3.4356086879999999</v>
      </c>
      <c r="AB612" s="6">
        <v>4.2293720700000002</v>
      </c>
      <c r="AC612" s="6">
        <v>3.3367058310000002</v>
      </c>
      <c r="AD612" cm="1">
        <f t="array" ref="AD612">IF(SUMPRODUCT(--($AM$2:$AM$112=TRIM(LEFT($B612,IFERROR(FIND(" ",$B612)-1,LEN($B612))))))&gt;0,1,0)</f>
        <v>0</v>
      </c>
      <c r="AE612" cm="1">
        <f t="array" ref="AE612">IF(SUMPRODUCT(--($AO$2:$AO$145=TRIM(LEFT($B612,IFERROR(FIND(" ",$B612)-1,LEN($B612))))))&gt;0,1,0)</f>
        <v>0</v>
      </c>
      <c r="AF612" cm="1">
        <f t="array" ref="AF612">IF(SUMPRODUCT(--($AQ$2:$AQ$71=TRIM(LEFT($B612,IFERROR(FIND(" ",$B612)-1,LEN($B612))))))&gt;0,1,0)</f>
        <v>0</v>
      </c>
    </row>
    <row r="613" spans="1:32" ht="135.75" thickBot="1" x14ac:dyDescent="0.3">
      <c r="A613" s="13">
        <v>106</v>
      </c>
      <c r="B613" s="4" t="s">
        <v>1293</v>
      </c>
      <c r="C613" s="4" t="s">
        <v>928</v>
      </c>
      <c r="D613" s="7">
        <v>44294</v>
      </c>
      <c r="E613" s="3">
        <v>909.47</v>
      </c>
      <c r="F613" s="4" t="s">
        <v>30</v>
      </c>
      <c r="G613" s="3">
        <v>18.88</v>
      </c>
      <c r="H613" s="4" t="s">
        <v>31</v>
      </c>
      <c r="I613" s="4" t="s">
        <v>432</v>
      </c>
      <c r="J613" s="4" t="s">
        <v>433</v>
      </c>
      <c r="K613" s="4"/>
      <c r="L613" s="3">
        <v>51.8</v>
      </c>
      <c r="M613" s="4"/>
      <c r="N613" s="3">
        <v>909.47</v>
      </c>
      <c r="O613" s="4" t="s">
        <v>34</v>
      </c>
      <c r="P613" s="4" t="s">
        <v>34</v>
      </c>
      <c r="Q613" s="4" t="s">
        <v>35</v>
      </c>
      <c r="R613" s="3">
        <v>248.46600000000001</v>
      </c>
      <c r="S613" s="3">
        <v>-4.2143100000000002</v>
      </c>
      <c r="T613" s="4" t="s">
        <v>312</v>
      </c>
      <c r="U613" s="2" t="s">
        <v>37</v>
      </c>
      <c r="V613" s="2" t="s">
        <v>37</v>
      </c>
      <c r="W613" s="2" t="s">
        <v>37</v>
      </c>
      <c r="X613" s="2" t="s">
        <v>38</v>
      </c>
      <c r="Y613" s="2" t="s">
        <v>38</v>
      </c>
      <c r="Z613" s="2" t="s">
        <v>37</v>
      </c>
      <c r="AA613" s="6">
        <v>2.9587883779999999</v>
      </c>
      <c r="AB613" s="6">
        <v>2.3952669680000001</v>
      </c>
      <c r="AC613" s="6">
        <v>2.9587883779999999</v>
      </c>
      <c r="AD613" cm="1">
        <f t="array" ref="AD613">IF(SUMPRODUCT(--($AM$2:$AM$112=TRIM(LEFT($B613,IFERROR(FIND(" ",$B613)-1,LEN($B613))))))&gt;0,1,0)</f>
        <v>0</v>
      </c>
      <c r="AE613" cm="1">
        <f t="array" ref="AE613">IF(SUMPRODUCT(--($AO$2:$AO$145=TRIM(LEFT($B613,IFERROR(FIND(" ",$B613)-1,LEN($B613))))))&gt;0,1,0)</f>
        <v>0</v>
      </c>
      <c r="AF613" cm="1">
        <f t="array" ref="AF613">IF(SUMPRODUCT(--($AQ$2:$AQ$71=TRIM(LEFT($B613,IFERROR(FIND(" ",$B613)-1,LEN($B613))))))&gt;0,1,0)</f>
        <v>1</v>
      </c>
    </row>
    <row r="614" spans="1:32" ht="135.75" thickBot="1" x14ac:dyDescent="0.3">
      <c r="A614" s="13">
        <v>93</v>
      </c>
      <c r="B614" s="4" t="s">
        <v>1294</v>
      </c>
      <c r="C614" s="4" t="s">
        <v>230</v>
      </c>
      <c r="D614" s="7">
        <v>44312</v>
      </c>
      <c r="E614" s="3">
        <v>10181.76</v>
      </c>
      <c r="F614" s="4" t="s">
        <v>30</v>
      </c>
      <c r="G614" s="3">
        <v>290.42</v>
      </c>
      <c r="H614" s="4" t="s">
        <v>31</v>
      </c>
      <c r="I614" s="4" t="s">
        <v>32</v>
      </c>
      <c r="J614" s="4" t="s">
        <v>33</v>
      </c>
      <c r="K614" s="4"/>
      <c r="L614" s="3">
        <v>368.94600000000003</v>
      </c>
      <c r="M614" s="4"/>
      <c r="N614" s="3">
        <v>10101.41</v>
      </c>
      <c r="O614" s="4" t="s">
        <v>34</v>
      </c>
      <c r="P614" s="4" t="s">
        <v>34</v>
      </c>
      <c r="Q614" s="4" t="s">
        <v>35</v>
      </c>
      <c r="R614" s="3">
        <v>1050.01</v>
      </c>
      <c r="S614" s="3">
        <v>-11.597899999999999</v>
      </c>
      <c r="T614" s="4" t="s">
        <v>312</v>
      </c>
      <c r="U614" s="2" t="s">
        <v>37</v>
      </c>
      <c r="V614" s="2" t="s">
        <v>37</v>
      </c>
      <c r="W614" s="2" t="s">
        <v>37</v>
      </c>
      <c r="X614" s="2" t="s">
        <v>38</v>
      </c>
      <c r="Y614" s="2" t="s">
        <v>38</v>
      </c>
      <c r="Z614" s="2" t="s">
        <v>37</v>
      </c>
      <c r="AA614" s="6">
        <v>4.0078228559999998</v>
      </c>
      <c r="AB614" s="6">
        <v>3.0211934349999998</v>
      </c>
      <c r="AC614" s="6">
        <v>4.0043819989999996</v>
      </c>
      <c r="AD614" cm="1">
        <f t="array" ref="AD614">IF(SUMPRODUCT(--($AM$2:$AM$112=TRIM(LEFT($B614,IFERROR(FIND(" ",$B614)-1,LEN($B614))))))&gt;0,1,0)</f>
        <v>0</v>
      </c>
      <c r="AE614" cm="1">
        <f t="array" ref="AE614">IF(SUMPRODUCT(--($AO$2:$AO$145=TRIM(LEFT($B614,IFERROR(FIND(" ",$B614)-1,LEN($B614))))))&gt;0,1,0)</f>
        <v>0</v>
      </c>
      <c r="AF614" cm="1">
        <f t="array" ref="AF614">IF(SUMPRODUCT(--($AQ$2:$AQ$71=TRIM(LEFT($B614,IFERROR(FIND(" ",$B614)-1,LEN($B614))))))&gt;0,1,0)</f>
        <v>0</v>
      </c>
    </row>
    <row r="615" spans="1:32" ht="135.75" thickBot="1" x14ac:dyDescent="0.3">
      <c r="A615" s="13">
        <v>63</v>
      </c>
      <c r="B615" s="4" t="s">
        <v>1295</v>
      </c>
      <c r="C615" s="4" t="s">
        <v>539</v>
      </c>
      <c r="D615" s="7">
        <v>44354</v>
      </c>
      <c r="E615" s="3">
        <v>5374.35</v>
      </c>
      <c r="F615" s="4" t="s">
        <v>30</v>
      </c>
      <c r="G615" s="3">
        <v>20.57</v>
      </c>
      <c r="H615" s="4" t="s">
        <v>51</v>
      </c>
      <c r="I615" s="4" t="s">
        <v>51</v>
      </c>
      <c r="J615" s="4" t="s">
        <v>79</v>
      </c>
      <c r="K615" s="4"/>
      <c r="L615" s="3">
        <v>128</v>
      </c>
      <c r="M615" s="4"/>
      <c r="N615" s="3">
        <v>5374.35</v>
      </c>
      <c r="O615" s="4" t="s">
        <v>34</v>
      </c>
      <c r="P615" s="4" t="s">
        <v>34</v>
      </c>
      <c r="Q615" s="4" t="s">
        <v>35</v>
      </c>
      <c r="R615" s="3">
        <v>539.36800000000005</v>
      </c>
      <c r="S615" s="3">
        <v>7.4309799999999999</v>
      </c>
      <c r="T615" s="4" t="s">
        <v>1254</v>
      </c>
      <c r="U615" s="2" t="s">
        <v>37</v>
      </c>
      <c r="V615" s="2" t="s">
        <v>37</v>
      </c>
      <c r="W615" s="2" t="s">
        <v>37</v>
      </c>
      <c r="X615" s="2" t="s">
        <v>38</v>
      </c>
      <c r="Y615" s="2" t="s">
        <v>38</v>
      </c>
      <c r="Z615" s="2" t="s">
        <v>37</v>
      </c>
      <c r="AA615" s="6">
        <v>3.7303259459999998</v>
      </c>
      <c r="AB615" s="6">
        <v>2.7318851770000001</v>
      </c>
      <c r="AC615" s="6">
        <v>3.7303259459999998</v>
      </c>
      <c r="AD615" cm="1">
        <f t="array" ref="AD615">IF(SUMPRODUCT(--($AM$2:$AM$112=TRIM(LEFT($B615,IFERROR(FIND(" ",$B615)-1,LEN($B615))))))&gt;0,1,0)</f>
        <v>0</v>
      </c>
      <c r="AE615" cm="1">
        <f t="array" ref="AE615">IF(SUMPRODUCT(--($AO$2:$AO$145=TRIM(LEFT($B615,IFERROR(FIND(" ",$B615)-1,LEN($B615))))))&gt;0,1,0)</f>
        <v>0</v>
      </c>
      <c r="AF615" cm="1">
        <f t="array" ref="AF615">IF(SUMPRODUCT(--($AQ$2:$AQ$71=TRIM(LEFT($B615,IFERROR(FIND(" ",$B615)-1,LEN($B615))))))&gt;0,1,0)</f>
        <v>0</v>
      </c>
    </row>
    <row r="616" spans="1:32" ht="105.75" thickBot="1" x14ac:dyDescent="0.3">
      <c r="A616" s="13">
        <v>52</v>
      </c>
      <c r="B616" s="4" t="s">
        <v>1296</v>
      </c>
      <c r="C616" s="4" t="s">
        <v>1297</v>
      </c>
      <c r="D616" s="7">
        <v>44365</v>
      </c>
      <c r="E616" s="3">
        <v>2252.8200000000002</v>
      </c>
      <c r="F616" s="4" t="s">
        <v>30</v>
      </c>
      <c r="G616" s="3">
        <v>10.4</v>
      </c>
      <c r="H616" s="4" t="s">
        <v>31</v>
      </c>
      <c r="I616" s="4" t="s">
        <v>32</v>
      </c>
      <c r="J616" s="4" t="s">
        <v>270</v>
      </c>
      <c r="K616" s="3">
        <v>99</v>
      </c>
      <c r="L616" s="3">
        <v>66</v>
      </c>
      <c r="M616" s="4"/>
      <c r="N616" s="3">
        <v>2148.0500000000002</v>
      </c>
      <c r="O616" s="4" t="s">
        <v>34</v>
      </c>
      <c r="P616" s="4" t="s">
        <v>147</v>
      </c>
      <c r="Q616" s="4" t="s">
        <v>35</v>
      </c>
      <c r="R616" s="3">
        <v>1710.26</v>
      </c>
      <c r="S616" s="3">
        <v>5.1104700000000003</v>
      </c>
      <c r="T616" s="4" t="s">
        <v>316</v>
      </c>
      <c r="U616" s="2" t="s">
        <v>37</v>
      </c>
      <c r="V616" s="2" t="s">
        <v>37</v>
      </c>
      <c r="W616" s="2" t="s">
        <v>38</v>
      </c>
      <c r="X616" s="2" t="s">
        <v>38</v>
      </c>
      <c r="Y616" s="2" t="s">
        <v>37</v>
      </c>
      <c r="Z616" s="2" t="s">
        <v>37</v>
      </c>
      <c r="AA616" s="6">
        <v>3.352726493</v>
      </c>
      <c r="AB616" s="6">
        <v>3.2330621380000002</v>
      </c>
      <c r="AC616" s="6">
        <v>3.3320443860000002</v>
      </c>
      <c r="AD616" cm="1">
        <f t="array" ref="AD616">IF(SUMPRODUCT(--($AM$2:$AM$112=TRIM(LEFT($B616,IFERROR(FIND(" ",$B616)-1,LEN($B616))))))&gt;0,1,0)</f>
        <v>0</v>
      </c>
      <c r="AE616" cm="1">
        <f t="array" ref="AE616">IF(SUMPRODUCT(--($AO$2:$AO$145=TRIM(LEFT($B616,IFERROR(FIND(" ",$B616)-1,LEN($B616))))))&gt;0,1,0)</f>
        <v>0</v>
      </c>
      <c r="AF616" cm="1">
        <f t="array" ref="AF616">IF(SUMPRODUCT(--($AQ$2:$AQ$71=TRIM(LEFT($B616,IFERROR(FIND(" ",$B616)-1,LEN($B616))))))&gt;0,1,0)</f>
        <v>0</v>
      </c>
    </row>
    <row r="617" spans="1:32" ht="75.75" thickBot="1" x14ac:dyDescent="0.3">
      <c r="A617" s="13">
        <v>295</v>
      </c>
      <c r="B617" s="4" t="s">
        <v>1298</v>
      </c>
      <c r="C617" s="4" t="s">
        <v>1299</v>
      </c>
      <c r="D617" s="7">
        <v>44025</v>
      </c>
      <c r="E617" s="3">
        <v>19762.28</v>
      </c>
      <c r="F617" s="4" t="s">
        <v>46</v>
      </c>
      <c r="G617" s="3">
        <v>24.48</v>
      </c>
      <c r="H617" s="4" t="s">
        <v>31</v>
      </c>
      <c r="I617" s="4" t="s">
        <v>432</v>
      </c>
      <c r="J617" s="4" t="s">
        <v>1072</v>
      </c>
      <c r="K617" s="3">
        <v>830</v>
      </c>
      <c r="L617" s="3">
        <v>725</v>
      </c>
      <c r="M617" s="3">
        <v>26.13</v>
      </c>
      <c r="N617" s="3">
        <v>20396.060000000001</v>
      </c>
      <c r="O617" s="4" t="s">
        <v>34</v>
      </c>
      <c r="P617" s="4" t="s">
        <v>34</v>
      </c>
      <c r="Q617" s="4" t="s">
        <v>35</v>
      </c>
      <c r="R617" s="3">
        <v>2632.53</v>
      </c>
      <c r="S617" s="3">
        <v>35.9236</v>
      </c>
      <c r="T617" s="4" t="s">
        <v>43</v>
      </c>
      <c r="U617" s="2" t="s">
        <v>37</v>
      </c>
      <c r="V617" s="2" t="s">
        <v>37</v>
      </c>
      <c r="W617" s="2" t="s">
        <v>37</v>
      </c>
      <c r="X617" s="2" t="s">
        <v>37</v>
      </c>
      <c r="Y617" s="2" t="s">
        <v>37</v>
      </c>
      <c r="Z617" s="2" t="s">
        <v>37</v>
      </c>
      <c r="AA617" s="6">
        <v>4.2958370480000001</v>
      </c>
      <c r="AB617" s="6">
        <v>3.4203733289999998</v>
      </c>
      <c r="AC617" s="6">
        <v>4.3095462810000003</v>
      </c>
      <c r="AD617" cm="1">
        <f t="array" ref="AD617">IF(SUMPRODUCT(--($AM$2:$AM$112=TRIM(LEFT($B617,IFERROR(FIND(" ",$B617)-1,LEN($B617))))))&gt;0,1,0)</f>
        <v>1</v>
      </c>
      <c r="AE617" cm="1">
        <f t="array" ref="AE617">IF(SUMPRODUCT(--($AO$2:$AO$145=TRIM(LEFT($B617,IFERROR(FIND(" ",$B617)-1,LEN($B617))))))&gt;0,1,0)</f>
        <v>1</v>
      </c>
      <c r="AF617" cm="1">
        <f t="array" ref="AF617">IF(SUMPRODUCT(--($AQ$2:$AQ$71=TRIM(LEFT($B617,IFERROR(FIND(" ",$B617)-1,LEN($B617))))))&gt;0,1,0)</f>
        <v>0</v>
      </c>
    </row>
    <row r="618" spans="1:32" ht="60.75" thickBot="1" x14ac:dyDescent="0.3">
      <c r="A618" s="13">
        <v>60</v>
      </c>
      <c r="B618" s="4" t="s">
        <v>1300</v>
      </c>
      <c r="C618" s="4" t="s">
        <v>1301</v>
      </c>
      <c r="D618" s="7">
        <v>44354</v>
      </c>
      <c r="E618" s="3">
        <v>1965.32</v>
      </c>
      <c r="F618" s="4" t="s">
        <v>30</v>
      </c>
      <c r="G618" s="3">
        <v>6.56</v>
      </c>
      <c r="H618" s="4" t="s">
        <v>47</v>
      </c>
      <c r="I618" s="4" t="s">
        <v>47</v>
      </c>
      <c r="J618" s="4" t="s">
        <v>542</v>
      </c>
      <c r="K618" s="3">
        <v>50</v>
      </c>
      <c r="L618" s="3">
        <v>50</v>
      </c>
      <c r="M618" s="4"/>
      <c r="N618" s="3">
        <v>1256.32</v>
      </c>
      <c r="O618" s="4" t="s">
        <v>34</v>
      </c>
      <c r="P618" s="4" t="s">
        <v>34</v>
      </c>
      <c r="Q618" s="4" t="s">
        <v>35</v>
      </c>
      <c r="R618" s="3">
        <v>1365.7</v>
      </c>
      <c r="S618" s="3">
        <v>3.4954999999999998</v>
      </c>
      <c r="T618" s="4" t="s">
        <v>43</v>
      </c>
      <c r="U618" s="2" t="s">
        <v>37</v>
      </c>
      <c r="V618" s="2" t="s">
        <v>37</v>
      </c>
      <c r="W618" s="2" t="s">
        <v>37</v>
      </c>
      <c r="X618" s="2" t="s">
        <v>37</v>
      </c>
      <c r="Y618" s="2" t="s">
        <v>37</v>
      </c>
      <c r="Z618" s="2" t="s">
        <v>37</v>
      </c>
      <c r="AA618" s="6">
        <v>3.2934332739999999</v>
      </c>
      <c r="AB618" s="6">
        <v>3.1353553089999999</v>
      </c>
      <c r="AC618" s="6">
        <v>3.099100274</v>
      </c>
      <c r="AD618" cm="1">
        <f t="array" ref="AD618">IF(SUMPRODUCT(--($AM$2:$AM$112=TRIM(LEFT($B618,IFERROR(FIND(" ",$B618)-1,LEN($B618))))))&gt;0,1,0)</f>
        <v>0</v>
      </c>
      <c r="AE618" cm="1">
        <f t="array" ref="AE618">IF(SUMPRODUCT(--($AO$2:$AO$145=TRIM(LEFT($B618,IFERROR(FIND(" ",$B618)-1,LEN($B618))))))&gt;0,1,0)</f>
        <v>0</v>
      </c>
      <c r="AF618" cm="1">
        <f t="array" ref="AF618">IF(SUMPRODUCT(--($AQ$2:$AQ$71=TRIM(LEFT($B618,IFERROR(FIND(" ",$B618)-1,LEN($B618))))))&gt;0,1,0)</f>
        <v>0</v>
      </c>
    </row>
    <row r="619" spans="1:32" ht="195.75" thickBot="1" x14ac:dyDescent="0.3">
      <c r="A619" s="13">
        <v>11</v>
      </c>
      <c r="B619" s="4" t="s">
        <v>1302</v>
      </c>
      <c r="C619" s="4" t="s">
        <v>1303</v>
      </c>
      <c r="D619" s="7">
        <v>44413</v>
      </c>
      <c r="E619" s="3">
        <v>1297.6300000000001</v>
      </c>
      <c r="F619" s="4" t="s">
        <v>30</v>
      </c>
      <c r="G619" s="4"/>
      <c r="H619" s="4" t="s">
        <v>41</v>
      </c>
      <c r="I619" s="4" t="s">
        <v>41</v>
      </c>
      <c r="J619" s="4" t="s">
        <v>42</v>
      </c>
      <c r="K619" s="4"/>
      <c r="L619" s="4"/>
      <c r="M619" s="4"/>
      <c r="N619" s="3">
        <v>1500</v>
      </c>
      <c r="O619" s="4" t="s">
        <v>34</v>
      </c>
      <c r="P619" s="4" t="s">
        <v>439</v>
      </c>
      <c r="Q619" s="4" t="s">
        <v>35</v>
      </c>
      <c r="R619" s="3">
        <v>34.393000000000001</v>
      </c>
      <c r="S619" s="3">
        <v>-80.016300000000001</v>
      </c>
      <c r="T619" s="4" t="s">
        <v>1304</v>
      </c>
      <c r="U619" s="2" t="s">
        <v>37</v>
      </c>
      <c r="V619" s="2" t="s">
        <v>37</v>
      </c>
      <c r="W619" s="2" t="s">
        <v>38</v>
      </c>
      <c r="X619" s="2" t="s">
        <v>37</v>
      </c>
      <c r="Y619" s="2" t="s">
        <v>38</v>
      </c>
      <c r="Z619" s="2" t="s">
        <v>37</v>
      </c>
      <c r="AA619" s="6">
        <v>3.1131508769999998</v>
      </c>
      <c r="AB619" s="6">
        <v>1.5364700600000001</v>
      </c>
      <c r="AC619" s="6">
        <v>3.1760912590000001</v>
      </c>
      <c r="AD619" cm="1">
        <f t="array" ref="AD619">IF(SUMPRODUCT(--($AM$2:$AM$112=TRIM(LEFT($B619,IFERROR(FIND(" ",$B619)-1,LEN($B619))))))&gt;0,1,0)</f>
        <v>0</v>
      </c>
      <c r="AE619" cm="1">
        <f t="array" ref="AE619">IF(SUMPRODUCT(--($AO$2:$AO$145=TRIM(LEFT($B619,IFERROR(FIND(" ",$B619)-1,LEN($B619))))))&gt;0,1,0)</f>
        <v>0</v>
      </c>
      <c r="AF619" cm="1">
        <f t="array" ref="AF619">IF(SUMPRODUCT(--($AQ$2:$AQ$71=TRIM(LEFT($B619,IFERROR(FIND(" ",$B619)-1,LEN($B619))))))&gt;0,1,0)</f>
        <v>0</v>
      </c>
    </row>
    <row r="620" spans="1:32" ht="135.75" thickBot="1" x14ac:dyDescent="0.3">
      <c r="A620" s="13">
        <v>40</v>
      </c>
      <c r="B620" s="4" t="s">
        <v>1305</v>
      </c>
      <c r="C620" s="4" t="s">
        <v>1306</v>
      </c>
      <c r="D620" s="7">
        <v>44358</v>
      </c>
      <c r="E620" s="3">
        <v>553.78</v>
      </c>
      <c r="F620" s="4" t="s">
        <v>30</v>
      </c>
      <c r="G620" s="3">
        <v>5.48</v>
      </c>
      <c r="H620" s="4" t="s">
        <v>75</v>
      </c>
      <c r="I620" s="4" t="s">
        <v>76</v>
      </c>
      <c r="J620" s="4" t="s">
        <v>307</v>
      </c>
      <c r="K620" s="4"/>
      <c r="L620" s="3">
        <v>1.8240000000000001</v>
      </c>
      <c r="M620" s="3">
        <v>44.59</v>
      </c>
      <c r="N620" s="3">
        <v>45.61</v>
      </c>
      <c r="O620" s="4" t="s">
        <v>34</v>
      </c>
      <c r="P620" s="4" t="s">
        <v>166</v>
      </c>
      <c r="Q620" s="4" t="s">
        <v>35</v>
      </c>
      <c r="R620" s="3">
        <v>108.57599999999999</v>
      </c>
      <c r="S620" s="3">
        <v>93.732100000000003</v>
      </c>
      <c r="T620" s="4" t="s">
        <v>1307</v>
      </c>
      <c r="U620" s="2" t="s">
        <v>37</v>
      </c>
      <c r="V620" s="2" t="s">
        <v>37</v>
      </c>
      <c r="W620" s="2" t="s">
        <v>38</v>
      </c>
      <c r="X620" s="2" t="s">
        <v>38</v>
      </c>
      <c r="Y620" s="2" t="s">
        <v>37</v>
      </c>
      <c r="Z620" s="2" t="s">
        <v>38</v>
      </c>
      <c r="AA620" s="6">
        <v>2.7433372669999998</v>
      </c>
      <c r="AB620" s="6">
        <v>2.0357338380000001</v>
      </c>
      <c r="AC620" s="6">
        <v>1.6590600719999999</v>
      </c>
      <c r="AD620" cm="1">
        <f t="array" ref="AD620">IF(SUMPRODUCT(--($AM$2:$AM$112=TRIM(LEFT($B620,IFERROR(FIND(" ",$B620)-1,LEN($B620))))))&gt;0,1,0)</f>
        <v>0</v>
      </c>
      <c r="AE620" cm="1">
        <f t="array" ref="AE620">IF(SUMPRODUCT(--($AO$2:$AO$145=TRIM(LEFT($B620,IFERROR(FIND(" ",$B620)-1,LEN($B620))))))&gt;0,1,0)</f>
        <v>0</v>
      </c>
      <c r="AF620" cm="1">
        <f t="array" ref="AF620">IF(SUMPRODUCT(--($AQ$2:$AQ$71=TRIM(LEFT($B620,IFERROR(FIND(" ",$B620)-1,LEN($B620))))))&gt;0,1,0)</f>
        <v>0</v>
      </c>
    </row>
    <row r="621" spans="1:32" ht="45.75" thickBot="1" x14ac:dyDescent="0.3">
      <c r="A621" s="13">
        <v>80</v>
      </c>
      <c r="B621" s="4" t="s">
        <v>1308</v>
      </c>
      <c r="C621" s="4" t="s">
        <v>785</v>
      </c>
      <c r="D621" s="7">
        <v>44301</v>
      </c>
      <c r="E621" s="3">
        <v>5555.52</v>
      </c>
      <c r="F621" s="4" t="s">
        <v>107</v>
      </c>
      <c r="G621" s="3">
        <v>26.3</v>
      </c>
      <c r="H621" s="4" t="s">
        <v>51</v>
      </c>
      <c r="I621" s="4" t="s">
        <v>51</v>
      </c>
      <c r="J621" s="4" t="s">
        <v>79</v>
      </c>
      <c r="K621" s="4"/>
      <c r="L621" s="3">
        <v>115</v>
      </c>
      <c r="M621" s="3">
        <v>7.28</v>
      </c>
      <c r="N621" s="3">
        <v>3709.63</v>
      </c>
      <c r="O621" s="4" t="s">
        <v>34</v>
      </c>
      <c r="P621" s="4" t="s">
        <v>34</v>
      </c>
      <c r="Q621" s="4" t="s">
        <v>35</v>
      </c>
      <c r="R621" s="3">
        <v>433.91699999999997</v>
      </c>
      <c r="S621" s="3">
        <v>20.4937</v>
      </c>
      <c r="T621" s="4" t="s">
        <v>43</v>
      </c>
      <c r="U621" s="2" t="s">
        <v>37</v>
      </c>
      <c r="V621" s="2" t="s">
        <v>37</v>
      </c>
      <c r="W621" s="2" t="s">
        <v>37</v>
      </c>
      <c r="X621" s="2" t="s">
        <v>37</v>
      </c>
      <c r="Y621" s="2" t="s">
        <v>37</v>
      </c>
      <c r="Z621" s="2" t="s">
        <v>37</v>
      </c>
      <c r="AA621" s="6">
        <v>3.7447247149999998</v>
      </c>
      <c r="AB621" s="6">
        <v>2.6374066649999999</v>
      </c>
      <c r="AC621" s="6">
        <v>3.5693305949999998</v>
      </c>
      <c r="AD621" cm="1">
        <f t="array" ref="AD621">IF(SUMPRODUCT(--($AM$2:$AM$112=TRIM(LEFT($B621,IFERROR(FIND(" ",$B621)-1,LEN($B621))))))&gt;0,1,0)</f>
        <v>0</v>
      </c>
      <c r="AE621" cm="1">
        <f t="array" ref="AE621">IF(SUMPRODUCT(--($AO$2:$AO$145=TRIM(LEFT($B621,IFERROR(FIND(" ",$B621)-1,LEN($B621))))))&gt;0,1,0)</f>
        <v>0</v>
      </c>
      <c r="AF621" cm="1">
        <f t="array" ref="AF621">IF(SUMPRODUCT(--($AQ$2:$AQ$71=TRIM(LEFT($B621,IFERROR(FIND(" ",$B621)-1,LEN($B621))))))&gt;0,1,0)</f>
        <v>0</v>
      </c>
    </row>
    <row r="622" spans="1:32" ht="165.75" thickBot="1" x14ac:dyDescent="0.3">
      <c r="A622" s="13">
        <v>103</v>
      </c>
      <c r="B622" s="4" t="s">
        <v>1309</v>
      </c>
      <c r="C622" s="4" t="s">
        <v>230</v>
      </c>
      <c r="D622" s="7">
        <v>44265</v>
      </c>
      <c r="E622" s="3">
        <v>2151.4299999999998</v>
      </c>
      <c r="F622" s="4" t="s">
        <v>30</v>
      </c>
      <c r="G622" s="4"/>
      <c r="H622" s="4" t="s">
        <v>31</v>
      </c>
      <c r="I622" s="4" t="s">
        <v>32</v>
      </c>
      <c r="J622" s="4" t="s">
        <v>33</v>
      </c>
      <c r="K622" s="4"/>
      <c r="L622" s="4"/>
      <c r="M622" s="4"/>
      <c r="N622" s="3">
        <v>2128.11</v>
      </c>
      <c r="O622" s="4" t="s">
        <v>34</v>
      </c>
      <c r="P622" s="4" t="s">
        <v>34</v>
      </c>
      <c r="Q622" s="4" t="s">
        <v>35</v>
      </c>
      <c r="R622" s="3">
        <v>287.471</v>
      </c>
      <c r="S622" s="3">
        <v>-24.396599999999999</v>
      </c>
      <c r="T622" s="4" t="s">
        <v>1310</v>
      </c>
      <c r="U622" s="2" t="s">
        <v>37</v>
      </c>
      <c r="V622" s="2" t="s">
        <v>37</v>
      </c>
      <c r="W622" s="2" t="s">
        <v>37</v>
      </c>
      <c r="X622" s="2" t="s">
        <v>38</v>
      </c>
      <c r="Y622" s="2" t="s">
        <v>38</v>
      </c>
      <c r="Z622" s="2" t="s">
        <v>38</v>
      </c>
      <c r="AA622" s="6">
        <v>3.3327272200000002</v>
      </c>
      <c r="AB622" s="6">
        <v>2.4585940399999999</v>
      </c>
      <c r="AC622" s="6">
        <v>3.3279940720000001</v>
      </c>
      <c r="AD622" cm="1">
        <f t="array" ref="AD622">IF(SUMPRODUCT(--($AM$2:$AM$112=TRIM(LEFT($B622,IFERROR(FIND(" ",$B622)-1,LEN($B622))))))&gt;0,1,0)</f>
        <v>0</v>
      </c>
      <c r="AE622" cm="1">
        <f t="array" ref="AE622">IF(SUMPRODUCT(--($AO$2:$AO$145=TRIM(LEFT($B622,IFERROR(FIND(" ",$B622)-1,LEN($B622))))))&gt;0,1,0)</f>
        <v>0</v>
      </c>
      <c r="AF622" cm="1">
        <f t="array" ref="AF622">IF(SUMPRODUCT(--($AQ$2:$AQ$71=TRIM(LEFT($B622,IFERROR(FIND(" ",$B622)-1,LEN($B622))))))&gt;0,1,0)</f>
        <v>0</v>
      </c>
    </row>
    <row r="623" spans="1:32" ht="225.75" thickBot="1" x14ac:dyDescent="0.3">
      <c r="A623" s="13">
        <v>84</v>
      </c>
      <c r="B623" s="4" t="s">
        <v>1311</v>
      </c>
      <c r="C623" s="4" t="s">
        <v>1088</v>
      </c>
      <c r="D623" s="7">
        <v>44287</v>
      </c>
      <c r="E623" s="3">
        <v>6419.54</v>
      </c>
      <c r="F623" s="4" t="s">
        <v>69</v>
      </c>
      <c r="G623" s="3">
        <v>6.02</v>
      </c>
      <c r="H623" s="4" t="s">
        <v>51</v>
      </c>
      <c r="I623" s="4" t="s">
        <v>51</v>
      </c>
      <c r="J623" s="4" t="s">
        <v>52</v>
      </c>
      <c r="K623" s="4"/>
      <c r="L623" s="4"/>
      <c r="M623" s="3">
        <v>2.2400000000000002</v>
      </c>
      <c r="N623" s="3">
        <v>6419.54</v>
      </c>
      <c r="O623" s="4" t="s">
        <v>34</v>
      </c>
      <c r="P623" s="4" t="s">
        <v>49</v>
      </c>
      <c r="Q623" s="4" t="s">
        <v>35</v>
      </c>
      <c r="R623" s="3">
        <v>7100</v>
      </c>
      <c r="S623" s="2"/>
      <c r="T623" s="4" t="s">
        <v>1312</v>
      </c>
      <c r="U623" s="2" t="s">
        <v>38</v>
      </c>
      <c r="V623" s="2" t="s">
        <v>37</v>
      </c>
      <c r="W623" s="2" t="s">
        <v>38</v>
      </c>
      <c r="X623" s="2" t="s">
        <v>38</v>
      </c>
      <c r="Y623" s="2" t="s">
        <v>38</v>
      </c>
      <c r="Z623" s="2" t="s">
        <v>37</v>
      </c>
      <c r="AA623" s="6">
        <v>3.8075039089999998</v>
      </c>
      <c r="AB623" s="6">
        <v>3.8512583490000001</v>
      </c>
      <c r="AC623" s="6">
        <v>3.8075039089999998</v>
      </c>
      <c r="AD623" cm="1">
        <f t="array" ref="AD623">IF(SUMPRODUCT(--($AM$2:$AM$112=TRIM(LEFT($B623,IFERROR(FIND(" ",$B623)-1,LEN($B623))))))&gt;0,1,0)</f>
        <v>0</v>
      </c>
      <c r="AE623" cm="1">
        <f t="array" ref="AE623">IF(SUMPRODUCT(--($AO$2:$AO$145=TRIM(LEFT($B623,IFERROR(FIND(" ",$B623)-1,LEN($B623))))))&gt;0,1,0)</f>
        <v>0</v>
      </c>
      <c r="AF623" cm="1">
        <f t="array" ref="AF623">IF(SUMPRODUCT(--($AQ$2:$AQ$71=TRIM(LEFT($B623,IFERROR(FIND(" ",$B623)-1,LEN($B623))))))&gt;0,1,0)</f>
        <v>0</v>
      </c>
    </row>
    <row r="624" spans="1:32" ht="165.75" thickBot="1" x14ac:dyDescent="0.3">
      <c r="A624" s="13">
        <v>57</v>
      </c>
      <c r="B624" s="4" t="s">
        <v>1313</v>
      </c>
      <c r="C624" s="4" t="s">
        <v>1314</v>
      </c>
      <c r="D624" s="7">
        <v>44322</v>
      </c>
      <c r="E624" s="3">
        <v>4010.19</v>
      </c>
      <c r="F624" s="4" t="s">
        <v>30</v>
      </c>
      <c r="G624" s="3">
        <v>6.46</v>
      </c>
      <c r="H624" s="4" t="s">
        <v>75</v>
      </c>
      <c r="I624" s="4" t="s">
        <v>83</v>
      </c>
      <c r="J624" s="4" t="s">
        <v>84</v>
      </c>
      <c r="K624" s="4"/>
      <c r="L624" s="3">
        <v>77.2</v>
      </c>
      <c r="M624" s="3">
        <v>0.74</v>
      </c>
      <c r="N624" s="3">
        <v>2422.91</v>
      </c>
      <c r="O624" s="4" t="s">
        <v>34</v>
      </c>
      <c r="P624" s="4" t="s">
        <v>34</v>
      </c>
      <c r="Q624" s="4" t="s">
        <v>35</v>
      </c>
      <c r="R624" s="3">
        <v>1737.06</v>
      </c>
      <c r="S624" s="3">
        <v>18.532499999999999</v>
      </c>
      <c r="T624" s="4" t="s">
        <v>1310</v>
      </c>
      <c r="U624" s="2" t="s">
        <v>37</v>
      </c>
      <c r="V624" s="2" t="s">
        <v>37</v>
      </c>
      <c r="W624" s="2" t="s">
        <v>37</v>
      </c>
      <c r="X624" s="2" t="s">
        <v>38</v>
      </c>
      <c r="Y624" s="2" t="s">
        <v>38</v>
      </c>
      <c r="Z624" s="2" t="s">
        <v>38</v>
      </c>
      <c r="AA624" s="6">
        <v>3.60316495</v>
      </c>
      <c r="AB624" s="6">
        <v>3.2398148199999999</v>
      </c>
      <c r="AC624" s="6">
        <v>3.3843372820000002</v>
      </c>
      <c r="AD624" cm="1">
        <f t="array" ref="AD624">IF(SUMPRODUCT(--($AM$2:$AM$112=TRIM(LEFT($B624,IFERROR(FIND(" ",$B624)-1,LEN($B624))))))&gt;0,1,0)</f>
        <v>0</v>
      </c>
      <c r="AE624" cm="1">
        <f t="array" ref="AE624">IF(SUMPRODUCT(--($AO$2:$AO$145=TRIM(LEFT($B624,IFERROR(FIND(" ",$B624)-1,LEN($B624))))))&gt;0,1,0)</f>
        <v>0</v>
      </c>
      <c r="AF624" cm="1">
        <f t="array" ref="AF624">IF(SUMPRODUCT(--($AQ$2:$AQ$71=TRIM(LEFT($B624,IFERROR(FIND(" ",$B624)-1,LEN($B624))))))&gt;0,1,0)</f>
        <v>0</v>
      </c>
    </row>
    <row r="625" spans="1:32" ht="75.75" thickBot="1" x14ac:dyDescent="0.3">
      <c r="A625" s="13">
        <v>159</v>
      </c>
      <c r="B625" s="4" t="s">
        <v>1315</v>
      </c>
      <c r="C625" s="4" t="s">
        <v>703</v>
      </c>
      <c r="D625" s="7">
        <v>44177</v>
      </c>
      <c r="E625" s="3">
        <v>38762.480000000003</v>
      </c>
      <c r="F625" s="4" t="s">
        <v>107</v>
      </c>
      <c r="G625" s="3">
        <v>43.22</v>
      </c>
      <c r="H625" s="4" t="s">
        <v>41</v>
      </c>
      <c r="I625" s="4" t="s">
        <v>41</v>
      </c>
      <c r="J625" s="4" t="s">
        <v>42</v>
      </c>
      <c r="K625" s="3">
        <v>1400</v>
      </c>
      <c r="L625" s="3">
        <v>1200</v>
      </c>
      <c r="M625" s="4"/>
      <c r="N625" s="3">
        <v>38291.68</v>
      </c>
      <c r="O625" s="4" t="s">
        <v>34</v>
      </c>
      <c r="P625" s="4" t="s">
        <v>166</v>
      </c>
      <c r="Q625" s="4" t="s">
        <v>35</v>
      </c>
      <c r="R625" s="3">
        <v>6069.9</v>
      </c>
      <c r="S625" s="3">
        <v>9.1510200000000008</v>
      </c>
      <c r="T625" s="4" t="s">
        <v>97</v>
      </c>
      <c r="U625" s="2" t="s">
        <v>37</v>
      </c>
      <c r="V625" s="2" t="s">
        <v>37</v>
      </c>
      <c r="W625" s="2" t="s">
        <v>38</v>
      </c>
      <c r="X625" s="2" t="s">
        <v>37</v>
      </c>
      <c r="Y625" s="2" t="s">
        <v>37</v>
      </c>
      <c r="Z625" s="2" t="s">
        <v>37</v>
      </c>
      <c r="AA625" s="6">
        <v>4.5884115550000004</v>
      </c>
      <c r="AB625" s="6">
        <v>3.7831815359999998</v>
      </c>
      <c r="AC625" s="6">
        <v>4.5831044209999998</v>
      </c>
      <c r="AD625" cm="1">
        <f t="array" ref="AD625">IF(SUMPRODUCT(--($AM$2:$AM$112=TRIM(LEFT($B625,IFERROR(FIND(" ",$B625)-1,LEN($B625))))))&gt;0,1,0)</f>
        <v>0</v>
      </c>
      <c r="AE625" cm="1">
        <f t="array" ref="AE625">IF(SUMPRODUCT(--($AO$2:$AO$145=TRIM(LEFT($B625,IFERROR(FIND(" ",$B625)-1,LEN($B625))))))&gt;0,1,0)</f>
        <v>1</v>
      </c>
      <c r="AF625" cm="1">
        <f t="array" ref="AF625">IF(SUMPRODUCT(--($AQ$2:$AQ$71=TRIM(LEFT($B625,IFERROR(FIND(" ",$B625)-1,LEN($B625))))))&gt;0,1,0)</f>
        <v>0</v>
      </c>
    </row>
    <row r="626" spans="1:32" ht="45.75" thickBot="1" x14ac:dyDescent="0.3">
      <c r="A626" s="13">
        <v>167</v>
      </c>
      <c r="B626" s="4" t="s">
        <v>1316</v>
      </c>
      <c r="C626" s="4" t="s">
        <v>320</v>
      </c>
      <c r="D626" s="7">
        <v>44166</v>
      </c>
      <c r="E626" s="3">
        <v>25765.8</v>
      </c>
      <c r="F626" s="4" t="s">
        <v>107</v>
      </c>
      <c r="G626" s="4"/>
      <c r="H626" s="4" t="s">
        <v>31</v>
      </c>
      <c r="I626" s="4" t="s">
        <v>32</v>
      </c>
      <c r="J626" s="4" t="s">
        <v>33</v>
      </c>
      <c r="K626" s="4"/>
      <c r="L626" s="3">
        <v>900</v>
      </c>
      <c r="M626" s="4"/>
      <c r="N626" s="3">
        <v>26452.959999999999</v>
      </c>
      <c r="O626" s="4" t="s">
        <v>34</v>
      </c>
      <c r="P626" s="4" t="s">
        <v>34</v>
      </c>
      <c r="Q626" s="4" t="s">
        <v>35</v>
      </c>
      <c r="R626" s="3">
        <v>902.61</v>
      </c>
      <c r="S626" s="3">
        <v>-26.912199999999999</v>
      </c>
      <c r="T626" s="4" t="s">
        <v>43</v>
      </c>
      <c r="U626" s="2" t="s">
        <v>37</v>
      </c>
      <c r="V626" s="2" t="s">
        <v>37</v>
      </c>
      <c r="W626" s="2" t="s">
        <v>37</v>
      </c>
      <c r="X626" s="2" t="s">
        <v>37</v>
      </c>
      <c r="Y626" s="2" t="s">
        <v>37</v>
      </c>
      <c r="Z626" s="2" t="s">
        <v>37</v>
      </c>
      <c r="AA626" s="6">
        <v>4.4110436310000001</v>
      </c>
      <c r="AB626" s="6">
        <v>2.9555001409999999</v>
      </c>
      <c r="AC626" s="6">
        <v>4.4224742749999999</v>
      </c>
      <c r="AD626" cm="1">
        <f t="array" ref="AD626">IF(SUMPRODUCT(--($AM$2:$AM$112=TRIM(LEFT($B626,IFERROR(FIND(" ",$B626)-1,LEN($B626))))))&gt;0,1,0)</f>
        <v>0</v>
      </c>
      <c r="AE626" cm="1">
        <f t="array" ref="AE626">IF(SUMPRODUCT(--($AO$2:$AO$145=TRIM(LEFT($B626,IFERROR(FIND(" ",$B626)-1,LEN($B626))))))&gt;0,1,0)</f>
        <v>0</v>
      </c>
      <c r="AF626" cm="1">
        <f t="array" ref="AF626">IF(SUMPRODUCT(--($AQ$2:$AQ$71=TRIM(LEFT($B626,IFERROR(FIND(" ",$B626)-1,LEN($B626))))))&gt;0,1,0)</f>
        <v>0</v>
      </c>
    </row>
    <row r="627" spans="1:32" ht="75.75" thickBot="1" x14ac:dyDescent="0.3">
      <c r="A627" s="13">
        <v>67</v>
      </c>
      <c r="B627" s="4" t="s">
        <v>1317</v>
      </c>
      <c r="C627" s="4" t="s">
        <v>1318</v>
      </c>
      <c r="D627" s="7">
        <v>44305</v>
      </c>
      <c r="E627" s="3">
        <v>1687.12</v>
      </c>
      <c r="F627" s="4" t="s">
        <v>107</v>
      </c>
      <c r="G627" s="3">
        <v>26.99</v>
      </c>
      <c r="H627" s="4" t="s">
        <v>75</v>
      </c>
      <c r="I627" s="4" t="s">
        <v>76</v>
      </c>
      <c r="J627" s="4" t="s">
        <v>295</v>
      </c>
      <c r="K627" s="4"/>
      <c r="L627" s="3">
        <v>43</v>
      </c>
      <c r="M627" s="4"/>
      <c r="N627" s="3">
        <v>1246.22</v>
      </c>
      <c r="O627" s="4" t="s">
        <v>34</v>
      </c>
      <c r="P627" s="4" t="s">
        <v>34</v>
      </c>
      <c r="Q627" s="4" t="s">
        <v>35</v>
      </c>
      <c r="R627" s="3">
        <v>1236.4000000000001</v>
      </c>
      <c r="S627" s="3">
        <v>1.5940000000000001</v>
      </c>
      <c r="T627" s="4" t="s">
        <v>43</v>
      </c>
      <c r="U627" s="2" t="s">
        <v>37</v>
      </c>
      <c r="V627" s="2" t="s">
        <v>37</v>
      </c>
      <c r="W627" s="2" t="s">
        <v>37</v>
      </c>
      <c r="X627" s="2" t="s">
        <v>37</v>
      </c>
      <c r="Y627" s="2" t="s">
        <v>37</v>
      </c>
      <c r="Z627" s="2" t="s">
        <v>37</v>
      </c>
      <c r="AA627" s="6">
        <v>3.2271459739999999</v>
      </c>
      <c r="AB627" s="6">
        <v>3.0921589960000002</v>
      </c>
      <c r="AC627" s="6">
        <v>3.095594717</v>
      </c>
      <c r="AD627" cm="1">
        <f t="array" ref="AD627">IF(SUMPRODUCT(--($AM$2:$AM$112=TRIM(LEFT($B627,IFERROR(FIND(" ",$B627)-1,LEN($B627))))))&gt;0,1,0)</f>
        <v>0</v>
      </c>
      <c r="AE627" cm="1">
        <f t="array" ref="AE627">IF(SUMPRODUCT(--($AO$2:$AO$145=TRIM(LEFT($B627,IFERROR(FIND(" ",$B627)-1,LEN($B627))))))&gt;0,1,0)</f>
        <v>0</v>
      </c>
      <c r="AF627" cm="1">
        <f t="array" ref="AF627">IF(SUMPRODUCT(--($AQ$2:$AQ$71=TRIM(LEFT($B627,IFERROR(FIND(" ",$B627)-1,LEN($B627))))))&gt;0,1,0)</f>
        <v>0</v>
      </c>
    </row>
    <row r="628" spans="1:32" ht="105.75" thickBot="1" x14ac:dyDescent="0.3">
      <c r="A628" s="13">
        <v>33</v>
      </c>
      <c r="B628" s="4" t="s">
        <v>1319</v>
      </c>
      <c r="C628" s="4" t="s">
        <v>1320</v>
      </c>
      <c r="D628" s="7">
        <v>44349</v>
      </c>
      <c r="E628" s="3">
        <v>1681.45</v>
      </c>
      <c r="F628" s="4" t="s">
        <v>30</v>
      </c>
      <c r="G628" s="4"/>
      <c r="H628" s="4" t="s">
        <v>41</v>
      </c>
      <c r="I628" s="4" t="s">
        <v>41</v>
      </c>
      <c r="J628" s="4" t="s">
        <v>42</v>
      </c>
      <c r="K628" s="4"/>
      <c r="L628" s="3">
        <v>60</v>
      </c>
      <c r="M628" s="3">
        <v>68.09</v>
      </c>
      <c r="N628" s="3">
        <v>1681.45</v>
      </c>
      <c r="O628" s="4" t="s">
        <v>34</v>
      </c>
      <c r="P628" s="4" t="s">
        <v>439</v>
      </c>
      <c r="Q628" s="4" t="s">
        <v>35</v>
      </c>
      <c r="R628" s="2"/>
      <c r="S628" s="2"/>
      <c r="T628" s="4" t="s">
        <v>964</v>
      </c>
      <c r="U628" s="2" t="s">
        <v>37</v>
      </c>
      <c r="V628" s="2" t="s">
        <v>37</v>
      </c>
      <c r="W628" s="2" t="s">
        <v>38</v>
      </c>
      <c r="X628" s="2" t="s">
        <v>37</v>
      </c>
      <c r="Y628" s="2" t="s">
        <v>37</v>
      </c>
      <c r="Z628" s="2" t="s">
        <v>38</v>
      </c>
      <c r="AA628" s="6">
        <v>3.2256839579999999</v>
      </c>
      <c r="AB628" s="2"/>
      <c r="AC628" s="6">
        <v>3.2256839579999999</v>
      </c>
      <c r="AD628" cm="1">
        <f t="array" ref="AD628">IF(SUMPRODUCT(--($AM$2:$AM$112=TRIM(LEFT($B628,IFERROR(FIND(" ",$B628)-1,LEN($B628))))))&gt;0,1,0)</f>
        <v>0</v>
      </c>
      <c r="AE628" cm="1">
        <f t="array" ref="AE628">IF(SUMPRODUCT(--($AO$2:$AO$145=TRIM(LEFT($B628,IFERROR(FIND(" ",$B628)-1,LEN($B628))))))&gt;0,1,0)</f>
        <v>0</v>
      </c>
      <c r="AF628" cm="1">
        <f t="array" ref="AF628">IF(SUMPRODUCT(--($AQ$2:$AQ$71=TRIM(LEFT($B628,IFERROR(FIND(" ",$B628)-1,LEN($B628))))))&gt;0,1,0)</f>
        <v>0</v>
      </c>
    </row>
    <row r="629" spans="1:32" ht="45.75" thickBot="1" x14ac:dyDescent="0.3">
      <c r="A629" s="13">
        <v>78</v>
      </c>
      <c r="B629" s="4" t="s">
        <v>1321</v>
      </c>
      <c r="C629" s="4" t="s">
        <v>1322</v>
      </c>
      <c r="D629" s="7">
        <v>44286</v>
      </c>
      <c r="E629" s="3">
        <v>1042.71</v>
      </c>
      <c r="F629" s="4" t="s">
        <v>46</v>
      </c>
      <c r="G629" s="3">
        <v>11.28</v>
      </c>
      <c r="H629" s="4" t="s">
        <v>70</v>
      </c>
      <c r="I629" s="4" t="s">
        <v>94</v>
      </c>
      <c r="J629" s="4" t="s">
        <v>108</v>
      </c>
      <c r="K629" s="3">
        <v>30</v>
      </c>
      <c r="L629" s="3">
        <v>30</v>
      </c>
      <c r="M629" s="3">
        <v>17.36</v>
      </c>
      <c r="N629" s="3">
        <v>438.37</v>
      </c>
      <c r="O629" s="4" t="s">
        <v>34</v>
      </c>
      <c r="P629" s="4" t="s">
        <v>34</v>
      </c>
      <c r="Q629" s="4" t="s">
        <v>35</v>
      </c>
      <c r="R629" s="3">
        <v>595.91</v>
      </c>
      <c r="S629" s="3">
        <v>-4.7410300000000003</v>
      </c>
      <c r="T629" s="4" t="s">
        <v>43</v>
      </c>
      <c r="U629" s="2" t="s">
        <v>37</v>
      </c>
      <c r="V629" s="2" t="s">
        <v>37</v>
      </c>
      <c r="W629" s="2" t="s">
        <v>37</v>
      </c>
      <c r="X629" s="2" t="s">
        <v>37</v>
      </c>
      <c r="Y629" s="2" t="s">
        <v>37</v>
      </c>
      <c r="Z629" s="2" t="s">
        <v>37</v>
      </c>
      <c r="AA629" s="6">
        <v>3.0181635390000001</v>
      </c>
      <c r="AB629" s="6">
        <v>2.7751806729999999</v>
      </c>
      <c r="AC629" s="6">
        <v>2.6418408250000001</v>
      </c>
      <c r="AD629" cm="1">
        <f t="array" ref="AD629">IF(SUMPRODUCT(--($AM$2:$AM$112=TRIM(LEFT($B629,IFERROR(FIND(" ",$B629)-1,LEN($B629))))))&gt;0,1,0)</f>
        <v>0</v>
      </c>
      <c r="AE629" cm="1">
        <f t="array" ref="AE629">IF(SUMPRODUCT(--($AO$2:$AO$145=TRIM(LEFT($B629,IFERROR(FIND(" ",$B629)-1,LEN($B629))))))&gt;0,1,0)</f>
        <v>0</v>
      </c>
      <c r="AF629" cm="1">
        <f t="array" ref="AF629">IF(SUMPRODUCT(--($AQ$2:$AQ$71=TRIM(LEFT($B629,IFERROR(FIND(" ",$B629)-1,LEN($B629))))))&gt;0,1,0)</f>
        <v>0</v>
      </c>
    </row>
    <row r="630" spans="1:32" ht="75.75" thickBot="1" x14ac:dyDescent="0.3">
      <c r="A630" s="13">
        <v>69</v>
      </c>
      <c r="B630" s="4" t="s">
        <v>1323</v>
      </c>
      <c r="C630" s="4" t="s">
        <v>1324</v>
      </c>
      <c r="D630" s="7">
        <v>44297</v>
      </c>
      <c r="E630" s="3">
        <v>1663.3</v>
      </c>
      <c r="F630" s="4" t="s">
        <v>30</v>
      </c>
      <c r="G630" s="3">
        <v>17.52</v>
      </c>
      <c r="H630" s="4" t="s">
        <v>41</v>
      </c>
      <c r="I630" s="4" t="s">
        <v>41</v>
      </c>
      <c r="J630" s="4" t="s">
        <v>60</v>
      </c>
      <c r="K630" s="4"/>
      <c r="L630" s="3">
        <v>59.22</v>
      </c>
      <c r="M630" s="4"/>
      <c r="N630" s="3">
        <v>1750.26</v>
      </c>
      <c r="O630" s="4" t="s">
        <v>34</v>
      </c>
      <c r="P630" s="4" t="s">
        <v>56</v>
      </c>
      <c r="Q630" s="4" t="s">
        <v>35</v>
      </c>
      <c r="R630" s="2"/>
      <c r="S630" s="2"/>
      <c r="T630" s="4" t="s">
        <v>97</v>
      </c>
      <c r="U630" s="2" t="s">
        <v>37</v>
      </c>
      <c r="V630" s="2" t="s">
        <v>37</v>
      </c>
      <c r="W630" s="2" t="s">
        <v>38</v>
      </c>
      <c r="X630" s="2" t="s">
        <v>37</v>
      </c>
      <c r="Y630" s="2" t="s">
        <v>37</v>
      </c>
      <c r="Z630" s="2" t="s">
        <v>37</v>
      </c>
      <c r="AA630" s="6">
        <v>3.2209705880000001</v>
      </c>
      <c r="AB630" s="2"/>
      <c r="AC630" s="6">
        <v>3.2431025679999999</v>
      </c>
      <c r="AD630" cm="1">
        <f t="array" ref="AD630">IF(SUMPRODUCT(--($AM$2:$AM$112=TRIM(LEFT($B630,IFERROR(FIND(" ",$B630)-1,LEN($B630))))))&gt;0,1,0)</f>
        <v>0</v>
      </c>
      <c r="AE630" cm="1">
        <f t="array" ref="AE630">IF(SUMPRODUCT(--($AO$2:$AO$145=TRIM(LEFT($B630,IFERROR(FIND(" ",$B630)-1,LEN($B630))))))&gt;0,1,0)</f>
        <v>0</v>
      </c>
      <c r="AF630" cm="1">
        <f t="array" ref="AF630">IF(SUMPRODUCT(--($AQ$2:$AQ$71=TRIM(LEFT($B630,IFERROR(FIND(" ",$B630)-1,LEN($B630))))))&gt;0,1,0)</f>
        <v>1</v>
      </c>
    </row>
    <row r="631" spans="1:32" ht="45.75" thickBot="1" x14ac:dyDescent="0.3">
      <c r="A631" s="13">
        <v>76</v>
      </c>
      <c r="B631" s="4" t="s">
        <v>1325</v>
      </c>
      <c r="C631" s="4" t="s">
        <v>1326</v>
      </c>
      <c r="D631" s="7">
        <v>44281</v>
      </c>
      <c r="E631" s="3">
        <v>1598.76</v>
      </c>
      <c r="F631" s="4" t="s">
        <v>46</v>
      </c>
      <c r="G631" s="3">
        <v>5.29</v>
      </c>
      <c r="H631" s="4" t="s">
        <v>184</v>
      </c>
      <c r="I631" s="4" t="s">
        <v>185</v>
      </c>
      <c r="J631" s="4" t="s">
        <v>186</v>
      </c>
      <c r="K631" s="3">
        <v>21.2</v>
      </c>
      <c r="L631" s="3">
        <v>18.899999999999999</v>
      </c>
      <c r="M631" s="3">
        <v>-4.38</v>
      </c>
      <c r="N631" s="3">
        <v>798.08</v>
      </c>
      <c r="O631" s="4" t="s">
        <v>34</v>
      </c>
      <c r="P631" s="4" t="s">
        <v>34</v>
      </c>
      <c r="Q631" s="4" t="s">
        <v>35</v>
      </c>
      <c r="R631" s="3">
        <v>685.79700000000003</v>
      </c>
      <c r="S631" s="3">
        <v>45.235999999999997</v>
      </c>
      <c r="T631" s="4" t="s">
        <v>43</v>
      </c>
      <c r="U631" s="2" t="s">
        <v>37</v>
      </c>
      <c r="V631" s="2" t="s">
        <v>37</v>
      </c>
      <c r="W631" s="2" t="s">
        <v>37</v>
      </c>
      <c r="X631" s="2" t="s">
        <v>37</v>
      </c>
      <c r="Y631" s="2" t="s">
        <v>37</v>
      </c>
      <c r="Z631" s="2" t="s">
        <v>37</v>
      </c>
      <c r="AA631" s="6">
        <v>3.2037832740000001</v>
      </c>
      <c r="AB631" s="6">
        <v>2.8361955810000001</v>
      </c>
      <c r="AC631" s="6">
        <v>2.9020464270000002</v>
      </c>
      <c r="AD631" cm="1">
        <f t="array" ref="AD631">IF(SUMPRODUCT(--($AM$2:$AM$112=TRIM(LEFT($B631,IFERROR(FIND(" ",$B631)-1,LEN($B631))))))&gt;0,1,0)</f>
        <v>0</v>
      </c>
      <c r="AE631" cm="1">
        <f t="array" ref="AE631">IF(SUMPRODUCT(--($AO$2:$AO$145=TRIM(LEFT($B631,IFERROR(FIND(" ",$B631)-1,LEN($B631))))))&gt;0,1,0)</f>
        <v>0</v>
      </c>
      <c r="AF631" cm="1">
        <f t="array" ref="AF631">IF(SUMPRODUCT(--($AQ$2:$AQ$71=TRIM(LEFT($B631,IFERROR(FIND(" ",$B631)-1,LEN($B631))))))&gt;0,1,0)</f>
        <v>0</v>
      </c>
    </row>
    <row r="632" spans="1:32" ht="60.75" thickBot="1" x14ac:dyDescent="0.3">
      <c r="A632" s="13">
        <v>87</v>
      </c>
      <c r="B632" s="4" t="s">
        <v>1327</v>
      </c>
      <c r="C632" s="4" t="s">
        <v>1328</v>
      </c>
      <c r="D632" s="7">
        <v>44264</v>
      </c>
      <c r="E632" s="3">
        <v>1011.22</v>
      </c>
      <c r="F632" s="4" t="s">
        <v>46</v>
      </c>
      <c r="G632" s="3">
        <v>8.5299999999999994</v>
      </c>
      <c r="H632" s="4" t="s">
        <v>70</v>
      </c>
      <c r="I632" s="4" t="s">
        <v>94</v>
      </c>
      <c r="J632" s="4" t="s">
        <v>95</v>
      </c>
      <c r="K632" s="4"/>
      <c r="L632" s="4"/>
      <c r="M632" s="4"/>
      <c r="N632" s="3">
        <v>366.09</v>
      </c>
      <c r="O632" s="4" t="s">
        <v>49</v>
      </c>
      <c r="P632" s="4" t="s">
        <v>49</v>
      </c>
      <c r="Q632" s="4" t="s">
        <v>35</v>
      </c>
      <c r="R632" s="3">
        <v>1057.69</v>
      </c>
      <c r="S632" s="3">
        <v>5.49451</v>
      </c>
      <c r="T632" s="4" t="s">
        <v>43</v>
      </c>
      <c r="U632" s="2" t="s">
        <v>37</v>
      </c>
      <c r="V632" s="2" t="s">
        <v>37</v>
      </c>
      <c r="W632" s="2" t="s">
        <v>37</v>
      </c>
      <c r="X632" s="2" t="s">
        <v>37</v>
      </c>
      <c r="Y632" s="2" t="s">
        <v>37</v>
      </c>
      <c r="Z632" s="2" t="s">
        <v>37</v>
      </c>
      <c r="AA632" s="6">
        <v>3.0048456510000001</v>
      </c>
      <c r="AB632" s="6">
        <v>3.0243583979999999</v>
      </c>
      <c r="AC632" s="6">
        <v>2.5635878660000002</v>
      </c>
      <c r="AD632" cm="1">
        <f t="array" ref="AD632">IF(SUMPRODUCT(--($AM$2:$AM$112=TRIM(LEFT($B632,IFERROR(FIND(" ",$B632)-1,LEN($B632))))))&gt;0,1,0)</f>
        <v>0</v>
      </c>
      <c r="AE632" cm="1">
        <f t="array" ref="AE632">IF(SUMPRODUCT(--($AO$2:$AO$145=TRIM(LEFT($B632,IFERROR(FIND(" ",$B632)-1,LEN($B632))))))&gt;0,1,0)</f>
        <v>0</v>
      </c>
      <c r="AF632" cm="1">
        <f t="array" ref="AF632">IF(SUMPRODUCT(--($AQ$2:$AQ$71=TRIM(LEFT($B632,IFERROR(FIND(" ",$B632)-1,LEN($B632))))))&gt;0,1,0)</f>
        <v>0</v>
      </c>
    </row>
    <row r="633" spans="1:32" ht="45.75" thickBot="1" x14ac:dyDescent="0.3">
      <c r="A633" s="13">
        <v>52</v>
      </c>
      <c r="B633" s="4" t="s">
        <v>1329</v>
      </c>
      <c r="C633" s="4" t="s">
        <v>1330</v>
      </c>
      <c r="D633" s="7">
        <v>44312</v>
      </c>
      <c r="E633" s="3">
        <v>758.85</v>
      </c>
      <c r="F633" s="4" t="s">
        <v>107</v>
      </c>
      <c r="G633" s="3">
        <v>6.75</v>
      </c>
      <c r="H633" s="4" t="s">
        <v>47</v>
      </c>
      <c r="I633" s="4" t="s">
        <v>47</v>
      </c>
      <c r="J633" s="4" t="s">
        <v>48</v>
      </c>
      <c r="K633" s="3">
        <v>40</v>
      </c>
      <c r="L633" s="3">
        <v>40</v>
      </c>
      <c r="M633" s="3">
        <v>43.29</v>
      </c>
      <c r="N633" s="3">
        <v>770.05</v>
      </c>
      <c r="O633" s="4" t="s">
        <v>49</v>
      </c>
      <c r="P633" s="4" t="s">
        <v>49</v>
      </c>
      <c r="Q633" s="4" t="s">
        <v>35</v>
      </c>
      <c r="R633" s="3">
        <v>681.49099999999999</v>
      </c>
      <c r="S633" s="3">
        <v>22.874199999999998</v>
      </c>
      <c r="T633" s="4" t="s">
        <v>43</v>
      </c>
      <c r="U633" s="2" t="s">
        <v>37</v>
      </c>
      <c r="V633" s="2" t="s">
        <v>37</v>
      </c>
      <c r="W633" s="2" t="s">
        <v>37</v>
      </c>
      <c r="X633" s="2" t="s">
        <v>37</v>
      </c>
      <c r="Y633" s="2" t="s">
        <v>37</v>
      </c>
      <c r="Z633" s="2" t="s">
        <v>37</v>
      </c>
      <c r="AA633" s="6">
        <v>2.8801559380000001</v>
      </c>
      <c r="AB633" s="6">
        <v>2.8334601250000002</v>
      </c>
      <c r="AC633" s="6">
        <v>2.8865189249999998</v>
      </c>
      <c r="AD633" cm="1">
        <f t="array" ref="AD633">IF(SUMPRODUCT(--($AM$2:$AM$112=TRIM(LEFT($B633,IFERROR(FIND(" ",$B633)-1,LEN($B633))))))&gt;0,1,0)</f>
        <v>0</v>
      </c>
      <c r="AE633" cm="1">
        <f t="array" ref="AE633">IF(SUMPRODUCT(--($AO$2:$AO$145=TRIM(LEFT($B633,IFERROR(FIND(" ",$B633)-1,LEN($B633))))))&gt;0,1,0)</f>
        <v>0</v>
      </c>
      <c r="AF633" cm="1">
        <f t="array" ref="AF633">IF(SUMPRODUCT(--($AQ$2:$AQ$71=TRIM(LEFT($B633,IFERROR(FIND(" ",$B633)-1,LEN($B633))))))&gt;0,1,0)</f>
        <v>0</v>
      </c>
    </row>
    <row r="634" spans="1:32" ht="75.75" thickBot="1" x14ac:dyDescent="0.3">
      <c r="A634" s="13">
        <v>93</v>
      </c>
      <c r="B634" s="4" t="s">
        <v>1331</v>
      </c>
      <c r="C634" s="4" t="s">
        <v>1332</v>
      </c>
      <c r="D634" s="7">
        <v>44251</v>
      </c>
      <c r="E634" s="3">
        <v>11733.15</v>
      </c>
      <c r="F634" s="4" t="s">
        <v>107</v>
      </c>
      <c r="G634" s="3">
        <v>23.79</v>
      </c>
      <c r="H634" s="4" t="s">
        <v>41</v>
      </c>
      <c r="I634" s="4" t="s">
        <v>41</v>
      </c>
      <c r="J634" s="4" t="s">
        <v>100</v>
      </c>
      <c r="K634" s="3">
        <v>388</v>
      </c>
      <c r="L634" s="3">
        <v>277</v>
      </c>
      <c r="M634" s="4"/>
      <c r="N634" s="3">
        <v>10588.47</v>
      </c>
      <c r="O634" s="4" t="s">
        <v>34</v>
      </c>
      <c r="P634" s="4" t="s">
        <v>687</v>
      </c>
      <c r="Q634" s="4" t="s">
        <v>35</v>
      </c>
      <c r="R634" s="3">
        <v>3183.36</v>
      </c>
      <c r="S634" s="3">
        <v>10.0322</v>
      </c>
      <c r="T634" s="4" t="s">
        <v>97</v>
      </c>
      <c r="U634" s="2" t="s">
        <v>37</v>
      </c>
      <c r="V634" s="2" t="s">
        <v>37</v>
      </c>
      <c r="W634" s="2" t="s">
        <v>38</v>
      </c>
      <c r="X634" s="2" t="s">
        <v>37</v>
      </c>
      <c r="Y634" s="2" t="s">
        <v>37</v>
      </c>
      <c r="Z634" s="2" t="s">
        <v>37</v>
      </c>
      <c r="AA634" s="6">
        <v>4.0694146230000001</v>
      </c>
      <c r="AB634" s="6">
        <v>3.5028857549999999</v>
      </c>
      <c r="AC634" s="6">
        <v>4.0248332099999997</v>
      </c>
      <c r="AD634" cm="1">
        <f t="array" ref="AD634">IF(SUMPRODUCT(--($AM$2:$AM$112=TRIM(LEFT($B634,IFERROR(FIND(" ",$B634)-1,LEN($B634))))))&gt;0,1,0)</f>
        <v>0</v>
      </c>
      <c r="AE634" cm="1">
        <f t="array" ref="AE634">IF(SUMPRODUCT(--($AO$2:$AO$145=TRIM(LEFT($B634,IFERROR(FIND(" ",$B634)-1,LEN($B634))))))&gt;0,1,0)</f>
        <v>0</v>
      </c>
      <c r="AF634" cm="1">
        <f t="array" ref="AF634">IF(SUMPRODUCT(--($AQ$2:$AQ$71=TRIM(LEFT($B634,IFERROR(FIND(" ",$B634)-1,LEN($B634))))))&gt;0,1,0)</f>
        <v>0</v>
      </c>
    </row>
    <row r="635" spans="1:32" ht="135.75" thickBot="1" x14ac:dyDescent="0.3">
      <c r="A635" s="13">
        <v>169</v>
      </c>
      <c r="B635" s="4" t="s">
        <v>1333</v>
      </c>
      <c r="C635" s="4" t="s">
        <v>1334</v>
      </c>
      <c r="D635" s="7">
        <v>44142</v>
      </c>
      <c r="E635" s="3">
        <v>5606.2</v>
      </c>
      <c r="F635" s="4" t="s">
        <v>30</v>
      </c>
      <c r="G635" s="3">
        <v>53.81</v>
      </c>
      <c r="H635" s="4" t="s">
        <v>70</v>
      </c>
      <c r="I635" s="4" t="s">
        <v>71</v>
      </c>
      <c r="J635" s="4" t="s">
        <v>239</v>
      </c>
      <c r="K635" s="3">
        <v>25</v>
      </c>
      <c r="L635" s="3">
        <v>125</v>
      </c>
      <c r="M635" s="4"/>
      <c r="N635" s="3">
        <v>3684.2</v>
      </c>
      <c r="O635" s="4" t="s">
        <v>34</v>
      </c>
      <c r="P635" s="4" t="s">
        <v>439</v>
      </c>
      <c r="Q635" s="4" t="s">
        <v>35</v>
      </c>
      <c r="R635" s="3">
        <v>7503</v>
      </c>
      <c r="S635" s="3">
        <v>-2.24268</v>
      </c>
      <c r="T635" s="4" t="s">
        <v>1141</v>
      </c>
      <c r="U635" s="2" t="s">
        <v>38</v>
      </c>
      <c r="V635" s="2" t="s">
        <v>37</v>
      </c>
      <c r="W635" s="2" t="s">
        <v>38</v>
      </c>
      <c r="X635" s="2" t="s">
        <v>37</v>
      </c>
      <c r="Y635" s="2" t="s">
        <v>37</v>
      </c>
      <c r="Z635" s="2" t="s">
        <v>37</v>
      </c>
      <c r="AA635" s="6">
        <v>3.7486685870000001</v>
      </c>
      <c r="AB635" s="6">
        <v>3.875234946</v>
      </c>
      <c r="AC635" s="6">
        <v>3.5663431980000002</v>
      </c>
      <c r="AD635" cm="1">
        <f t="array" ref="AD635">IF(SUMPRODUCT(--($AM$2:$AM$112=TRIM(LEFT($B635,IFERROR(FIND(" ",$B635)-1,LEN($B635))))))&gt;0,1,0)</f>
        <v>0</v>
      </c>
      <c r="AE635" cm="1">
        <f t="array" ref="AE635">IF(SUMPRODUCT(--($AO$2:$AO$145=TRIM(LEFT($B635,IFERROR(FIND(" ",$B635)-1,LEN($B635))))))&gt;0,1,0)</f>
        <v>0</v>
      </c>
      <c r="AF635" cm="1">
        <f t="array" ref="AF635">IF(SUMPRODUCT(--($AQ$2:$AQ$71=TRIM(LEFT($B635,IFERROR(FIND(" ",$B635)-1,LEN($B635))))))&gt;0,1,0)</f>
        <v>1</v>
      </c>
    </row>
    <row r="636" spans="1:32" ht="45.75" thickBot="1" x14ac:dyDescent="0.3">
      <c r="A636" s="13">
        <v>129</v>
      </c>
      <c r="B636" s="4" t="s">
        <v>1335</v>
      </c>
      <c r="C636" s="4" t="s">
        <v>1336</v>
      </c>
      <c r="D636" s="7">
        <v>44200</v>
      </c>
      <c r="E636" s="3">
        <v>868.15</v>
      </c>
      <c r="F636" s="4" t="s">
        <v>107</v>
      </c>
      <c r="G636" s="4"/>
      <c r="H636" s="4" t="s">
        <v>65</v>
      </c>
      <c r="I636" s="4" t="s">
        <v>138</v>
      </c>
      <c r="J636" s="4" t="s">
        <v>176</v>
      </c>
      <c r="K636" s="4"/>
      <c r="L636" s="3">
        <v>36</v>
      </c>
      <c r="M636" s="3">
        <v>29.39</v>
      </c>
      <c r="N636" s="3">
        <v>855.2</v>
      </c>
      <c r="O636" s="4" t="s">
        <v>34</v>
      </c>
      <c r="P636" s="4" t="s">
        <v>34</v>
      </c>
      <c r="Q636" s="4" t="s">
        <v>35</v>
      </c>
      <c r="R636" s="3">
        <v>367.589</v>
      </c>
      <c r="S636" s="3">
        <v>20.9071</v>
      </c>
      <c r="T636" s="4" t="s">
        <v>43</v>
      </c>
      <c r="U636" s="2" t="s">
        <v>37</v>
      </c>
      <c r="V636" s="2" t="s">
        <v>37</v>
      </c>
      <c r="W636" s="2" t="s">
        <v>37</v>
      </c>
      <c r="X636" s="2" t="s">
        <v>37</v>
      </c>
      <c r="Y636" s="2" t="s">
        <v>37</v>
      </c>
      <c r="Z636" s="2" t="s">
        <v>37</v>
      </c>
      <c r="AA636" s="6">
        <v>2.9385947699999999</v>
      </c>
      <c r="AB636" s="6">
        <v>2.5653625070000001</v>
      </c>
      <c r="AC636" s="6">
        <v>2.9320676919999999</v>
      </c>
      <c r="AD636" cm="1">
        <f t="array" ref="AD636">IF(SUMPRODUCT(--($AM$2:$AM$112=TRIM(LEFT($B636,IFERROR(FIND(" ",$B636)-1,LEN($B636))))))&gt;0,1,0)</f>
        <v>0</v>
      </c>
      <c r="AE636" cm="1">
        <f t="array" ref="AE636">IF(SUMPRODUCT(--($AO$2:$AO$145=TRIM(LEFT($B636,IFERROR(FIND(" ",$B636)-1,LEN($B636))))))&gt;0,1,0)</f>
        <v>0</v>
      </c>
      <c r="AF636" cm="1">
        <f t="array" ref="AF636">IF(SUMPRODUCT(--($AQ$2:$AQ$71=TRIM(LEFT($B636,IFERROR(FIND(" ",$B636)-1,LEN($B636))))))&gt;0,1,0)</f>
        <v>0</v>
      </c>
    </row>
    <row r="637" spans="1:32" ht="45.75" thickBot="1" x14ac:dyDescent="0.3">
      <c r="A637" s="13">
        <v>148</v>
      </c>
      <c r="B637" s="4" t="s">
        <v>1337</v>
      </c>
      <c r="C637" s="4" t="s">
        <v>1338</v>
      </c>
      <c r="D637" s="7">
        <v>44159</v>
      </c>
      <c r="E637" s="3">
        <v>5718.13</v>
      </c>
      <c r="F637" s="4" t="s">
        <v>46</v>
      </c>
      <c r="G637" s="4"/>
      <c r="H637" s="4" t="s">
        <v>65</v>
      </c>
      <c r="I637" s="4" t="s">
        <v>138</v>
      </c>
      <c r="J637" s="4" t="s">
        <v>176</v>
      </c>
      <c r="K637" s="4"/>
      <c r="L637" s="4"/>
      <c r="M637" s="3">
        <v>-0.09</v>
      </c>
      <c r="N637" s="3">
        <v>2564.13</v>
      </c>
      <c r="O637" s="4" t="s">
        <v>34</v>
      </c>
      <c r="P637" s="4" t="s">
        <v>34</v>
      </c>
      <c r="Q637" s="4" t="s">
        <v>35</v>
      </c>
      <c r="R637" s="3">
        <v>731</v>
      </c>
      <c r="S637" s="3">
        <v>79.337699999999998</v>
      </c>
      <c r="T637" s="4" t="s">
        <v>43</v>
      </c>
      <c r="U637" s="2" t="s">
        <v>37</v>
      </c>
      <c r="V637" s="2" t="s">
        <v>37</v>
      </c>
      <c r="W637" s="2" t="s">
        <v>37</v>
      </c>
      <c r="X637" s="2" t="s">
        <v>37</v>
      </c>
      <c r="Y637" s="2" t="s">
        <v>37</v>
      </c>
      <c r="Z637" s="2" t="s">
        <v>37</v>
      </c>
      <c r="AA637" s="6">
        <v>3.7572540249999999</v>
      </c>
      <c r="AB637" s="6">
        <v>2.8639173769999999</v>
      </c>
      <c r="AC637" s="6">
        <v>3.4089400400000001</v>
      </c>
      <c r="AD637" cm="1">
        <f t="array" ref="AD637">IF(SUMPRODUCT(--($AM$2:$AM$112=TRIM(LEFT($B637,IFERROR(FIND(" ",$B637)-1,LEN($B637))))))&gt;0,1,0)</f>
        <v>0</v>
      </c>
      <c r="AE637" cm="1">
        <f t="array" ref="AE637">IF(SUMPRODUCT(--($AO$2:$AO$145=TRIM(LEFT($B637,IFERROR(FIND(" ",$B637)-1,LEN($B637))))))&gt;0,1,0)</f>
        <v>0</v>
      </c>
      <c r="AF637" cm="1">
        <f t="array" ref="AF637">IF(SUMPRODUCT(--($AQ$2:$AQ$71=TRIM(LEFT($B637,IFERROR(FIND(" ",$B637)-1,LEN($B637))))))&gt;0,1,0)</f>
        <v>0</v>
      </c>
    </row>
    <row r="638" spans="1:32" ht="135.75" thickBot="1" x14ac:dyDescent="0.3">
      <c r="A638" s="13">
        <v>69</v>
      </c>
      <c r="B638" s="4" t="s">
        <v>1339</v>
      </c>
      <c r="C638" s="2"/>
      <c r="D638" s="7">
        <v>44270</v>
      </c>
      <c r="E638" s="3">
        <v>5632.25</v>
      </c>
      <c r="F638" s="4" t="s">
        <v>30</v>
      </c>
      <c r="G638" s="3">
        <v>13.71</v>
      </c>
      <c r="H638" s="4" t="s">
        <v>75</v>
      </c>
      <c r="I638" s="4" t="s">
        <v>111</v>
      </c>
      <c r="J638" s="4" t="s">
        <v>133</v>
      </c>
      <c r="K638" s="4"/>
      <c r="L638" s="3">
        <v>105</v>
      </c>
      <c r="M638" s="4"/>
      <c r="N638" s="3">
        <v>3329.26</v>
      </c>
      <c r="O638" s="4" t="s">
        <v>34</v>
      </c>
      <c r="P638" s="4" t="s">
        <v>34</v>
      </c>
      <c r="Q638" s="4" t="s">
        <v>35</v>
      </c>
      <c r="R638" s="3">
        <v>1042.32</v>
      </c>
      <c r="S638" s="3">
        <v>19.695</v>
      </c>
      <c r="T638" s="4" t="s">
        <v>312</v>
      </c>
      <c r="U638" s="2" t="s">
        <v>37</v>
      </c>
      <c r="V638" s="2" t="s">
        <v>37</v>
      </c>
      <c r="W638" s="2" t="s">
        <v>37</v>
      </c>
      <c r="X638" s="2" t="s">
        <v>38</v>
      </c>
      <c r="Y638" s="2" t="s">
        <v>38</v>
      </c>
      <c r="Z638" s="2" t="s">
        <v>37</v>
      </c>
      <c r="AA638" s="6">
        <v>3.7506819239999998</v>
      </c>
      <c r="AB638" s="6">
        <v>3.018001071</v>
      </c>
      <c r="AC638" s="6">
        <v>3.5223477129999998</v>
      </c>
      <c r="AD638" cm="1">
        <f t="array" ref="AD638">IF(SUMPRODUCT(--($AM$2:$AM$112=TRIM(LEFT($B638,IFERROR(FIND(" ",$B638)-1,LEN($B638))))))&gt;0,1,0)</f>
        <v>0</v>
      </c>
      <c r="AE638" cm="1">
        <f t="array" ref="AE638">IF(SUMPRODUCT(--($AO$2:$AO$145=TRIM(LEFT($B638,IFERROR(FIND(" ",$B638)-1,LEN($B638))))))&gt;0,1,0)</f>
        <v>0</v>
      </c>
      <c r="AF638" cm="1">
        <f t="array" ref="AF638">IF(SUMPRODUCT(--($AQ$2:$AQ$71=TRIM(LEFT($B638,IFERROR(FIND(" ",$B638)-1,LEN($B638))))))&gt;0,1,0)</f>
        <v>0</v>
      </c>
    </row>
    <row r="639" spans="1:32" ht="75.75" thickBot="1" x14ac:dyDescent="0.3">
      <c r="A639" s="13">
        <v>265</v>
      </c>
      <c r="B639" s="4" t="s">
        <v>1340</v>
      </c>
      <c r="C639" s="4" t="s">
        <v>1341</v>
      </c>
      <c r="D639" s="7">
        <v>43992</v>
      </c>
      <c r="E639" s="3">
        <v>7300</v>
      </c>
      <c r="F639" s="4" t="s">
        <v>46</v>
      </c>
      <c r="G639" s="3">
        <v>47.58</v>
      </c>
      <c r="H639" s="4" t="s">
        <v>184</v>
      </c>
      <c r="I639" s="4" t="s">
        <v>185</v>
      </c>
      <c r="J639" s="4" t="s">
        <v>762</v>
      </c>
      <c r="K639" s="3">
        <v>144</v>
      </c>
      <c r="L639" s="3">
        <v>144</v>
      </c>
      <c r="M639" s="4"/>
      <c r="N639" s="3">
        <v>7103.96</v>
      </c>
      <c r="O639" s="4" t="s">
        <v>34</v>
      </c>
      <c r="P639" s="4" t="s">
        <v>1021</v>
      </c>
      <c r="Q639" s="4" t="s">
        <v>35</v>
      </c>
      <c r="R639" s="3">
        <v>1819.98</v>
      </c>
      <c r="S639" s="3">
        <v>-8.5665700000000005</v>
      </c>
      <c r="T639" s="4" t="s">
        <v>97</v>
      </c>
      <c r="U639" s="2" t="s">
        <v>37</v>
      </c>
      <c r="V639" s="2" t="s">
        <v>37</v>
      </c>
      <c r="W639" s="2" t="s">
        <v>38</v>
      </c>
      <c r="X639" s="2" t="s">
        <v>37</v>
      </c>
      <c r="Y639" s="2" t="s">
        <v>37</v>
      </c>
      <c r="Z639" s="2" t="s">
        <v>37</v>
      </c>
      <c r="AA639" s="6">
        <v>3.8633228599999998</v>
      </c>
      <c r="AB639" s="6">
        <v>3.2600666149999999</v>
      </c>
      <c r="AC639" s="6">
        <v>3.8515005069999999</v>
      </c>
      <c r="AD639" cm="1">
        <f t="array" ref="AD639">IF(SUMPRODUCT(--($AM$2:$AM$112=TRIM(LEFT($B639,IFERROR(FIND(" ",$B639)-1,LEN($B639))))))&gt;0,1,0)</f>
        <v>0</v>
      </c>
      <c r="AE639" cm="1">
        <f t="array" ref="AE639">IF(SUMPRODUCT(--($AO$2:$AO$145=TRIM(LEFT($B639,IFERROR(FIND(" ",$B639)-1,LEN($B639))))))&gt;0,1,0)</f>
        <v>0</v>
      </c>
      <c r="AF639" cm="1">
        <f t="array" ref="AF639">IF(SUMPRODUCT(--($AQ$2:$AQ$71=TRIM(LEFT($B639,IFERROR(FIND(" ",$B639)-1,LEN($B639))))))&gt;0,1,0)</f>
        <v>0</v>
      </c>
    </row>
    <row r="640" spans="1:32" ht="45.75" thickBot="1" x14ac:dyDescent="0.3">
      <c r="A640" s="13">
        <v>129</v>
      </c>
      <c r="B640" s="4" t="s">
        <v>1342</v>
      </c>
      <c r="C640" s="4" t="s">
        <v>236</v>
      </c>
      <c r="D640" s="7">
        <v>44178</v>
      </c>
      <c r="E640" s="3">
        <v>5717.89</v>
      </c>
      <c r="F640" s="4" t="s">
        <v>46</v>
      </c>
      <c r="G640" s="4"/>
      <c r="H640" s="4" t="s">
        <v>65</v>
      </c>
      <c r="I640" s="4" t="s">
        <v>66</v>
      </c>
      <c r="J640" s="4" t="s">
        <v>66</v>
      </c>
      <c r="K640" s="3">
        <v>238.8</v>
      </c>
      <c r="L640" s="3">
        <v>238.8</v>
      </c>
      <c r="M640" s="3">
        <v>7.67</v>
      </c>
      <c r="N640" s="3">
        <v>5717.89</v>
      </c>
      <c r="O640" s="4" t="s">
        <v>34</v>
      </c>
      <c r="P640" s="4" t="s">
        <v>34</v>
      </c>
      <c r="Q640" s="4" t="s">
        <v>35</v>
      </c>
      <c r="R640" s="3">
        <v>2281.7199999999998</v>
      </c>
      <c r="S640" s="3">
        <v>17.128299999999999</v>
      </c>
      <c r="T640" s="4" t="s">
        <v>43</v>
      </c>
      <c r="U640" s="2" t="s">
        <v>37</v>
      </c>
      <c r="V640" s="2" t="s">
        <v>37</v>
      </c>
      <c r="W640" s="2" t="s">
        <v>37</v>
      </c>
      <c r="X640" s="2" t="s">
        <v>37</v>
      </c>
      <c r="Y640" s="2" t="s">
        <v>37</v>
      </c>
      <c r="Z640" s="2" t="s">
        <v>37</v>
      </c>
      <c r="AA640" s="6">
        <v>3.7572357959999998</v>
      </c>
      <c r="AB640" s="6">
        <v>3.3582623489999999</v>
      </c>
      <c r="AC640" s="6">
        <v>3.7572357959999998</v>
      </c>
      <c r="AD640" cm="1">
        <f t="array" ref="AD640">IF(SUMPRODUCT(--($AM$2:$AM$112=TRIM(LEFT($B640,IFERROR(FIND(" ",$B640)-1,LEN($B640))))))&gt;0,1,0)</f>
        <v>0</v>
      </c>
      <c r="AE640" cm="1">
        <f t="array" ref="AE640">IF(SUMPRODUCT(--($AO$2:$AO$145=TRIM(LEFT($B640,IFERROR(FIND(" ",$B640)-1,LEN($B640))))))&gt;0,1,0)</f>
        <v>0</v>
      </c>
      <c r="AF640" cm="1">
        <f t="array" ref="AF640">IF(SUMPRODUCT(--($AQ$2:$AQ$71=TRIM(LEFT($B640,IFERROR(FIND(" ",$B640)-1,LEN($B640))))))&gt;0,1,0)</f>
        <v>0</v>
      </c>
    </row>
    <row r="641" spans="1:32" ht="75.75" thickBot="1" x14ac:dyDescent="0.3">
      <c r="A641" s="13">
        <v>76</v>
      </c>
      <c r="B641" s="4" t="s">
        <v>1343</v>
      </c>
      <c r="C641" s="4" t="s">
        <v>1344</v>
      </c>
      <c r="D641" s="7">
        <v>44249</v>
      </c>
      <c r="E641" s="3">
        <v>2595.71</v>
      </c>
      <c r="F641" s="4" t="s">
        <v>107</v>
      </c>
      <c r="G641" s="3">
        <v>6.01</v>
      </c>
      <c r="H641" s="4" t="s">
        <v>75</v>
      </c>
      <c r="I641" s="4" t="s">
        <v>76</v>
      </c>
      <c r="J641" s="4" t="s">
        <v>298</v>
      </c>
      <c r="K641" s="4"/>
      <c r="L641" s="4"/>
      <c r="M641" s="4"/>
      <c r="N641" s="3">
        <v>2669.58</v>
      </c>
      <c r="O641" s="4" t="s">
        <v>34</v>
      </c>
      <c r="P641" s="4" t="s">
        <v>34</v>
      </c>
      <c r="Q641" s="4" t="s">
        <v>35</v>
      </c>
      <c r="R641" s="3">
        <v>2521.0700000000002</v>
      </c>
      <c r="S641" s="3">
        <v>10.3919</v>
      </c>
      <c r="T641" s="4" t="s">
        <v>43</v>
      </c>
      <c r="U641" s="2" t="s">
        <v>37</v>
      </c>
      <c r="V641" s="2" t="s">
        <v>37</v>
      </c>
      <c r="W641" s="2" t="s">
        <v>37</v>
      </c>
      <c r="X641" s="2" t="s">
        <v>37</v>
      </c>
      <c r="Y641" s="2" t="s">
        <v>37</v>
      </c>
      <c r="Z641" s="2" t="s">
        <v>37</v>
      </c>
      <c r="AA641" s="6">
        <v>3.4142561699999998</v>
      </c>
      <c r="AB641" s="6">
        <v>3.4015849039999999</v>
      </c>
      <c r="AC641" s="6">
        <v>3.4264429399999998</v>
      </c>
      <c r="AD641" cm="1">
        <f t="array" ref="AD641">IF(SUMPRODUCT(--($AM$2:$AM$112=TRIM(LEFT($B641,IFERROR(FIND(" ",$B641)-1,LEN($B641))))))&gt;0,1,0)</f>
        <v>1</v>
      </c>
      <c r="AE641" cm="1">
        <f t="array" ref="AE641">IF(SUMPRODUCT(--($AO$2:$AO$145=TRIM(LEFT($B641,IFERROR(FIND(" ",$B641)-1,LEN($B641))))))&gt;0,1,0)</f>
        <v>0</v>
      </c>
      <c r="AF641" cm="1">
        <f t="array" ref="AF641">IF(SUMPRODUCT(--($AQ$2:$AQ$71=TRIM(LEFT($B641,IFERROR(FIND(" ",$B641)-1,LEN($B641))))))&gt;0,1,0)</f>
        <v>0</v>
      </c>
    </row>
    <row r="642" spans="1:32" ht="105.75" thickBot="1" x14ac:dyDescent="0.3">
      <c r="A642" s="13">
        <v>87</v>
      </c>
      <c r="B642" s="4" t="s">
        <v>1345</v>
      </c>
      <c r="C642" s="2"/>
      <c r="D642" s="7">
        <v>44231</v>
      </c>
      <c r="E642" s="3">
        <v>7609.67</v>
      </c>
      <c r="F642" s="4" t="s">
        <v>30</v>
      </c>
      <c r="G642" s="3">
        <v>14.45</v>
      </c>
      <c r="H642" s="4" t="s">
        <v>51</v>
      </c>
      <c r="I642" s="4" t="s">
        <v>51</v>
      </c>
      <c r="J642" s="4" t="s">
        <v>261</v>
      </c>
      <c r="K642" s="4"/>
      <c r="L642" s="4"/>
      <c r="M642" s="4"/>
      <c r="N642" s="3">
        <v>6222.3</v>
      </c>
      <c r="O642" s="4" t="s">
        <v>34</v>
      </c>
      <c r="P642" s="4" t="s">
        <v>34</v>
      </c>
      <c r="Q642" s="4" t="s">
        <v>399</v>
      </c>
      <c r="R642" s="3">
        <v>1642.38</v>
      </c>
      <c r="S642" s="3">
        <v>20.502800000000001</v>
      </c>
      <c r="T642" s="4" t="s">
        <v>1346</v>
      </c>
      <c r="U642" s="2" t="s">
        <v>37</v>
      </c>
      <c r="V642" s="2" t="s">
        <v>37</v>
      </c>
      <c r="W642" s="2" t="s">
        <v>37</v>
      </c>
      <c r="X642" s="2" t="s">
        <v>37</v>
      </c>
      <c r="Y642" s="2" t="s">
        <v>38</v>
      </c>
      <c r="Z642" s="2" t="s">
        <v>37</v>
      </c>
      <c r="AA642" s="6">
        <v>3.881365824</v>
      </c>
      <c r="AB642" s="6">
        <v>3.2154736480000001</v>
      </c>
      <c r="AC642" s="6">
        <v>3.7939509459999998</v>
      </c>
      <c r="AD642" cm="1">
        <f t="array" ref="AD642">IF(SUMPRODUCT(--($AM$2:$AM$112=TRIM(LEFT($B642,IFERROR(FIND(" ",$B642)-1,LEN($B642))))))&gt;0,1,0)</f>
        <v>0</v>
      </c>
      <c r="AE642" cm="1">
        <f t="array" ref="AE642">IF(SUMPRODUCT(--($AO$2:$AO$145=TRIM(LEFT($B642,IFERROR(FIND(" ",$B642)-1,LEN($B642))))))&gt;0,1,0)</f>
        <v>0</v>
      </c>
      <c r="AF642" cm="1">
        <f t="array" ref="AF642">IF(SUMPRODUCT(--($AQ$2:$AQ$71=TRIM(LEFT($B642,IFERROR(FIND(" ",$B642)-1,LEN($B642))))))&gt;0,1,0)</f>
        <v>0</v>
      </c>
    </row>
    <row r="643" spans="1:32" ht="135.75" thickBot="1" x14ac:dyDescent="0.3">
      <c r="A643" s="13">
        <v>69</v>
      </c>
      <c r="B643" s="4" t="s">
        <v>1347</v>
      </c>
      <c r="C643" s="4" t="s">
        <v>1348</v>
      </c>
      <c r="D643" s="7">
        <v>44256</v>
      </c>
      <c r="E643" s="3">
        <v>758.24</v>
      </c>
      <c r="F643" s="4" t="s">
        <v>30</v>
      </c>
      <c r="G643" s="3">
        <v>9.89</v>
      </c>
      <c r="H643" s="4" t="s">
        <v>184</v>
      </c>
      <c r="I643" s="4" t="s">
        <v>185</v>
      </c>
      <c r="J643" s="4" t="s">
        <v>762</v>
      </c>
      <c r="K643" s="3">
        <v>32.725000000000001</v>
      </c>
      <c r="L643" s="3">
        <v>13.09</v>
      </c>
      <c r="M643" s="4"/>
      <c r="N643" s="3">
        <v>623.42999999999995</v>
      </c>
      <c r="O643" s="4" t="s">
        <v>34</v>
      </c>
      <c r="P643" s="4" t="s">
        <v>34</v>
      </c>
      <c r="Q643" s="4" t="s">
        <v>35</v>
      </c>
      <c r="R643" s="3">
        <v>237.416</v>
      </c>
      <c r="S643" s="3">
        <v>-5.21774</v>
      </c>
      <c r="T643" s="4" t="s">
        <v>312</v>
      </c>
      <c r="U643" s="2" t="s">
        <v>37</v>
      </c>
      <c r="V643" s="2" t="s">
        <v>37</v>
      </c>
      <c r="W643" s="2" t="s">
        <v>37</v>
      </c>
      <c r="X643" s="2" t="s">
        <v>38</v>
      </c>
      <c r="Y643" s="2" t="s">
        <v>38</v>
      </c>
      <c r="Z643" s="2" t="s">
        <v>37</v>
      </c>
      <c r="AA643" s="6">
        <v>2.8798066910000002</v>
      </c>
      <c r="AB643" s="6">
        <v>2.3755099839999998</v>
      </c>
      <c r="AC643" s="6">
        <v>2.7947876969999998</v>
      </c>
      <c r="AD643" cm="1">
        <f t="array" ref="AD643">IF(SUMPRODUCT(--($AM$2:$AM$112=TRIM(LEFT($B643,IFERROR(FIND(" ",$B643)-1,LEN($B643))))))&gt;0,1,0)</f>
        <v>0</v>
      </c>
      <c r="AE643" cm="1">
        <f t="array" ref="AE643">IF(SUMPRODUCT(--($AO$2:$AO$145=TRIM(LEFT($B643,IFERROR(FIND(" ",$B643)-1,LEN($B643))))))&gt;0,1,0)</f>
        <v>0</v>
      </c>
      <c r="AF643" cm="1">
        <f t="array" ref="AF643">IF(SUMPRODUCT(--($AQ$2:$AQ$71=TRIM(LEFT($B643,IFERROR(FIND(" ",$B643)-1,LEN($B643))))))&gt;0,1,0)</f>
        <v>0</v>
      </c>
    </row>
    <row r="644" spans="1:32" ht="60.75" thickBot="1" x14ac:dyDescent="0.3">
      <c r="A644" s="13">
        <v>102</v>
      </c>
      <c r="B644" s="4" t="s">
        <v>1349</v>
      </c>
      <c r="C644" s="4" t="s">
        <v>1350</v>
      </c>
      <c r="D644" s="7">
        <v>44208</v>
      </c>
      <c r="E644" s="3">
        <v>4186.6000000000004</v>
      </c>
      <c r="F644" s="4" t="s">
        <v>107</v>
      </c>
      <c r="G644" s="3">
        <v>24.66</v>
      </c>
      <c r="H644" s="4" t="s">
        <v>41</v>
      </c>
      <c r="I644" s="4" t="s">
        <v>41</v>
      </c>
      <c r="J644" s="4" t="s">
        <v>60</v>
      </c>
      <c r="K644" s="4"/>
      <c r="L644" s="3">
        <v>127.4</v>
      </c>
      <c r="M644" s="4"/>
      <c r="N644" s="3">
        <v>3407.77</v>
      </c>
      <c r="O644" s="4" t="s">
        <v>34</v>
      </c>
      <c r="P644" s="4" t="s">
        <v>34</v>
      </c>
      <c r="Q644" s="4" t="s">
        <v>35</v>
      </c>
      <c r="R644" s="3">
        <v>1016.05</v>
      </c>
      <c r="S644" s="3">
        <v>11.538</v>
      </c>
      <c r="T644" s="4" t="s">
        <v>43</v>
      </c>
      <c r="U644" s="2" t="s">
        <v>37</v>
      </c>
      <c r="V644" s="2" t="s">
        <v>37</v>
      </c>
      <c r="W644" s="2" t="s">
        <v>37</v>
      </c>
      <c r="X644" s="2" t="s">
        <v>37</v>
      </c>
      <c r="Y644" s="2" t="s">
        <v>37</v>
      </c>
      <c r="Z644" s="2" t="s">
        <v>37</v>
      </c>
      <c r="AA644" s="6">
        <v>3.6218614690000002</v>
      </c>
      <c r="AB644" s="6">
        <v>3.0069150800000002</v>
      </c>
      <c r="AC644" s="6">
        <v>3.5324702750000001</v>
      </c>
      <c r="AD644" cm="1">
        <f t="array" ref="AD644">IF(SUMPRODUCT(--($AM$2:$AM$112=TRIM(LEFT($B644,IFERROR(FIND(" ",$B644)-1,LEN($B644))))))&gt;0,1,0)</f>
        <v>0</v>
      </c>
      <c r="AE644" cm="1">
        <f t="array" ref="AE644">IF(SUMPRODUCT(--($AO$2:$AO$145=TRIM(LEFT($B644,IFERROR(FIND(" ",$B644)-1,LEN($B644))))))&gt;0,1,0)</f>
        <v>0</v>
      </c>
      <c r="AF644" cm="1">
        <f t="array" ref="AF644">IF(SUMPRODUCT(--($AQ$2:$AQ$71=TRIM(LEFT($B644,IFERROR(FIND(" ",$B644)-1,LEN($B644))))))&gt;0,1,0)</f>
        <v>0</v>
      </c>
    </row>
    <row r="645" spans="1:32" ht="210.75" thickBot="1" x14ac:dyDescent="0.3">
      <c r="A645" s="13">
        <v>53</v>
      </c>
      <c r="B645" s="4" t="s">
        <v>1351</v>
      </c>
      <c r="C645" s="2"/>
      <c r="D645" s="7">
        <v>44273</v>
      </c>
      <c r="E645" s="3">
        <v>844.11</v>
      </c>
      <c r="F645" s="4" t="s">
        <v>30</v>
      </c>
      <c r="G645" s="3">
        <v>14.52</v>
      </c>
      <c r="H645" s="4" t="s">
        <v>75</v>
      </c>
      <c r="I645" s="4" t="s">
        <v>83</v>
      </c>
      <c r="J645" s="4" t="s">
        <v>84</v>
      </c>
      <c r="K645" s="3">
        <v>27.4</v>
      </c>
      <c r="L645" s="3">
        <v>39.15</v>
      </c>
      <c r="M645" s="4"/>
      <c r="N645" s="3">
        <v>627.9</v>
      </c>
      <c r="O645" s="4" t="s">
        <v>49</v>
      </c>
      <c r="P645" s="4" t="s">
        <v>49</v>
      </c>
      <c r="Q645" s="4" t="s">
        <v>35</v>
      </c>
      <c r="R645" s="3">
        <v>204.97300000000001</v>
      </c>
      <c r="S645" s="3">
        <v>12.6882</v>
      </c>
      <c r="T645" s="4" t="s">
        <v>573</v>
      </c>
      <c r="U645" s="2" t="s">
        <v>38</v>
      </c>
      <c r="V645" s="2" t="s">
        <v>37</v>
      </c>
      <c r="W645" s="2" t="s">
        <v>38</v>
      </c>
      <c r="X645" s="2" t="s">
        <v>38</v>
      </c>
      <c r="Y645" s="2" t="s">
        <v>38</v>
      </c>
      <c r="Z645" s="2" t="s">
        <v>37</v>
      </c>
      <c r="AA645" s="6">
        <v>2.9263990450000001</v>
      </c>
      <c r="AB645" s="6">
        <v>2.3116966579999998</v>
      </c>
      <c r="AC645" s="6">
        <v>2.7978904830000002</v>
      </c>
      <c r="AD645" cm="1">
        <f t="array" ref="AD645">IF(SUMPRODUCT(--($AM$2:$AM$112=TRIM(LEFT($B645,IFERROR(FIND(" ",$B645)-1,LEN($B645))))))&gt;0,1,0)</f>
        <v>0</v>
      </c>
      <c r="AE645" cm="1">
        <f t="array" ref="AE645">IF(SUMPRODUCT(--($AO$2:$AO$145=TRIM(LEFT($B645,IFERROR(FIND(" ",$B645)-1,LEN($B645))))))&gt;0,1,0)</f>
        <v>0</v>
      </c>
      <c r="AF645" cm="1">
        <f t="array" ref="AF645">IF(SUMPRODUCT(--($AQ$2:$AQ$71=TRIM(LEFT($B645,IFERROR(FIND(" ",$B645)-1,LEN($B645))))))&gt;0,1,0)</f>
        <v>0</v>
      </c>
    </row>
    <row r="646" spans="1:32" ht="75.75" thickBot="1" x14ac:dyDescent="0.3">
      <c r="A646" s="13">
        <v>29</v>
      </c>
      <c r="B646" s="4" t="s">
        <v>1352</v>
      </c>
      <c r="C646" s="4" t="s">
        <v>1353</v>
      </c>
      <c r="D646" s="7">
        <v>44302</v>
      </c>
      <c r="E646" s="3">
        <v>594.74</v>
      </c>
      <c r="F646" s="4" t="s">
        <v>30</v>
      </c>
      <c r="G646" s="3">
        <v>8</v>
      </c>
      <c r="H646" s="4" t="s">
        <v>65</v>
      </c>
      <c r="I646" s="4" t="s">
        <v>138</v>
      </c>
      <c r="J646" s="4" t="s">
        <v>139</v>
      </c>
      <c r="K646" s="4"/>
      <c r="L646" s="3">
        <v>22</v>
      </c>
      <c r="M646" s="4"/>
      <c r="N646" s="3">
        <v>594.74</v>
      </c>
      <c r="O646" s="4" t="s">
        <v>34</v>
      </c>
      <c r="P646" s="4" t="s">
        <v>34</v>
      </c>
      <c r="Q646" s="4" t="s">
        <v>35</v>
      </c>
      <c r="R646" s="3">
        <v>356.47899999999998</v>
      </c>
      <c r="S646" s="3">
        <v>12.226900000000001</v>
      </c>
      <c r="T646" s="4" t="s">
        <v>88</v>
      </c>
      <c r="U646" s="2" t="s">
        <v>37</v>
      </c>
      <c r="V646" s="2" t="s">
        <v>37</v>
      </c>
      <c r="W646" s="2" t="s">
        <v>37</v>
      </c>
      <c r="X646" s="2" t="s">
        <v>37</v>
      </c>
      <c r="Y646" s="2" t="s">
        <v>37</v>
      </c>
      <c r="Z646" s="2" t="s">
        <v>38</v>
      </c>
      <c r="AA646" s="6">
        <v>2.7743271489999999</v>
      </c>
      <c r="AB646" s="6">
        <v>2.5520339509999999</v>
      </c>
      <c r="AC646" s="6">
        <v>2.7743271489999999</v>
      </c>
      <c r="AD646" cm="1">
        <f t="array" ref="AD646">IF(SUMPRODUCT(--($AM$2:$AM$112=TRIM(LEFT($B646,IFERROR(FIND(" ",$B646)-1,LEN($B646))))))&gt;0,1,0)</f>
        <v>0</v>
      </c>
      <c r="AE646" cm="1">
        <f t="array" ref="AE646">IF(SUMPRODUCT(--($AO$2:$AO$145=TRIM(LEFT($B646,IFERROR(FIND(" ",$B646)-1,LEN($B646))))))&gt;0,1,0)</f>
        <v>0</v>
      </c>
      <c r="AF646" cm="1">
        <f t="array" ref="AF646">IF(SUMPRODUCT(--($AQ$2:$AQ$71=TRIM(LEFT($B646,IFERROR(FIND(" ",$B646)-1,LEN($B646))))))&gt;0,1,0)</f>
        <v>0</v>
      </c>
    </row>
    <row r="647" spans="1:32" ht="75.75" thickBot="1" x14ac:dyDescent="0.3">
      <c r="A647" s="13">
        <v>98</v>
      </c>
      <c r="B647" s="4" t="s">
        <v>1354</v>
      </c>
      <c r="C647" s="4" t="s">
        <v>1355</v>
      </c>
      <c r="D647" s="7">
        <v>44207</v>
      </c>
      <c r="E647" s="3">
        <v>587.39</v>
      </c>
      <c r="F647" s="4" t="s">
        <v>30</v>
      </c>
      <c r="G647" s="4"/>
      <c r="H647" s="4" t="s">
        <v>65</v>
      </c>
      <c r="I647" s="4" t="s">
        <v>206</v>
      </c>
      <c r="J647" s="4" t="s">
        <v>206</v>
      </c>
      <c r="K647" s="4"/>
      <c r="L647" s="4"/>
      <c r="M647" s="3">
        <v>15.41</v>
      </c>
      <c r="N647" s="3">
        <v>587.39</v>
      </c>
      <c r="O647" s="4" t="s">
        <v>34</v>
      </c>
      <c r="P647" s="4" t="s">
        <v>34</v>
      </c>
      <c r="Q647" s="4" t="s">
        <v>399</v>
      </c>
      <c r="R647" s="3">
        <v>732.26499999999999</v>
      </c>
      <c r="S647" s="3">
        <v>14.318</v>
      </c>
      <c r="T647" s="4" t="s">
        <v>113</v>
      </c>
      <c r="U647" s="2" t="s">
        <v>37</v>
      </c>
      <c r="V647" s="2" t="s">
        <v>37</v>
      </c>
      <c r="W647" s="2" t="s">
        <v>37</v>
      </c>
      <c r="X647" s="2" t="s">
        <v>38</v>
      </c>
      <c r="Y647" s="2" t="s">
        <v>37</v>
      </c>
      <c r="Z647" s="2" t="s">
        <v>37</v>
      </c>
      <c r="AA647" s="6">
        <v>2.7689265490000001</v>
      </c>
      <c r="AB647" s="6">
        <v>2.8646682769999998</v>
      </c>
      <c r="AC647" s="6">
        <v>2.7689265490000001</v>
      </c>
      <c r="AD647" cm="1">
        <f t="array" ref="AD647">IF(SUMPRODUCT(--($AM$2:$AM$112=TRIM(LEFT($B647,IFERROR(FIND(" ",$B647)-1,LEN($B647))))))&gt;0,1,0)</f>
        <v>0</v>
      </c>
      <c r="AE647" cm="1">
        <f t="array" ref="AE647">IF(SUMPRODUCT(--($AO$2:$AO$145=TRIM(LEFT($B647,IFERROR(FIND(" ",$B647)-1,LEN($B647))))))&gt;0,1,0)</f>
        <v>0</v>
      </c>
      <c r="AF647" cm="1">
        <f t="array" ref="AF647">IF(SUMPRODUCT(--($AQ$2:$AQ$71=TRIM(LEFT($B647,IFERROR(FIND(" ",$B647)-1,LEN($B647))))))&gt;0,1,0)</f>
        <v>0</v>
      </c>
    </row>
    <row r="648" spans="1:32" ht="180.75" thickBot="1" x14ac:dyDescent="0.3">
      <c r="A648" s="13">
        <v>77</v>
      </c>
      <c r="B648" s="4" t="s">
        <v>1356</v>
      </c>
      <c r="C648" s="2"/>
      <c r="D648" s="7">
        <v>44235</v>
      </c>
      <c r="E648" s="3">
        <v>2798.59</v>
      </c>
      <c r="F648" s="4" t="s">
        <v>30</v>
      </c>
      <c r="G648" s="3">
        <v>18.63</v>
      </c>
      <c r="H648" s="4" t="s">
        <v>31</v>
      </c>
      <c r="I648" s="4" t="s">
        <v>432</v>
      </c>
      <c r="J648" s="4" t="s">
        <v>433</v>
      </c>
      <c r="K648" s="4"/>
      <c r="L648" s="4"/>
      <c r="M648" s="4"/>
      <c r="N648" s="3">
        <v>2009.66</v>
      </c>
      <c r="O648" s="4" t="s">
        <v>34</v>
      </c>
      <c r="P648" s="4" t="s">
        <v>34</v>
      </c>
      <c r="Q648" s="4" t="s">
        <v>35</v>
      </c>
      <c r="R648" s="3">
        <v>1476.23</v>
      </c>
      <c r="S648" s="3">
        <v>4.95486</v>
      </c>
      <c r="T648" s="4" t="s">
        <v>1357</v>
      </c>
      <c r="U648" s="2" t="s">
        <v>38</v>
      </c>
      <c r="V648" s="2" t="s">
        <v>37</v>
      </c>
      <c r="W648" s="2" t="s">
        <v>37</v>
      </c>
      <c r="X648" s="2" t="s">
        <v>38</v>
      </c>
      <c r="Y648" s="2" t="s">
        <v>38</v>
      </c>
      <c r="Z648" s="2" t="s">
        <v>37</v>
      </c>
      <c r="AA648" s="6">
        <v>3.4469392779999999</v>
      </c>
      <c r="AB648" s="6">
        <v>3.1691540269999998</v>
      </c>
      <c r="AC648" s="6">
        <v>3.3031225879999999</v>
      </c>
      <c r="AD648" cm="1">
        <f t="array" ref="AD648">IF(SUMPRODUCT(--($AM$2:$AM$112=TRIM(LEFT($B648,IFERROR(FIND(" ",$B648)-1,LEN($B648))))))&gt;0,1,0)</f>
        <v>0</v>
      </c>
      <c r="AE648" cm="1">
        <f t="array" ref="AE648">IF(SUMPRODUCT(--($AO$2:$AO$145=TRIM(LEFT($B648,IFERROR(FIND(" ",$B648)-1,LEN($B648))))))&gt;0,1,0)</f>
        <v>0</v>
      </c>
      <c r="AF648" cm="1">
        <f t="array" ref="AF648">IF(SUMPRODUCT(--($AQ$2:$AQ$71=TRIM(LEFT($B648,IFERROR(FIND(" ",$B648)-1,LEN($B648))))))&gt;0,1,0)</f>
        <v>0</v>
      </c>
    </row>
    <row r="649" spans="1:32" ht="135.75" thickBot="1" x14ac:dyDescent="0.3">
      <c r="A649" s="13">
        <v>66</v>
      </c>
      <c r="B649" s="4" t="s">
        <v>1358</v>
      </c>
      <c r="C649" s="4" t="s">
        <v>1359</v>
      </c>
      <c r="D649" s="7">
        <v>44243</v>
      </c>
      <c r="E649" s="3">
        <v>1141.76</v>
      </c>
      <c r="F649" s="4" t="s">
        <v>30</v>
      </c>
      <c r="G649" s="3">
        <v>12.77</v>
      </c>
      <c r="H649" s="4" t="s">
        <v>70</v>
      </c>
      <c r="I649" s="4" t="s">
        <v>94</v>
      </c>
      <c r="J649" s="4" t="s">
        <v>170</v>
      </c>
      <c r="K649" s="3">
        <v>90</v>
      </c>
      <c r="L649" s="3">
        <v>50</v>
      </c>
      <c r="M649" s="4"/>
      <c r="N649" s="3">
        <v>923.19</v>
      </c>
      <c r="O649" s="4" t="s">
        <v>34</v>
      </c>
      <c r="P649" s="4" t="s">
        <v>34</v>
      </c>
      <c r="Q649" s="4" t="s">
        <v>35</v>
      </c>
      <c r="R649" s="3">
        <v>807.76400000000001</v>
      </c>
      <c r="S649" s="3">
        <v>-0.53549400000000003</v>
      </c>
      <c r="T649" s="4" t="s">
        <v>312</v>
      </c>
      <c r="U649" s="2" t="s">
        <v>37</v>
      </c>
      <c r="V649" s="2" t="s">
        <v>37</v>
      </c>
      <c r="W649" s="2" t="s">
        <v>37</v>
      </c>
      <c r="X649" s="2" t="s">
        <v>38</v>
      </c>
      <c r="Y649" s="2" t="s">
        <v>38</v>
      </c>
      <c r="Z649" s="2" t="s">
        <v>37</v>
      </c>
      <c r="AA649" s="6">
        <v>3.057574824</v>
      </c>
      <c r="AB649" s="6">
        <v>2.9072844940000002</v>
      </c>
      <c r="AC649" s="6">
        <v>2.9652910920000002</v>
      </c>
      <c r="AD649" cm="1">
        <f t="array" ref="AD649">IF(SUMPRODUCT(--($AM$2:$AM$112=TRIM(LEFT($B649,IFERROR(FIND(" ",$B649)-1,LEN($B649))))))&gt;0,1,0)</f>
        <v>0</v>
      </c>
      <c r="AE649" cm="1">
        <f t="array" ref="AE649">IF(SUMPRODUCT(--($AO$2:$AO$145=TRIM(LEFT($B649,IFERROR(FIND(" ",$B649)-1,LEN($B649))))))&gt;0,1,0)</f>
        <v>0</v>
      </c>
      <c r="AF649" cm="1">
        <f t="array" ref="AF649">IF(SUMPRODUCT(--($AQ$2:$AQ$71=TRIM(LEFT($B649,IFERROR(FIND(" ",$B649)-1,LEN($B649))))))&gt;0,1,0)</f>
        <v>0</v>
      </c>
    </row>
    <row r="650" spans="1:32" ht="135.75" thickBot="1" x14ac:dyDescent="0.3">
      <c r="A650" s="13">
        <v>89</v>
      </c>
      <c r="B650" s="4" t="s">
        <v>1360</v>
      </c>
      <c r="C650" s="4" t="s">
        <v>1361</v>
      </c>
      <c r="D650" s="7">
        <v>44210</v>
      </c>
      <c r="E650" s="3">
        <v>815.94</v>
      </c>
      <c r="F650" s="4" t="s">
        <v>30</v>
      </c>
      <c r="G650" s="3">
        <v>7.83</v>
      </c>
      <c r="H650" s="4" t="s">
        <v>279</v>
      </c>
      <c r="I650" s="4" t="s">
        <v>279</v>
      </c>
      <c r="J650" s="4" t="s">
        <v>280</v>
      </c>
      <c r="K650" s="3">
        <v>15</v>
      </c>
      <c r="L650" s="3">
        <v>12.5</v>
      </c>
      <c r="M650" s="4"/>
      <c r="N650" s="3">
        <v>270.33999999999997</v>
      </c>
      <c r="O650" s="4" t="s">
        <v>34</v>
      </c>
      <c r="P650" s="4" t="s">
        <v>34</v>
      </c>
      <c r="Q650" s="4" t="s">
        <v>35</v>
      </c>
      <c r="R650" s="3">
        <v>272</v>
      </c>
      <c r="S650" s="3">
        <v>10.6563</v>
      </c>
      <c r="T650" s="4" t="s">
        <v>312</v>
      </c>
      <c r="U650" s="2" t="s">
        <v>37</v>
      </c>
      <c r="V650" s="2" t="s">
        <v>37</v>
      </c>
      <c r="W650" s="2" t="s">
        <v>37</v>
      </c>
      <c r="X650" s="2" t="s">
        <v>38</v>
      </c>
      <c r="Y650" s="2" t="s">
        <v>38</v>
      </c>
      <c r="Z650" s="2" t="s">
        <v>37</v>
      </c>
      <c r="AA650" s="6">
        <v>2.911658224</v>
      </c>
      <c r="AB650" s="6">
        <v>2.4345689039999998</v>
      </c>
      <c r="AC650" s="6">
        <v>2.431910309</v>
      </c>
      <c r="AD650" cm="1">
        <f t="array" ref="AD650">IF(SUMPRODUCT(--($AM$2:$AM$112=TRIM(LEFT($B650,IFERROR(FIND(" ",$B650)-1,LEN($B650))))))&gt;0,1,0)</f>
        <v>0</v>
      </c>
      <c r="AE650" cm="1">
        <f t="array" ref="AE650">IF(SUMPRODUCT(--($AO$2:$AO$145=TRIM(LEFT($B650,IFERROR(FIND(" ",$B650)-1,LEN($B650))))))&gt;0,1,0)</f>
        <v>0</v>
      </c>
      <c r="AF650" cm="1">
        <f t="array" ref="AF650">IF(SUMPRODUCT(--($AQ$2:$AQ$71=TRIM(LEFT($B650,IFERROR(FIND(" ",$B650)-1,LEN($B650))))))&gt;0,1,0)</f>
        <v>0</v>
      </c>
    </row>
    <row r="651" spans="1:32" ht="75.75" thickBot="1" x14ac:dyDescent="0.3">
      <c r="A651" s="13">
        <v>96</v>
      </c>
      <c r="B651" s="4" t="s">
        <v>1362</v>
      </c>
      <c r="C651" s="4" t="s">
        <v>1363</v>
      </c>
      <c r="D651" s="7">
        <v>44200</v>
      </c>
      <c r="E651" s="3">
        <v>4183.26</v>
      </c>
      <c r="F651" s="4" t="s">
        <v>107</v>
      </c>
      <c r="G651" s="3">
        <v>9.8699999999999992</v>
      </c>
      <c r="H651" s="4" t="s">
        <v>31</v>
      </c>
      <c r="I651" s="4" t="s">
        <v>432</v>
      </c>
      <c r="J651" s="4" t="s">
        <v>433</v>
      </c>
      <c r="K651" s="4"/>
      <c r="L651" s="3">
        <v>250</v>
      </c>
      <c r="M651" s="3">
        <v>-33.89</v>
      </c>
      <c r="N651" s="3">
        <v>3672.05</v>
      </c>
      <c r="O651" s="4" t="s">
        <v>34</v>
      </c>
      <c r="P651" s="4" t="s">
        <v>34</v>
      </c>
      <c r="Q651" s="4" t="s">
        <v>35</v>
      </c>
      <c r="R651" s="3">
        <v>1923.69</v>
      </c>
      <c r="S651" s="3">
        <v>17.587399999999999</v>
      </c>
      <c r="T651" s="4" t="s">
        <v>43</v>
      </c>
      <c r="U651" s="2" t="s">
        <v>37</v>
      </c>
      <c r="V651" s="2" t="s">
        <v>37</v>
      </c>
      <c r="W651" s="2" t="s">
        <v>37</v>
      </c>
      <c r="X651" s="2" t="s">
        <v>37</v>
      </c>
      <c r="Y651" s="2" t="s">
        <v>37</v>
      </c>
      <c r="Z651" s="2" t="s">
        <v>37</v>
      </c>
      <c r="AA651" s="6">
        <v>3.6215148579999998</v>
      </c>
      <c r="AB651" s="6">
        <v>3.2841350870000001</v>
      </c>
      <c r="AC651" s="6">
        <v>3.564908586</v>
      </c>
      <c r="AD651" cm="1">
        <f t="array" ref="AD651">IF(SUMPRODUCT(--($AM$2:$AM$112=TRIM(LEFT($B651,IFERROR(FIND(" ",$B651)-1,LEN($B651))))))&gt;0,1,0)</f>
        <v>1</v>
      </c>
      <c r="AE651" cm="1">
        <f t="array" ref="AE651">IF(SUMPRODUCT(--($AO$2:$AO$145=TRIM(LEFT($B651,IFERROR(FIND(" ",$B651)-1,LEN($B651))))))&gt;0,1,0)</f>
        <v>0</v>
      </c>
      <c r="AF651" cm="1">
        <f t="array" ref="AF651">IF(SUMPRODUCT(--($AQ$2:$AQ$71=TRIM(LEFT($B651,IFERROR(FIND(" ",$B651)-1,LEN($B651))))))&gt;0,1,0)</f>
        <v>0</v>
      </c>
    </row>
    <row r="652" spans="1:32" ht="135.75" thickBot="1" x14ac:dyDescent="0.3">
      <c r="A652" s="13">
        <v>73</v>
      </c>
      <c r="B652" s="4" t="s">
        <v>1364</v>
      </c>
      <c r="C652" s="4" t="s">
        <v>1365</v>
      </c>
      <c r="D652" s="7">
        <v>44223</v>
      </c>
      <c r="E652" s="3">
        <v>6475.26</v>
      </c>
      <c r="F652" s="4" t="s">
        <v>30</v>
      </c>
      <c r="G652" s="4"/>
      <c r="H652" s="4" t="s">
        <v>31</v>
      </c>
      <c r="I652" s="4" t="s">
        <v>32</v>
      </c>
      <c r="J652" s="4" t="s">
        <v>270</v>
      </c>
      <c r="K652" s="3">
        <v>243</v>
      </c>
      <c r="L652" s="3">
        <v>97</v>
      </c>
      <c r="M652" s="4"/>
      <c r="N652" s="3">
        <v>4039.26</v>
      </c>
      <c r="O652" s="4" t="s">
        <v>34</v>
      </c>
      <c r="P652" s="4" t="s">
        <v>34</v>
      </c>
      <c r="Q652" s="4" t="s">
        <v>35</v>
      </c>
      <c r="R652" s="3">
        <v>4504</v>
      </c>
      <c r="S652" s="3">
        <v>-13.874599999999999</v>
      </c>
      <c r="T652" s="4" t="s">
        <v>1014</v>
      </c>
      <c r="U652" s="2" t="s">
        <v>38</v>
      </c>
      <c r="V652" s="2" t="s">
        <v>37</v>
      </c>
      <c r="W652" s="2" t="s">
        <v>37</v>
      </c>
      <c r="X652" s="2" t="s">
        <v>38</v>
      </c>
      <c r="Y652" s="2" t="s">
        <v>37</v>
      </c>
      <c r="Z652" s="2" t="s">
        <v>37</v>
      </c>
      <c r="AA652" s="6">
        <v>3.811257211</v>
      </c>
      <c r="AB652" s="6">
        <v>3.6535983820000002</v>
      </c>
      <c r="AC652" s="6">
        <v>3.6063018090000001</v>
      </c>
      <c r="AD652" cm="1">
        <f t="array" ref="AD652">IF(SUMPRODUCT(--($AM$2:$AM$112=TRIM(LEFT($B652,IFERROR(FIND(" ",$B652)-1,LEN($B652))))))&gt;0,1,0)</f>
        <v>0</v>
      </c>
      <c r="AE652" cm="1">
        <f t="array" ref="AE652">IF(SUMPRODUCT(--($AO$2:$AO$145=TRIM(LEFT($B652,IFERROR(FIND(" ",$B652)-1,LEN($B652))))))&gt;0,1,0)</f>
        <v>0</v>
      </c>
      <c r="AF652" cm="1">
        <f t="array" ref="AF652">IF(SUMPRODUCT(--($AQ$2:$AQ$71=TRIM(LEFT($B652,IFERROR(FIND(" ",$B652)-1,LEN($B652))))))&gt;0,1,0)</f>
        <v>0</v>
      </c>
    </row>
    <row r="653" spans="1:32" ht="75.75" thickBot="1" x14ac:dyDescent="0.3">
      <c r="A653" s="13">
        <v>101</v>
      </c>
      <c r="B653" s="4" t="s">
        <v>1366</v>
      </c>
      <c r="C653" s="4" t="s">
        <v>1367</v>
      </c>
      <c r="D653" s="7">
        <v>44181</v>
      </c>
      <c r="E653" s="3">
        <v>1985.05</v>
      </c>
      <c r="F653" s="4" t="s">
        <v>46</v>
      </c>
      <c r="G653" s="4"/>
      <c r="H653" s="4" t="s">
        <v>127</v>
      </c>
      <c r="I653" s="4" t="s">
        <v>128</v>
      </c>
      <c r="J653" s="4" t="s">
        <v>584</v>
      </c>
      <c r="K653" s="4"/>
      <c r="L653" s="4"/>
      <c r="M653" s="3">
        <v>-14.32</v>
      </c>
      <c r="N653" s="3">
        <v>1965.72</v>
      </c>
      <c r="O653" s="4" t="s">
        <v>49</v>
      </c>
      <c r="P653" s="4" t="s">
        <v>49</v>
      </c>
      <c r="Q653" s="4" t="s">
        <v>35</v>
      </c>
      <c r="R653" s="3">
        <v>405.72899999999998</v>
      </c>
      <c r="S653" s="3">
        <v>-26.138400000000001</v>
      </c>
      <c r="T653" s="4" t="s">
        <v>387</v>
      </c>
      <c r="U653" s="2" t="s">
        <v>37</v>
      </c>
      <c r="V653" s="2" t="s">
        <v>37</v>
      </c>
      <c r="W653" s="2" t="s">
        <v>37</v>
      </c>
      <c r="X653" s="2" t="s">
        <v>37</v>
      </c>
      <c r="Y653" s="2" t="s">
        <v>37</v>
      </c>
      <c r="Z653" s="2" t="s">
        <v>37</v>
      </c>
      <c r="AA653" s="6">
        <v>3.2977714499999999</v>
      </c>
      <c r="AB653" s="6">
        <v>2.608236051</v>
      </c>
      <c r="AC653" s="6">
        <v>3.2935216559999998</v>
      </c>
      <c r="AD653" cm="1">
        <f t="array" ref="AD653">IF(SUMPRODUCT(--($AM$2:$AM$112=TRIM(LEFT($B653,IFERROR(FIND(" ",$B653)-1,LEN($B653))))))&gt;0,1,0)</f>
        <v>0</v>
      </c>
      <c r="AE653" cm="1">
        <f t="array" ref="AE653">IF(SUMPRODUCT(--($AO$2:$AO$145=TRIM(LEFT($B653,IFERROR(FIND(" ",$B653)-1,LEN($B653))))))&gt;0,1,0)</f>
        <v>0</v>
      </c>
      <c r="AF653" cm="1">
        <f t="array" ref="AF653">IF(SUMPRODUCT(--($AQ$2:$AQ$71=TRIM(LEFT($B653,IFERROR(FIND(" ",$B653)-1,LEN($B653))))))&gt;0,1,0)</f>
        <v>0</v>
      </c>
    </row>
    <row r="654" spans="1:32" ht="105.75" thickBot="1" x14ac:dyDescent="0.3">
      <c r="A654" s="13">
        <v>109</v>
      </c>
      <c r="B654" s="4" t="s">
        <v>1368</v>
      </c>
      <c r="C654" s="4" t="s">
        <v>1369</v>
      </c>
      <c r="D654" s="7">
        <v>44167</v>
      </c>
      <c r="E654" s="3">
        <v>1563.69</v>
      </c>
      <c r="F654" s="4" t="s">
        <v>30</v>
      </c>
      <c r="G654" s="3">
        <v>8.98</v>
      </c>
      <c r="H654" s="4" t="s">
        <v>65</v>
      </c>
      <c r="I654" s="4" t="s">
        <v>138</v>
      </c>
      <c r="J654" s="4" t="s">
        <v>176</v>
      </c>
      <c r="K654" s="3">
        <v>125</v>
      </c>
      <c r="L654" s="3">
        <v>47</v>
      </c>
      <c r="M654" s="3">
        <v>50.62</v>
      </c>
      <c r="N654" s="3">
        <v>1563.69</v>
      </c>
      <c r="O654" s="4" t="s">
        <v>34</v>
      </c>
      <c r="P654" s="4" t="s">
        <v>152</v>
      </c>
      <c r="Q654" s="4" t="s">
        <v>35</v>
      </c>
      <c r="R654" s="3">
        <v>1049.5</v>
      </c>
      <c r="S654" s="3">
        <v>4.8398199999999996</v>
      </c>
      <c r="T654" s="4" t="s">
        <v>1370</v>
      </c>
      <c r="U654" s="2" t="s">
        <v>37</v>
      </c>
      <c r="V654" s="2" t="s">
        <v>37</v>
      </c>
      <c r="W654" s="2" t="s">
        <v>38</v>
      </c>
      <c r="X654" s="2" t="s">
        <v>37</v>
      </c>
      <c r="Y654" s="2" t="s">
        <v>37</v>
      </c>
      <c r="Z654" s="2" t="s">
        <v>37</v>
      </c>
      <c r="AA654" s="6">
        <v>3.1941506589999999</v>
      </c>
      <c r="AB654" s="6">
        <v>3.0209824429999999</v>
      </c>
      <c r="AC654" s="6">
        <v>3.1941506589999999</v>
      </c>
      <c r="AD654" cm="1">
        <f t="array" ref="AD654">IF(SUMPRODUCT(--($AM$2:$AM$112=TRIM(LEFT($B654,IFERROR(FIND(" ",$B654)-1,LEN($B654))))))&gt;0,1,0)</f>
        <v>0</v>
      </c>
      <c r="AE654" cm="1">
        <f t="array" ref="AE654">IF(SUMPRODUCT(--($AO$2:$AO$145=TRIM(LEFT($B654,IFERROR(FIND(" ",$B654)-1,LEN($B654))))))&gt;0,1,0)</f>
        <v>0</v>
      </c>
      <c r="AF654" cm="1">
        <f t="array" ref="AF654">IF(SUMPRODUCT(--($AQ$2:$AQ$71=TRIM(LEFT($B654,IFERROR(FIND(" ",$B654)-1,LEN($B654))))))&gt;0,1,0)</f>
        <v>1</v>
      </c>
    </row>
    <row r="655" spans="1:32" ht="45.75" thickBot="1" x14ac:dyDescent="0.3">
      <c r="A655" s="13">
        <v>60</v>
      </c>
      <c r="B655" s="4" t="s">
        <v>1371</v>
      </c>
      <c r="C655" s="4" t="s">
        <v>1372</v>
      </c>
      <c r="D655" s="7">
        <v>44235</v>
      </c>
      <c r="E655" s="3">
        <v>1953.7</v>
      </c>
      <c r="F655" s="4" t="s">
        <v>30</v>
      </c>
      <c r="G655" s="3">
        <v>52.74</v>
      </c>
      <c r="H655" s="4" t="s">
        <v>184</v>
      </c>
      <c r="I655" s="4" t="s">
        <v>185</v>
      </c>
      <c r="J655" s="4" t="s">
        <v>186</v>
      </c>
      <c r="K655" s="4"/>
      <c r="L655" s="3">
        <v>78.900000000000006</v>
      </c>
      <c r="M655" s="4"/>
      <c r="N655" s="3">
        <v>2231.38</v>
      </c>
      <c r="O655" s="4" t="s">
        <v>34</v>
      </c>
      <c r="P655" s="4" t="s">
        <v>34</v>
      </c>
      <c r="Q655" s="4" t="s">
        <v>35</v>
      </c>
      <c r="R655" s="3">
        <v>540.52200000000005</v>
      </c>
      <c r="S655" s="3">
        <v>3.79541</v>
      </c>
      <c r="T655" s="4" t="s">
        <v>43</v>
      </c>
      <c r="U655" s="2" t="s">
        <v>37</v>
      </c>
      <c r="V655" s="2" t="s">
        <v>37</v>
      </c>
      <c r="W655" s="2" t="s">
        <v>37</v>
      </c>
      <c r="X655" s="2" t="s">
        <v>37</v>
      </c>
      <c r="Y655" s="2" t="s">
        <v>37</v>
      </c>
      <c r="Z655" s="2" t="s">
        <v>37</v>
      </c>
      <c r="AA655" s="6">
        <v>3.2908578770000001</v>
      </c>
      <c r="AB655" s="6">
        <v>2.7328133750000001</v>
      </c>
      <c r="AC655" s="6">
        <v>3.348573536</v>
      </c>
      <c r="AD655" cm="1">
        <f t="array" ref="AD655">IF(SUMPRODUCT(--($AM$2:$AM$112=TRIM(LEFT($B655,IFERROR(FIND(" ",$B655)-1,LEN($B655))))))&gt;0,1,0)</f>
        <v>0</v>
      </c>
      <c r="AE655" cm="1">
        <f t="array" ref="AE655">IF(SUMPRODUCT(--($AO$2:$AO$145=TRIM(LEFT($B655,IFERROR(FIND(" ",$B655)-1,LEN($B655))))))&gt;0,1,0)</f>
        <v>0</v>
      </c>
      <c r="AF655" cm="1">
        <f t="array" ref="AF655">IF(SUMPRODUCT(--($AQ$2:$AQ$71=TRIM(LEFT($B655,IFERROR(FIND(" ",$B655)-1,LEN($B655))))))&gt;0,1,0)</f>
        <v>0</v>
      </c>
    </row>
    <row r="656" spans="1:32" ht="135.75" thickBot="1" x14ac:dyDescent="0.3">
      <c r="A656" s="13">
        <v>90</v>
      </c>
      <c r="B656" s="4" t="s">
        <v>1373</v>
      </c>
      <c r="C656" s="4" t="s">
        <v>230</v>
      </c>
      <c r="D656" s="7">
        <v>44186</v>
      </c>
      <c r="E656" s="3">
        <v>9752.5</v>
      </c>
      <c r="F656" s="4" t="s">
        <v>30</v>
      </c>
      <c r="G656" s="3">
        <v>39.54</v>
      </c>
      <c r="H656" s="4" t="s">
        <v>31</v>
      </c>
      <c r="I656" s="4" t="s">
        <v>32</v>
      </c>
      <c r="J656" s="4" t="s">
        <v>33</v>
      </c>
      <c r="K656" s="4"/>
      <c r="L656" s="4"/>
      <c r="M656" s="4"/>
      <c r="N656" s="3">
        <v>9039.32</v>
      </c>
      <c r="O656" s="4" t="s">
        <v>34</v>
      </c>
      <c r="P656" s="4" t="s">
        <v>34</v>
      </c>
      <c r="Q656" s="4" t="s">
        <v>35</v>
      </c>
      <c r="R656" s="3">
        <v>1158.48</v>
      </c>
      <c r="S656" s="3">
        <v>8.8708200000000001</v>
      </c>
      <c r="T656" s="4" t="s">
        <v>312</v>
      </c>
      <c r="U656" s="2" t="s">
        <v>37</v>
      </c>
      <c r="V656" s="2" t="s">
        <v>37</v>
      </c>
      <c r="W656" s="2" t="s">
        <v>37</v>
      </c>
      <c r="X656" s="2" t="s">
        <v>38</v>
      </c>
      <c r="Y656" s="2" t="s">
        <v>38</v>
      </c>
      <c r="Z656" s="2" t="s">
        <v>37</v>
      </c>
      <c r="AA656" s="6">
        <v>3.9891159589999998</v>
      </c>
      <c r="AB656" s="6">
        <v>3.0638885409999999</v>
      </c>
      <c r="AC656" s="6">
        <v>3.9561357610000001</v>
      </c>
      <c r="AD656" cm="1">
        <f t="array" ref="AD656">IF(SUMPRODUCT(--($AM$2:$AM$112=TRIM(LEFT($B656,IFERROR(FIND(" ",$B656)-1,LEN($B656))))))&gt;0,1,0)</f>
        <v>0</v>
      </c>
      <c r="AE656" cm="1">
        <f t="array" ref="AE656">IF(SUMPRODUCT(--($AO$2:$AO$145=TRIM(LEFT($B656,IFERROR(FIND(" ",$B656)-1,LEN($B656))))))&gt;0,1,0)</f>
        <v>0</v>
      </c>
      <c r="AF656" cm="1">
        <f t="array" ref="AF656">IF(SUMPRODUCT(--($AQ$2:$AQ$71=TRIM(LEFT($B656,IFERROR(FIND(" ",$B656)-1,LEN($B656))))))&gt;0,1,0)</f>
        <v>0</v>
      </c>
    </row>
    <row r="657" spans="1:32" ht="105.75" thickBot="1" x14ac:dyDescent="0.3">
      <c r="A657" s="13">
        <v>30</v>
      </c>
      <c r="B657" s="4" t="s">
        <v>1374</v>
      </c>
      <c r="C657" s="4" t="s">
        <v>336</v>
      </c>
      <c r="D657" s="7">
        <v>44270</v>
      </c>
      <c r="E657" s="3">
        <v>1716.7</v>
      </c>
      <c r="F657" s="4" t="s">
        <v>30</v>
      </c>
      <c r="G657" s="4"/>
      <c r="H657" s="4" t="s">
        <v>41</v>
      </c>
      <c r="I657" s="4" t="s">
        <v>41</v>
      </c>
      <c r="J657" s="4" t="s">
        <v>60</v>
      </c>
      <c r="K657" s="4"/>
      <c r="L657" s="4"/>
      <c r="M657" s="3">
        <v>21.78</v>
      </c>
      <c r="N657" s="3">
        <v>1757.71</v>
      </c>
      <c r="O657" s="4" t="s">
        <v>34</v>
      </c>
      <c r="P657" s="4" t="s">
        <v>869</v>
      </c>
      <c r="Q657" s="4" t="s">
        <v>35</v>
      </c>
      <c r="R657" s="3">
        <v>171.554</v>
      </c>
      <c r="S657" s="3">
        <v>-6.4417</v>
      </c>
      <c r="T657" s="4" t="s">
        <v>964</v>
      </c>
      <c r="U657" s="2" t="s">
        <v>37</v>
      </c>
      <c r="V657" s="2" t="s">
        <v>37</v>
      </c>
      <c r="W657" s="2" t="s">
        <v>38</v>
      </c>
      <c r="X657" s="2" t="s">
        <v>37</v>
      </c>
      <c r="Y657" s="2" t="s">
        <v>37</v>
      </c>
      <c r="Z657" s="2" t="s">
        <v>38</v>
      </c>
      <c r="AA657" s="6">
        <v>3.2346944070000001</v>
      </c>
      <c r="AB657" s="6">
        <v>2.234400849</v>
      </c>
      <c r="AC657" s="6">
        <v>3.2449472240000001</v>
      </c>
      <c r="AD657" cm="1">
        <f t="array" ref="AD657">IF(SUMPRODUCT(--($AM$2:$AM$112=TRIM(LEFT($B657,IFERROR(FIND(" ",$B657)-1,LEN($B657))))))&gt;0,1,0)</f>
        <v>0</v>
      </c>
      <c r="AE657" cm="1">
        <f t="array" ref="AE657">IF(SUMPRODUCT(--($AO$2:$AO$145=TRIM(LEFT($B657,IFERROR(FIND(" ",$B657)-1,LEN($B657))))))&gt;0,1,0)</f>
        <v>0</v>
      </c>
      <c r="AF657" cm="1">
        <f t="array" ref="AF657">IF(SUMPRODUCT(--($AQ$2:$AQ$71=TRIM(LEFT($B657,IFERROR(FIND(" ",$B657)-1,LEN($B657))))))&gt;0,1,0)</f>
        <v>0</v>
      </c>
    </row>
    <row r="658" spans="1:32" ht="45.75" thickBot="1" x14ac:dyDescent="0.3">
      <c r="A658" s="13">
        <v>52</v>
      </c>
      <c r="B658" s="4" t="s">
        <v>1375</v>
      </c>
      <c r="C658" s="4" t="s">
        <v>1376</v>
      </c>
      <c r="D658" s="7">
        <v>44237</v>
      </c>
      <c r="E658" s="3">
        <v>2055.42</v>
      </c>
      <c r="F658" s="4" t="s">
        <v>30</v>
      </c>
      <c r="G658" s="3">
        <v>20.22</v>
      </c>
      <c r="H658" s="4" t="s">
        <v>31</v>
      </c>
      <c r="I658" s="4" t="s">
        <v>32</v>
      </c>
      <c r="J658" s="4" t="s">
        <v>270</v>
      </c>
      <c r="K658" s="4"/>
      <c r="L658" s="3">
        <v>55</v>
      </c>
      <c r="M658" s="3">
        <v>20.2</v>
      </c>
      <c r="N658" s="3">
        <v>2279.04</v>
      </c>
      <c r="O658" s="4" t="s">
        <v>34</v>
      </c>
      <c r="P658" s="4" t="s">
        <v>34</v>
      </c>
      <c r="Q658" s="4" t="s">
        <v>35</v>
      </c>
      <c r="R658" s="3">
        <v>460.45400000000001</v>
      </c>
      <c r="S658" s="3">
        <v>18.988399999999999</v>
      </c>
      <c r="T658" s="4" t="s">
        <v>43</v>
      </c>
      <c r="U658" s="2" t="s">
        <v>37</v>
      </c>
      <c r="V658" s="2" t="s">
        <v>37</v>
      </c>
      <c r="W658" s="2" t="s">
        <v>37</v>
      </c>
      <c r="X658" s="2" t="s">
        <v>37</v>
      </c>
      <c r="Y658" s="2" t="s">
        <v>37</v>
      </c>
      <c r="Z658" s="2" t="s">
        <v>37</v>
      </c>
      <c r="AA658" s="6">
        <v>3.3129005779999998</v>
      </c>
      <c r="AB658" s="6">
        <v>2.6631862499999999</v>
      </c>
      <c r="AC658" s="6">
        <v>3.3577519480000002</v>
      </c>
      <c r="AD658" cm="1">
        <f t="array" ref="AD658">IF(SUMPRODUCT(--($AM$2:$AM$112=TRIM(LEFT($B658,IFERROR(FIND(" ",$B658)-1,LEN($B658))))))&gt;0,1,0)</f>
        <v>0</v>
      </c>
      <c r="AE658" cm="1">
        <f t="array" ref="AE658">IF(SUMPRODUCT(--($AO$2:$AO$145=TRIM(LEFT($B658,IFERROR(FIND(" ",$B658)-1,LEN($B658))))))&gt;0,1,0)</f>
        <v>0</v>
      </c>
      <c r="AF658" cm="1">
        <f t="array" ref="AF658">IF(SUMPRODUCT(--($AQ$2:$AQ$71=TRIM(LEFT($B658,IFERROR(FIND(" ",$B658)-1,LEN($B658))))))&gt;0,1,0)</f>
        <v>0</v>
      </c>
    </row>
    <row r="659" spans="1:32" ht="75.75" thickBot="1" x14ac:dyDescent="0.3">
      <c r="A659" s="13">
        <v>125</v>
      </c>
      <c r="B659" s="4" t="s">
        <v>1377</v>
      </c>
      <c r="C659" s="4" t="s">
        <v>1378</v>
      </c>
      <c r="D659" s="7">
        <v>44133</v>
      </c>
      <c r="E659" s="3">
        <v>8811.33</v>
      </c>
      <c r="F659" s="4" t="s">
        <v>107</v>
      </c>
      <c r="G659" s="3">
        <v>87.54</v>
      </c>
      <c r="H659" s="4" t="s">
        <v>31</v>
      </c>
      <c r="I659" s="4" t="s">
        <v>432</v>
      </c>
      <c r="J659" s="4" t="s">
        <v>1072</v>
      </c>
      <c r="K659" s="3">
        <v>400</v>
      </c>
      <c r="L659" s="3">
        <v>300</v>
      </c>
      <c r="M659" s="4"/>
      <c r="N659" s="3">
        <v>8485.5499999999993</v>
      </c>
      <c r="O659" s="4" t="s">
        <v>34</v>
      </c>
      <c r="P659" s="4" t="s">
        <v>34</v>
      </c>
      <c r="Q659" s="4" t="s">
        <v>35</v>
      </c>
      <c r="R659" s="3">
        <v>682.95399999999995</v>
      </c>
      <c r="S659" s="3">
        <v>-2.4635600000000002</v>
      </c>
      <c r="T659" s="4" t="s">
        <v>43</v>
      </c>
      <c r="U659" s="2" t="s">
        <v>37</v>
      </c>
      <c r="V659" s="2" t="s">
        <v>37</v>
      </c>
      <c r="W659" s="2" t="s">
        <v>37</v>
      </c>
      <c r="X659" s="2" t="s">
        <v>37</v>
      </c>
      <c r="Y659" s="2" t="s">
        <v>37</v>
      </c>
      <c r="Z659" s="2" t="s">
        <v>37</v>
      </c>
      <c r="AA659" s="6">
        <v>3.9450414669999998</v>
      </c>
      <c r="AB659" s="6">
        <v>2.8343914529999998</v>
      </c>
      <c r="AC659" s="6">
        <v>3.9286799970000001</v>
      </c>
      <c r="AD659" cm="1">
        <f t="array" ref="AD659">IF(SUMPRODUCT(--($AM$2:$AM$112=TRIM(LEFT($B659,IFERROR(FIND(" ",$B659)-1,LEN($B659))))))&gt;0,1,0)</f>
        <v>1</v>
      </c>
      <c r="AE659" cm="1">
        <f t="array" ref="AE659">IF(SUMPRODUCT(--($AO$2:$AO$145=TRIM(LEFT($B659,IFERROR(FIND(" ",$B659)-1,LEN($B659))))))&gt;0,1,0)</f>
        <v>0</v>
      </c>
      <c r="AF659" cm="1">
        <f t="array" ref="AF659">IF(SUMPRODUCT(--($AQ$2:$AQ$71=TRIM(LEFT($B659,IFERROR(FIND(" ",$B659)-1,LEN($B659))))))&gt;0,1,0)</f>
        <v>0</v>
      </c>
    </row>
    <row r="660" spans="1:32" ht="75.75" thickBot="1" x14ac:dyDescent="0.3">
      <c r="A660" s="13">
        <v>33</v>
      </c>
      <c r="B660" s="4" t="s">
        <v>1379</v>
      </c>
      <c r="C660" s="4" t="s">
        <v>838</v>
      </c>
      <c r="D660" s="7">
        <v>44259</v>
      </c>
      <c r="E660" s="3">
        <v>1603.11</v>
      </c>
      <c r="F660" s="4" t="s">
        <v>30</v>
      </c>
      <c r="G660" s="4"/>
      <c r="H660" s="4" t="s">
        <v>41</v>
      </c>
      <c r="I660" s="4" t="s">
        <v>41</v>
      </c>
      <c r="J660" s="4" t="s">
        <v>42</v>
      </c>
      <c r="K660" s="4"/>
      <c r="L660" s="3">
        <v>76</v>
      </c>
      <c r="M660" s="3">
        <v>77.209999999999994</v>
      </c>
      <c r="N660" s="3">
        <v>1668.21</v>
      </c>
      <c r="O660" s="4" t="s">
        <v>34</v>
      </c>
      <c r="P660" s="4" t="s">
        <v>34</v>
      </c>
      <c r="Q660" s="4" t="s">
        <v>35</v>
      </c>
      <c r="R660" s="3">
        <v>13.178000000000001</v>
      </c>
      <c r="S660" s="3">
        <v>-668.803</v>
      </c>
      <c r="T660" s="4" t="s">
        <v>88</v>
      </c>
      <c r="U660" s="2" t="s">
        <v>37</v>
      </c>
      <c r="V660" s="2" t="s">
        <v>37</v>
      </c>
      <c r="W660" s="2" t="s">
        <v>37</v>
      </c>
      <c r="X660" s="2" t="s">
        <v>37</v>
      </c>
      <c r="Y660" s="2" t="s">
        <v>37</v>
      </c>
      <c r="Z660" s="2" t="s">
        <v>38</v>
      </c>
      <c r="AA660" s="6">
        <v>3.2049633229999999</v>
      </c>
      <c r="AB660" s="6">
        <v>1.119849503</v>
      </c>
      <c r="AC660" s="6">
        <v>3.2222507199999999</v>
      </c>
      <c r="AD660" cm="1">
        <f t="array" ref="AD660">IF(SUMPRODUCT(--($AM$2:$AM$112=TRIM(LEFT($B660,IFERROR(FIND(" ",$B660)-1,LEN($B660))))))&gt;0,1,0)</f>
        <v>0</v>
      </c>
      <c r="AE660" cm="1">
        <f t="array" ref="AE660">IF(SUMPRODUCT(--($AO$2:$AO$145=TRIM(LEFT($B660,IFERROR(FIND(" ",$B660)-1,LEN($B660))))))&gt;0,1,0)</f>
        <v>0</v>
      </c>
      <c r="AF660" cm="1">
        <f t="array" ref="AF660">IF(SUMPRODUCT(--($AQ$2:$AQ$71=TRIM(LEFT($B660,IFERROR(FIND(" ",$B660)-1,LEN($B660))))))&gt;0,1,0)</f>
        <v>0</v>
      </c>
    </row>
    <row r="661" spans="1:32" ht="165.75" thickBot="1" x14ac:dyDescent="0.3">
      <c r="A661" s="13">
        <v>33</v>
      </c>
      <c r="B661" s="4" t="s">
        <v>1380</v>
      </c>
      <c r="C661" s="4" t="s">
        <v>1381</v>
      </c>
      <c r="D661" s="7">
        <v>44258</v>
      </c>
      <c r="E661" s="3">
        <v>6122.35</v>
      </c>
      <c r="F661" s="4" t="s">
        <v>30</v>
      </c>
      <c r="G661" s="3">
        <v>5.59</v>
      </c>
      <c r="H661" s="4" t="s">
        <v>75</v>
      </c>
      <c r="I661" s="4" t="s">
        <v>83</v>
      </c>
      <c r="J661" s="4" t="s">
        <v>84</v>
      </c>
      <c r="K661" s="4"/>
      <c r="L661" s="4"/>
      <c r="M661" s="4"/>
      <c r="N661" s="3">
        <v>3116.46</v>
      </c>
      <c r="O661" s="4" t="s">
        <v>34</v>
      </c>
      <c r="P661" s="4" t="s">
        <v>34</v>
      </c>
      <c r="Q661" s="4" t="s">
        <v>35</v>
      </c>
      <c r="R661" s="3">
        <v>5271.11</v>
      </c>
      <c r="S661" s="3">
        <v>10.122</v>
      </c>
      <c r="T661" s="4" t="s">
        <v>1310</v>
      </c>
      <c r="U661" s="2" t="s">
        <v>37</v>
      </c>
      <c r="V661" s="2" t="s">
        <v>37</v>
      </c>
      <c r="W661" s="2" t="s">
        <v>37</v>
      </c>
      <c r="X661" s="2" t="s">
        <v>38</v>
      </c>
      <c r="Y661" s="2" t="s">
        <v>38</v>
      </c>
      <c r="Z661" s="2" t="s">
        <v>38</v>
      </c>
      <c r="AA661" s="6">
        <v>3.7869181539999999</v>
      </c>
      <c r="AB661" s="6">
        <v>3.7219020789999999</v>
      </c>
      <c r="AC661" s="6">
        <v>3.4936615569999998</v>
      </c>
      <c r="AD661" cm="1">
        <f t="array" ref="AD661">IF(SUMPRODUCT(--($AM$2:$AM$112=TRIM(LEFT($B661,IFERROR(FIND(" ",$B661)-1,LEN($B661))))))&gt;0,1,0)</f>
        <v>0</v>
      </c>
      <c r="AE661" cm="1">
        <f t="array" ref="AE661">IF(SUMPRODUCT(--($AO$2:$AO$145=TRIM(LEFT($B661,IFERROR(FIND(" ",$B661)-1,LEN($B661))))))&gt;0,1,0)</f>
        <v>0</v>
      </c>
      <c r="AF661" cm="1">
        <f t="array" ref="AF661">IF(SUMPRODUCT(--($AQ$2:$AQ$71=TRIM(LEFT($B661,IFERROR(FIND(" ",$B661)-1,LEN($B661))))))&gt;0,1,0)</f>
        <v>0</v>
      </c>
    </row>
    <row r="662" spans="1:32" ht="195.75" thickBot="1" x14ac:dyDescent="0.3">
      <c r="A662" s="13">
        <v>95</v>
      </c>
      <c r="B662" s="4" t="s">
        <v>1382</v>
      </c>
      <c r="C662" s="4" t="s">
        <v>1383</v>
      </c>
      <c r="D662" s="7">
        <v>44172</v>
      </c>
      <c r="E662" s="3">
        <v>1113.3900000000001</v>
      </c>
      <c r="F662" s="4" t="s">
        <v>30</v>
      </c>
      <c r="G662" s="3">
        <v>10.52</v>
      </c>
      <c r="H662" s="4" t="s">
        <v>70</v>
      </c>
      <c r="I662" s="4" t="s">
        <v>94</v>
      </c>
      <c r="J662" s="4" t="s">
        <v>108</v>
      </c>
      <c r="K662" s="4"/>
      <c r="L662" s="4"/>
      <c r="M662" s="4"/>
      <c r="N662" s="3">
        <v>845.45</v>
      </c>
      <c r="O662" s="4" t="s">
        <v>34</v>
      </c>
      <c r="P662" s="4" t="s">
        <v>34</v>
      </c>
      <c r="Q662" s="4" t="s">
        <v>35</v>
      </c>
      <c r="R662" s="3">
        <v>753.82600000000002</v>
      </c>
      <c r="S662" s="3">
        <v>4.3319000000000001</v>
      </c>
      <c r="T662" s="4" t="s">
        <v>1384</v>
      </c>
      <c r="U662" s="2" t="s">
        <v>37</v>
      </c>
      <c r="V662" s="2" t="s">
        <v>37</v>
      </c>
      <c r="W662" s="2" t="s">
        <v>37</v>
      </c>
      <c r="X662" s="2" t="s">
        <v>38</v>
      </c>
      <c r="Y662" s="2" t="s">
        <v>38</v>
      </c>
      <c r="Z662" s="2" t="s">
        <v>38</v>
      </c>
      <c r="AA662" s="6">
        <v>3.046647316</v>
      </c>
      <c r="AB662" s="6">
        <v>2.8772711129999999</v>
      </c>
      <c r="AC662" s="6">
        <v>2.9270879280000002</v>
      </c>
      <c r="AD662" cm="1">
        <f t="array" ref="AD662">IF(SUMPRODUCT(--($AM$2:$AM$112=TRIM(LEFT($B662,IFERROR(FIND(" ",$B662)-1,LEN($B662))))))&gt;0,1,0)</f>
        <v>0</v>
      </c>
      <c r="AE662" cm="1">
        <f t="array" ref="AE662">IF(SUMPRODUCT(--($AO$2:$AO$145=TRIM(LEFT($B662,IFERROR(FIND(" ",$B662)-1,LEN($B662))))))&gt;0,1,0)</f>
        <v>0</v>
      </c>
      <c r="AF662" cm="1">
        <f t="array" ref="AF662">IF(SUMPRODUCT(--($AQ$2:$AQ$71=TRIM(LEFT($B662,IFERROR(FIND(" ",$B662)-1,LEN($B662))))))&gt;0,1,0)</f>
        <v>0</v>
      </c>
    </row>
    <row r="663" spans="1:32" ht="75.75" thickBot="1" x14ac:dyDescent="0.3">
      <c r="A663" s="13">
        <v>184</v>
      </c>
      <c r="B663" s="4" t="s">
        <v>1385</v>
      </c>
      <c r="C663" s="4" t="s">
        <v>1386</v>
      </c>
      <c r="D663" s="7">
        <v>44045</v>
      </c>
      <c r="E663" s="3">
        <v>16109.35</v>
      </c>
      <c r="F663" s="4" t="s">
        <v>30</v>
      </c>
      <c r="G663" s="3">
        <v>34.57</v>
      </c>
      <c r="H663" s="4" t="s">
        <v>41</v>
      </c>
      <c r="I663" s="4" t="s">
        <v>41</v>
      </c>
      <c r="J663" s="4" t="s">
        <v>60</v>
      </c>
      <c r="K663" s="4"/>
      <c r="L663" s="3">
        <v>450</v>
      </c>
      <c r="M663" s="4"/>
      <c r="N663" s="3">
        <v>16119.65</v>
      </c>
      <c r="O663" s="4" t="s">
        <v>34</v>
      </c>
      <c r="P663" s="4" t="s">
        <v>439</v>
      </c>
      <c r="Q663" s="4" t="s">
        <v>35</v>
      </c>
      <c r="R663" s="3">
        <v>3168.2</v>
      </c>
      <c r="S663" s="3">
        <v>10.5962</v>
      </c>
      <c r="T663" s="4" t="s">
        <v>97</v>
      </c>
      <c r="U663" s="2" t="s">
        <v>37</v>
      </c>
      <c r="V663" s="2" t="s">
        <v>37</v>
      </c>
      <c r="W663" s="2" t="s">
        <v>38</v>
      </c>
      <c r="X663" s="2" t="s">
        <v>37</v>
      </c>
      <c r="Y663" s="2" t="s">
        <v>37</v>
      </c>
      <c r="Z663" s="2" t="s">
        <v>37</v>
      </c>
      <c r="AA663" s="6">
        <v>4.2070780169999997</v>
      </c>
      <c r="AB663" s="6">
        <v>3.5008125899999998</v>
      </c>
      <c r="AC663" s="6">
        <v>4.2073556080000003</v>
      </c>
      <c r="AD663" cm="1">
        <f t="array" ref="AD663">IF(SUMPRODUCT(--($AM$2:$AM$112=TRIM(LEFT($B663,IFERROR(FIND(" ",$B663)-1,LEN($B663))))))&gt;0,1,0)</f>
        <v>1</v>
      </c>
      <c r="AE663" cm="1">
        <f t="array" ref="AE663">IF(SUMPRODUCT(--($AO$2:$AO$145=TRIM(LEFT($B663,IFERROR(FIND(" ",$B663)-1,LEN($B663))))))&gt;0,1,0)</f>
        <v>1</v>
      </c>
      <c r="AF663" cm="1">
        <f t="array" ref="AF663">IF(SUMPRODUCT(--($AQ$2:$AQ$71=TRIM(LEFT($B663,IFERROR(FIND(" ",$B663)-1,LEN($B663))))))&gt;0,1,0)</f>
        <v>1</v>
      </c>
    </row>
    <row r="664" spans="1:32" ht="105.75" thickBot="1" x14ac:dyDescent="0.3">
      <c r="A664" s="13">
        <v>67</v>
      </c>
      <c r="B664" s="4" t="s">
        <v>1387</v>
      </c>
      <c r="C664" s="4" t="s">
        <v>1388</v>
      </c>
      <c r="D664" s="7">
        <v>44209</v>
      </c>
      <c r="E664" s="3">
        <v>2289.13</v>
      </c>
      <c r="F664" s="4" t="s">
        <v>107</v>
      </c>
      <c r="G664" s="4"/>
      <c r="H664" s="4" t="s">
        <v>118</v>
      </c>
      <c r="I664" s="4" t="s">
        <v>119</v>
      </c>
      <c r="J664" s="4" t="s">
        <v>120</v>
      </c>
      <c r="K664" s="4"/>
      <c r="L664" s="4"/>
      <c r="M664" s="4"/>
      <c r="N664" s="3">
        <v>2289.13</v>
      </c>
      <c r="O664" s="4" t="s">
        <v>207</v>
      </c>
      <c r="P664" s="4" t="s">
        <v>34</v>
      </c>
      <c r="Q664" s="4" t="s">
        <v>35</v>
      </c>
      <c r="R664" s="2"/>
      <c r="S664" s="2"/>
      <c r="T664" s="4" t="s">
        <v>1370</v>
      </c>
      <c r="U664" s="2" t="s">
        <v>37</v>
      </c>
      <c r="V664" s="2" t="s">
        <v>37</v>
      </c>
      <c r="W664" s="2" t="s">
        <v>38</v>
      </c>
      <c r="X664" s="2" t="s">
        <v>37</v>
      </c>
      <c r="Y664" s="2" t="s">
        <v>37</v>
      </c>
      <c r="Z664" s="2" t="s">
        <v>37</v>
      </c>
      <c r="AA664" s="6">
        <v>3.359670457</v>
      </c>
      <c r="AB664" s="2"/>
      <c r="AC664" s="6">
        <v>3.359670457</v>
      </c>
      <c r="AD664" cm="1">
        <f t="array" ref="AD664">IF(SUMPRODUCT(--($AM$2:$AM$112=TRIM(LEFT($B664,IFERROR(FIND(" ",$B664)-1,LEN($B664))))))&gt;0,1,0)</f>
        <v>0</v>
      </c>
      <c r="AE664" cm="1">
        <f t="array" ref="AE664">IF(SUMPRODUCT(--($AO$2:$AO$145=TRIM(LEFT($B664,IFERROR(FIND(" ",$B664)-1,LEN($B664))))))&gt;0,1,0)</f>
        <v>0</v>
      </c>
      <c r="AF664" cm="1">
        <f t="array" ref="AF664">IF(SUMPRODUCT(--($AQ$2:$AQ$71=TRIM(LEFT($B664,IFERROR(FIND(" ",$B664)-1,LEN($B664))))))&gt;0,1,0)</f>
        <v>0</v>
      </c>
    </row>
    <row r="665" spans="1:32" ht="75.75" thickBot="1" x14ac:dyDescent="0.3">
      <c r="A665" s="13">
        <v>49</v>
      </c>
      <c r="B665" s="4" t="s">
        <v>1389</v>
      </c>
      <c r="C665" s="4" t="s">
        <v>1390</v>
      </c>
      <c r="D665" s="7">
        <v>44235</v>
      </c>
      <c r="E665" s="3">
        <v>601.12</v>
      </c>
      <c r="F665" s="4" t="s">
        <v>30</v>
      </c>
      <c r="G665" s="3">
        <v>12.37</v>
      </c>
      <c r="H665" s="4" t="s">
        <v>47</v>
      </c>
      <c r="I665" s="4" t="s">
        <v>47</v>
      </c>
      <c r="J665" s="4" t="s">
        <v>962</v>
      </c>
      <c r="K665" s="3">
        <v>25</v>
      </c>
      <c r="L665" s="3">
        <v>12.5</v>
      </c>
      <c r="M665" s="3">
        <v>14.22</v>
      </c>
      <c r="N665" s="3">
        <v>295.68</v>
      </c>
      <c r="O665" s="4" t="s">
        <v>49</v>
      </c>
      <c r="P665" s="4" t="s">
        <v>166</v>
      </c>
      <c r="Q665" s="4" t="s">
        <v>35</v>
      </c>
      <c r="R665" s="3">
        <v>365.94799999999998</v>
      </c>
      <c r="S665" s="3">
        <v>3.9014899999999999</v>
      </c>
      <c r="T665" s="4" t="s">
        <v>97</v>
      </c>
      <c r="U665" s="2" t="s">
        <v>37</v>
      </c>
      <c r="V665" s="2" t="s">
        <v>37</v>
      </c>
      <c r="W665" s="2" t="s">
        <v>38</v>
      </c>
      <c r="X665" s="2" t="s">
        <v>37</v>
      </c>
      <c r="Y665" s="2" t="s">
        <v>37</v>
      </c>
      <c r="Z665" s="2" t="s">
        <v>37</v>
      </c>
      <c r="AA665" s="6">
        <v>2.7789611779999999</v>
      </c>
      <c r="AB665" s="6">
        <v>2.5634193779999999</v>
      </c>
      <c r="AC665" s="6">
        <v>2.4708219499999999</v>
      </c>
      <c r="AD665" cm="1">
        <f t="array" ref="AD665">IF(SUMPRODUCT(--($AM$2:$AM$112=TRIM(LEFT($B665,IFERROR(FIND(" ",$B665)-1,LEN($B665))))))&gt;0,1,0)</f>
        <v>0</v>
      </c>
      <c r="AE665" cm="1">
        <f t="array" ref="AE665">IF(SUMPRODUCT(--($AO$2:$AO$145=TRIM(LEFT($B665,IFERROR(FIND(" ",$B665)-1,LEN($B665))))))&gt;0,1,0)</f>
        <v>0</v>
      </c>
      <c r="AF665" cm="1">
        <f t="array" ref="AF665">IF(SUMPRODUCT(--($AQ$2:$AQ$71=TRIM(LEFT($B665,IFERROR(FIND(" ",$B665)-1,LEN($B665))))))&gt;0,1,0)</f>
        <v>0</v>
      </c>
    </row>
    <row r="666" spans="1:32" ht="45.75" thickBot="1" x14ac:dyDescent="0.3">
      <c r="A666" s="13">
        <v>42</v>
      </c>
      <c r="B666" s="4" t="s">
        <v>1391</v>
      </c>
      <c r="C666" s="4" t="s">
        <v>1392</v>
      </c>
      <c r="D666" s="7">
        <v>44237</v>
      </c>
      <c r="E666" s="3">
        <v>3647.16</v>
      </c>
      <c r="F666" s="4" t="s">
        <v>46</v>
      </c>
      <c r="G666" s="4"/>
      <c r="H666" s="4" t="s">
        <v>118</v>
      </c>
      <c r="I666" s="4" t="s">
        <v>119</v>
      </c>
      <c r="J666" s="4" t="s">
        <v>120</v>
      </c>
      <c r="K666" s="4"/>
      <c r="L666" s="4"/>
      <c r="M666" s="3">
        <v>9.7100000000000009</v>
      </c>
      <c r="N666" s="3">
        <v>1965.76</v>
      </c>
      <c r="O666" s="4" t="s">
        <v>49</v>
      </c>
      <c r="P666" s="4" t="s">
        <v>49</v>
      </c>
      <c r="Q666" s="4" t="s">
        <v>35</v>
      </c>
      <c r="R666" s="3">
        <v>1858.16</v>
      </c>
      <c r="S666" s="3">
        <v>-108.21899999999999</v>
      </c>
      <c r="T666" s="4" t="s">
        <v>43</v>
      </c>
      <c r="U666" s="2" t="s">
        <v>37</v>
      </c>
      <c r="V666" s="2" t="s">
        <v>37</v>
      </c>
      <c r="W666" s="2" t="s">
        <v>37</v>
      </c>
      <c r="X666" s="2" t="s">
        <v>37</v>
      </c>
      <c r="Y666" s="2" t="s">
        <v>37</v>
      </c>
      <c r="Z666" s="2" t="s">
        <v>37</v>
      </c>
      <c r="AA666" s="6">
        <v>3.5619548160000001</v>
      </c>
      <c r="AB666" s="6">
        <v>3.2690831070000002</v>
      </c>
      <c r="AC666" s="6">
        <v>3.2935304940000001</v>
      </c>
      <c r="AD666" cm="1">
        <f t="array" ref="AD666">IF(SUMPRODUCT(--($AM$2:$AM$112=TRIM(LEFT($B666,IFERROR(FIND(" ",$B666)-1,LEN($B666))))))&gt;0,1,0)</f>
        <v>0</v>
      </c>
      <c r="AE666" cm="1">
        <f t="array" ref="AE666">IF(SUMPRODUCT(--($AO$2:$AO$145=TRIM(LEFT($B666,IFERROR(FIND(" ",$B666)-1,LEN($B666))))))&gt;0,1,0)</f>
        <v>0</v>
      </c>
      <c r="AF666" cm="1">
        <f t="array" ref="AF666">IF(SUMPRODUCT(--($AQ$2:$AQ$71=TRIM(LEFT($B666,IFERROR(FIND(" ",$B666)-1,LEN($B666))))))&gt;0,1,0)</f>
        <v>0</v>
      </c>
    </row>
    <row r="667" spans="1:32" ht="45.75" thickBot="1" x14ac:dyDescent="0.3">
      <c r="A667" s="13">
        <v>87</v>
      </c>
      <c r="B667" s="4" t="s">
        <v>1393</v>
      </c>
      <c r="C667" s="4" t="s">
        <v>1394</v>
      </c>
      <c r="D667" s="7">
        <v>44174</v>
      </c>
      <c r="E667" s="3">
        <v>1657.7</v>
      </c>
      <c r="F667" s="4" t="s">
        <v>30</v>
      </c>
      <c r="G667" s="4"/>
      <c r="H667" s="4" t="s">
        <v>70</v>
      </c>
      <c r="I667" s="4" t="s">
        <v>71</v>
      </c>
      <c r="J667" s="4" t="s">
        <v>72</v>
      </c>
      <c r="K667" s="4"/>
      <c r="L667" s="3">
        <v>34.6</v>
      </c>
      <c r="M667" s="3">
        <v>63.72</v>
      </c>
      <c r="N667" s="3">
        <v>1127.68</v>
      </c>
      <c r="O667" s="4" t="s">
        <v>34</v>
      </c>
      <c r="P667" s="4" t="s">
        <v>34</v>
      </c>
      <c r="Q667" s="4" t="s">
        <v>35</v>
      </c>
      <c r="R667" s="3">
        <v>828.58600000000001</v>
      </c>
      <c r="S667" s="3">
        <v>-31.405899999999999</v>
      </c>
      <c r="T667" s="4" t="s">
        <v>43</v>
      </c>
      <c r="U667" s="2" t="s">
        <v>37</v>
      </c>
      <c r="V667" s="2" t="s">
        <v>37</v>
      </c>
      <c r="W667" s="2" t="s">
        <v>37</v>
      </c>
      <c r="X667" s="2" t="s">
        <v>37</v>
      </c>
      <c r="Y667" s="2" t="s">
        <v>37</v>
      </c>
      <c r="Z667" s="2" t="s">
        <v>37</v>
      </c>
      <c r="AA667" s="6">
        <v>3.2195059370000001</v>
      </c>
      <c r="AB667" s="6">
        <v>2.9183375909999998</v>
      </c>
      <c r="AC667" s="6">
        <v>3.052185878</v>
      </c>
      <c r="AD667" cm="1">
        <f t="array" ref="AD667">IF(SUMPRODUCT(--($AM$2:$AM$112=TRIM(LEFT($B667,IFERROR(FIND(" ",$B667)-1,LEN($B667))))))&gt;0,1,0)</f>
        <v>1</v>
      </c>
      <c r="AE667" cm="1">
        <f t="array" ref="AE667">IF(SUMPRODUCT(--($AO$2:$AO$145=TRIM(LEFT($B667,IFERROR(FIND(" ",$B667)-1,LEN($B667))))))&gt;0,1,0)</f>
        <v>0</v>
      </c>
      <c r="AF667" cm="1">
        <f t="array" ref="AF667">IF(SUMPRODUCT(--($AQ$2:$AQ$71=TRIM(LEFT($B667,IFERROR(FIND(" ",$B667)-1,LEN($B667))))))&gt;0,1,0)</f>
        <v>0</v>
      </c>
    </row>
    <row r="668" spans="1:32" ht="165.75" thickBot="1" x14ac:dyDescent="0.3">
      <c r="A668" s="13">
        <v>83</v>
      </c>
      <c r="B668" s="4" t="s">
        <v>1395</v>
      </c>
      <c r="C668" s="4" t="s">
        <v>695</v>
      </c>
      <c r="D668" s="7">
        <v>44178</v>
      </c>
      <c r="E668" s="3">
        <v>2861.56</v>
      </c>
      <c r="F668" s="4" t="s">
        <v>30</v>
      </c>
      <c r="G668" s="4"/>
      <c r="H668" s="4" t="s">
        <v>31</v>
      </c>
      <c r="I668" s="4" t="s">
        <v>32</v>
      </c>
      <c r="J668" s="4" t="s">
        <v>33</v>
      </c>
      <c r="K668" s="4"/>
      <c r="L668" s="3">
        <v>104.6</v>
      </c>
      <c r="M668" s="4"/>
      <c r="N668" s="3">
        <v>2691.56</v>
      </c>
      <c r="O668" s="4" t="s">
        <v>34</v>
      </c>
      <c r="P668" s="4" t="s">
        <v>34</v>
      </c>
      <c r="Q668" s="4" t="s">
        <v>35</v>
      </c>
      <c r="R668" s="3">
        <v>391.86500000000001</v>
      </c>
      <c r="S668" s="3">
        <v>-36.5657</v>
      </c>
      <c r="T668" s="4" t="s">
        <v>1310</v>
      </c>
      <c r="U668" s="2" t="s">
        <v>37</v>
      </c>
      <c r="V668" s="2" t="s">
        <v>37</v>
      </c>
      <c r="W668" s="2" t="s">
        <v>37</v>
      </c>
      <c r="X668" s="2" t="s">
        <v>38</v>
      </c>
      <c r="Y668" s="2" t="s">
        <v>38</v>
      </c>
      <c r="Z668" s="2" t="s">
        <v>38</v>
      </c>
      <c r="AA668" s="6">
        <v>3.4566028559999999</v>
      </c>
      <c r="AB668" s="6">
        <v>2.5931364760000002</v>
      </c>
      <c r="AC668" s="6">
        <v>3.430004066</v>
      </c>
      <c r="AD668" cm="1">
        <f t="array" ref="AD668">IF(SUMPRODUCT(--($AM$2:$AM$112=TRIM(LEFT($B668,IFERROR(FIND(" ",$B668)-1,LEN($B668))))))&gt;0,1,0)</f>
        <v>0</v>
      </c>
      <c r="AE668" cm="1">
        <f t="array" ref="AE668">IF(SUMPRODUCT(--($AO$2:$AO$145=TRIM(LEFT($B668,IFERROR(FIND(" ",$B668)-1,LEN($B668))))))&gt;0,1,0)</f>
        <v>0</v>
      </c>
      <c r="AF668" cm="1">
        <f t="array" ref="AF668">IF(SUMPRODUCT(--($AQ$2:$AQ$71=TRIM(LEFT($B668,IFERROR(FIND(" ",$B668)-1,LEN($B668))))))&gt;0,1,0)</f>
        <v>0</v>
      </c>
    </row>
    <row r="669" spans="1:32" ht="120.75" thickBot="1" x14ac:dyDescent="0.3">
      <c r="A669" s="13">
        <v>117</v>
      </c>
      <c r="B669" s="4" t="s">
        <v>1396</v>
      </c>
      <c r="C669" s="4" t="s">
        <v>1397</v>
      </c>
      <c r="D669" s="7">
        <v>44130</v>
      </c>
      <c r="E669" s="3">
        <v>1224.3699999999999</v>
      </c>
      <c r="F669" s="4" t="s">
        <v>30</v>
      </c>
      <c r="G669" s="4"/>
      <c r="H669" s="4" t="s">
        <v>65</v>
      </c>
      <c r="I669" s="4" t="s">
        <v>138</v>
      </c>
      <c r="J669" s="4" t="s">
        <v>139</v>
      </c>
      <c r="K669" s="4"/>
      <c r="L669" s="4"/>
      <c r="M669" s="3">
        <v>25.28</v>
      </c>
      <c r="N669" s="3">
        <v>1224.3699999999999</v>
      </c>
      <c r="O669" s="4" t="s">
        <v>49</v>
      </c>
      <c r="P669" s="4" t="s">
        <v>49</v>
      </c>
      <c r="Q669" s="4" t="s">
        <v>35</v>
      </c>
      <c r="R669" s="3">
        <v>787.51199999999994</v>
      </c>
      <c r="S669" s="3">
        <v>66.113200000000006</v>
      </c>
      <c r="T669" s="4" t="s">
        <v>321</v>
      </c>
      <c r="U669" s="2" t="s">
        <v>38</v>
      </c>
      <c r="V669" s="2" t="s">
        <v>37</v>
      </c>
      <c r="W669" s="2" t="s">
        <v>37</v>
      </c>
      <c r="X669" s="2" t="s">
        <v>37</v>
      </c>
      <c r="Y669" s="2" t="s">
        <v>37</v>
      </c>
      <c r="Z669" s="2" t="s">
        <v>37</v>
      </c>
      <c r="AA669" s="6">
        <v>3.0879126800000001</v>
      </c>
      <c r="AB669" s="6">
        <v>2.8962571800000001</v>
      </c>
      <c r="AC669" s="6">
        <v>3.0879126800000001</v>
      </c>
      <c r="AD669" cm="1">
        <f t="array" ref="AD669">IF(SUMPRODUCT(--($AM$2:$AM$112=TRIM(LEFT($B669,IFERROR(FIND(" ",$B669)-1,LEN($B669))))))&gt;0,1,0)</f>
        <v>0</v>
      </c>
      <c r="AE669" cm="1">
        <f t="array" ref="AE669">IF(SUMPRODUCT(--($AO$2:$AO$145=TRIM(LEFT($B669,IFERROR(FIND(" ",$B669)-1,LEN($B669))))))&gt;0,1,0)</f>
        <v>0</v>
      </c>
      <c r="AF669" cm="1">
        <f t="array" ref="AF669">IF(SUMPRODUCT(--($AQ$2:$AQ$71=TRIM(LEFT($B669,IFERROR(FIND(" ",$B669)-1,LEN($B669))))))&gt;0,1,0)</f>
        <v>1</v>
      </c>
    </row>
    <row r="670" spans="1:32" ht="75.75" thickBot="1" x14ac:dyDescent="0.3">
      <c r="A670" s="13">
        <v>76</v>
      </c>
      <c r="B670" s="4" t="s">
        <v>1398</v>
      </c>
      <c r="C670" s="4" t="s">
        <v>1399</v>
      </c>
      <c r="D670" s="7">
        <v>44186</v>
      </c>
      <c r="E670" s="3">
        <v>3323.82</v>
      </c>
      <c r="F670" s="4" t="s">
        <v>30</v>
      </c>
      <c r="G670" s="3">
        <v>26.57</v>
      </c>
      <c r="H670" s="4" t="s">
        <v>41</v>
      </c>
      <c r="I670" s="4" t="s">
        <v>41</v>
      </c>
      <c r="J670" s="4" t="s">
        <v>100</v>
      </c>
      <c r="K670" s="3">
        <v>185.33</v>
      </c>
      <c r="L670" s="3">
        <v>67.392799999999994</v>
      </c>
      <c r="M670" s="4"/>
      <c r="N670" s="3">
        <v>3276.41</v>
      </c>
      <c r="O670" s="4" t="s">
        <v>34</v>
      </c>
      <c r="P670" s="4" t="s">
        <v>34</v>
      </c>
      <c r="Q670" s="4" t="s">
        <v>35</v>
      </c>
      <c r="R670" s="3">
        <v>673.28300000000002</v>
      </c>
      <c r="S670" s="3">
        <v>13.8466</v>
      </c>
      <c r="T670" s="4" t="s">
        <v>113</v>
      </c>
      <c r="U670" s="2" t="s">
        <v>37</v>
      </c>
      <c r="V670" s="2" t="s">
        <v>37</v>
      </c>
      <c r="W670" s="2" t="s">
        <v>37</v>
      </c>
      <c r="X670" s="2" t="s">
        <v>38</v>
      </c>
      <c r="Y670" s="2" t="s">
        <v>37</v>
      </c>
      <c r="Z670" s="2" t="s">
        <v>37</v>
      </c>
      <c r="AA670" s="6">
        <v>3.521637497</v>
      </c>
      <c r="AB670" s="6">
        <v>2.8281976489999998</v>
      </c>
      <c r="AC670" s="6">
        <v>3.5153982429999999</v>
      </c>
      <c r="AD670" cm="1">
        <f t="array" ref="AD670">IF(SUMPRODUCT(--($AM$2:$AM$112=TRIM(LEFT($B670,IFERROR(FIND(" ",$B670)-1,LEN($B670))))))&gt;0,1,0)</f>
        <v>0</v>
      </c>
      <c r="AE670" cm="1">
        <f t="array" ref="AE670">IF(SUMPRODUCT(--($AO$2:$AO$145=TRIM(LEFT($B670,IFERROR(FIND(" ",$B670)-1,LEN($B670))))))&gt;0,1,0)</f>
        <v>0</v>
      </c>
      <c r="AF670" cm="1">
        <f t="array" ref="AF670">IF(SUMPRODUCT(--($AQ$2:$AQ$71=TRIM(LEFT($B670,IFERROR(FIND(" ",$B670)-1,LEN($B670))))))&gt;0,1,0)</f>
        <v>0</v>
      </c>
    </row>
    <row r="671" spans="1:32" ht="75.75" thickBot="1" x14ac:dyDescent="0.3">
      <c r="A671" s="13">
        <v>28</v>
      </c>
      <c r="B671" s="4" t="s">
        <v>1400</v>
      </c>
      <c r="C671" s="4" t="s">
        <v>122</v>
      </c>
      <c r="D671" s="7">
        <v>44252</v>
      </c>
      <c r="E671" s="3">
        <v>1538.87</v>
      </c>
      <c r="F671" s="4" t="s">
        <v>30</v>
      </c>
      <c r="G671" s="4"/>
      <c r="H671" s="4" t="s">
        <v>41</v>
      </c>
      <c r="I671" s="4" t="s">
        <v>41</v>
      </c>
      <c r="J671" s="4" t="s">
        <v>42</v>
      </c>
      <c r="K671" s="4"/>
      <c r="L671" s="4"/>
      <c r="M671" s="3">
        <v>196.29</v>
      </c>
      <c r="N671" s="3">
        <v>1771.19</v>
      </c>
      <c r="O671" s="4" t="s">
        <v>34</v>
      </c>
      <c r="P671" s="4" t="s">
        <v>34</v>
      </c>
      <c r="Q671" s="4" t="s">
        <v>35</v>
      </c>
      <c r="R671" s="3">
        <v>8.7789999999999999</v>
      </c>
      <c r="S671" s="3">
        <v>-432.04199999999997</v>
      </c>
      <c r="T671" s="4" t="s">
        <v>88</v>
      </c>
      <c r="U671" s="2" t="s">
        <v>37</v>
      </c>
      <c r="V671" s="2" t="s">
        <v>37</v>
      </c>
      <c r="W671" s="2" t="s">
        <v>37</v>
      </c>
      <c r="X671" s="2" t="s">
        <v>37</v>
      </c>
      <c r="Y671" s="2" t="s">
        <v>37</v>
      </c>
      <c r="Z671" s="2" t="s">
        <v>38</v>
      </c>
      <c r="AA671" s="6">
        <v>3.1872019329999999</v>
      </c>
      <c r="AB671" s="6">
        <v>0.94344504900000004</v>
      </c>
      <c r="AC671" s="6">
        <v>3.2482651520000001</v>
      </c>
      <c r="AD671" cm="1">
        <f t="array" ref="AD671">IF(SUMPRODUCT(--($AM$2:$AM$112=TRIM(LEFT($B671,IFERROR(FIND(" ",$B671)-1,LEN($B671))))))&gt;0,1,0)</f>
        <v>0</v>
      </c>
      <c r="AE671" cm="1">
        <f t="array" ref="AE671">IF(SUMPRODUCT(--($AO$2:$AO$145=TRIM(LEFT($B671,IFERROR(FIND(" ",$B671)-1,LEN($B671))))))&gt;0,1,0)</f>
        <v>0</v>
      </c>
      <c r="AF671" cm="1">
        <f t="array" ref="AF671">IF(SUMPRODUCT(--($AQ$2:$AQ$71=TRIM(LEFT($B671,IFERROR(FIND(" ",$B671)-1,LEN($B671))))))&gt;0,1,0)</f>
        <v>0</v>
      </c>
    </row>
    <row r="672" spans="1:32" ht="150.75" thickBot="1" x14ac:dyDescent="0.3">
      <c r="A672" s="13">
        <v>182</v>
      </c>
      <c r="B672" s="4" t="s">
        <v>1401</v>
      </c>
      <c r="C672" s="2"/>
      <c r="D672" s="7">
        <v>44034</v>
      </c>
      <c r="E672" s="3">
        <v>1489.5</v>
      </c>
      <c r="F672" s="4" t="s">
        <v>30</v>
      </c>
      <c r="G672" s="4"/>
      <c r="H672" s="4" t="s">
        <v>184</v>
      </c>
      <c r="I672" s="4" t="s">
        <v>185</v>
      </c>
      <c r="J672" s="4" t="s">
        <v>266</v>
      </c>
      <c r="K672" s="4"/>
      <c r="L672" s="4"/>
      <c r="M672" s="4"/>
      <c r="N672" s="3">
        <v>675</v>
      </c>
      <c r="O672" s="4" t="s">
        <v>34</v>
      </c>
      <c r="P672" s="4" t="s">
        <v>34</v>
      </c>
      <c r="Q672" s="4" t="s">
        <v>35</v>
      </c>
      <c r="R672" s="3">
        <v>656.87699999999995</v>
      </c>
      <c r="S672" s="3">
        <v>-19.409400000000002</v>
      </c>
      <c r="T672" s="4" t="s">
        <v>1402</v>
      </c>
      <c r="U672" s="2" t="s">
        <v>37</v>
      </c>
      <c r="V672" s="2" t="s">
        <v>37</v>
      </c>
      <c r="W672" s="2" t="s">
        <v>37</v>
      </c>
      <c r="X672" s="2" t="s">
        <v>37</v>
      </c>
      <c r="Y672" s="2" t="s">
        <v>38</v>
      </c>
      <c r="Z672" s="2" t="s">
        <v>37</v>
      </c>
      <c r="AA672" s="6">
        <v>3.1730405080000001</v>
      </c>
      <c r="AB672" s="6">
        <v>2.8174840560000001</v>
      </c>
      <c r="AC672" s="6">
        <v>2.8293037729999999</v>
      </c>
      <c r="AD672" cm="1">
        <f t="array" ref="AD672">IF(SUMPRODUCT(--($AM$2:$AM$112=TRIM(LEFT($B672,IFERROR(FIND(" ",$B672)-1,LEN($B672))))))&gt;0,1,0)</f>
        <v>0</v>
      </c>
      <c r="AE672" cm="1">
        <f t="array" ref="AE672">IF(SUMPRODUCT(--($AO$2:$AO$145=TRIM(LEFT($B672,IFERROR(FIND(" ",$B672)-1,LEN($B672))))))&gt;0,1,0)</f>
        <v>0</v>
      </c>
      <c r="AF672" cm="1">
        <f t="array" ref="AF672">IF(SUMPRODUCT(--($AQ$2:$AQ$71=TRIM(LEFT($B672,IFERROR(FIND(" ",$B672)-1,LEN($B672))))))&gt;0,1,0)</f>
        <v>0</v>
      </c>
    </row>
    <row r="673" spans="1:32" ht="45.75" thickBot="1" x14ac:dyDescent="0.3">
      <c r="A673" s="13">
        <v>76</v>
      </c>
      <c r="B673" s="4" t="s">
        <v>1403</v>
      </c>
      <c r="C673" s="4" t="s">
        <v>913</v>
      </c>
      <c r="D673" s="7">
        <v>44172</v>
      </c>
      <c r="E673" s="3">
        <v>2145</v>
      </c>
      <c r="F673" s="4" t="s">
        <v>107</v>
      </c>
      <c r="G673" s="4"/>
      <c r="H673" s="4" t="s">
        <v>65</v>
      </c>
      <c r="I673" s="4" t="s">
        <v>138</v>
      </c>
      <c r="J673" s="4" t="s">
        <v>139</v>
      </c>
      <c r="K673" s="4"/>
      <c r="L673" s="4"/>
      <c r="M673" s="3">
        <v>34.64</v>
      </c>
      <c r="N673" s="3">
        <v>269.01</v>
      </c>
      <c r="O673" s="4" t="s">
        <v>34</v>
      </c>
      <c r="P673" s="4" t="s">
        <v>34</v>
      </c>
      <c r="Q673" s="4" t="s">
        <v>35</v>
      </c>
      <c r="R673" s="3">
        <v>-5.2370000000000001</v>
      </c>
      <c r="S673" s="3">
        <v>-145.50299999999999</v>
      </c>
      <c r="T673" s="4" t="s">
        <v>43</v>
      </c>
      <c r="U673" s="2" t="s">
        <v>37</v>
      </c>
      <c r="V673" s="2" t="s">
        <v>37</v>
      </c>
      <c r="W673" s="2" t="s">
        <v>37</v>
      </c>
      <c r="X673" s="2" t="s">
        <v>37</v>
      </c>
      <c r="Y673" s="2" t="s">
        <v>37</v>
      </c>
      <c r="Z673" s="2" t="s">
        <v>37</v>
      </c>
      <c r="AA673" s="6">
        <v>3.3314272969999998</v>
      </c>
      <c r="AB673" s="2"/>
      <c r="AC673" s="6">
        <v>2.4297684240000001</v>
      </c>
      <c r="AD673" cm="1">
        <f t="array" ref="AD673">IF(SUMPRODUCT(--($AM$2:$AM$112=TRIM(LEFT($B673,IFERROR(FIND(" ",$B673)-1,LEN($B673))))))&gt;0,1,0)</f>
        <v>0</v>
      </c>
      <c r="AE673" cm="1">
        <f t="array" ref="AE673">IF(SUMPRODUCT(--($AO$2:$AO$145=TRIM(LEFT($B673,IFERROR(FIND(" ",$B673)-1,LEN($B673))))))&gt;0,1,0)</f>
        <v>0</v>
      </c>
      <c r="AF673" cm="1">
        <f t="array" ref="AF673">IF(SUMPRODUCT(--($AQ$2:$AQ$71=TRIM(LEFT($B673,IFERROR(FIND(" ",$B673)-1,LEN($B673))))))&gt;0,1,0)</f>
        <v>0</v>
      </c>
    </row>
    <row r="674" spans="1:32" ht="45.75" thickBot="1" x14ac:dyDescent="0.3">
      <c r="A674" s="13">
        <v>63</v>
      </c>
      <c r="B674" s="4" t="s">
        <v>1404</v>
      </c>
      <c r="C674" s="4" t="s">
        <v>1061</v>
      </c>
      <c r="D674" s="7">
        <v>44186</v>
      </c>
      <c r="E674" s="3">
        <v>2183.83</v>
      </c>
      <c r="F674" s="4" t="s">
        <v>46</v>
      </c>
      <c r="G674" s="3">
        <v>3.71</v>
      </c>
      <c r="H674" s="4" t="s">
        <v>118</v>
      </c>
      <c r="I674" s="4" t="s">
        <v>119</v>
      </c>
      <c r="J674" s="4" t="s">
        <v>120</v>
      </c>
      <c r="K674" s="4"/>
      <c r="L674" s="3">
        <v>17</v>
      </c>
      <c r="M674" s="3">
        <v>10.36</v>
      </c>
      <c r="N674" s="3">
        <v>544.92999999999995</v>
      </c>
      <c r="O674" s="4" t="s">
        <v>34</v>
      </c>
      <c r="P674" s="4" t="s">
        <v>34</v>
      </c>
      <c r="Q674" s="4" t="s">
        <v>35</v>
      </c>
      <c r="R674" s="3">
        <v>1016.3</v>
      </c>
      <c r="S674" s="3">
        <v>-5.8265399999999996</v>
      </c>
      <c r="T674" s="4" t="s">
        <v>43</v>
      </c>
      <c r="U674" s="2" t="s">
        <v>37</v>
      </c>
      <c r="V674" s="2" t="s">
        <v>37</v>
      </c>
      <c r="W674" s="2" t="s">
        <v>37</v>
      </c>
      <c r="X674" s="2" t="s">
        <v>37</v>
      </c>
      <c r="Y674" s="2" t="s">
        <v>37</v>
      </c>
      <c r="Z674" s="2" t="s">
        <v>37</v>
      </c>
      <c r="AA674" s="6">
        <v>3.3392188279999999</v>
      </c>
      <c r="AB674" s="6">
        <v>3.0070219260000002</v>
      </c>
      <c r="AC674" s="6">
        <v>2.7363407180000001</v>
      </c>
      <c r="AD674" cm="1">
        <f t="array" ref="AD674">IF(SUMPRODUCT(--($AM$2:$AM$112=TRIM(LEFT($B674,IFERROR(FIND(" ",$B674)-1,LEN($B674))))))&gt;0,1,0)</f>
        <v>0</v>
      </c>
      <c r="AE674" cm="1">
        <f t="array" ref="AE674">IF(SUMPRODUCT(--($AO$2:$AO$145=TRIM(LEFT($B674,IFERROR(FIND(" ",$B674)-1,LEN($B674))))))&gt;0,1,0)</f>
        <v>0</v>
      </c>
      <c r="AF674" cm="1">
        <f t="array" ref="AF674">IF(SUMPRODUCT(--($AQ$2:$AQ$71=TRIM(LEFT($B674,IFERROR(FIND(" ",$B674)-1,LEN($B674))))))&gt;0,1,0)</f>
        <v>0</v>
      </c>
    </row>
    <row r="675" spans="1:32" ht="75.75" thickBot="1" x14ac:dyDescent="0.3">
      <c r="A675" s="13">
        <v>32</v>
      </c>
      <c r="B675" s="4" t="s">
        <v>1405</v>
      </c>
      <c r="C675" s="4" t="s">
        <v>837</v>
      </c>
      <c r="D675" s="7">
        <v>44228</v>
      </c>
      <c r="E675" s="3">
        <v>2964.27</v>
      </c>
      <c r="F675" s="4" t="s">
        <v>30</v>
      </c>
      <c r="G675" s="4"/>
      <c r="H675" s="4" t="s">
        <v>41</v>
      </c>
      <c r="I675" s="4" t="s">
        <v>41</v>
      </c>
      <c r="J675" s="4" t="s">
        <v>42</v>
      </c>
      <c r="K675" s="4"/>
      <c r="L675" s="4"/>
      <c r="M675" s="3">
        <v>45.63</v>
      </c>
      <c r="N675" s="3">
        <v>2964.27</v>
      </c>
      <c r="O675" s="4" t="s">
        <v>34</v>
      </c>
      <c r="P675" s="4" t="s">
        <v>34</v>
      </c>
      <c r="Q675" s="4" t="s">
        <v>35</v>
      </c>
      <c r="R675" s="3">
        <v>11.651999999999999</v>
      </c>
      <c r="S675" s="3">
        <v>-1320.65</v>
      </c>
      <c r="T675" s="4" t="s">
        <v>88</v>
      </c>
      <c r="U675" s="2" t="s">
        <v>37</v>
      </c>
      <c r="V675" s="2" t="s">
        <v>37</v>
      </c>
      <c r="W675" s="2" t="s">
        <v>37</v>
      </c>
      <c r="X675" s="2" t="s">
        <v>37</v>
      </c>
      <c r="Y675" s="2" t="s">
        <v>37</v>
      </c>
      <c r="Z675" s="2" t="s">
        <v>38</v>
      </c>
      <c r="AA675" s="6">
        <v>3.4719177590000001</v>
      </c>
      <c r="AB675" s="6">
        <v>1.0664004760000001</v>
      </c>
      <c r="AC675" s="6">
        <v>3.4719177590000001</v>
      </c>
      <c r="AD675" cm="1">
        <f t="array" ref="AD675">IF(SUMPRODUCT(--($AM$2:$AM$112=TRIM(LEFT($B675,IFERROR(FIND(" ",$B675)-1,LEN($B675))))))&gt;0,1,0)</f>
        <v>0</v>
      </c>
      <c r="AE675" cm="1">
        <f t="array" ref="AE675">IF(SUMPRODUCT(--($AO$2:$AO$145=TRIM(LEFT($B675,IFERROR(FIND(" ",$B675)-1,LEN($B675))))))&gt;0,1,0)</f>
        <v>0</v>
      </c>
      <c r="AF675" cm="1">
        <f t="array" ref="AF675">IF(SUMPRODUCT(--($AQ$2:$AQ$71=TRIM(LEFT($B675,IFERROR(FIND(" ",$B675)-1,LEN($B675))))))&gt;0,1,0)</f>
        <v>0</v>
      </c>
    </row>
    <row r="676" spans="1:32" ht="135.75" thickBot="1" x14ac:dyDescent="0.3">
      <c r="A676" s="13">
        <v>57</v>
      </c>
      <c r="B676" s="4" t="s">
        <v>1406</v>
      </c>
      <c r="C676" s="4" t="s">
        <v>1407</v>
      </c>
      <c r="D676" s="7">
        <v>44180</v>
      </c>
      <c r="E676" s="3">
        <v>3771.13</v>
      </c>
      <c r="F676" s="4" t="s">
        <v>46</v>
      </c>
      <c r="G676" s="3">
        <v>13.77</v>
      </c>
      <c r="H676" s="4" t="s">
        <v>118</v>
      </c>
      <c r="I676" s="4" t="s">
        <v>119</v>
      </c>
      <c r="J676" s="4" t="s">
        <v>120</v>
      </c>
      <c r="K676" s="3">
        <v>4</v>
      </c>
      <c r="L676" s="3">
        <v>25</v>
      </c>
      <c r="M676" s="3">
        <v>1.25</v>
      </c>
      <c r="N676" s="3">
        <v>1884.13</v>
      </c>
      <c r="O676" s="4" t="s">
        <v>34</v>
      </c>
      <c r="P676" s="4" t="s">
        <v>49</v>
      </c>
      <c r="Q676" s="4" t="s">
        <v>35</v>
      </c>
      <c r="R676" s="3">
        <v>399</v>
      </c>
      <c r="S676" s="3">
        <v>52.631599999999999</v>
      </c>
      <c r="T676" s="4" t="s">
        <v>1141</v>
      </c>
      <c r="U676" s="2" t="s">
        <v>38</v>
      </c>
      <c r="V676" s="2" t="s">
        <v>37</v>
      </c>
      <c r="W676" s="2" t="s">
        <v>38</v>
      </c>
      <c r="X676" s="2" t="s">
        <v>37</v>
      </c>
      <c r="Y676" s="2" t="s">
        <v>37</v>
      </c>
      <c r="Z676" s="2" t="s">
        <v>37</v>
      </c>
      <c r="AA676" s="6">
        <v>3.5764715040000001</v>
      </c>
      <c r="AB676" s="6">
        <v>2.600972896</v>
      </c>
      <c r="AC676" s="6">
        <v>3.2751108649999998</v>
      </c>
      <c r="AD676" cm="1">
        <f t="array" ref="AD676">IF(SUMPRODUCT(--($AM$2:$AM$112=TRIM(LEFT($B676,IFERROR(FIND(" ",$B676)-1,LEN($B676))))))&gt;0,1,0)</f>
        <v>0</v>
      </c>
      <c r="AE676" cm="1">
        <f t="array" ref="AE676">IF(SUMPRODUCT(--($AO$2:$AO$145=TRIM(LEFT($B676,IFERROR(FIND(" ",$B676)-1,LEN($B676))))))&gt;0,1,0)</f>
        <v>0</v>
      </c>
      <c r="AF676" cm="1">
        <f t="array" ref="AF676">IF(SUMPRODUCT(--($AQ$2:$AQ$71=TRIM(LEFT($B676,IFERROR(FIND(" ",$B676)-1,LEN($B676))))))&gt;0,1,0)</f>
        <v>1</v>
      </c>
    </row>
    <row r="677" spans="1:32" ht="75.75" thickBot="1" x14ac:dyDescent="0.3">
      <c r="A677" s="13">
        <v>431</v>
      </c>
      <c r="B677" s="4" t="s">
        <v>1408</v>
      </c>
      <c r="C677" s="4" t="s">
        <v>747</v>
      </c>
      <c r="D677" s="7">
        <v>43655</v>
      </c>
      <c r="E677" s="3">
        <v>4333.16</v>
      </c>
      <c r="F677" s="4" t="s">
        <v>30</v>
      </c>
      <c r="G677" s="3">
        <v>140.29</v>
      </c>
      <c r="H677" s="4" t="s">
        <v>31</v>
      </c>
      <c r="I677" s="4" t="s">
        <v>432</v>
      </c>
      <c r="J677" s="4" t="s">
        <v>433</v>
      </c>
      <c r="K677" s="3">
        <v>120</v>
      </c>
      <c r="L677" s="3">
        <v>120</v>
      </c>
      <c r="M677" s="3">
        <v>144.37</v>
      </c>
      <c r="N677" s="3">
        <v>4747.62</v>
      </c>
      <c r="O677" s="4" t="s">
        <v>34</v>
      </c>
      <c r="P677" s="4" t="s">
        <v>34</v>
      </c>
      <c r="Q677" s="4" t="s">
        <v>35</v>
      </c>
      <c r="R677" s="3">
        <v>583.45100000000002</v>
      </c>
      <c r="S677" s="3">
        <v>15.308199999999999</v>
      </c>
      <c r="T677" s="4" t="s">
        <v>43</v>
      </c>
      <c r="U677" s="2" t="s">
        <v>37</v>
      </c>
      <c r="V677" s="2" t="s">
        <v>37</v>
      </c>
      <c r="W677" s="2" t="s">
        <v>37</v>
      </c>
      <c r="X677" s="2" t="s">
        <v>37</v>
      </c>
      <c r="Y677" s="2" t="s">
        <v>37</v>
      </c>
      <c r="Z677" s="2" t="s">
        <v>37</v>
      </c>
      <c r="AA677" s="6">
        <v>3.6368047250000002</v>
      </c>
      <c r="AB677" s="6">
        <v>2.7660043889999999</v>
      </c>
      <c r="AC677" s="6">
        <v>3.676475951</v>
      </c>
      <c r="AD677" cm="1">
        <f t="array" ref="AD677">IF(SUMPRODUCT(--($AM$2:$AM$112=TRIM(LEFT($B677,IFERROR(FIND(" ",$B677)-1,LEN($B677))))))&gt;0,1,0)</f>
        <v>1</v>
      </c>
      <c r="AE677" cm="1">
        <f t="array" ref="AE677">IF(SUMPRODUCT(--($AO$2:$AO$145=TRIM(LEFT($B677,IFERROR(FIND(" ",$B677)-1,LEN($B677))))))&gt;0,1,0)</f>
        <v>0</v>
      </c>
      <c r="AF677" cm="1">
        <f t="array" ref="AF677">IF(SUMPRODUCT(--($AQ$2:$AQ$71=TRIM(LEFT($B677,IFERROR(FIND(" ",$B677)-1,LEN($B677))))))&gt;0,1,0)</f>
        <v>0</v>
      </c>
    </row>
    <row r="678" spans="1:32" ht="45.75" thickBot="1" x14ac:dyDescent="0.3">
      <c r="A678" s="13">
        <v>103</v>
      </c>
      <c r="B678" s="4" t="s">
        <v>1409</v>
      </c>
      <c r="C678" s="4" t="s">
        <v>1410</v>
      </c>
      <c r="D678" s="7">
        <v>44112</v>
      </c>
      <c r="E678" s="3">
        <v>4406.2299999999996</v>
      </c>
      <c r="F678" s="4" t="s">
        <v>69</v>
      </c>
      <c r="G678" s="3">
        <v>7.47</v>
      </c>
      <c r="H678" s="4" t="s">
        <v>65</v>
      </c>
      <c r="I678" s="4" t="s">
        <v>138</v>
      </c>
      <c r="J678" s="4" t="s">
        <v>176</v>
      </c>
      <c r="K678" s="4"/>
      <c r="L678" s="3">
        <v>206</v>
      </c>
      <c r="M678" s="4"/>
      <c r="N678" s="3">
        <v>3238.52</v>
      </c>
      <c r="O678" s="4" t="s">
        <v>34</v>
      </c>
      <c r="P678" s="4" t="s">
        <v>34</v>
      </c>
      <c r="Q678" s="4" t="s">
        <v>35</v>
      </c>
      <c r="R678" s="3">
        <v>1730.37</v>
      </c>
      <c r="S678" s="3">
        <v>13.5162</v>
      </c>
      <c r="T678" s="4" t="s">
        <v>43</v>
      </c>
      <c r="U678" s="2" t="s">
        <v>37</v>
      </c>
      <c r="V678" s="2" t="s">
        <v>37</v>
      </c>
      <c r="W678" s="2" t="s">
        <v>37</v>
      </c>
      <c r="X678" s="2" t="s">
        <v>37</v>
      </c>
      <c r="Y678" s="2" t="s">
        <v>37</v>
      </c>
      <c r="Z678" s="2" t="s">
        <v>37</v>
      </c>
      <c r="AA678" s="6">
        <v>3.6440671629999999</v>
      </c>
      <c r="AB678" s="6">
        <v>3.2381389770000002</v>
      </c>
      <c r="AC678" s="6">
        <v>3.510346583</v>
      </c>
      <c r="AD678" cm="1">
        <f t="array" ref="AD678">IF(SUMPRODUCT(--($AM$2:$AM$112=TRIM(LEFT($B678,IFERROR(FIND(" ",$B678)-1,LEN($B678))))))&gt;0,1,0)</f>
        <v>0</v>
      </c>
      <c r="AE678" cm="1">
        <f t="array" ref="AE678">IF(SUMPRODUCT(--($AO$2:$AO$145=TRIM(LEFT($B678,IFERROR(FIND(" ",$B678)-1,LEN($B678))))))&gt;0,1,0)</f>
        <v>0</v>
      </c>
      <c r="AF678" cm="1">
        <f t="array" ref="AF678">IF(SUMPRODUCT(--($AQ$2:$AQ$71=TRIM(LEFT($B678,IFERROR(FIND(" ",$B678)-1,LEN($B678))))))&gt;0,1,0)</f>
        <v>0</v>
      </c>
    </row>
    <row r="679" spans="1:32" ht="45.75" thickBot="1" x14ac:dyDescent="0.3">
      <c r="A679" s="13">
        <v>148</v>
      </c>
      <c r="B679" s="4" t="s">
        <v>1411</v>
      </c>
      <c r="C679" s="4" t="s">
        <v>1412</v>
      </c>
      <c r="D679" s="7">
        <v>44049</v>
      </c>
      <c r="E679" s="3">
        <v>1095.3399999999999</v>
      </c>
      <c r="F679" s="4" t="s">
        <v>69</v>
      </c>
      <c r="G679" s="4"/>
      <c r="H679" s="4" t="s">
        <v>65</v>
      </c>
      <c r="I679" s="4" t="s">
        <v>206</v>
      </c>
      <c r="J679" s="4" t="s">
        <v>206</v>
      </c>
      <c r="K679" s="4"/>
      <c r="L679" s="4"/>
      <c r="M679" s="3">
        <v>37.049999999999997</v>
      </c>
      <c r="N679" s="3">
        <v>1095.3399999999999</v>
      </c>
      <c r="O679" s="4" t="s">
        <v>207</v>
      </c>
      <c r="P679" s="4" t="s">
        <v>207</v>
      </c>
      <c r="Q679" s="4" t="s">
        <v>35</v>
      </c>
      <c r="R679" s="3">
        <v>1720.1</v>
      </c>
      <c r="S679" s="3">
        <v>-21.072800000000001</v>
      </c>
      <c r="T679" s="4" t="s">
        <v>43</v>
      </c>
      <c r="U679" s="2" t="s">
        <v>37</v>
      </c>
      <c r="V679" s="2" t="s">
        <v>37</v>
      </c>
      <c r="W679" s="2" t="s">
        <v>37</v>
      </c>
      <c r="X679" s="2" t="s">
        <v>37</v>
      </c>
      <c r="Y679" s="2" t="s">
        <v>37</v>
      </c>
      <c r="Z679" s="2" t="s">
        <v>37</v>
      </c>
      <c r="AA679" s="6">
        <v>3.0395489480000002</v>
      </c>
      <c r="AB679" s="6">
        <v>3.2355536960000002</v>
      </c>
      <c r="AC679" s="6">
        <v>3.0395489480000002</v>
      </c>
      <c r="AD679" cm="1">
        <f t="array" ref="AD679">IF(SUMPRODUCT(--($AM$2:$AM$112=TRIM(LEFT($B679,IFERROR(FIND(" ",$B679)-1,LEN($B679))))))&gt;0,1,0)</f>
        <v>0</v>
      </c>
      <c r="AE679" cm="1">
        <f t="array" ref="AE679">IF(SUMPRODUCT(--($AO$2:$AO$145=TRIM(LEFT($B679,IFERROR(FIND(" ",$B679)-1,LEN($B679))))))&gt;0,1,0)</f>
        <v>0</v>
      </c>
      <c r="AF679" cm="1">
        <f t="array" ref="AF679">IF(SUMPRODUCT(--($AQ$2:$AQ$71=TRIM(LEFT($B679,IFERROR(FIND(" ",$B679)-1,LEN($B679))))))&gt;0,1,0)</f>
        <v>0</v>
      </c>
    </row>
    <row r="680" spans="1:32" ht="45.75" thickBot="1" x14ac:dyDescent="0.3">
      <c r="A680" s="13">
        <v>60</v>
      </c>
      <c r="B680" s="4" t="s">
        <v>1413</v>
      </c>
      <c r="C680" s="4" t="s">
        <v>471</v>
      </c>
      <c r="D680" s="7">
        <v>44173</v>
      </c>
      <c r="E680" s="3">
        <v>625.16</v>
      </c>
      <c r="F680" s="4" t="s">
        <v>46</v>
      </c>
      <c r="G680" s="4"/>
      <c r="H680" s="4" t="s">
        <v>118</v>
      </c>
      <c r="I680" s="4" t="s">
        <v>119</v>
      </c>
      <c r="J680" s="4" t="s">
        <v>120</v>
      </c>
      <c r="K680" s="3">
        <v>20</v>
      </c>
      <c r="L680" s="3">
        <v>20</v>
      </c>
      <c r="M680" s="3">
        <v>-0.45</v>
      </c>
      <c r="N680" s="3">
        <v>354.62</v>
      </c>
      <c r="O680" s="4" t="s">
        <v>49</v>
      </c>
      <c r="P680" s="4" t="s">
        <v>49</v>
      </c>
      <c r="Q680" s="4" t="s">
        <v>35</v>
      </c>
      <c r="R680" s="3">
        <v>362.54</v>
      </c>
      <c r="S680" s="3">
        <v>-300.303</v>
      </c>
      <c r="T680" s="4" t="s">
        <v>43</v>
      </c>
      <c r="U680" s="2" t="s">
        <v>37</v>
      </c>
      <c r="V680" s="2" t="s">
        <v>37</v>
      </c>
      <c r="W680" s="2" t="s">
        <v>37</v>
      </c>
      <c r="X680" s="2" t="s">
        <v>37</v>
      </c>
      <c r="Y680" s="2" t="s">
        <v>37</v>
      </c>
      <c r="Z680" s="2" t="s">
        <v>37</v>
      </c>
      <c r="AA680" s="6">
        <v>2.7959911829999999</v>
      </c>
      <c r="AB680" s="6">
        <v>2.5593559300000002</v>
      </c>
      <c r="AC680" s="6">
        <v>2.549763225</v>
      </c>
      <c r="AD680" cm="1">
        <f t="array" ref="AD680">IF(SUMPRODUCT(--($AM$2:$AM$112=TRIM(LEFT($B680,IFERROR(FIND(" ",$B680)-1,LEN($B680))))))&gt;0,1,0)</f>
        <v>0</v>
      </c>
      <c r="AE680" cm="1">
        <f t="array" ref="AE680">IF(SUMPRODUCT(--($AO$2:$AO$145=TRIM(LEFT($B680,IFERROR(FIND(" ",$B680)-1,LEN($B680))))))&gt;0,1,0)</f>
        <v>0</v>
      </c>
      <c r="AF680" cm="1">
        <f t="array" ref="AF680">IF(SUMPRODUCT(--($AQ$2:$AQ$71=TRIM(LEFT($B680,IFERROR(FIND(" ",$B680)-1,LEN($B680))))))&gt;0,1,0)</f>
        <v>0</v>
      </c>
    </row>
    <row r="681" spans="1:32" ht="75.75" thickBot="1" x14ac:dyDescent="0.3">
      <c r="A681" s="13">
        <v>50</v>
      </c>
      <c r="B681" s="4" t="s">
        <v>1414</v>
      </c>
      <c r="C681" s="4" t="s">
        <v>1147</v>
      </c>
      <c r="D681" s="7">
        <v>44179</v>
      </c>
      <c r="E681" s="3">
        <v>926.82</v>
      </c>
      <c r="F681" s="4" t="s">
        <v>30</v>
      </c>
      <c r="G681" s="4"/>
      <c r="H681" s="4" t="s">
        <v>70</v>
      </c>
      <c r="I681" s="4" t="s">
        <v>94</v>
      </c>
      <c r="J681" s="4" t="s">
        <v>95</v>
      </c>
      <c r="K681" s="4"/>
      <c r="L681" s="4"/>
      <c r="M681" s="3">
        <v>37.19</v>
      </c>
      <c r="N681" s="3">
        <v>857.08</v>
      </c>
      <c r="O681" s="4" t="s">
        <v>49</v>
      </c>
      <c r="P681" s="4" t="s">
        <v>34</v>
      </c>
      <c r="Q681" s="4" t="s">
        <v>35</v>
      </c>
      <c r="R681" s="3">
        <v>156.81700000000001</v>
      </c>
      <c r="S681" s="3">
        <v>10.900600000000001</v>
      </c>
      <c r="T681" s="4" t="s">
        <v>97</v>
      </c>
      <c r="U681" s="2" t="s">
        <v>37</v>
      </c>
      <c r="V681" s="2" t="s">
        <v>37</v>
      </c>
      <c r="W681" s="2" t="s">
        <v>38</v>
      </c>
      <c r="X681" s="2" t="s">
        <v>37</v>
      </c>
      <c r="Y681" s="2" t="s">
        <v>37</v>
      </c>
      <c r="Z681" s="2" t="s">
        <v>37</v>
      </c>
      <c r="AA681" s="6">
        <v>2.9669953969999998</v>
      </c>
      <c r="AB681" s="6">
        <v>2.1953931409999998</v>
      </c>
      <c r="AC681" s="6">
        <v>2.9330213610000002</v>
      </c>
      <c r="AD681" cm="1">
        <f t="array" ref="AD681">IF(SUMPRODUCT(--($AM$2:$AM$112=TRIM(LEFT($B681,IFERROR(FIND(" ",$B681)-1,LEN($B681))))))&gt;0,1,0)</f>
        <v>0</v>
      </c>
      <c r="AE681" cm="1">
        <f t="array" ref="AE681">IF(SUMPRODUCT(--($AO$2:$AO$145=TRIM(LEFT($B681,IFERROR(FIND(" ",$B681)-1,LEN($B681))))))&gt;0,1,0)</f>
        <v>0</v>
      </c>
      <c r="AF681" cm="1">
        <f t="array" ref="AF681">IF(SUMPRODUCT(--($AQ$2:$AQ$71=TRIM(LEFT($B681,IFERROR(FIND(" ",$B681)-1,LEN($B681))))))&gt;0,1,0)</f>
        <v>0</v>
      </c>
    </row>
    <row r="682" spans="1:32" ht="75.75" thickBot="1" x14ac:dyDescent="0.3">
      <c r="A682" s="13">
        <v>68</v>
      </c>
      <c r="B682" s="4" t="s">
        <v>1415</v>
      </c>
      <c r="C682" s="4" t="s">
        <v>1416</v>
      </c>
      <c r="D682" s="7">
        <v>44151</v>
      </c>
      <c r="E682" s="3">
        <v>2254.19</v>
      </c>
      <c r="F682" s="4" t="s">
        <v>46</v>
      </c>
      <c r="G682" s="3">
        <v>8.4499999999999993</v>
      </c>
      <c r="H682" s="4" t="s">
        <v>47</v>
      </c>
      <c r="I682" s="4" t="s">
        <v>47</v>
      </c>
      <c r="J682" s="4" t="s">
        <v>48</v>
      </c>
      <c r="K682" s="3">
        <v>40</v>
      </c>
      <c r="L682" s="3">
        <v>40</v>
      </c>
      <c r="M682" s="3">
        <v>8.82</v>
      </c>
      <c r="N682" s="3">
        <v>1961.25</v>
      </c>
      <c r="O682" s="4" t="s">
        <v>49</v>
      </c>
      <c r="P682" s="4" t="s">
        <v>1417</v>
      </c>
      <c r="Q682" s="4" t="s">
        <v>35</v>
      </c>
      <c r="R682" s="3">
        <v>353.49</v>
      </c>
      <c r="S682" s="3">
        <v>23.154199999999999</v>
      </c>
      <c r="T682" s="4" t="s">
        <v>97</v>
      </c>
      <c r="U682" s="2" t="s">
        <v>37</v>
      </c>
      <c r="V682" s="2" t="s">
        <v>37</v>
      </c>
      <c r="W682" s="2" t="s">
        <v>38</v>
      </c>
      <c r="X682" s="2" t="s">
        <v>37</v>
      </c>
      <c r="Y682" s="2" t="s">
        <v>37</v>
      </c>
      <c r="Z682" s="2" t="s">
        <v>37</v>
      </c>
      <c r="AA682" s="6">
        <v>3.352990519</v>
      </c>
      <c r="AB682" s="6">
        <v>2.5483771320000002</v>
      </c>
      <c r="AC682" s="6">
        <v>3.2925329570000001</v>
      </c>
      <c r="AD682" cm="1">
        <f t="array" ref="AD682">IF(SUMPRODUCT(--($AM$2:$AM$112=TRIM(LEFT($B682,IFERROR(FIND(" ",$B682)-1,LEN($B682))))))&gt;0,1,0)</f>
        <v>0</v>
      </c>
      <c r="AE682" cm="1">
        <f t="array" ref="AE682">IF(SUMPRODUCT(--($AO$2:$AO$145=TRIM(LEFT($B682,IFERROR(FIND(" ",$B682)-1,LEN($B682))))))&gt;0,1,0)</f>
        <v>0</v>
      </c>
      <c r="AF682" cm="1">
        <f t="array" ref="AF682">IF(SUMPRODUCT(--($AQ$2:$AQ$71=TRIM(LEFT($B682,IFERROR(FIND(" ",$B682)-1,LEN($B682))))))&gt;0,1,0)</f>
        <v>0</v>
      </c>
    </row>
    <row r="683" spans="1:32" ht="165.75" thickBot="1" x14ac:dyDescent="0.3">
      <c r="A683" s="13">
        <v>112</v>
      </c>
      <c r="B683" s="4" t="s">
        <v>1418</v>
      </c>
      <c r="C683" s="2"/>
      <c r="D683" s="7">
        <v>44084</v>
      </c>
      <c r="E683" s="3">
        <v>1794.52</v>
      </c>
      <c r="F683" s="4" t="s">
        <v>30</v>
      </c>
      <c r="G683" s="3">
        <v>15.27</v>
      </c>
      <c r="H683" s="4" t="s">
        <v>31</v>
      </c>
      <c r="I683" s="4" t="s">
        <v>32</v>
      </c>
      <c r="J683" s="4" t="s">
        <v>270</v>
      </c>
      <c r="K683" s="3">
        <v>108.66</v>
      </c>
      <c r="L683" s="3">
        <v>54.33</v>
      </c>
      <c r="M683" s="4"/>
      <c r="N683" s="3">
        <v>1553.18</v>
      </c>
      <c r="O683" s="4" t="s">
        <v>34</v>
      </c>
      <c r="P683" s="4" t="s">
        <v>1419</v>
      </c>
      <c r="Q683" s="4" t="s">
        <v>35</v>
      </c>
      <c r="R683" s="3">
        <v>1312.28</v>
      </c>
      <c r="S683" s="3">
        <v>6.0642100000000001</v>
      </c>
      <c r="T683" s="4" t="s">
        <v>726</v>
      </c>
      <c r="U683" s="2" t="s">
        <v>37</v>
      </c>
      <c r="V683" s="2" t="s">
        <v>37</v>
      </c>
      <c r="W683" s="2" t="s">
        <v>38</v>
      </c>
      <c r="X683" s="2" t="s">
        <v>38</v>
      </c>
      <c r="Y683" s="2" t="s">
        <v>38</v>
      </c>
      <c r="Z683" s="2" t="s">
        <v>37</v>
      </c>
      <c r="AA683" s="6">
        <v>3.253948303</v>
      </c>
      <c r="AB683" s="6">
        <v>3.11802651</v>
      </c>
      <c r="AC683" s="6">
        <v>3.1912217900000002</v>
      </c>
      <c r="AD683" cm="1">
        <f t="array" ref="AD683">IF(SUMPRODUCT(--($AM$2:$AM$112=TRIM(LEFT($B683,IFERROR(FIND(" ",$B683)-1,LEN($B683))))))&gt;0,1,0)</f>
        <v>0</v>
      </c>
      <c r="AE683" cm="1">
        <f t="array" ref="AE683">IF(SUMPRODUCT(--($AO$2:$AO$145=TRIM(LEFT($B683,IFERROR(FIND(" ",$B683)-1,LEN($B683))))))&gt;0,1,0)</f>
        <v>0</v>
      </c>
      <c r="AF683" cm="1">
        <f t="array" ref="AF683">IF(SUMPRODUCT(--($AQ$2:$AQ$71=TRIM(LEFT($B683,IFERROR(FIND(" ",$B683)-1,LEN($B683))))))&gt;0,1,0)</f>
        <v>1</v>
      </c>
    </row>
    <row r="684" spans="1:32" ht="135.75" thickBot="1" x14ac:dyDescent="0.3">
      <c r="A684" s="13">
        <v>74</v>
      </c>
      <c r="B684" s="4" t="s">
        <v>1420</v>
      </c>
      <c r="C684" s="4" t="s">
        <v>391</v>
      </c>
      <c r="D684" s="7">
        <v>44137</v>
      </c>
      <c r="E684" s="3">
        <v>2940.42</v>
      </c>
      <c r="F684" s="4" t="s">
        <v>30</v>
      </c>
      <c r="G684" s="3">
        <v>9.0500000000000007</v>
      </c>
      <c r="H684" s="4" t="s">
        <v>184</v>
      </c>
      <c r="I684" s="4" t="s">
        <v>185</v>
      </c>
      <c r="J684" s="4" t="s">
        <v>762</v>
      </c>
      <c r="K684" s="3">
        <v>119.65600000000001</v>
      </c>
      <c r="L684" s="3">
        <v>37.393000000000001</v>
      </c>
      <c r="M684" s="4"/>
      <c r="N684" s="3">
        <v>1337.01</v>
      </c>
      <c r="O684" s="4" t="s">
        <v>34</v>
      </c>
      <c r="P684" s="4" t="s">
        <v>34</v>
      </c>
      <c r="Q684" s="4" t="s">
        <v>35</v>
      </c>
      <c r="R684" s="3">
        <v>1113.28</v>
      </c>
      <c r="S684" s="3">
        <v>15.807600000000001</v>
      </c>
      <c r="T684" s="4" t="s">
        <v>312</v>
      </c>
      <c r="U684" s="2" t="s">
        <v>37</v>
      </c>
      <c r="V684" s="2" t="s">
        <v>37</v>
      </c>
      <c r="W684" s="2" t="s">
        <v>37</v>
      </c>
      <c r="X684" s="2" t="s">
        <v>38</v>
      </c>
      <c r="Y684" s="2" t="s">
        <v>38</v>
      </c>
      <c r="Z684" s="2" t="s">
        <v>37</v>
      </c>
      <c r="AA684" s="6">
        <v>3.4684093680000001</v>
      </c>
      <c r="AB684" s="6">
        <v>3.0466044069999998</v>
      </c>
      <c r="AC684" s="6">
        <v>3.1261346560000001</v>
      </c>
      <c r="AD684" cm="1">
        <f t="array" ref="AD684">IF(SUMPRODUCT(--($AM$2:$AM$112=TRIM(LEFT($B684,IFERROR(FIND(" ",$B684)-1,LEN($B684))))))&gt;0,1,0)</f>
        <v>0</v>
      </c>
      <c r="AE684" cm="1">
        <f t="array" ref="AE684">IF(SUMPRODUCT(--($AO$2:$AO$145=TRIM(LEFT($B684,IFERROR(FIND(" ",$B684)-1,LEN($B684))))))&gt;0,1,0)</f>
        <v>1</v>
      </c>
      <c r="AF684" cm="1">
        <f t="array" ref="AF684">IF(SUMPRODUCT(--($AQ$2:$AQ$71=TRIM(LEFT($B684,IFERROR(FIND(" ",$B684)-1,LEN($B684))))))&gt;0,1,0)</f>
        <v>0</v>
      </c>
    </row>
    <row r="685" spans="1:32" ht="105.75" thickBot="1" x14ac:dyDescent="0.3">
      <c r="A685" s="13">
        <v>39</v>
      </c>
      <c r="B685" s="4" t="s">
        <v>1421</v>
      </c>
      <c r="C685" s="4" t="s">
        <v>1422</v>
      </c>
      <c r="D685" s="7">
        <v>44183</v>
      </c>
      <c r="E685" s="3">
        <v>2699.17</v>
      </c>
      <c r="F685" s="4" t="s">
        <v>30</v>
      </c>
      <c r="G685" s="3">
        <v>29.11</v>
      </c>
      <c r="H685" s="4" t="s">
        <v>41</v>
      </c>
      <c r="I685" s="4" t="s">
        <v>41</v>
      </c>
      <c r="J685" s="4" t="s">
        <v>60</v>
      </c>
      <c r="K685" s="4"/>
      <c r="L685" s="3">
        <v>75</v>
      </c>
      <c r="M685" s="3">
        <v>27.02</v>
      </c>
      <c r="N685" s="3">
        <v>2584.31</v>
      </c>
      <c r="O685" s="4" t="s">
        <v>34</v>
      </c>
      <c r="P685" s="4" t="s">
        <v>1021</v>
      </c>
      <c r="Q685" s="4" t="s">
        <v>35</v>
      </c>
      <c r="R685" s="3">
        <v>439.10700000000003</v>
      </c>
      <c r="S685" s="3">
        <v>9.1823899999999998</v>
      </c>
      <c r="T685" s="4" t="s">
        <v>964</v>
      </c>
      <c r="U685" s="2" t="s">
        <v>37</v>
      </c>
      <c r="V685" s="2" t="s">
        <v>37</v>
      </c>
      <c r="W685" s="2" t="s">
        <v>38</v>
      </c>
      <c r="X685" s="2" t="s">
        <v>37</v>
      </c>
      <c r="Y685" s="2" t="s">
        <v>37</v>
      </c>
      <c r="Z685" s="2" t="s">
        <v>38</v>
      </c>
      <c r="AA685" s="6">
        <v>3.4312302379999999</v>
      </c>
      <c r="AB685" s="6">
        <v>2.6425703600000001</v>
      </c>
      <c r="AC685" s="6">
        <v>3.4123446080000002</v>
      </c>
      <c r="AD685" cm="1">
        <f t="array" ref="AD685">IF(SUMPRODUCT(--($AM$2:$AM$112=TRIM(LEFT($B685,IFERROR(FIND(" ",$B685)-1,LEN($B685))))))&gt;0,1,0)</f>
        <v>0</v>
      </c>
      <c r="AE685" cm="1">
        <f t="array" ref="AE685">IF(SUMPRODUCT(--($AO$2:$AO$145=TRIM(LEFT($B685,IFERROR(FIND(" ",$B685)-1,LEN($B685))))))&gt;0,1,0)</f>
        <v>0</v>
      </c>
      <c r="AF685" cm="1">
        <f t="array" ref="AF685">IF(SUMPRODUCT(--($AQ$2:$AQ$71=TRIM(LEFT($B685,IFERROR(FIND(" ",$B685)-1,LEN($B685))))))&gt;0,1,0)</f>
        <v>0</v>
      </c>
    </row>
    <row r="686" spans="1:32" ht="165.75" thickBot="1" x14ac:dyDescent="0.3">
      <c r="A686" s="13">
        <v>52</v>
      </c>
      <c r="B686" s="4" t="s">
        <v>1423</v>
      </c>
      <c r="C686" s="2"/>
      <c r="D686" s="7">
        <v>44165</v>
      </c>
      <c r="E686" s="3">
        <v>855.51</v>
      </c>
      <c r="F686" s="4" t="s">
        <v>30</v>
      </c>
      <c r="G686" s="3">
        <v>37.71</v>
      </c>
      <c r="H686" s="4" t="s">
        <v>70</v>
      </c>
      <c r="I686" s="4" t="s">
        <v>94</v>
      </c>
      <c r="J686" s="4" t="s">
        <v>95</v>
      </c>
      <c r="K686" s="3">
        <v>22.741800000000001</v>
      </c>
      <c r="L686" s="3">
        <v>43.734299999999998</v>
      </c>
      <c r="M686" s="4"/>
      <c r="N686" s="3">
        <v>855.51</v>
      </c>
      <c r="O686" s="4" t="s">
        <v>34</v>
      </c>
      <c r="P686" s="4" t="s">
        <v>34</v>
      </c>
      <c r="Q686" s="4" t="s">
        <v>35</v>
      </c>
      <c r="R686" s="3">
        <v>78.891000000000005</v>
      </c>
      <c r="S686" s="3">
        <v>22.764299999999999</v>
      </c>
      <c r="T686" s="4" t="s">
        <v>1310</v>
      </c>
      <c r="U686" s="2" t="s">
        <v>37</v>
      </c>
      <c r="V686" s="2" t="s">
        <v>37</v>
      </c>
      <c r="W686" s="2" t="s">
        <v>37</v>
      </c>
      <c r="X686" s="2" t="s">
        <v>38</v>
      </c>
      <c r="Y686" s="2" t="s">
        <v>38</v>
      </c>
      <c r="Z686" s="2" t="s">
        <v>38</v>
      </c>
      <c r="AA686" s="6">
        <v>2.9322250900000002</v>
      </c>
      <c r="AB686" s="6">
        <v>1.897027461</v>
      </c>
      <c r="AC686" s="6">
        <v>2.9322250900000002</v>
      </c>
      <c r="AD686" cm="1">
        <f t="array" ref="AD686">IF(SUMPRODUCT(--($AM$2:$AM$112=TRIM(LEFT($B686,IFERROR(FIND(" ",$B686)-1,LEN($B686))))))&gt;0,1,0)</f>
        <v>0</v>
      </c>
      <c r="AE686" cm="1">
        <f t="array" ref="AE686">IF(SUMPRODUCT(--($AO$2:$AO$145=TRIM(LEFT($B686,IFERROR(FIND(" ",$B686)-1,LEN($B686))))))&gt;0,1,0)</f>
        <v>0</v>
      </c>
      <c r="AF686" cm="1">
        <f t="array" ref="AF686">IF(SUMPRODUCT(--($AQ$2:$AQ$71=TRIM(LEFT($B686,IFERROR(FIND(" ",$B686)-1,LEN($B686))))))&gt;0,1,0)</f>
        <v>0</v>
      </c>
    </row>
    <row r="687" spans="1:32" ht="60.75" thickBot="1" x14ac:dyDescent="0.3">
      <c r="A687" s="13">
        <v>55</v>
      </c>
      <c r="B687" s="4" t="s">
        <v>1424</v>
      </c>
      <c r="C687" s="4" t="s">
        <v>1425</v>
      </c>
      <c r="D687" s="7">
        <v>44154</v>
      </c>
      <c r="E687" s="3">
        <v>3219.12</v>
      </c>
      <c r="F687" s="4" t="s">
        <v>46</v>
      </c>
      <c r="G687" s="3">
        <v>6.82</v>
      </c>
      <c r="H687" s="4" t="s">
        <v>47</v>
      </c>
      <c r="I687" s="4" t="s">
        <v>47</v>
      </c>
      <c r="J687" s="4" t="s">
        <v>962</v>
      </c>
      <c r="K687" s="4"/>
      <c r="L687" s="4"/>
      <c r="M687" s="3">
        <v>4.4000000000000004</v>
      </c>
      <c r="N687" s="3">
        <v>2788.8</v>
      </c>
      <c r="O687" s="4" t="s">
        <v>49</v>
      </c>
      <c r="P687" s="4" t="s">
        <v>49</v>
      </c>
      <c r="Q687" s="4" t="s">
        <v>35</v>
      </c>
      <c r="R687" s="3">
        <v>2407</v>
      </c>
      <c r="S687" s="3">
        <v>28.9572</v>
      </c>
      <c r="T687" s="4" t="s">
        <v>43</v>
      </c>
      <c r="U687" s="2" t="s">
        <v>37</v>
      </c>
      <c r="V687" s="2" t="s">
        <v>37</v>
      </c>
      <c r="W687" s="2" t="s">
        <v>37</v>
      </c>
      <c r="X687" s="2" t="s">
        <v>37</v>
      </c>
      <c r="Y687" s="2" t="s">
        <v>37</v>
      </c>
      <c r="Z687" s="2" t="s">
        <v>37</v>
      </c>
      <c r="AA687" s="6">
        <v>3.5077371660000001</v>
      </c>
      <c r="AB687" s="6">
        <v>3.38147609</v>
      </c>
      <c r="AC687" s="6">
        <v>3.4454173699999999</v>
      </c>
      <c r="AD687" cm="1">
        <f t="array" ref="AD687">IF(SUMPRODUCT(--($AM$2:$AM$112=TRIM(LEFT($B687,IFERROR(FIND(" ",$B687)-1,LEN($B687))))))&gt;0,1,0)</f>
        <v>0</v>
      </c>
      <c r="AE687" cm="1">
        <f t="array" ref="AE687">IF(SUMPRODUCT(--($AO$2:$AO$145=TRIM(LEFT($B687,IFERROR(FIND(" ",$B687)-1,LEN($B687))))))&gt;0,1,0)</f>
        <v>0</v>
      </c>
      <c r="AF687" cm="1">
        <f t="array" ref="AF687">IF(SUMPRODUCT(--($AQ$2:$AQ$71=TRIM(LEFT($B687,IFERROR(FIND(" ",$B687)-1,LEN($B687))))))&gt;0,1,0)</f>
        <v>0</v>
      </c>
    </row>
    <row r="688" spans="1:32" ht="135.75" thickBot="1" x14ac:dyDescent="0.3">
      <c r="A688" s="13">
        <v>55</v>
      </c>
      <c r="B688" s="4" t="s">
        <v>1426</v>
      </c>
      <c r="C688" s="4" t="s">
        <v>1151</v>
      </c>
      <c r="D688" s="7">
        <v>44150</v>
      </c>
      <c r="E688" s="3">
        <v>1388.62</v>
      </c>
      <c r="F688" s="4" t="s">
        <v>30</v>
      </c>
      <c r="G688" s="3">
        <v>7.34</v>
      </c>
      <c r="H688" s="4" t="s">
        <v>75</v>
      </c>
      <c r="I688" s="4" t="s">
        <v>83</v>
      </c>
      <c r="J688" s="4" t="s">
        <v>84</v>
      </c>
      <c r="K688" s="4"/>
      <c r="L688" s="3">
        <v>25</v>
      </c>
      <c r="M688" s="4"/>
      <c r="N688" s="3">
        <v>831.74</v>
      </c>
      <c r="O688" s="4" t="s">
        <v>34</v>
      </c>
      <c r="P688" s="4" t="s">
        <v>34</v>
      </c>
      <c r="Q688" s="4" t="s">
        <v>35</v>
      </c>
      <c r="R688" s="3">
        <v>2154.5300000000002</v>
      </c>
      <c r="S688" s="3">
        <v>3.74404</v>
      </c>
      <c r="T688" s="4" t="s">
        <v>312</v>
      </c>
      <c r="U688" s="2" t="s">
        <v>37</v>
      </c>
      <c r="V688" s="2" t="s">
        <v>37</v>
      </c>
      <c r="W688" s="2" t="s">
        <v>37</v>
      </c>
      <c r="X688" s="2" t="s">
        <v>38</v>
      </c>
      <c r="Y688" s="2" t="s">
        <v>38</v>
      </c>
      <c r="Z688" s="2" t="s">
        <v>37</v>
      </c>
      <c r="AA688" s="6">
        <v>3.1425834159999999</v>
      </c>
      <c r="AB688" s="6">
        <v>3.333352546</v>
      </c>
      <c r="AC688" s="6">
        <v>2.9199875880000001</v>
      </c>
      <c r="AD688" cm="1">
        <f t="array" ref="AD688">IF(SUMPRODUCT(--($AM$2:$AM$112=TRIM(LEFT($B688,IFERROR(FIND(" ",$B688)-1,LEN($B688))))))&gt;0,1,0)</f>
        <v>0</v>
      </c>
      <c r="AE688" cm="1">
        <f t="array" ref="AE688">IF(SUMPRODUCT(--($AO$2:$AO$145=TRIM(LEFT($B688,IFERROR(FIND(" ",$B688)-1,LEN($B688))))))&gt;0,1,0)</f>
        <v>0</v>
      </c>
      <c r="AF688" cm="1">
        <f t="array" ref="AF688">IF(SUMPRODUCT(--($AQ$2:$AQ$71=TRIM(LEFT($B688,IFERROR(FIND(" ",$B688)-1,LEN($B688))))))&gt;0,1,0)</f>
        <v>0</v>
      </c>
    </row>
    <row r="689" spans="1:32" ht="120.75" thickBot="1" x14ac:dyDescent="0.3">
      <c r="A689" s="13">
        <v>83</v>
      </c>
      <c r="B689" s="4" t="s">
        <v>1427</v>
      </c>
      <c r="C689" s="4" t="s">
        <v>1428</v>
      </c>
      <c r="D689" s="7">
        <v>44109</v>
      </c>
      <c r="E689" s="3">
        <v>1025.73</v>
      </c>
      <c r="F689" s="4" t="s">
        <v>69</v>
      </c>
      <c r="G689" s="4"/>
      <c r="H689" s="4" t="s">
        <v>41</v>
      </c>
      <c r="I689" s="4" t="s">
        <v>41</v>
      </c>
      <c r="J689" s="4" t="s">
        <v>100</v>
      </c>
      <c r="K689" s="3">
        <v>100</v>
      </c>
      <c r="L689" s="3">
        <v>35</v>
      </c>
      <c r="M689" s="4"/>
      <c r="N689" s="3">
        <v>1025.73</v>
      </c>
      <c r="O689" s="4" t="s">
        <v>34</v>
      </c>
      <c r="P689" s="4" t="s">
        <v>34</v>
      </c>
      <c r="Q689" s="4" t="s">
        <v>35</v>
      </c>
      <c r="R689" s="3">
        <v>26.690999999999999</v>
      </c>
      <c r="S689" s="3">
        <v>-78625.2</v>
      </c>
      <c r="T689" s="4" t="s">
        <v>321</v>
      </c>
      <c r="U689" s="2" t="s">
        <v>38</v>
      </c>
      <c r="V689" s="2" t="s">
        <v>37</v>
      </c>
      <c r="W689" s="2" t="s">
        <v>37</v>
      </c>
      <c r="X689" s="2" t="s">
        <v>37</v>
      </c>
      <c r="Y689" s="2" t="s">
        <v>37</v>
      </c>
      <c r="Z689" s="2" t="s">
        <v>37</v>
      </c>
      <c r="AA689" s="6">
        <v>3.0110330580000002</v>
      </c>
      <c r="AB689" s="6">
        <v>1.4263648449999999</v>
      </c>
      <c r="AC689" s="6">
        <v>3.0110330580000002</v>
      </c>
      <c r="AD689" cm="1">
        <f t="array" ref="AD689">IF(SUMPRODUCT(--($AM$2:$AM$112=TRIM(LEFT($B689,IFERROR(FIND(" ",$B689)-1,LEN($B689))))))&gt;0,1,0)</f>
        <v>0</v>
      </c>
      <c r="AE689" cm="1">
        <f t="array" ref="AE689">IF(SUMPRODUCT(--($AO$2:$AO$145=TRIM(LEFT($B689,IFERROR(FIND(" ",$B689)-1,LEN($B689))))))&gt;0,1,0)</f>
        <v>0</v>
      </c>
      <c r="AF689" cm="1">
        <f t="array" ref="AF689">IF(SUMPRODUCT(--($AQ$2:$AQ$71=TRIM(LEFT($B689,IFERROR(FIND(" ",$B689)-1,LEN($B689))))))&gt;0,1,0)</f>
        <v>0</v>
      </c>
    </row>
    <row r="690" spans="1:32" ht="45.75" thickBot="1" x14ac:dyDescent="0.3">
      <c r="A690" s="13">
        <v>58</v>
      </c>
      <c r="B690" s="4" t="s">
        <v>1429</v>
      </c>
      <c r="C690" s="4" t="s">
        <v>1430</v>
      </c>
      <c r="D690" s="7">
        <v>44144</v>
      </c>
      <c r="E690" s="3">
        <v>763.22</v>
      </c>
      <c r="F690" s="4" t="s">
        <v>30</v>
      </c>
      <c r="G690" s="3">
        <v>11.35</v>
      </c>
      <c r="H690" s="4" t="s">
        <v>127</v>
      </c>
      <c r="I690" s="4" t="s">
        <v>128</v>
      </c>
      <c r="J690" s="4" t="s">
        <v>129</v>
      </c>
      <c r="K690" s="3">
        <v>26</v>
      </c>
      <c r="L690" s="3">
        <v>22</v>
      </c>
      <c r="M690" s="3">
        <v>14.45</v>
      </c>
      <c r="N690" s="3">
        <v>414.34</v>
      </c>
      <c r="O690" s="4" t="s">
        <v>49</v>
      </c>
      <c r="P690" s="4" t="s">
        <v>49</v>
      </c>
      <c r="Q690" s="4" t="s">
        <v>35</v>
      </c>
      <c r="R690" s="3">
        <v>464.45699999999999</v>
      </c>
      <c r="S690" s="3">
        <v>8.7775800000000004</v>
      </c>
      <c r="T690" s="4" t="s">
        <v>43</v>
      </c>
      <c r="U690" s="2" t="s">
        <v>37</v>
      </c>
      <c r="V690" s="2" t="s">
        <v>37</v>
      </c>
      <c r="W690" s="2" t="s">
        <v>37</v>
      </c>
      <c r="X690" s="2" t="s">
        <v>37</v>
      </c>
      <c r="Y690" s="2" t="s">
        <v>37</v>
      </c>
      <c r="Z690" s="2" t="s">
        <v>37</v>
      </c>
      <c r="AA690" s="6">
        <v>2.8826497419999999</v>
      </c>
      <c r="AB690" s="6">
        <v>2.6669455129999999</v>
      </c>
      <c r="AC690" s="6">
        <v>2.6173568619999998</v>
      </c>
      <c r="AD690" cm="1">
        <f t="array" ref="AD690">IF(SUMPRODUCT(--($AM$2:$AM$112=TRIM(LEFT($B690,IFERROR(FIND(" ",$B690)-1,LEN($B690))))))&gt;0,1,0)</f>
        <v>0</v>
      </c>
      <c r="AE690" cm="1">
        <f t="array" ref="AE690">IF(SUMPRODUCT(--($AO$2:$AO$145=TRIM(LEFT($B690,IFERROR(FIND(" ",$B690)-1,LEN($B690))))))&gt;0,1,0)</f>
        <v>0</v>
      </c>
      <c r="AF690" cm="1">
        <f t="array" ref="AF690">IF(SUMPRODUCT(--($AQ$2:$AQ$71=TRIM(LEFT($B690,IFERROR(FIND(" ",$B690)-1,LEN($B690))))))&gt;0,1,0)</f>
        <v>0</v>
      </c>
    </row>
    <row r="691" spans="1:32" ht="135.75" thickBot="1" x14ac:dyDescent="0.3">
      <c r="A691" s="13">
        <v>83</v>
      </c>
      <c r="B691" s="4" t="s">
        <v>1431</v>
      </c>
      <c r="C691" s="4" t="s">
        <v>817</v>
      </c>
      <c r="D691" s="7">
        <v>44106</v>
      </c>
      <c r="E691" s="3">
        <v>998.83</v>
      </c>
      <c r="F691" s="4" t="s">
        <v>30</v>
      </c>
      <c r="G691" s="3">
        <v>7.5</v>
      </c>
      <c r="H691" s="4" t="s">
        <v>41</v>
      </c>
      <c r="I691" s="4" t="s">
        <v>41</v>
      </c>
      <c r="J691" s="4" t="s">
        <v>100</v>
      </c>
      <c r="K691" s="4"/>
      <c r="L691" s="3">
        <v>5.0369999999999999</v>
      </c>
      <c r="M691" s="4"/>
      <c r="N691" s="3">
        <v>397.99</v>
      </c>
      <c r="O691" s="4" t="s">
        <v>34</v>
      </c>
      <c r="P691" s="4" t="s">
        <v>34</v>
      </c>
      <c r="Q691" s="4" t="s">
        <v>35</v>
      </c>
      <c r="R691" s="3">
        <v>822.52200000000005</v>
      </c>
      <c r="S691" s="3">
        <v>7.6791700000000001</v>
      </c>
      <c r="T691" s="4" t="s">
        <v>312</v>
      </c>
      <c r="U691" s="2" t="s">
        <v>37</v>
      </c>
      <c r="V691" s="2" t="s">
        <v>37</v>
      </c>
      <c r="W691" s="2" t="s">
        <v>37</v>
      </c>
      <c r="X691" s="2" t="s">
        <v>38</v>
      </c>
      <c r="Y691" s="2" t="s">
        <v>38</v>
      </c>
      <c r="Z691" s="2" t="s">
        <v>37</v>
      </c>
      <c r="AA691" s="6">
        <v>2.9994915780000002</v>
      </c>
      <c r="AB691" s="6">
        <v>2.9151475229999999</v>
      </c>
      <c r="AC691" s="6">
        <v>2.5998721599999999</v>
      </c>
      <c r="AD691" cm="1">
        <f t="array" ref="AD691">IF(SUMPRODUCT(--($AM$2:$AM$112=TRIM(LEFT($B691,IFERROR(FIND(" ",$B691)-1,LEN($B691))))))&gt;0,1,0)</f>
        <v>0</v>
      </c>
      <c r="AE691" cm="1">
        <f t="array" ref="AE691">IF(SUMPRODUCT(--($AO$2:$AO$145=TRIM(LEFT($B691,IFERROR(FIND(" ",$B691)-1,LEN($B691))))))&gt;0,1,0)</f>
        <v>0</v>
      </c>
      <c r="AF691" cm="1">
        <f t="array" ref="AF691">IF(SUMPRODUCT(--($AQ$2:$AQ$71=TRIM(LEFT($B691,IFERROR(FIND(" ",$B691)-1,LEN($B691))))))&gt;0,1,0)</f>
        <v>0</v>
      </c>
    </row>
    <row r="692" spans="1:32" ht="75.75" thickBot="1" x14ac:dyDescent="0.3">
      <c r="A692" s="13">
        <v>30</v>
      </c>
      <c r="B692" s="4" t="s">
        <v>1432</v>
      </c>
      <c r="C692" s="4" t="s">
        <v>40</v>
      </c>
      <c r="D692" s="7">
        <v>44180</v>
      </c>
      <c r="E692" s="3">
        <v>689.34</v>
      </c>
      <c r="F692" s="4" t="s">
        <v>30</v>
      </c>
      <c r="G692" s="4"/>
      <c r="H692" s="4" t="s">
        <v>41</v>
      </c>
      <c r="I692" s="4" t="s">
        <v>41</v>
      </c>
      <c r="J692" s="4" t="s">
        <v>42</v>
      </c>
      <c r="K692" s="4"/>
      <c r="L692" s="3">
        <v>30</v>
      </c>
      <c r="M692" s="4"/>
      <c r="N692" s="3">
        <v>770.54</v>
      </c>
      <c r="O692" s="4" t="s">
        <v>34</v>
      </c>
      <c r="P692" s="4" t="s">
        <v>34</v>
      </c>
      <c r="Q692" s="4" t="s">
        <v>35</v>
      </c>
      <c r="R692" s="2"/>
      <c r="S692" s="2"/>
      <c r="T692" s="4" t="s">
        <v>88</v>
      </c>
      <c r="U692" s="2" t="s">
        <v>37</v>
      </c>
      <c r="V692" s="2" t="s">
        <v>37</v>
      </c>
      <c r="W692" s="2" t="s">
        <v>37</v>
      </c>
      <c r="X692" s="2" t="s">
        <v>37</v>
      </c>
      <c r="Y692" s="2" t="s">
        <v>37</v>
      </c>
      <c r="Z692" s="2" t="s">
        <v>38</v>
      </c>
      <c r="AA692" s="6">
        <v>2.83843348</v>
      </c>
      <c r="AB692" s="2"/>
      <c r="AC692" s="6">
        <v>2.8867951889999999</v>
      </c>
      <c r="AD692" cm="1">
        <f t="array" ref="AD692">IF(SUMPRODUCT(--($AM$2:$AM$112=TRIM(LEFT($B692,IFERROR(FIND(" ",$B692)-1,LEN($B692))))))&gt;0,1,0)</f>
        <v>0</v>
      </c>
      <c r="AE692" cm="1">
        <f t="array" ref="AE692">IF(SUMPRODUCT(--($AO$2:$AO$145=TRIM(LEFT($B692,IFERROR(FIND(" ",$B692)-1,LEN($B692))))))&gt;0,1,0)</f>
        <v>0</v>
      </c>
      <c r="AF692" cm="1">
        <f t="array" ref="AF692">IF(SUMPRODUCT(--($AQ$2:$AQ$71=TRIM(LEFT($B692,IFERROR(FIND(" ",$B692)-1,LEN($B692))))))&gt;0,1,0)</f>
        <v>0</v>
      </c>
    </row>
    <row r="693" spans="1:32" ht="45.75" thickBot="1" x14ac:dyDescent="0.3">
      <c r="A693" s="13">
        <v>67</v>
      </c>
      <c r="B693" s="4" t="s">
        <v>1433</v>
      </c>
      <c r="C693" s="4" t="s">
        <v>596</v>
      </c>
      <c r="D693" s="7">
        <v>44123</v>
      </c>
      <c r="E693" s="3">
        <v>13290.68</v>
      </c>
      <c r="F693" s="4" t="s">
        <v>46</v>
      </c>
      <c r="G693" s="4"/>
      <c r="H693" s="4" t="s">
        <v>118</v>
      </c>
      <c r="I693" s="4" t="s">
        <v>119</v>
      </c>
      <c r="J693" s="4" t="s">
        <v>120</v>
      </c>
      <c r="K693" s="3">
        <v>450</v>
      </c>
      <c r="L693" s="3">
        <v>300</v>
      </c>
      <c r="M693" s="3">
        <v>9.5399999999999991</v>
      </c>
      <c r="N693" s="3">
        <v>9653.68</v>
      </c>
      <c r="O693" s="4" t="s">
        <v>34</v>
      </c>
      <c r="P693" s="4" t="s">
        <v>34</v>
      </c>
      <c r="Q693" s="4" t="s">
        <v>35</v>
      </c>
      <c r="R693" s="3">
        <v>4494</v>
      </c>
      <c r="S693" s="3">
        <v>-289.20499999999998</v>
      </c>
      <c r="T693" s="4" t="s">
        <v>43</v>
      </c>
      <c r="U693" s="2" t="s">
        <v>37</v>
      </c>
      <c r="V693" s="2" t="s">
        <v>37</v>
      </c>
      <c r="W693" s="2" t="s">
        <v>37</v>
      </c>
      <c r="X693" s="2" t="s">
        <v>37</v>
      </c>
      <c r="Y693" s="2" t="s">
        <v>37</v>
      </c>
      <c r="Z693" s="2" t="s">
        <v>37</v>
      </c>
      <c r="AA693" s="6">
        <v>4.1235472020000001</v>
      </c>
      <c r="AB693" s="6">
        <v>3.6526330680000001</v>
      </c>
      <c r="AC693" s="6">
        <v>3.9846928990000001</v>
      </c>
      <c r="AD693" cm="1">
        <f t="array" ref="AD693">IF(SUMPRODUCT(--($AM$2:$AM$112=TRIM(LEFT($B693,IFERROR(FIND(" ",$B693)-1,LEN($B693))))))&gt;0,1,0)</f>
        <v>0</v>
      </c>
      <c r="AE693" cm="1">
        <f t="array" ref="AE693">IF(SUMPRODUCT(--($AO$2:$AO$145=TRIM(LEFT($B693,IFERROR(FIND(" ",$B693)-1,LEN($B693))))))&gt;0,1,0)</f>
        <v>0</v>
      </c>
      <c r="AF693" cm="1">
        <f t="array" ref="AF693">IF(SUMPRODUCT(--($AQ$2:$AQ$71=TRIM(LEFT($B693,IFERROR(FIND(" ",$B693)-1,LEN($B693))))))&gt;0,1,0)</f>
        <v>0</v>
      </c>
    </row>
    <row r="694" spans="1:32" ht="75.75" thickBot="1" x14ac:dyDescent="0.3">
      <c r="A694" s="13">
        <v>54</v>
      </c>
      <c r="B694" s="4" t="s">
        <v>899</v>
      </c>
      <c r="C694" s="4" t="s">
        <v>1434</v>
      </c>
      <c r="D694" s="7">
        <v>44138</v>
      </c>
      <c r="E694" s="3">
        <v>684.32</v>
      </c>
      <c r="F694" s="4" t="s">
        <v>30</v>
      </c>
      <c r="G694" s="4"/>
      <c r="H694" s="4" t="s">
        <v>118</v>
      </c>
      <c r="I694" s="4" t="s">
        <v>119</v>
      </c>
      <c r="J694" s="4" t="s">
        <v>120</v>
      </c>
      <c r="K694" s="4"/>
      <c r="L694" s="4"/>
      <c r="M694" s="4"/>
      <c r="N694" s="3">
        <v>150</v>
      </c>
      <c r="O694" s="4" t="s">
        <v>34</v>
      </c>
      <c r="P694" s="4" t="s">
        <v>34</v>
      </c>
      <c r="Q694" s="4" t="s">
        <v>35</v>
      </c>
      <c r="R694" s="3">
        <v>1145.19</v>
      </c>
      <c r="S694" s="3">
        <v>54.439700000000002</v>
      </c>
      <c r="T694" s="4" t="s">
        <v>701</v>
      </c>
      <c r="U694" s="2" t="s">
        <v>37</v>
      </c>
      <c r="V694" s="2" t="s">
        <v>37</v>
      </c>
      <c r="W694" s="2" t="s">
        <v>37</v>
      </c>
      <c r="X694" s="2" t="s">
        <v>37</v>
      </c>
      <c r="Y694" s="2" t="s">
        <v>37</v>
      </c>
      <c r="Z694" s="2" t="s">
        <v>37</v>
      </c>
      <c r="AA694" s="6">
        <v>2.8352592329999999</v>
      </c>
      <c r="AB694" s="6">
        <v>3.0588775469999998</v>
      </c>
      <c r="AC694" s="6">
        <v>2.1760912590000001</v>
      </c>
      <c r="AD694" cm="1">
        <f t="array" ref="AD694">IF(SUMPRODUCT(--($AM$2:$AM$112=TRIM(LEFT($B694,IFERROR(FIND(" ",$B694)-1,LEN($B694))))))&gt;0,1,0)</f>
        <v>0</v>
      </c>
      <c r="AE694" cm="1">
        <f t="array" ref="AE694">IF(SUMPRODUCT(--($AO$2:$AO$145=TRIM(LEFT($B694,IFERROR(FIND(" ",$B694)-1,LEN($B694))))))&gt;0,1,0)</f>
        <v>0</v>
      </c>
      <c r="AF694" cm="1">
        <f t="array" ref="AF694">IF(SUMPRODUCT(--($AQ$2:$AQ$71=TRIM(LEFT($B694,IFERROR(FIND(" ",$B694)-1,LEN($B694))))))&gt;0,1,0)</f>
        <v>0</v>
      </c>
    </row>
    <row r="695" spans="1:32" ht="75.75" thickBot="1" x14ac:dyDescent="0.3">
      <c r="A695" s="13">
        <v>315</v>
      </c>
      <c r="B695" s="4" t="s">
        <v>1435</v>
      </c>
      <c r="C695" s="4" t="s">
        <v>1436</v>
      </c>
      <c r="D695" s="7">
        <v>43770</v>
      </c>
      <c r="E695" s="3">
        <v>1501.85</v>
      </c>
      <c r="F695" s="4" t="s">
        <v>30</v>
      </c>
      <c r="G695" s="4"/>
      <c r="H695" s="4" t="s">
        <v>31</v>
      </c>
      <c r="I695" s="4" t="s">
        <v>432</v>
      </c>
      <c r="J695" s="4" t="s">
        <v>433</v>
      </c>
      <c r="K695" s="3">
        <v>250</v>
      </c>
      <c r="L695" s="4"/>
      <c r="M695" s="3">
        <v>69.94</v>
      </c>
      <c r="N695" s="3">
        <v>1965.81</v>
      </c>
      <c r="O695" s="4" t="s">
        <v>34</v>
      </c>
      <c r="P695" s="4" t="s">
        <v>34</v>
      </c>
      <c r="Q695" s="4" t="s">
        <v>35</v>
      </c>
      <c r="R695" s="3">
        <v>19.461300000000001</v>
      </c>
      <c r="S695" s="3">
        <v>8.2446800000000007</v>
      </c>
      <c r="T695" s="4" t="s">
        <v>43</v>
      </c>
      <c r="U695" s="2" t="s">
        <v>37</v>
      </c>
      <c r="V695" s="2" t="s">
        <v>37</v>
      </c>
      <c r="W695" s="2" t="s">
        <v>37</v>
      </c>
      <c r="X695" s="2" t="s">
        <v>37</v>
      </c>
      <c r="Y695" s="2" t="s">
        <v>37</v>
      </c>
      <c r="Z695" s="2" t="s">
        <v>37</v>
      </c>
      <c r="AA695" s="6">
        <v>3.1766265589999998</v>
      </c>
      <c r="AB695" s="6">
        <v>1.289171847</v>
      </c>
      <c r="AC695" s="6">
        <v>3.2935415400000001</v>
      </c>
      <c r="AD695" cm="1">
        <f t="array" ref="AD695">IF(SUMPRODUCT(--($AM$2:$AM$112=TRIM(LEFT($B695,IFERROR(FIND(" ",$B695)-1,LEN($B695))))))&gt;0,1,0)</f>
        <v>0</v>
      </c>
      <c r="AE695" cm="1">
        <f t="array" ref="AE695">IF(SUMPRODUCT(--($AO$2:$AO$145=TRIM(LEFT($B695,IFERROR(FIND(" ",$B695)-1,LEN($B695))))))&gt;0,1,0)</f>
        <v>1</v>
      </c>
      <c r="AF695" cm="1">
        <f t="array" ref="AF695">IF(SUMPRODUCT(--($AQ$2:$AQ$71=TRIM(LEFT($B695,IFERROR(FIND(" ",$B695)-1,LEN($B695))))))&gt;0,1,0)</f>
        <v>0</v>
      </c>
    </row>
    <row r="696" spans="1:32" ht="45.75" thickBot="1" x14ac:dyDescent="0.3">
      <c r="A696" s="13">
        <v>62</v>
      </c>
      <c r="B696" s="4" t="s">
        <v>1437</v>
      </c>
      <c r="C696" s="4" t="s">
        <v>719</v>
      </c>
      <c r="D696" s="7">
        <v>44124</v>
      </c>
      <c r="E696" s="3">
        <v>7358.29</v>
      </c>
      <c r="F696" s="4" t="s">
        <v>46</v>
      </c>
      <c r="G696" s="4"/>
      <c r="H696" s="4" t="s">
        <v>118</v>
      </c>
      <c r="I696" s="4" t="s">
        <v>119</v>
      </c>
      <c r="J696" s="4" t="s">
        <v>120</v>
      </c>
      <c r="K696" s="3">
        <v>270</v>
      </c>
      <c r="L696" s="3">
        <v>135</v>
      </c>
      <c r="M696" s="3">
        <v>13.28</v>
      </c>
      <c r="N696" s="3">
        <v>4143.42</v>
      </c>
      <c r="O696" s="4" t="s">
        <v>34</v>
      </c>
      <c r="P696" s="4" t="s">
        <v>34</v>
      </c>
      <c r="Q696" s="4" t="s">
        <v>35</v>
      </c>
      <c r="R696" s="3">
        <v>1903.33</v>
      </c>
      <c r="S696" s="3">
        <v>-239.89</v>
      </c>
      <c r="T696" s="4" t="s">
        <v>43</v>
      </c>
      <c r="U696" s="2" t="s">
        <v>37</v>
      </c>
      <c r="V696" s="2" t="s">
        <v>37</v>
      </c>
      <c r="W696" s="2" t="s">
        <v>37</v>
      </c>
      <c r="X696" s="2" t="s">
        <v>37</v>
      </c>
      <c r="Y696" s="2" t="s">
        <v>37</v>
      </c>
      <c r="Z696" s="2" t="s">
        <v>37</v>
      </c>
      <c r="AA696" s="6">
        <v>3.8667769000000001</v>
      </c>
      <c r="AB696" s="6">
        <v>3.279514093</v>
      </c>
      <c r="AC696" s="6">
        <v>3.6173589580000001</v>
      </c>
      <c r="AD696" cm="1">
        <f t="array" ref="AD696">IF(SUMPRODUCT(--($AM$2:$AM$112=TRIM(LEFT($B696,IFERROR(FIND(" ",$B696)-1,LEN($B696))))))&gt;0,1,0)</f>
        <v>0</v>
      </c>
      <c r="AE696" cm="1">
        <f t="array" ref="AE696">IF(SUMPRODUCT(--($AO$2:$AO$145=TRIM(LEFT($B696,IFERROR(FIND(" ",$B696)-1,LEN($B696))))))&gt;0,1,0)</f>
        <v>0</v>
      </c>
      <c r="AF696" cm="1">
        <f t="array" ref="AF696">IF(SUMPRODUCT(--($AQ$2:$AQ$71=TRIM(LEFT($B696,IFERROR(FIND(" ",$B696)-1,LEN($B696))))))&gt;0,1,0)</f>
        <v>0</v>
      </c>
    </row>
    <row r="697" spans="1:32" ht="75.75" thickBot="1" x14ac:dyDescent="0.3">
      <c r="A697" s="13">
        <v>294</v>
      </c>
      <c r="B697" s="4" t="s">
        <v>1438</v>
      </c>
      <c r="C697" s="4" t="s">
        <v>1439</v>
      </c>
      <c r="D697" s="7">
        <v>43794</v>
      </c>
      <c r="E697" s="3">
        <v>17443.43</v>
      </c>
      <c r="F697" s="4" t="s">
        <v>30</v>
      </c>
      <c r="G697" s="3">
        <v>14.39</v>
      </c>
      <c r="H697" s="4" t="s">
        <v>75</v>
      </c>
      <c r="I697" s="4" t="s">
        <v>83</v>
      </c>
      <c r="J697" s="4" t="s">
        <v>84</v>
      </c>
      <c r="K697" s="4"/>
      <c r="L697" s="3">
        <v>575</v>
      </c>
      <c r="M697" s="3">
        <v>7.61</v>
      </c>
      <c r="N697" s="3">
        <v>15918.13</v>
      </c>
      <c r="O697" s="4" t="s">
        <v>34</v>
      </c>
      <c r="P697" s="4" t="s">
        <v>147</v>
      </c>
      <c r="Q697" s="4" t="s">
        <v>399</v>
      </c>
      <c r="R697" s="3">
        <v>4424</v>
      </c>
      <c r="S697" s="3">
        <v>10.5817</v>
      </c>
      <c r="T697" s="4" t="s">
        <v>97</v>
      </c>
      <c r="U697" s="2" t="s">
        <v>37</v>
      </c>
      <c r="V697" s="2" t="s">
        <v>37</v>
      </c>
      <c r="W697" s="2" t="s">
        <v>38</v>
      </c>
      <c r="X697" s="2" t="s">
        <v>37</v>
      </c>
      <c r="Y697" s="2" t="s">
        <v>37</v>
      </c>
      <c r="Z697" s="2" t="s">
        <v>37</v>
      </c>
      <c r="AA697" s="6">
        <v>4.2416318869999996</v>
      </c>
      <c r="AB697" s="6">
        <v>3.6458151179999998</v>
      </c>
      <c r="AC697" s="6">
        <v>4.2018920470000003</v>
      </c>
      <c r="AD697" cm="1">
        <f t="array" ref="AD697">IF(SUMPRODUCT(--($AM$2:$AM$112=TRIM(LEFT($B697,IFERROR(FIND(" ",$B697)-1,LEN($B697))))))&gt;0,1,0)</f>
        <v>0</v>
      </c>
      <c r="AE697" cm="1">
        <f t="array" ref="AE697">IF(SUMPRODUCT(--($AO$2:$AO$145=TRIM(LEFT($B697,IFERROR(FIND(" ",$B697)-1,LEN($B697))))))&gt;0,1,0)</f>
        <v>0</v>
      </c>
      <c r="AF697" cm="1">
        <f t="array" ref="AF697">IF(SUMPRODUCT(--($AQ$2:$AQ$71=TRIM(LEFT($B697,IFERROR(FIND(" ",$B697)-1,LEN($B697))))))&gt;0,1,0)</f>
        <v>0</v>
      </c>
    </row>
    <row r="698" spans="1:32" ht="45.75" thickBot="1" x14ac:dyDescent="0.3">
      <c r="A698" s="13">
        <v>74</v>
      </c>
      <c r="B698" s="4" t="s">
        <v>1440</v>
      </c>
      <c r="C698" s="4" t="s">
        <v>117</v>
      </c>
      <c r="D698" s="7">
        <v>44102</v>
      </c>
      <c r="E698" s="3">
        <v>5951.7</v>
      </c>
      <c r="F698" s="4" t="s">
        <v>46</v>
      </c>
      <c r="G698" s="3">
        <v>14.07</v>
      </c>
      <c r="H698" s="4" t="s">
        <v>118</v>
      </c>
      <c r="I698" s="4" t="s">
        <v>119</v>
      </c>
      <c r="J698" s="4" t="s">
        <v>120</v>
      </c>
      <c r="K698" s="3">
        <v>75</v>
      </c>
      <c r="L698" s="3">
        <v>75</v>
      </c>
      <c r="M698" s="3">
        <v>2.88</v>
      </c>
      <c r="N698" s="3">
        <v>2779.7</v>
      </c>
      <c r="O698" s="4" t="s">
        <v>34</v>
      </c>
      <c r="P698" s="4" t="s">
        <v>34</v>
      </c>
      <c r="Q698" s="4" t="s">
        <v>35</v>
      </c>
      <c r="R698" s="3">
        <v>2433</v>
      </c>
      <c r="S698" s="3">
        <v>-63.796599999999998</v>
      </c>
      <c r="T698" s="4" t="s">
        <v>43</v>
      </c>
      <c r="U698" s="2" t="s">
        <v>37</v>
      </c>
      <c r="V698" s="2" t="s">
        <v>37</v>
      </c>
      <c r="W698" s="2" t="s">
        <v>37</v>
      </c>
      <c r="X698" s="2" t="s">
        <v>37</v>
      </c>
      <c r="Y698" s="2" t="s">
        <v>37</v>
      </c>
      <c r="Z698" s="2" t="s">
        <v>37</v>
      </c>
      <c r="AA698" s="6">
        <v>3.7746410319999999</v>
      </c>
      <c r="AB698" s="6">
        <v>3.3861421090000001</v>
      </c>
      <c r="AC698" s="6">
        <v>3.4439979269999998</v>
      </c>
      <c r="AD698" cm="1">
        <f t="array" ref="AD698">IF(SUMPRODUCT(--($AM$2:$AM$112=TRIM(LEFT($B698,IFERROR(FIND(" ",$B698)-1,LEN($B698))))))&gt;0,1,0)</f>
        <v>0</v>
      </c>
      <c r="AE698" cm="1">
        <f t="array" ref="AE698">IF(SUMPRODUCT(--($AO$2:$AO$145=TRIM(LEFT($B698,IFERROR(FIND(" ",$B698)-1,LEN($B698))))))&gt;0,1,0)</f>
        <v>0</v>
      </c>
      <c r="AF698" cm="1">
        <f t="array" ref="AF698">IF(SUMPRODUCT(--($AQ$2:$AQ$71=TRIM(LEFT($B698,IFERROR(FIND(" ",$B698)-1,LEN($B698))))))&gt;0,1,0)</f>
        <v>0</v>
      </c>
    </row>
    <row r="699" spans="1:32" ht="105.75" thickBot="1" x14ac:dyDescent="0.3">
      <c r="A699" s="13">
        <v>68</v>
      </c>
      <c r="B699" s="4" t="s">
        <v>1441</v>
      </c>
      <c r="C699" s="4" t="s">
        <v>1441</v>
      </c>
      <c r="D699" s="7">
        <v>44110</v>
      </c>
      <c r="E699" s="3">
        <v>1228</v>
      </c>
      <c r="F699" s="4" t="s">
        <v>107</v>
      </c>
      <c r="G699" s="4"/>
      <c r="H699" s="4" t="s">
        <v>41</v>
      </c>
      <c r="I699" s="4" t="s">
        <v>41</v>
      </c>
      <c r="J699" s="4" t="s">
        <v>100</v>
      </c>
      <c r="K699" s="4"/>
      <c r="L699" s="4"/>
      <c r="M699" s="4"/>
      <c r="N699" s="3">
        <v>1228</v>
      </c>
      <c r="O699" s="4" t="s">
        <v>34</v>
      </c>
      <c r="P699" s="4" t="s">
        <v>34</v>
      </c>
      <c r="Q699" s="4" t="s">
        <v>35</v>
      </c>
      <c r="R699" s="3">
        <v>1924.31</v>
      </c>
      <c r="S699" s="3">
        <v>-2.5742500000000001</v>
      </c>
      <c r="T699" s="4" t="s">
        <v>1442</v>
      </c>
      <c r="U699" s="2" t="s">
        <v>37</v>
      </c>
      <c r="V699" s="2" t="s">
        <v>37</v>
      </c>
      <c r="W699" s="2" t="s">
        <v>37</v>
      </c>
      <c r="X699" s="2" t="s">
        <v>37</v>
      </c>
      <c r="Y699" s="2" t="s">
        <v>37</v>
      </c>
      <c r="Z699" s="2" t="s">
        <v>37</v>
      </c>
      <c r="AA699" s="6">
        <v>3.0891983669999998</v>
      </c>
      <c r="AB699" s="6">
        <v>3.284275037</v>
      </c>
      <c r="AC699" s="6">
        <v>3.0891983669999998</v>
      </c>
      <c r="AD699" cm="1">
        <f t="array" ref="AD699">IF(SUMPRODUCT(--($AM$2:$AM$112=TRIM(LEFT($B699,IFERROR(FIND(" ",$B699)-1,LEN($B699))))))&gt;0,1,0)</f>
        <v>0</v>
      </c>
      <c r="AE699" cm="1">
        <f t="array" ref="AE699">IF(SUMPRODUCT(--($AO$2:$AO$145=TRIM(LEFT($B699,IFERROR(FIND(" ",$B699)-1,LEN($B699))))))&gt;0,1,0)</f>
        <v>0</v>
      </c>
      <c r="AF699" cm="1">
        <f t="array" ref="AF699">IF(SUMPRODUCT(--($AQ$2:$AQ$71=TRIM(LEFT($B699,IFERROR(FIND(" ",$B699)-1,LEN($B699))))))&gt;0,1,0)</f>
        <v>0</v>
      </c>
    </row>
    <row r="700" spans="1:32" ht="45.75" thickBot="1" x14ac:dyDescent="0.3">
      <c r="A700" s="13">
        <v>53</v>
      </c>
      <c r="B700" s="4" t="s">
        <v>1443</v>
      </c>
      <c r="C700" s="4" t="s">
        <v>323</v>
      </c>
      <c r="D700" s="7">
        <v>44129</v>
      </c>
      <c r="E700" s="3">
        <v>8023.59</v>
      </c>
      <c r="F700" s="4" t="s">
        <v>46</v>
      </c>
      <c r="G700" s="3">
        <v>29.06</v>
      </c>
      <c r="H700" s="4" t="s">
        <v>118</v>
      </c>
      <c r="I700" s="4" t="s">
        <v>119</v>
      </c>
      <c r="J700" s="4" t="s">
        <v>120</v>
      </c>
      <c r="K700" s="4"/>
      <c r="L700" s="4"/>
      <c r="M700" s="3">
        <v>26.48</v>
      </c>
      <c r="N700" s="3">
        <v>3038.62</v>
      </c>
      <c r="O700" s="4" t="s">
        <v>49</v>
      </c>
      <c r="P700" s="4" t="s">
        <v>49</v>
      </c>
      <c r="Q700" s="4" t="s">
        <v>35</v>
      </c>
      <c r="R700" s="3">
        <v>9928.27</v>
      </c>
      <c r="S700" s="3">
        <v>-95.113100000000003</v>
      </c>
      <c r="T700" s="4" t="s">
        <v>43</v>
      </c>
      <c r="U700" s="2" t="s">
        <v>37</v>
      </c>
      <c r="V700" s="2" t="s">
        <v>37</v>
      </c>
      <c r="W700" s="2" t="s">
        <v>37</v>
      </c>
      <c r="X700" s="2" t="s">
        <v>37</v>
      </c>
      <c r="Y700" s="2" t="s">
        <v>37</v>
      </c>
      <c r="Z700" s="2" t="s">
        <v>37</v>
      </c>
      <c r="AA700" s="6">
        <v>3.9043687280000001</v>
      </c>
      <c r="AB700" s="6">
        <v>3.9968735789999998</v>
      </c>
      <c r="AC700" s="6">
        <v>3.4826763920000001</v>
      </c>
      <c r="AD700" cm="1">
        <f t="array" ref="AD700">IF(SUMPRODUCT(--($AM$2:$AM$112=TRIM(LEFT($B700,IFERROR(FIND(" ",$B700)-1,LEN($B700))))))&gt;0,1,0)</f>
        <v>0</v>
      </c>
      <c r="AE700" cm="1">
        <f t="array" ref="AE700">IF(SUMPRODUCT(--($AO$2:$AO$145=TRIM(LEFT($B700,IFERROR(FIND(" ",$B700)-1,LEN($B700))))))&gt;0,1,0)</f>
        <v>0</v>
      </c>
      <c r="AF700" cm="1">
        <f t="array" ref="AF700">IF(SUMPRODUCT(--($AQ$2:$AQ$71=TRIM(LEFT($B700,IFERROR(FIND(" ",$B700)-1,LEN($B700))))))&gt;0,1,0)</f>
        <v>0</v>
      </c>
    </row>
    <row r="701" spans="1:32" ht="45.75" thickBot="1" x14ac:dyDescent="0.3">
      <c r="A701" s="13">
        <v>131</v>
      </c>
      <c r="B701" s="4" t="s">
        <v>1444</v>
      </c>
      <c r="C701" s="4" t="s">
        <v>1445</v>
      </c>
      <c r="D701" s="7">
        <v>44019</v>
      </c>
      <c r="E701" s="3">
        <v>3640</v>
      </c>
      <c r="F701" s="4" t="s">
        <v>30</v>
      </c>
      <c r="G701" s="4"/>
      <c r="H701" s="4" t="s">
        <v>65</v>
      </c>
      <c r="I701" s="4" t="s">
        <v>206</v>
      </c>
      <c r="J701" s="4" t="s">
        <v>206</v>
      </c>
      <c r="K701" s="4"/>
      <c r="L701" s="3">
        <v>132.5</v>
      </c>
      <c r="M701" s="4"/>
      <c r="N701" s="3">
        <v>3640</v>
      </c>
      <c r="O701" s="4" t="s">
        <v>34</v>
      </c>
      <c r="P701" s="4" t="s">
        <v>34</v>
      </c>
      <c r="Q701" s="4" t="s">
        <v>35</v>
      </c>
      <c r="R701" s="3">
        <v>5552.28</v>
      </c>
      <c r="S701" s="3">
        <v>12.507300000000001</v>
      </c>
      <c r="T701" s="4" t="s">
        <v>43</v>
      </c>
      <c r="U701" s="2" t="s">
        <v>37</v>
      </c>
      <c r="V701" s="2" t="s">
        <v>37</v>
      </c>
      <c r="W701" s="2" t="s">
        <v>37</v>
      </c>
      <c r="X701" s="2" t="s">
        <v>37</v>
      </c>
      <c r="Y701" s="2" t="s">
        <v>37</v>
      </c>
      <c r="Z701" s="2" t="s">
        <v>37</v>
      </c>
      <c r="AA701" s="6">
        <v>3.5611013840000001</v>
      </c>
      <c r="AB701" s="6">
        <v>3.7444713589999998</v>
      </c>
      <c r="AC701" s="6">
        <v>3.5611013840000001</v>
      </c>
      <c r="AD701" cm="1">
        <f t="array" ref="AD701">IF(SUMPRODUCT(--($AM$2:$AM$112=TRIM(LEFT($B701,IFERROR(FIND(" ",$B701)-1,LEN($B701))))))&gt;0,1,0)</f>
        <v>0</v>
      </c>
      <c r="AE701" cm="1">
        <f t="array" ref="AE701">IF(SUMPRODUCT(--($AO$2:$AO$145=TRIM(LEFT($B701,IFERROR(FIND(" ",$B701)-1,LEN($B701))))))&gt;0,1,0)</f>
        <v>0</v>
      </c>
      <c r="AF701" cm="1">
        <f t="array" ref="AF701">IF(SUMPRODUCT(--($AQ$2:$AQ$71=TRIM(LEFT($B701,IFERROR(FIND(" ",$B701)-1,LEN($B701))))))&gt;0,1,0)</f>
        <v>0</v>
      </c>
    </row>
    <row r="702" spans="1:32" ht="60.75" thickBot="1" x14ac:dyDescent="0.3">
      <c r="A702" s="13">
        <v>94</v>
      </c>
      <c r="B702" s="4" t="s">
        <v>1446</v>
      </c>
      <c r="C702" s="4" t="s">
        <v>1447</v>
      </c>
      <c r="D702" s="7">
        <v>44070</v>
      </c>
      <c r="E702" s="3">
        <v>2698.16</v>
      </c>
      <c r="F702" s="4" t="s">
        <v>46</v>
      </c>
      <c r="G702" s="3">
        <v>10.029999999999999</v>
      </c>
      <c r="H702" s="4" t="s">
        <v>75</v>
      </c>
      <c r="I702" s="4" t="s">
        <v>83</v>
      </c>
      <c r="J702" s="4" t="s">
        <v>84</v>
      </c>
      <c r="K702" s="4"/>
      <c r="L702" s="4"/>
      <c r="M702" s="3">
        <v>16.48</v>
      </c>
      <c r="N702" s="3">
        <v>2449.69</v>
      </c>
      <c r="O702" s="4" t="s">
        <v>34</v>
      </c>
      <c r="P702" s="4" t="s">
        <v>34</v>
      </c>
      <c r="Q702" s="4" t="s">
        <v>35</v>
      </c>
      <c r="R702" s="3">
        <v>3626.59</v>
      </c>
      <c r="S702" s="3">
        <v>4.7206900000000003</v>
      </c>
      <c r="T702" s="4" t="s">
        <v>43</v>
      </c>
      <c r="U702" s="2" t="s">
        <v>37</v>
      </c>
      <c r="V702" s="2" t="s">
        <v>37</v>
      </c>
      <c r="W702" s="2" t="s">
        <v>37</v>
      </c>
      <c r="X702" s="2" t="s">
        <v>37</v>
      </c>
      <c r="Y702" s="2" t="s">
        <v>37</v>
      </c>
      <c r="Z702" s="2" t="s">
        <v>37</v>
      </c>
      <c r="AA702" s="6">
        <v>3.4310676999999998</v>
      </c>
      <c r="AB702" s="6">
        <v>3.5594984599999999</v>
      </c>
      <c r="AC702" s="6">
        <v>3.3891111289999998</v>
      </c>
      <c r="AD702" cm="1">
        <f t="array" ref="AD702">IF(SUMPRODUCT(--($AM$2:$AM$112=TRIM(LEFT($B702,IFERROR(FIND(" ",$B702)-1,LEN($B702))))))&gt;0,1,0)</f>
        <v>0</v>
      </c>
      <c r="AE702" cm="1">
        <f t="array" ref="AE702">IF(SUMPRODUCT(--($AO$2:$AO$145=TRIM(LEFT($B702,IFERROR(FIND(" ",$B702)-1,LEN($B702))))))&gt;0,1,0)</f>
        <v>0</v>
      </c>
      <c r="AF702" cm="1">
        <f t="array" ref="AF702">IF(SUMPRODUCT(--($AQ$2:$AQ$71=TRIM(LEFT($B702,IFERROR(FIND(" ",$B702)-1,LEN($B702))))))&gt;0,1,0)</f>
        <v>0</v>
      </c>
    </row>
    <row r="703" spans="1:32" ht="75.75" thickBot="1" x14ac:dyDescent="0.3">
      <c r="A703" s="13">
        <v>76</v>
      </c>
      <c r="B703" s="4" t="s">
        <v>1448</v>
      </c>
      <c r="C703" s="4" t="s">
        <v>1449</v>
      </c>
      <c r="D703" s="7">
        <v>44091</v>
      </c>
      <c r="E703" s="3">
        <v>572.75</v>
      </c>
      <c r="F703" s="4" t="s">
        <v>30</v>
      </c>
      <c r="G703" s="4"/>
      <c r="H703" s="4" t="s">
        <v>65</v>
      </c>
      <c r="I703" s="4" t="s">
        <v>206</v>
      </c>
      <c r="J703" s="4" t="s">
        <v>206</v>
      </c>
      <c r="K703" s="4"/>
      <c r="L703" s="4"/>
      <c r="M703" s="4"/>
      <c r="N703" s="3">
        <v>513.28</v>
      </c>
      <c r="O703" s="4" t="s">
        <v>34</v>
      </c>
      <c r="P703" s="4" t="s">
        <v>34</v>
      </c>
      <c r="Q703" s="4" t="s">
        <v>35</v>
      </c>
      <c r="R703" s="3">
        <v>434.32299999999998</v>
      </c>
      <c r="S703" s="3">
        <v>9.4924700000000009</v>
      </c>
      <c r="T703" s="4" t="s">
        <v>113</v>
      </c>
      <c r="U703" s="2" t="s">
        <v>37</v>
      </c>
      <c r="V703" s="2" t="s">
        <v>37</v>
      </c>
      <c r="W703" s="2" t="s">
        <v>37</v>
      </c>
      <c r="X703" s="2" t="s">
        <v>38</v>
      </c>
      <c r="Y703" s="2" t="s">
        <v>37</v>
      </c>
      <c r="Z703" s="2" t="s">
        <v>37</v>
      </c>
      <c r="AA703" s="6">
        <v>2.7579650980000001</v>
      </c>
      <c r="AB703" s="6">
        <v>2.6378128279999999</v>
      </c>
      <c r="AC703" s="6">
        <v>2.710354342</v>
      </c>
      <c r="AD703" cm="1">
        <f t="array" ref="AD703">IF(SUMPRODUCT(--($AM$2:$AM$112=TRIM(LEFT($B703,IFERROR(FIND(" ",$B703)-1,LEN($B703))))))&gt;0,1,0)</f>
        <v>0</v>
      </c>
      <c r="AE703" cm="1">
        <f t="array" ref="AE703">IF(SUMPRODUCT(--($AO$2:$AO$145=TRIM(LEFT($B703,IFERROR(FIND(" ",$B703)-1,LEN($B703))))))&gt;0,1,0)</f>
        <v>0</v>
      </c>
      <c r="AF703" cm="1">
        <f t="array" ref="AF703">IF(SUMPRODUCT(--($AQ$2:$AQ$71=TRIM(LEFT($B703,IFERROR(FIND(" ",$B703)-1,LEN($B703))))))&gt;0,1,0)</f>
        <v>0</v>
      </c>
    </row>
    <row r="704" spans="1:32" ht="45.75" thickBot="1" x14ac:dyDescent="0.3">
      <c r="A704" s="13">
        <v>232</v>
      </c>
      <c r="B704" s="4" t="s">
        <v>1450</v>
      </c>
      <c r="C704" s="4" t="s">
        <v>1451</v>
      </c>
      <c r="D704" s="7">
        <v>43871</v>
      </c>
      <c r="E704" s="3">
        <v>6480.82</v>
      </c>
      <c r="F704" s="4" t="s">
        <v>30</v>
      </c>
      <c r="G704" s="3">
        <v>22.04</v>
      </c>
      <c r="H704" s="4" t="s">
        <v>51</v>
      </c>
      <c r="I704" s="4" t="s">
        <v>51</v>
      </c>
      <c r="J704" s="4" t="s">
        <v>79</v>
      </c>
      <c r="K704" s="4"/>
      <c r="L704" s="3">
        <v>46.604900000000001</v>
      </c>
      <c r="M704" s="3">
        <v>39.17</v>
      </c>
      <c r="N704" s="3">
        <v>2632.48</v>
      </c>
      <c r="O704" s="4" t="s">
        <v>34</v>
      </c>
      <c r="P704" s="4" t="s">
        <v>34</v>
      </c>
      <c r="Q704" s="4" t="s">
        <v>35</v>
      </c>
      <c r="R704" s="3">
        <v>661.05399999999997</v>
      </c>
      <c r="S704" s="3">
        <v>0.17806900000000001</v>
      </c>
      <c r="T704" s="4" t="s">
        <v>43</v>
      </c>
      <c r="U704" s="2" t="s">
        <v>37</v>
      </c>
      <c r="V704" s="2" t="s">
        <v>37</v>
      </c>
      <c r="W704" s="2" t="s">
        <v>37</v>
      </c>
      <c r="X704" s="2" t="s">
        <v>37</v>
      </c>
      <c r="Y704" s="2" t="s">
        <v>37</v>
      </c>
      <c r="Z704" s="2" t="s">
        <v>37</v>
      </c>
      <c r="AA704" s="6">
        <v>3.8116299589999998</v>
      </c>
      <c r="AB704" s="6">
        <v>2.8202369370000002</v>
      </c>
      <c r="AC704" s="6">
        <v>3.4203650799999998</v>
      </c>
      <c r="AD704" cm="1">
        <f t="array" ref="AD704">IF(SUMPRODUCT(--($AM$2:$AM$112=TRIM(LEFT($B704,IFERROR(FIND(" ",$B704)-1,LEN($B704))))))&gt;0,1,0)</f>
        <v>0</v>
      </c>
      <c r="AE704" cm="1">
        <f t="array" ref="AE704">IF(SUMPRODUCT(--($AO$2:$AO$145=TRIM(LEFT($B704,IFERROR(FIND(" ",$B704)-1,LEN($B704))))))&gt;0,1,0)</f>
        <v>0</v>
      </c>
      <c r="AF704" cm="1">
        <f t="array" ref="AF704">IF(SUMPRODUCT(--($AQ$2:$AQ$71=TRIM(LEFT($B704,IFERROR(FIND(" ",$B704)-1,LEN($B704))))))&gt;0,1,0)</f>
        <v>0</v>
      </c>
    </row>
    <row r="705" spans="1:32" ht="75.75" thickBot="1" x14ac:dyDescent="0.3">
      <c r="A705" s="13">
        <v>31</v>
      </c>
      <c r="B705" s="4" t="s">
        <v>1452</v>
      </c>
      <c r="C705" s="4" t="s">
        <v>377</v>
      </c>
      <c r="D705" s="7">
        <v>44151</v>
      </c>
      <c r="E705" s="3">
        <v>11088.49</v>
      </c>
      <c r="F705" s="4" t="s">
        <v>30</v>
      </c>
      <c r="G705" s="3">
        <v>13.09</v>
      </c>
      <c r="H705" s="4" t="s">
        <v>70</v>
      </c>
      <c r="I705" s="4" t="s">
        <v>94</v>
      </c>
      <c r="J705" s="4" t="s">
        <v>328</v>
      </c>
      <c r="K705" s="4"/>
      <c r="L705" s="3">
        <v>275</v>
      </c>
      <c r="M705" s="4"/>
      <c r="N705" s="3">
        <v>8713.49</v>
      </c>
      <c r="O705" s="4" t="s">
        <v>34</v>
      </c>
      <c r="P705" s="4" t="s">
        <v>34</v>
      </c>
      <c r="Q705" s="4" t="s">
        <v>35</v>
      </c>
      <c r="R705" s="3">
        <v>6146</v>
      </c>
      <c r="S705" s="3">
        <v>11.183299999999999</v>
      </c>
      <c r="T705" s="4" t="s">
        <v>88</v>
      </c>
      <c r="U705" s="2" t="s">
        <v>37</v>
      </c>
      <c r="V705" s="2" t="s">
        <v>37</v>
      </c>
      <c r="W705" s="2" t="s">
        <v>37</v>
      </c>
      <c r="X705" s="2" t="s">
        <v>37</v>
      </c>
      <c r="Y705" s="2" t="s">
        <v>37</v>
      </c>
      <c r="Z705" s="2" t="s">
        <v>38</v>
      </c>
      <c r="AA705" s="6">
        <v>4.0448724089999999</v>
      </c>
      <c r="AB705" s="6">
        <v>3.7885925559999998</v>
      </c>
      <c r="AC705" s="6">
        <v>3.9401921369999999</v>
      </c>
      <c r="AD705" cm="1">
        <f t="array" ref="AD705">IF(SUMPRODUCT(--($AM$2:$AM$112=TRIM(LEFT($B705,IFERROR(FIND(" ",$B705)-1,LEN($B705))))))&gt;0,1,0)</f>
        <v>0</v>
      </c>
      <c r="AE705" cm="1">
        <f t="array" ref="AE705">IF(SUMPRODUCT(--($AO$2:$AO$145=TRIM(LEFT($B705,IFERROR(FIND(" ",$B705)-1,LEN($B705))))))&gt;0,1,0)</f>
        <v>0</v>
      </c>
      <c r="AF705" cm="1">
        <f t="array" ref="AF705">IF(SUMPRODUCT(--($AQ$2:$AQ$71=TRIM(LEFT($B705,IFERROR(FIND(" ",$B705)-1,LEN($B705))))))&gt;0,1,0)</f>
        <v>0</v>
      </c>
    </row>
    <row r="706" spans="1:32" ht="45.75" thickBot="1" x14ac:dyDescent="0.3">
      <c r="A706" s="13">
        <v>98</v>
      </c>
      <c r="B706" s="4" t="s">
        <v>1453</v>
      </c>
      <c r="C706" s="4" t="s">
        <v>1454</v>
      </c>
      <c r="D706" s="7">
        <v>44049</v>
      </c>
      <c r="E706" s="3">
        <v>10884.16</v>
      </c>
      <c r="F706" s="4" t="s">
        <v>46</v>
      </c>
      <c r="G706" s="3">
        <v>84.16</v>
      </c>
      <c r="H706" s="4" t="s">
        <v>184</v>
      </c>
      <c r="I706" s="4" t="s">
        <v>251</v>
      </c>
      <c r="J706" s="4" t="s">
        <v>251</v>
      </c>
      <c r="K706" s="3">
        <v>340</v>
      </c>
      <c r="L706" s="3">
        <v>240</v>
      </c>
      <c r="M706" s="3">
        <v>1.54</v>
      </c>
      <c r="N706" s="3">
        <v>8143.1</v>
      </c>
      <c r="O706" s="4" t="s">
        <v>34</v>
      </c>
      <c r="P706" s="4" t="s">
        <v>34</v>
      </c>
      <c r="Q706" s="4" t="s">
        <v>35</v>
      </c>
      <c r="R706" s="3">
        <v>1046</v>
      </c>
      <c r="S706" s="3">
        <v>-36.196899999999999</v>
      </c>
      <c r="T706" s="4" t="s">
        <v>43</v>
      </c>
      <c r="U706" s="2" t="s">
        <v>37</v>
      </c>
      <c r="V706" s="2" t="s">
        <v>37</v>
      </c>
      <c r="W706" s="2" t="s">
        <v>37</v>
      </c>
      <c r="X706" s="2" t="s">
        <v>37</v>
      </c>
      <c r="Y706" s="2" t="s">
        <v>37</v>
      </c>
      <c r="Z706" s="2" t="s">
        <v>37</v>
      </c>
      <c r="AA706" s="6">
        <v>4.0367949169999999</v>
      </c>
      <c r="AB706" s="6">
        <v>3.019531685</v>
      </c>
      <c r="AC706" s="6">
        <v>3.9107897679999999</v>
      </c>
      <c r="AD706" cm="1">
        <f t="array" ref="AD706">IF(SUMPRODUCT(--($AM$2:$AM$112=TRIM(LEFT($B706,IFERROR(FIND(" ",$B706)-1,LEN($B706))))))&gt;0,1,0)</f>
        <v>0</v>
      </c>
      <c r="AE706" cm="1">
        <f t="array" ref="AE706">IF(SUMPRODUCT(--($AO$2:$AO$145=TRIM(LEFT($B706,IFERROR(FIND(" ",$B706)-1,LEN($B706))))))&gt;0,1,0)</f>
        <v>0</v>
      </c>
      <c r="AF706" cm="1">
        <f t="array" ref="AF706">IF(SUMPRODUCT(--($AQ$2:$AQ$71=TRIM(LEFT($B706,IFERROR(FIND(" ",$B706)-1,LEN($B706))))))&gt;0,1,0)</f>
        <v>0</v>
      </c>
    </row>
    <row r="707" spans="1:32" ht="105.75" thickBot="1" x14ac:dyDescent="0.3">
      <c r="A707" s="13">
        <v>34</v>
      </c>
      <c r="B707" s="4" t="s">
        <v>1455</v>
      </c>
      <c r="C707" s="4" t="s">
        <v>1456</v>
      </c>
      <c r="D707" s="7">
        <v>44134</v>
      </c>
      <c r="E707" s="3">
        <v>11582.95</v>
      </c>
      <c r="F707" s="4" t="s">
        <v>30</v>
      </c>
      <c r="G707" s="3">
        <v>24.56</v>
      </c>
      <c r="H707" s="4" t="s">
        <v>75</v>
      </c>
      <c r="I707" s="4" t="s">
        <v>111</v>
      </c>
      <c r="J707" s="4" t="s">
        <v>133</v>
      </c>
      <c r="K707" s="3">
        <v>469</v>
      </c>
      <c r="L707" s="3">
        <v>268</v>
      </c>
      <c r="M707" s="4"/>
      <c r="N707" s="3">
        <v>8776.31</v>
      </c>
      <c r="O707" s="4" t="s">
        <v>34</v>
      </c>
      <c r="P707" s="4" t="s">
        <v>34</v>
      </c>
      <c r="Q707" s="4" t="s">
        <v>35</v>
      </c>
      <c r="R707" s="3">
        <v>1370.23</v>
      </c>
      <c r="S707" s="3">
        <v>31.921399999999998</v>
      </c>
      <c r="T707" s="4" t="s">
        <v>1457</v>
      </c>
      <c r="U707" s="2" t="s">
        <v>37</v>
      </c>
      <c r="V707" s="2" t="s">
        <v>37</v>
      </c>
      <c r="W707" s="2" t="s">
        <v>37</v>
      </c>
      <c r="X707" s="2" t="s">
        <v>38</v>
      </c>
      <c r="Y707" s="2" t="s">
        <v>37</v>
      </c>
      <c r="Z707" s="2" t="s">
        <v>38</v>
      </c>
      <c r="AA707" s="6">
        <v>4.0638191819999996</v>
      </c>
      <c r="AB707" s="6">
        <v>3.1367934719999999</v>
      </c>
      <c r="AC707" s="6">
        <v>3.943311955</v>
      </c>
      <c r="AD707" cm="1">
        <f t="array" ref="AD707">IF(SUMPRODUCT(--($AM$2:$AM$112=TRIM(LEFT($B707,IFERROR(FIND(" ",$B707)-1,LEN($B707))))))&gt;0,1,0)</f>
        <v>0</v>
      </c>
      <c r="AE707" cm="1">
        <f t="array" ref="AE707">IF(SUMPRODUCT(--($AO$2:$AO$145=TRIM(LEFT($B707,IFERROR(FIND(" ",$B707)-1,LEN($B707))))))&gt;0,1,0)</f>
        <v>0</v>
      </c>
      <c r="AF707" cm="1">
        <f t="array" ref="AF707">IF(SUMPRODUCT(--($AQ$2:$AQ$71=TRIM(LEFT($B707,IFERROR(FIND(" ",$B707)-1,LEN($B707))))))&gt;0,1,0)</f>
        <v>0</v>
      </c>
    </row>
    <row r="708" spans="1:32" ht="75.75" thickBot="1" x14ac:dyDescent="0.3">
      <c r="A708" s="13">
        <v>24</v>
      </c>
      <c r="B708" s="4" t="s">
        <v>1458</v>
      </c>
      <c r="C708" s="4" t="s">
        <v>291</v>
      </c>
      <c r="D708" s="7">
        <v>44141</v>
      </c>
      <c r="E708" s="3">
        <v>1401.65</v>
      </c>
      <c r="F708" s="4" t="s">
        <v>30</v>
      </c>
      <c r="G708" s="4"/>
      <c r="H708" s="4" t="s">
        <v>41</v>
      </c>
      <c r="I708" s="4" t="s">
        <v>41</v>
      </c>
      <c r="J708" s="4" t="s">
        <v>42</v>
      </c>
      <c r="K708" s="4"/>
      <c r="L708" s="4"/>
      <c r="M708" s="3">
        <v>6.34</v>
      </c>
      <c r="N708" s="3">
        <v>1338.15</v>
      </c>
      <c r="O708" s="4" t="s">
        <v>34</v>
      </c>
      <c r="P708" s="4" t="s">
        <v>292</v>
      </c>
      <c r="Q708" s="4" t="s">
        <v>35</v>
      </c>
      <c r="R708" s="2"/>
      <c r="S708" s="2"/>
      <c r="T708" s="4" t="s">
        <v>97</v>
      </c>
      <c r="U708" s="2" t="s">
        <v>37</v>
      </c>
      <c r="V708" s="2" t="s">
        <v>37</v>
      </c>
      <c r="W708" s="2" t="s">
        <v>38</v>
      </c>
      <c r="X708" s="2" t="s">
        <v>37</v>
      </c>
      <c r="Y708" s="2" t="s">
        <v>37</v>
      </c>
      <c r="Z708" s="2" t="s">
        <v>37</v>
      </c>
      <c r="AA708" s="6">
        <v>3.1466395810000001</v>
      </c>
      <c r="AB708" s="2"/>
      <c r="AC708" s="6">
        <v>3.126504798</v>
      </c>
      <c r="AD708" cm="1">
        <f t="array" ref="AD708">IF(SUMPRODUCT(--($AM$2:$AM$112=TRIM(LEFT($B708,IFERROR(FIND(" ",$B708)-1,LEN($B708))))))&gt;0,1,0)</f>
        <v>0</v>
      </c>
      <c r="AE708" cm="1">
        <f t="array" ref="AE708">IF(SUMPRODUCT(--($AO$2:$AO$145=TRIM(LEFT($B708,IFERROR(FIND(" ",$B708)-1,LEN($B708))))))&gt;0,1,0)</f>
        <v>0</v>
      </c>
      <c r="AF708" cm="1">
        <f t="array" ref="AF708">IF(SUMPRODUCT(--($AQ$2:$AQ$71=TRIM(LEFT($B708,IFERROR(FIND(" ",$B708)-1,LEN($B708))))))&gt;0,1,0)</f>
        <v>0</v>
      </c>
    </row>
    <row r="709" spans="1:32" ht="105.75" thickBot="1" x14ac:dyDescent="0.3">
      <c r="A709" s="13">
        <v>34</v>
      </c>
      <c r="B709" s="4" t="s">
        <v>1459</v>
      </c>
      <c r="C709" s="4" t="s">
        <v>1460</v>
      </c>
      <c r="D709" s="7">
        <v>44123</v>
      </c>
      <c r="E709" s="3">
        <v>553.75</v>
      </c>
      <c r="F709" s="4" t="s">
        <v>30</v>
      </c>
      <c r="G709" s="3">
        <v>25.7</v>
      </c>
      <c r="H709" s="4" t="s">
        <v>41</v>
      </c>
      <c r="I709" s="4" t="s">
        <v>41</v>
      </c>
      <c r="J709" s="4" t="s">
        <v>42</v>
      </c>
      <c r="K709" s="4"/>
      <c r="L709" s="3">
        <v>23.04</v>
      </c>
      <c r="M709" s="3">
        <v>57.02</v>
      </c>
      <c r="N709" s="3">
        <v>652.6</v>
      </c>
      <c r="O709" s="4" t="s">
        <v>34</v>
      </c>
      <c r="P709" s="4" t="s">
        <v>687</v>
      </c>
      <c r="Q709" s="4" t="s">
        <v>35</v>
      </c>
      <c r="R709" s="3">
        <v>38.187800000000003</v>
      </c>
      <c r="S709" s="3">
        <v>55.884</v>
      </c>
      <c r="T709" s="4" t="s">
        <v>964</v>
      </c>
      <c r="U709" s="2" t="s">
        <v>37</v>
      </c>
      <c r="V709" s="2" t="s">
        <v>37</v>
      </c>
      <c r="W709" s="2" t="s">
        <v>38</v>
      </c>
      <c r="X709" s="2" t="s">
        <v>37</v>
      </c>
      <c r="Y709" s="2" t="s">
        <v>37</v>
      </c>
      <c r="Z709" s="2" t="s">
        <v>38</v>
      </c>
      <c r="AA709" s="6">
        <v>2.743313739</v>
      </c>
      <c r="AB709" s="6">
        <v>1.5819246389999999</v>
      </c>
      <c r="AC709" s="6">
        <v>2.8146470689999998</v>
      </c>
      <c r="AD709" cm="1">
        <f t="array" ref="AD709">IF(SUMPRODUCT(--($AM$2:$AM$112=TRIM(LEFT($B709,IFERROR(FIND(" ",$B709)-1,LEN($B709))))))&gt;0,1,0)</f>
        <v>0</v>
      </c>
      <c r="AE709" cm="1">
        <f t="array" ref="AE709">IF(SUMPRODUCT(--($AO$2:$AO$145=TRIM(LEFT($B709,IFERROR(FIND(" ",$B709)-1,LEN($B709))))))&gt;0,1,0)</f>
        <v>0</v>
      </c>
      <c r="AF709" cm="1">
        <f t="array" ref="AF709">IF(SUMPRODUCT(--($AQ$2:$AQ$71=TRIM(LEFT($B709,IFERROR(FIND(" ",$B709)-1,LEN($B709))))))&gt;0,1,0)</f>
        <v>0</v>
      </c>
    </row>
    <row r="710" spans="1:32" ht="75.75" thickBot="1" x14ac:dyDescent="0.3">
      <c r="A710" s="13">
        <v>48</v>
      </c>
      <c r="B710" s="4" t="s">
        <v>1461</v>
      </c>
      <c r="C710" s="4" t="s">
        <v>1462</v>
      </c>
      <c r="D710" s="7">
        <v>44102</v>
      </c>
      <c r="E710" s="3">
        <v>748.85</v>
      </c>
      <c r="F710" s="4" t="s">
        <v>30</v>
      </c>
      <c r="G710" s="4"/>
      <c r="H710" s="4" t="s">
        <v>31</v>
      </c>
      <c r="I710" s="4" t="s">
        <v>32</v>
      </c>
      <c r="J710" s="4" t="s">
        <v>33</v>
      </c>
      <c r="K710" s="3">
        <v>66.25</v>
      </c>
      <c r="L710" s="3">
        <v>30.45</v>
      </c>
      <c r="M710" s="3">
        <v>17.899999999999999</v>
      </c>
      <c r="N710" s="3">
        <v>824.03</v>
      </c>
      <c r="O710" s="4" t="s">
        <v>34</v>
      </c>
      <c r="P710" s="4" t="s">
        <v>34</v>
      </c>
      <c r="Q710" s="4" t="s">
        <v>35</v>
      </c>
      <c r="R710" s="3">
        <v>205.23599999999999</v>
      </c>
      <c r="S710" s="3">
        <v>-20.5181</v>
      </c>
      <c r="T710" s="4" t="s">
        <v>113</v>
      </c>
      <c r="U710" s="2" t="s">
        <v>37</v>
      </c>
      <c r="V710" s="2" t="s">
        <v>37</v>
      </c>
      <c r="W710" s="2" t="s">
        <v>37</v>
      </c>
      <c r="X710" s="2" t="s">
        <v>38</v>
      </c>
      <c r="Y710" s="2" t="s">
        <v>37</v>
      </c>
      <c r="Z710" s="2" t="s">
        <v>37</v>
      </c>
      <c r="AA710" s="6">
        <v>2.8743948339999998</v>
      </c>
      <c r="AB710" s="6">
        <v>2.3122535420000001</v>
      </c>
      <c r="AC710" s="6">
        <v>2.9159430230000001</v>
      </c>
      <c r="AD710" cm="1">
        <f t="array" ref="AD710">IF(SUMPRODUCT(--($AM$2:$AM$112=TRIM(LEFT($B710,IFERROR(FIND(" ",$B710)-1,LEN($B710))))))&gt;0,1,0)</f>
        <v>0</v>
      </c>
      <c r="AE710" cm="1">
        <f t="array" ref="AE710">IF(SUMPRODUCT(--($AO$2:$AO$145=TRIM(LEFT($B710,IFERROR(FIND(" ",$B710)-1,LEN($B710))))))&gt;0,1,0)</f>
        <v>0</v>
      </c>
      <c r="AF710" cm="1">
        <f t="array" ref="AF710">IF(SUMPRODUCT(--($AQ$2:$AQ$71=TRIM(LEFT($B710,IFERROR(FIND(" ",$B710)-1,LEN($B710))))))&gt;0,1,0)</f>
        <v>0</v>
      </c>
    </row>
    <row r="711" spans="1:32" ht="75.75" thickBot="1" x14ac:dyDescent="0.3">
      <c r="A711" s="13">
        <v>32</v>
      </c>
      <c r="B711" s="4" t="s">
        <v>1463</v>
      </c>
      <c r="C711" s="4" t="s">
        <v>749</v>
      </c>
      <c r="D711" s="7">
        <v>44109</v>
      </c>
      <c r="E711" s="3">
        <v>11059.88</v>
      </c>
      <c r="F711" s="4" t="s">
        <v>30</v>
      </c>
      <c r="G711" s="4"/>
      <c r="H711" s="4" t="s">
        <v>41</v>
      </c>
      <c r="I711" s="4" t="s">
        <v>41</v>
      </c>
      <c r="J711" s="4" t="s">
        <v>42</v>
      </c>
      <c r="K711" s="4"/>
      <c r="L711" s="3">
        <v>458</v>
      </c>
      <c r="M711" s="4"/>
      <c r="N711" s="3">
        <v>11925.7</v>
      </c>
      <c r="O711" s="4" t="s">
        <v>34</v>
      </c>
      <c r="P711" s="4" t="s">
        <v>34</v>
      </c>
      <c r="Q711" s="4" t="s">
        <v>35</v>
      </c>
      <c r="R711" s="2"/>
      <c r="S711" s="2"/>
      <c r="T711" s="4" t="s">
        <v>88</v>
      </c>
      <c r="U711" s="2" t="s">
        <v>37</v>
      </c>
      <c r="V711" s="2" t="s">
        <v>37</v>
      </c>
      <c r="W711" s="2" t="s">
        <v>37</v>
      </c>
      <c r="X711" s="2" t="s">
        <v>37</v>
      </c>
      <c r="Y711" s="2" t="s">
        <v>37</v>
      </c>
      <c r="Z711" s="2" t="s">
        <v>38</v>
      </c>
      <c r="AA711" s="6">
        <v>4.0437504149999999</v>
      </c>
      <c r="AB711" s="2"/>
      <c r="AC711" s="6">
        <v>4.0764838799999996</v>
      </c>
      <c r="AD711" cm="1">
        <f t="array" ref="AD711">IF(SUMPRODUCT(--($AM$2:$AM$112=TRIM(LEFT($B711,IFERROR(FIND(" ",$B711)-1,LEN($B711))))))&gt;0,1,0)</f>
        <v>0</v>
      </c>
      <c r="AE711" cm="1">
        <f t="array" ref="AE711">IF(SUMPRODUCT(--($AO$2:$AO$145=TRIM(LEFT($B711,IFERROR(FIND(" ",$B711)-1,LEN($B711))))))&gt;0,1,0)</f>
        <v>0</v>
      </c>
      <c r="AF711" cm="1">
        <f t="array" ref="AF711">IF(SUMPRODUCT(--($AQ$2:$AQ$71=TRIM(LEFT($B711,IFERROR(FIND(" ",$B711)-1,LEN($B711))))))&gt;0,1,0)</f>
        <v>0</v>
      </c>
    </row>
    <row r="712" spans="1:32" ht="135.75" thickBot="1" x14ac:dyDescent="0.3">
      <c r="A712" s="13">
        <v>34</v>
      </c>
      <c r="B712" s="4" t="s">
        <v>1464</v>
      </c>
      <c r="C712" s="4" t="s">
        <v>1465</v>
      </c>
      <c r="D712" s="7">
        <v>44105</v>
      </c>
      <c r="E712" s="3">
        <v>634.87</v>
      </c>
      <c r="F712" s="4" t="s">
        <v>30</v>
      </c>
      <c r="G712" s="4"/>
      <c r="H712" s="4" t="s">
        <v>41</v>
      </c>
      <c r="I712" s="4" t="s">
        <v>41</v>
      </c>
      <c r="J712" s="4" t="s">
        <v>42</v>
      </c>
      <c r="K712" s="4"/>
      <c r="L712" s="4"/>
      <c r="M712" s="4"/>
      <c r="N712" s="3">
        <v>474.1</v>
      </c>
      <c r="O712" s="4" t="s">
        <v>34</v>
      </c>
      <c r="P712" s="4" t="s">
        <v>1021</v>
      </c>
      <c r="Q712" s="4" t="s">
        <v>35</v>
      </c>
      <c r="R712" s="3">
        <v>327.75099999999998</v>
      </c>
      <c r="S712" s="3">
        <v>-71.961399999999998</v>
      </c>
      <c r="T712" s="4" t="s">
        <v>1466</v>
      </c>
      <c r="U712" s="2" t="s">
        <v>37</v>
      </c>
      <c r="V712" s="2" t="s">
        <v>37</v>
      </c>
      <c r="W712" s="2" t="s">
        <v>38</v>
      </c>
      <c r="X712" s="2" t="s">
        <v>38</v>
      </c>
      <c r="Y712" s="2" t="s">
        <v>37</v>
      </c>
      <c r="Z712" s="2" t="s">
        <v>38</v>
      </c>
      <c r="AA712" s="6">
        <v>2.8026848059999998</v>
      </c>
      <c r="AB712" s="6">
        <v>2.5155440250000001</v>
      </c>
      <c r="AC712" s="6">
        <v>2.675869955</v>
      </c>
      <c r="AD712" cm="1">
        <f t="array" ref="AD712">IF(SUMPRODUCT(--($AM$2:$AM$112=TRIM(LEFT($B712,IFERROR(FIND(" ",$B712)-1,LEN($B712))))))&gt;0,1,0)</f>
        <v>0</v>
      </c>
      <c r="AE712" cm="1">
        <f t="array" ref="AE712">IF(SUMPRODUCT(--($AO$2:$AO$145=TRIM(LEFT($B712,IFERROR(FIND(" ",$B712)-1,LEN($B712))))))&gt;0,1,0)</f>
        <v>0</v>
      </c>
      <c r="AF712" cm="1">
        <f t="array" ref="AF712">IF(SUMPRODUCT(--($AQ$2:$AQ$71=TRIM(LEFT($B712,IFERROR(FIND(" ",$B712)-1,LEN($B712))))))&gt;0,1,0)</f>
        <v>0</v>
      </c>
    </row>
    <row r="713" spans="1:32" ht="45.75" thickBot="1" x14ac:dyDescent="0.3">
      <c r="A713" s="13">
        <v>68</v>
      </c>
      <c r="B713" s="4" t="s">
        <v>1467</v>
      </c>
      <c r="C713" s="4" t="s">
        <v>642</v>
      </c>
      <c r="D713" s="7">
        <v>44055</v>
      </c>
      <c r="E713" s="3">
        <v>868.53</v>
      </c>
      <c r="F713" s="4" t="s">
        <v>46</v>
      </c>
      <c r="G713" s="3">
        <v>4.6500000000000004</v>
      </c>
      <c r="H713" s="4" t="s">
        <v>118</v>
      </c>
      <c r="I713" s="4" t="s">
        <v>119</v>
      </c>
      <c r="J713" s="4" t="s">
        <v>120</v>
      </c>
      <c r="K713" s="4"/>
      <c r="L713" s="3">
        <v>9.6999999999999993</v>
      </c>
      <c r="M713" s="3">
        <v>12.8</v>
      </c>
      <c r="N713" s="3">
        <v>181.75</v>
      </c>
      <c r="O713" s="4" t="s">
        <v>34</v>
      </c>
      <c r="P713" s="4" t="s">
        <v>34</v>
      </c>
      <c r="Q713" s="4" t="s">
        <v>35</v>
      </c>
      <c r="R713" s="3">
        <v>634.44100000000003</v>
      </c>
      <c r="S713" s="3">
        <v>-9.6206399999999999</v>
      </c>
      <c r="T713" s="4" t="s">
        <v>43</v>
      </c>
      <c r="U713" s="2" t="s">
        <v>37</v>
      </c>
      <c r="V713" s="2" t="s">
        <v>37</v>
      </c>
      <c r="W713" s="2" t="s">
        <v>37</v>
      </c>
      <c r="X713" s="2" t="s">
        <v>37</v>
      </c>
      <c r="Y713" s="2" t="s">
        <v>37</v>
      </c>
      <c r="Z713" s="2" t="s">
        <v>37</v>
      </c>
      <c r="AA713" s="6">
        <v>2.9387848239999999</v>
      </c>
      <c r="AB713" s="6">
        <v>2.802391241</v>
      </c>
      <c r="AC713" s="6">
        <v>2.2594744200000001</v>
      </c>
      <c r="AD713" cm="1">
        <f t="array" ref="AD713">IF(SUMPRODUCT(--($AM$2:$AM$112=TRIM(LEFT($B713,IFERROR(FIND(" ",$B713)-1,LEN($B713))))))&gt;0,1,0)</f>
        <v>0</v>
      </c>
      <c r="AE713" cm="1">
        <f t="array" ref="AE713">IF(SUMPRODUCT(--($AO$2:$AO$145=TRIM(LEFT($B713,IFERROR(FIND(" ",$B713)-1,LEN($B713))))))&gt;0,1,0)</f>
        <v>0</v>
      </c>
      <c r="AF713" cm="1">
        <f t="array" ref="AF713">IF(SUMPRODUCT(--($AQ$2:$AQ$71=TRIM(LEFT($B713,IFERROR(FIND(" ",$B713)-1,LEN($B713))))))&gt;0,1,0)</f>
        <v>0</v>
      </c>
    </row>
    <row r="714" spans="1:32" ht="75.75" thickBot="1" x14ac:dyDescent="0.3">
      <c r="A714" s="13">
        <v>269</v>
      </c>
      <c r="B714" s="4" t="s">
        <v>1468</v>
      </c>
      <c r="C714" s="4" t="s">
        <v>531</v>
      </c>
      <c r="D714" s="7">
        <v>43773</v>
      </c>
      <c r="E714" s="3">
        <v>4918.5200000000004</v>
      </c>
      <c r="F714" s="4" t="s">
        <v>30</v>
      </c>
      <c r="G714" s="3">
        <v>47.04</v>
      </c>
      <c r="H714" s="4" t="s">
        <v>41</v>
      </c>
      <c r="I714" s="4" t="s">
        <v>41</v>
      </c>
      <c r="J714" s="4" t="s">
        <v>60</v>
      </c>
      <c r="K714" s="4"/>
      <c r="L714" s="4"/>
      <c r="M714" s="4"/>
      <c r="N714" s="3">
        <v>3895.35</v>
      </c>
      <c r="O714" s="4" t="s">
        <v>34</v>
      </c>
      <c r="P714" s="4" t="s">
        <v>34</v>
      </c>
      <c r="Q714" s="4" t="s">
        <v>35</v>
      </c>
      <c r="R714" s="3">
        <v>920.9</v>
      </c>
      <c r="S714" s="3">
        <v>-1.4006700000000001</v>
      </c>
      <c r="T714" s="4" t="s">
        <v>88</v>
      </c>
      <c r="U714" s="2" t="s">
        <v>37</v>
      </c>
      <c r="V714" s="2" t="s">
        <v>37</v>
      </c>
      <c r="W714" s="2" t="s">
        <v>37</v>
      </c>
      <c r="X714" s="2" t="s">
        <v>37</v>
      </c>
      <c r="Y714" s="2" t="s">
        <v>37</v>
      </c>
      <c r="Z714" s="2" t="s">
        <v>38</v>
      </c>
      <c r="AA714" s="6">
        <v>3.6918344420000002</v>
      </c>
      <c r="AB714" s="6">
        <v>2.9642124729999999</v>
      </c>
      <c r="AC714" s="6">
        <v>3.590546485</v>
      </c>
      <c r="AD714" cm="1">
        <f t="array" ref="AD714">IF(SUMPRODUCT(--($AM$2:$AM$112=TRIM(LEFT($B714,IFERROR(FIND(" ",$B714)-1,LEN($B714))))))&gt;0,1,0)</f>
        <v>0</v>
      </c>
      <c r="AE714" cm="1">
        <f t="array" ref="AE714">IF(SUMPRODUCT(--($AO$2:$AO$145=TRIM(LEFT($B714,IFERROR(FIND(" ",$B714)-1,LEN($B714))))))&gt;0,1,0)</f>
        <v>0</v>
      </c>
      <c r="AF714" cm="1">
        <f t="array" ref="AF714">IF(SUMPRODUCT(--($AQ$2:$AQ$71=TRIM(LEFT($B714,IFERROR(FIND(" ",$B714)-1,LEN($B714))))))&gt;0,1,0)</f>
        <v>0</v>
      </c>
    </row>
    <row r="715" spans="1:32" ht="75.75" thickBot="1" x14ac:dyDescent="0.3">
      <c r="A715" s="13">
        <v>70</v>
      </c>
      <c r="B715" s="4" t="s">
        <v>1469</v>
      </c>
      <c r="C715" s="4" t="s">
        <v>1470</v>
      </c>
      <c r="D715" s="7">
        <v>44046</v>
      </c>
      <c r="E715" s="3">
        <v>602.11</v>
      </c>
      <c r="F715" s="4" t="s">
        <v>30</v>
      </c>
      <c r="G715" s="4"/>
      <c r="H715" s="4" t="s">
        <v>51</v>
      </c>
      <c r="I715" s="4" t="s">
        <v>51</v>
      </c>
      <c r="J715" s="4" t="s">
        <v>79</v>
      </c>
      <c r="K715" s="3">
        <v>32</v>
      </c>
      <c r="L715" s="3">
        <v>25.6</v>
      </c>
      <c r="M715" s="3">
        <v>26.37</v>
      </c>
      <c r="N715" s="3">
        <v>402.6</v>
      </c>
      <c r="O715" s="4" t="s">
        <v>34</v>
      </c>
      <c r="P715" s="4" t="s">
        <v>34</v>
      </c>
      <c r="Q715" s="4" t="s">
        <v>35</v>
      </c>
      <c r="R715" s="3">
        <v>45.093000000000004</v>
      </c>
      <c r="S715" s="3">
        <v>-89.584100000000007</v>
      </c>
      <c r="T715" s="4" t="s">
        <v>113</v>
      </c>
      <c r="U715" s="2" t="s">
        <v>37</v>
      </c>
      <c r="V715" s="2" t="s">
        <v>37</v>
      </c>
      <c r="W715" s="2" t="s">
        <v>37</v>
      </c>
      <c r="X715" s="2" t="s">
        <v>38</v>
      </c>
      <c r="Y715" s="2" t="s">
        <v>37</v>
      </c>
      <c r="Z715" s="2" t="s">
        <v>37</v>
      </c>
      <c r="AA715" s="6">
        <v>2.7796758399999999</v>
      </c>
      <c r="AB715" s="6">
        <v>1.6541091299999999</v>
      </c>
      <c r="AC715" s="6">
        <v>2.6048737709999998</v>
      </c>
      <c r="AD715" cm="1">
        <f t="array" ref="AD715">IF(SUMPRODUCT(--($AM$2:$AM$112=TRIM(LEFT($B715,IFERROR(FIND(" ",$B715)-1,LEN($B715))))))&gt;0,1,0)</f>
        <v>0</v>
      </c>
      <c r="AE715" cm="1">
        <f t="array" ref="AE715">IF(SUMPRODUCT(--($AO$2:$AO$145=TRIM(LEFT($B715,IFERROR(FIND(" ",$B715)-1,LEN($B715))))))&gt;0,1,0)</f>
        <v>0</v>
      </c>
      <c r="AF715" cm="1">
        <f t="array" ref="AF715">IF(SUMPRODUCT(--($AQ$2:$AQ$71=TRIM(LEFT($B715,IFERROR(FIND(" ",$B715)-1,LEN($B715))))))&gt;0,1,0)</f>
        <v>0</v>
      </c>
    </row>
    <row r="716" spans="1:32" ht="210.75" thickBot="1" x14ac:dyDescent="0.3">
      <c r="A716" s="13">
        <v>185</v>
      </c>
      <c r="B716" s="4" t="s">
        <v>1471</v>
      </c>
      <c r="C716" s="2"/>
      <c r="D716" s="7">
        <v>43881</v>
      </c>
      <c r="E716" s="3">
        <v>3483.65</v>
      </c>
      <c r="F716" s="4" t="s">
        <v>30</v>
      </c>
      <c r="G716" s="3">
        <v>23.71</v>
      </c>
      <c r="H716" s="4" t="s">
        <v>51</v>
      </c>
      <c r="I716" s="4" t="s">
        <v>51</v>
      </c>
      <c r="J716" s="4" t="s">
        <v>79</v>
      </c>
      <c r="K716" s="4"/>
      <c r="L716" s="3">
        <v>37.700000000000003</v>
      </c>
      <c r="M716" s="4"/>
      <c r="N716" s="3">
        <v>1748.7</v>
      </c>
      <c r="O716" s="4" t="s">
        <v>49</v>
      </c>
      <c r="P716" s="4" t="s">
        <v>49</v>
      </c>
      <c r="Q716" s="4" t="s">
        <v>35</v>
      </c>
      <c r="R716" s="3">
        <v>201.50899999999999</v>
      </c>
      <c r="S716" s="3">
        <v>53.374000000000002</v>
      </c>
      <c r="T716" s="4" t="s">
        <v>1472</v>
      </c>
      <c r="U716" s="2" t="s">
        <v>38</v>
      </c>
      <c r="V716" s="2" t="s">
        <v>37</v>
      </c>
      <c r="W716" s="2" t="s">
        <v>37</v>
      </c>
      <c r="X716" s="2" t="s">
        <v>38</v>
      </c>
      <c r="Y716" s="2" t="s">
        <v>38</v>
      </c>
      <c r="Z716" s="2" t="s">
        <v>37</v>
      </c>
      <c r="AA716" s="6">
        <v>3.5420345150000001</v>
      </c>
      <c r="AB716" s="6">
        <v>2.3042944479999998</v>
      </c>
      <c r="AC716" s="6">
        <v>3.2427153099999999</v>
      </c>
      <c r="AD716" cm="1">
        <f t="array" ref="AD716">IF(SUMPRODUCT(--($AM$2:$AM$112=TRIM(LEFT($B716,IFERROR(FIND(" ",$B716)-1,LEN($B716))))))&gt;0,1,0)</f>
        <v>0</v>
      </c>
      <c r="AE716" cm="1">
        <f t="array" ref="AE716">IF(SUMPRODUCT(--($AO$2:$AO$145=TRIM(LEFT($B716,IFERROR(FIND(" ",$B716)-1,LEN($B716))))))&gt;0,1,0)</f>
        <v>0</v>
      </c>
      <c r="AF716" cm="1">
        <f t="array" ref="AF716">IF(SUMPRODUCT(--($AQ$2:$AQ$71=TRIM(LEFT($B716,IFERROR(FIND(" ",$B716)-1,LEN($B716))))))&gt;0,1,0)</f>
        <v>0</v>
      </c>
    </row>
    <row r="717" spans="1:32" ht="45.75" thickBot="1" x14ac:dyDescent="0.3">
      <c r="A717" s="13">
        <v>64</v>
      </c>
      <c r="B717" s="4" t="s">
        <v>1473</v>
      </c>
      <c r="C717" s="4" t="s">
        <v>1474</v>
      </c>
      <c r="D717" s="7">
        <v>44048</v>
      </c>
      <c r="E717" s="3">
        <v>13154.02</v>
      </c>
      <c r="F717" s="4" t="s">
        <v>107</v>
      </c>
      <c r="G717" s="4"/>
      <c r="H717" s="4" t="s">
        <v>41</v>
      </c>
      <c r="I717" s="4" t="s">
        <v>41</v>
      </c>
      <c r="J717" s="4" t="s">
        <v>42</v>
      </c>
      <c r="K717" s="3">
        <v>712.33</v>
      </c>
      <c r="L717" s="3">
        <v>62.81</v>
      </c>
      <c r="M717" s="4"/>
      <c r="N717" s="3">
        <v>13395.76</v>
      </c>
      <c r="O717" s="4" t="s">
        <v>34</v>
      </c>
      <c r="P717" s="4" t="s">
        <v>34</v>
      </c>
      <c r="Q717" s="4" t="s">
        <v>35</v>
      </c>
      <c r="R717" s="3">
        <v>170.19800000000001</v>
      </c>
      <c r="S717" s="3">
        <v>-10.787000000000001</v>
      </c>
      <c r="T717" s="4" t="s">
        <v>43</v>
      </c>
      <c r="U717" s="2" t="s">
        <v>37</v>
      </c>
      <c r="V717" s="2" t="s">
        <v>37</v>
      </c>
      <c r="W717" s="2" t="s">
        <v>37</v>
      </c>
      <c r="X717" s="2" t="s">
        <v>37</v>
      </c>
      <c r="Y717" s="2" t="s">
        <v>37</v>
      </c>
      <c r="Z717" s="2" t="s">
        <v>37</v>
      </c>
      <c r="AA717" s="6">
        <v>4.1190584980000002</v>
      </c>
      <c r="AB717" s="6">
        <v>2.2309544520000002</v>
      </c>
      <c r="AC717" s="6">
        <v>4.1269673579999999</v>
      </c>
      <c r="AD717" cm="1">
        <f t="array" ref="AD717">IF(SUMPRODUCT(--($AM$2:$AM$112=TRIM(LEFT($B717,IFERROR(FIND(" ",$B717)-1,LEN($B717))))))&gt;0,1,0)</f>
        <v>0</v>
      </c>
      <c r="AE717" cm="1">
        <f t="array" ref="AE717">IF(SUMPRODUCT(--($AO$2:$AO$145=TRIM(LEFT($B717,IFERROR(FIND(" ",$B717)-1,LEN($B717))))))&gt;0,1,0)</f>
        <v>0</v>
      </c>
      <c r="AF717" cm="1">
        <f t="array" ref="AF717">IF(SUMPRODUCT(--($AQ$2:$AQ$71=TRIM(LEFT($B717,IFERROR(FIND(" ",$B717)-1,LEN($B717))))))&gt;0,1,0)</f>
        <v>0</v>
      </c>
    </row>
    <row r="718" spans="1:32" ht="120.75" thickBot="1" x14ac:dyDescent="0.3">
      <c r="A718" s="13">
        <v>19</v>
      </c>
      <c r="B718" s="4" t="s">
        <v>1475</v>
      </c>
      <c r="C718" s="4" t="s">
        <v>1476</v>
      </c>
      <c r="D718" s="7">
        <v>44111</v>
      </c>
      <c r="E718" s="3">
        <v>691.28</v>
      </c>
      <c r="F718" s="4" t="s">
        <v>30</v>
      </c>
      <c r="G718" s="4"/>
      <c r="H718" s="4" t="s">
        <v>75</v>
      </c>
      <c r="I718" s="4" t="s">
        <v>83</v>
      </c>
      <c r="J718" s="4" t="s">
        <v>84</v>
      </c>
      <c r="K718" s="4"/>
      <c r="L718" s="4"/>
      <c r="M718" s="4"/>
      <c r="N718" s="3">
        <v>770</v>
      </c>
      <c r="O718" s="4" t="s">
        <v>34</v>
      </c>
      <c r="P718" s="4" t="s">
        <v>1197</v>
      </c>
      <c r="Q718" s="4" t="s">
        <v>35</v>
      </c>
      <c r="R718" s="3">
        <v>2068.19</v>
      </c>
      <c r="S718" s="3">
        <v>-10.3055</v>
      </c>
      <c r="T718" s="4" t="s">
        <v>1477</v>
      </c>
      <c r="U718" s="2" t="s">
        <v>37</v>
      </c>
      <c r="V718" s="2" t="s">
        <v>37</v>
      </c>
      <c r="W718" s="2" t="s">
        <v>38</v>
      </c>
      <c r="X718" s="2" t="s">
        <v>37</v>
      </c>
      <c r="Y718" s="2" t="s">
        <v>37</v>
      </c>
      <c r="Z718" s="2" t="s">
        <v>37</v>
      </c>
      <c r="AA718" s="6">
        <v>2.8396539920000001</v>
      </c>
      <c r="AB718" s="6">
        <v>3.3155904340000002</v>
      </c>
      <c r="AC718" s="6">
        <v>2.8864907249999998</v>
      </c>
      <c r="AD718" cm="1">
        <f t="array" ref="AD718">IF(SUMPRODUCT(--($AM$2:$AM$112=TRIM(LEFT($B718,IFERROR(FIND(" ",$B718)-1,LEN($B718))))))&gt;0,1,0)</f>
        <v>0</v>
      </c>
      <c r="AE718" cm="1">
        <f t="array" ref="AE718">IF(SUMPRODUCT(--($AO$2:$AO$145=TRIM(LEFT($B718,IFERROR(FIND(" ",$B718)-1,LEN($B718))))))&gt;0,1,0)</f>
        <v>0</v>
      </c>
      <c r="AF718" cm="1">
        <f t="array" ref="AF718">IF(SUMPRODUCT(--($AQ$2:$AQ$71=TRIM(LEFT($B718,IFERROR(FIND(" ",$B718)-1,LEN($B718))))))&gt;0,1,0)</f>
        <v>0</v>
      </c>
    </row>
    <row r="719" spans="1:32" ht="60.75" thickBot="1" x14ac:dyDescent="0.3">
      <c r="A719" s="13">
        <v>405</v>
      </c>
      <c r="B719" s="4" t="s">
        <v>1478</v>
      </c>
      <c r="C719" s="4" t="s">
        <v>611</v>
      </c>
      <c r="D719" s="7">
        <v>43570</v>
      </c>
      <c r="E719" s="3">
        <v>4580</v>
      </c>
      <c r="F719" s="4" t="s">
        <v>30</v>
      </c>
      <c r="G719" s="3">
        <v>12.29</v>
      </c>
      <c r="H719" s="4" t="s">
        <v>70</v>
      </c>
      <c r="I719" s="4" t="s">
        <v>94</v>
      </c>
      <c r="J719" s="4" t="s">
        <v>95</v>
      </c>
      <c r="K719" s="3">
        <v>250</v>
      </c>
      <c r="L719" s="3">
        <v>100</v>
      </c>
      <c r="M719" s="3">
        <v>10.1</v>
      </c>
      <c r="N719" s="3">
        <v>2683.8</v>
      </c>
      <c r="O719" s="4" t="s">
        <v>34</v>
      </c>
      <c r="P719" s="4" t="s">
        <v>34</v>
      </c>
      <c r="Q719" s="4" t="s">
        <v>35</v>
      </c>
      <c r="R719" s="3">
        <v>1623</v>
      </c>
      <c r="S719" s="3">
        <v>5.62697</v>
      </c>
      <c r="T719" s="4" t="s">
        <v>43</v>
      </c>
      <c r="U719" s="2" t="s">
        <v>37</v>
      </c>
      <c r="V719" s="2" t="s">
        <v>37</v>
      </c>
      <c r="W719" s="2" t="s">
        <v>37</v>
      </c>
      <c r="X719" s="2" t="s">
        <v>37</v>
      </c>
      <c r="Y719" s="2" t="s">
        <v>37</v>
      </c>
      <c r="Z719" s="2" t="s">
        <v>37</v>
      </c>
      <c r="AA719" s="6">
        <v>3.6608654779999998</v>
      </c>
      <c r="AB719" s="6">
        <v>3.21031852</v>
      </c>
      <c r="AC719" s="6">
        <v>3.4287501489999999</v>
      </c>
      <c r="AD719" cm="1">
        <f t="array" ref="AD719">IF(SUMPRODUCT(--($AM$2:$AM$112=TRIM(LEFT($B719,IFERROR(FIND(" ",$B719)-1,LEN($B719))))))&gt;0,1,0)</f>
        <v>0</v>
      </c>
      <c r="AE719" cm="1">
        <f t="array" ref="AE719">IF(SUMPRODUCT(--($AO$2:$AO$145=TRIM(LEFT($B719,IFERROR(FIND(" ",$B719)-1,LEN($B719))))))&gt;0,1,0)</f>
        <v>0</v>
      </c>
      <c r="AF719" cm="1">
        <f t="array" ref="AF719">IF(SUMPRODUCT(--($AQ$2:$AQ$71=TRIM(LEFT($B719,IFERROR(FIND(" ",$B719)-1,LEN($B719))))))&gt;0,1,0)</f>
        <v>0</v>
      </c>
    </row>
    <row r="720" spans="1:32" ht="75.75" thickBot="1" x14ac:dyDescent="0.3">
      <c r="A720" s="13">
        <v>31</v>
      </c>
      <c r="B720" s="4" t="s">
        <v>1479</v>
      </c>
      <c r="C720" s="4" t="s">
        <v>135</v>
      </c>
      <c r="D720" s="7">
        <v>44087</v>
      </c>
      <c r="E720" s="3">
        <v>19375.240000000002</v>
      </c>
      <c r="F720" s="4" t="s">
        <v>30</v>
      </c>
      <c r="G720" s="4"/>
      <c r="H720" s="4" t="s">
        <v>41</v>
      </c>
      <c r="I720" s="4" t="s">
        <v>41</v>
      </c>
      <c r="J720" s="4" t="s">
        <v>42</v>
      </c>
      <c r="K720" s="4"/>
      <c r="L720" s="3">
        <v>732.1</v>
      </c>
      <c r="M720" s="4"/>
      <c r="N720" s="3">
        <v>20340.64</v>
      </c>
      <c r="O720" s="4" t="s">
        <v>34</v>
      </c>
      <c r="P720" s="4" t="s">
        <v>34</v>
      </c>
      <c r="Q720" s="4" t="s">
        <v>35</v>
      </c>
      <c r="R720" s="3">
        <v>0.29499999999999998</v>
      </c>
      <c r="S720" s="3">
        <v>-1536.66</v>
      </c>
      <c r="T720" s="4" t="s">
        <v>88</v>
      </c>
      <c r="U720" s="2" t="s">
        <v>37</v>
      </c>
      <c r="V720" s="2" t="s">
        <v>37</v>
      </c>
      <c r="W720" s="2" t="s">
        <v>37</v>
      </c>
      <c r="X720" s="2" t="s">
        <v>37</v>
      </c>
      <c r="Y720" s="2" t="s">
        <v>37</v>
      </c>
      <c r="Z720" s="2" t="s">
        <v>38</v>
      </c>
      <c r="AA720" s="6">
        <v>4.2872470910000002</v>
      </c>
      <c r="AB720" s="6">
        <v>-0.53017798400000005</v>
      </c>
      <c r="AC720" s="6">
        <v>4.3083646130000002</v>
      </c>
      <c r="AD720" cm="1">
        <f t="array" ref="AD720">IF(SUMPRODUCT(--($AM$2:$AM$112=TRIM(LEFT($B720,IFERROR(FIND(" ",$B720)-1,LEN($B720))))))&gt;0,1,0)</f>
        <v>0</v>
      </c>
      <c r="AE720" cm="1">
        <f t="array" ref="AE720">IF(SUMPRODUCT(--($AO$2:$AO$145=TRIM(LEFT($B720,IFERROR(FIND(" ",$B720)-1,LEN($B720))))))&gt;0,1,0)</f>
        <v>0</v>
      </c>
      <c r="AF720" cm="1">
        <f t="array" ref="AF720">IF(SUMPRODUCT(--($AQ$2:$AQ$71=TRIM(LEFT($B720,IFERROR(FIND(" ",$B720)-1,LEN($B720))))))&gt;0,1,0)</f>
        <v>0</v>
      </c>
    </row>
    <row r="721" spans="1:32" ht="105.75" thickBot="1" x14ac:dyDescent="0.3">
      <c r="A721" s="13">
        <v>34</v>
      </c>
      <c r="B721" s="4" t="s">
        <v>1480</v>
      </c>
      <c r="C721" s="4" t="s">
        <v>1481</v>
      </c>
      <c r="D721" s="7">
        <v>44074</v>
      </c>
      <c r="E721" s="3">
        <v>712.88</v>
      </c>
      <c r="F721" s="4" t="s">
        <v>30</v>
      </c>
      <c r="G721" s="3">
        <v>474.3</v>
      </c>
      <c r="H721" s="4" t="s">
        <v>31</v>
      </c>
      <c r="I721" s="4" t="s">
        <v>32</v>
      </c>
      <c r="J721" s="4" t="s">
        <v>33</v>
      </c>
      <c r="K721" s="4"/>
      <c r="L721" s="4"/>
      <c r="M721" s="4"/>
      <c r="N721" s="3">
        <v>738.02</v>
      </c>
      <c r="O721" s="4" t="s">
        <v>34</v>
      </c>
      <c r="P721" s="4" t="s">
        <v>34</v>
      </c>
      <c r="Q721" s="4" t="s">
        <v>35</v>
      </c>
      <c r="R721" s="3">
        <v>182.702</v>
      </c>
      <c r="S721" s="3">
        <v>-9.3177000000000003</v>
      </c>
      <c r="T721" s="4" t="s">
        <v>1457</v>
      </c>
      <c r="U721" s="2" t="s">
        <v>37</v>
      </c>
      <c r="V721" s="2" t="s">
        <v>37</v>
      </c>
      <c r="W721" s="2" t="s">
        <v>37</v>
      </c>
      <c r="X721" s="2" t="s">
        <v>38</v>
      </c>
      <c r="Y721" s="2" t="s">
        <v>37</v>
      </c>
      <c r="Z721" s="2" t="s">
        <v>38</v>
      </c>
      <c r="AA721" s="6">
        <v>2.8530164309999999</v>
      </c>
      <c r="AB721" s="6">
        <v>2.2617433020000002</v>
      </c>
      <c r="AC721" s="6">
        <v>2.8680681309999998</v>
      </c>
      <c r="AD721" cm="1">
        <f t="array" ref="AD721">IF(SUMPRODUCT(--($AM$2:$AM$112=TRIM(LEFT($B721,IFERROR(FIND(" ",$B721)-1,LEN($B721))))))&gt;0,1,0)</f>
        <v>0</v>
      </c>
      <c r="AE721" cm="1">
        <f t="array" ref="AE721">IF(SUMPRODUCT(--($AO$2:$AO$145=TRIM(LEFT($B721,IFERROR(FIND(" ",$B721)-1,LEN($B721))))))&gt;0,1,0)</f>
        <v>0</v>
      </c>
      <c r="AF721" cm="1">
        <f t="array" ref="AF721">IF(SUMPRODUCT(--($AQ$2:$AQ$71=TRIM(LEFT($B721,IFERROR(FIND(" ",$B721)-1,LEN($B721))))))&gt;0,1,0)</f>
        <v>0</v>
      </c>
    </row>
    <row r="722" spans="1:32" ht="135.75" thickBot="1" x14ac:dyDescent="0.3">
      <c r="A722" s="13">
        <v>57</v>
      </c>
      <c r="B722" s="4" t="s">
        <v>1482</v>
      </c>
      <c r="C722" s="4" t="s">
        <v>909</v>
      </c>
      <c r="D722" s="7">
        <v>44041</v>
      </c>
      <c r="E722" s="3">
        <v>702.86</v>
      </c>
      <c r="F722" s="4" t="s">
        <v>30</v>
      </c>
      <c r="G722" s="3">
        <v>8.83</v>
      </c>
      <c r="H722" s="4" t="s">
        <v>47</v>
      </c>
      <c r="I722" s="4" t="s">
        <v>47</v>
      </c>
      <c r="J722" s="4" t="s">
        <v>159</v>
      </c>
      <c r="K722" s="4"/>
      <c r="L722" s="4"/>
      <c r="M722" s="4"/>
      <c r="N722" s="3">
        <v>406.67</v>
      </c>
      <c r="O722" s="4" t="s">
        <v>49</v>
      </c>
      <c r="P722" s="4" t="s">
        <v>34</v>
      </c>
      <c r="Q722" s="4" t="s">
        <v>35</v>
      </c>
      <c r="R722" s="3">
        <v>605.06799999999998</v>
      </c>
      <c r="S722" s="3">
        <v>5.3401500000000004</v>
      </c>
      <c r="T722" s="4" t="s">
        <v>1483</v>
      </c>
      <c r="U722" s="2" t="s">
        <v>37</v>
      </c>
      <c r="V722" s="2" t="s">
        <v>37</v>
      </c>
      <c r="W722" s="2" t="s">
        <v>38</v>
      </c>
      <c r="X722" s="2" t="s">
        <v>37</v>
      </c>
      <c r="Y722" s="2" t="s">
        <v>38</v>
      </c>
      <c r="Z722" s="2" t="s">
        <v>37</v>
      </c>
      <c r="AA722" s="6">
        <v>2.8468688279999999</v>
      </c>
      <c r="AB722" s="6">
        <v>2.7818041849999999</v>
      </c>
      <c r="AC722" s="6">
        <v>2.6092421360000002</v>
      </c>
      <c r="AD722" cm="1">
        <f t="array" ref="AD722">IF(SUMPRODUCT(--($AM$2:$AM$112=TRIM(LEFT($B722,IFERROR(FIND(" ",$B722)-1,LEN($B722))))))&gt;0,1,0)</f>
        <v>0</v>
      </c>
      <c r="AE722" cm="1">
        <f t="array" ref="AE722">IF(SUMPRODUCT(--($AO$2:$AO$145=TRIM(LEFT($B722,IFERROR(FIND(" ",$B722)-1,LEN($B722))))))&gt;0,1,0)</f>
        <v>0</v>
      </c>
      <c r="AF722" cm="1">
        <f t="array" ref="AF722">IF(SUMPRODUCT(--($AQ$2:$AQ$71=TRIM(LEFT($B722,IFERROR(FIND(" ",$B722)-1,LEN($B722))))))&gt;0,1,0)</f>
        <v>0</v>
      </c>
    </row>
    <row r="723" spans="1:32" ht="180.75" thickBot="1" x14ac:dyDescent="0.3">
      <c r="A723" s="13">
        <v>33</v>
      </c>
      <c r="B723" s="4" t="s">
        <v>1484</v>
      </c>
      <c r="C723" s="4" t="s">
        <v>1485</v>
      </c>
      <c r="D723" s="7">
        <v>44074</v>
      </c>
      <c r="E723" s="3">
        <v>1708.14</v>
      </c>
      <c r="F723" s="4" t="s">
        <v>30</v>
      </c>
      <c r="G723" s="4"/>
      <c r="H723" s="4" t="s">
        <v>41</v>
      </c>
      <c r="I723" s="4" t="s">
        <v>41</v>
      </c>
      <c r="J723" s="4" t="s">
        <v>42</v>
      </c>
      <c r="K723" s="4"/>
      <c r="L723" s="3">
        <v>85</v>
      </c>
      <c r="M723" s="3">
        <v>158.74</v>
      </c>
      <c r="N723" s="3">
        <v>1878.85</v>
      </c>
      <c r="O723" s="4" t="s">
        <v>34</v>
      </c>
      <c r="P723" s="4" t="s">
        <v>869</v>
      </c>
      <c r="Q723" s="4" t="s">
        <v>35</v>
      </c>
      <c r="R723" s="2"/>
      <c r="S723" s="3">
        <v>-49193.4</v>
      </c>
      <c r="T723" s="4" t="s">
        <v>1486</v>
      </c>
      <c r="U723" s="2" t="s">
        <v>38</v>
      </c>
      <c r="V723" s="2" t="s">
        <v>37</v>
      </c>
      <c r="W723" s="2" t="s">
        <v>38</v>
      </c>
      <c r="X723" s="2" t="s">
        <v>37</v>
      </c>
      <c r="Y723" s="2" t="s">
        <v>37</v>
      </c>
      <c r="Z723" s="2" t="s">
        <v>38</v>
      </c>
      <c r="AA723" s="6">
        <v>3.2325234630000002</v>
      </c>
      <c r="AB723" s="2"/>
      <c r="AC723" s="6">
        <v>3.2738921090000002</v>
      </c>
      <c r="AD723" cm="1">
        <f t="array" ref="AD723">IF(SUMPRODUCT(--($AM$2:$AM$112=TRIM(LEFT($B723,IFERROR(FIND(" ",$B723)-1,LEN($B723))))))&gt;0,1,0)</f>
        <v>0</v>
      </c>
      <c r="AE723" cm="1">
        <f t="array" ref="AE723">IF(SUMPRODUCT(--($AO$2:$AO$145=TRIM(LEFT($B723,IFERROR(FIND(" ",$B723)-1,LEN($B723))))))&gt;0,1,0)</f>
        <v>0</v>
      </c>
      <c r="AF723" cm="1">
        <f t="array" ref="AF723">IF(SUMPRODUCT(--($AQ$2:$AQ$71=TRIM(LEFT($B723,IFERROR(FIND(" ",$B723)-1,LEN($B723))))))&gt;0,1,0)</f>
        <v>0</v>
      </c>
    </row>
    <row r="724" spans="1:32" ht="45.75" thickBot="1" x14ac:dyDescent="0.3">
      <c r="A724" s="13">
        <v>68</v>
      </c>
      <c r="B724" s="4" t="s">
        <v>1487</v>
      </c>
      <c r="C724" s="4" t="s">
        <v>1488</v>
      </c>
      <c r="D724" s="7">
        <v>44019</v>
      </c>
      <c r="E724" s="3">
        <v>2865.31</v>
      </c>
      <c r="F724" s="4" t="s">
        <v>46</v>
      </c>
      <c r="G724" s="4"/>
      <c r="H724" s="4" t="s">
        <v>118</v>
      </c>
      <c r="I724" s="4" t="s">
        <v>273</v>
      </c>
      <c r="J724" s="4" t="s">
        <v>273</v>
      </c>
      <c r="K724" s="3">
        <v>107</v>
      </c>
      <c r="L724" s="3">
        <v>54</v>
      </c>
      <c r="M724" s="3">
        <v>9.49</v>
      </c>
      <c r="N724" s="3">
        <v>1355.18</v>
      </c>
      <c r="O724" s="4" t="s">
        <v>34</v>
      </c>
      <c r="P724" s="4" t="s">
        <v>34</v>
      </c>
      <c r="Q724" s="4" t="s">
        <v>35</v>
      </c>
      <c r="R724" s="3">
        <v>341.041</v>
      </c>
      <c r="S724" s="3">
        <v>-49.799199999999999</v>
      </c>
      <c r="T724" s="4" t="s">
        <v>43</v>
      </c>
      <c r="U724" s="2" t="s">
        <v>37</v>
      </c>
      <c r="V724" s="2" t="s">
        <v>37</v>
      </c>
      <c r="W724" s="2" t="s">
        <v>37</v>
      </c>
      <c r="X724" s="2" t="s">
        <v>37</v>
      </c>
      <c r="Y724" s="2" t="s">
        <v>37</v>
      </c>
      <c r="Z724" s="2" t="s">
        <v>37</v>
      </c>
      <c r="AA724" s="6">
        <v>3.457171615</v>
      </c>
      <c r="AB724" s="6">
        <v>2.5328065930000001</v>
      </c>
      <c r="AC724" s="6">
        <v>3.1319969840000002</v>
      </c>
      <c r="AD724" cm="1">
        <f t="array" ref="AD724">IF(SUMPRODUCT(--($AM$2:$AM$112=TRIM(LEFT($B724,IFERROR(FIND(" ",$B724)-1,LEN($B724))))))&gt;0,1,0)</f>
        <v>0</v>
      </c>
      <c r="AE724" cm="1">
        <f t="array" ref="AE724">IF(SUMPRODUCT(--($AO$2:$AO$145=TRIM(LEFT($B724,IFERROR(FIND(" ",$B724)-1,LEN($B724))))))&gt;0,1,0)</f>
        <v>0</v>
      </c>
      <c r="AF724" cm="1">
        <f t="array" ref="AF724">IF(SUMPRODUCT(--($AQ$2:$AQ$71=TRIM(LEFT($B724,IFERROR(FIND(" ",$B724)-1,LEN($B724))))))&gt;0,1,0)</f>
        <v>0</v>
      </c>
    </row>
    <row r="725" spans="1:32" ht="45.75" thickBot="1" x14ac:dyDescent="0.3">
      <c r="A725" s="13">
        <v>227</v>
      </c>
      <c r="B725" s="4" t="s">
        <v>1489</v>
      </c>
      <c r="C725" s="4" t="s">
        <v>202</v>
      </c>
      <c r="D725" s="7">
        <v>43794</v>
      </c>
      <c r="E725" s="3">
        <v>29577.86</v>
      </c>
      <c r="F725" s="4" t="s">
        <v>46</v>
      </c>
      <c r="G725" s="3">
        <v>8.8800000000000008</v>
      </c>
      <c r="H725" s="4" t="s">
        <v>65</v>
      </c>
      <c r="I725" s="4" t="s">
        <v>138</v>
      </c>
      <c r="J725" s="4" t="s">
        <v>176</v>
      </c>
      <c r="K725" s="3">
        <v>950</v>
      </c>
      <c r="L725" s="3">
        <v>950</v>
      </c>
      <c r="M725" s="4"/>
      <c r="N725" s="3">
        <v>25527.86</v>
      </c>
      <c r="O725" s="4" t="s">
        <v>34</v>
      </c>
      <c r="P725" s="4" t="s">
        <v>34</v>
      </c>
      <c r="Q725" s="4" t="s">
        <v>35</v>
      </c>
      <c r="R725" s="3">
        <v>5838</v>
      </c>
      <c r="S725" s="3">
        <v>50.490200000000002</v>
      </c>
      <c r="T725" s="4" t="s">
        <v>43</v>
      </c>
      <c r="U725" s="2" t="s">
        <v>37</v>
      </c>
      <c r="V725" s="2" t="s">
        <v>37</v>
      </c>
      <c r="W725" s="2" t="s">
        <v>37</v>
      </c>
      <c r="X725" s="2" t="s">
        <v>37</v>
      </c>
      <c r="Y725" s="2" t="s">
        <v>37</v>
      </c>
      <c r="Z725" s="2" t="s">
        <v>37</v>
      </c>
      <c r="AA725" s="6">
        <v>4.4709667489999996</v>
      </c>
      <c r="AB725" s="6">
        <v>3.766264091</v>
      </c>
      <c r="AC725" s="6">
        <v>4.4070144090000003</v>
      </c>
      <c r="AD725" cm="1">
        <f t="array" ref="AD725">IF(SUMPRODUCT(--($AM$2:$AM$112=TRIM(LEFT($B725,IFERROR(FIND(" ",$B725)-1,LEN($B725))))))&gt;0,1,0)</f>
        <v>0</v>
      </c>
      <c r="AE725" cm="1">
        <f t="array" ref="AE725">IF(SUMPRODUCT(--($AO$2:$AO$145=TRIM(LEFT($B725,IFERROR(FIND(" ",$B725)-1,LEN($B725))))))&gt;0,1,0)</f>
        <v>0</v>
      </c>
      <c r="AF725" cm="1">
        <f t="array" ref="AF725">IF(SUMPRODUCT(--($AQ$2:$AQ$71=TRIM(LEFT($B725,IFERROR(FIND(" ",$B725)-1,LEN($B725))))))&gt;0,1,0)</f>
        <v>0</v>
      </c>
    </row>
    <row r="726" spans="1:32" ht="45.75" thickBot="1" x14ac:dyDescent="0.3">
      <c r="A726" s="13">
        <v>57</v>
      </c>
      <c r="B726" s="4" t="s">
        <v>1490</v>
      </c>
      <c r="C726" s="4" t="s">
        <v>421</v>
      </c>
      <c r="D726" s="7">
        <v>44032</v>
      </c>
      <c r="E726" s="3">
        <v>12680.6</v>
      </c>
      <c r="F726" s="4" t="s">
        <v>46</v>
      </c>
      <c r="G726" s="4"/>
      <c r="H726" s="4" t="s">
        <v>118</v>
      </c>
      <c r="I726" s="4" t="s">
        <v>119</v>
      </c>
      <c r="J726" s="4" t="s">
        <v>120</v>
      </c>
      <c r="K726" s="4"/>
      <c r="L726" s="3">
        <v>176.29499999999999</v>
      </c>
      <c r="M726" s="3">
        <v>12.14</v>
      </c>
      <c r="N726" s="3">
        <v>5019.6000000000004</v>
      </c>
      <c r="O726" s="4" t="s">
        <v>34</v>
      </c>
      <c r="P726" s="4" t="s">
        <v>34</v>
      </c>
      <c r="Q726" s="4" t="s">
        <v>35</v>
      </c>
      <c r="R726" s="3">
        <v>4470</v>
      </c>
      <c r="S726" s="3">
        <v>-130.249</v>
      </c>
      <c r="T726" s="4" t="s">
        <v>43</v>
      </c>
      <c r="U726" s="2" t="s">
        <v>37</v>
      </c>
      <c r="V726" s="2" t="s">
        <v>37</v>
      </c>
      <c r="W726" s="2" t="s">
        <v>37</v>
      </c>
      <c r="X726" s="2" t="s">
        <v>37</v>
      </c>
      <c r="Y726" s="2" t="s">
        <v>37</v>
      </c>
      <c r="Z726" s="2" t="s">
        <v>37</v>
      </c>
      <c r="AA726" s="6">
        <v>4.1031398030000004</v>
      </c>
      <c r="AB726" s="6">
        <v>3.6503075229999999</v>
      </c>
      <c r="AC726" s="6">
        <v>3.7006691109999998</v>
      </c>
      <c r="AD726" cm="1">
        <f t="array" ref="AD726">IF(SUMPRODUCT(--($AM$2:$AM$112=TRIM(LEFT($B726,IFERROR(FIND(" ",$B726)-1,LEN($B726))))))&gt;0,1,0)</f>
        <v>0</v>
      </c>
      <c r="AE726" cm="1">
        <f t="array" ref="AE726">IF(SUMPRODUCT(--($AO$2:$AO$145=TRIM(LEFT($B726,IFERROR(FIND(" ",$B726)-1,LEN($B726))))))&gt;0,1,0)</f>
        <v>0</v>
      </c>
      <c r="AF726" cm="1">
        <f t="array" ref="AF726">IF(SUMPRODUCT(--($AQ$2:$AQ$71=TRIM(LEFT($B726,IFERROR(FIND(" ",$B726)-1,LEN($B726))))))&gt;0,1,0)</f>
        <v>0</v>
      </c>
    </row>
    <row r="727" spans="1:32" ht="45.75" thickBot="1" x14ac:dyDescent="0.3">
      <c r="A727" s="13">
        <v>163</v>
      </c>
      <c r="B727" s="4" t="s">
        <v>1491</v>
      </c>
      <c r="C727" s="4" t="s">
        <v>1410</v>
      </c>
      <c r="D727" s="7">
        <v>43881</v>
      </c>
      <c r="E727" s="3">
        <v>14507.65</v>
      </c>
      <c r="F727" s="4" t="s">
        <v>46</v>
      </c>
      <c r="G727" s="3">
        <v>7.89</v>
      </c>
      <c r="H727" s="4" t="s">
        <v>65</v>
      </c>
      <c r="I727" s="4" t="s">
        <v>138</v>
      </c>
      <c r="J727" s="4" t="s">
        <v>176</v>
      </c>
      <c r="K727" s="3">
        <v>525</v>
      </c>
      <c r="L727" s="3">
        <v>375</v>
      </c>
      <c r="M727" s="3">
        <v>29.17</v>
      </c>
      <c r="N727" s="3">
        <v>12719.65</v>
      </c>
      <c r="O727" s="4" t="s">
        <v>34</v>
      </c>
      <c r="P727" s="4" t="s">
        <v>34</v>
      </c>
      <c r="Q727" s="4" t="s">
        <v>35</v>
      </c>
      <c r="R727" s="3">
        <v>3145</v>
      </c>
      <c r="S727" s="2"/>
      <c r="T727" s="4" t="s">
        <v>43</v>
      </c>
      <c r="U727" s="2" t="s">
        <v>37</v>
      </c>
      <c r="V727" s="2" t="s">
        <v>37</v>
      </c>
      <c r="W727" s="2" t="s">
        <v>37</v>
      </c>
      <c r="X727" s="2" t="s">
        <v>37</v>
      </c>
      <c r="Y727" s="2" t="s">
        <v>37</v>
      </c>
      <c r="Z727" s="2" t="s">
        <v>37</v>
      </c>
      <c r="AA727" s="6">
        <v>4.16159707</v>
      </c>
      <c r="AB727" s="6">
        <v>3.49762065</v>
      </c>
      <c r="AC727" s="6">
        <v>4.1044751609999999</v>
      </c>
      <c r="AD727" cm="1">
        <f t="array" ref="AD727">IF(SUMPRODUCT(--($AM$2:$AM$112=TRIM(LEFT($B727,IFERROR(FIND(" ",$B727)-1,LEN($B727))))))&gt;0,1,0)</f>
        <v>0</v>
      </c>
      <c r="AE727" cm="1">
        <f t="array" ref="AE727">IF(SUMPRODUCT(--($AO$2:$AO$145=TRIM(LEFT($B727,IFERROR(FIND(" ",$B727)-1,LEN($B727))))))&gt;0,1,0)</f>
        <v>0</v>
      </c>
      <c r="AF727" cm="1">
        <f t="array" ref="AF727">IF(SUMPRODUCT(--($AQ$2:$AQ$71=TRIM(LEFT($B727,IFERROR(FIND(" ",$B727)-1,LEN($B727))))))&gt;0,1,0)</f>
        <v>0</v>
      </c>
    </row>
    <row r="728" spans="1:32" ht="75.75" thickBot="1" x14ac:dyDescent="0.3">
      <c r="A728" s="13">
        <v>33</v>
      </c>
      <c r="B728" s="4" t="s">
        <v>1492</v>
      </c>
      <c r="C728" s="4" t="s">
        <v>504</v>
      </c>
      <c r="D728" s="7">
        <v>44062</v>
      </c>
      <c r="E728" s="3">
        <v>5825.99</v>
      </c>
      <c r="F728" s="4" t="s">
        <v>30</v>
      </c>
      <c r="G728" s="4"/>
      <c r="H728" s="4" t="s">
        <v>41</v>
      </c>
      <c r="I728" s="4" t="s">
        <v>41</v>
      </c>
      <c r="J728" s="4" t="s">
        <v>42</v>
      </c>
      <c r="K728" s="4"/>
      <c r="L728" s="3">
        <v>205</v>
      </c>
      <c r="M728" s="4"/>
      <c r="N728" s="3">
        <v>6239.52</v>
      </c>
      <c r="O728" s="4" t="s">
        <v>34</v>
      </c>
      <c r="P728" s="4" t="s">
        <v>34</v>
      </c>
      <c r="Q728" s="4" t="s">
        <v>35</v>
      </c>
      <c r="R728" s="3">
        <v>23.867999999999999</v>
      </c>
      <c r="S728" s="3">
        <v>-769.553</v>
      </c>
      <c r="T728" s="4" t="s">
        <v>88</v>
      </c>
      <c r="U728" s="2" t="s">
        <v>37</v>
      </c>
      <c r="V728" s="2" t="s">
        <v>37</v>
      </c>
      <c r="W728" s="2" t="s">
        <v>37</v>
      </c>
      <c r="X728" s="2" t="s">
        <v>37</v>
      </c>
      <c r="Y728" s="2" t="s">
        <v>37</v>
      </c>
      <c r="Z728" s="2" t="s">
        <v>38</v>
      </c>
      <c r="AA728" s="6">
        <v>3.7653697350000002</v>
      </c>
      <c r="AB728" s="6">
        <v>1.3778160290000001</v>
      </c>
      <c r="AC728" s="6">
        <v>3.795151181</v>
      </c>
      <c r="AD728" cm="1">
        <f t="array" ref="AD728">IF(SUMPRODUCT(--($AM$2:$AM$112=TRIM(LEFT($B728,IFERROR(FIND(" ",$B728)-1,LEN($B728))))))&gt;0,1,0)</f>
        <v>0</v>
      </c>
      <c r="AE728" cm="1">
        <f t="array" ref="AE728">IF(SUMPRODUCT(--($AO$2:$AO$145=TRIM(LEFT($B728,IFERROR(FIND(" ",$B728)-1,LEN($B728))))))&gt;0,1,0)</f>
        <v>0</v>
      </c>
      <c r="AF728" cm="1">
        <f t="array" ref="AF728">IF(SUMPRODUCT(--($AQ$2:$AQ$71=TRIM(LEFT($B728,IFERROR(FIND(" ",$B728)-1,LEN($B728))))))&gt;0,1,0)</f>
        <v>0</v>
      </c>
    </row>
    <row r="729" spans="1:32" ht="105.75" thickBot="1" x14ac:dyDescent="0.3">
      <c r="A729" s="13">
        <v>32</v>
      </c>
      <c r="B729" s="4" t="s">
        <v>1493</v>
      </c>
      <c r="C729" s="4" t="s">
        <v>222</v>
      </c>
      <c r="D729" s="7">
        <v>44060</v>
      </c>
      <c r="E729" s="3">
        <v>3019.02</v>
      </c>
      <c r="F729" s="4" t="s">
        <v>30</v>
      </c>
      <c r="G729" s="4"/>
      <c r="H729" s="4" t="s">
        <v>41</v>
      </c>
      <c r="I729" s="4" t="s">
        <v>41</v>
      </c>
      <c r="J729" s="4" t="s">
        <v>42</v>
      </c>
      <c r="K729" s="4"/>
      <c r="L729" s="3">
        <v>128.828</v>
      </c>
      <c r="M729" s="4"/>
      <c r="N729" s="3">
        <v>3320.85</v>
      </c>
      <c r="O729" s="4" t="s">
        <v>34</v>
      </c>
      <c r="P729" s="4" t="s">
        <v>147</v>
      </c>
      <c r="Q729" s="4" t="s">
        <v>35</v>
      </c>
      <c r="R729" s="3">
        <v>35.159999999999997</v>
      </c>
      <c r="S729" s="3">
        <v>-148.346</v>
      </c>
      <c r="T729" s="4" t="s">
        <v>964</v>
      </c>
      <c r="U729" s="2" t="s">
        <v>37</v>
      </c>
      <c r="V729" s="2" t="s">
        <v>37</v>
      </c>
      <c r="W729" s="2" t="s">
        <v>38</v>
      </c>
      <c r="X729" s="2" t="s">
        <v>37</v>
      </c>
      <c r="Y729" s="2" t="s">
        <v>37</v>
      </c>
      <c r="Z729" s="2" t="s">
        <v>38</v>
      </c>
      <c r="AA729" s="6">
        <v>3.47986599</v>
      </c>
      <c r="AB729" s="6">
        <v>1.546048866</v>
      </c>
      <c r="AC729" s="6">
        <v>3.5212492590000002</v>
      </c>
      <c r="AD729" cm="1">
        <f t="array" ref="AD729">IF(SUMPRODUCT(--($AM$2:$AM$112=TRIM(LEFT($B729,IFERROR(FIND(" ",$B729)-1,LEN($B729))))))&gt;0,1,0)</f>
        <v>0</v>
      </c>
      <c r="AE729" cm="1">
        <f t="array" ref="AE729">IF(SUMPRODUCT(--($AO$2:$AO$145=TRIM(LEFT($B729,IFERROR(FIND(" ",$B729)-1,LEN($B729))))))&gt;0,1,0)</f>
        <v>0</v>
      </c>
      <c r="AF729" cm="1">
        <f t="array" ref="AF729">IF(SUMPRODUCT(--($AQ$2:$AQ$71=TRIM(LEFT($B729,IFERROR(FIND(" ",$B729)-1,LEN($B729))))))&gt;0,1,0)</f>
        <v>0</v>
      </c>
    </row>
    <row r="730" spans="1:32" ht="135.75" thickBot="1" x14ac:dyDescent="0.3">
      <c r="A730" s="13">
        <v>47</v>
      </c>
      <c r="B730" s="4" t="s">
        <v>1494</v>
      </c>
      <c r="C730" s="4" t="s">
        <v>230</v>
      </c>
      <c r="D730" s="7">
        <v>44032</v>
      </c>
      <c r="E730" s="3">
        <v>644.4</v>
      </c>
      <c r="F730" s="4" t="s">
        <v>30</v>
      </c>
      <c r="G730" s="3">
        <v>33.47</v>
      </c>
      <c r="H730" s="4" t="s">
        <v>31</v>
      </c>
      <c r="I730" s="4" t="s">
        <v>32</v>
      </c>
      <c r="J730" s="4" t="s">
        <v>33</v>
      </c>
      <c r="K730" s="4"/>
      <c r="L730" s="4"/>
      <c r="M730" s="4"/>
      <c r="N730" s="3">
        <v>692.71</v>
      </c>
      <c r="O730" s="4" t="s">
        <v>34</v>
      </c>
      <c r="P730" s="4" t="s">
        <v>34</v>
      </c>
      <c r="Q730" s="4" t="s">
        <v>35</v>
      </c>
      <c r="R730" s="3">
        <v>146.44499999999999</v>
      </c>
      <c r="S730" s="3">
        <v>7.89358</v>
      </c>
      <c r="T730" s="4" t="s">
        <v>312</v>
      </c>
      <c r="U730" s="2" t="s">
        <v>37</v>
      </c>
      <c r="V730" s="2" t="s">
        <v>37</v>
      </c>
      <c r="W730" s="2" t="s">
        <v>37</v>
      </c>
      <c r="X730" s="2" t="s">
        <v>38</v>
      </c>
      <c r="Y730" s="2" t="s">
        <v>38</v>
      </c>
      <c r="Z730" s="2" t="s">
        <v>37</v>
      </c>
      <c r="AA730" s="6">
        <v>2.8091555320000001</v>
      </c>
      <c r="AB730" s="6">
        <v>2.1656745480000001</v>
      </c>
      <c r="AC730" s="6">
        <v>2.8405514570000001</v>
      </c>
      <c r="AD730" cm="1">
        <f t="array" ref="AD730">IF(SUMPRODUCT(--($AM$2:$AM$112=TRIM(LEFT($B730,IFERROR(FIND(" ",$B730)-1,LEN($B730))))))&gt;0,1,0)</f>
        <v>0</v>
      </c>
      <c r="AE730" cm="1">
        <f t="array" ref="AE730">IF(SUMPRODUCT(--($AO$2:$AO$145=TRIM(LEFT($B730,IFERROR(FIND(" ",$B730)-1,LEN($B730))))))&gt;0,1,0)</f>
        <v>0</v>
      </c>
      <c r="AF730" cm="1">
        <f t="array" ref="AF730">IF(SUMPRODUCT(--($AQ$2:$AQ$71=TRIM(LEFT($B730,IFERROR(FIND(" ",$B730)-1,LEN($B730))))))&gt;0,1,0)</f>
        <v>0</v>
      </c>
    </row>
    <row r="731" spans="1:32" ht="45.75" thickBot="1" x14ac:dyDescent="0.3">
      <c r="A731" s="13">
        <v>96</v>
      </c>
      <c r="B731" s="4" t="s">
        <v>1495</v>
      </c>
      <c r="C731" s="4" t="s">
        <v>1496</v>
      </c>
      <c r="D731" s="7">
        <v>43962</v>
      </c>
      <c r="E731" s="3">
        <v>1783.72</v>
      </c>
      <c r="F731" s="4" t="s">
        <v>46</v>
      </c>
      <c r="G731" s="3">
        <v>5.92</v>
      </c>
      <c r="H731" s="4" t="s">
        <v>47</v>
      </c>
      <c r="I731" s="4" t="s">
        <v>47</v>
      </c>
      <c r="J731" s="4" t="s">
        <v>48</v>
      </c>
      <c r="K731" s="3">
        <v>70</v>
      </c>
      <c r="L731" s="3">
        <v>70</v>
      </c>
      <c r="M731" s="3">
        <v>10.1</v>
      </c>
      <c r="N731" s="3">
        <v>1623.95</v>
      </c>
      <c r="O731" s="4" t="s">
        <v>49</v>
      </c>
      <c r="P731" s="4" t="s">
        <v>49</v>
      </c>
      <c r="Q731" s="4" t="s">
        <v>35</v>
      </c>
      <c r="R731" s="2"/>
      <c r="S731" s="2"/>
      <c r="T731" s="4" t="s">
        <v>43</v>
      </c>
      <c r="U731" s="2" t="s">
        <v>37</v>
      </c>
      <c r="V731" s="2" t="s">
        <v>37</v>
      </c>
      <c r="W731" s="2" t="s">
        <v>37</v>
      </c>
      <c r="X731" s="2" t="s">
        <v>37</v>
      </c>
      <c r="Y731" s="2" t="s">
        <v>37</v>
      </c>
      <c r="Z731" s="2" t="s">
        <v>37</v>
      </c>
      <c r="AA731" s="6">
        <v>3.2513266820000002</v>
      </c>
      <c r="AB731" s="2"/>
      <c r="AC731" s="6">
        <v>3.2105726539999999</v>
      </c>
      <c r="AD731" cm="1">
        <f t="array" ref="AD731">IF(SUMPRODUCT(--($AM$2:$AM$112=TRIM(LEFT($B731,IFERROR(FIND(" ",$B731)-1,LEN($B731))))))&gt;0,1,0)</f>
        <v>0</v>
      </c>
      <c r="AE731" cm="1">
        <f t="array" ref="AE731">IF(SUMPRODUCT(--($AO$2:$AO$145=TRIM(LEFT($B731,IFERROR(FIND(" ",$B731)-1,LEN($B731))))))&gt;0,1,0)</f>
        <v>0</v>
      </c>
      <c r="AF731" cm="1">
        <f t="array" ref="AF731">IF(SUMPRODUCT(--($AQ$2:$AQ$71=TRIM(LEFT($B731,IFERROR(FIND(" ",$B731)-1,LEN($B731))))))&gt;0,1,0)</f>
        <v>0</v>
      </c>
    </row>
    <row r="732" spans="1:32" ht="135.75" thickBot="1" x14ac:dyDescent="0.3">
      <c r="A732" s="13">
        <v>186</v>
      </c>
      <c r="B732" s="4" t="s">
        <v>1497</v>
      </c>
      <c r="C732" s="2"/>
      <c r="D732" s="7">
        <v>43816</v>
      </c>
      <c r="E732" s="3">
        <v>4390.63</v>
      </c>
      <c r="F732" s="4" t="s">
        <v>30</v>
      </c>
      <c r="G732" s="3">
        <v>10.28</v>
      </c>
      <c r="H732" s="4" t="s">
        <v>31</v>
      </c>
      <c r="I732" s="4" t="s">
        <v>32</v>
      </c>
      <c r="J732" s="4" t="s">
        <v>33</v>
      </c>
      <c r="K732" s="3">
        <v>303</v>
      </c>
      <c r="L732" s="3">
        <v>130</v>
      </c>
      <c r="M732" s="4"/>
      <c r="N732" s="3">
        <v>4200.5200000000004</v>
      </c>
      <c r="O732" s="4" t="s">
        <v>34</v>
      </c>
      <c r="P732" s="4" t="s">
        <v>34</v>
      </c>
      <c r="Q732" s="4" t="s">
        <v>35</v>
      </c>
      <c r="R732" s="3">
        <v>1260.3800000000001</v>
      </c>
      <c r="S732" s="3">
        <v>2.0638700000000001</v>
      </c>
      <c r="T732" s="4" t="s">
        <v>1254</v>
      </c>
      <c r="U732" s="2" t="s">
        <v>37</v>
      </c>
      <c r="V732" s="2" t="s">
        <v>37</v>
      </c>
      <c r="W732" s="2" t="s">
        <v>37</v>
      </c>
      <c r="X732" s="2" t="s">
        <v>38</v>
      </c>
      <c r="Y732" s="2" t="s">
        <v>38</v>
      </c>
      <c r="Z732" s="2" t="s">
        <v>37</v>
      </c>
      <c r="AA732" s="6">
        <v>3.6425268399999999</v>
      </c>
      <c r="AB732" s="6">
        <v>3.1005015029999998</v>
      </c>
      <c r="AC732" s="6">
        <v>3.6233030570000002</v>
      </c>
      <c r="AD732" cm="1">
        <f t="array" ref="AD732">IF(SUMPRODUCT(--($AM$2:$AM$112=TRIM(LEFT($B732,IFERROR(FIND(" ",$B732)-1,LEN($B732))))))&gt;0,1,0)</f>
        <v>0</v>
      </c>
      <c r="AE732" cm="1">
        <f t="array" ref="AE732">IF(SUMPRODUCT(--($AO$2:$AO$145=TRIM(LEFT($B732,IFERROR(FIND(" ",$B732)-1,LEN($B732))))))&gt;0,1,0)</f>
        <v>0</v>
      </c>
      <c r="AF732" cm="1">
        <f t="array" ref="AF732">IF(SUMPRODUCT(--($AQ$2:$AQ$71=TRIM(LEFT($B732,IFERROR(FIND(" ",$B732)-1,LEN($B732))))))&gt;0,1,0)</f>
        <v>0</v>
      </c>
    </row>
    <row r="733" spans="1:32" ht="195.75" thickBot="1" x14ac:dyDescent="0.3">
      <c r="A733" s="13">
        <v>139</v>
      </c>
      <c r="B733" s="4" t="s">
        <v>1498</v>
      </c>
      <c r="C733" s="2"/>
      <c r="D733" s="7">
        <v>43867</v>
      </c>
      <c r="E733" s="3">
        <v>1316.03</v>
      </c>
      <c r="F733" s="4" t="s">
        <v>30</v>
      </c>
      <c r="G733" s="4"/>
      <c r="H733" s="4" t="s">
        <v>31</v>
      </c>
      <c r="I733" s="4" t="s">
        <v>32</v>
      </c>
      <c r="J733" s="4" t="s">
        <v>33</v>
      </c>
      <c r="K733" s="3">
        <v>37.221499999999999</v>
      </c>
      <c r="L733" s="3">
        <v>111.664</v>
      </c>
      <c r="M733" s="4"/>
      <c r="N733" s="3">
        <v>1368.02</v>
      </c>
      <c r="O733" s="4" t="s">
        <v>34</v>
      </c>
      <c r="P733" s="4" t="s">
        <v>34</v>
      </c>
      <c r="Q733" s="4" t="s">
        <v>35</v>
      </c>
      <c r="R733" s="3">
        <v>336.80099999999999</v>
      </c>
      <c r="S733" s="3">
        <v>-37.253300000000003</v>
      </c>
      <c r="T733" s="4" t="s">
        <v>1384</v>
      </c>
      <c r="U733" s="2" t="s">
        <v>37</v>
      </c>
      <c r="V733" s="2" t="s">
        <v>37</v>
      </c>
      <c r="W733" s="2" t="s">
        <v>37</v>
      </c>
      <c r="X733" s="2" t="s">
        <v>38</v>
      </c>
      <c r="Y733" s="2" t="s">
        <v>38</v>
      </c>
      <c r="Z733" s="2" t="s">
        <v>38</v>
      </c>
      <c r="AA733" s="6">
        <v>3.119265789</v>
      </c>
      <c r="AB733" s="6">
        <v>2.527373372</v>
      </c>
      <c r="AC733" s="6">
        <v>3.1360924469999998</v>
      </c>
      <c r="AD733" cm="1">
        <f t="array" ref="AD733">IF(SUMPRODUCT(--($AM$2:$AM$112=TRIM(LEFT($B733,IFERROR(FIND(" ",$B733)-1,LEN($B733))))))&gt;0,1,0)</f>
        <v>0</v>
      </c>
      <c r="AE733" cm="1">
        <f t="array" ref="AE733">IF(SUMPRODUCT(--($AO$2:$AO$145=TRIM(LEFT($B733,IFERROR(FIND(" ",$B733)-1,LEN($B733))))))&gt;0,1,0)</f>
        <v>0</v>
      </c>
      <c r="AF733" cm="1">
        <f t="array" ref="AF733">IF(SUMPRODUCT(--($AQ$2:$AQ$71=TRIM(LEFT($B733,IFERROR(FIND(" ",$B733)-1,LEN($B733))))))&gt;0,1,0)</f>
        <v>0</v>
      </c>
    </row>
    <row r="734" spans="1:32" ht="45.75" thickBot="1" x14ac:dyDescent="0.3">
      <c r="A734" s="13">
        <v>150</v>
      </c>
      <c r="B734" s="4" t="s">
        <v>1499</v>
      </c>
      <c r="C734" s="4" t="s">
        <v>1500</v>
      </c>
      <c r="D734" s="7">
        <v>43851</v>
      </c>
      <c r="E734" s="3">
        <v>598.6</v>
      </c>
      <c r="F734" s="4" t="s">
        <v>107</v>
      </c>
      <c r="G734" s="4"/>
      <c r="H734" s="4" t="s">
        <v>65</v>
      </c>
      <c r="I734" s="4" t="s">
        <v>66</v>
      </c>
      <c r="J734" s="4" t="s">
        <v>66</v>
      </c>
      <c r="K734" s="3">
        <v>21.4</v>
      </c>
      <c r="L734" s="3">
        <v>21.4</v>
      </c>
      <c r="M734" s="3">
        <v>16.64</v>
      </c>
      <c r="N734" s="3">
        <v>598.6</v>
      </c>
      <c r="O734" s="4" t="s">
        <v>34</v>
      </c>
      <c r="P734" s="4" t="s">
        <v>34</v>
      </c>
      <c r="Q734" s="4" t="s">
        <v>35</v>
      </c>
      <c r="R734" s="3">
        <v>202.46700000000001</v>
      </c>
      <c r="S734" s="3">
        <v>12.008100000000001</v>
      </c>
      <c r="T734" s="4" t="s">
        <v>43</v>
      </c>
      <c r="U734" s="2" t="s">
        <v>37</v>
      </c>
      <c r="V734" s="2" t="s">
        <v>37</v>
      </c>
      <c r="W734" s="2" t="s">
        <v>37</v>
      </c>
      <c r="X734" s="2" t="s">
        <v>37</v>
      </c>
      <c r="Y734" s="2" t="s">
        <v>37</v>
      </c>
      <c r="Z734" s="2" t="s">
        <v>37</v>
      </c>
      <c r="AA734" s="6">
        <v>2.777136713</v>
      </c>
      <c r="AB734" s="6">
        <v>2.3063542479999999</v>
      </c>
      <c r="AC734" s="6">
        <v>2.777136713</v>
      </c>
      <c r="AD734" cm="1">
        <f t="array" ref="AD734">IF(SUMPRODUCT(--($AM$2:$AM$112=TRIM(LEFT($B734,IFERROR(FIND(" ",$B734)-1,LEN($B734))))))&gt;0,1,0)</f>
        <v>0</v>
      </c>
      <c r="AE734" cm="1">
        <f t="array" ref="AE734">IF(SUMPRODUCT(--($AO$2:$AO$145=TRIM(LEFT($B734,IFERROR(FIND(" ",$B734)-1,LEN($B734))))))&gt;0,1,0)</f>
        <v>0</v>
      </c>
      <c r="AF734" cm="1">
        <f t="array" ref="AF734">IF(SUMPRODUCT(--($AQ$2:$AQ$71=TRIM(LEFT($B734,IFERROR(FIND(" ",$B734)-1,LEN($B734))))))&gt;0,1,0)</f>
        <v>0</v>
      </c>
    </row>
    <row r="735" spans="1:32" ht="105.75" thickBot="1" x14ac:dyDescent="0.3">
      <c r="A735" s="13">
        <v>120</v>
      </c>
      <c r="B735" s="4" t="s">
        <v>1501</v>
      </c>
      <c r="C735" s="4" t="s">
        <v>1502</v>
      </c>
      <c r="D735" s="7">
        <v>43879</v>
      </c>
      <c r="E735" s="3">
        <v>5856.67</v>
      </c>
      <c r="F735" s="4" t="s">
        <v>30</v>
      </c>
      <c r="G735" s="3">
        <v>10.94</v>
      </c>
      <c r="H735" s="4" t="s">
        <v>65</v>
      </c>
      <c r="I735" s="4" t="s">
        <v>138</v>
      </c>
      <c r="J735" s="4" t="s">
        <v>176</v>
      </c>
      <c r="K735" s="3">
        <v>115</v>
      </c>
      <c r="L735" s="3">
        <v>115</v>
      </c>
      <c r="M735" s="3">
        <v>26.59</v>
      </c>
      <c r="N735" s="3">
        <v>4344.63</v>
      </c>
      <c r="O735" s="4" t="s">
        <v>34</v>
      </c>
      <c r="P735" s="4" t="s">
        <v>34</v>
      </c>
      <c r="Q735" s="4" t="s">
        <v>35</v>
      </c>
      <c r="R735" s="3">
        <v>2922.12</v>
      </c>
      <c r="S735" s="3">
        <v>13.145</v>
      </c>
      <c r="T735" s="4" t="s">
        <v>1346</v>
      </c>
      <c r="U735" s="2" t="s">
        <v>37</v>
      </c>
      <c r="V735" s="2" t="s">
        <v>37</v>
      </c>
      <c r="W735" s="2" t="s">
        <v>37</v>
      </c>
      <c r="X735" s="2" t="s">
        <v>37</v>
      </c>
      <c r="Y735" s="2" t="s">
        <v>38</v>
      </c>
      <c r="Z735" s="2" t="s">
        <v>37</v>
      </c>
      <c r="AA735" s="6">
        <v>3.7676507539999999</v>
      </c>
      <c r="AB735" s="6">
        <v>3.4656980470000001</v>
      </c>
      <c r="AC735" s="6">
        <v>3.6379527970000001</v>
      </c>
      <c r="AD735" cm="1">
        <f t="array" ref="AD735">IF(SUMPRODUCT(--($AM$2:$AM$112=TRIM(LEFT($B735,IFERROR(FIND(" ",$B735)-1,LEN($B735))))))&gt;0,1,0)</f>
        <v>0</v>
      </c>
      <c r="AE735" cm="1">
        <f t="array" ref="AE735">IF(SUMPRODUCT(--($AO$2:$AO$145=TRIM(LEFT($B735,IFERROR(FIND(" ",$B735)-1,LEN($B735))))))&gt;0,1,0)</f>
        <v>1</v>
      </c>
      <c r="AF735" cm="1">
        <f t="array" ref="AF735">IF(SUMPRODUCT(--($AQ$2:$AQ$71=TRIM(LEFT($B735,IFERROR(FIND(" ",$B735)-1,LEN($B735))))))&gt;0,1,0)</f>
        <v>0</v>
      </c>
    </row>
    <row r="736" spans="1:32" ht="135.75" thickBot="1" x14ac:dyDescent="0.3">
      <c r="A736" s="13">
        <v>100</v>
      </c>
      <c r="B736" s="4" t="s">
        <v>1503</v>
      </c>
      <c r="C736" s="4" t="s">
        <v>1504</v>
      </c>
      <c r="D736" s="7">
        <v>43907</v>
      </c>
      <c r="E736" s="3">
        <v>1837.76</v>
      </c>
      <c r="F736" s="4" t="s">
        <v>46</v>
      </c>
      <c r="G736" s="3">
        <v>7.94</v>
      </c>
      <c r="H736" s="4" t="s">
        <v>279</v>
      </c>
      <c r="I736" s="4" t="s">
        <v>279</v>
      </c>
      <c r="J736" s="4" t="s">
        <v>280</v>
      </c>
      <c r="K736" s="4"/>
      <c r="L736" s="4"/>
      <c r="M736" s="3">
        <v>14.06</v>
      </c>
      <c r="N736" s="3">
        <v>1837.76</v>
      </c>
      <c r="O736" s="4" t="s">
        <v>34</v>
      </c>
      <c r="P736" s="4" t="s">
        <v>34</v>
      </c>
      <c r="Q736" s="4" t="s">
        <v>399</v>
      </c>
      <c r="R736" s="3">
        <v>941.24</v>
      </c>
      <c r="S736" s="3">
        <v>11.9034</v>
      </c>
      <c r="T736" s="4" t="s">
        <v>1141</v>
      </c>
      <c r="U736" s="2" t="s">
        <v>38</v>
      </c>
      <c r="V736" s="2" t="s">
        <v>37</v>
      </c>
      <c r="W736" s="2" t="s">
        <v>38</v>
      </c>
      <c r="X736" s="2" t="s">
        <v>37</v>
      </c>
      <c r="Y736" s="2" t="s">
        <v>37</v>
      </c>
      <c r="Z736" s="2" t="s">
        <v>37</v>
      </c>
      <c r="AA736" s="6">
        <v>3.2642887950000001</v>
      </c>
      <c r="AB736" s="6">
        <v>2.973700375</v>
      </c>
      <c r="AC736" s="6">
        <v>3.2642887950000001</v>
      </c>
      <c r="AD736" cm="1">
        <f t="array" ref="AD736">IF(SUMPRODUCT(--($AM$2:$AM$112=TRIM(LEFT($B736,IFERROR(FIND(" ",$B736)-1,LEN($B736))))))&gt;0,1,0)</f>
        <v>0</v>
      </c>
      <c r="AE736" cm="1">
        <f t="array" ref="AE736">IF(SUMPRODUCT(--($AO$2:$AO$145=TRIM(LEFT($B736,IFERROR(FIND(" ",$B736)-1,LEN($B736))))))&gt;0,1,0)</f>
        <v>0</v>
      </c>
      <c r="AF736" cm="1">
        <f t="array" ref="AF736">IF(SUMPRODUCT(--($AQ$2:$AQ$71=TRIM(LEFT($B736,IFERROR(FIND(" ",$B736)-1,LEN($B736))))))&gt;0,1,0)</f>
        <v>0</v>
      </c>
    </row>
    <row r="737" spans="1:32" ht="105.75" thickBot="1" x14ac:dyDescent="0.3">
      <c r="A737" s="13">
        <v>60</v>
      </c>
      <c r="B737" s="4" t="s">
        <v>1505</v>
      </c>
      <c r="C737" s="2"/>
      <c r="D737" s="7">
        <v>43962</v>
      </c>
      <c r="E737" s="3">
        <v>1000</v>
      </c>
      <c r="F737" s="4" t="s">
        <v>30</v>
      </c>
      <c r="G737" s="4"/>
      <c r="H737" s="4" t="s">
        <v>127</v>
      </c>
      <c r="I737" s="4" t="s">
        <v>128</v>
      </c>
      <c r="J737" s="4" t="s">
        <v>1506</v>
      </c>
      <c r="K737" s="4"/>
      <c r="L737" s="4"/>
      <c r="M737" s="4"/>
      <c r="N737" s="3">
        <v>1000</v>
      </c>
      <c r="O737" s="4" t="s">
        <v>34</v>
      </c>
      <c r="P737" s="4" t="s">
        <v>34</v>
      </c>
      <c r="Q737" s="4" t="s">
        <v>35</v>
      </c>
      <c r="R737" s="3">
        <v>5892.9</v>
      </c>
      <c r="S737" s="3">
        <v>-0.40243200000000001</v>
      </c>
      <c r="T737" s="4" t="s">
        <v>1507</v>
      </c>
      <c r="U737" s="2" t="s">
        <v>37</v>
      </c>
      <c r="V737" s="2" t="s">
        <v>37</v>
      </c>
      <c r="W737" s="2" t="s">
        <v>37</v>
      </c>
      <c r="X737" s="2" t="s">
        <v>37</v>
      </c>
      <c r="Y737" s="2" t="s">
        <v>37</v>
      </c>
      <c r="Z737" s="2" t="s">
        <v>37</v>
      </c>
      <c r="AA737" s="6">
        <v>3</v>
      </c>
      <c r="AB737" s="6">
        <v>3.7703290709999999</v>
      </c>
      <c r="AC737" s="6">
        <v>3</v>
      </c>
      <c r="AD737" cm="1">
        <f t="array" ref="AD737">IF(SUMPRODUCT(--($AM$2:$AM$112=TRIM(LEFT($B737,IFERROR(FIND(" ",$B737)-1,LEN($B737))))))&gt;0,1,0)</f>
        <v>0</v>
      </c>
      <c r="AE737" cm="1">
        <f t="array" ref="AE737">IF(SUMPRODUCT(--($AO$2:$AO$145=TRIM(LEFT($B737,IFERROR(FIND(" ",$B737)-1,LEN($B737))))))&gt;0,1,0)</f>
        <v>0</v>
      </c>
      <c r="AF737" cm="1">
        <f t="array" ref="AF737">IF(SUMPRODUCT(--($AQ$2:$AQ$71=TRIM(LEFT($B737,IFERROR(FIND(" ",$B737)-1,LEN($B737))))))&gt;0,1,0)</f>
        <v>0</v>
      </c>
    </row>
    <row r="738" spans="1:32" ht="135.75" thickBot="1" x14ac:dyDescent="0.3">
      <c r="A738" s="13">
        <v>304</v>
      </c>
      <c r="B738" s="4" t="s">
        <v>1508</v>
      </c>
      <c r="C738" s="4" t="s">
        <v>1509</v>
      </c>
      <c r="D738" s="7">
        <v>43619</v>
      </c>
      <c r="E738" s="3">
        <v>4264.93</v>
      </c>
      <c r="F738" s="4" t="s">
        <v>30</v>
      </c>
      <c r="G738" s="3">
        <v>13.9</v>
      </c>
      <c r="H738" s="4" t="s">
        <v>279</v>
      </c>
      <c r="I738" s="4" t="s">
        <v>279</v>
      </c>
      <c r="J738" s="4" t="s">
        <v>280</v>
      </c>
      <c r="K738" s="3">
        <v>85</v>
      </c>
      <c r="L738" s="3">
        <v>170</v>
      </c>
      <c r="M738" s="4"/>
      <c r="N738" s="3">
        <v>2780.38</v>
      </c>
      <c r="O738" s="4" t="s">
        <v>34</v>
      </c>
      <c r="P738" s="4" t="s">
        <v>34</v>
      </c>
      <c r="Q738" s="4" t="s">
        <v>35</v>
      </c>
      <c r="R738" s="3">
        <v>861.99400000000003</v>
      </c>
      <c r="S738" s="3">
        <v>20.7378</v>
      </c>
      <c r="T738" s="4" t="s">
        <v>312</v>
      </c>
      <c r="U738" s="2" t="s">
        <v>37</v>
      </c>
      <c r="V738" s="2" t="s">
        <v>37</v>
      </c>
      <c r="W738" s="2" t="s">
        <v>37</v>
      </c>
      <c r="X738" s="2" t="s">
        <v>38</v>
      </c>
      <c r="Y738" s="2" t="s">
        <v>38</v>
      </c>
      <c r="Z738" s="2" t="s">
        <v>37</v>
      </c>
      <c r="AA738" s="6">
        <v>3.629911908</v>
      </c>
      <c r="AB738" s="6">
        <v>2.935504243</v>
      </c>
      <c r="AC738" s="6">
        <v>3.4441041559999999</v>
      </c>
      <c r="AD738" cm="1">
        <f t="array" ref="AD738">IF(SUMPRODUCT(--($AM$2:$AM$112=TRIM(LEFT($B738,IFERROR(FIND(" ",$B738)-1,LEN($B738))))))&gt;0,1,0)</f>
        <v>0</v>
      </c>
      <c r="AE738" cm="1">
        <f t="array" ref="AE738">IF(SUMPRODUCT(--($AO$2:$AO$145=TRIM(LEFT($B738,IFERROR(FIND(" ",$B738)-1,LEN($B738))))))&gt;0,1,0)</f>
        <v>0</v>
      </c>
      <c r="AF738" cm="1">
        <f t="array" ref="AF738">IF(SUMPRODUCT(--($AQ$2:$AQ$71=TRIM(LEFT($B738,IFERROR(FIND(" ",$B738)-1,LEN($B738))))))&gt;0,1,0)</f>
        <v>0</v>
      </c>
    </row>
    <row r="739" spans="1:32" ht="75.75" thickBot="1" x14ac:dyDescent="0.3">
      <c r="A739" s="13">
        <v>282</v>
      </c>
      <c r="B739" s="4" t="s">
        <v>1510</v>
      </c>
      <c r="C739" s="4" t="s">
        <v>1511</v>
      </c>
      <c r="D739" s="7">
        <v>43640</v>
      </c>
      <c r="E739" s="3">
        <v>28500.36</v>
      </c>
      <c r="F739" s="4" t="s">
        <v>69</v>
      </c>
      <c r="G739" s="3">
        <v>15.13</v>
      </c>
      <c r="H739" s="4" t="s">
        <v>75</v>
      </c>
      <c r="I739" s="4" t="s">
        <v>111</v>
      </c>
      <c r="J739" s="4" t="s">
        <v>133</v>
      </c>
      <c r="K739" s="3">
        <v>154.9</v>
      </c>
      <c r="L739" s="3">
        <v>418.4</v>
      </c>
      <c r="M739" s="4"/>
      <c r="N739" s="3">
        <v>10516.36</v>
      </c>
      <c r="O739" s="4" t="s">
        <v>34</v>
      </c>
      <c r="P739" s="4" t="s">
        <v>34</v>
      </c>
      <c r="Q739" s="4" t="s">
        <v>35</v>
      </c>
      <c r="R739" s="3">
        <v>8742</v>
      </c>
      <c r="S739" s="3">
        <v>3.6901199999999998</v>
      </c>
      <c r="T739" s="4" t="s">
        <v>43</v>
      </c>
      <c r="U739" s="2" t="s">
        <v>37</v>
      </c>
      <c r="V739" s="2" t="s">
        <v>37</v>
      </c>
      <c r="W739" s="2" t="s">
        <v>37</v>
      </c>
      <c r="X739" s="2" t="s">
        <v>37</v>
      </c>
      <c r="Y739" s="2" t="s">
        <v>37</v>
      </c>
      <c r="Z739" s="2" t="s">
        <v>37</v>
      </c>
      <c r="AA739" s="6">
        <v>4.4548503459999997</v>
      </c>
      <c r="AB739" s="6">
        <v>3.941610802</v>
      </c>
      <c r="AC739" s="6">
        <v>4.0218654450000004</v>
      </c>
      <c r="AD739" cm="1">
        <f t="array" ref="AD739">IF(SUMPRODUCT(--($AM$2:$AM$112=TRIM(LEFT($B739,IFERROR(FIND(" ",$B739)-1,LEN($B739))))))&gt;0,1,0)</f>
        <v>0</v>
      </c>
      <c r="AE739" cm="1">
        <f t="array" ref="AE739">IF(SUMPRODUCT(--($AO$2:$AO$145=TRIM(LEFT($B739,IFERROR(FIND(" ",$B739)-1,LEN($B739))))))&gt;0,1,0)</f>
        <v>0</v>
      </c>
      <c r="AF739" cm="1">
        <f t="array" ref="AF739">IF(SUMPRODUCT(--($AQ$2:$AQ$71=TRIM(LEFT($B739,IFERROR(FIND(" ",$B739)-1,LEN($B739))))))&gt;0,1,0)</f>
        <v>0</v>
      </c>
    </row>
    <row r="740" spans="1:32" ht="75.75" thickBot="1" x14ac:dyDescent="0.3">
      <c r="A740" s="13">
        <v>77</v>
      </c>
      <c r="B740" s="4" t="s">
        <v>1512</v>
      </c>
      <c r="C740" s="4" t="s">
        <v>1416</v>
      </c>
      <c r="D740" s="7">
        <v>43913</v>
      </c>
      <c r="E740" s="3">
        <v>760.54</v>
      </c>
      <c r="F740" s="4" t="s">
        <v>46</v>
      </c>
      <c r="G740" s="3">
        <v>3</v>
      </c>
      <c r="H740" s="4" t="s">
        <v>47</v>
      </c>
      <c r="I740" s="4" t="s">
        <v>47</v>
      </c>
      <c r="J740" s="4" t="s">
        <v>48</v>
      </c>
      <c r="K740" s="3">
        <v>20</v>
      </c>
      <c r="L740" s="3">
        <v>20</v>
      </c>
      <c r="M740" s="3">
        <v>25.13</v>
      </c>
      <c r="N740" s="3">
        <v>771.12</v>
      </c>
      <c r="O740" s="4" t="s">
        <v>49</v>
      </c>
      <c r="P740" s="4" t="s">
        <v>1417</v>
      </c>
      <c r="Q740" s="4" t="s">
        <v>35</v>
      </c>
      <c r="R740" s="3">
        <v>475.75</v>
      </c>
      <c r="S740" s="3">
        <v>23.1371</v>
      </c>
      <c r="T740" s="4" t="s">
        <v>97</v>
      </c>
      <c r="U740" s="2" t="s">
        <v>37</v>
      </c>
      <c r="V740" s="2" t="s">
        <v>37</v>
      </c>
      <c r="W740" s="2" t="s">
        <v>38</v>
      </c>
      <c r="X740" s="2" t="s">
        <v>37</v>
      </c>
      <c r="Y740" s="2" t="s">
        <v>37</v>
      </c>
      <c r="Z740" s="2" t="s">
        <v>37</v>
      </c>
      <c r="AA740" s="6">
        <v>2.88112206</v>
      </c>
      <c r="AB740" s="6">
        <v>2.6773787969999998</v>
      </c>
      <c r="AC740" s="6">
        <v>2.8871219670000001</v>
      </c>
      <c r="AD740" cm="1">
        <f t="array" ref="AD740">IF(SUMPRODUCT(--($AM$2:$AM$112=TRIM(LEFT($B740,IFERROR(FIND(" ",$B740)-1,LEN($B740))))))&gt;0,1,0)</f>
        <v>0</v>
      </c>
      <c r="AE740" cm="1">
        <f t="array" ref="AE740">IF(SUMPRODUCT(--($AO$2:$AO$145=TRIM(LEFT($B740,IFERROR(FIND(" ",$B740)-1,LEN($B740))))))&gt;0,1,0)</f>
        <v>0</v>
      </c>
      <c r="AF740" cm="1">
        <f t="array" ref="AF740">IF(SUMPRODUCT(--($AQ$2:$AQ$71=TRIM(LEFT($B740,IFERROR(FIND(" ",$B740)-1,LEN($B740))))))&gt;0,1,0)</f>
        <v>0</v>
      </c>
    </row>
    <row r="741" spans="1:32" ht="75.75" thickBot="1" x14ac:dyDescent="0.3">
      <c r="A741" s="13">
        <v>45</v>
      </c>
      <c r="B741" s="4" t="s">
        <v>1513</v>
      </c>
      <c r="C741" s="4" t="s">
        <v>1315</v>
      </c>
      <c r="D741" s="7">
        <v>43956</v>
      </c>
      <c r="E741" s="3">
        <v>1345.17</v>
      </c>
      <c r="F741" s="4" t="s">
        <v>30</v>
      </c>
      <c r="G741" s="4"/>
      <c r="H741" s="4" t="s">
        <v>41</v>
      </c>
      <c r="I741" s="4" t="s">
        <v>41</v>
      </c>
      <c r="J741" s="4" t="s">
        <v>42</v>
      </c>
      <c r="K741" s="4"/>
      <c r="L741" s="3">
        <v>51.5</v>
      </c>
      <c r="M741" s="4"/>
      <c r="N741" s="3">
        <v>1412.71</v>
      </c>
      <c r="O741" s="4" t="s">
        <v>34</v>
      </c>
      <c r="P741" s="4" t="s">
        <v>34</v>
      </c>
      <c r="Q741" s="4" t="s">
        <v>35</v>
      </c>
      <c r="R741" s="3">
        <v>116.64</v>
      </c>
      <c r="S741" s="3">
        <v>-211.917</v>
      </c>
      <c r="T741" s="4" t="s">
        <v>88</v>
      </c>
      <c r="U741" s="2" t="s">
        <v>37</v>
      </c>
      <c r="V741" s="2" t="s">
        <v>37</v>
      </c>
      <c r="W741" s="2" t="s">
        <v>37</v>
      </c>
      <c r="X741" s="2" t="s">
        <v>37</v>
      </c>
      <c r="Y741" s="2" t="s">
        <v>37</v>
      </c>
      <c r="Z741" s="2" t="s">
        <v>38</v>
      </c>
      <c r="AA741" s="6">
        <v>3.128777173</v>
      </c>
      <c r="AB741" s="6">
        <v>2.0668475110000002</v>
      </c>
      <c r="AC741" s="6">
        <v>3.150053019</v>
      </c>
      <c r="AD741" cm="1">
        <f t="array" ref="AD741">IF(SUMPRODUCT(--($AM$2:$AM$112=TRIM(LEFT($B741,IFERROR(FIND(" ",$B741)-1,LEN($B741))))))&gt;0,1,0)</f>
        <v>0</v>
      </c>
      <c r="AE741" cm="1">
        <f t="array" ref="AE741">IF(SUMPRODUCT(--($AO$2:$AO$145=TRIM(LEFT($B741,IFERROR(FIND(" ",$B741)-1,LEN($B741))))))&gt;0,1,0)</f>
        <v>0</v>
      </c>
      <c r="AF741" cm="1">
        <f t="array" ref="AF741">IF(SUMPRODUCT(--($AQ$2:$AQ$71=TRIM(LEFT($B741,IFERROR(FIND(" ",$B741)-1,LEN($B741))))))&gt;0,1,0)</f>
        <v>0</v>
      </c>
    </row>
    <row r="742" spans="1:32" ht="45.75" thickBot="1" x14ac:dyDescent="0.3">
      <c r="A742" s="13">
        <v>174</v>
      </c>
      <c r="B742" s="4" t="s">
        <v>1514</v>
      </c>
      <c r="C742" s="4" t="s">
        <v>1515</v>
      </c>
      <c r="D742" s="7">
        <v>43773</v>
      </c>
      <c r="E742" s="3">
        <v>3705.07</v>
      </c>
      <c r="F742" s="4" t="s">
        <v>46</v>
      </c>
      <c r="G742" s="4"/>
      <c r="H742" s="4" t="s">
        <v>65</v>
      </c>
      <c r="I742" s="4" t="s">
        <v>66</v>
      </c>
      <c r="J742" s="4" t="s">
        <v>66</v>
      </c>
      <c r="K742" s="3">
        <v>156</v>
      </c>
      <c r="L742" s="3">
        <v>156</v>
      </c>
      <c r="M742" s="3">
        <v>-2.78</v>
      </c>
      <c r="N742" s="3">
        <v>3705.07</v>
      </c>
      <c r="O742" s="4" t="s">
        <v>34</v>
      </c>
      <c r="P742" s="4" t="s">
        <v>34</v>
      </c>
      <c r="Q742" s="4" t="s">
        <v>35</v>
      </c>
      <c r="R742" s="3">
        <v>1544.37</v>
      </c>
      <c r="S742" s="3">
        <v>34.351300000000002</v>
      </c>
      <c r="T742" s="4" t="s">
        <v>43</v>
      </c>
      <c r="U742" s="2" t="s">
        <v>37</v>
      </c>
      <c r="V742" s="2" t="s">
        <v>37</v>
      </c>
      <c r="W742" s="2" t="s">
        <v>37</v>
      </c>
      <c r="X742" s="2" t="s">
        <v>37</v>
      </c>
      <c r="Y742" s="2" t="s">
        <v>37</v>
      </c>
      <c r="Z742" s="2" t="s">
        <v>37</v>
      </c>
      <c r="AA742" s="6">
        <v>3.5687964179999998</v>
      </c>
      <c r="AB742" s="6">
        <v>3.1887513570000001</v>
      </c>
      <c r="AC742" s="6">
        <v>3.5687964179999998</v>
      </c>
      <c r="AD742" cm="1">
        <f t="array" ref="AD742">IF(SUMPRODUCT(--($AM$2:$AM$112=TRIM(LEFT($B742,IFERROR(FIND(" ",$B742)-1,LEN($B742))))))&gt;0,1,0)</f>
        <v>0</v>
      </c>
      <c r="AE742" cm="1">
        <f t="array" ref="AE742">IF(SUMPRODUCT(--($AO$2:$AO$145=TRIM(LEFT($B742,IFERROR(FIND(" ",$B742)-1,LEN($B742))))))&gt;0,1,0)</f>
        <v>0</v>
      </c>
      <c r="AF742" cm="1">
        <f t="array" ref="AF742">IF(SUMPRODUCT(--($AQ$2:$AQ$71=TRIM(LEFT($B742,IFERROR(FIND(" ",$B742)-1,LEN($B742))))))&gt;0,1,0)</f>
        <v>0</v>
      </c>
    </row>
    <row r="743" spans="1:32" ht="45.75" thickBot="1" x14ac:dyDescent="0.3">
      <c r="A743" s="13">
        <v>89</v>
      </c>
      <c r="B743" s="4" t="s">
        <v>1516</v>
      </c>
      <c r="C743" s="4" t="s">
        <v>1517</v>
      </c>
      <c r="D743" s="7">
        <v>43892</v>
      </c>
      <c r="E743" s="3">
        <v>3008.21</v>
      </c>
      <c r="F743" s="4" t="s">
        <v>46</v>
      </c>
      <c r="G743" s="3">
        <v>12.21</v>
      </c>
      <c r="H743" s="4" t="s">
        <v>70</v>
      </c>
      <c r="I743" s="4" t="s">
        <v>94</v>
      </c>
      <c r="J743" s="4" t="s">
        <v>108</v>
      </c>
      <c r="K743" s="3">
        <v>66.599999999999994</v>
      </c>
      <c r="L743" s="3">
        <v>57.085999999999999</v>
      </c>
      <c r="M743" s="3">
        <v>12.42</v>
      </c>
      <c r="N743" s="3">
        <v>2024.06</v>
      </c>
      <c r="O743" s="4" t="s">
        <v>34</v>
      </c>
      <c r="P743" s="4" t="s">
        <v>34</v>
      </c>
      <c r="Q743" s="4" t="s">
        <v>35</v>
      </c>
      <c r="R743" s="3">
        <v>612.625</v>
      </c>
      <c r="S743" s="3">
        <v>23.290700000000001</v>
      </c>
      <c r="T743" s="4" t="s">
        <v>43</v>
      </c>
      <c r="U743" s="2" t="s">
        <v>37</v>
      </c>
      <c r="V743" s="2" t="s">
        <v>37</v>
      </c>
      <c r="W743" s="2" t="s">
        <v>37</v>
      </c>
      <c r="X743" s="2" t="s">
        <v>37</v>
      </c>
      <c r="Y743" s="2" t="s">
        <v>37</v>
      </c>
      <c r="Z743" s="2" t="s">
        <v>37</v>
      </c>
      <c r="AA743" s="6">
        <v>3.4783081509999998</v>
      </c>
      <c r="AB743" s="6">
        <v>2.7871947160000001</v>
      </c>
      <c r="AC743" s="6">
        <v>3.3062233820000002</v>
      </c>
      <c r="AD743" cm="1">
        <f t="array" ref="AD743">IF(SUMPRODUCT(--($AM$2:$AM$112=TRIM(LEFT($B743,IFERROR(FIND(" ",$B743)-1,LEN($B743))))))&gt;0,1,0)</f>
        <v>0</v>
      </c>
      <c r="AE743" cm="1">
        <f t="array" ref="AE743">IF(SUMPRODUCT(--($AO$2:$AO$145=TRIM(LEFT($B743,IFERROR(FIND(" ",$B743)-1,LEN($B743))))))&gt;0,1,0)</f>
        <v>0</v>
      </c>
      <c r="AF743" cm="1">
        <f t="array" ref="AF743">IF(SUMPRODUCT(--($AQ$2:$AQ$71=TRIM(LEFT($B743,IFERROR(FIND(" ",$B743)-1,LEN($B743))))))&gt;0,1,0)</f>
        <v>0</v>
      </c>
    </row>
    <row r="744" spans="1:32" ht="120.75" thickBot="1" x14ac:dyDescent="0.3">
      <c r="A744" s="13">
        <v>140</v>
      </c>
      <c r="B744" s="4" t="s">
        <v>1518</v>
      </c>
      <c r="C744" s="4" t="s">
        <v>1519</v>
      </c>
      <c r="D744" s="7">
        <v>43818</v>
      </c>
      <c r="E744" s="3">
        <v>6075.88</v>
      </c>
      <c r="F744" s="4" t="s">
        <v>107</v>
      </c>
      <c r="G744" s="3">
        <v>12.07</v>
      </c>
      <c r="H744" s="4" t="s">
        <v>184</v>
      </c>
      <c r="I744" s="4" t="s">
        <v>185</v>
      </c>
      <c r="J744" s="4" t="s">
        <v>762</v>
      </c>
      <c r="K744" s="4"/>
      <c r="L744" s="4"/>
      <c r="M744" s="4"/>
      <c r="N744" s="3">
        <v>6075.88</v>
      </c>
      <c r="O744" s="4" t="s">
        <v>34</v>
      </c>
      <c r="P744" s="4" t="s">
        <v>34</v>
      </c>
      <c r="Q744" s="4" t="s">
        <v>35</v>
      </c>
      <c r="R744" s="3">
        <v>3364.5</v>
      </c>
      <c r="S744" s="3">
        <v>31.072399999999998</v>
      </c>
      <c r="T744" s="4" t="s">
        <v>321</v>
      </c>
      <c r="U744" s="2" t="s">
        <v>38</v>
      </c>
      <c r="V744" s="2" t="s">
        <v>37</v>
      </c>
      <c r="W744" s="2" t="s">
        <v>37</v>
      </c>
      <c r="X744" s="2" t="s">
        <v>37</v>
      </c>
      <c r="Y744" s="2" t="s">
        <v>37</v>
      </c>
      <c r="Z744" s="2" t="s">
        <v>37</v>
      </c>
      <c r="AA744" s="6">
        <v>3.7836091879999998</v>
      </c>
      <c r="AB744" s="6">
        <v>3.5269205330000002</v>
      </c>
      <c r="AC744" s="6">
        <v>3.7836091879999998</v>
      </c>
      <c r="AD744" cm="1">
        <f t="array" ref="AD744">IF(SUMPRODUCT(--($AM$2:$AM$112=TRIM(LEFT($B744,IFERROR(FIND(" ",$B744)-1,LEN($B744))))))&gt;0,1,0)</f>
        <v>0</v>
      </c>
      <c r="AE744" cm="1">
        <f t="array" ref="AE744">IF(SUMPRODUCT(--($AO$2:$AO$145=TRIM(LEFT($B744,IFERROR(FIND(" ",$B744)-1,LEN($B744))))))&gt;0,1,0)</f>
        <v>0</v>
      </c>
      <c r="AF744" cm="1">
        <f t="array" ref="AF744">IF(SUMPRODUCT(--($AQ$2:$AQ$71=TRIM(LEFT($B744,IFERROR(FIND(" ",$B744)-1,LEN($B744))))))&gt;0,1,0)</f>
        <v>0</v>
      </c>
    </row>
    <row r="745" spans="1:32" ht="135.75" thickBot="1" x14ac:dyDescent="0.3">
      <c r="A745" s="13">
        <v>166</v>
      </c>
      <c r="B745" s="4" t="s">
        <v>1520</v>
      </c>
      <c r="C745" s="4" t="s">
        <v>384</v>
      </c>
      <c r="D745" s="7">
        <v>43782</v>
      </c>
      <c r="E745" s="3">
        <v>6050.54</v>
      </c>
      <c r="F745" s="4" t="s">
        <v>30</v>
      </c>
      <c r="G745" s="3">
        <v>8.1</v>
      </c>
      <c r="H745" s="4" t="s">
        <v>31</v>
      </c>
      <c r="I745" s="4" t="s">
        <v>432</v>
      </c>
      <c r="J745" s="4" t="s">
        <v>433</v>
      </c>
      <c r="K745" s="3">
        <v>315.89999999999998</v>
      </c>
      <c r="L745" s="3">
        <v>184.3</v>
      </c>
      <c r="M745" s="4"/>
      <c r="N745" s="3">
        <v>5162.26</v>
      </c>
      <c r="O745" s="4" t="s">
        <v>34</v>
      </c>
      <c r="P745" s="4" t="s">
        <v>34</v>
      </c>
      <c r="Q745" s="4" t="s">
        <v>35</v>
      </c>
      <c r="R745" s="3">
        <v>36998.400000000001</v>
      </c>
      <c r="S745" s="3">
        <v>1.55253</v>
      </c>
      <c r="T745" s="4" t="s">
        <v>312</v>
      </c>
      <c r="U745" s="2" t="s">
        <v>37</v>
      </c>
      <c r="V745" s="2" t="s">
        <v>37</v>
      </c>
      <c r="W745" s="2" t="s">
        <v>37</v>
      </c>
      <c r="X745" s="2" t="s">
        <v>38</v>
      </c>
      <c r="Y745" s="2" t="s">
        <v>38</v>
      </c>
      <c r="Z745" s="2" t="s">
        <v>37</v>
      </c>
      <c r="AA745" s="6">
        <v>3.7817941359999998</v>
      </c>
      <c r="AB745" s="6">
        <v>4.5681829430000001</v>
      </c>
      <c r="AC745" s="6">
        <v>3.7128398740000002</v>
      </c>
      <c r="AD745" cm="1">
        <f t="array" ref="AD745">IF(SUMPRODUCT(--($AM$2:$AM$112=TRIM(LEFT($B745,IFERROR(FIND(" ",$B745)-1,LEN($B745))))))&gt;0,1,0)</f>
        <v>0</v>
      </c>
      <c r="AE745" cm="1">
        <f t="array" ref="AE745">IF(SUMPRODUCT(--($AO$2:$AO$145=TRIM(LEFT($B745,IFERROR(FIND(" ",$B745)-1,LEN($B745))))))&gt;0,1,0)</f>
        <v>1</v>
      </c>
      <c r="AF745" cm="1">
        <f t="array" ref="AF745">IF(SUMPRODUCT(--($AQ$2:$AQ$71=TRIM(LEFT($B745,IFERROR(FIND(" ",$B745)-1,LEN($B745))))))&gt;0,1,0)</f>
        <v>0</v>
      </c>
    </row>
    <row r="746" spans="1:32" ht="90.75" thickBot="1" x14ac:dyDescent="0.3">
      <c r="A746" s="13">
        <v>116</v>
      </c>
      <c r="B746" s="4" t="s">
        <v>1521</v>
      </c>
      <c r="C746" s="4" t="s">
        <v>1522</v>
      </c>
      <c r="D746" s="7">
        <v>43843</v>
      </c>
      <c r="E746" s="3">
        <v>4178.8900000000003</v>
      </c>
      <c r="F746" s="4" t="s">
        <v>107</v>
      </c>
      <c r="G746" s="3">
        <v>8.11</v>
      </c>
      <c r="H746" s="4" t="s">
        <v>70</v>
      </c>
      <c r="I746" s="4" t="s">
        <v>94</v>
      </c>
      <c r="J746" s="4" t="s">
        <v>328</v>
      </c>
      <c r="K746" s="3">
        <v>190</v>
      </c>
      <c r="L746" s="3">
        <v>100</v>
      </c>
      <c r="M746" s="4"/>
      <c r="N746" s="3">
        <v>2931.79</v>
      </c>
      <c r="O746" s="4" t="s">
        <v>34</v>
      </c>
      <c r="P746" s="4" t="s">
        <v>34</v>
      </c>
      <c r="Q746" s="4" t="s">
        <v>399</v>
      </c>
      <c r="R746" s="3">
        <v>8845.6</v>
      </c>
      <c r="S746" s="3">
        <v>4.1356400000000004</v>
      </c>
      <c r="T746" s="4" t="s">
        <v>215</v>
      </c>
      <c r="U746" s="2" t="s">
        <v>37</v>
      </c>
      <c r="V746" s="2" t="s">
        <v>38</v>
      </c>
      <c r="W746" s="2" t="s">
        <v>37</v>
      </c>
      <c r="X746" s="2" t="s">
        <v>37</v>
      </c>
      <c r="Y746" s="2" t="s">
        <v>37</v>
      </c>
      <c r="Z746" s="2" t="s">
        <v>37</v>
      </c>
      <c r="AA746" s="6">
        <v>3.6210609389999999</v>
      </c>
      <c r="AB746" s="6">
        <v>3.9467272969999998</v>
      </c>
      <c r="AC746" s="6">
        <v>3.4671328589999999</v>
      </c>
      <c r="AD746" cm="1">
        <f t="array" ref="AD746">IF(SUMPRODUCT(--($AM$2:$AM$112=TRIM(LEFT($B746,IFERROR(FIND(" ",$B746)-1,LEN($B746))))))&gt;0,1,0)</f>
        <v>0</v>
      </c>
      <c r="AE746" cm="1">
        <f t="array" ref="AE746">IF(SUMPRODUCT(--($AO$2:$AO$145=TRIM(LEFT($B746,IFERROR(FIND(" ",$B746)-1,LEN($B746))))))&gt;0,1,0)</f>
        <v>1</v>
      </c>
      <c r="AF746" cm="1">
        <f t="array" ref="AF746">IF(SUMPRODUCT(--($AQ$2:$AQ$71=TRIM(LEFT($B746,IFERROR(FIND(" ",$B746)-1,LEN($B746))))))&gt;0,1,0)</f>
        <v>0</v>
      </c>
    </row>
    <row r="747" spans="1:32" ht="120.75" thickBot="1" x14ac:dyDescent="0.3">
      <c r="A747" s="13">
        <v>80</v>
      </c>
      <c r="B747" s="4" t="s">
        <v>1523</v>
      </c>
      <c r="C747" s="4" t="s">
        <v>674</v>
      </c>
      <c r="D747" s="7">
        <v>43888</v>
      </c>
      <c r="E747" s="3">
        <v>1845.02</v>
      </c>
      <c r="F747" s="4" t="s">
        <v>46</v>
      </c>
      <c r="G747" s="3">
        <v>9.25</v>
      </c>
      <c r="H747" s="4" t="s">
        <v>118</v>
      </c>
      <c r="I747" s="4" t="s">
        <v>119</v>
      </c>
      <c r="J747" s="4" t="s">
        <v>120</v>
      </c>
      <c r="K747" s="4"/>
      <c r="L747" s="3">
        <v>36.5</v>
      </c>
      <c r="M747" s="3">
        <v>1.36</v>
      </c>
      <c r="N747" s="3">
        <v>1845.02</v>
      </c>
      <c r="O747" s="4" t="s">
        <v>34</v>
      </c>
      <c r="P747" s="4" t="s">
        <v>34</v>
      </c>
      <c r="Q747" s="4" t="s">
        <v>35</v>
      </c>
      <c r="R747" s="3">
        <v>1630.24</v>
      </c>
      <c r="S747" s="3">
        <v>11.0763</v>
      </c>
      <c r="T747" s="4" t="s">
        <v>321</v>
      </c>
      <c r="U747" s="2" t="s">
        <v>38</v>
      </c>
      <c r="V747" s="2" t="s">
        <v>37</v>
      </c>
      <c r="W747" s="2" t="s">
        <v>37</v>
      </c>
      <c r="X747" s="2" t="s">
        <v>37</v>
      </c>
      <c r="Y747" s="2" t="s">
        <v>37</v>
      </c>
      <c r="Z747" s="2" t="s">
        <v>37</v>
      </c>
      <c r="AA747" s="6">
        <v>3.2660010779999999</v>
      </c>
      <c r="AB747" s="6">
        <v>3.212251545</v>
      </c>
      <c r="AC747" s="6">
        <v>3.2660010779999999</v>
      </c>
      <c r="AD747" cm="1">
        <f t="array" ref="AD747">IF(SUMPRODUCT(--($AM$2:$AM$112=TRIM(LEFT($B747,IFERROR(FIND(" ",$B747)-1,LEN($B747))))))&gt;0,1,0)</f>
        <v>0</v>
      </c>
      <c r="AE747" cm="1">
        <f t="array" ref="AE747">IF(SUMPRODUCT(--($AO$2:$AO$145=TRIM(LEFT($B747,IFERROR(FIND(" ",$B747)-1,LEN($B747))))))&gt;0,1,0)</f>
        <v>0</v>
      </c>
      <c r="AF747" cm="1">
        <f t="array" ref="AF747">IF(SUMPRODUCT(--($AQ$2:$AQ$71=TRIM(LEFT($B747,IFERROR(FIND(" ",$B747)-1,LEN($B747))))))&gt;0,1,0)</f>
        <v>0</v>
      </c>
    </row>
    <row r="748" spans="1:32" ht="75.75" thickBot="1" x14ac:dyDescent="0.3">
      <c r="A748" s="13">
        <v>156</v>
      </c>
      <c r="B748" s="4" t="s">
        <v>1524</v>
      </c>
      <c r="C748" s="4" t="s">
        <v>1525</v>
      </c>
      <c r="D748" s="7">
        <v>43780</v>
      </c>
      <c r="E748" s="3">
        <v>1707.12</v>
      </c>
      <c r="F748" s="4" t="s">
        <v>30</v>
      </c>
      <c r="G748" s="3">
        <v>6</v>
      </c>
      <c r="H748" s="4" t="s">
        <v>31</v>
      </c>
      <c r="I748" s="4" t="s">
        <v>432</v>
      </c>
      <c r="J748" s="4" t="s">
        <v>1072</v>
      </c>
      <c r="K748" s="3">
        <v>65.400000000000006</v>
      </c>
      <c r="L748" s="3">
        <v>63.75</v>
      </c>
      <c r="M748" s="3">
        <v>20.28</v>
      </c>
      <c r="N748" s="3">
        <v>1578.3</v>
      </c>
      <c r="O748" s="4" t="s">
        <v>34</v>
      </c>
      <c r="P748" s="4" t="s">
        <v>1526</v>
      </c>
      <c r="Q748" s="4" t="s">
        <v>35</v>
      </c>
      <c r="R748" s="3">
        <v>1260.55</v>
      </c>
      <c r="S748" s="3">
        <v>11.7302</v>
      </c>
      <c r="T748" s="4" t="s">
        <v>97</v>
      </c>
      <c r="U748" s="2" t="s">
        <v>37</v>
      </c>
      <c r="V748" s="2" t="s">
        <v>37</v>
      </c>
      <c r="W748" s="2" t="s">
        <v>38</v>
      </c>
      <c r="X748" s="2" t="s">
        <v>37</v>
      </c>
      <c r="Y748" s="2" t="s">
        <v>37</v>
      </c>
      <c r="Z748" s="2" t="s">
        <v>37</v>
      </c>
      <c r="AA748" s="6">
        <v>3.2322640499999999</v>
      </c>
      <c r="AB748" s="6">
        <v>3.1005600769999999</v>
      </c>
      <c r="AC748" s="6">
        <v>3.1981895570000001</v>
      </c>
      <c r="AD748" cm="1">
        <f t="array" ref="AD748">IF(SUMPRODUCT(--($AM$2:$AM$112=TRIM(LEFT($B748,IFERROR(FIND(" ",$B748)-1,LEN($B748))))))&gt;0,1,0)</f>
        <v>0</v>
      </c>
      <c r="AE748" cm="1">
        <f t="array" ref="AE748">IF(SUMPRODUCT(--($AO$2:$AO$145=TRIM(LEFT($B748,IFERROR(FIND(" ",$B748)-1,LEN($B748))))))&gt;0,1,0)</f>
        <v>0</v>
      </c>
      <c r="AF748" cm="1">
        <f t="array" ref="AF748">IF(SUMPRODUCT(--($AQ$2:$AQ$71=TRIM(LEFT($B748,IFERROR(FIND(" ",$B748)-1,LEN($B748))))))&gt;0,1,0)</f>
        <v>0</v>
      </c>
    </row>
    <row r="749" spans="1:32" ht="45.75" thickBot="1" x14ac:dyDescent="0.3">
      <c r="A749" s="13">
        <v>96</v>
      </c>
      <c r="B749" s="4" t="s">
        <v>1527</v>
      </c>
      <c r="C749" s="4" t="s">
        <v>571</v>
      </c>
      <c r="D749" s="7">
        <v>43857</v>
      </c>
      <c r="E749" s="3">
        <v>3259.14</v>
      </c>
      <c r="F749" s="4" t="s">
        <v>46</v>
      </c>
      <c r="G749" s="4"/>
      <c r="H749" s="4" t="s">
        <v>65</v>
      </c>
      <c r="I749" s="4" t="s">
        <v>66</v>
      </c>
      <c r="J749" s="4" t="s">
        <v>66</v>
      </c>
      <c r="K749" s="3">
        <v>120</v>
      </c>
      <c r="L749" s="3">
        <v>120</v>
      </c>
      <c r="M749" s="3">
        <v>6.54</v>
      </c>
      <c r="N749" s="3">
        <v>3259.14</v>
      </c>
      <c r="O749" s="4" t="s">
        <v>34</v>
      </c>
      <c r="P749" s="4" t="s">
        <v>34</v>
      </c>
      <c r="Q749" s="4" t="s">
        <v>35</v>
      </c>
      <c r="R749" s="3">
        <v>851.39200000000005</v>
      </c>
      <c r="S749" s="3">
        <v>33.984000000000002</v>
      </c>
      <c r="T749" s="4" t="s">
        <v>43</v>
      </c>
      <c r="U749" s="2" t="s">
        <v>37</v>
      </c>
      <c r="V749" s="2" t="s">
        <v>37</v>
      </c>
      <c r="W749" s="2" t="s">
        <v>37</v>
      </c>
      <c r="X749" s="2" t="s">
        <v>37</v>
      </c>
      <c r="Y749" s="2" t="s">
        <v>37</v>
      </c>
      <c r="Z749" s="2" t="s">
        <v>37</v>
      </c>
      <c r="AA749" s="6">
        <v>3.5131030160000001</v>
      </c>
      <c r="AB749" s="6">
        <v>2.9301295650000001</v>
      </c>
      <c r="AC749" s="6">
        <v>3.5131030160000001</v>
      </c>
      <c r="AD749" cm="1">
        <f t="array" ref="AD749">IF(SUMPRODUCT(--($AM$2:$AM$112=TRIM(LEFT($B749,IFERROR(FIND(" ",$B749)-1,LEN($B749))))))&gt;0,1,0)</f>
        <v>0</v>
      </c>
      <c r="AE749" cm="1">
        <f t="array" ref="AE749">IF(SUMPRODUCT(--($AO$2:$AO$145=TRIM(LEFT($B749,IFERROR(FIND(" ",$B749)-1,LEN($B749))))))&gt;0,1,0)</f>
        <v>0</v>
      </c>
      <c r="AF749" cm="1">
        <f t="array" ref="AF749">IF(SUMPRODUCT(--($AQ$2:$AQ$71=TRIM(LEFT($B749,IFERROR(FIND(" ",$B749)-1,LEN($B749))))))&gt;0,1,0)</f>
        <v>0</v>
      </c>
    </row>
    <row r="750" spans="1:32" ht="45.75" thickBot="1" x14ac:dyDescent="0.3">
      <c r="A750" s="13">
        <v>119</v>
      </c>
      <c r="B750" s="4" t="s">
        <v>1528</v>
      </c>
      <c r="C750" s="4" t="s">
        <v>1529</v>
      </c>
      <c r="D750" s="7">
        <v>43818</v>
      </c>
      <c r="E750" s="3">
        <v>1841.98</v>
      </c>
      <c r="F750" s="4" t="s">
        <v>46</v>
      </c>
      <c r="G750" s="4"/>
      <c r="H750" s="4" t="s">
        <v>31</v>
      </c>
      <c r="I750" s="4" t="s">
        <v>32</v>
      </c>
      <c r="J750" s="4" t="s">
        <v>33</v>
      </c>
      <c r="K750" s="3">
        <v>44</v>
      </c>
      <c r="L750" s="3">
        <v>50.8</v>
      </c>
      <c r="M750" s="3">
        <v>13.78</v>
      </c>
      <c r="N750" s="3">
        <v>1135.18</v>
      </c>
      <c r="O750" s="4" t="s">
        <v>34</v>
      </c>
      <c r="P750" s="4" t="s">
        <v>34</v>
      </c>
      <c r="Q750" s="4" t="s">
        <v>35</v>
      </c>
      <c r="R750" s="3">
        <v>668.12900000000002</v>
      </c>
      <c r="S750" s="3">
        <v>-73.494799999999998</v>
      </c>
      <c r="T750" s="4" t="s">
        <v>43</v>
      </c>
      <c r="U750" s="2" t="s">
        <v>37</v>
      </c>
      <c r="V750" s="2" t="s">
        <v>37</v>
      </c>
      <c r="W750" s="2" t="s">
        <v>37</v>
      </c>
      <c r="X750" s="2" t="s">
        <v>37</v>
      </c>
      <c r="Y750" s="2" t="s">
        <v>37</v>
      </c>
      <c r="Z750" s="2" t="s">
        <v>37</v>
      </c>
      <c r="AA750" s="6">
        <v>3.2652849100000001</v>
      </c>
      <c r="AB750" s="6">
        <v>2.8248603229999998</v>
      </c>
      <c r="AC750" s="6">
        <v>3.0550647309999999</v>
      </c>
      <c r="AD750" cm="1">
        <f t="array" ref="AD750">IF(SUMPRODUCT(--($AM$2:$AM$112=TRIM(LEFT($B750,IFERROR(FIND(" ",$B750)-1,LEN($B750))))))&gt;0,1,0)</f>
        <v>0</v>
      </c>
      <c r="AE750" cm="1">
        <f t="array" ref="AE750">IF(SUMPRODUCT(--($AO$2:$AO$145=TRIM(LEFT($B750,IFERROR(FIND(" ",$B750)-1,LEN($B750))))))&gt;0,1,0)</f>
        <v>0</v>
      </c>
      <c r="AF750" cm="1">
        <f t="array" ref="AF750">IF(SUMPRODUCT(--($AQ$2:$AQ$71=TRIM(LEFT($B750,IFERROR(FIND(" ",$B750)-1,LEN($B750))))))&gt;0,1,0)</f>
        <v>0</v>
      </c>
    </row>
    <row r="751" spans="1:32" ht="45.75" thickBot="1" x14ac:dyDescent="0.3">
      <c r="A751" s="13">
        <v>87</v>
      </c>
      <c r="B751" s="4" t="s">
        <v>1530</v>
      </c>
      <c r="C751" s="4" t="s">
        <v>379</v>
      </c>
      <c r="D751" s="7">
        <v>43864</v>
      </c>
      <c r="E751" s="3">
        <v>1020.38</v>
      </c>
      <c r="F751" s="4" t="s">
        <v>46</v>
      </c>
      <c r="G751" s="4"/>
      <c r="H751" s="4" t="s">
        <v>65</v>
      </c>
      <c r="I751" s="4" t="s">
        <v>66</v>
      </c>
      <c r="J751" s="4" t="s">
        <v>66</v>
      </c>
      <c r="K751" s="4"/>
      <c r="L751" s="4"/>
      <c r="M751" s="3">
        <v>9.86</v>
      </c>
      <c r="N751" s="3">
        <v>1020.38</v>
      </c>
      <c r="O751" s="4" t="s">
        <v>34</v>
      </c>
      <c r="P751" s="4" t="s">
        <v>34</v>
      </c>
      <c r="Q751" s="4" t="s">
        <v>35</v>
      </c>
      <c r="R751" s="3">
        <v>326.98099999999999</v>
      </c>
      <c r="S751" s="3">
        <v>-4.7243500000000003</v>
      </c>
      <c r="T751" s="4" t="s">
        <v>43</v>
      </c>
      <c r="U751" s="2" t="s">
        <v>37</v>
      </c>
      <c r="V751" s="2" t="s">
        <v>37</v>
      </c>
      <c r="W751" s="2" t="s">
        <v>37</v>
      </c>
      <c r="X751" s="2" t="s">
        <v>37</v>
      </c>
      <c r="Y751" s="2" t="s">
        <v>37</v>
      </c>
      <c r="Z751" s="2" t="s">
        <v>37</v>
      </c>
      <c r="AA751" s="6">
        <v>3.0087619380000001</v>
      </c>
      <c r="AB751" s="6">
        <v>2.5145225180000002</v>
      </c>
      <c r="AC751" s="6">
        <v>3.0087619380000001</v>
      </c>
      <c r="AD751" cm="1">
        <f t="array" ref="AD751">IF(SUMPRODUCT(--($AM$2:$AM$112=TRIM(LEFT($B751,IFERROR(FIND(" ",$B751)-1,LEN($B751))))))&gt;0,1,0)</f>
        <v>0</v>
      </c>
      <c r="AE751" cm="1">
        <f t="array" ref="AE751">IF(SUMPRODUCT(--($AO$2:$AO$145=TRIM(LEFT($B751,IFERROR(FIND(" ",$B751)-1,LEN($B751))))))&gt;0,1,0)</f>
        <v>0</v>
      </c>
      <c r="AF751" cm="1">
        <f t="array" ref="AF751">IF(SUMPRODUCT(--($AQ$2:$AQ$71=TRIM(LEFT($B751,IFERROR(FIND(" ",$B751)-1,LEN($B751))))))&gt;0,1,0)</f>
        <v>0</v>
      </c>
    </row>
    <row r="752" spans="1:32" ht="75.75" thickBot="1" x14ac:dyDescent="0.3">
      <c r="A752" s="13">
        <v>100</v>
      </c>
      <c r="B752" s="4" t="s">
        <v>1531</v>
      </c>
      <c r="C752" s="4" t="s">
        <v>1532</v>
      </c>
      <c r="D752" s="7">
        <v>43844</v>
      </c>
      <c r="E752" s="3">
        <v>613.6</v>
      </c>
      <c r="F752" s="4" t="s">
        <v>107</v>
      </c>
      <c r="G752" s="4"/>
      <c r="H752" s="4" t="s">
        <v>47</v>
      </c>
      <c r="I752" s="4" t="s">
        <v>47</v>
      </c>
      <c r="J752" s="4" t="s">
        <v>48</v>
      </c>
      <c r="K752" s="4"/>
      <c r="L752" s="4"/>
      <c r="M752" s="4"/>
      <c r="N752" s="3">
        <v>613.6</v>
      </c>
      <c r="O752" s="4" t="s">
        <v>34</v>
      </c>
      <c r="P752" s="4" t="s">
        <v>34</v>
      </c>
      <c r="Q752" s="4" t="s">
        <v>35</v>
      </c>
      <c r="R752" s="3">
        <v>310.42500000000001</v>
      </c>
      <c r="S752" s="3">
        <v>-339.88099999999997</v>
      </c>
      <c r="T752" s="4" t="s">
        <v>387</v>
      </c>
      <c r="U752" s="2" t="s">
        <v>37</v>
      </c>
      <c r="V752" s="2" t="s">
        <v>37</v>
      </c>
      <c r="W752" s="2" t="s">
        <v>37</v>
      </c>
      <c r="X752" s="2" t="s">
        <v>37</v>
      </c>
      <c r="Y752" s="2" t="s">
        <v>37</v>
      </c>
      <c r="Z752" s="2" t="s">
        <v>37</v>
      </c>
      <c r="AA752" s="6">
        <v>2.7878853509999999</v>
      </c>
      <c r="AB752" s="6">
        <v>2.4919566899999999</v>
      </c>
      <c r="AC752" s="6">
        <v>2.7878853509999999</v>
      </c>
      <c r="AD752" cm="1">
        <f t="array" ref="AD752">IF(SUMPRODUCT(--($AM$2:$AM$112=TRIM(LEFT($B752,IFERROR(FIND(" ",$B752)-1,LEN($B752))))))&gt;0,1,0)</f>
        <v>0</v>
      </c>
      <c r="AE752" cm="1">
        <f t="array" ref="AE752">IF(SUMPRODUCT(--($AO$2:$AO$145=TRIM(LEFT($B752,IFERROR(FIND(" ",$B752)-1,LEN($B752))))))&gt;0,1,0)</f>
        <v>0</v>
      </c>
      <c r="AF752" cm="1">
        <f t="array" ref="AF752">IF(SUMPRODUCT(--($AQ$2:$AQ$71=TRIM(LEFT($B752,IFERROR(FIND(" ",$B752)-1,LEN($B752))))))&gt;0,1,0)</f>
        <v>0</v>
      </c>
    </row>
    <row r="753" spans="1:32" ht="105.75" thickBot="1" x14ac:dyDescent="0.3">
      <c r="A753" s="13">
        <v>307</v>
      </c>
      <c r="B753" s="4" t="s">
        <v>1533</v>
      </c>
      <c r="C753" s="4" t="s">
        <v>1534</v>
      </c>
      <c r="D753" s="7">
        <v>43552</v>
      </c>
      <c r="E753" s="3">
        <v>7132.7</v>
      </c>
      <c r="F753" s="4" t="s">
        <v>30</v>
      </c>
      <c r="G753" s="3">
        <v>11.19</v>
      </c>
      <c r="H753" s="4" t="s">
        <v>70</v>
      </c>
      <c r="I753" s="4" t="s">
        <v>71</v>
      </c>
      <c r="J753" s="4" t="s">
        <v>239</v>
      </c>
      <c r="K753" s="3">
        <v>211</v>
      </c>
      <c r="L753" s="3">
        <v>211</v>
      </c>
      <c r="M753" s="4"/>
      <c r="N753" s="3">
        <v>7012.9</v>
      </c>
      <c r="O753" s="4" t="s">
        <v>34</v>
      </c>
      <c r="P753" s="4" t="s">
        <v>439</v>
      </c>
      <c r="Q753" s="4" t="s">
        <v>35</v>
      </c>
      <c r="R753" s="3">
        <v>3421.4</v>
      </c>
      <c r="S753" s="3">
        <v>8.6141900000000007</v>
      </c>
      <c r="T753" s="4" t="s">
        <v>316</v>
      </c>
      <c r="U753" s="2" t="s">
        <v>37</v>
      </c>
      <c r="V753" s="2" t="s">
        <v>37</v>
      </c>
      <c r="W753" s="2" t="s">
        <v>38</v>
      </c>
      <c r="X753" s="2" t="s">
        <v>38</v>
      </c>
      <c r="Y753" s="2" t="s">
        <v>37</v>
      </c>
      <c r="Z753" s="2" t="s">
        <v>37</v>
      </c>
      <c r="AA753" s="6">
        <v>3.8532539579999998</v>
      </c>
      <c r="AB753" s="6">
        <v>3.534203851</v>
      </c>
      <c r="AC753" s="6">
        <v>3.8458976460000001</v>
      </c>
      <c r="AD753" cm="1">
        <f t="array" ref="AD753">IF(SUMPRODUCT(--($AM$2:$AM$112=TRIM(LEFT($B753,IFERROR(FIND(" ",$B753)-1,LEN($B753))))))&gt;0,1,0)</f>
        <v>1</v>
      </c>
      <c r="AE753" cm="1">
        <f t="array" ref="AE753">IF(SUMPRODUCT(--($AO$2:$AO$145=TRIM(LEFT($B753,IFERROR(FIND(" ",$B753)-1,LEN($B753))))))&gt;0,1,0)</f>
        <v>1</v>
      </c>
      <c r="AF753" cm="1">
        <f t="array" ref="AF753">IF(SUMPRODUCT(--($AQ$2:$AQ$71=TRIM(LEFT($B753,IFERROR(FIND(" ",$B753)-1,LEN($B753))))))&gt;0,1,0)</f>
        <v>0</v>
      </c>
    </row>
    <row r="754" spans="1:32" ht="45.75" thickBot="1" x14ac:dyDescent="0.3">
      <c r="A754" s="13">
        <v>230</v>
      </c>
      <c r="B754" s="4" t="s">
        <v>1535</v>
      </c>
      <c r="C754" s="4" t="s">
        <v>669</v>
      </c>
      <c r="D754" s="7">
        <v>43641</v>
      </c>
      <c r="E754" s="3">
        <v>83791.240000000005</v>
      </c>
      <c r="F754" s="4" t="s">
        <v>107</v>
      </c>
      <c r="G754" s="4"/>
      <c r="H754" s="4" t="s">
        <v>41</v>
      </c>
      <c r="I754" s="4" t="s">
        <v>41</v>
      </c>
      <c r="J754" s="4" t="s">
        <v>42</v>
      </c>
      <c r="K754" s="4"/>
      <c r="L754" s="4"/>
      <c r="M754" s="4"/>
      <c r="N754" s="3">
        <v>61517.74</v>
      </c>
      <c r="O754" s="4" t="s">
        <v>34</v>
      </c>
      <c r="P754" s="4" t="s">
        <v>34</v>
      </c>
      <c r="Q754" s="4" t="s">
        <v>35</v>
      </c>
      <c r="R754" s="3">
        <v>16088.9</v>
      </c>
      <c r="S754" s="3">
        <v>-21.344799999999999</v>
      </c>
      <c r="T754" s="4" t="s">
        <v>43</v>
      </c>
      <c r="U754" s="2" t="s">
        <v>37</v>
      </c>
      <c r="V754" s="2" t="s">
        <v>37</v>
      </c>
      <c r="W754" s="2" t="s">
        <v>37</v>
      </c>
      <c r="X754" s="2" t="s">
        <v>37</v>
      </c>
      <c r="Y754" s="2" t="s">
        <v>37</v>
      </c>
      <c r="Z754" s="2" t="s">
        <v>37</v>
      </c>
      <c r="AA754" s="6">
        <v>4.9231986169999997</v>
      </c>
      <c r="AB754" s="6">
        <v>4.206526352</v>
      </c>
      <c r="AC754" s="6">
        <v>4.7890003720000003</v>
      </c>
      <c r="AD754" cm="1">
        <f t="array" ref="AD754">IF(SUMPRODUCT(--($AM$2:$AM$112=TRIM(LEFT($B754,IFERROR(FIND(" ",$B754)-1,LEN($B754))))))&gt;0,1,0)</f>
        <v>1</v>
      </c>
      <c r="AE754" cm="1">
        <f t="array" ref="AE754">IF(SUMPRODUCT(--($AO$2:$AO$145=TRIM(LEFT($B754,IFERROR(FIND(" ",$B754)-1,LEN($B754))))))&gt;0,1,0)</f>
        <v>1</v>
      </c>
      <c r="AF754" cm="1">
        <f t="array" ref="AF754">IF(SUMPRODUCT(--($AQ$2:$AQ$71=TRIM(LEFT($B754,IFERROR(FIND(" ",$B754)-1,LEN($B754))))))&gt;0,1,0)</f>
        <v>0</v>
      </c>
    </row>
    <row r="755" spans="1:32" ht="90.75" thickBot="1" x14ac:dyDescent="0.3">
      <c r="A755" s="13">
        <v>84</v>
      </c>
      <c r="B755" s="4" t="s">
        <v>1536</v>
      </c>
      <c r="C755" s="4" t="s">
        <v>232</v>
      </c>
      <c r="D755" s="7">
        <v>43845</v>
      </c>
      <c r="E755" s="3">
        <v>700.26</v>
      </c>
      <c r="F755" s="4" t="s">
        <v>69</v>
      </c>
      <c r="G755" s="3">
        <v>25.06</v>
      </c>
      <c r="H755" s="4" t="s">
        <v>51</v>
      </c>
      <c r="I755" s="4" t="s">
        <v>51</v>
      </c>
      <c r="J755" s="4" t="s">
        <v>52</v>
      </c>
      <c r="K755" s="4"/>
      <c r="L755" s="3">
        <v>20</v>
      </c>
      <c r="M755" s="3">
        <v>38.01</v>
      </c>
      <c r="N755" s="3">
        <v>554.19000000000005</v>
      </c>
      <c r="O755" s="4" t="s">
        <v>34</v>
      </c>
      <c r="P755" s="4" t="s">
        <v>34</v>
      </c>
      <c r="Q755" s="4" t="s">
        <v>35</v>
      </c>
      <c r="R755" s="3">
        <v>109.90300000000001</v>
      </c>
      <c r="S755" s="3">
        <v>-11.740500000000001</v>
      </c>
      <c r="T755" s="4" t="s">
        <v>43</v>
      </c>
      <c r="U755" s="2" t="s">
        <v>37</v>
      </c>
      <c r="V755" s="2" t="s">
        <v>37</v>
      </c>
      <c r="W755" s="2" t="s">
        <v>37</v>
      </c>
      <c r="X755" s="2" t="s">
        <v>37</v>
      </c>
      <c r="Y755" s="2" t="s">
        <v>37</v>
      </c>
      <c r="Z755" s="2" t="s">
        <v>37</v>
      </c>
      <c r="AA755" s="6">
        <v>2.8452593190000002</v>
      </c>
      <c r="AB755" s="6">
        <v>2.0410095469999998</v>
      </c>
      <c r="AC755" s="6">
        <v>2.7436586850000002</v>
      </c>
      <c r="AD755" cm="1">
        <f t="array" ref="AD755">IF(SUMPRODUCT(--($AM$2:$AM$112=TRIM(LEFT($B755,IFERROR(FIND(" ",$B755)-1,LEN($B755))))))&gt;0,1,0)</f>
        <v>0</v>
      </c>
      <c r="AE755" cm="1">
        <f t="array" ref="AE755">IF(SUMPRODUCT(--($AO$2:$AO$145=TRIM(LEFT($B755,IFERROR(FIND(" ",$B755)-1,LEN($B755))))))&gt;0,1,0)</f>
        <v>0</v>
      </c>
      <c r="AF755" cm="1">
        <f t="array" ref="AF755">IF(SUMPRODUCT(--($AQ$2:$AQ$71=TRIM(LEFT($B755,IFERROR(FIND(" ",$B755)-1,LEN($B755))))))&gt;0,1,0)</f>
        <v>0</v>
      </c>
    </row>
    <row r="756" spans="1:32" ht="75.75" thickBot="1" x14ac:dyDescent="0.3">
      <c r="A756" s="13">
        <v>157</v>
      </c>
      <c r="B756" s="4" t="s">
        <v>1537</v>
      </c>
      <c r="C756" s="4" t="s">
        <v>1538</v>
      </c>
      <c r="D756" s="7">
        <v>43740</v>
      </c>
      <c r="E756" s="3">
        <v>10719.74</v>
      </c>
      <c r="F756" s="4" t="s">
        <v>46</v>
      </c>
      <c r="G756" s="3">
        <v>20.010000000000002</v>
      </c>
      <c r="H756" s="4" t="s">
        <v>75</v>
      </c>
      <c r="I756" s="4" t="s">
        <v>111</v>
      </c>
      <c r="J756" s="4" t="s">
        <v>133</v>
      </c>
      <c r="K756" s="4"/>
      <c r="L756" s="4"/>
      <c r="M756" s="4"/>
      <c r="N756" s="3">
        <v>5905.48</v>
      </c>
      <c r="O756" s="4" t="s">
        <v>49</v>
      </c>
      <c r="P756" s="4" t="s">
        <v>687</v>
      </c>
      <c r="Q756" s="4" t="s">
        <v>35</v>
      </c>
      <c r="R756" s="3">
        <v>2528.4499999999998</v>
      </c>
      <c r="S756" s="3">
        <v>10.4491</v>
      </c>
      <c r="T756" s="4" t="s">
        <v>97</v>
      </c>
      <c r="U756" s="2" t="s">
        <v>37</v>
      </c>
      <c r="V756" s="2" t="s">
        <v>37</v>
      </c>
      <c r="W756" s="2" t="s">
        <v>38</v>
      </c>
      <c r="X756" s="2" t="s">
        <v>37</v>
      </c>
      <c r="Y756" s="2" t="s">
        <v>37</v>
      </c>
      <c r="Z756" s="2" t="s">
        <v>37</v>
      </c>
      <c r="AA756" s="6">
        <v>4.0301842519999997</v>
      </c>
      <c r="AB756" s="6">
        <v>3.40285437</v>
      </c>
      <c r="AC756" s="6">
        <v>3.7712552029999999</v>
      </c>
      <c r="AD756" cm="1">
        <f t="array" ref="AD756">IF(SUMPRODUCT(--($AM$2:$AM$112=TRIM(LEFT($B756,IFERROR(FIND(" ",$B756)-1,LEN($B756))))))&gt;0,1,0)</f>
        <v>0</v>
      </c>
      <c r="AE756" cm="1">
        <f t="array" ref="AE756">IF(SUMPRODUCT(--($AO$2:$AO$145=TRIM(LEFT($B756,IFERROR(FIND(" ",$B756)-1,LEN($B756))))))&gt;0,1,0)</f>
        <v>0</v>
      </c>
      <c r="AF756" cm="1">
        <f t="array" ref="AF756">IF(SUMPRODUCT(--($AQ$2:$AQ$71=TRIM(LEFT($B756,IFERROR(FIND(" ",$B756)-1,LEN($B756))))))&gt;0,1,0)</f>
        <v>0</v>
      </c>
    </row>
    <row r="757" spans="1:32" ht="45.75" thickBot="1" x14ac:dyDescent="0.3">
      <c r="A757" s="13">
        <v>121</v>
      </c>
      <c r="B757" s="4" t="s">
        <v>1539</v>
      </c>
      <c r="C757" s="4" t="s">
        <v>1540</v>
      </c>
      <c r="D757" s="7">
        <v>43787</v>
      </c>
      <c r="E757" s="3">
        <v>1003.02</v>
      </c>
      <c r="F757" s="4" t="s">
        <v>46</v>
      </c>
      <c r="G757" s="4"/>
      <c r="H757" s="4" t="s">
        <v>65</v>
      </c>
      <c r="I757" s="4" t="s">
        <v>66</v>
      </c>
      <c r="J757" s="4" t="s">
        <v>66</v>
      </c>
      <c r="K757" s="4"/>
      <c r="L757" s="3">
        <v>39.700000000000003</v>
      </c>
      <c r="M757" s="3">
        <v>19.3</v>
      </c>
      <c r="N757" s="3">
        <v>1003.02</v>
      </c>
      <c r="O757" s="4" t="s">
        <v>34</v>
      </c>
      <c r="P757" s="4" t="s">
        <v>34</v>
      </c>
      <c r="Q757" s="4" t="s">
        <v>35</v>
      </c>
      <c r="R757" s="3">
        <v>224.226</v>
      </c>
      <c r="S757" s="3">
        <v>43.2971</v>
      </c>
      <c r="T757" s="4" t="s">
        <v>43</v>
      </c>
      <c r="U757" s="2" t="s">
        <v>37</v>
      </c>
      <c r="V757" s="2" t="s">
        <v>37</v>
      </c>
      <c r="W757" s="2" t="s">
        <v>37</v>
      </c>
      <c r="X757" s="2" t="s">
        <v>37</v>
      </c>
      <c r="Y757" s="2" t="s">
        <v>37</v>
      </c>
      <c r="Z757" s="2" t="s">
        <v>37</v>
      </c>
      <c r="AA757" s="6">
        <v>3.0013095930000002</v>
      </c>
      <c r="AB757" s="6">
        <v>2.3506859699999998</v>
      </c>
      <c r="AC757" s="6">
        <v>3.0013095930000002</v>
      </c>
      <c r="AD757" cm="1">
        <f t="array" ref="AD757">IF(SUMPRODUCT(--($AM$2:$AM$112=TRIM(LEFT($B757,IFERROR(FIND(" ",$B757)-1,LEN($B757))))))&gt;0,1,0)</f>
        <v>0</v>
      </c>
      <c r="AE757" cm="1">
        <f t="array" ref="AE757">IF(SUMPRODUCT(--($AO$2:$AO$145=TRIM(LEFT($B757,IFERROR(FIND(" ",$B757)-1,LEN($B757))))))&gt;0,1,0)</f>
        <v>0</v>
      </c>
      <c r="AF757" cm="1">
        <f t="array" ref="AF757">IF(SUMPRODUCT(--($AQ$2:$AQ$71=TRIM(LEFT($B757,IFERROR(FIND(" ",$B757)-1,LEN($B757))))))&gt;0,1,0)</f>
        <v>0</v>
      </c>
    </row>
    <row r="758" spans="1:32" ht="75.75" thickBot="1" x14ac:dyDescent="0.3">
      <c r="A758" s="13">
        <v>230</v>
      </c>
      <c r="B758" s="4" t="s">
        <v>1541</v>
      </c>
      <c r="C758" s="4" t="s">
        <v>1542</v>
      </c>
      <c r="D758" s="7">
        <v>43619</v>
      </c>
      <c r="E758" s="3">
        <v>9333.52</v>
      </c>
      <c r="F758" s="4" t="s">
        <v>30</v>
      </c>
      <c r="G758" s="3">
        <v>20.89</v>
      </c>
      <c r="H758" s="4" t="s">
        <v>31</v>
      </c>
      <c r="I758" s="4" t="s">
        <v>432</v>
      </c>
      <c r="J758" s="4" t="s">
        <v>1072</v>
      </c>
      <c r="K758" s="3">
        <v>425</v>
      </c>
      <c r="L758" s="3">
        <v>330</v>
      </c>
      <c r="M758" s="4"/>
      <c r="N758" s="3">
        <v>8712.15</v>
      </c>
      <c r="O758" s="4" t="s">
        <v>34</v>
      </c>
      <c r="P758" s="4" t="s">
        <v>439</v>
      </c>
      <c r="Q758" s="4" t="s">
        <v>35</v>
      </c>
      <c r="R758" s="3">
        <v>2205.31</v>
      </c>
      <c r="S758" s="3">
        <v>5.5893600000000001</v>
      </c>
      <c r="T758" s="4" t="s">
        <v>97</v>
      </c>
      <c r="U758" s="2" t="s">
        <v>37</v>
      </c>
      <c r="V758" s="2" t="s">
        <v>37</v>
      </c>
      <c r="W758" s="2" t="s">
        <v>38</v>
      </c>
      <c r="X758" s="2" t="s">
        <v>37</v>
      </c>
      <c r="Y758" s="2" t="s">
        <v>37</v>
      </c>
      <c r="Z758" s="2" t="s">
        <v>37</v>
      </c>
      <c r="AA758" s="6">
        <v>3.9700454619999999</v>
      </c>
      <c r="AB758" s="6">
        <v>3.343469647</v>
      </c>
      <c r="AC758" s="6">
        <v>3.9401253440000001</v>
      </c>
      <c r="AD758" cm="1">
        <f t="array" ref="AD758">IF(SUMPRODUCT(--($AM$2:$AM$112=TRIM(LEFT($B758,IFERROR(FIND(" ",$B758)-1,LEN($B758))))))&gt;0,1,0)</f>
        <v>1</v>
      </c>
      <c r="AE758" cm="1">
        <f t="array" ref="AE758">IF(SUMPRODUCT(--($AO$2:$AO$145=TRIM(LEFT($B758,IFERROR(FIND(" ",$B758)-1,LEN($B758))))))&gt;0,1,0)</f>
        <v>1</v>
      </c>
      <c r="AF758" cm="1">
        <f t="array" ref="AF758">IF(SUMPRODUCT(--($AQ$2:$AQ$71=TRIM(LEFT($B758,IFERROR(FIND(" ",$B758)-1,LEN($B758))))))&gt;0,1,0)</f>
        <v>0</v>
      </c>
    </row>
    <row r="759" spans="1:32" ht="255.75" thickBot="1" x14ac:dyDescent="0.3">
      <c r="A759" s="13">
        <v>89</v>
      </c>
      <c r="B759" s="4" t="s">
        <v>1543</v>
      </c>
      <c r="C759" s="2"/>
      <c r="D759" s="7">
        <v>43816</v>
      </c>
      <c r="E759" s="3">
        <v>5691.86</v>
      </c>
      <c r="F759" s="4" t="s">
        <v>30</v>
      </c>
      <c r="G759" s="3">
        <v>15.02</v>
      </c>
      <c r="H759" s="4" t="s">
        <v>118</v>
      </c>
      <c r="I759" s="4" t="s">
        <v>119</v>
      </c>
      <c r="J759" s="4" t="s">
        <v>120</v>
      </c>
      <c r="K759" s="3">
        <v>105</v>
      </c>
      <c r="L759" s="3">
        <v>70</v>
      </c>
      <c r="M759" s="3">
        <v>23.95</v>
      </c>
      <c r="N759" s="3">
        <v>2244.8200000000002</v>
      </c>
      <c r="O759" s="4" t="s">
        <v>34</v>
      </c>
      <c r="P759" s="4" t="s">
        <v>534</v>
      </c>
      <c r="Q759" s="4" t="s">
        <v>399</v>
      </c>
      <c r="R759" s="2"/>
      <c r="S759" s="2"/>
      <c r="T759" s="4" t="s">
        <v>1544</v>
      </c>
      <c r="U759" s="2" t="s">
        <v>38</v>
      </c>
      <c r="V759" s="2" t="s">
        <v>38</v>
      </c>
      <c r="W759" s="2" t="s">
        <v>38</v>
      </c>
      <c r="X759" s="2" t="s">
        <v>38</v>
      </c>
      <c r="Y759" s="2" t="s">
        <v>38</v>
      </c>
      <c r="Z759" s="2" t="s">
        <v>37</v>
      </c>
      <c r="AA759" s="6">
        <v>3.7552542089999998</v>
      </c>
      <c r="AB759" s="2"/>
      <c r="AC759" s="6">
        <v>3.3511815230000002</v>
      </c>
      <c r="AD759" cm="1">
        <f t="array" ref="AD759">IF(SUMPRODUCT(--($AM$2:$AM$112=TRIM(LEFT($B759,IFERROR(FIND(" ",$B759)-1,LEN($B759))))))&gt;0,1,0)</f>
        <v>0</v>
      </c>
      <c r="AE759" cm="1">
        <f t="array" ref="AE759">IF(SUMPRODUCT(--($AO$2:$AO$145=TRIM(LEFT($B759,IFERROR(FIND(" ",$B759)-1,LEN($B759))))))&gt;0,1,0)</f>
        <v>0</v>
      </c>
      <c r="AF759" cm="1">
        <f t="array" ref="AF759">IF(SUMPRODUCT(--($AQ$2:$AQ$71=TRIM(LEFT($B759,IFERROR(FIND(" ",$B759)-1,LEN($B759))))))&gt;0,1,0)</f>
        <v>0</v>
      </c>
    </row>
    <row r="760" spans="1:32" ht="75.75" thickBot="1" x14ac:dyDescent="0.3">
      <c r="A760" s="13">
        <v>28</v>
      </c>
      <c r="B760" s="4" t="s">
        <v>1545</v>
      </c>
      <c r="C760" s="4" t="s">
        <v>135</v>
      </c>
      <c r="D760" s="7">
        <v>43892</v>
      </c>
      <c r="E760" s="3">
        <v>4243.8599999999997</v>
      </c>
      <c r="F760" s="4" t="s">
        <v>30</v>
      </c>
      <c r="G760" s="4"/>
      <c r="H760" s="4" t="s">
        <v>41</v>
      </c>
      <c r="I760" s="4" t="s">
        <v>41</v>
      </c>
      <c r="J760" s="4" t="s">
        <v>42</v>
      </c>
      <c r="K760" s="4"/>
      <c r="L760" s="3">
        <v>160</v>
      </c>
      <c r="M760" s="3">
        <v>110.12</v>
      </c>
      <c r="N760" s="3">
        <v>4570.63</v>
      </c>
      <c r="O760" s="4" t="s">
        <v>34</v>
      </c>
      <c r="P760" s="4" t="s">
        <v>34</v>
      </c>
      <c r="Q760" s="4" t="s">
        <v>35</v>
      </c>
      <c r="R760" s="3">
        <v>15.678000000000001</v>
      </c>
      <c r="S760" s="3">
        <v>-564.68899999999996</v>
      </c>
      <c r="T760" s="4" t="s">
        <v>88</v>
      </c>
      <c r="U760" s="2" t="s">
        <v>37</v>
      </c>
      <c r="V760" s="2" t="s">
        <v>37</v>
      </c>
      <c r="W760" s="2" t="s">
        <v>37</v>
      </c>
      <c r="X760" s="2" t="s">
        <v>37</v>
      </c>
      <c r="Y760" s="2" t="s">
        <v>37</v>
      </c>
      <c r="Z760" s="2" t="s">
        <v>38</v>
      </c>
      <c r="AA760" s="6">
        <v>3.6277610490000001</v>
      </c>
      <c r="AB760" s="6">
        <v>1.1952906599999999</v>
      </c>
      <c r="AC760" s="6">
        <v>3.659976066</v>
      </c>
      <c r="AD760" cm="1">
        <f t="array" ref="AD760">IF(SUMPRODUCT(--($AM$2:$AM$112=TRIM(LEFT($B760,IFERROR(FIND(" ",$B760)-1,LEN($B760))))))&gt;0,1,0)</f>
        <v>0</v>
      </c>
      <c r="AE760" cm="1">
        <f t="array" ref="AE760">IF(SUMPRODUCT(--($AO$2:$AO$145=TRIM(LEFT($B760,IFERROR(FIND(" ",$B760)-1,LEN($B760))))))&gt;0,1,0)</f>
        <v>0</v>
      </c>
      <c r="AF760" cm="1">
        <f t="array" ref="AF760">IF(SUMPRODUCT(--($AQ$2:$AQ$71=TRIM(LEFT($B760,IFERROR(FIND(" ",$B760)-1,LEN($B760))))))&gt;0,1,0)</f>
        <v>0</v>
      </c>
    </row>
    <row r="761" spans="1:32" ht="45.75" thickBot="1" x14ac:dyDescent="0.3">
      <c r="A761" s="13">
        <v>215</v>
      </c>
      <c r="B761" s="4" t="s">
        <v>1546</v>
      </c>
      <c r="C761" s="4" t="s">
        <v>1547</v>
      </c>
      <c r="D761" s="7">
        <v>43625</v>
      </c>
      <c r="E761" s="3">
        <v>90016.87</v>
      </c>
      <c r="F761" s="4" t="s">
        <v>46</v>
      </c>
      <c r="G761" s="3">
        <v>17.010000000000002</v>
      </c>
      <c r="H761" s="4" t="s">
        <v>70</v>
      </c>
      <c r="I761" s="4" t="s">
        <v>71</v>
      </c>
      <c r="J761" s="4" t="s">
        <v>304</v>
      </c>
      <c r="K761" s="3">
        <v>2365</v>
      </c>
      <c r="L761" s="3">
        <v>1785</v>
      </c>
      <c r="M761" s="3">
        <v>71.67</v>
      </c>
      <c r="N761" s="3">
        <v>86200.87</v>
      </c>
      <c r="O761" s="4" t="s">
        <v>34</v>
      </c>
      <c r="P761" s="4" t="s">
        <v>34</v>
      </c>
      <c r="Q761" s="4" t="s">
        <v>35</v>
      </c>
      <c r="R761" s="3">
        <v>29176</v>
      </c>
      <c r="S761" s="3">
        <v>16.3628</v>
      </c>
      <c r="T761" s="4" t="s">
        <v>43</v>
      </c>
      <c r="U761" s="2" t="s">
        <v>37</v>
      </c>
      <c r="V761" s="2" t="s">
        <v>37</v>
      </c>
      <c r="W761" s="2" t="s">
        <v>37</v>
      </c>
      <c r="X761" s="2" t="s">
        <v>37</v>
      </c>
      <c r="Y761" s="2" t="s">
        <v>37</v>
      </c>
      <c r="Z761" s="2" t="s">
        <v>37</v>
      </c>
      <c r="AA761" s="6">
        <v>4.9543239080000001</v>
      </c>
      <c r="AB761" s="6">
        <v>4.4650257499999997</v>
      </c>
      <c r="AC761" s="6">
        <v>4.9355116490000004</v>
      </c>
      <c r="AD761" cm="1">
        <f t="array" ref="AD761">IF(SUMPRODUCT(--($AM$2:$AM$112=TRIM(LEFT($B761,IFERROR(FIND(" ",$B761)-1,LEN($B761))))))&gt;0,1,0)</f>
        <v>0</v>
      </c>
      <c r="AE761" cm="1">
        <f t="array" ref="AE761">IF(SUMPRODUCT(--($AO$2:$AO$145=TRIM(LEFT($B761,IFERROR(FIND(" ",$B761)-1,LEN($B761))))))&gt;0,1,0)</f>
        <v>1</v>
      </c>
      <c r="AF761" cm="1">
        <f t="array" ref="AF761">IF(SUMPRODUCT(--($AQ$2:$AQ$71=TRIM(LEFT($B761,IFERROR(FIND(" ",$B761)-1,LEN($B761))))))&gt;0,1,0)</f>
        <v>0</v>
      </c>
    </row>
    <row r="762" spans="1:32" ht="75.75" thickBot="1" x14ac:dyDescent="0.3">
      <c r="A762" s="13">
        <v>127</v>
      </c>
      <c r="B762" s="4" t="s">
        <v>1548</v>
      </c>
      <c r="C762" s="4" t="s">
        <v>1162</v>
      </c>
      <c r="D762" s="7">
        <v>43748</v>
      </c>
      <c r="E762" s="3">
        <v>2087.96</v>
      </c>
      <c r="F762" s="4" t="s">
        <v>30</v>
      </c>
      <c r="G762" s="4"/>
      <c r="H762" s="4" t="s">
        <v>41</v>
      </c>
      <c r="I762" s="4" t="s">
        <v>41</v>
      </c>
      <c r="J762" s="4" t="s">
        <v>42</v>
      </c>
      <c r="K762" s="4"/>
      <c r="L762" s="3">
        <v>75</v>
      </c>
      <c r="M762" s="3">
        <v>96.99</v>
      </c>
      <c r="N762" s="3">
        <v>2256.6999999999998</v>
      </c>
      <c r="O762" s="4" t="s">
        <v>34</v>
      </c>
      <c r="P762" s="4" t="s">
        <v>1163</v>
      </c>
      <c r="Q762" s="4" t="s">
        <v>35</v>
      </c>
      <c r="R762" s="3">
        <v>3</v>
      </c>
      <c r="S762" s="3">
        <v>-3565.97</v>
      </c>
      <c r="T762" s="4" t="s">
        <v>97</v>
      </c>
      <c r="U762" s="2" t="s">
        <v>37</v>
      </c>
      <c r="V762" s="2" t="s">
        <v>37</v>
      </c>
      <c r="W762" s="2" t="s">
        <v>38</v>
      </c>
      <c r="X762" s="2" t="s">
        <v>37</v>
      </c>
      <c r="Y762" s="2" t="s">
        <v>37</v>
      </c>
      <c r="Z762" s="2" t="s">
        <v>37</v>
      </c>
      <c r="AA762" s="6">
        <v>3.3197221739999998</v>
      </c>
      <c r="AB762" s="6">
        <v>0.4771212547</v>
      </c>
      <c r="AC762" s="6">
        <v>3.3534738289999999</v>
      </c>
      <c r="AD762" cm="1">
        <f t="array" ref="AD762">IF(SUMPRODUCT(--($AM$2:$AM$112=TRIM(LEFT($B762,IFERROR(FIND(" ",$B762)-1,LEN($B762))))))&gt;0,1,0)</f>
        <v>0</v>
      </c>
      <c r="AE762" cm="1">
        <f t="array" ref="AE762">IF(SUMPRODUCT(--($AO$2:$AO$145=TRIM(LEFT($B762,IFERROR(FIND(" ",$B762)-1,LEN($B762))))))&gt;0,1,0)</f>
        <v>0</v>
      </c>
      <c r="AF762" cm="1">
        <f t="array" ref="AF762">IF(SUMPRODUCT(--($AQ$2:$AQ$71=TRIM(LEFT($B762,IFERROR(FIND(" ",$B762)-1,LEN($B762))))))&gt;0,1,0)</f>
        <v>0</v>
      </c>
    </row>
    <row r="763" spans="1:32" ht="135.75" thickBot="1" x14ac:dyDescent="0.3">
      <c r="A763" s="13">
        <v>119</v>
      </c>
      <c r="B763" s="4" t="s">
        <v>1549</v>
      </c>
      <c r="C763" s="2"/>
      <c r="D763" s="7">
        <v>43759</v>
      </c>
      <c r="E763" s="3">
        <v>1259.44</v>
      </c>
      <c r="F763" s="4" t="s">
        <v>30</v>
      </c>
      <c r="G763" s="3">
        <v>16.59</v>
      </c>
      <c r="H763" s="4" t="s">
        <v>279</v>
      </c>
      <c r="I763" s="4" t="s">
        <v>279</v>
      </c>
      <c r="J763" s="4" t="s">
        <v>974</v>
      </c>
      <c r="K763" s="4"/>
      <c r="L763" s="4"/>
      <c r="M763" s="4"/>
      <c r="N763" s="3">
        <v>767.72</v>
      </c>
      <c r="O763" s="4" t="s">
        <v>49</v>
      </c>
      <c r="P763" s="4" t="s">
        <v>49</v>
      </c>
      <c r="Q763" s="4" t="s">
        <v>35</v>
      </c>
      <c r="R763" s="3">
        <v>776.37800000000004</v>
      </c>
      <c r="S763" s="3">
        <v>14.421900000000001</v>
      </c>
      <c r="T763" s="4" t="s">
        <v>312</v>
      </c>
      <c r="U763" s="2" t="s">
        <v>37</v>
      </c>
      <c r="V763" s="2" t="s">
        <v>37</v>
      </c>
      <c r="W763" s="2" t="s">
        <v>37</v>
      </c>
      <c r="X763" s="2" t="s">
        <v>38</v>
      </c>
      <c r="Y763" s="2" t="s">
        <v>38</v>
      </c>
      <c r="Z763" s="2" t="s">
        <v>37</v>
      </c>
      <c r="AA763" s="6">
        <v>3.1001774819999999</v>
      </c>
      <c r="AB763" s="6">
        <v>2.8900732200000001</v>
      </c>
      <c r="AC763" s="6">
        <v>2.8852028550000002</v>
      </c>
      <c r="AD763" cm="1">
        <f t="array" ref="AD763">IF(SUMPRODUCT(--($AM$2:$AM$112=TRIM(LEFT($B763,IFERROR(FIND(" ",$B763)-1,LEN($B763))))))&gt;0,1,0)</f>
        <v>0</v>
      </c>
      <c r="AE763" cm="1">
        <f t="array" ref="AE763">IF(SUMPRODUCT(--($AO$2:$AO$145=TRIM(LEFT($B763,IFERROR(FIND(" ",$B763)-1,LEN($B763))))))&gt;0,1,0)</f>
        <v>0</v>
      </c>
      <c r="AF763" cm="1">
        <f t="array" ref="AF763">IF(SUMPRODUCT(--($AQ$2:$AQ$71=TRIM(LEFT($B763,IFERROR(FIND(" ",$B763)-1,LEN($B763))))))&gt;0,1,0)</f>
        <v>0</v>
      </c>
    </row>
    <row r="764" spans="1:32" ht="75.75" thickBot="1" x14ac:dyDescent="0.3">
      <c r="A764" s="13">
        <v>503</v>
      </c>
      <c r="B764" s="4" t="s">
        <v>1550</v>
      </c>
      <c r="C764" s="4" t="s">
        <v>1551</v>
      </c>
      <c r="D764" s="7">
        <v>43219</v>
      </c>
      <c r="E764" s="3">
        <v>68014.33</v>
      </c>
      <c r="F764" s="4" t="s">
        <v>46</v>
      </c>
      <c r="G764" s="3">
        <v>6.44</v>
      </c>
      <c r="H764" s="4" t="s">
        <v>184</v>
      </c>
      <c r="I764" s="4" t="s">
        <v>251</v>
      </c>
      <c r="J764" s="4" t="s">
        <v>251</v>
      </c>
      <c r="K764" s="4"/>
      <c r="L764" s="4"/>
      <c r="M764" s="4"/>
      <c r="N764" s="3">
        <v>26585.33</v>
      </c>
      <c r="O764" s="4" t="s">
        <v>34</v>
      </c>
      <c r="P764" s="4" t="s">
        <v>34</v>
      </c>
      <c r="Q764" s="4" t="s">
        <v>35</v>
      </c>
      <c r="R764" s="3">
        <v>33600</v>
      </c>
      <c r="S764" s="3">
        <v>-2.8221099999999999</v>
      </c>
      <c r="T764" s="4" t="s">
        <v>768</v>
      </c>
      <c r="U764" s="2" t="s">
        <v>37</v>
      </c>
      <c r="V764" s="2" t="s">
        <v>37</v>
      </c>
      <c r="W764" s="2" t="s">
        <v>38</v>
      </c>
      <c r="X764" s="2" t="s">
        <v>37</v>
      </c>
      <c r="Y764" s="2" t="s">
        <v>37</v>
      </c>
      <c r="Z764" s="2" t="s">
        <v>37</v>
      </c>
      <c r="AA764" s="6">
        <v>4.8326004239999998</v>
      </c>
      <c r="AB764" s="6">
        <v>4.5263392769999999</v>
      </c>
      <c r="AC764" s="6">
        <v>4.4246420559999997</v>
      </c>
      <c r="AD764" cm="1">
        <f t="array" ref="AD764">IF(SUMPRODUCT(--($AM$2:$AM$112=TRIM(LEFT($B764,IFERROR(FIND(" ",$B764)-1,LEN($B764))))))&gt;0,1,0)</f>
        <v>0</v>
      </c>
      <c r="AE764" cm="1">
        <f t="array" ref="AE764">IF(SUMPRODUCT(--($AO$2:$AO$145=TRIM(LEFT($B764,IFERROR(FIND(" ",$B764)-1,LEN($B764))))))&gt;0,1,0)</f>
        <v>0</v>
      </c>
      <c r="AF764" cm="1">
        <f t="array" ref="AF764">IF(SUMPRODUCT(--($AQ$2:$AQ$71=TRIM(LEFT($B764,IFERROR(FIND(" ",$B764)-1,LEN($B764))))))&gt;0,1,0)</f>
        <v>0</v>
      </c>
    </row>
    <row r="765" spans="1:32" ht="120.75" thickBot="1" x14ac:dyDescent="0.3">
      <c r="A765" s="13">
        <v>503</v>
      </c>
      <c r="B765" s="4" t="s">
        <v>1550</v>
      </c>
      <c r="C765" s="4" t="s">
        <v>1551</v>
      </c>
      <c r="D765" s="7">
        <v>43219</v>
      </c>
      <c r="E765" s="3">
        <v>3968.68</v>
      </c>
      <c r="F765" s="4" t="s">
        <v>46</v>
      </c>
      <c r="G765" s="3">
        <v>2.29</v>
      </c>
      <c r="H765" s="4" t="s">
        <v>184</v>
      </c>
      <c r="I765" s="4" t="s">
        <v>251</v>
      </c>
      <c r="J765" s="4" t="s">
        <v>251</v>
      </c>
      <c r="K765" s="4"/>
      <c r="L765" s="4"/>
      <c r="M765" s="3">
        <v>11.62</v>
      </c>
      <c r="N765" s="3">
        <v>3968.68</v>
      </c>
      <c r="O765" s="4" t="s">
        <v>34</v>
      </c>
      <c r="P765" s="4" t="s">
        <v>34</v>
      </c>
      <c r="Q765" s="4" t="s">
        <v>35</v>
      </c>
      <c r="R765" s="3">
        <v>33600</v>
      </c>
      <c r="S765" s="3">
        <v>-2.8221099999999999</v>
      </c>
      <c r="T765" s="4" t="s">
        <v>321</v>
      </c>
      <c r="U765" s="2" t="s">
        <v>38</v>
      </c>
      <c r="V765" s="2" t="s">
        <v>37</v>
      </c>
      <c r="W765" s="2" t="s">
        <v>37</v>
      </c>
      <c r="X765" s="2" t="s">
        <v>37</v>
      </c>
      <c r="Y765" s="2" t="s">
        <v>37</v>
      </c>
      <c r="Z765" s="2" t="s">
        <v>37</v>
      </c>
      <c r="AA765" s="6">
        <v>3.5986460830000002</v>
      </c>
      <c r="AB765" s="6">
        <v>4.5263392769999999</v>
      </c>
      <c r="AC765" s="6">
        <v>3.5986460830000002</v>
      </c>
      <c r="AD765" cm="1">
        <f t="array" ref="AD765">IF(SUMPRODUCT(--($AM$2:$AM$112=TRIM(LEFT($B765,IFERROR(FIND(" ",$B765)-1,LEN($B765))))))&gt;0,1,0)</f>
        <v>0</v>
      </c>
      <c r="AE765" cm="1">
        <f t="array" ref="AE765">IF(SUMPRODUCT(--($AO$2:$AO$145=TRIM(LEFT($B765,IFERROR(FIND(" ",$B765)-1,LEN($B765))))))&gt;0,1,0)</f>
        <v>0</v>
      </c>
      <c r="AF765" cm="1">
        <f t="array" ref="AF765">IF(SUMPRODUCT(--($AQ$2:$AQ$71=TRIM(LEFT($B765,IFERROR(FIND(" ",$B765)-1,LEN($B765))))))&gt;0,1,0)</f>
        <v>0</v>
      </c>
    </row>
    <row r="766" spans="1:32" ht="75.75" thickBot="1" x14ac:dyDescent="0.3">
      <c r="A766" s="13">
        <v>196</v>
      </c>
      <c r="B766" s="4" t="s">
        <v>1552</v>
      </c>
      <c r="C766" s="4" t="s">
        <v>1553</v>
      </c>
      <c r="D766" s="7">
        <v>43649</v>
      </c>
      <c r="E766" s="3">
        <v>742.37</v>
      </c>
      <c r="F766" s="4" t="s">
        <v>30</v>
      </c>
      <c r="G766" s="3">
        <v>13.77</v>
      </c>
      <c r="H766" s="4" t="s">
        <v>47</v>
      </c>
      <c r="I766" s="4" t="s">
        <v>47</v>
      </c>
      <c r="J766" s="4" t="s">
        <v>875</v>
      </c>
      <c r="K766" s="3">
        <v>15.8</v>
      </c>
      <c r="L766" s="3">
        <v>15.8</v>
      </c>
      <c r="M766" s="4"/>
      <c r="N766" s="3">
        <v>455.17</v>
      </c>
      <c r="O766" s="4" t="s">
        <v>34</v>
      </c>
      <c r="P766" s="4" t="s">
        <v>166</v>
      </c>
      <c r="Q766" s="4" t="s">
        <v>35</v>
      </c>
      <c r="R766" s="3">
        <v>736.2</v>
      </c>
      <c r="S766" s="3">
        <v>2.3378100000000002</v>
      </c>
      <c r="T766" s="4" t="s">
        <v>97</v>
      </c>
      <c r="U766" s="2" t="s">
        <v>37</v>
      </c>
      <c r="V766" s="2" t="s">
        <v>37</v>
      </c>
      <c r="W766" s="2" t="s">
        <v>38</v>
      </c>
      <c r="X766" s="2" t="s">
        <v>37</v>
      </c>
      <c r="Y766" s="2" t="s">
        <v>37</v>
      </c>
      <c r="Z766" s="2" t="s">
        <v>37</v>
      </c>
      <c r="AA766" s="6">
        <v>2.8706204130000001</v>
      </c>
      <c r="AB766" s="6">
        <v>2.8669958129999999</v>
      </c>
      <c r="AC766" s="6">
        <v>2.6581736299999998</v>
      </c>
      <c r="AD766" cm="1">
        <f t="array" ref="AD766">IF(SUMPRODUCT(--($AM$2:$AM$112=TRIM(LEFT($B766,IFERROR(FIND(" ",$B766)-1,LEN($B766))))))&gt;0,1,0)</f>
        <v>0</v>
      </c>
      <c r="AE766" cm="1">
        <f t="array" ref="AE766">IF(SUMPRODUCT(--($AO$2:$AO$145=TRIM(LEFT($B766,IFERROR(FIND(" ",$B766)-1,LEN($B766))))))&gt;0,1,0)</f>
        <v>1</v>
      </c>
      <c r="AF766" cm="1">
        <f t="array" ref="AF766">IF(SUMPRODUCT(--($AQ$2:$AQ$71=TRIM(LEFT($B766,IFERROR(FIND(" ",$B766)-1,LEN($B766))))))&gt;0,1,0)</f>
        <v>0</v>
      </c>
    </row>
    <row r="767" spans="1:32" ht="135.75" thickBot="1" x14ac:dyDescent="0.3">
      <c r="A767" s="13">
        <v>104</v>
      </c>
      <c r="B767" s="4" t="s">
        <v>1554</v>
      </c>
      <c r="C767" s="2"/>
      <c r="D767" s="7">
        <v>43775</v>
      </c>
      <c r="E767" s="3">
        <v>1707.68</v>
      </c>
      <c r="F767" s="4" t="s">
        <v>30</v>
      </c>
      <c r="G767" s="3">
        <v>2.79</v>
      </c>
      <c r="H767" s="4" t="s">
        <v>65</v>
      </c>
      <c r="I767" s="4" t="s">
        <v>138</v>
      </c>
      <c r="J767" s="4" t="s">
        <v>139</v>
      </c>
      <c r="K767" s="4"/>
      <c r="L767" s="3">
        <v>73.5</v>
      </c>
      <c r="M767" s="3">
        <v>29.04</v>
      </c>
      <c r="N767" s="3">
        <v>1707.68</v>
      </c>
      <c r="O767" s="4" t="s">
        <v>34</v>
      </c>
      <c r="P767" s="4" t="s">
        <v>96</v>
      </c>
      <c r="Q767" s="4" t="s">
        <v>35</v>
      </c>
      <c r="R767" s="3">
        <v>975.11900000000003</v>
      </c>
      <c r="S767" s="3">
        <v>45.335000000000001</v>
      </c>
      <c r="T767" s="4" t="s">
        <v>1141</v>
      </c>
      <c r="U767" s="2" t="s">
        <v>38</v>
      </c>
      <c r="V767" s="2" t="s">
        <v>37</v>
      </c>
      <c r="W767" s="2" t="s">
        <v>38</v>
      </c>
      <c r="X767" s="2" t="s">
        <v>37</v>
      </c>
      <c r="Y767" s="2" t="s">
        <v>37</v>
      </c>
      <c r="Z767" s="2" t="s">
        <v>37</v>
      </c>
      <c r="AA767" s="6">
        <v>3.232406492</v>
      </c>
      <c r="AB767" s="6">
        <v>2.989057619</v>
      </c>
      <c r="AC767" s="6">
        <v>3.232406492</v>
      </c>
      <c r="AD767" cm="1">
        <f t="array" ref="AD767">IF(SUMPRODUCT(--($AM$2:$AM$112=TRIM(LEFT($B767,IFERROR(FIND(" ",$B767)-1,LEN($B767))))))&gt;0,1,0)</f>
        <v>0</v>
      </c>
      <c r="AE767" cm="1">
        <f t="array" ref="AE767">IF(SUMPRODUCT(--($AO$2:$AO$145=TRIM(LEFT($B767,IFERROR(FIND(" ",$B767)-1,LEN($B767))))))&gt;0,1,0)</f>
        <v>0</v>
      </c>
      <c r="AF767" cm="1">
        <f t="array" ref="AF767">IF(SUMPRODUCT(--($AQ$2:$AQ$71=TRIM(LEFT($B767,IFERROR(FIND(" ",$B767)-1,LEN($B767))))))&gt;0,1,0)</f>
        <v>0</v>
      </c>
    </row>
    <row r="768" spans="1:32" ht="105.75" thickBot="1" x14ac:dyDescent="0.3">
      <c r="A768" s="13">
        <v>71</v>
      </c>
      <c r="B768" s="4" t="s">
        <v>1555</v>
      </c>
      <c r="C768" s="4" t="s">
        <v>1556</v>
      </c>
      <c r="D768" s="7">
        <v>43822</v>
      </c>
      <c r="E768" s="3">
        <v>1099.95</v>
      </c>
      <c r="F768" s="4" t="s">
        <v>30</v>
      </c>
      <c r="G768" s="3">
        <v>18.93</v>
      </c>
      <c r="H768" s="4" t="s">
        <v>70</v>
      </c>
      <c r="I768" s="4" t="s">
        <v>71</v>
      </c>
      <c r="J768" s="4" t="s">
        <v>72</v>
      </c>
      <c r="K768" s="3">
        <v>54.611800000000002</v>
      </c>
      <c r="L768" s="3">
        <v>34.1325</v>
      </c>
      <c r="M768" s="4"/>
      <c r="N768" s="3">
        <v>860.15</v>
      </c>
      <c r="O768" s="4" t="s">
        <v>34</v>
      </c>
      <c r="P768" s="4" t="s">
        <v>1163</v>
      </c>
      <c r="Q768" s="4" t="s">
        <v>35</v>
      </c>
      <c r="R768" s="3">
        <v>203.48699999999999</v>
      </c>
      <c r="S768" s="3">
        <v>3.9206400000000001</v>
      </c>
      <c r="T768" s="4" t="s">
        <v>316</v>
      </c>
      <c r="U768" s="2" t="s">
        <v>37</v>
      </c>
      <c r="V768" s="2" t="s">
        <v>37</v>
      </c>
      <c r="W768" s="2" t="s">
        <v>38</v>
      </c>
      <c r="X768" s="2" t="s">
        <v>38</v>
      </c>
      <c r="Y768" s="2" t="s">
        <v>37</v>
      </c>
      <c r="Z768" s="2" t="s">
        <v>37</v>
      </c>
      <c r="AA768" s="6">
        <v>3.0413729439999999</v>
      </c>
      <c r="AB768" s="6">
        <v>2.308536669</v>
      </c>
      <c r="AC768" s="6">
        <v>2.9345741940000001</v>
      </c>
      <c r="AD768" cm="1">
        <f t="array" ref="AD768">IF(SUMPRODUCT(--($AM$2:$AM$112=TRIM(LEFT($B768,IFERROR(FIND(" ",$B768)-1,LEN($B768))))))&gt;0,1,0)</f>
        <v>0</v>
      </c>
      <c r="AE768" cm="1">
        <f t="array" ref="AE768">IF(SUMPRODUCT(--($AO$2:$AO$145=TRIM(LEFT($B768,IFERROR(FIND(" ",$B768)-1,LEN($B768))))))&gt;0,1,0)</f>
        <v>0</v>
      </c>
      <c r="AF768" cm="1">
        <f t="array" ref="AF768">IF(SUMPRODUCT(--($AQ$2:$AQ$71=TRIM(LEFT($B768,IFERROR(FIND(" ",$B768)-1,LEN($B768))))))&gt;0,1,0)</f>
        <v>0</v>
      </c>
    </row>
    <row r="769" spans="1:32" ht="180.75" thickBot="1" x14ac:dyDescent="0.3">
      <c r="A769" s="13">
        <v>27</v>
      </c>
      <c r="B769" s="4" t="s">
        <v>1557</v>
      </c>
      <c r="C769" s="4" t="s">
        <v>1558</v>
      </c>
      <c r="D769" s="7">
        <v>43882</v>
      </c>
      <c r="E769" s="3">
        <v>1029.21</v>
      </c>
      <c r="F769" s="4" t="s">
        <v>30</v>
      </c>
      <c r="G769" s="3">
        <v>11.9</v>
      </c>
      <c r="H769" s="4" t="s">
        <v>31</v>
      </c>
      <c r="I769" s="4" t="s">
        <v>432</v>
      </c>
      <c r="J769" s="4" t="s">
        <v>1072</v>
      </c>
      <c r="K769" s="4"/>
      <c r="L769" s="4"/>
      <c r="M769" s="3">
        <v>6.21</v>
      </c>
      <c r="N769" s="3">
        <v>1029.21</v>
      </c>
      <c r="O769" s="4" t="s">
        <v>34</v>
      </c>
      <c r="P769" s="4" t="s">
        <v>96</v>
      </c>
      <c r="Q769" s="4" t="s">
        <v>35</v>
      </c>
      <c r="R769" s="3">
        <v>1791.79</v>
      </c>
      <c r="S769" s="3">
        <v>13.343500000000001</v>
      </c>
      <c r="T769" s="4" t="s">
        <v>1486</v>
      </c>
      <c r="U769" s="2" t="s">
        <v>38</v>
      </c>
      <c r="V769" s="2" t="s">
        <v>37</v>
      </c>
      <c r="W769" s="2" t="s">
        <v>38</v>
      </c>
      <c r="X769" s="2" t="s">
        <v>37</v>
      </c>
      <c r="Y769" s="2" t="s">
        <v>37</v>
      </c>
      <c r="Z769" s="2" t="s">
        <v>38</v>
      </c>
      <c r="AA769" s="6">
        <v>3.012503997</v>
      </c>
      <c r="AB769" s="6">
        <v>3.2532871079999999</v>
      </c>
      <c r="AC769" s="6">
        <v>3.012503997</v>
      </c>
      <c r="AD769" cm="1">
        <f t="array" ref="AD769">IF(SUMPRODUCT(--($AM$2:$AM$112=TRIM(LEFT($B769,IFERROR(FIND(" ",$B769)-1,LEN($B769))))))&gt;0,1,0)</f>
        <v>0</v>
      </c>
      <c r="AE769" cm="1">
        <f t="array" ref="AE769">IF(SUMPRODUCT(--($AO$2:$AO$145=TRIM(LEFT($B769,IFERROR(FIND(" ",$B769)-1,LEN($B769))))))&gt;0,1,0)</f>
        <v>0</v>
      </c>
      <c r="AF769" cm="1">
        <f t="array" ref="AF769">IF(SUMPRODUCT(--($AQ$2:$AQ$71=TRIM(LEFT($B769,IFERROR(FIND(" ",$B769)-1,LEN($B769))))))&gt;0,1,0)</f>
        <v>0</v>
      </c>
    </row>
    <row r="770" spans="1:32" ht="165.75" thickBot="1" x14ac:dyDescent="0.3">
      <c r="A770" s="13">
        <v>97</v>
      </c>
      <c r="B770" s="4" t="s">
        <v>1559</v>
      </c>
      <c r="C770" s="2"/>
      <c r="D770" s="7">
        <v>43773</v>
      </c>
      <c r="E770" s="3">
        <v>5948.94</v>
      </c>
      <c r="F770" s="4" t="s">
        <v>30</v>
      </c>
      <c r="G770" s="3">
        <v>20.71</v>
      </c>
      <c r="H770" s="4" t="s">
        <v>279</v>
      </c>
      <c r="I770" s="4" t="s">
        <v>279</v>
      </c>
      <c r="J770" s="4" t="s">
        <v>280</v>
      </c>
      <c r="K770" s="3">
        <v>204</v>
      </c>
      <c r="L770" s="3">
        <v>79</v>
      </c>
      <c r="M770" s="4"/>
      <c r="N770" s="3">
        <v>2627.94</v>
      </c>
      <c r="O770" s="4" t="s">
        <v>34</v>
      </c>
      <c r="P770" s="4" t="s">
        <v>49</v>
      </c>
      <c r="Q770" s="4" t="s">
        <v>35</v>
      </c>
      <c r="R770" s="3">
        <v>541</v>
      </c>
      <c r="S770" s="3">
        <v>-8.6876200000000008</v>
      </c>
      <c r="T770" s="4" t="s">
        <v>726</v>
      </c>
      <c r="U770" s="2" t="s">
        <v>37</v>
      </c>
      <c r="V770" s="2" t="s">
        <v>37</v>
      </c>
      <c r="W770" s="2" t="s">
        <v>38</v>
      </c>
      <c r="X770" s="2" t="s">
        <v>38</v>
      </c>
      <c r="Y770" s="2" t="s">
        <v>38</v>
      </c>
      <c r="Z770" s="2" t="s">
        <v>37</v>
      </c>
      <c r="AA770" s="6">
        <v>3.774439589</v>
      </c>
      <c r="AB770" s="6">
        <v>2.7331972649999998</v>
      </c>
      <c r="AC770" s="6">
        <v>3.4196154449999998</v>
      </c>
      <c r="AD770" cm="1">
        <f t="array" ref="AD770">IF(SUMPRODUCT(--($AM$2:$AM$112=TRIM(LEFT($B770,IFERROR(FIND(" ",$B770)-1,LEN($B770))))))&gt;0,1,0)</f>
        <v>0</v>
      </c>
      <c r="AE770" cm="1">
        <f t="array" ref="AE770">IF(SUMPRODUCT(--($AO$2:$AO$145=TRIM(LEFT($B770,IFERROR(FIND(" ",$B770)-1,LEN($B770))))))&gt;0,1,0)</f>
        <v>0</v>
      </c>
      <c r="AF770" cm="1">
        <f t="array" ref="AF770">IF(SUMPRODUCT(--($AQ$2:$AQ$71=TRIM(LEFT($B770,IFERROR(FIND(" ",$B770)-1,LEN($B770))))))&gt;0,1,0)</f>
        <v>0</v>
      </c>
    </row>
    <row r="771" spans="1:32" ht="45.75" thickBot="1" x14ac:dyDescent="0.3">
      <c r="A771" s="13">
        <v>74</v>
      </c>
      <c r="B771" s="4" t="s">
        <v>1560</v>
      </c>
      <c r="C771" s="4" t="s">
        <v>613</v>
      </c>
      <c r="D771" s="7">
        <v>43802</v>
      </c>
      <c r="E771" s="3">
        <v>2211.6</v>
      </c>
      <c r="F771" s="4" t="s">
        <v>46</v>
      </c>
      <c r="G771" s="3">
        <v>5.55</v>
      </c>
      <c r="H771" s="4" t="s">
        <v>47</v>
      </c>
      <c r="I771" s="4" t="s">
        <v>47</v>
      </c>
      <c r="J771" s="4" t="s">
        <v>212</v>
      </c>
      <c r="K771" s="3">
        <v>30</v>
      </c>
      <c r="L771" s="3">
        <v>30</v>
      </c>
      <c r="M771" s="4"/>
      <c r="N771" s="2"/>
      <c r="O771" s="4" t="s">
        <v>34</v>
      </c>
      <c r="P771" s="4" t="s">
        <v>34</v>
      </c>
      <c r="Q771" s="4" t="s">
        <v>35</v>
      </c>
      <c r="R771" s="3">
        <v>21996</v>
      </c>
      <c r="S771" s="3">
        <v>3.2911899999999998</v>
      </c>
      <c r="T771" s="4" t="s">
        <v>43</v>
      </c>
      <c r="U771" s="2" t="s">
        <v>37</v>
      </c>
      <c r="V771" s="2" t="s">
        <v>37</v>
      </c>
      <c r="W771" s="2" t="s">
        <v>37</v>
      </c>
      <c r="X771" s="2" t="s">
        <v>37</v>
      </c>
      <c r="Y771" s="2" t="s">
        <v>37</v>
      </c>
      <c r="Z771" s="2" t="s">
        <v>37</v>
      </c>
      <c r="AA771" s="6">
        <v>3.3447065810000001</v>
      </c>
      <c r="AB771" s="6">
        <v>4.3423437109999998</v>
      </c>
      <c r="AC771" s="2"/>
      <c r="AD771" cm="1">
        <f t="array" ref="AD771">IF(SUMPRODUCT(--($AM$2:$AM$112=TRIM(LEFT($B771,IFERROR(FIND(" ",$B771)-1,LEN($B771))))))&gt;0,1,0)</f>
        <v>0</v>
      </c>
      <c r="AE771" cm="1">
        <f t="array" ref="AE771">IF(SUMPRODUCT(--($AO$2:$AO$145=TRIM(LEFT($B771,IFERROR(FIND(" ",$B771)-1,LEN($B771))))))&gt;0,1,0)</f>
        <v>0</v>
      </c>
      <c r="AF771" cm="1">
        <f t="array" ref="AF771">IF(SUMPRODUCT(--($AQ$2:$AQ$71=TRIM(LEFT($B771,IFERROR(FIND(" ",$B771)-1,LEN($B771))))))&gt;0,1,0)</f>
        <v>0</v>
      </c>
    </row>
    <row r="772" spans="1:32" ht="45.75" thickBot="1" x14ac:dyDescent="0.3">
      <c r="A772" s="13">
        <v>65</v>
      </c>
      <c r="B772" s="4" t="s">
        <v>1561</v>
      </c>
      <c r="C772" s="4" t="s">
        <v>456</v>
      </c>
      <c r="D772" s="7">
        <v>43815</v>
      </c>
      <c r="E772" s="3">
        <v>816.21</v>
      </c>
      <c r="F772" s="4" t="s">
        <v>46</v>
      </c>
      <c r="G772" s="3">
        <v>6.59</v>
      </c>
      <c r="H772" s="4" t="s">
        <v>47</v>
      </c>
      <c r="I772" s="4" t="s">
        <v>47</v>
      </c>
      <c r="J772" s="4" t="s">
        <v>48</v>
      </c>
      <c r="K772" s="3">
        <v>20</v>
      </c>
      <c r="L772" s="3">
        <v>20</v>
      </c>
      <c r="M772" s="3">
        <v>18.100000000000001</v>
      </c>
      <c r="N772" s="3">
        <v>568.86</v>
      </c>
      <c r="O772" s="4" t="s">
        <v>49</v>
      </c>
      <c r="P772" s="4" t="s">
        <v>49</v>
      </c>
      <c r="Q772" s="4" t="s">
        <v>35</v>
      </c>
      <c r="R772" s="3">
        <v>376.51100000000002</v>
      </c>
      <c r="S772" s="3">
        <v>12.2949</v>
      </c>
      <c r="T772" s="4" t="s">
        <v>43</v>
      </c>
      <c r="U772" s="2" t="s">
        <v>37</v>
      </c>
      <c r="V772" s="2" t="s">
        <v>37</v>
      </c>
      <c r="W772" s="2" t="s">
        <v>37</v>
      </c>
      <c r="X772" s="2" t="s">
        <v>37</v>
      </c>
      <c r="Y772" s="2" t="s">
        <v>37</v>
      </c>
      <c r="Z772" s="2" t="s">
        <v>37</v>
      </c>
      <c r="AA772" s="6">
        <v>2.911801911</v>
      </c>
      <c r="AB772" s="6">
        <v>2.5757776689999998</v>
      </c>
      <c r="AC772" s="6">
        <v>2.7550053970000001</v>
      </c>
      <c r="AD772" cm="1">
        <f t="array" ref="AD772">IF(SUMPRODUCT(--($AM$2:$AM$112=TRIM(LEFT($B772,IFERROR(FIND(" ",$B772)-1,LEN($B772))))))&gt;0,1,0)</f>
        <v>0</v>
      </c>
      <c r="AE772" cm="1">
        <f t="array" ref="AE772">IF(SUMPRODUCT(--($AO$2:$AO$145=TRIM(LEFT($B772,IFERROR(FIND(" ",$B772)-1,LEN($B772))))))&gt;0,1,0)</f>
        <v>0</v>
      </c>
      <c r="AF772" cm="1">
        <f t="array" ref="AF772">IF(SUMPRODUCT(--($AQ$2:$AQ$71=TRIM(LEFT($B772,IFERROR(FIND(" ",$B772)-1,LEN($B772))))))&gt;0,1,0)</f>
        <v>0</v>
      </c>
    </row>
    <row r="773" spans="1:32" ht="165.75" thickBot="1" x14ac:dyDescent="0.3">
      <c r="A773" s="13">
        <v>219</v>
      </c>
      <c r="B773" s="4" t="s">
        <v>1562</v>
      </c>
      <c r="C773" s="2"/>
      <c r="D773" s="7">
        <v>43593</v>
      </c>
      <c r="E773" s="3">
        <v>14133.84</v>
      </c>
      <c r="F773" s="4" t="s">
        <v>30</v>
      </c>
      <c r="G773" s="3">
        <v>12.06</v>
      </c>
      <c r="H773" s="4" t="s">
        <v>184</v>
      </c>
      <c r="I773" s="4" t="s">
        <v>251</v>
      </c>
      <c r="J773" s="4" t="s">
        <v>251</v>
      </c>
      <c r="K773" s="4"/>
      <c r="L773" s="3">
        <v>209.7</v>
      </c>
      <c r="M773" s="3">
        <v>12.19</v>
      </c>
      <c r="N773" s="3">
        <v>8220.74</v>
      </c>
      <c r="O773" s="4" t="s">
        <v>34</v>
      </c>
      <c r="P773" s="4" t="s">
        <v>360</v>
      </c>
      <c r="Q773" s="4" t="s">
        <v>35</v>
      </c>
      <c r="R773" s="3">
        <v>2578</v>
      </c>
      <c r="S773" s="3">
        <v>20.1614</v>
      </c>
      <c r="T773" s="4" t="s">
        <v>726</v>
      </c>
      <c r="U773" s="2" t="s">
        <v>37</v>
      </c>
      <c r="V773" s="2" t="s">
        <v>37</v>
      </c>
      <c r="W773" s="2" t="s">
        <v>38</v>
      </c>
      <c r="X773" s="2" t="s">
        <v>38</v>
      </c>
      <c r="Y773" s="2" t="s">
        <v>38</v>
      </c>
      <c r="Z773" s="2" t="s">
        <v>37</v>
      </c>
      <c r="AA773" s="6">
        <v>4.1502601710000002</v>
      </c>
      <c r="AB773" s="6">
        <v>3.411282913</v>
      </c>
      <c r="AC773" s="6">
        <v>3.9149109129999999</v>
      </c>
      <c r="AD773" cm="1">
        <f t="array" ref="AD773">IF(SUMPRODUCT(--($AM$2:$AM$112=TRIM(LEFT($B773,IFERROR(FIND(" ",$B773)-1,LEN($B773))))))&gt;0,1,0)</f>
        <v>0</v>
      </c>
      <c r="AE773" cm="1">
        <f t="array" ref="AE773">IF(SUMPRODUCT(--($AO$2:$AO$145=TRIM(LEFT($B773,IFERROR(FIND(" ",$B773)-1,LEN($B773))))))&gt;0,1,0)</f>
        <v>1</v>
      </c>
      <c r="AF773" cm="1">
        <f t="array" ref="AF773">IF(SUMPRODUCT(--($AQ$2:$AQ$71=TRIM(LEFT($B773,IFERROR(FIND(" ",$B773)-1,LEN($B773))))))&gt;0,1,0)</f>
        <v>0</v>
      </c>
    </row>
    <row r="774" spans="1:32" ht="75.75" thickBot="1" x14ac:dyDescent="0.3">
      <c r="A774" s="13">
        <v>71</v>
      </c>
      <c r="B774" s="4" t="s">
        <v>1563</v>
      </c>
      <c r="C774" s="4" t="s">
        <v>1196</v>
      </c>
      <c r="D774" s="7">
        <v>43801</v>
      </c>
      <c r="E774" s="3">
        <v>1166.52</v>
      </c>
      <c r="F774" s="4" t="s">
        <v>30</v>
      </c>
      <c r="G774" s="4"/>
      <c r="H774" s="4" t="s">
        <v>47</v>
      </c>
      <c r="I774" s="4" t="s">
        <v>47</v>
      </c>
      <c r="J774" s="4" t="s">
        <v>48</v>
      </c>
      <c r="K774" s="4"/>
      <c r="L774" s="3">
        <v>35</v>
      </c>
      <c r="M774" s="3">
        <v>29.84</v>
      </c>
      <c r="N774" s="3">
        <v>840.03</v>
      </c>
      <c r="O774" s="4" t="s">
        <v>49</v>
      </c>
      <c r="P774" s="4" t="s">
        <v>1197</v>
      </c>
      <c r="Q774" s="4" t="s">
        <v>35</v>
      </c>
      <c r="R774" s="2"/>
      <c r="S774" s="2"/>
      <c r="T774" s="4" t="s">
        <v>97</v>
      </c>
      <c r="U774" s="2" t="s">
        <v>37</v>
      </c>
      <c r="V774" s="2" t="s">
        <v>37</v>
      </c>
      <c r="W774" s="2" t="s">
        <v>38</v>
      </c>
      <c r="X774" s="2" t="s">
        <v>37</v>
      </c>
      <c r="Y774" s="2" t="s">
        <v>37</v>
      </c>
      <c r="Z774" s="2" t="s">
        <v>37</v>
      </c>
      <c r="AA774" s="6">
        <v>3.0668921889999998</v>
      </c>
      <c r="AB774" s="2"/>
      <c r="AC774" s="6">
        <v>2.9242947959999999</v>
      </c>
      <c r="AD774" cm="1">
        <f t="array" ref="AD774">IF(SUMPRODUCT(--($AM$2:$AM$112=TRIM(LEFT($B774,IFERROR(FIND(" ",$B774)-1,LEN($B774))))))&gt;0,1,0)</f>
        <v>1</v>
      </c>
      <c r="AE774" cm="1">
        <f t="array" ref="AE774">IF(SUMPRODUCT(--($AO$2:$AO$145=TRIM(LEFT($B774,IFERROR(FIND(" ",$B774)-1,LEN($B774))))))&gt;0,1,0)</f>
        <v>0</v>
      </c>
      <c r="AF774" cm="1">
        <f t="array" ref="AF774">IF(SUMPRODUCT(--($AQ$2:$AQ$71=TRIM(LEFT($B774,IFERROR(FIND(" ",$B774)-1,LEN($B774))))))&gt;0,1,0)</f>
        <v>0</v>
      </c>
    </row>
    <row r="775" spans="1:32" ht="270.75" thickBot="1" x14ac:dyDescent="0.3">
      <c r="A775" s="13">
        <v>99</v>
      </c>
      <c r="B775" s="4" t="s">
        <v>1564</v>
      </c>
      <c r="C775" s="2"/>
      <c r="D775" s="7">
        <v>43759</v>
      </c>
      <c r="E775" s="3">
        <v>666.21</v>
      </c>
      <c r="F775" s="4" t="s">
        <v>30</v>
      </c>
      <c r="G775" s="3">
        <v>2.15</v>
      </c>
      <c r="H775" s="4" t="s">
        <v>75</v>
      </c>
      <c r="I775" s="4" t="s">
        <v>83</v>
      </c>
      <c r="J775" s="4" t="s">
        <v>84</v>
      </c>
      <c r="K775" s="4"/>
      <c r="L775" s="4"/>
      <c r="M775" s="3">
        <v>12.2</v>
      </c>
      <c r="N775" s="3">
        <v>666.21</v>
      </c>
      <c r="O775" s="4" t="s">
        <v>49</v>
      </c>
      <c r="P775" s="4" t="s">
        <v>34</v>
      </c>
      <c r="Q775" s="4" t="s">
        <v>35</v>
      </c>
      <c r="R775" s="3">
        <v>6192.07</v>
      </c>
      <c r="S775" s="3">
        <v>7.5697200000000002</v>
      </c>
      <c r="T775" s="4" t="s">
        <v>1565</v>
      </c>
      <c r="U775" s="2" t="s">
        <v>38</v>
      </c>
      <c r="V775" s="2" t="s">
        <v>37</v>
      </c>
      <c r="W775" s="2" t="s">
        <v>38</v>
      </c>
      <c r="X775" s="2" t="s">
        <v>38</v>
      </c>
      <c r="Y775" s="2" t="s">
        <v>38</v>
      </c>
      <c r="Z775" s="2" t="s">
        <v>37</v>
      </c>
      <c r="AA775" s="6">
        <v>2.8236111469999998</v>
      </c>
      <c r="AB775" s="6">
        <v>3.7918358570000001</v>
      </c>
      <c r="AC775" s="6">
        <v>2.8236111469999998</v>
      </c>
      <c r="AD775" cm="1">
        <f t="array" ref="AD775">IF(SUMPRODUCT(--($AM$2:$AM$112=TRIM(LEFT($B775,IFERROR(FIND(" ",$B775)-1,LEN($B775))))))&gt;0,1,0)</f>
        <v>0</v>
      </c>
      <c r="AE775" cm="1">
        <f t="array" ref="AE775">IF(SUMPRODUCT(--($AO$2:$AO$145=TRIM(LEFT($B775,IFERROR(FIND(" ",$B775)-1,LEN($B775))))))&gt;0,1,0)</f>
        <v>0</v>
      </c>
      <c r="AF775" cm="1">
        <f t="array" ref="AF775">IF(SUMPRODUCT(--($AQ$2:$AQ$71=TRIM(LEFT($B775,IFERROR(FIND(" ",$B775)-1,LEN($B775))))))&gt;0,1,0)</f>
        <v>0</v>
      </c>
    </row>
    <row r="776" spans="1:32" ht="75.75" thickBot="1" x14ac:dyDescent="0.3">
      <c r="A776" s="13">
        <v>37</v>
      </c>
      <c r="B776" s="4" t="s">
        <v>1566</v>
      </c>
      <c r="C776" s="4" t="s">
        <v>1567</v>
      </c>
      <c r="D776" s="7">
        <v>43843</v>
      </c>
      <c r="E776" s="3">
        <v>750.53</v>
      </c>
      <c r="F776" s="4" t="s">
        <v>69</v>
      </c>
      <c r="G776" s="3">
        <v>16.989999999999998</v>
      </c>
      <c r="H776" s="4" t="s">
        <v>127</v>
      </c>
      <c r="I776" s="4" t="s">
        <v>128</v>
      </c>
      <c r="J776" s="4" t="s">
        <v>436</v>
      </c>
      <c r="K776" s="4"/>
      <c r="L776" s="3">
        <v>18.940000000000001</v>
      </c>
      <c r="M776" s="4"/>
      <c r="N776" s="3">
        <v>549.29</v>
      </c>
      <c r="O776" s="4" t="s">
        <v>34</v>
      </c>
      <c r="P776" s="4" t="s">
        <v>34</v>
      </c>
      <c r="Q776" s="4" t="s">
        <v>35</v>
      </c>
      <c r="R776" s="3">
        <v>316.67200000000003</v>
      </c>
      <c r="S776" s="3">
        <v>4.9290900000000004</v>
      </c>
      <c r="T776" s="4" t="s">
        <v>88</v>
      </c>
      <c r="U776" s="2" t="s">
        <v>37</v>
      </c>
      <c r="V776" s="2" t="s">
        <v>37</v>
      </c>
      <c r="W776" s="2" t="s">
        <v>37</v>
      </c>
      <c r="X776" s="2" t="s">
        <v>37</v>
      </c>
      <c r="Y776" s="2" t="s">
        <v>37</v>
      </c>
      <c r="Z776" s="2" t="s">
        <v>38</v>
      </c>
      <c r="AA776" s="6">
        <v>2.8753680560000001</v>
      </c>
      <c r="AB776" s="6">
        <v>2.5006096649999998</v>
      </c>
      <c r="AC776" s="6">
        <v>2.739801693</v>
      </c>
      <c r="AD776" cm="1">
        <f t="array" ref="AD776">IF(SUMPRODUCT(--($AM$2:$AM$112=TRIM(LEFT($B776,IFERROR(FIND(" ",$B776)-1,LEN($B776))))))&gt;0,1,0)</f>
        <v>0</v>
      </c>
      <c r="AE776" cm="1">
        <f t="array" ref="AE776">IF(SUMPRODUCT(--($AO$2:$AO$145=TRIM(LEFT($B776,IFERROR(FIND(" ",$B776)-1,LEN($B776))))))&gt;0,1,0)</f>
        <v>0</v>
      </c>
      <c r="AF776" cm="1">
        <f t="array" ref="AF776">IF(SUMPRODUCT(--($AQ$2:$AQ$71=TRIM(LEFT($B776,IFERROR(FIND(" ",$B776)-1,LEN($B776))))))&gt;0,1,0)</f>
        <v>0</v>
      </c>
    </row>
    <row r="777" spans="1:32" ht="75.75" thickBot="1" x14ac:dyDescent="0.3">
      <c r="A777" s="13">
        <v>31</v>
      </c>
      <c r="B777" s="4" t="s">
        <v>1568</v>
      </c>
      <c r="C777" s="4" t="s">
        <v>40</v>
      </c>
      <c r="D777" s="7">
        <v>43840</v>
      </c>
      <c r="E777" s="3">
        <v>1031.52</v>
      </c>
      <c r="F777" s="4" t="s">
        <v>30</v>
      </c>
      <c r="G777" s="4"/>
      <c r="H777" s="4" t="s">
        <v>41</v>
      </c>
      <c r="I777" s="4" t="s">
        <v>41</v>
      </c>
      <c r="J777" s="4" t="s">
        <v>42</v>
      </c>
      <c r="K777" s="4"/>
      <c r="L777" s="3">
        <v>40</v>
      </c>
      <c r="M777" s="3">
        <v>29.85</v>
      </c>
      <c r="N777" s="3">
        <v>1022.27</v>
      </c>
      <c r="O777" s="4" t="s">
        <v>34</v>
      </c>
      <c r="P777" s="4" t="s">
        <v>34</v>
      </c>
      <c r="Q777" s="4" t="s">
        <v>35</v>
      </c>
      <c r="R777" s="3">
        <v>42.338999999999999</v>
      </c>
      <c r="S777" s="3">
        <v>-246.995</v>
      </c>
      <c r="T777" s="4" t="s">
        <v>88</v>
      </c>
      <c r="U777" s="2" t="s">
        <v>37</v>
      </c>
      <c r="V777" s="2" t="s">
        <v>37</v>
      </c>
      <c r="W777" s="2" t="s">
        <v>37</v>
      </c>
      <c r="X777" s="2" t="s">
        <v>37</v>
      </c>
      <c r="Y777" s="2" t="s">
        <v>37</v>
      </c>
      <c r="Z777" s="2" t="s">
        <v>38</v>
      </c>
      <c r="AA777" s="6">
        <v>3.0134776529999998</v>
      </c>
      <c r="AB777" s="6">
        <v>1.6267405960000001</v>
      </c>
      <c r="AC777" s="6">
        <v>3.0095656160000002</v>
      </c>
      <c r="AD777" cm="1">
        <f t="array" ref="AD777">IF(SUMPRODUCT(--($AM$2:$AM$112=TRIM(LEFT($B777,IFERROR(FIND(" ",$B777)-1,LEN($B777))))))&gt;0,1,0)</f>
        <v>0</v>
      </c>
      <c r="AE777" cm="1">
        <f t="array" ref="AE777">IF(SUMPRODUCT(--($AO$2:$AO$145=TRIM(LEFT($B777,IFERROR(FIND(" ",$B777)-1,LEN($B777))))))&gt;0,1,0)</f>
        <v>0</v>
      </c>
      <c r="AF777" cm="1">
        <f t="array" ref="AF777">IF(SUMPRODUCT(--($AQ$2:$AQ$71=TRIM(LEFT($B777,IFERROR(FIND(" ",$B777)-1,LEN($B777))))))&gt;0,1,0)</f>
        <v>0</v>
      </c>
    </row>
    <row r="778" spans="1:32" ht="120.75" thickBot="1" x14ac:dyDescent="0.3">
      <c r="A778" s="13">
        <v>49</v>
      </c>
      <c r="B778" s="4" t="s">
        <v>1569</v>
      </c>
      <c r="C778" s="4" t="s">
        <v>1570</v>
      </c>
      <c r="D778" s="7">
        <v>43812</v>
      </c>
      <c r="E778" s="3">
        <v>5959.24</v>
      </c>
      <c r="F778" s="4" t="s">
        <v>107</v>
      </c>
      <c r="G778" s="4"/>
      <c r="H778" s="4" t="s">
        <v>65</v>
      </c>
      <c r="I778" s="4" t="s">
        <v>206</v>
      </c>
      <c r="J778" s="4" t="s">
        <v>206</v>
      </c>
      <c r="K778" s="4"/>
      <c r="L778" s="4"/>
      <c r="M778" s="3">
        <v>2.13</v>
      </c>
      <c r="N778" s="3">
        <v>5959.24</v>
      </c>
      <c r="O778" s="4" t="s">
        <v>49</v>
      </c>
      <c r="P778" s="4" t="s">
        <v>49</v>
      </c>
      <c r="Q778" s="4" t="s">
        <v>35</v>
      </c>
      <c r="R778" s="3">
        <v>26545</v>
      </c>
      <c r="S778" s="3">
        <v>16.098700000000001</v>
      </c>
      <c r="T778" s="4" t="s">
        <v>321</v>
      </c>
      <c r="U778" s="2" t="s">
        <v>38</v>
      </c>
      <c r="V778" s="2" t="s">
        <v>37</v>
      </c>
      <c r="W778" s="2" t="s">
        <v>37</v>
      </c>
      <c r="X778" s="2" t="s">
        <v>37</v>
      </c>
      <c r="Y778" s="2" t="s">
        <v>37</v>
      </c>
      <c r="Z778" s="2" t="s">
        <v>37</v>
      </c>
      <c r="AA778" s="6">
        <v>3.7751908759999999</v>
      </c>
      <c r="AB778" s="6">
        <v>4.4239827299999996</v>
      </c>
      <c r="AC778" s="6">
        <v>3.7751908759999999</v>
      </c>
      <c r="AD778" cm="1">
        <f t="array" ref="AD778">IF(SUMPRODUCT(--($AM$2:$AM$112=TRIM(LEFT($B778,IFERROR(FIND(" ",$B778)-1,LEN($B778))))))&gt;0,1,0)</f>
        <v>0</v>
      </c>
      <c r="AE778" cm="1">
        <f t="array" ref="AE778">IF(SUMPRODUCT(--($AO$2:$AO$145=TRIM(LEFT($B778,IFERROR(FIND(" ",$B778)-1,LEN($B778))))))&gt;0,1,0)</f>
        <v>0</v>
      </c>
      <c r="AF778" cm="1">
        <f t="array" ref="AF778">IF(SUMPRODUCT(--($AQ$2:$AQ$71=TRIM(LEFT($B778,IFERROR(FIND(" ",$B778)-1,LEN($B778))))))&gt;0,1,0)</f>
        <v>0</v>
      </c>
    </row>
    <row r="779" spans="1:32" ht="75.75" thickBot="1" x14ac:dyDescent="0.3">
      <c r="A779" s="13">
        <v>70</v>
      </c>
      <c r="B779" s="4" t="s">
        <v>1571</v>
      </c>
      <c r="C779" s="4" t="s">
        <v>1572</v>
      </c>
      <c r="D779" s="7">
        <v>43780</v>
      </c>
      <c r="E779" s="3">
        <v>520.6</v>
      </c>
      <c r="F779" s="4" t="s">
        <v>30</v>
      </c>
      <c r="G779" s="3">
        <v>14.99</v>
      </c>
      <c r="H779" s="4" t="s">
        <v>65</v>
      </c>
      <c r="I779" s="4" t="s">
        <v>138</v>
      </c>
      <c r="J779" s="4" t="s">
        <v>176</v>
      </c>
      <c r="K779" s="3">
        <v>35.299999999999997</v>
      </c>
      <c r="L779" s="3">
        <v>19</v>
      </c>
      <c r="M779" s="4"/>
      <c r="N779" s="3">
        <v>520.6</v>
      </c>
      <c r="O779" s="4" t="s">
        <v>34</v>
      </c>
      <c r="P779" s="4" t="s">
        <v>34</v>
      </c>
      <c r="Q779" s="4" t="s">
        <v>35</v>
      </c>
      <c r="R779" s="3">
        <v>1469.3</v>
      </c>
      <c r="S779" s="3">
        <v>2.0422600000000002</v>
      </c>
      <c r="T779" s="4" t="s">
        <v>113</v>
      </c>
      <c r="U779" s="2" t="s">
        <v>37</v>
      </c>
      <c r="V779" s="2" t="s">
        <v>37</v>
      </c>
      <c r="W779" s="2" t="s">
        <v>37</v>
      </c>
      <c r="X779" s="2" t="s">
        <v>38</v>
      </c>
      <c r="Y779" s="2" t="s">
        <v>37</v>
      </c>
      <c r="Z779" s="2" t="s">
        <v>37</v>
      </c>
      <c r="AA779" s="6">
        <v>2.7165041639999998</v>
      </c>
      <c r="AB779" s="6">
        <v>3.1671104790000002</v>
      </c>
      <c r="AC779" s="6">
        <v>2.7165041639999998</v>
      </c>
      <c r="AD779" cm="1">
        <f t="array" ref="AD779">IF(SUMPRODUCT(--($AM$2:$AM$112=TRIM(LEFT($B779,IFERROR(FIND(" ",$B779)-1,LEN($B779))))))&gt;0,1,0)</f>
        <v>0</v>
      </c>
      <c r="AE779" cm="1">
        <f t="array" ref="AE779">IF(SUMPRODUCT(--($AO$2:$AO$145=TRIM(LEFT($B779,IFERROR(FIND(" ",$B779)-1,LEN($B779))))))&gt;0,1,0)</f>
        <v>0</v>
      </c>
      <c r="AF779" cm="1">
        <f t="array" ref="AF779">IF(SUMPRODUCT(--($AQ$2:$AQ$71=TRIM(LEFT($B779,IFERROR(FIND(" ",$B779)-1,LEN($B779))))))&gt;0,1,0)</f>
        <v>0</v>
      </c>
    </row>
    <row r="780" spans="1:32" ht="135.75" thickBot="1" x14ac:dyDescent="0.3">
      <c r="A780" s="13">
        <v>81</v>
      </c>
      <c r="B780" s="4" t="s">
        <v>1573</v>
      </c>
      <c r="C780" s="4" t="s">
        <v>1574</v>
      </c>
      <c r="D780" s="7">
        <v>43759</v>
      </c>
      <c r="E780" s="3">
        <v>979.88</v>
      </c>
      <c r="F780" s="4" t="s">
        <v>30</v>
      </c>
      <c r="G780" s="3">
        <v>9.18</v>
      </c>
      <c r="H780" s="4" t="s">
        <v>47</v>
      </c>
      <c r="I780" s="4" t="s">
        <v>47</v>
      </c>
      <c r="J780" s="4" t="s">
        <v>875</v>
      </c>
      <c r="K780" s="3">
        <v>40</v>
      </c>
      <c r="L780" s="3">
        <v>20.6</v>
      </c>
      <c r="M780" s="4"/>
      <c r="N780" s="3">
        <v>630.12</v>
      </c>
      <c r="O780" s="4" t="s">
        <v>34</v>
      </c>
      <c r="P780" s="4" t="s">
        <v>34</v>
      </c>
      <c r="Q780" s="4" t="s">
        <v>35</v>
      </c>
      <c r="R780" s="3">
        <v>801.84199999999998</v>
      </c>
      <c r="S780" s="3">
        <v>7.3987699999999998</v>
      </c>
      <c r="T780" s="4" t="s">
        <v>312</v>
      </c>
      <c r="U780" s="2" t="s">
        <v>37</v>
      </c>
      <c r="V780" s="2" t="s">
        <v>37</v>
      </c>
      <c r="W780" s="2" t="s">
        <v>37</v>
      </c>
      <c r="X780" s="2" t="s">
        <v>38</v>
      </c>
      <c r="Y780" s="2" t="s">
        <v>38</v>
      </c>
      <c r="Z780" s="2" t="s">
        <v>37</v>
      </c>
      <c r="AA780" s="6">
        <v>2.991172894</v>
      </c>
      <c r="AB780" s="6">
        <v>2.9040888009999999</v>
      </c>
      <c r="AC780" s="6">
        <v>2.7994232640000001</v>
      </c>
      <c r="AD780" cm="1">
        <f t="array" ref="AD780">IF(SUMPRODUCT(--($AM$2:$AM$112=TRIM(LEFT($B780,IFERROR(FIND(" ",$B780)-1,LEN($B780))))))&gt;0,1,0)</f>
        <v>0</v>
      </c>
      <c r="AE780" cm="1">
        <f t="array" ref="AE780">IF(SUMPRODUCT(--($AO$2:$AO$145=TRIM(LEFT($B780,IFERROR(FIND(" ",$B780)-1,LEN($B780))))))&gt;0,1,0)</f>
        <v>0</v>
      </c>
      <c r="AF780" cm="1">
        <f t="array" ref="AF780">IF(SUMPRODUCT(--($AQ$2:$AQ$71=TRIM(LEFT($B780,IFERROR(FIND(" ",$B780)-1,LEN($B780))))))&gt;0,1,0)</f>
        <v>0</v>
      </c>
    </row>
    <row r="781" spans="1:32" ht="75.75" thickBot="1" x14ac:dyDescent="0.3">
      <c r="A781" s="13">
        <v>46</v>
      </c>
      <c r="B781" s="4" t="s">
        <v>1575</v>
      </c>
      <c r="C781" s="4" t="s">
        <v>398</v>
      </c>
      <c r="D781" s="7">
        <v>43808</v>
      </c>
      <c r="E781" s="3">
        <v>871.9</v>
      </c>
      <c r="F781" s="4" t="s">
        <v>30</v>
      </c>
      <c r="G781" s="4"/>
      <c r="H781" s="4" t="s">
        <v>41</v>
      </c>
      <c r="I781" s="4" t="s">
        <v>41</v>
      </c>
      <c r="J781" s="4" t="s">
        <v>100</v>
      </c>
      <c r="K781" s="4"/>
      <c r="L781" s="3">
        <v>15</v>
      </c>
      <c r="M781" s="3">
        <v>-13.22</v>
      </c>
      <c r="N781" s="3">
        <v>303.89999999999998</v>
      </c>
      <c r="O781" s="4" t="s">
        <v>34</v>
      </c>
      <c r="P781" s="4" t="s">
        <v>34</v>
      </c>
      <c r="Q781" s="4" t="s">
        <v>35</v>
      </c>
      <c r="R781" s="3">
        <v>5492.52</v>
      </c>
      <c r="S781" s="3">
        <v>-11.7973</v>
      </c>
      <c r="T781" s="4" t="s">
        <v>88</v>
      </c>
      <c r="U781" s="2" t="s">
        <v>37</v>
      </c>
      <c r="V781" s="2" t="s">
        <v>37</v>
      </c>
      <c r="W781" s="2" t="s">
        <v>37</v>
      </c>
      <c r="X781" s="2" t="s">
        <v>37</v>
      </c>
      <c r="Y781" s="2" t="s">
        <v>37</v>
      </c>
      <c r="Z781" s="2" t="s">
        <v>38</v>
      </c>
      <c r="AA781" s="6">
        <v>2.9404666779999999</v>
      </c>
      <c r="AB781" s="6">
        <v>3.739771647</v>
      </c>
      <c r="AC781" s="6">
        <v>2.4827306999999998</v>
      </c>
      <c r="AD781" cm="1">
        <f t="array" ref="AD781">IF(SUMPRODUCT(--($AM$2:$AM$112=TRIM(LEFT($B781,IFERROR(FIND(" ",$B781)-1,LEN($B781))))))&gt;0,1,0)</f>
        <v>0</v>
      </c>
      <c r="AE781" cm="1">
        <f t="array" ref="AE781">IF(SUMPRODUCT(--($AO$2:$AO$145=TRIM(LEFT($B781,IFERROR(FIND(" ",$B781)-1,LEN($B781))))))&gt;0,1,0)</f>
        <v>0</v>
      </c>
      <c r="AF781" cm="1">
        <f t="array" ref="AF781">IF(SUMPRODUCT(--($AQ$2:$AQ$71=TRIM(LEFT($B781,IFERROR(FIND(" ",$B781)-1,LEN($B781))))))&gt;0,1,0)</f>
        <v>0</v>
      </c>
    </row>
    <row r="782" spans="1:32" ht="75.75" thickBot="1" x14ac:dyDescent="0.3">
      <c r="A782" s="13">
        <v>67</v>
      </c>
      <c r="B782" s="4" t="s">
        <v>1576</v>
      </c>
      <c r="C782" s="4" t="s">
        <v>1577</v>
      </c>
      <c r="D782" s="7">
        <v>43775</v>
      </c>
      <c r="E782" s="3">
        <v>2152.13</v>
      </c>
      <c r="F782" s="4" t="s">
        <v>107</v>
      </c>
      <c r="G782" s="3">
        <v>18.989999999999998</v>
      </c>
      <c r="H782" s="4" t="s">
        <v>75</v>
      </c>
      <c r="I782" s="4" t="s">
        <v>76</v>
      </c>
      <c r="J782" s="4" t="s">
        <v>77</v>
      </c>
      <c r="K782" s="3">
        <v>40</v>
      </c>
      <c r="L782" s="3">
        <v>18</v>
      </c>
      <c r="M782" s="3">
        <v>15.1</v>
      </c>
      <c r="N782" s="3">
        <v>738.28</v>
      </c>
      <c r="O782" s="4" t="s">
        <v>34</v>
      </c>
      <c r="P782" s="4" t="s">
        <v>34</v>
      </c>
      <c r="Q782" s="4" t="s">
        <v>35</v>
      </c>
      <c r="R782" s="3">
        <v>2087.17</v>
      </c>
      <c r="S782" s="3">
        <v>5.0505199999999997</v>
      </c>
      <c r="T782" s="4" t="s">
        <v>43</v>
      </c>
      <c r="U782" s="2" t="s">
        <v>37</v>
      </c>
      <c r="V782" s="2" t="s">
        <v>37</v>
      </c>
      <c r="W782" s="2" t="s">
        <v>37</v>
      </c>
      <c r="X782" s="2" t="s">
        <v>37</v>
      </c>
      <c r="Y782" s="2" t="s">
        <v>37</v>
      </c>
      <c r="Z782" s="2" t="s">
        <v>37</v>
      </c>
      <c r="AA782" s="6">
        <v>3.3328685010000001</v>
      </c>
      <c r="AB782" s="6">
        <v>3.3195578239999999</v>
      </c>
      <c r="AC782" s="6">
        <v>2.8682211039999999</v>
      </c>
      <c r="AD782" cm="1">
        <f t="array" ref="AD782">IF(SUMPRODUCT(--($AM$2:$AM$112=TRIM(LEFT($B782,IFERROR(FIND(" ",$B782)-1,LEN($B782))))))&gt;0,1,0)</f>
        <v>0</v>
      </c>
      <c r="AE782" cm="1">
        <f t="array" ref="AE782">IF(SUMPRODUCT(--($AO$2:$AO$145=TRIM(LEFT($B782,IFERROR(FIND(" ",$B782)-1,LEN($B782))))))&gt;0,1,0)</f>
        <v>0</v>
      </c>
      <c r="AF782" cm="1">
        <f t="array" ref="AF782">IF(SUMPRODUCT(--($AQ$2:$AQ$71=TRIM(LEFT($B782,IFERROR(FIND(" ",$B782)-1,LEN($B782))))))&gt;0,1,0)</f>
        <v>0</v>
      </c>
    </row>
    <row r="783" spans="1:32" ht="45.75" thickBot="1" x14ac:dyDescent="0.3">
      <c r="A783" s="13">
        <v>72</v>
      </c>
      <c r="B783" s="4" t="s">
        <v>1578</v>
      </c>
      <c r="C783" s="4" t="s">
        <v>1039</v>
      </c>
      <c r="D783" s="7">
        <v>43765</v>
      </c>
      <c r="E783" s="3">
        <v>12340.51</v>
      </c>
      <c r="F783" s="4" t="s">
        <v>46</v>
      </c>
      <c r="G783" s="3">
        <v>29.32</v>
      </c>
      <c r="H783" s="4" t="s">
        <v>51</v>
      </c>
      <c r="I783" s="4" t="s">
        <v>51</v>
      </c>
      <c r="J783" s="4" t="s">
        <v>79</v>
      </c>
      <c r="K783" s="3">
        <v>150</v>
      </c>
      <c r="L783" s="3">
        <v>325</v>
      </c>
      <c r="M783" s="3">
        <v>16.41</v>
      </c>
      <c r="N783" s="3">
        <v>9277.17</v>
      </c>
      <c r="O783" s="4" t="s">
        <v>34</v>
      </c>
      <c r="P783" s="4" t="s">
        <v>34</v>
      </c>
      <c r="Q783" s="4" t="s">
        <v>35</v>
      </c>
      <c r="R783" s="3">
        <v>704.88900000000001</v>
      </c>
      <c r="S783" s="3">
        <v>36.7256</v>
      </c>
      <c r="T783" s="4" t="s">
        <v>43</v>
      </c>
      <c r="U783" s="2" t="s">
        <v>37</v>
      </c>
      <c r="V783" s="2" t="s">
        <v>37</v>
      </c>
      <c r="W783" s="2" t="s">
        <v>37</v>
      </c>
      <c r="X783" s="2" t="s">
        <v>37</v>
      </c>
      <c r="Y783" s="2" t="s">
        <v>37</v>
      </c>
      <c r="Z783" s="2" t="s">
        <v>37</v>
      </c>
      <c r="AA783" s="6">
        <v>4.0913331079999997</v>
      </c>
      <c r="AB783" s="6">
        <v>2.848120733</v>
      </c>
      <c r="AC783" s="6">
        <v>3.9674155149999999</v>
      </c>
      <c r="AD783" cm="1">
        <f t="array" ref="AD783">IF(SUMPRODUCT(--($AM$2:$AM$112=TRIM(LEFT($B783,IFERROR(FIND(" ",$B783)-1,LEN($B783))))))&gt;0,1,0)</f>
        <v>0</v>
      </c>
      <c r="AE783" cm="1">
        <f t="array" ref="AE783">IF(SUMPRODUCT(--($AO$2:$AO$145=TRIM(LEFT($B783,IFERROR(FIND(" ",$B783)-1,LEN($B783))))))&gt;0,1,0)</f>
        <v>0</v>
      </c>
      <c r="AF783" cm="1">
        <f t="array" ref="AF783">IF(SUMPRODUCT(--($AQ$2:$AQ$71=TRIM(LEFT($B783,IFERROR(FIND(" ",$B783)-1,LEN($B783))))))&gt;0,1,0)</f>
        <v>0</v>
      </c>
    </row>
    <row r="784" spans="1:32" ht="45.75" thickBot="1" x14ac:dyDescent="0.3">
      <c r="A784" s="13">
        <v>52</v>
      </c>
      <c r="B784" s="4" t="s">
        <v>1579</v>
      </c>
      <c r="C784" s="4" t="s">
        <v>1189</v>
      </c>
      <c r="D784" s="7">
        <v>43794</v>
      </c>
      <c r="E784" s="3">
        <v>3520.36</v>
      </c>
      <c r="F784" s="4" t="s">
        <v>46</v>
      </c>
      <c r="G784" s="3">
        <v>12.21</v>
      </c>
      <c r="H784" s="4" t="s">
        <v>47</v>
      </c>
      <c r="I784" s="4" t="s">
        <v>47</v>
      </c>
      <c r="J784" s="4" t="s">
        <v>48</v>
      </c>
      <c r="K784" s="3">
        <v>268.7</v>
      </c>
      <c r="L784" s="3">
        <v>196.87</v>
      </c>
      <c r="M784" s="3">
        <v>29.47</v>
      </c>
      <c r="N784" s="3">
        <v>3552.83</v>
      </c>
      <c r="O784" s="4" t="s">
        <v>49</v>
      </c>
      <c r="P784" s="4" t="s">
        <v>49</v>
      </c>
      <c r="Q784" s="4" t="s">
        <v>35</v>
      </c>
      <c r="R784" s="2"/>
      <c r="S784" s="2"/>
      <c r="T784" s="4" t="s">
        <v>43</v>
      </c>
      <c r="U784" s="2" t="s">
        <v>37</v>
      </c>
      <c r="V784" s="2" t="s">
        <v>37</v>
      </c>
      <c r="W784" s="2" t="s">
        <v>37</v>
      </c>
      <c r="X784" s="2" t="s">
        <v>37</v>
      </c>
      <c r="Y784" s="2" t="s">
        <v>37</v>
      </c>
      <c r="Z784" s="2" t="s">
        <v>37</v>
      </c>
      <c r="AA784" s="6">
        <v>3.5465870779999999</v>
      </c>
      <c r="AB784" s="2"/>
      <c r="AC784" s="6">
        <v>3.5505744269999999</v>
      </c>
      <c r="AD784" cm="1">
        <f t="array" ref="AD784">IF(SUMPRODUCT(--($AM$2:$AM$112=TRIM(LEFT($B784,IFERROR(FIND(" ",$B784)-1,LEN($B784))))))&gt;0,1,0)</f>
        <v>0</v>
      </c>
      <c r="AE784" cm="1">
        <f t="array" ref="AE784">IF(SUMPRODUCT(--($AO$2:$AO$145=TRIM(LEFT($B784,IFERROR(FIND(" ",$B784)-1,LEN($B784))))))&gt;0,1,0)</f>
        <v>0</v>
      </c>
      <c r="AF784" cm="1">
        <f t="array" ref="AF784">IF(SUMPRODUCT(--($AQ$2:$AQ$71=TRIM(LEFT($B784,IFERROR(FIND(" ",$B784)-1,LEN($B784))))))&gt;0,1,0)</f>
        <v>0</v>
      </c>
    </row>
    <row r="785" spans="1:32" ht="75.75" thickBot="1" x14ac:dyDescent="0.3">
      <c r="A785" s="13">
        <v>60</v>
      </c>
      <c r="B785" s="4" t="s">
        <v>1580</v>
      </c>
      <c r="C785" s="4" t="s">
        <v>1047</v>
      </c>
      <c r="D785" s="7">
        <v>43781</v>
      </c>
      <c r="E785" s="3">
        <v>1437.04</v>
      </c>
      <c r="F785" s="4" t="s">
        <v>30</v>
      </c>
      <c r="G785" s="3">
        <v>10.62</v>
      </c>
      <c r="H785" s="4" t="s">
        <v>47</v>
      </c>
      <c r="I785" s="4" t="s">
        <v>47</v>
      </c>
      <c r="J785" s="4" t="s">
        <v>542</v>
      </c>
      <c r="K785" s="3">
        <v>75</v>
      </c>
      <c r="L785" s="3">
        <v>40</v>
      </c>
      <c r="M785" s="3">
        <v>25.4</v>
      </c>
      <c r="N785" s="3">
        <v>1283.46</v>
      </c>
      <c r="O785" s="4" t="s">
        <v>34</v>
      </c>
      <c r="P785" s="4" t="s">
        <v>147</v>
      </c>
      <c r="Q785" s="4" t="s">
        <v>35</v>
      </c>
      <c r="R785" s="3">
        <v>528.05999999999995</v>
      </c>
      <c r="S785" s="3">
        <v>17.7819</v>
      </c>
      <c r="T785" s="4" t="s">
        <v>97</v>
      </c>
      <c r="U785" s="2" t="s">
        <v>37</v>
      </c>
      <c r="V785" s="2" t="s">
        <v>37</v>
      </c>
      <c r="W785" s="2" t="s">
        <v>38</v>
      </c>
      <c r="X785" s="2" t="s">
        <v>37</v>
      </c>
      <c r="Y785" s="2" t="s">
        <v>37</v>
      </c>
      <c r="Z785" s="2" t="s">
        <v>37</v>
      </c>
      <c r="AA785" s="6">
        <v>3.157468857</v>
      </c>
      <c r="AB785" s="6">
        <v>2.7226832710000002</v>
      </c>
      <c r="AC785" s="6">
        <v>3.1083823380000002</v>
      </c>
      <c r="AD785" cm="1">
        <f t="array" ref="AD785">IF(SUMPRODUCT(--($AM$2:$AM$112=TRIM(LEFT($B785,IFERROR(FIND(" ",$B785)-1,LEN($B785))))))&gt;0,1,0)</f>
        <v>0</v>
      </c>
      <c r="AE785" cm="1">
        <f t="array" ref="AE785">IF(SUMPRODUCT(--($AO$2:$AO$145=TRIM(LEFT($B785,IFERROR(FIND(" ",$B785)-1,LEN($B785))))))&gt;0,1,0)</f>
        <v>0</v>
      </c>
      <c r="AF785" cm="1">
        <f t="array" ref="AF785">IF(SUMPRODUCT(--($AQ$2:$AQ$71=TRIM(LEFT($B785,IFERROR(FIND(" ",$B785)-1,LEN($B785))))))&gt;0,1,0)</f>
        <v>0</v>
      </c>
    </row>
    <row r="786" spans="1:32" ht="105.75" thickBot="1" x14ac:dyDescent="0.3">
      <c r="A786" s="13">
        <v>74</v>
      </c>
      <c r="B786" s="4" t="s">
        <v>1581</v>
      </c>
      <c r="C786" s="4" t="s">
        <v>536</v>
      </c>
      <c r="D786" s="7">
        <v>43760</v>
      </c>
      <c r="E786" s="3">
        <v>2774.89</v>
      </c>
      <c r="F786" s="4" t="s">
        <v>30</v>
      </c>
      <c r="G786" s="3">
        <v>13.27</v>
      </c>
      <c r="H786" s="4" t="s">
        <v>31</v>
      </c>
      <c r="I786" s="4" t="s">
        <v>32</v>
      </c>
      <c r="J786" s="4" t="s">
        <v>33</v>
      </c>
      <c r="K786" s="3">
        <v>91.8</v>
      </c>
      <c r="L786" s="3">
        <v>53.55</v>
      </c>
      <c r="M786" s="3">
        <v>27.05</v>
      </c>
      <c r="N786" s="3">
        <v>1483.84</v>
      </c>
      <c r="O786" s="4" t="s">
        <v>34</v>
      </c>
      <c r="P786" s="4" t="s">
        <v>34</v>
      </c>
      <c r="Q786" s="4" t="s">
        <v>35</v>
      </c>
      <c r="R786" s="3">
        <v>730.37300000000005</v>
      </c>
      <c r="S786" s="3">
        <v>8.8608899999999995</v>
      </c>
      <c r="T786" s="4" t="s">
        <v>1346</v>
      </c>
      <c r="U786" s="2" t="s">
        <v>37</v>
      </c>
      <c r="V786" s="2" t="s">
        <v>37</v>
      </c>
      <c r="W786" s="2" t="s">
        <v>37</v>
      </c>
      <c r="X786" s="2" t="s">
        <v>37</v>
      </c>
      <c r="Y786" s="2" t="s">
        <v>38</v>
      </c>
      <c r="Z786" s="2" t="s">
        <v>37</v>
      </c>
      <c r="AA786" s="6">
        <v>3.443245772</v>
      </c>
      <c r="AB786" s="6">
        <v>2.8635447100000002</v>
      </c>
      <c r="AC786" s="6">
        <v>3.1713870740000001</v>
      </c>
      <c r="AD786" cm="1">
        <f t="array" ref="AD786">IF(SUMPRODUCT(--($AM$2:$AM$112=TRIM(LEFT($B786,IFERROR(FIND(" ",$B786)-1,LEN($B786))))))&gt;0,1,0)</f>
        <v>0</v>
      </c>
      <c r="AE786" cm="1">
        <f t="array" ref="AE786">IF(SUMPRODUCT(--($AO$2:$AO$145=TRIM(LEFT($B786,IFERROR(FIND(" ",$B786)-1,LEN($B786))))))&gt;0,1,0)</f>
        <v>1</v>
      </c>
      <c r="AF786" cm="1">
        <f t="array" ref="AF786">IF(SUMPRODUCT(--($AQ$2:$AQ$71=TRIM(LEFT($B786,IFERROR(FIND(" ",$B786)-1,LEN($B786))))))&gt;0,1,0)</f>
        <v>0</v>
      </c>
    </row>
    <row r="787" spans="1:32" ht="60.75" thickBot="1" x14ac:dyDescent="0.3">
      <c r="A787" s="13">
        <v>218</v>
      </c>
      <c r="B787" s="4" t="s">
        <v>1582</v>
      </c>
      <c r="C787" s="4" t="s">
        <v>1204</v>
      </c>
      <c r="D787" s="7">
        <v>43551</v>
      </c>
      <c r="E787" s="3">
        <v>13534.24</v>
      </c>
      <c r="F787" s="4" t="s">
        <v>107</v>
      </c>
      <c r="G787" s="3">
        <v>14.02</v>
      </c>
      <c r="H787" s="4" t="s">
        <v>41</v>
      </c>
      <c r="I787" s="4" t="s">
        <v>41</v>
      </c>
      <c r="J787" s="4" t="s">
        <v>100</v>
      </c>
      <c r="K787" s="3">
        <v>908.19200000000001</v>
      </c>
      <c r="L787" s="3">
        <v>609.19100000000003</v>
      </c>
      <c r="M787" s="3">
        <v>30.03</v>
      </c>
      <c r="N787" s="3">
        <v>15891.84</v>
      </c>
      <c r="O787" s="4" t="s">
        <v>34</v>
      </c>
      <c r="P787" s="4" t="s">
        <v>34</v>
      </c>
      <c r="Q787" s="4" t="s">
        <v>35</v>
      </c>
      <c r="R787" s="3">
        <v>20414.099999999999</v>
      </c>
      <c r="S787" s="3">
        <v>3.4606599999999998</v>
      </c>
      <c r="T787" s="4" t="s">
        <v>43</v>
      </c>
      <c r="U787" s="2" t="s">
        <v>37</v>
      </c>
      <c r="V787" s="2" t="s">
        <v>37</v>
      </c>
      <c r="W787" s="2" t="s">
        <v>37</v>
      </c>
      <c r="X787" s="2" t="s">
        <v>37</v>
      </c>
      <c r="Y787" s="2" t="s">
        <v>37</v>
      </c>
      <c r="Z787" s="2" t="s">
        <v>37</v>
      </c>
      <c r="AA787" s="6">
        <v>4.1314338729999998</v>
      </c>
      <c r="AB787" s="6">
        <v>4.3099302379999997</v>
      </c>
      <c r="AC787" s="6">
        <v>4.2011741840000001</v>
      </c>
      <c r="AD787" cm="1">
        <f t="array" ref="AD787">IF(SUMPRODUCT(--($AM$2:$AM$112=TRIM(LEFT($B787,IFERROR(FIND(" ",$B787)-1,LEN($B787))))))&gt;0,1,0)</f>
        <v>0</v>
      </c>
      <c r="AE787" cm="1">
        <f t="array" ref="AE787">IF(SUMPRODUCT(--($AO$2:$AO$145=TRIM(LEFT($B787,IFERROR(FIND(" ",$B787)-1,LEN($B787))))))&gt;0,1,0)</f>
        <v>0</v>
      </c>
      <c r="AF787" cm="1">
        <f t="array" ref="AF787">IF(SUMPRODUCT(--($AQ$2:$AQ$71=TRIM(LEFT($B787,IFERROR(FIND(" ",$B787)-1,LEN($B787))))))&gt;0,1,0)</f>
        <v>0</v>
      </c>
    </row>
    <row r="788" spans="1:32" ht="105.75" thickBot="1" x14ac:dyDescent="0.3">
      <c r="A788" s="13">
        <v>35</v>
      </c>
      <c r="B788" s="4" t="s">
        <v>1583</v>
      </c>
      <c r="C788" s="4" t="s">
        <v>222</v>
      </c>
      <c r="D788" s="7">
        <v>43808</v>
      </c>
      <c r="E788" s="3">
        <v>2086.1999999999998</v>
      </c>
      <c r="F788" s="4" t="s">
        <v>30</v>
      </c>
      <c r="G788" s="4"/>
      <c r="H788" s="4" t="s">
        <v>41</v>
      </c>
      <c r="I788" s="4" t="s">
        <v>41</v>
      </c>
      <c r="J788" s="4" t="s">
        <v>42</v>
      </c>
      <c r="K788" s="4"/>
      <c r="L788" s="3">
        <v>94</v>
      </c>
      <c r="M788" s="3">
        <v>281.57</v>
      </c>
      <c r="N788" s="3">
        <v>2233.23</v>
      </c>
      <c r="O788" s="4" t="s">
        <v>34</v>
      </c>
      <c r="P788" s="4" t="s">
        <v>147</v>
      </c>
      <c r="Q788" s="4" t="s">
        <v>35</v>
      </c>
      <c r="R788" s="2"/>
      <c r="S788" s="2"/>
      <c r="T788" s="4" t="s">
        <v>964</v>
      </c>
      <c r="U788" s="2" t="s">
        <v>37</v>
      </c>
      <c r="V788" s="2" t="s">
        <v>37</v>
      </c>
      <c r="W788" s="2" t="s">
        <v>38</v>
      </c>
      <c r="X788" s="2" t="s">
        <v>37</v>
      </c>
      <c r="Y788" s="2" t="s">
        <v>37</v>
      </c>
      <c r="Z788" s="2" t="s">
        <v>38</v>
      </c>
      <c r="AA788" s="6">
        <v>3.319355941</v>
      </c>
      <c r="AB788" s="2"/>
      <c r="AC788" s="6">
        <v>3.3489334529999999</v>
      </c>
      <c r="AD788" cm="1">
        <f t="array" ref="AD788">IF(SUMPRODUCT(--($AM$2:$AM$112=TRIM(LEFT($B788,IFERROR(FIND(" ",$B788)-1,LEN($B788))))))&gt;0,1,0)</f>
        <v>0</v>
      </c>
      <c r="AE788" cm="1">
        <f t="array" ref="AE788">IF(SUMPRODUCT(--($AO$2:$AO$145=TRIM(LEFT($B788,IFERROR(FIND(" ",$B788)-1,LEN($B788))))))&gt;0,1,0)</f>
        <v>0</v>
      </c>
      <c r="AF788" cm="1">
        <f t="array" ref="AF788">IF(SUMPRODUCT(--($AQ$2:$AQ$71=TRIM(LEFT($B788,IFERROR(FIND(" ",$B788)-1,LEN($B788))))))&gt;0,1,0)</f>
        <v>0</v>
      </c>
    </row>
    <row r="789" spans="1:32" ht="75.75" thickBot="1" x14ac:dyDescent="0.3">
      <c r="A789" s="13">
        <v>30</v>
      </c>
      <c r="B789" s="4" t="s">
        <v>1584</v>
      </c>
      <c r="C789" s="4" t="s">
        <v>122</v>
      </c>
      <c r="D789" s="7">
        <v>43808</v>
      </c>
      <c r="E789" s="3">
        <v>2378.4899999999998</v>
      </c>
      <c r="F789" s="4" t="s">
        <v>30</v>
      </c>
      <c r="G789" s="4"/>
      <c r="H789" s="4" t="s">
        <v>41</v>
      </c>
      <c r="I789" s="4" t="s">
        <v>41</v>
      </c>
      <c r="J789" s="4" t="s">
        <v>42</v>
      </c>
      <c r="K789" s="4"/>
      <c r="L789" s="3">
        <v>95.3</v>
      </c>
      <c r="M789" s="3">
        <v>132.22999999999999</v>
      </c>
      <c r="N789" s="3">
        <v>2535.3200000000002</v>
      </c>
      <c r="O789" s="4" t="s">
        <v>34</v>
      </c>
      <c r="P789" s="4" t="s">
        <v>34</v>
      </c>
      <c r="Q789" s="4" t="s">
        <v>35</v>
      </c>
      <c r="R789" s="3">
        <v>25.763999999999999</v>
      </c>
      <c r="S789" s="3">
        <v>-828.12599999999998</v>
      </c>
      <c r="T789" s="4" t="s">
        <v>88</v>
      </c>
      <c r="U789" s="2" t="s">
        <v>37</v>
      </c>
      <c r="V789" s="2" t="s">
        <v>37</v>
      </c>
      <c r="W789" s="2" t="s">
        <v>37</v>
      </c>
      <c r="X789" s="2" t="s">
        <v>37</v>
      </c>
      <c r="Y789" s="2" t="s">
        <v>37</v>
      </c>
      <c r="Z789" s="2" t="s">
        <v>38</v>
      </c>
      <c r="AA789" s="6">
        <v>3.37630133</v>
      </c>
      <c r="AB789" s="6">
        <v>1.4110132900000001</v>
      </c>
      <c r="AC789" s="6">
        <v>3.4040327819999998</v>
      </c>
      <c r="AD789" cm="1">
        <f t="array" ref="AD789">IF(SUMPRODUCT(--($AM$2:$AM$112=TRIM(LEFT($B789,IFERROR(FIND(" ",$B789)-1,LEN($B789))))))&gt;0,1,0)</f>
        <v>0</v>
      </c>
      <c r="AE789" cm="1">
        <f t="array" ref="AE789">IF(SUMPRODUCT(--($AO$2:$AO$145=TRIM(LEFT($B789,IFERROR(FIND(" ",$B789)-1,LEN($B789))))))&gt;0,1,0)</f>
        <v>0</v>
      </c>
      <c r="AF789" cm="1">
        <f t="array" ref="AF789">IF(SUMPRODUCT(--($AQ$2:$AQ$71=TRIM(LEFT($B789,IFERROR(FIND(" ",$B789)-1,LEN($B789))))))&gt;0,1,0)</f>
        <v>0</v>
      </c>
    </row>
    <row r="790" spans="1:32" ht="105.75" thickBot="1" x14ac:dyDescent="0.3">
      <c r="A790" s="13">
        <v>33</v>
      </c>
      <c r="B790" s="4" t="s">
        <v>1585</v>
      </c>
      <c r="C790" s="4" t="s">
        <v>884</v>
      </c>
      <c r="D790" s="7">
        <v>43802</v>
      </c>
      <c r="E790" s="3">
        <v>2620.8200000000002</v>
      </c>
      <c r="F790" s="4" t="s">
        <v>30</v>
      </c>
      <c r="G790" s="4"/>
      <c r="H790" s="4" t="s">
        <v>41</v>
      </c>
      <c r="I790" s="4" t="s">
        <v>41</v>
      </c>
      <c r="J790" s="4" t="s">
        <v>42</v>
      </c>
      <c r="K790" s="4"/>
      <c r="L790" s="3">
        <v>104.1</v>
      </c>
      <c r="M790" s="3">
        <v>116.77</v>
      </c>
      <c r="N790" s="3">
        <v>2942.16</v>
      </c>
      <c r="O790" s="4" t="s">
        <v>34</v>
      </c>
      <c r="P790" s="4" t="s">
        <v>96</v>
      </c>
      <c r="Q790" s="4" t="s">
        <v>35</v>
      </c>
      <c r="R790" s="2"/>
      <c r="S790" s="2"/>
      <c r="T790" s="4" t="s">
        <v>964</v>
      </c>
      <c r="U790" s="2" t="s">
        <v>37</v>
      </c>
      <c r="V790" s="2" t="s">
        <v>37</v>
      </c>
      <c r="W790" s="2" t="s">
        <v>38</v>
      </c>
      <c r="X790" s="2" t="s">
        <v>37</v>
      </c>
      <c r="Y790" s="2" t="s">
        <v>37</v>
      </c>
      <c r="Z790" s="2" t="s">
        <v>38</v>
      </c>
      <c r="AA790" s="6">
        <v>3.418437194</v>
      </c>
      <c r="AB790" s="2"/>
      <c r="AC790" s="6">
        <v>3.468666287</v>
      </c>
      <c r="AD790" cm="1">
        <f t="array" ref="AD790">IF(SUMPRODUCT(--($AM$2:$AM$112=TRIM(LEFT($B790,IFERROR(FIND(" ",$B790)-1,LEN($B790))))))&gt;0,1,0)</f>
        <v>0</v>
      </c>
      <c r="AE790" cm="1">
        <f t="array" ref="AE790">IF(SUMPRODUCT(--($AO$2:$AO$145=TRIM(LEFT($B790,IFERROR(FIND(" ",$B790)-1,LEN($B790))))))&gt;0,1,0)</f>
        <v>0</v>
      </c>
      <c r="AF790" cm="1">
        <f t="array" ref="AF790">IF(SUMPRODUCT(--($AQ$2:$AQ$71=TRIM(LEFT($B790,IFERROR(FIND(" ",$B790)-1,LEN($B790))))))&gt;0,1,0)</f>
        <v>0</v>
      </c>
    </row>
    <row r="791" spans="1:32" ht="45.75" thickBot="1" x14ac:dyDescent="0.3">
      <c r="A791" s="13">
        <v>103</v>
      </c>
      <c r="B791" s="4" t="s">
        <v>1586</v>
      </c>
      <c r="C791" s="4" t="s">
        <v>871</v>
      </c>
      <c r="D791" s="7">
        <v>43703</v>
      </c>
      <c r="E791" s="3">
        <v>1739.33</v>
      </c>
      <c r="F791" s="4" t="s">
        <v>46</v>
      </c>
      <c r="G791" s="3">
        <v>2.97</v>
      </c>
      <c r="H791" s="4" t="s">
        <v>118</v>
      </c>
      <c r="I791" s="4" t="s">
        <v>119</v>
      </c>
      <c r="J791" s="4" t="s">
        <v>120</v>
      </c>
      <c r="K791" s="3">
        <v>55</v>
      </c>
      <c r="L791" s="3">
        <v>35</v>
      </c>
      <c r="M791" s="3">
        <v>2.12</v>
      </c>
      <c r="N791" s="3">
        <v>1052.76</v>
      </c>
      <c r="O791" s="4" t="s">
        <v>34</v>
      </c>
      <c r="P791" s="4" t="s">
        <v>34</v>
      </c>
      <c r="Q791" s="4" t="s">
        <v>35</v>
      </c>
      <c r="R791" s="3">
        <v>626.28200000000004</v>
      </c>
      <c r="S791" s="3">
        <v>35.631100000000004</v>
      </c>
      <c r="T791" s="4" t="s">
        <v>43</v>
      </c>
      <c r="U791" s="2" t="s">
        <v>37</v>
      </c>
      <c r="V791" s="2" t="s">
        <v>37</v>
      </c>
      <c r="W791" s="2" t="s">
        <v>37</v>
      </c>
      <c r="X791" s="2" t="s">
        <v>37</v>
      </c>
      <c r="Y791" s="2" t="s">
        <v>37</v>
      </c>
      <c r="Z791" s="2" t="s">
        <v>37</v>
      </c>
      <c r="AA791" s="6">
        <v>3.2403819880000002</v>
      </c>
      <c r="AB791" s="6">
        <v>2.79676993</v>
      </c>
      <c r="AC791" s="6">
        <v>3.022329375</v>
      </c>
      <c r="AD791" cm="1">
        <f t="array" ref="AD791">IF(SUMPRODUCT(--($AM$2:$AM$112=TRIM(LEFT($B791,IFERROR(FIND(" ",$B791)-1,LEN($B791))))))&gt;0,1,0)</f>
        <v>0</v>
      </c>
      <c r="AE791" cm="1">
        <f t="array" ref="AE791">IF(SUMPRODUCT(--($AO$2:$AO$145=TRIM(LEFT($B791,IFERROR(FIND(" ",$B791)-1,LEN($B791))))))&gt;0,1,0)</f>
        <v>0</v>
      </c>
      <c r="AF791" cm="1">
        <f t="array" ref="AF791">IF(SUMPRODUCT(--($AQ$2:$AQ$71=TRIM(LEFT($B791,IFERROR(FIND(" ",$B791)-1,LEN($B791))))))&gt;0,1,0)</f>
        <v>0</v>
      </c>
    </row>
    <row r="792" spans="1:32" ht="45.75" thickBot="1" x14ac:dyDescent="0.3">
      <c r="A792" s="13">
        <v>65</v>
      </c>
      <c r="B792" s="4" t="s">
        <v>1587</v>
      </c>
      <c r="C792" s="4" t="s">
        <v>1437</v>
      </c>
      <c r="D792" s="7">
        <v>43752</v>
      </c>
      <c r="E792" s="3">
        <v>2326.4</v>
      </c>
      <c r="F792" s="4" t="s">
        <v>46</v>
      </c>
      <c r="G792" s="3">
        <v>6.08</v>
      </c>
      <c r="H792" s="4" t="s">
        <v>118</v>
      </c>
      <c r="I792" s="4" t="s">
        <v>119</v>
      </c>
      <c r="J792" s="4" t="s">
        <v>120</v>
      </c>
      <c r="K792" s="3">
        <v>189.035</v>
      </c>
      <c r="L792" s="3">
        <v>57.435000000000002</v>
      </c>
      <c r="M792" s="3">
        <v>5.75</v>
      </c>
      <c r="N792" s="3">
        <v>1650.6</v>
      </c>
      <c r="O792" s="4" t="s">
        <v>34</v>
      </c>
      <c r="P792" s="4" t="s">
        <v>34</v>
      </c>
      <c r="Q792" s="4" t="s">
        <v>35</v>
      </c>
      <c r="R792" s="3">
        <v>547.51</v>
      </c>
      <c r="S792" s="3">
        <v>15.706300000000001</v>
      </c>
      <c r="T792" s="4" t="s">
        <v>43</v>
      </c>
      <c r="U792" s="2" t="s">
        <v>37</v>
      </c>
      <c r="V792" s="2" t="s">
        <v>37</v>
      </c>
      <c r="W792" s="2" t="s">
        <v>37</v>
      </c>
      <c r="X792" s="2" t="s">
        <v>37</v>
      </c>
      <c r="Y792" s="2" t="s">
        <v>37</v>
      </c>
      <c r="Z792" s="2" t="s">
        <v>37</v>
      </c>
      <c r="AA792" s="6">
        <v>3.366684389</v>
      </c>
      <c r="AB792" s="6">
        <v>2.7383920559999999</v>
      </c>
      <c r="AC792" s="6">
        <v>3.2176418409999998</v>
      </c>
      <c r="AD792" cm="1">
        <f t="array" ref="AD792">IF(SUMPRODUCT(--($AM$2:$AM$112=TRIM(LEFT($B792,IFERROR(FIND(" ",$B792)-1,LEN($B792))))))&gt;0,1,0)</f>
        <v>0</v>
      </c>
      <c r="AE792" cm="1">
        <f t="array" ref="AE792">IF(SUMPRODUCT(--($AO$2:$AO$145=TRIM(LEFT($B792,IFERROR(FIND(" ",$B792)-1,LEN($B792))))))&gt;0,1,0)</f>
        <v>0</v>
      </c>
      <c r="AF792" cm="1">
        <f t="array" ref="AF792">IF(SUMPRODUCT(--($AQ$2:$AQ$71=TRIM(LEFT($B792,IFERROR(FIND(" ",$B792)-1,LEN($B792))))))&gt;0,1,0)</f>
        <v>0</v>
      </c>
    </row>
    <row r="793" spans="1:32" ht="135.75" thickBot="1" x14ac:dyDescent="0.3">
      <c r="A793" s="13">
        <v>110</v>
      </c>
      <c r="B793" s="4" t="s">
        <v>1588</v>
      </c>
      <c r="C793" s="4" t="s">
        <v>536</v>
      </c>
      <c r="D793" s="7">
        <v>43686</v>
      </c>
      <c r="E793" s="3">
        <v>1923.85</v>
      </c>
      <c r="F793" s="4" t="s">
        <v>30</v>
      </c>
      <c r="G793" s="3">
        <v>15.33</v>
      </c>
      <c r="H793" s="4" t="s">
        <v>70</v>
      </c>
      <c r="I793" s="4" t="s">
        <v>94</v>
      </c>
      <c r="J793" s="4" t="s">
        <v>328</v>
      </c>
      <c r="K793" s="3">
        <v>112</v>
      </c>
      <c r="L793" s="3">
        <v>39</v>
      </c>
      <c r="M793" s="4"/>
      <c r="N793" s="3">
        <v>1102.1600000000001</v>
      </c>
      <c r="O793" s="4" t="s">
        <v>34</v>
      </c>
      <c r="P793" s="4" t="s">
        <v>34</v>
      </c>
      <c r="Q793" s="4" t="s">
        <v>35</v>
      </c>
      <c r="R793" s="3">
        <v>1696.45</v>
      </c>
      <c r="S793" s="3">
        <v>4.6280200000000002</v>
      </c>
      <c r="T793" s="4" t="s">
        <v>312</v>
      </c>
      <c r="U793" s="2" t="s">
        <v>37</v>
      </c>
      <c r="V793" s="2" t="s">
        <v>37</v>
      </c>
      <c r="W793" s="2" t="s">
        <v>37</v>
      </c>
      <c r="X793" s="2" t="s">
        <v>38</v>
      </c>
      <c r="Y793" s="2" t="s">
        <v>38</v>
      </c>
      <c r="Z793" s="2" t="s">
        <v>37</v>
      </c>
      <c r="AA793" s="6">
        <v>3.2841712080000001</v>
      </c>
      <c r="AB793" s="6">
        <v>3.2295410640000002</v>
      </c>
      <c r="AC793" s="6">
        <v>3.0422446449999998</v>
      </c>
      <c r="AD793" cm="1">
        <f t="array" ref="AD793">IF(SUMPRODUCT(--($AM$2:$AM$112=TRIM(LEFT($B793,IFERROR(FIND(" ",$B793)-1,LEN($B793))))))&gt;0,1,0)</f>
        <v>0</v>
      </c>
      <c r="AE793" cm="1">
        <f t="array" ref="AE793">IF(SUMPRODUCT(--($AO$2:$AO$145=TRIM(LEFT($B793,IFERROR(FIND(" ",$B793)-1,LEN($B793))))))&gt;0,1,0)</f>
        <v>0</v>
      </c>
      <c r="AF793" cm="1">
        <f t="array" ref="AF793">IF(SUMPRODUCT(--($AQ$2:$AQ$71=TRIM(LEFT($B793,IFERROR(FIND(" ",$B793)-1,LEN($B793))))))&gt;0,1,0)</f>
        <v>0</v>
      </c>
    </row>
    <row r="794" spans="1:32" ht="75.75" thickBot="1" x14ac:dyDescent="0.3">
      <c r="A794" s="13">
        <v>50</v>
      </c>
      <c r="B794" s="4" t="s">
        <v>1589</v>
      </c>
      <c r="C794" s="4" t="s">
        <v>1590</v>
      </c>
      <c r="D794" s="7">
        <v>43770</v>
      </c>
      <c r="E794" s="3">
        <v>604.23</v>
      </c>
      <c r="F794" s="4" t="s">
        <v>30</v>
      </c>
      <c r="G794" s="4"/>
      <c r="H794" s="4" t="s">
        <v>118</v>
      </c>
      <c r="I794" s="4" t="s">
        <v>119</v>
      </c>
      <c r="J794" s="4" t="s">
        <v>120</v>
      </c>
      <c r="K794" s="3">
        <v>45</v>
      </c>
      <c r="L794" s="3">
        <v>45</v>
      </c>
      <c r="M794" s="4"/>
      <c r="N794" s="3">
        <v>21.3</v>
      </c>
      <c r="O794" s="4" t="s">
        <v>49</v>
      </c>
      <c r="P794" s="4" t="s">
        <v>49</v>
      </c>
      <c r="Q794" s="4" t="s">
        <v>35</v>
      </c>
      <c r="R794" s="3">
        <v>339.995</v>
      </c>
      <c r="S794" s="3">
        <v>-70.923599999999993</v>
      </c>
      <c r="T794" s="4" t="s">
        <v>113</v>
      </c>
      <c r="U794" s="2" t="s">
        <v>37</v>
      </c>
      <c r="V794" s="2" t="s">
        <v>37</v>
      </c>
      <c r="W794" s="2" t="s">
        <v>37</v>
      </c>
      <c r="X794" s="2" t="s">
        <v>38</v>
      </c>
      <c r="Y794" s="2" t="s">
        <v>37</v>
      </c>
      <c r="Z794" s="2" t="s">
        <v>37</v>
      </c>
      <c r="AA794" s="6">
        <v>2.7812022839999999</v>
      </c>
      <c r="AB794" s="6">
        <v>2.5314725299999998</v>
      </c>
      <c r="AC794" s="6">
        <v>1.3283796029999999</v>
      </c>
      <c r="AD794" cm="1">
        <f t="array" ref="AD794">IF(SUMPRODUCT(--($AM$2:$AM$112=TRIM(LEFT($B794,IFERROR(FIND(" ",$B794)-1,LEN($B794))))))&gt;0,1,0)</f>
        <v>0</v>
      </c>
      <c r="AE794" cm="1">
        <f t="array" ref="AE794">IF(SUMPRODUCT(--($AO$2:$AO$145=TRIM(LEFT($B794,IFERROR(FIND(" ",$B794)-1,LEN($B794))))))&gt;0,1,0)</f>
        <v>0</v>
      </c>
      <c r="AF794" cm="1">
        <f t="array" ref="AF794">IF(SUMPRODUCT(--($AQ$2:$AQ$71=TRIM(LEFT($B794,IFERROR(FIND(" ",$B794)-1,LEN($B794))))))&gt;0,1,0)</f>
        <v>0</v>
      </c>
    </row>
    <row r="795" spans="1:32" ht="45.75" thickBot="1" x14ac:dyDescent="0.3">
      <c r="A795" s="13">
        <v>127</v>
      </c>
      <c r="B795" s="4" t="s">
        <v>1591</v>
      </c>
      <c r="C795" s="4" t="s">
        <v>1039</v>
      </c>
      <c r="D795" s="7">
        <v>43662</v>
      </c>
      <c r="E795" s="3">
        <v>5534.61</v>
      </c>
      <c r="F795" s="4" t="s">
        <v>30</v>
      </c>
      <c r="G795" s="3">
        <v>60.36</v>
      </c>
      <c r="H795" s="4" t="s">
        <v>51</v>
      </c>
      <c r="I795" s="4" t="s">
        <v>51</v>
      </c>
      <c r="J795" s="4" t="s">
        <v>79</v>
      </c>
      <c r="K795" s="4"/>
      <c r="L795" s="3">
        <v>96</v>
      </c>
      <c r="M795" s="4"/>
      <c r="N795" s="3">
        <v>3990</v>
      </c>
      <c r="O795" s="4" t="s">
        <v>34</v>
      </c>
      <c r="P795" s="4" t="s">
        <v>34</v>
      </c>
      <c r="Q795" s="4" t="s">
        <v>35</v>
      </c>
      <c r="R795" s="2"/>
      <c r="S795" s="3">
        <v>-18.3902</v>
      </c>
      <c r="T795" s="4" t="s">
        <v>43</v>
      </c>
      <c r="U795" s="2" t="s">
        <v>37</v>
      </c>
      <c r="V795" s="2" t="s">
        <v>37</v>
      </c>
      <c r="W795" s="2" t="s">
        <v>37</v>
      </c>
      <c r="X795" s="2" t="s">
        <v>37</v>
      </c>
      <c r="Y795" s="2" t="s">
        <v>37</v>
      </c>
      <c r="Z795" s="2" t="s">
        <v>37</v>
      </c>
      <c r="AA795" s="6">
        <v>3.7430870230000002</v>
      </c>
      <c r="AB795" s="2"/>
      <c r="AC795" s="6">
        <v>3.600972896</v>
      </c>
      <c r="AD795" cm="1">
        <f t="array" ref="AD795">IF(SUMPRODUCT(--($AM$2:$AM$112=TRIM(LEFT($B795,IFERROR(FIND(" ",$B795)-1,LEN($B795))))))&gt;0,1,0)</f>
        <v>0</v>
      </c>
      <c r="AE795" cm="1">
        <f t="array" ref="AE795">IF(SUMPRODUCT(--($AO$2:$AO$145=TRIM(LEFT($B795,IFERROR(FIND(" ",$B795)-1,LEN($B795))))))&gt;0,1,0)</f>
        <v>0</v>
      </c>
      <c r="AF795" cm="1">
        <f t="array" ref="AF795">IF(SUMPRODUCT(--($AQ$2:$AQ$71=TRIM(LEFT($B795,IFERROR(FIND(" ",$B795)-1,LEN($B795))))))&gt;0,1,0)</f>
        <v>0</v>
      </c>
    </row>
    <row r="796" spans="1:32" ht="105.75" thickBot="1" x14ac:dyDescent="0.3">
      <c r="A796" s="13">
        <v>32</v>
      </c>
      <c r="B796" s="4" t="s">
        <v>1592</v>
      </c>
      <c r="C796" s="4" t="s">
        <v>200</v>
      </c>
      <c r="D796" s="7">
        <v>43793</v>
      </c>
      <c r="E796" s="3">
        <v>7373.12</v>
      </c>
      <c r="F796" s="4" t="s">
        <v>30</v>
      </c>
      <c r="G796" s="4"/>
      <c r="H796" s="4" t="s">
        <v>41</v>
      </c>
      <c r="I796" s="4" t="s">
        <v>41</v>
      </c>
      <c r="J796" s="4" t="s">
        <v>42</v>
      </c>
      <c r="K796" s="4"/>
      <c r="L796" s="3">
        <v>290</v>
      </c>
      <c r="M796" s="3">
        <v>48.42</v>
      </c>
      <c r="N796" s="3">
        <v>6776.5</v>
      </c>
      <c r="O796" s="4" t="s">
        <v>34</v>
      </c>
      <c r="P796" s="4" t="s">
        <v>869</v>
      </c>
      <c r="Q796" s="4" t="s">
        <v>35</v>
      </c>
      <c r="R796" s="3">
        <v>6.1379999999999999</v>
      </c>
      <c r="S796" s="2"/>
      <c r="T796" s="4" t="s">
        <v>964</v>
      </c>
      <c r="U796" s="2" t="s">
        <v>37</v>
      </c>
      <c r="V796" s="2" t="s">
        <v>37</v>
      </c>
      <c r="W796" s="2" t="s">
        <v>38</v>
      </c>
      <c r="X796" s="2" t="s">
        <v>37</v>
      </c>
      <c r="Y796" s="2" t="s">
        <v>37</v>
      </c>
      <c r="Z796" s="2" t="s">
        <v>38</v>
      </c>
      <c r="AA796" s="6">
        <v>3.8676513020000001</v>
      </c>
      <c r="AB796" s="6">
        <v>0.78802688409999999</v>
      </c>
      <c r="AC796" s="6">
        <v>3.831005443</v>
      </c>
      <c r="AD796" cm="1">
        <f t="array" ref="AD796">IF(SUMPRODUCT(--($AM$2:$AM$112=TRIM(LEFT($B796,IFERROR(FIND(" ",$B796)-1,LEN($B796))))))&gt;0,1,0)</f>
        <v>0</v>
      </c>
      <c r="AE796" cm="1">
        <f t="array" ref="AE796">IF(SUMPRODUCT(--($AO$2:$AO$145=TRIM(LEFT($B796,IFERROR(FIND(" ",$B796)-1,LEN($B796))))))&gt;0,1,0)</f>
        <v>0</v>
      </c>
      <c r="AF796" cm="1">
        <f t="array" ref="AF796">IF(SUMPRODUCT(--($AQ$2:$AQ$71=TRIM(LEFT($B796,IFERROR(FIND(" ",$B796)-1,LEN($B796))))))&gt;0,1,0)</f>
        <v>0</v>
      </c>
    </row>
    <row r="797" spans="1:32" ht="75.75" thickBot="1" x14ac:dyDescent="0.3">
      <c r="A797" s="13">
        <v>94</v>
      </c>
      <c r="B797" s="4" t="s">
        <v>1593</v>
      </c>
      <c r="C797" s="4" t="s">
        <v>1594</v>
      </c>
      <c r="D797" s="7">
        <v>43699</v>
      </c>
      <c r="E797" s="3">
        <v>3453.3</v>
      </c>
      <c r="F797" s="4" t="s">
        <v>30</v>
      </c>
      <c r="G797" s="3">
        <v>5.58</v>
      </c>
      <c r="H797" s="4" t="s">
        <v>184</v>
      </c>
      <c r="I797" s="4" t="s">
        <v>185</v>
      </c>
      <c r="J797" s="4" t="s">
        <v>186</v>
      </c>
      <c r="K797" s="4"/>
      <c r="L797" s="4"/>
      <c r="M797" s="3">
        <v>31.95</v>
      </c>
      <c r="N797" s="3">
        <v>3414.45</v>
      </c>
      <c r="O797" s="4" t="s">
        <v>49</v>
      </c>
      <c r="P797" s="4" t="s">
        <v>34</v>
      </c>
      <c r="Q797" s="4" t="s">
        <v>35</v>
      </c>
      <c r="R797" s="3">
        <v>1235.6300000000001</v>
      </c>
      <c r="S797" s="3">
        <v>7.5223100000000001</v>
      </c>
      <c r="T797" s="4" t="s">
        <v>97</v>
      </c>
      <c r="U797" s="2" t="s">
        <v>37</v>
      </c>
      <c r="V797" s="2" t="s">
        <v>37</v>
      </c>
      <c r="W797" s="2" t="s">
        <v>38</v>
      </c>
      <c r="X797" s="2" t="s">
        <v>37</v>
      </c>
      <c r="Y797" s="2" t="s">
        <v>37</v>
      </c>
      <c r="Z797" s="2" t="s">
        <v>37</v>
      </c>
      <c r="AA797" s="6">
        <v>3.5382343089999999</v>
      </c>
      <c r="AB797" s="6">
        <v>3.0918884439999998</v>
      </c>
      <c r="AC797" s="6">
        <v>3.5333207569999998</v>
      </c>
      <c r="AD797" cm="1">
        <f t="array" ref="AD797">IF(SUMPRODUCT(--($AM$2:$AM$112=TRIM(LEFT($B797,IFERROR(FIND(" ",$B797)-1,LEN($B797))))))&gt;0,1,0)</f>
        <v>0</v>
      </c>
      <c r="AE797" cm="1">
        <f t="array" ref="AE797">IF(SUMPRODUCT(--($AO$2:$AO$145=TRIM(LEFT($B797,IFERROR(FIND(" ",$B797)-1,LEN($B797))))))&gt;0,1,0)</f>
        <v>0</v>
      </c>
      <c r="AF797" cm="1">
        <f t="array" ref="AF797">IF(SUMPRODUCT(--($AQ$2:$AQ$71=TRIM(LEFT($B797,IFERROR(FIND(" ",$B797)-1,LEN($B797))))))&gt;0,1,0)</f>
        <v>0</v>
      </c>
    </row>
    <row r="798" spans="1:32" ht="165.75" thickBot="1" x14ac:dyDescent="0.3">
      <c r="A798" s="13">
        <v>131</v>
      </c>
      <c r="B798" s="4" t="s">
        <v>1595</v>
      </c>
      <c r="C798" s="2"/>
      <c r="D798" s="7">
        <v>43647</v>
      </c>
      <c r="E798" s="3">
        <v>9109.26</v>
      </c>
      <c r="F798" s="4" t="s">
        <v>30</v>
      </c>
      <c r="G798" s="3">
        <v>13.3</v>
      </c>
      <c r="H798" s="4" t="s">
        <v>70</v>
      </c>
      <c r="I798" s="4" t="s">
        <v>94</v>
      </c>
      <c r="J798" s="4" t="s">
        <v>108</v>
      </c>
      <c r="K798" s="3">
        <v>388</v>
      </c>
      <c r="L798" s="3">
        <v>194</v>
      </c>
      <c r="M798" s="4"/>
      <c r="N798" s="3">
        <v>6329.93</v>
      </c>
      <c r="O798" s="4" t="s">
        <v>34</v>
      </c>
      <c r="P798" s="4" t="s">
        <v>534</v>
      </c>
      <c r="Q798" s="4" t="s">
        <v>35</v>
      </c>
      <c r="R798" s="3">
        <v>2348.5500000000002</v>
      </c>
      <c r="S798" s="3">
        <v>17.1404</v>
      </c>
      <c r="T798" s="4" t="s">
        <v>726</v>
      </c>
      <c r="U798" s="2" t="s">
        <v>37</v>
      </c>
      <c r="V798" s="2" t="s">
        <v>37</v>
      </c>
      <c r="W798" s="2" t="s">
        <v>38</v>
      </c>
      <c r="X798" s="2" t="s">
        <v>38</v>
      </c>
      <c r="Y798" s="2" t="s">
        <v>38</v>
      </c>
      <c r="Z798" s="2" t="s">
        <v>37</v>
      </c>
      <c r="AA798" s="6">
        <v>3.9594830980000002</v>
      </c>
      <c r="AB798" s="6">
        <v>3.3707998109999999</v>
      </c>
      <c r="AC798" s="6">
        <v>3.8013989069999998</v>
      </c>
      <c r="AD798" cm="1">
        <f t="array" ref="AD798">IF(SUMPRODUCT(--($AM$2:$AM$112=TRIM(LEFT($B798,IFERROR(FIND(" ",$B798)-1,LEN($B798))))))&gt;0,1,0)</f>
        <v>0</v>
      </c>
      <c r="AE798" cm="1">
        <f t="array" ref="AE798">IF(SUMPRODUCT(--($AO$2:$AO$145=TRIM(LEFT($B798,IFERROR(FIND(" ",$B798)-1,LEN($B798))))))&gt;0,1,0)</f>
        <v>1</v>
      </c>
      <c r="AF798" cm="1">
        <f t="array" ref="AF798">IF(SUMPRODUCT(--($AQ$2:$AQ$71=TRIM(LEFT($B798,IFERROR(FIND(" ",$B798)-1,LEN($B798))))))&gt;0,1,0)</f>
        <v>0</v>
      </c>
    </row>
    <row r="799" spans="1:32" ht="45.75" thickBot="1" x14ac:dyDescent="0.3">
      <c r="A799" s="13">
        <v>93</v>
      </c>
      <c r="B799" s="4" t="s">
        <v>1596</v>
      </c>
      <c r="C799" s="4" t="s">
        <v>801</v>
      </c>
      <c r="D799" s="7">
        <v>43699</v>
      </c>
      <c r="E799" s="3">
        <v>737.46</v>
      </c>
      <c r="F799" s="4" t="s">
        <v>30</v>
      </c>
      <c r="G799" s="4"/>
      <c r="H799" s="4" t="s">
        <v>31</v>
      </c>
      <c r="I799" s="4" t="s">
        <v>32</v>
      </c>
      <c r="J799" s="4" t="s">
        <v>33</v>
      </c>
      <c r="K799" s="4"/>
      <c r="L799" s="3">
        <v>95</v>
      </c>
      <c r="M799" s="3">
        <v>46.05</v>
      </c>
      <c r="N799" s="3">
        <v>1445.98</v>
      </c>
      <c r="O799" s="4" t="s">
        <v>34</v>
      </c>
      <c r="P799" s="4" t="s">
        <v>34</v>
      </c>
      <c r="Q799" s="4" t="s">
        <v>35</v>
      </c>
      <c r="R799" s="3">
        <v>657.49400000000003</v>
      </c>
      <c r="S799" s="3">
        <v>-19.248000000000001</v>
      </c>
      <c r="T799" s="4" t="s">
        <v>43</v>
      </c>
      <c r="U799" s="2" t="s">
        <v>37</v>
      </c>
      <c r="V799" s="2" t="s">
        <v>37</v>
      </c>
      <c r="W799" s="2" t="s">
        <v>37</v>
      </c>
      <c r="X799" s="2" t="s">
        <v>37</v>
      </c>
      <c r="Y799" s="2" t="s">
        <v>37</v>
      </c>
      <c r="Z799" s="2" t="s">
        <v>37</v>
      </c>
      <c r="AA799" s="6">
        <v>2.8677384689999998</v>
      </c>
      <c r="AB799" s="6">
        <v>2.8178917939999999</v>
      </c>
      <c r="AC799" s="6">
        <v>3.1601622859999998</v>
      </c>
      <c r="AD799" cm="1">
        <f t="array" ref="AD799">IF(SUMPRODUCT(--($AM$2:$AM$112=TRIM(LEFT($B799,IFERROR(FIND(" ",$B799)-1,LEN($B799))))))&gt;0,1,0)</f>
        <v>0</v>
      </c>
      <c r="AE799" cm="1">
        <f t="array" ref="AE799">IF(SUMPRODUCT(--($AO$2:$AO$145=TRIM(LEFT($B799,IFERROR(FIND(" ",$B799)-1,LEN($B799))))))&gt;0,1,0)</f>
        <v>0</v>
      </c>
      <c r="AF799" cm="1">
        <f t="array" ref="AF799">IF(SUMPRODUCT(--($AQ$2:$AQ$71=TRIM(LEFT($B799,IFERROR(FIND(" ",$B799)-1,LEN($B799))))))&gt;0,1,0)</f>
        <v>0</v>
      </c>
    </row>
    <row r="800" spans="1:32" ht="105.75" thickBot="1" x14ac:dyDescent="0.3">
      <c r="A800" s="13">
        <v>34</v>
      </c>
      <c r="B800" s="4" t="s">
        <v>1597</v>
      </c>
      <c r="C800" s="4" t="s">
        <v>1217</v>
      </c>
      <c r="D800" s="7">
        <v>43780</v>
      </c>
      <c r="E800" s="3">
        <v>1359.54</v>
      </c>
      <c r="F800" s="4" t="s">
        <v>30</v>
      </c>
      <c r="G800" s="3">
        <v>19.440000000000001</v>
      </c>
      <c r="H800" s="4" t="s">
        <v>31</v>
      </c>
      <c r="I800" s="4" t="s">
        <v>32</v>
      </c>
      <c r="J800" s="4" t="s">
        <v>33</v>
      </c>
      <c r="K800" s="4"/>
      <c r="L800" s="3">
        <v>28.902799999999999</v>
      </c>
      <c r="M800" s="3">
        <v>37.49</v>
      </c>
      <c r="N800" s="3">
        <v>797.86</v>
      </c>
      <c r="O800" s="4" t="s">
        <v>34</v>
      </c>
      <c r="P800" s="4" t="s">
        <v>49</v>
      </c>
      <c r="Q800" s="4" t="s">
        <v>35</v>
      </c>
      <c r="R800" s="3">
        <v>296.40800000000002</v>
      </c>
      <c r="S800" s="3">
        <v>-2.8604400000000001</v>
      </c>
      <c r="T800" s="4" t="s">
        <v>964</v>
      </c>
      <c r="U800" s="2" t="s">
        <v>37</v>
      </c>
      <c r="V800" s="2" t="s">
        <v>37</v>
      </c>
      <c r="W800" s="2" t="s">
        <v>38</v>
      </c>
      <c r="X800" s="2" t="s">
        <v>37</v>
      </c>
      <c r="Y800" s="2" t="s">
        <v>37</v>
      </c>
      <c r="Z800" s="2" t="s">
        <v>38</v>
      </c>
      <c r="AA800" s="6">
        <v>3.1333919899999998</v>
      </c>
      <c r="AB800" s="6">
        <v>2.4718899209999998</v>
      </c>
      <c r="AC800" s="6">
        <v>2.9019266930000001</v>
      </c>
      <c r="AD800" cm="1">
        <f t="array" ref="AD800">IF(SUMPRODUCT(--($AM$2:$AM$112=TRIM(LEFT($B800,IFERROR(FIND(" ",$B800)-1,LEN($B800))))))&gt;0,1,0)</f>
        <v>0</v>
      </c>
      <c r="AE800" cm="1">
        <f t="array" ref="AE800">IF(SUMPRODUCT(--($AO$2:$AO$145=TRIM(LEFT($B800,IFERROR(FIND(" ",$B800)-1,LEN($B800))))))&gt;0,1,0)</f>
        <v>0</v>
      </c>
      <c r="AF800" cm="1">
        <f t="array" ref="AF800">IF(SUMPRODUCT(--($AQ$2:$AQ$71=TRIM(LEFT($B800,IFERROR(FIND(" ",$B800)-1,LEN($B800))))))&gt;0,1,0)</f>
        <v>0</v>
      </c>
    </row>
    <row r="801" spans="1:32" ht="45.75" thickBot="1" x14ac:dyDescent="0.3">
      <c r="A801" s="13">
        <v>116</v>
      </c>
      <c r="B801" s="4" t="s">
        <v>1598</v>
      </c>
      <c r="C801" s="4" t="s">
        <v>738</v>
      </c>
      <c r="D801" s="7">
        <v>43661</v>
      </c>
      <c r="E801" s="3">
        <v>2421.16</v>
      </c>
      <c r="F801" s="4" t="s">
        <v>46</v>
      </c>
      <c r="G801" s="3">
        <v>3.43</v>
      </c>
      <c r="H801" s="4" t="s">
        <v>118</v>
      </c>
      <c r="I801" s="4" t="s">
        <v>119</v>
      </c>
      <c r="J801" s="4" t="s">
        <v>120</v>
      </c>
      <c r="K801" s="3">
        <v>57</v>
      </c>
      <c r="L801" s="3">
        <v>20</v>
      </c>
      <c r="M801" s="3">
        <v>-25.96</v>
      </c>
      <c r="N801" s="3">
        <v>673.03</v>
      </c>
      <c r="O801" s="4" t="s">
        <v>34</v>
      </c>
      <c r="P801" s="4" t="s">
        <v>34</v>
      </c>
      <c r="Q801" s="4" t="s">
        <v>35</v>
      </c>
      <c r="R801" s="3">
        <v>2342.98</v>
      </c>
      <c r="S801" s="3">
        <v>36.530799999999999</v>
      </c>
      <c r="T801" s="4" t="s">
        <v>43</v>
      </c>
      <c r="U801" s="2" t="s">
        <v>37</v>
      </c>
      <c r="V801" s="2" t="s">
        <v>37</v>
      </c>
      <c r="W801" s="2" t="s">
        <v>37</v>
      </c>
      <c r="X801" s="2" t="s">
        <v>37</v>
      </c>
      <c r="Y801" s="2" t="s">
        <v>37</v>
      </c>
      <c r="Z801" s="2" t="s">
        <v>37</v>
      </c>
      <c r="AA801" s="6">
        <v>3.3840234900000001</v>
      </c>
      <c r="AB801" s="6">
        <v>3.3697685810000002</v>
      </c>
      <c r="AC801" s="6">
        <v>2.8280344230000001</v>
      </c>
      <c r="AD801" cm="1">
        <f t="array" ref="AD801">IF(SUMPRODUCT(--($AM$2:$AM$112=TRIM(LEFT($B801,IFERROR(FIND(" ",$B801)-1,LEN($B801))))))&gt;0,1,0)</f>
        <v>0</v>
      </c>
      <c r="AE801" cm="1">
        <f t="array" ref="AE801">IF(SUMPRODUCT(--($AO$2:$AO$145=TRIM(LEFT($B801,IFERROR(FIND(" ",$B801)-1,LEN($B801))))))&gt;0,1,0)</f>
        <v>0</v>
      </c>
      <c r="AF801" cm="1">
        <f t="array" ref="AF801">IF(SUMPRODUCT(--($AQ$2:$AQ$71=TRIM(LEFT($B801,IFERROR(FIND(" ",$B801)-1,LEN($B801))))))&gt;0,1,0)</f>
        <v>0</v>
      </c>
    </row>
    <row r="802" spans="1:32" ht="165.75" thickBot="1" x14ac:dyDescent="0.3">
      <c r="A802" s="13">
        <v>93</v>
      </c>
      <c r="B802" s="4" t="s">
        <v>1599</v>
      </c>
      <c r="C802" s="4" t="s">
        <v>1600</v>
      </c>
      <c r="D802" s="7">
        <v>43691</v>
      </c>
      <c r="E802" s="3">
        <v>2102.5</v>
      </c>
      <c r="F802" s="4" t="s">
        <v>30</v>
      </c>
      <c r="G802" s="3">
        <v>10.93</v>
      </c>
      <c r="H802" s="4" t="s">
        <v>31</v>
      </c>
      <c r="I802" s="4" t="s">
        <v>32</v>
      </c>
      <c r="J802" s="4" t="s">
        <v>270</v>
      </c>
      <c r="K802" s="3">
        <v>80</v>
      </c>
      <c r="L802" s="3">
        <v>40</v>
      </c>
      <c r="M802" s="4"/>
      <c r="N802" s="3">
        <v>1373.8</v>
      </c>
      <c r="O802" s="4" t="s">
        <v>34</v>
      </c>
      <c r="P802" s="4" t="s">
        <v>166</v>
      </c>
      <c r="Q802" s="4" t="s">
        <v>35</v>
      </c>
      <c r="R802" s="3">
        <v>3026.1</v>
      </c>
      <c r="S802" s="3">
        <v>3.7563200000000001</v>
      </c>
      <c r="T802" s="4" t="s">
        <v>726</v>
      </c>
      <c r="U802" s="2" t="s">
        <v>37</v>
      </c>
      <c r="V802" s="2" t="s">
        <v>37</v>
      </c>
      <c r="W802" s="2" t="s">
        <v>38</v>
      </c>
      <c r="X802" s="2" t="s">
        <v>38</v>
      </c>
      <c r="Y802" s="2" t="s">
        <v>38</v>
      </c>
      <c r="Z802" s="2" t="s">
        <v>37</v>
      </c>
      <c r="AA802" s="6">
        <v>3.3227360039999998</v>
      </c>
      <c r="AB802" s="6">
        <v>3.4808832760000001</v>
      </c>
      <c r="AC802" s="6">
        <v>3.137923512</v>
      </c>
      <c r="AD802" cm="1">
        <f t="array" ref="AD802">IF(SUMPRODUCT(--($AM$2:$AM$112=TRIM(LEFT($B802,IFERROR(FIND(" ",$B802)-1,LEN($B802))))))&gt;0,1,0)</f>
        <v>0</v>
      </c>
      <c r="AE802" cm="1">
        <f t="array" ref="AE802">IF(SUMPRODUCT(--($AO$2:$AO$145=TRIM(LEFT($B802,IFERROR(FIND(" ",$B802)-1,LEN($B802))))))&gt;0,1,0)</f>
        <v>0</v>
      </c>
      <c r="AF802" cm="1">
        <f t="array" ref="AF802">IF(SUMPRODUCT(--($AQ$2:$AQ$71=TRIM(LEFT($B802,IFERROR(FIND(" ",$B802)-1,LEN($B802))))))&gt;0,1,0)</f>
        <v>0</v>
      </c>
    </row>
    <row r="803" spans="1:32" ht="45.75" thickBot="1" x14ac:dyDescent="0.3">
      <c r="A803" s="13">
        <v>87</v>
      </c>
      <c r="B803" s="4" t="s">
        <v>1601</v>
      </c>
      <c r="C803" s="4" t="s">
        <v>1602</v>
      </c>
      <c r="D803" s="7">
        <v>43698</v>
      </c>
      <c r="E803" s="3">
        <v>1694.99</v>
      </c>
      <c r="F803" s="4" t="s">
        <v>46</v>
      </c>
      <c r="G803" s="3">
        <v>8.7100000000000009</v>
      </c>
      <c r="H803" s="4" t="s">
        <v>118</v>
      </c>
      <c r="I803" s="4" t="s">
        <v>119</v>
      </c>
      <c r="J803" s="4" t="s">
        <v>120</v>
      </c>
      <c r="K803" s="4"/>
      <c r="L803" s="4"/>
      <c r="M803" s="3">
        <v>33.909999999999997</v>
      </c>
      <c r="N803" s="3">
        <v>1309.72</v>
      </c>
      <c r="O803" s="4" t="s">
        <v>49</v>
      </c>
      <c r="P803" s="4" t="s">
        <v>49</v>
      </c>
      <c r="Q803" s="4" t="s">
        <v>35</v>
      </c>
      <c r="R803" s="3">
        <v>296.23099999999999</v>
      </c>
      <c r="S803" s="3">
        <v>27.895800000000001</v>
      </c>
      <c r="T803" s="4" t="s">
        <v>43</v>
      </c>
      <c r="U803" s="2" t="s">
        <v>37</v>
      </c>
      <c r="V803" s="2" t="s">
        <v>37</v>
      </c>
      <c r="W803" s="2" t="s">
        <v>37</v>
      </c>
      <c r="X803" s="2" t="s">
        <v>37</v>
      </c>
      <c r="Y803" s="2" t="s">
        <v>37</v>
      </c>
      <c r="Z803" s="2" t="s">
        <v>37</v>
      </c>
      <c r="AA803" s="6">
        <v>3.2291671399999999</v>
      </c>
      <c r="AB803" s="6">
        <v>2.4716305049999998</v>
      </c>
      <c r="AC803" s="6">
        <v>3.1171784589999998</v>
      </c>
      <c r="AD803" cm="1">
        <f t="array" ref="AD803">IF(SUMPRODUCT(--($AM$2:$AM$112=TRIM(LEFT($B803,IFERROR(FIND(" ",$B803)-1,LEN($B803))))))&gt;0,1,0)</f>
        <v>0</v>
      </c>
      <c r="AE803" cm="1">
        <f t="array" ref="AE803">IF(SUMPRODUCT(--($AO$2:$AO$145=TRIM(LEFT($B803,IFERROR(FIND(" ",$B803)-1,LEN($B803))))))&gt;0,1,0)</f>
        <v>0</v>
      </c>
      <c r="AF803" cm="1">
        <f t="array" ref="AF803">IF(SUMPRODUCT(--($AQ$2:$AQ$71=TRIM(LEFT($B803,IFERROR(FIND(" ",$B803)-1,LEN($B803))))))&gt;0,1,0)</f>
        <v>0</v>
      </c>
    </row>
    <row r="804" spans="1:32" ht="105.75" thickBot="1" x14ac:dyDescent="0.3">
      <c r="A804" s="13">
        <v>213</v>
      </c>
      <c r="B804" s="4" t="s">
        <v>1603</v>
      </c>
      <c r="C804" s="4" t="s">
        <v>336</v>
      </c>
      <c r="D804" s="7">
        <v>43521</v>
      </c>
      <c r="E804" s="3">
        <v>3747.63</v>
      </c>
      <c r="F804" s="4" t="s">
        <v>30</v>
      </c>
      <c r="G804" s="4"/>
      <c r="H804" s="4" t="s">
        <v>41</v>
      </c>
      <c r="I804" s="4" t="s">
        <v>41</v>
      </c>
      <c r="J804" s="4" t="s">
        <v>42</v>
      </c>
      <c r="K804" s="4"/>
      <c r="L804" s="3">
        <v>144</v>
      </c>
      <c r="M804" s="3">
        <v>138.36000000000001</v>
      </c>
      <c r="N804" s="3">
        <v>4315.08</v>
      </c>
      <c r="O804" s="4" t="s">
        <v>34</v>
      </c>
      <c r="P804" s="4" t="s">
        <v>869</v>
      </c>
      <c r="Q804" s="4" t="s">
        <v>35</v>
      </c>
      <c r="R804" s="3">
        <v>64.724999999999994</v>
      </c>
      <c r="S804" s="3">
        <v>-358.24200000000002</v>
      </c>
      <c r="T804" s="4" t="s">
        <v>964</v>
      </c>
      <c r="U804" s="2" t="s">
        <v>37</v>
      </c>
      <c r="V804" s="2" t="s">
        <v>37</v>
      </c>
      <c r="W804" s="2" t="s">
        <v>38</v>
      </c>
      <c r="X804" s="2" t="s">
        <v>37</v>
      </c>
      <c r="Y804" s="2" t="s">
        <v>37</v>
      </c>
      <c r="Z804" s="2" t="s">
        <v>38</v>
      </c>
      <c r="AA804" s="6">
        <v>3.5737567069999998</v>
      </c>
      <c r="AB804" s="6">
        <v>1.811072059</v>
      </c>
      <c r="AC804" s="6">
        <v>3.6349888520000002</v>
      </c>
      <c r="AD804" cm="1">
        <f t="array" ref="AD804">IF(SUMPRODUCT(--($AM$2:$AM$112=TRIM(LEFT($B804,IFERROR(FIND(" ",$B804)-1,LEN($B804))))))&gt;0,1,0)</f>
        <v>0</v>
      </c>
      <c r="AE804" cm="1">
        <f t="array" ref="AE804">IF(SUMPRODUCT(--($AO$2:$AO$145=TRIM(LEFT($B804,IFERROR(FIND(" ",$B804)-1,LEN($B804))))))&gt;0,1,0)</f>
        <v>0</v>
      </c>
      <c r="AF804" cm="1">
        <f t="array" ref="AF804">IF(SUMPRODUCT(--($AQ$2:$AQ$71=TRIM(LEFT($B804,IFERROR(FIND(" ",$B804)-1,LEN($B804))))))&gt;0,1,0)</f>
        <v>0</v>
      </c>
    </row>
    <row r="805" spans="1:32" ht="135.75" thickBot="1" x14ac:dyDescent="0.3">
      <c r="A805" s="13">
        <v>156</v>
      </c>
      <c r="B805" s="4" t="s">
        <v>1604</v>
      </c>
      <c r="C805" s="4" t="s">
        <v>1605</v>
      </c>
      <c r="D805" s="7">
        <v>43598</v>
      </c>
      <c r="E805" s="3">
        <v>2621.48</v>
      </c>
      <c r="F805" s="4" t="s">
        <v>30</v>
      </c>
      <c r="G805" s="3">
        <v>6.04</v>
      </c>
      <c r="H805" s="4" t="s">
        <v>70</v>
      </c>
      <c r="I805" s="4" t="s">
        <v>94</v>
      </c>
      <c r="J805" s="4" t="s">
        <v>108</v>
      </c>
      <c r="K805" s="4"/>
      <c r="L805" s="4"/>
      <c r="M805" s="4"/>
      <c r="N805" s="3">
        <v>2621.48</v>
      </c>
      <c r="O805" s="4" t="s">
        <v>49</v>
      </c>
      <c r="P805" s="4" t="s">
        <v>49</v>
      </c>
      <c r="Q805" s="4" t="s">
        <v>35</v>
      </c>
      <c r="R805" s="3">
        <v>3653.47</v>
      </c>
      <c r="S805" s="3">
        <v>6.6971299999999996</v>
      </c>
      <c r="T805" s="4" t="s">
        <v>312</v>
      </c>
      <c r="U805" s="2" t="s">
        <v>37</v>
      </c>
      <c r="V805" s="2" t="s">
        <v>37</v>
      </c>
      <c r="W805" s="2" t="s">
        <v>37</v>
      </c>
      <c r="X805" s="2" t="s">
        <v>38</v>
      </c>
      <c r="Y805" s="2" t="s">
        <v>38</v>
      </c>
      <c r="Z805" s="2" t="s">
        <v>37</v>
      </c>
      <c r="AA805" s="6">
        <v>3.4185465490000002</v>
      </c>
      <c r="AB805" s="6">
        <v>3.5627055460000001</v>
      </c>
      <c r="AC805" s="6">
        <v>3.4185465490000002</v>
      </c>
      <c r="AD805" cm="1">
        <f t="array" ref="AD805">IF(SUMPRODUCT(--($AM$2:$AM$112=TRIM(LEFT($B805,IFERROR(FIND(" ",$B805)-1,LEN($B805))))))&gt;0,1,0)</f>
        <v>0</v>
      </c>
      <c r="AE805" cm="1">
        <f t="array" ref="AE805">IF(SUMPRODUCT(--($AO$2:$AO$145=TRIM(LEFT($B805,IFERROR(FIND(" ",$B805)-1,LEN($B805))))))&gt;0,1,0)</f>
        <v>0</v>
      </c>
      <c r="AF805" cm="1">
        <f t="array" ref="AF805">IF(SUMPRODUCT(--($AQ$2:$AQ$71=TRIM(LEFT($B805,IFERROR(FIND(" ",$B805)-1,LEN($B805))))))&gt;0,1,0)</f>
        <v>0</v>
      </c>
    </row>
    <row r="806" spans="1:32" ht="165.75" thickBot="1" x14ac:dyDescent="0.3">
      <c r="A806" s="13">
        <v>64</v>
      </c>
      <c r="B806" s="4" t="s">
        <v>1606</v>
      </c>
      <c r="C806" s="4" t="s">
        <v>539</v>
      </c>
      <c r="D806" s="7">
        <v>43723</v>
      </c>
      <c r="E806" s="3">
        <v>2457.96</v>
      </c>
      <c r="F806" s="4" t="s">
        <v>30</v>
      </c>
      <c r="G806" s="3">
        <v>25.24</v>
      </c>
      <c r="H806" s="4" t="s">
        <v>51</v>
      </c>
      <c r="I806" s="4" t="s">
        <v>51</v>
      </c>
      <c r="J806" s="4" t="s">
        <v>79</v>
      </c>
      <c r="K806" s="4"/>
      <c r="L806" s="4"/>
      <c r="M806" s="4"/>
      <c r="N806" s="3">
        <v>2457.96</v>
      </c>
      <c r="O806" s="4" t="s">
        <v>49</v>
      </c>
      <c r="P806" s="4" t="s">
        <v>34</v>
      </c>
      <c r="Q806" s="4" t="s">
        <v>35</v>
      </c>
      <c r="R806" s="3">
        <v>272.98200000000003</v>
      </c>
      <c r="S806" s="3">
        <v>-25.561</v>
      </c>
      <c r="T806" s="4" t="s">
        <v>726</v>
      </c>
      <c r="U806" s="2" t="s">
        <v>37</v>
      </c>
      <c r="V806" s="2" t="s">
        <v>37</v>
      </c>
      <c r="W806" s="2" t="s">
        <v>38</v>
      </c>
      <c r="X806" s="2" t="s">
        <v>38</v>
      </c>
      <c r="Y806" s="2" t="s">
        <v>38</v>
      </c>
      <c r="Z806" s="2" t="s">
        <v>37</v>
      </c>
      <c r="AA806" s="6">
        <v>3.390574811</v>
      </c>
      <c r="AB806" s="6">
        <v>2.436134011</v>
      </c>
      <c r="AC806" s="6">
        <v>3.390574811</v>
      </c>
      <c r="AD806" cm="1">
        <f t="array" ref="AD806">IF(SUMPRODUCT(--($AM$2:$AM$112=TRIM(LEFT($B806,IFERROR(FIND(" ",$B806)-1,LEN($B806))))))&gt;0,1,0)</f>
        <v>0</v>
      </c>
      <c r="AE806" cm="1">
        <f t="array" ref="AE806">IF(SUMPRODUCT(--($AO$2:$AO$145=TRIM(LEFT($B806,IFERROR(FIND(" ",$B806)-1,LEN($B806))))))&gt;0,1,0)</f>
        <v>0</v>
      </c>
      <c r="AF806" cm="1">
        <f t="array" ref="AF806">IF(SUMPRODUCT(--($AQ$2:$AQ$71=TRIM(LEFT($B806,IFERROR(FIND(" ",$B806)-1,LEN($B806))))))&gt;0,1,0)</f>
        <v>0</v>
      </c>
    </row>
    <row r="807" spans="1:32" ht="45.75" thickBot="1" x14ac:dyDescent="0.3">
      <c r="A807" s="13">
        <v>218</v>
      </c>
      <c r="B807" s="4" t="s">
        <v>1607</v>
      </c>
      <c r="C807" s="4" t="s">
        <v>1608</v>
      </c>
      <c r="D807" s="7">
        <v>43503</v>
      </c>
      <c r="E807" s="3">
        <v>27894.880000000001</v>
      </c>
      <c r="F807" s="4" t="s">
        <v>46</v>
      </c>
      <c r="G807" s="4"/>
      <c r="H807" s="4" t="s">
        <v>65</v>
      </c>
      <c r="I807" s="4" t="s">
        <v>66</v>
      </c>
      <c r="J807" s="4" t="s">
        <v>66</v>
      </c>
      <c r="K807" s="3">
        <v>1121</v>
      </c>
      <c r="L807" s="3">
        <v>1121</v>
      </c>
      <c r="M807" s="3">
        <v>5.9</v>
      </c>
      <c r="N807" s="3">
        <v>27894.880000000001</v>
      </c>
      <c r="O807" s="4" t="s">
        <v>34</v>
      </c>
      <c r="P807" s="4" t="s">
        <v>34</v>
      </c>
      <c r="Q807" s="4" t="s">
        <v>35</v>
      </c>
      <c r="R807" s="3">
        <v>10431</v>
      </c>
      <c r="S807" s="3">
        <v>31.4803</v>
      </c>
      <c r="T807" s="4" t="s">
        <v>43</v>
      </c>
      <c r="U807" s="2" t="s">
        <v>37</v>
      </c>
      <c r="V807" s="2" t="s">
        <v>37</v>
      </c>
      <c r="W807" s="2" t="s">
        <v>37</v>
      </c>
      <c r="X807" s="2" t="s">
        <v>37</v>
      </c>
      <c r="Y807" s="2" t="s">
        <v>37</v>
      </c>
      <c r="Z807" s="2" t="s">
        <v>37</v>
      </c>
      <c r="AA807" s="6">
        <v>4.4455244970000001</v>
      </c>
      <c r="AB807" s="6">
        <v>4.018325945</v>
      </c>
      <c r="AC807" s="6">
        <v>4.4455244970000001</v>
      </c>
      <c r="AD807" cm="1">
        <f t="array" ref="AD807">IF(SUMPRODUCT(--($AM$2:$AM$112=TRIM(LEFT($B807,IFERROR(FIND(" ",$B807)-1,LEN($B807))))))&gt;0,1,0)</f>
        <v>0</v>
      </c>
      <c r="AE807" cm="1">
        <f t="array" ref="AE807">IF(SUMPRODUCT(--($AO$2:$AO$145=TRIM(LEFT($B807,IFERROR(FIND(" ",$B807)-1,LEN($B807))))))&gt;0,1,0)</f>
        <v>0</v>
      </c>
      <c r="AF807" cm="1">
        <f t="array" ref="AF807">IF(SUMPRODUCT(--($AQ$2:$AQ$71=TRIM(LEFT($B807,IFERROR(FIND(" ",$B807)-1,LEN($B807))))))&gt;0,1,0)</f>
        <v>0</v>
      </c>
    </row>
    <row r="808" spans="1:32" ht="60.75" thickBot="1" x14ac:dyDescent="0.3">
      <c r="A808" s="13">
        <v>88</v>
      </c>
      <c r="B808" s="4" t="s">
        <v>1609</v>
      </c>
      <c r="C808" s="4" t="s">
        <v>863</v>
      </c>
      <c r="D808" s="7">
        <v>43685</v>
      </c>
      <c r="E808" s="3">
        <v>698.84</v>
      </c>
      <c r="F808" s="4" t="s">
        <v>30</v>
      </c>
      <c r="G808" s="3">
        <v>6.63</v>
      </c>
      <c r="H808" s="4" t="s">
        <v>75</v>
      </c>
      <c r="I808" s="4" t="s">
        <v>83</v>
      </c>
      <c r="J808" s="4" t="s">
        <v>84</v>
      </c>
      <c r="K808" s="3">
        <v>11.34</v>
      </c>
      <c r="L808" s="3">
        <v>5.67</v>
      </c>
      <c r="M808" s="4"/>
      <c r="N808" s="3">
        <v>155.96</v>
      </c>
      <c r="O808" s="4" t="s">
        <v>34</v>
      </c>
      <c r="P808" s="4" t="s">
        <v>34</v>
      </c>
      <c r="Q808" s="4" t="s">
        <v>35</v>
      </c>
      <c r="R808" s="3">
        <v>1114.1600000000001</v>
      </c>
      <c r="S808" s="3">
        <v>-0.49403399999999997</v>
      </c>
      <c r="T808" s="4" t="s">
        <v>43</v>
      </c>
      <c r="U808" s="2" t="s">
        <v>37</v>
      </c>
      <c r="V808" s="2" t="s">
        <v>37</v>
      </c>
      <c r="W808" s="2" t="s">
        <v>37</v>
      </c>
      <c r="X808" s="2" t="s">
        <v>37</v>
      </c>
      <c r="Y808" s="2" t="s">
        <v>37</v>
      </c>
      <c r="Z808" s="2" t="s">
        <v>37</v>
      </c>
      <c r="AA808" s="6">
        <v>2.844377755</v>
      </c>
      <c r="AB808" s="6">
        <v>3.0469475629999998</v>
      </c>
      <c r="AC808" s="6">
        <v>2.1930132269999998</v>
      </c>
      <c r="AD808" cm="1">
        <f t="array" ref="AD808">IF(SUMPRODUCT(--($AM$2:$AM$112=TRIM(LEFT($B808,IFERROR(FIND(" ",$B808)-1,LEN($B808))))))&gt;0,1,0)</f>
        <v>0</v>
      </c>
      <c r="AE808" cm="1">
        <f t="array" ref="AE808">IF(SUMPRODUCT(--($AO$2:$AO$145=TRIM(LEFT($B808,IFERROR(FIND(" ",$B808)-1,LEN($B808))))))&gt;0,1,0)</f>
        <v>0</v>
      </c>
      <c r="AF808" cm="1">
        <f t="array" ref="AF808">IF(SUMPRODUCT(--($AQ$2:$AQ$71=TRIM(LEFT($B808,IFERROR(FIND(" ",$B808)-1,LEN($B808))))))&gt;0,1,0)</f>
        <v>0</v>
      </c>
    </row>
    <row r="809" spans="1:32" ht="75.75" thickBot="1" x14ac:dyDescent="0.3">
      <c r="A809" s="13">
        <v>49</v>
      </c>
      <c r="B809" s="4" t="s">
        <v>1610</v>
      </c>
      <c r="C809" s="4" t="s">
        <v>1611</v>
      </c>
      <c r="D809" s="7">
        <v>43739</v>
      </c>
      <c r="E809" s="3">
        <v>940.18</v>
      </c>
      <c r="F809" s="4" t="s">
        <v>30</v>
      </c>
      <c r="G809" s="3">
        <v>2.09</v>
      </c>
      <c r="H809" s="4" t="s">
        <v>118</v>
      </c>
      <c r="I809" s="4" t="s">
        <v>119</v>
      </c>
      <c r="J809" s="4" t="s">
        <v>120</v>
      </c>
      <c r="K809" s="3">
        <v>35</v>
      </c>
      <c r="L809" s="3">
        <v>25</v>
      </c>
      <c r="M809" s="4"/>
      <c r="N809" s="3">
        <v>234.18</v>
      </c>
      <c r="O809" s="4" t="s">
        <v>34</v>
      </c>
      <c r="P809" s="4" t="s">
        <v>34</v>
      </c>
      <c r="Q809" s="4" t="s">
        <v>35</v>
      </c>
      <c r="R809" s="3">
        <v>517.82100000000003</v>
      </c>
      <c r="S809" s="3">
        <v>37.390900000000002</v>
      </c>
      <c r="T809" s="4" t="s">
        <v>113</v>
      </c>
      <c r="U809" s="2" t="s">
        <v>37</v>
      </c>
      <c r="V809" s="2" t="s">
        <v>37</v>
      </c>
      <c r="W809" s="2" t="s">
        <v>37</v>
      </c>
      <c r="X809" s="2" t="s">
        <v>38</v>
      </c>
      <c r="Y809" s="2" t="s">
        <v>37</v>
      </c>
      <c r="Z809" s="2" t="s">
        <v>37</v>
      </c>
      <c r="AA809" s="6">
        <v>2.9732110079999998</v>
      </c>
      <c r="AB809" s="6">
        <v>2.714179659</v>
      </c>
      <c r="AC809" s="6">
        <v>2.3695498019999999</v>
      </c>
      <c r="AD809" cm="1">
        <f t="array" ref="AD809">IF(SUMPRODUCT(--($AM$2:$AM$112=TRIM(LEFT($B809,IFERROR(FIND(" ",$B809)-1,LEN($B809))))))&gt;0,1,0)</f>
        <v>0</v>
      </c>
      <c r="AE809" cm="1">
        <f t="array" ref="AE809">IF(SUMPRODUCT(--($AO$2:$AO$145=TRIM(LEFT($B809,IFERROR(FIND(" ",$B809)-1,LEN($B809))))))&gt;0,1,0)</f>
        <v>0</v>
      </c>
      <c r="AF809" cm="1">
        <f t="array" ref="AF809">IF(SUMPRODUCT(--($AQ$2:$AQ$71=TRIM(LEFT($B809,IFERROR(FIND(" ",$B809)-1,LEN($B809))))))&gt;0,1,0)</f>
        <v>0</v>
      </c>
    </row>
    <row r="810" spans="1:32" ht="45.75" thickBot="1" x14ac:dyDescent="0.3">
      <c r="A810" s="13">
        <v>83</v>
      </c>
      <c r="B810" s="4" t="s">
        <v>1612</v>
      </c>
      <c r="C810" s="4" t="s">
        <v>402</v>
      </c>
      <c r="D810" s="7">
        <v>43690</v>
      </c>
      <c r="E810" s="3">
        <v>21943.45</v>
      </c>
      <c r="F810" s="4" t="s">
        <v>46</v>
      </c>
      <c r="G810" s="3">
        <v>7.86</v>
      </c>
      <c r="H810" s="4" t="s">
        <v>184</v>
      </c>
      <c r="I810" s="4" t="s">
        <v>185</v>
      </c>
      <c r="J810" s="4" t="s">
        <v>186</v>
      </c>
      <c r="K810" s="3">
        <v>560</v>
      </c>
      <c r="L810" s="3">
        <v>373</v>
      </c>
      <c r="M810" s="4"/>
      <c r="N810" s="3">
        <v>13707.45</v>
      </c>
      <c r="O810" s="4" t="s">
        <v>34</v>
      </c>
      <c r="P810" s="4" t="s">
        <v>34</v>
      </c>
      <c r="Q810" s="4" t="s">
        <v>35</v>
      </c>
      <c r="R810" s="3">
        <v>12838</v>
      </c>
      <c r="S810" s="3">
        <v>19.177399999999999</v>
      </c>
      <c r="T810" s="4" t="s">
        <v>43</v>
      </c>
      <c r="U810" s="2" t="s">
        <v>37</v>
      </c>
      <c r="V810" s="2" t="s">
        <v>37</v>
      </c>
      <c r="W810" s="2" t="s">
        <v>37</v>
      </c>
      <c r="X810" s="2" t="s">
        <v>37</v>
      </c>
      <c r="Y810" s="2" t="s">
        <v>37</v>
      </c>
      <c r="Z810" s="2" t="s">
        <v>37</v>
      </c>
      <c r="AA810" s="6">
        <v>4.3413049089999998</v>
      </c>
      <c r="AB810" s="6">
        <v>4.1084973710000003</v>
      </c>
      <c r="AC810" s="6">
        <v>4.13695667</v>
      </c>
      <c r="AD810" cm="1">
        <f t="array" ref="AD810">IF(SUMPRODUCT(--($AM$2:$AM$112=TRIM(LEFT($B810,IFERROR(FIND(" ",$B810)-1,LEN($B810))))))&gt;0,1,0)</f>
        <v>0</v>
      </c>
      <c r="AE810" cm="1">
        <f t="array" ref="AE810">IF(SUMPRODUCT(--($AO$2:$AO$145=TRIM(LEFT($B810,IFERROR(FIND(" ",$B810)-1,LEN($B810))))))&gt;0,1,0)</f>
        <v>0</v>
      </c>
      <c r="AF810" cm="1">
        <f t="array" ref="AF810">IF(SUMPRODUCT(--($AQ$2:$AQ$71=TRIM(LEFT($B810,IFERROR(FIND(" ",$B810)-1,LEN($B810))))))&gt;0,1,0)</f>
        <v>0</v>
      </c>
    </row>
    <row r="811" spans="1:32" ht="45.75" thickBot="1" x14ac:dyDescent="0.3">
      <c r="A811" s="13">
        <v>59</v>
      </c>
      <c r="B811" s="4" t="s">
        <v>1613</v>
      </c>
      <c r="C811" s="4" t="s">
        <v>819</v>
      </c>
      <c r="D811" s="7">
        <v>43724</v>
      </c>
      <c r="E811" s="3">
        <v>3692.62</v>
      </c>
      <c r="F811" s="4" t="s">
        <v>107</v>
      </c>
      <c r="G811" s="3">
        <v>10</v>
      </c>
      <c r="H811" s="4" t="s">
        <v>118</v>
      </c>
      <c r="I811" s="4" t="s">
        <v>119</v>
      </c>
      <c r="J811" s="4" t="s">
        <v>120</v>
      </c>
      <c r="K811" s="4"/>
      <c r="L811" s="3">
        <v>54.5</v>
      </c>
      <c r="M811" s="3">
        <v>82.16</v>
      </c>
      <c r="N811" s="3">
        <v>1329.12</v>
      </c>
      <c r="O811" s="4" t="s">
        <v>34</v>
      </c>
      <c r="P811" s="4" t="s">
        <v>34</v>
      </c>
      <c r="Q811" s="4" t="s">
        <v>35</v>
      </c>
      <c r="R811" s="3">
        <v>2503.2600000000002</v>
      </c>
      <c r="S811" s="3">
        <v>5.1676299999999999</v>
      </c>
      <c r="T811" s="4" t="s">
        <v>43</v>
      </c>
      <c r="U811" s="2" t="s">
        <v>37</v>
      </c>
      <c r="V811" s="2" t="s">
        <v>37</v>
      </c>
      <c r="W811" s="2" t="s">
        <v>37</v>
      </c>
      <c r="X811" s="2" t="s">
        <v>37</v>
      </c>
      <c r="Y811" s="2" t="s">
        <v>37</v>
      </c>
      <c r="Z811" s="2" t="s">
        <v>37</v>
      </c>
      <c r="AA811" s="6">
        <v>3.5673346179999998</v>
      </c>
      <c r="AB811" s="6">
        <v>3.39850596</v>
      </c>
      <c r="AC811" s="6">
        <v>3.123564193</v>
      </c>
      <c r="AD811" cm="1">
        <f t="array" ref="AD811">IF(SUMPRODUCT(--($AM$2:$AM$112=TRIM(LEFT($B811,IFERROR(FIND(" ",$B811)-1,LEN($B811))))))&gt;0,1,0)</f>
        <v>0</v>
      </c>
      <c r="AE811" cm="1">
        <f t="array" ref="AE811">IF(SUMPRODUCT(--($AO$2:$AO$145=TRIM(LEFT($B811,IFERROR(FIND(" ",$B811)-1,LEN($B811))))))&gt;0,1,0)</f>
        <v>0</v>
      </c>
      <c r="AF811" cm="1">
        <f t="array" ref="AF811">IF(SUMPRODUCT(--($AQ$2:$AQ$71=TRIM(LEFT($B811,IFERROR(FIND(" ",$B811)-1,LEN($B811))))))&gt;0,1,0)</f>
        <v>0</v>
      </c>
    </row>
    <row r="812" spans="1:32" ht="165.75" thickBot="1" x14ac:dyDescent="0.3">
      <c r="A812" s="13">
        <v>86</v>
      </c>
      <c r="B812" s="4" t="s">
        <v>1614</v>
      </c>
      <c r="C812" s="4" t="s">
        <v>623</v>
      </c>
      <c r="D812" s="7">
        <v>43684</v>
      </c>
      <c r="E812" s="3">
        <v>2486.69</v>
      </c>
      <c r="F812" s="4" t="s">
        <v>30</v>
      </c>
      <c r="G812" s="3">
        <v>18.57</v>
      </c>
      <c r="H812" s="4" t="s">
        <v>41</v>
      </c>
      <c r="I812" s="4" t="s">
        <v>41</v>
      </c>
      <c r="J812" s="4" t="s">
        <v>100</v>
      </c>
      <c r="K812" s="3">
        <v>123.20099999999999</v>
      </c>
      <c r="L812" s="3">
        <v>61.6004</v>
      </c>
      <c r="M812" s="4"/>
      <c r="N812" s="3">
        <v>2019.36</v>
      </c>
      <c r="O812" s="4" t="s">
        <v>34</v>
      </c>
      <c r="P812" s="4" t="s">
        <v>166</v>
      </c>
      <c r="Q812" s="4" t="s">
        <v>35</v>
      </c>
      <c r="R812" s="3">
        <v>532.09299999999996</v>
      </c>
      <c r="S812" s="3">
        <v>14.616899999999999</v>
      </c>
      <c r="T812" s="4" t="s">
        <v>726</v>
      </c>
      <c r="U812" s="2" t="s">
        <v>37</v>
      </c>
      <c r="V812" s="2" t="s">
        <v>37</v>
      </c>
      <c r="W812" s="2" t="s">
        <v>38</v>
      </c>
      <c r="X812" s="2" t="s">
        <v>38</v>
      </c>
      <c r="Y812" s="2" t="s">
        <v>38</v>
      </c>
      <c r="Z812" s="2" t="s">
        <v>37</v>
      </c>
      <c r="AA812" s="6">
        <v>3.3956216480000001</v>
      </c>
      <c r="AB812" s="6">
        <v>2.7259875459999998</v>
      </c>
      <c r="AC812" s="6">
        <v>3.305213749</v>
      </c>
      <c r="AD812" cm="1">
        <f t="array" ref="AD812">IF(SUMPRODUCT(--($AM$2:$AM$112=TRIM(LEFT($B812,IFERROR(FIND(" ",$B812)-1,LEN($B812))))))&gt;0,1,0)</f>
        <v>0</v>
      </c>
      <c r="AE812" cm="1">
        <f t="array" ref="AE812">IF(SUMPRODUCT(--($AO$2:$AO$145=TRIM(LEFT($B812,IFERROR(FIND(" ",$B812)-1,LEN($B812))))))&gt;0,1,0)</f>
        <v>1</v>
      </c>
      <c r="AF812" cm="1">
        <f t="array" ref="AF812">IF(SUMPRODUCT(--($AQ$2:$AQ$71=TRIM(LEFT($B812,IFERROR(FIND(" ",$B812)-1,LEN($B812))))))&gt;0,1,0)</f>
        <v>0</v>
      </c>
    </row>
    <row r="813" spans="1:32" ht="45.75" thickBot="1" x14ac:dyDescent="0.3">
      <c r="A813" s="13">
        <v>114</v>
      </c>
      <c r="B813" s="4" t="s">
        <v>1615</v>
      </c>
      <c r="C813" s="4" t="s">
        <v>1616</v>
      </c>
      <c r="D813" s="7">
        <v>43642</v>
      </c>
      <c r="E813" s="3">
        <v>748.23</v>
      </c>
      <c r="F813" s="4" t="s">
        <v>46</v>
      </c>
      <c r="G813" s="4"/>
      <c r="H813" s="4" t="s">
        <v>65</v>
      </c>
      <c r="I813" s="4" t="s">
        <v>66</v>
      </c>
      <c r="J813" s="4" t="s">
        <v>66</v>
      </c>
      <c r="K813" s="3">
        <v>1.8</v>
      </c>
      <c r="L813" s="3">
        <v>28</v>
      </c>
      <c r="M813" s="3">
        <v>1.1000000000000001</v>
      </c>
      <c r="N813" s="3">
        <v>748.23</v>
      </c>
      <c r="O813" s="4" t="s">
        <v>34</v>
      </c>
      <c r="P813" s="4" t="s">
        <v>34</v>
      </c>
      <c r="Q813" s="4" t="s">
        <v>35</v>
      </c>
      <c r="R813" s="3">
        <v>160.51300000000001</v>
      </c>
      <c r="S813" s="3">
        <v>64.484899999999996</v>
      </c>
      <c r="T813" s="4" t="s">
        <v>43</v>
      </c>
      <c r="U813" s="2" t="s">
        <v>37</v>
      </c>
      <c r="V813" s="2" t="s">
        <v>37</v>
      </c>
      <c r="W813" s="2" t="s">
        <v>37</v>
      </c>
      <c r="X813" s="2" t="s">
        <v>37</v>
      </c>
      <c r="Y813" s="2" t="s">
        <v>37</v>
      </c>
      <c r="Z813" s="2" t="s">
        <v>37</v>
      </c>
      <c r="AA813" s="6">
        <v>2.874035117</v>
      </c>
      <c r="AB813" s="6">
        <v>2.2055102120000001</v>
      </c>
      <c r="AC813" s="6">
        <v>2.874035117</v>
      </c>
      <c r="AD813" cm="1">
        <f t="array" ref="AD813">IF(SUMPRODUCT(--($AM$2:$AM$112=TRIM(LEFT($B813,IFERROR(FIND(" ",$B813)-1,LEN($B813))))))&gt;0,1,0)</f>
        <v>0</v>
      </c>
      <c r="AE813" cm="1">
        <f t="array" ref="AE813">IF(SUMPRODUCT(--($AO$2:$AO$145=TRIM(LEFT($B813,IFERROR(FIND(" ",$B813)-1,LEN($B813))))))&gt;0,1,0)</f>
        <v>0</v>
      </c>
      <c r="AF813" cm="1">
        <f t="array" ref="AF813">IF(SUMPRODUCT(--($AQ$2:$AQ$71=TRIM(LEFT($B813,IFERROR(FIND(" ",$B813)-1,LEN($B813))))))&gt;0,1,0)</f>
        <v>0</v>
      </c>
    </row>
    <row r="814" spans="1:32" ht="45.75" thickBot="1" x14ac:dyDescent="0.3">
      <c r="A814" s="13">
        <v>231</v>
      </c>
      <c r="B814" s="4" t="s">
        <v>1617</v>
      </c>
      <c r="C814" s="4" t="s">
        <v>749</v>
      </c>
      <c r="D814" s="7">
        <v>43468</v>
      </c>
      <c r="E814" s="3">
        <v>88848.19</v>
      </c>
      <c r="F814" s="4" t="s">
        <v>107</v>
      </c>
      <c r="G814" s="3">
        <v>15.25</v>
      </c>
      <c r="H814" s="4" t="s">
        <v>41</v>
      </c>
      <c r="I814" s="4" t="s">
        <v>41</v>
      </c>
      <c r="J814" s="4" t="s">
        <v>42</v>
      </c>
      <c r="K814" s="3">
        <v>2200</v>
      </c>
      <c r="L814" s="3">
        <v>2200</v>
      </c>
      <c r="M814" s="3">
        <v>51.81</v>
      </c>
      <c r="N814" s="3">
        <v>71084.19</v>
      </c>
      <c r="O814" s="4" t="s">
        <v>34</v>
      </c>
      <c r="P814" s="4" t="s">
        <v>34</v>
      </c>
      <c r="Q814" s="4" t="s">
        <v>35</v>
      </c>
      <c r="R814" s="3">
        <v>15281</v>
      </c>
      <c r="S814" s="3">
        <v>46.472700000000003</v>
      </c>
      <c r="T814" s="4" t="s">
        <v>43</v>
      </c>
      <c r="U814" s="2" t="s">
        <v>37</v>
      </c>
      <c r="V814" s="2" t="s">
        <v>37</v>
      </c>
      <c r="W814" s="2" t="s">
        <v>37</v>
      </c>
      <c r="X814" s="2" t="s">
        <v>37</v>
      </c>
      <c r="Y814" s="2" t="s">
        <v>37</v>
      </c>
      <c r="Z814" s="2" t="s">
        <v>37</v>
      </c>
      <c r="AA814" s="6">
        <v>4.9486485849999999</v>
      </c>
      <c r="AB814" s="6">
        <v>4.1841517760000002</v>
      </c>
      <c r="AC814" s="6">
        <v>4.8517730190000004</v>
      </c>
      <c r="AD814" cm="1">
        <f t="array" ref="AD814">IF(SUMPRODUCT(--($AM$2:$AM$112=TRIM(LEFT($B814,IFERROR(FIND(" ",$B814)-1,LEN($B814))))))&gt;0,1,0)</f>
        <v>0</v>
      </c>
      <c r="AE814" cm="1">
        <f t="array" ref="AE814">IF(SUMPRODUCT(--($AO$2:$AO$145=TRIM(LEFT($B814,IFERROR(FIND(" ",$B814)-1,LEN($B814))))))&gt;0,1,0)</f>
        <v>1</v>
      </c>
      <c r="AF814" cm="1">
        <f t="array" ref="AF814">IF(SUMPRODUCT(--($AQ$2:$AQ$71=TRIM(LEFT($B814,IFERROR(FIND(" ",$B814)-1,LEN($B814))))))&gt;0,1,0)</f>
        <v>0</v>
      </c>
    </row>
    <row r="815" spans="1:32" ht="45.75" thickBot="1" x14ac:dyDescent="0.3">
      <c r="A815" s="13">
        <v>95</v>
      </c>
      <c r="B815" s="4" t="s">
        <v>1618</v>
      </c>
      <c r="C815" s="4" t="s">
        <v>223</v>
      </c>
      <c r="D815" s="7">
        <v>43658</v>
      </c>
      <c r="E815" s="3">
        <v>1984.4</v>
      </c>
      <c r="F815" s="4" t="s">
        <v>107</v>
      </c>
      <c r="G815" s="3">
        <v>12.94</v>
      </c>
      <c r="H815" s="4" t="s">
        <v>70</v>
      </c>
      <c r="I815" s="4" t="s">
        <v>71</v>
      </c>
      <c r="J815" s="4" t="s">
        <v>72</v>
      </c>
      <c r="K815" s="4"/>
      <c r="L815" s="3">
        <v>45</v>
      </c>
      <c r="M815" s="3">
        <v>33.659999999999997</v>
      </c>
      <c r="N815" s="3">
        <v>1272.7</v>
      </c>
      <c r="O815" s="4" t="s">
        <v>34</v>
      </c>
      <c r="P815" s="4" t="s">
        <v>34</v>
      </c>
      <c r="Q815" s="4" t="s">
        <v>35</v>
      </c>
      <c r="R815" s="3">
        <v>1258.2</v>
      </c>
      <c r="S815" s="3">
        <v>7.7740799999999997</v>
      </c>
      <c r="T815" s="4" t="s">
        <v>43</v>
      </c>
      <c r="U815" s="2" t="s">
        <v>37</v>
      </c>
      <c r="V815" s="2" t="s">
        <v>37</v>
      </c>
      <c r="W815" s="2" t="s">
        <v>37</v>
      </c>
      <c r="X815" s="2" t="s">
        <v>37</v>
      </c>
      <c r="Y815" s="2" t="s">
        <v>37</v>
      </c>
      <c r="Z815" s="2" t="s">
        <v>37</v>
      </c>
      <c r="AA815" s="6">
        <v>3.297629218</v>
      </c>
      <c r="AB815" s="6">
        <v>3.099749681</v>
      </c>
      <c r="AC815" s="6">
        <v>3.104726044</v>
      </c>
      <c r="AD815" cm="1">
        <f t="array" ref="AD815">IF(SUMPRODUCT(--($AM$2:$AM$112=TRIM(LEFT($B815,IFERROR(FIND(" ",$B815)-1,LEN($B815))))))&gt;0,1,0)</f>
        <v>1</v>
      </c>
      <c r="AE815" cm="1">
        <f t="array" ref="AE815">IF(SUMPRODUCT(--($AO$2:$AO$145=TRIM(LEFT($B815,IFERROR(FIND(" ",$B815)-1,LEN($B815))))))&gt;0,1,0)</f>
        <v>0</v>
      </c>
      <c r="AF815" cm="1">
        <f t="array" ref="AF815">IF(SUMPRODUCT(--($AQ$2:$AQ$71=TRIM(LEFT($B815,IFERROR(FIND(" ",$B815)-1,LEN($B815))))))&gt;0,1,0)</f>
        <v>0</v>
      </c>
    </row>
    <row r="816" spans="1:32" ht="60.75" thickBot="1" x14ac:dyDescent="0.3">
      <c r="A816" s="13">
        <v>78</v>
      </c>
      <c r="B816" s="4" t="s">
        <v>1619</v>
      </c>
      <c r="C816" s="4" t="s">
        <v>1620</v>
      </c>
      <c r="D816" s="7">
        <v>43682</v>
      </c>
      <c r="E816" s="3">
        <v>1794.55</v>
      </c>
      <c r="F816" s="4" t="s">
        <v>107</v>
      </c>
      <c r="G816" s="3">
        <v>7.42</v>
      </c>
      <c r="H816" s="4" t="s">
        <v>184</v>
      </c>
      <c r="I816" s="4" t="s">
        <v>185</v>
      </c>
      <c r="J816" s="4" t="s">
        <v>1133</v>
      </c>
      <c r="K816" s="3">
        <v>28</v>
      </c>
      <c r="L816" s="3">
        <v>45</v>
      </c>
      <c r="M816" s="3">
        <v>26.17</v>
      </c>
      <c r="N816" s="3">
        <v>1278.1600000000001</v>
      </c>
      <c r="O816" s="4" t="s">
        <v>34</v>
      </c>
      <c r="P816" s="4" t="s">
        <v>34</v>
      </c>
      <c r="Q816" s="4" t="s">
        <v>35</v>
      </c>
      <c r="R816" s="3">
        <v>2663.55</v>
      </c>
      <c r="S816" s="3">
        <v>3.4000699999999999</v>
      </c>
      <c r="T816" s="4" t="s">
        <v>43</v>
      </c>
      <c r="U816" s="2" t="s">
        <v>37</v>
      </c>
      <c r="V816" s="2" t="s">
        <v>37</v>
      </c>
      <c r="W816" s="2" t="s">
        <v>37</v>
      </c>
      <c r="X816" s="2" t="s">
        <v>37</v>
      </c>
      <c r="Y816" s="2" t="s">
        <v>37</v>
      </c>
      <c r="Z816" s="2" t="s">
        <v>37</v>
      </c>
      <c r="AA816" s="6">
        <v>3.2539555629999999</v>
      </c>
      <c r="AB816" s="6">
        <v>3.4254608540000002</v>
      </c>
      <c r="AC816" s="6">
        <v>3.1065852220000001</v>
      </c>
      <c r="AD816" cm="1">
        <f t="array" ref="AD816">IF(SUMPRODUCT(--($AM$2:$AM$112=TRIM(LEFT($B816,IFERROR(FIND(" ",$B816)-1,LEN($B816))))))&gt;0,1,0)</f>
        <v>0</v>
      </c>
      <c r="AE816" cm="1">
        <f t="array" ref="AE816">IF(SUMPRODUCT(--($AO$2:$AO$145=TRIM(LEFT($B816,IFERROR(FIND(" ",$B816)-1,LEN($B816))))))&gt;0,1,0)</f>
        <v>0</v>
      </c>
      <c r="AF816" cm="1">
        <f t="array" ref="AF816">IF(SUMPRODUCT(--($AQ$2:$AQ$71=TRIM(LEFT($B816,IFERROR(FIND(" ",$B816)-1,LEN($B816))))))&gt;0,1,0)</f>
        <v>0</v>
      </c>
    </row>
    <row r="817" spans="1:32" ht="105.75" thickBot="1" x14ac:dyDescent="0.3">
      <c r="A817" s="13">
        <v>33</v>
      </c>
      <c r="B817" s="4" t="s">
        <v>1621</v>
      </c>
      <c r="C817" s="4" t="s">
        <v>895</v>
      </c>
      <c r="D817" s="7">
        <v>43738</v>
      </c>
      <c r="E817" s="3">
        <v>799.02</v>
      </c>
      <c r="F817" s="4" t="s">
        <v>30</v>
      </c>
      <c r="G817" s="4"/>
      <c r="H817" s="4" t="s">
        <v>41</v>
      </c>
      <c r="I817" s="4" t="s">
        <v>41</v>
      </c>
      <c r="J817" s="4" t="s">
        <v>42</v>
      </c>
      <c r="K817" s="4"/>
      <c r="L817" s="3">
        <v>32</v>
      </c>
      <c r="M817" s="3">
        <v>66.930000000000007</v>
      </c>
      <c r="N817" s="3">
        <v>853.55</v>
      </c>
      <c r="O817" s="4" t="s">
        <v>34</v>
      </c>
      <c r="P817" s="4" t="s">
        <v>638</v>
      </c>
      <c r="Q817" s="4" t="s">
        <v>35</v>
      </c>
      <c r="R817" s="3">
        <v>10.355</v>
      </c>
      <c r="S817" s="3">
        <v>-531.54700000000003</v>
      </c>
      <c r="T817" s="4" t="s">
        <v>964</v>
      </c>
      <c r="U817" s="2" t="s">
        <v>37</v>
      </c>
      <c r="V817" s="2" t="s">
        <v>37</v>
      </c>
      <c r="W817" s="2" t="s">
        <v>38</v>
      </c>
      <c r="X817" s="2" t="s">
        <v>37</v>
      </c>
      <c r="Y817" s="2" t="s">
        <v>37</v>
      </c>
      <c r="Z817" s="2" t="s">
        <v>38</v>
      </c>
      <c r="AA817" s="6">
        <v>2.9025576499999999</v>
      </c>
      <c r="AB817" s="6">
        <v>1.0151501030000001</v>
      </c>
      <c r="AC817" s="6">
        <v>2.931228967</v>
      </c>
      <c r="AD817" cm="1">
        <f t="array" ref="AD817">IF(SUMPRODUCT(--($AM$2:$AM$112=TRIM(LEFT($B817,IFERROR(FIND(" ",$B817)-1,LEN($B817))))))&gt;0,1,0)</f>
        <v>0</v>
      </c>
      <c r="AE817" cm="1">
        <f t="array" ref="AE817">IF(SUMPRODUCT(--($AO$2:$AO$145=TRIM(LEFT($B817,IFERROR(FIND(" ",$B817)-1,LEN($B817))))))&gt;0,1,0)</f>
        <v>0</v>
      </c>
      <c r="AF817" cm="1">
        <f t="array" ref="AF817">IF(SUMPRODUCT(--($AQ$2:$AQ$71=TRIM(LEFT($B817,IFERROR(FIND(" ",$B817)-1,LEN($B817))))))&gt;0,1,0)</f>
        <v>0</v>
      </c>
    </row>
    <row r="818" spans="1:32" ht="60.75" thickBot="1" x14ac:dyDescent="0.3">
      <c r="A818" s="13">
        <v>76</v>
      </c>
      <c r="B818" s="4" t="s">
        <v>1622</v>
      </c>
      <c r="C818" s="4" t="s">
        <v>177</v>
      </c>
      <c r="D818" s="7">
        <v>43675</v>
      </c>
      <c r="E818" s="3">
        <v>3121.39</v>
      </c>
      <c r="F818" s="4" t="s">
        <v>107</v>
      </c>
      <c r="G818" s="3">
        <v>47.82</v>
      </c>
      <c r="H818" s="4" t="s">
        <v>41</v>
      </c>
      <c r="I818" s="4" t="s">
        <v>41</v>
      </c>
      <c r="J818" s="4" t="s">
        <v>60</v>
      </c>
      <c r="K818" s="4"/>
      <c r="L818" s="3">
        <v>92.4</v>
      </c>
      <c r="M818" s="3">
        <v>36.78</v>
      </c>
      <c r="N818" s="3">
        <v>2973.41</v>
      </c>
      <c r="O818" s="4" t="s">
        <v>34</v>
      </c>
      <c r="P818" s="4" t="s">
        <v>34</v>
      </c>
      <c r="Q818" s="4" t="s">
        <v>35</v>
      </c>
      <c r="R818" s="3">
        <v>394.11099999999999</v>
      </c>
      <c r="S818" s="3">
        <v>12.562200000000001</v>
      </c>
      <c r="T818" s="4" t="s">
        <v>43</v>
      </c>
      <c r="U818" s="2" t="s">
        <v>37</v>
      </c>
      <c r="V818" s="2" t="s">
        <v>37</v>
      </c>
      <c r="W818" s="2" t="s">
        <v>37</v>
      </c>
      <c r="X818" s="2" t="s">
        <v>37</v>
      </c>
      <c r="Y818" s="2" t="s">
        <v>37</v>
      </c>
      <c r="Z818" s="2" t="s">
        <v>37</v>
      </c>
      <c r="AA818" s="6">
        <v>3.4943480349999998</v>
      </c>
      <c r="AB818" s="6">
        <v>2.5956185569999999</v>
      </c>
      <c r="AC818" s="6">
        <v>3.4732547980000001</v>
      </c>
      <c r="AD818" cm="1">
        <f t="array" ref="AD818">IF(SUMPRODUCT(--($AM$2:$AM$112=TRIM(LEFT($B818,IFERROR(FIND(" ",$B818)-1,LEN($B818))))))&gt;0,1,0)</f>
        <v>0</v>
      </c>
      <c r="AE818" cm="1">
        <f t="array" ref="AE818">IF(SUMPRODUCT(--($AO$2:$AO$145=TRIM(LEFT($B818,IFERROR(FIND(" ",$B818)-1,LEN($B818))))))&gt;0,1,0)</f>
        <v>0</v>
      </c>
      <c r="AF818" cm="1">
        <f t="array" ref="AF818">IF(SUMPRODUCT(--($AQ$2:$AQ$71=TRIM(LEFT($B818,IFERROR(FIND(" ",$B818)-1,LEN($B818))))))&gt;0,1,0)</f>
        <v>0</v>
      </c>
    </row>
    <row r="819" spans="1:32" ht="165.75" thickBot="1" x14ac:dyDescent="0.3">
      <c r="A819" s="13">
        <v>126</v>
      </c>
      <c r="B819" s="4" t="s">
        <v>1623</v>
      </c>
      <c r="C819" s="4" t="s">
        <v>1624</v>
      </c>
      <c r="D819" s="7">
        <v>43595</v>
      </c>
      <c r="E819" s="3">
        <v>11100.18</v>
      </c>
      <c r="F819" s="4" t="s">
        <v>30</v>
      </c>
      <c r="G819" s="3">
        <v>16.84</v>
      </c>
      <c r="H819" s="4" t="s">
        <v>118</v>
      </c>
      <c r="I819" s="4" t="s">
        <v>119</v>
      </c>
      <c r="J819" s="4" t="s">
        <v>120</v>
      </c>
      <c r="K819" s="3">
        <v>390</v>
      </c>
      <c r="L819" s="3">
        <v>130</v>
      </c>
      <c r="M819" s="4"/>
      <c r="N819" s="3">
        <v>6387.58</v>
      </c>
      <c r="O819" s="4" t="s">
        <v>34</v>
      </c>
      <c r="P819" s="4" t="s">
        <v>152</v>
      </c>
      <c r="Q819" s="4" t="s">
        <v>35</v>
      </c>
      <c r="R819" s="3">
        <v>3851.39</v>
      </c>
      <c r="S819" s="3">
        <v>12.544600000000001</v>
      </c>
      <c r="T819" s="4" t="s">
        <v>726</v>
      </c>
      <c r="U819" s="2" t="s">
        <v>37</v>
      </c>
      <c r="V819" s="2" t="s">
        <v>37</v>
      </c>
      <c r="W819" s="2" t="s">
        <v>38</v>
      </c>
      <c r="X819" s="2" t="s">
        <v>38</v>
      </c>
      <c r="Y819" s="2" t="s">
        <v>38</v>
      </c>
      <c r="Z819" s="2" t="s">
        <v>37</v>
      </c>
      <c r="AA819" s="6">
        <v>4.0453300209999998</v>
      </c>
      <c r="AB819" s="6">
        <v>3.585617498</v>
      </c>
      <c r="AC819" s="6">
        <v>3.8053363519999999</v>
      </c>
      <c r="AD819" cm="1">
        <f t="array" ref="AD819">IF(SUMPRODUCT(--($AM$2:$AM$112=TRIM(LEFT($B819,IFERROR(FIND(" ",$B819)-1,LEN($B819))))))&gt;0,1,0)</f>
        <v>0</v>
      </c>
      <c r="AE819" cm="1">
        <f t="array" ref="AE819">IF(SUMPRODUCT(--($AO$2:$AO$145=TRIM(LEFT($B819,IFERROR(FIND(" ",$B819)-1,LEN($B819))))))&gt;0,1,0)</f>
        <v>0</v>
      </c>
      <c r="AF819" cm="1">
        <f t="array" ref="AF819">IF(SUMPRODUCT(--($AQ$2:$AQ$71=TRIM(LEFT($B819,IFERROR(FIND(" ",$B819)-1,LEN($B819))))))&gt;0,1,0)</f>
        <v>0</v>
      </c>
    </row>
    <row r="820" spans="1:32" ht="45.75" thickBot="1" x14ac:dyDescent="0.3">
      <c r="A820" s="13">
        <v>100</v>
      </c>
      <c r="B820" s="4" t="s">
        <v>1625</v>
      </c>
      <c r="C820" s="4" t="s">
        <v>1626</v>
      </c>
      <c r="D820" s="7">
        <v>43633</v>
      </c>
      <c r="E820" s="3">
        <v>2026.43</v>
      </c>
      <c r="F820" s="4" t="s">
        <v>107</v>
      </c>
      <c r="G820" s="4"/>
      <c r="H820" s="4" t="s">
        <v>65</v>
      </c>
      <c r="I820" s="4" t="s">
        <v>66</v>
      </c>
      <c r="J820" s="4" t="s">
        <v>66</v>
      </c>
      <c r="K820" s="4"/>
      <c r="L820" s="3">
        <v>82</v>
      </c>
      <c r="M820" s="3">
        <v>10</v>
      </c>
      <c r="N820" s="3">
        <v>2026.43</v>
      </c>
      <c r="O820" s="4" t="s">
        <v>34</v>
      </c>
      <c r="P820" s="4" t="s">
        <v>34</v>
      </c>
      <c r="Q820" s="4" t="s">
        <v>35</v>
      </c>
      <c r="R820" s="3">
        <v>464.22300000000001</v>
      </c>
      <c r="S820" s="3">
        <v>46.384900000000002</v>
      </c>
      <c r="T820" s="4" t="s">
        <v>43</v>
      </c>
      <c r="U820" s="2" t="s">
        <v>37</v>
      </c>
      <c r="V820" s="2" t="s">
        <v>37</v>
      </c>
      <c r="W820" s="2" t="s">
        <v>37</v>
      </c>
      <c r="X820" s="2" t="s">
        <v>37</v>
      </c>
      <c r="Y820" s="2" t="s">
        <v>37</v>
      </c>
      <c r="Z820" s="2" t="s">
        <v>37</v>
      </c>
      <c r="AA820" s="6">
        <v>3.306731606</v>
      </c>
      <c r="AB820" s="6">
        <v>2.6667266540000001</v>
      </c>
      <c r="AC820" s="6">
        <v>3.306731606</v>
      </c>
      <c r="AD820" cm="1">
        <f t="array" ref="AD820">IF(SUMPRODUCT(--($AM$2:$AM$112=TRIM(LEFT($B820,IFERROR(FIND(" ",$B820)-1,LEN($B820))))))&gt;0,1,0)</f>
        <v>0</v>
      </c>
      <c r="AE820" cm="1">
        <f t="array" ref="AE820">IF(SUMPRODUCT(--($AO$2:$AO$145=TRIM(LEFT($B820,IFERROR(FIND(" ",$B820)-1,LEN($B820))))))&gt;0,1,0)</f>
        <v>0</v>
      </c>
      <c r="AF820" cm="1">
        <f t="array" ref="AF820">IF(SUMPRODUCT(--($AQ$2:$AQ$71=TRIM(LEFT($B820,IFERROR(FIND(" ",$B820)-1,LEN($B820))))))&gt;0,1,0)</f>
        <v>0</v>
      </c>
    </row>
    <row r="821" spans="1:32" ht="60.75" thickBot="1" x14ac:dyDescent="0.3">
      <c r="A821" s="13">
        <v>95</v>
      </c>
      <c r="B821" s="4" t="s">
        <v>1627</v>
      </c>
      <c r="C821" s="4" t="s">
        <v>1124</v>
      </c>
      <c r="D821" s="7">
        <v>43640</v>
      </c>
      <c r="E821" s="3">
        <v>771.32</v>
      </c>
      <c r="F821" s="4" t="s">
        <v>46</v>
      </c>
      <c r="G821" s="4"/>
      <c r="H821" s="4" t="s">
        <v>70</v>
      </c>
      <c r="I821" s="4" t="s">
        <v>94</v>
      </c>
      <c r="J821" s="4" t="s">
        <v>170</v>
      </c>
      <c r="K821" s="3">
        <v>60</v>
      </c>
      <c r="L821" s="3">
        <v>35</v>
      </c>
      <c r="M821" s="3">
        <v>35.700000000000003</v>
      </c>
      <c r="N821" s="3">
        <v>435.69</v>
      </c>
      <c r="O821" s="4" t="s">
        <v>34</v>
      </c>
      <c r="P821" s="4" t="s">
        <v>34</v>
      </c>
      <c r="Q821" s="4" t="s">
        <v>35</v>
      </c>
      <c r="R821" s="3">
        <v>360.17</v>
      </c>
      <c r="S821" s="3">
        <v>-8.9708199999999998</v>
      </c>
      <c r="T821" s="4" t="s">
        <v>43</v>
      </c>
      <c r="U821" s="2" t="s">
        <v>37</v>
      </c>
      <c r="V821" s="2" t="s">
        <v>37</v>
      </c>
      <c r="W821" s="2" t="s">
        <v>37</v>
      </c>
      <c r="X821" s="2" t="s">
        <v>37</v>
      </c>
      <c r="Y821" s="2" t="s">
        <v>37</v>
      </c>
      <c r="Z821" s="2" t="s">
        <v>37</v>
      </c>
      <c r="AA821" s="6">
        <v>2.8872345930000001</v>
      </c>
      <c r="AB821" s="6">
        <v>2.5565075359999998</v>
      </c>
      <c r="AC821" s="6">
        <v>2.6391775919999998</v>
      </c>
      <c r="AD821" cm="1">
        <f t="array" ref="AD821">IF(SUMPRODUCT(--($AM$2:$AM$112=TRIM(LEFT($B821,IFERROR(FIND(" ",$B821)-1,LEN($B821))))))&gt;0,1,0)</f>
        <v>0</v>
      </c>
      <c r="AE821" cm="1">
        <f t="array" ref="AE821">IF(SUMPRODUCT(--($AO$2:$AO$145=TRIM(LEFT($B821,IFERROR(FIND(" ",$B821)-1,LEN($B821))))))&gt;0,1,0)</f>
        <v>0</v>
      </c>
      <c r="AF821" cm="1">
        <f t="array" ref="AF821">IF(SUMPRODUCT(--($AQ$2:$AQ$71=TRIM(LEFT($B821,IFERROR(FIND(" ",$B821)-1,LEN($B821))))))&gt;0,1,0)</f>
        <v>0</v>
      </c>
    </row>
    <row r="822" spans="1:32" ht="45.75" thickBot="1" x14ac:dyDescent="0.3">
      <c r="A822" s="13">
        <v>80</v>
      </c>
      <c r="B822" s="4" t="s">
        <v>1628</v>
      </c>
      <c r="C822" s="4" t="s">
        <v>1137</v>
      </c>
      <c r="D822" s="7">
        <v>43661</v>
      </c>
      <c r="E822" s="3">
        <v>730.1</v>
      </c>
      <c r="F822" s="4" t="s">
        <v>46</v>
      </c>
      <c r="G822" s="4"/>
      <c r="H822" s="4" t="s">
        <v>65</v>
      </c>
      <c r="I822" s="4" t="s">
        <v>66</v>
      </c>
      <c r="J822" s="4" t="s">
        <v>66</v>
      </c>
      <c r="K822" s="4"/>
      <c r="L822" s="3">
        <v>28.277999999999999</v>
      </c>
      <c r="M822" s="3">
        <v>4.1500000000000004</v>
      </c>
      <c r="N822" s="3">
        <v>730.1</v>
      </c>
      <c r="O822" s="4" t="s">
        <v>34</v>
      </c>
      <c r="P822" s="4" t="s">
        <v>34</v>
      </c>
      <c r="Q822" s="4" t="s">
        <v>35</v>
      </c>
      <c r="R822" s="3">
        <v>309.73500000000001</v>
      </c>
      <c r="S822" s="3">
        <v>21.689</v>
      </c>
      <c r="T822" s="4" t="s">
        <v>43</v>
      </c>
      <c r="U822" s="2" t="s">
        <v>37</v>
      </c>
      <c r="V822" s="2" t="s">
        <v>37</v>
      </c>
      <c r="W822" s="2" t="s">
        <v>37</v>
      </c>
      <c r="X822" s="2" t="s">
        <v>37</v>
      </c>
      <c r="Y822" s="2" t="s">
        <v>37</v>
      </c>
      <c r="Z822" s="2" t="s">
        <v>37</v>
      </c>
      <c r="AA822" s="6">
        <v>2.863382348</v>
      </c>
      <c r="AB822" s="6">
        <v>2.4909902829999999</v>
      </c>
      <c r="AC822" s="6">
        <v>2.863382348</v>
      </c>
      <c r="AD822" cm="1">
        <f t="array" ref="AD822">IF(SUMPRODUCT(--($AM$2:$AM$112=TRIM(LEFT($B822,IFERROR(FIND(" ",$B822)-1,LEN($B822))))))&gt;0,1,0)</f>
        <v>0</v>
      </c>
      <c r="AE822" cm="1">
        <f t="array" ref="AE822">IF(SUMPRODUCT(--($AO$2:$AO$145=TRIM(LEFT($B822,IFERROR(FIND(" ",$B822)-1,LEN($B822))))))&gt;0,1,0)</f>
        <v>0</v>
      </c>
      <c r="AF822" cm="1">
        <f t="array" ref="AF822">IF(SUMPRODUCT(--($AQ$2:$AQ$71=TRIM(LEFT($B822,IFERROR(FIND(" ",$B822)-1,LEN($B822))))))&gt;0,1,0)</f>
        <v>0</v>
      </c>
    </row>
    <row r="823" spans="1:32" ht="45.75" thickBot="1" x14ac:dyDescent="0.3">
      <c r="A823" s="13">
        <v>99</v>
      </c>
      <c r="B823" s="4" t="s">
        <v>1629</v>
      </c>
      <c r="C823" s="4" t="s">
        <v>858</v>
      </c>
      <c r="D823" s="7">
        <v>43633</v>
      </c>
      <c r="E823" s="3">
        <v>1047.8</v>
      </c>
      <c r="F823" s="4" t="s">
        <v>46</v>
      </c>
      <c r="G823" s="3">
        <v>15.64</v>
      </c>
      <c r="H823" s="4" t="s">
        <v>118</v>
      </c>
      <c r="I823" s="4" t="s">
        <v>119</v>
      </c>
      <c r="J823" s="4" t="s">
        <v>355</v>
      </c>
      <c r="K823" s="3">
        <v>30</v>
      </c>
      <c r="L823" s="3">
        <v>30</v>
      </c>
      <c r="M823" s="3">
        <v>12.98</v>
      </c>
      <c r="N823" s="3">
        <v>822.8</v>
      </c>
      <c r="O823" s="4" t="s">
        <v>34</v>
      </c>
      <c r="P823" s="4" t="s">
        <v>34</v>
      </c>
      <c r="Q823" s="4" t="s">
        <v>35</v>
      </c>
      <c r="R823" s="3">
        <v>1821.56</v>
      </c>
      <c r="S823" s="3">
        <v>-15.2364</v>
      </c>
      <c r="T823" s="4" t="s">
        <v>43</v>
      </c>
      <c r="U823" s="2" t="s">
        <v>37</v>
      </c>
      <c r="V823" s="2" t="s">
        <v>37</v>
      </c>
      <c r="W823" s="2" t="s">
        <v>37</v>
      </c>
      <c r="X823" s="2" t="s">
        <v>37</v>
      </c>
      <c r="Y823" s="2" t="s">
        <v>37</v>
      </c>
      <c r="Z823" s="2" t="s">
        <v>37</v>
      </c>
      <c r="AA823" s="6">
        <v>3.020278394</v>
      </c>
      <c r="AB823" s="6">
        <v>3.2604434809999998</v>
      </c>
      <c r="AC823" s="6">
        <v>2.9152942830000002</v>
      </c>
      <c r="AD823" cm="1">
        <f t="array" ref="AD823">IF(SUMPRODUCT(--($AM$2:$AM$112=TRIM(LEFT($B823,IFERROR(FIND(" ",$B823)-1,LEN($B823))))))&gt;0,1,0)</f>
        <v>0</v>
      </c>
      <c r="AE823" cm="1">
        <f t="array" ref="AE823">IF(SUMPRODUCT(--($AO$2:$AO$145=TRIM(LEFT($B823,IFERROR(FIND(" ",$B823)-1,LEN($B823))))))&gt;0,1,0)</f>
        <v>0</v>
      </c>
      <c r="AF823" cm="1">
        <f t="array" ref="AF823">IF(SUMPRODUCT(--($AQ$2:$AQ$71=TRIM(LEFT($B823,IFERROR(FIND(" ",$B823)-1,LEN($B823))))))&gt;0,1,0)</f>
        <v>0</v>
      </c>
    </row>
    <row r="824" spans="1:32" ht="75.75" thickBot="1" x14ac:dyDescent="0.3">
      <c r="A824" s="13">
        <v>100</v>
      </c>
      <c r="B824" s="4" t="s">
        <v>1630</v>
      </c>
      <c r="C824" s="4" t="s">
        <v>1631</v>
      </c>
      <c r="D824" s="7">
        <v>43628</v>
      </c>
      <c r="E824" s="3">
        <v>5734.9</v>
      </c>
      <c r="F824" s="4" t="s">
        <v>30</v>
      </c>
      <c r="G824" s="3">
        <v>68.02</v>
      </c>
      <c r="H824" s="4" t="s">
        <v>41</v>
      </c>
      <c r="I824" s="4" t="s">
        <v>41</v>
      </c>
      <c r="J824" s="4" t="s">
        <v>100</v>
      </c>
      <c r="K824" s="4"/>
      <c r="L824" s="3">
        <v>207</v>
      </c>
      <c r="M824" s="4"/>
      <c r="N824" s="3">
        <v>5743.54</v>
      </c>
      <c r="O824" s="4" t="s">
        <v>34</v>
      </c>
      <c r="P824" s="4" t="s">
        <v>147</v>
      </c>
      <c r="Q824" s="4" t="s">
        <v>35</v>
      </c>
      <c r="R824" s="3">
        <v>635.69600000000003</v>
      </c>
      <c r="S824" s="3">
        <v>4.6805500000000002</v>
      </c>
      <c r="T824" s="4" t="s">
        <v>97</v>
      </c>
      <c r="U824" s="2" t="s">
        <v>37</v>
      </c>
      <c r="V824" s="2" t="s">
        <v>37</v>
      </c>
      <c r="W824" s="2" t="s">
        <v>38</v>
      </c>
      <c r="X824" s="2" t="s">
        <v>37</v>
      </c>
      <c r="Y824" s="2" t="s">
        <v>37</v>
      </c>
      <c r="Z824" s="2" t="s">
        <v>37</v>
      </c>
      <c r="AA824" s="6">
        <v>3.7585258490000002</v>
      </c>
      <c r="AB824" s="6">
        <v>2.8032494790000002</v>
      </c>
      <c r="AC824" s="6">
        <v>3.7591796500000001</v>
      </c>
      <c r="AD824" cm="1">
        <f t="array" ref="AD824">IF(SUMPRODUCT(--($AM$2:$AM$112=TRIM(LEFT($B824,IFERROR(FIND(" ",$B824)-1,LEN($B824))))))&gt;0,1,0)</f>
        <v>0</v>
      </c>
      <c r="AE824" cm="1">
        <f t="array" ref="AE824">IF(SUMPRODUCT(--($AO$2:$AO$145=TRIM(LEFT($B824,IFERROR(FIND(" ",$B824)-1,LEN($B824))))))&gt;0,1,0)</f>
        <v>0</v>
      </c>
      <c r="AF824" cm="1">
        <f t="array" ref="AF824">IF(SUMPRODUCT(--($AQ$2:$AQ$71=TRIM(LEFT($B824,IFERROR(FIND(" ",$B824)-1,LEN($B824))))))&gt;0,1,0)</f>
        <v>0</v>
      </c>
    </row>
    <row r="825" spans="1:32" ht="75.75" thickBot="1" x14ac:dyDescent="0.3">
      <c r="A825" s="13">
        <v>59</v>
      </c>
      <c r="B825" s="4" t="s">
        <v>1632</v>
      </c>
      <c r="C825" s="4" t="s">
        <v>1386</v>
      </c>
      <c r="D825" s="7">
        <v>43685</v>
      </c>
      <c r="E825" s="3">
        <v>862.3</v>
      </c>
      <c r="F825" s="4" t="s">
        <v>30</v>
      </c>
      <c r="G825" s="4"/>
      <c r="H825" s="4" t="s">
        <v>41</v>
      </c>
      <c r="I825" s="4" t="s">
        <v>41</v>
      </c>
      <c r="J825" s="4" t="s">
        <v>60</v>
      </c>
      <c r="K825" s="4"/>
      <c r="L825" s="3">
        <v>32.515000000000001</v>
      </c>
      <c r="M825" s="4"/>
      <c r="N825" s="3">
        <v>884.68</v>
      </c>
      <c r="O825" s="4" t="s">
        <v>34</v>
      </c>
      <c r="P825" s="4" t="s">
        <v>439</v>
      </c>
      <c r="Q825" s="4" t="s">
        <v>35</v>
      </c>
      <c r="R825" s="3">
        <v>10.781000000000001</v>
      </c>
      <c r="S825" s="3">
        <v>-224.774</v>
      </c>
      <c r="T825" s="4" t="s">
        <v>97</v>
      </c>
      <c r="U825" s="2" t="s">
        <v>37</v>
      </c>
      <c r="V825" s="2" t="s">
        <v>37</v>
      </c>
      <c r="W825" s="2" t="s">
        <v>38</v>
      </c>
      <c r="X825" s="2" t="s">
        <v>37</v>
      </c>
      <c r="Y825" s="2" t="s">
        <v>37</v>
      </c>
      <c r="Z825" s="2" t="s">
        <v>37</v>
      </c>
      <c r="AA825" s="6">
        <v>2.9356583860000001</v>
      </c>
      <c r="AB825" s="6">
        <v>1.032659046</v>
      </c>
      <c r="AC825" s="6">
        <v>2.9467862089999999</v>
      </c>
      <c r="AD825" cm="1">
        <f t="array" ref="AD825">IF(SUMPRODUCT(--($AM$2:$AM$112=TRIM(LEFT($B825,IFERROR(FIND(" ",$B825)-1,LEN($B825))))))&gt;0,1,0)</f>
        <v>0</v>
      </c>
      <c r="AE825" cm="1">
        <f t="array" ref="AE825">IF(SUMPRODUCT(--($AO$2:$AO$145=TRIM(LEFT($B825,IFERROR(FIND(" ",$B825)-1,LEN($B825))))))&gt;0,1,0)</f>
        <v>0</v>
      </c>
      <c r="AF825" cm="1">
        <f t="array" ref="AF825">IF(SUMPRODUCT(--($AQ$2:$AQ$71=TRIM(LEFT($B825,IFERROR(FIND(" ",$B825)-1,LEN($B825))))))&gt;0,1,0)</f>
        <v>0</v>
      </c>
    </row>
    <row r="826" spans="1:32" ht="75.75" thickBot="1" x14ac:dyDescent="0.3">
      <c r="A826" s="13">
        <v>91</v>
      </c>
      <c r="B826" s="4" t="s">
        <v>1633</v>
      </c>
      <c r="C826" s="4" t="s">
        <v>1634</v>
      </c>
      <c r="D826" s="7">
        <v>43640</v>
      </c>
      <c r="E826" s="3">
        <v>626.92999999999995</v>
      </c>
      <c r="F826" s="4" t="s">
        <v>46</v>
      </c>
      <c r="G826" s="3">
        <v>12.94</v>
      </c>
      <c r="H826" s="4" t="s">
        <v>31</v>
      </c>
      <c r="I826" s="4" t="s">
        <v>432</v>
      </c>
      <c r="J826" s="4" t="s">
        <v>1072</v>
      </c>
      <c r="K826" s="3">
        <v>26</v>
      </c>
      <c r="L826" s="4"/>
      <c r="M826" s="3">
        <v>5.0599999999999996</v>
      </c>
      <c r="N826" s="3">
        <v>782.5</v>
      </c>
      <c r="O826" s="4" t="s">
        <v>34</v>
      </c>
      <c r="P826" s="4" t="s">
        <v>34</v>
      </c>
      <c r="Q826" s="4" t="s">
        <v>35</v>
      </c>
      <c r="R826" s="3">
        <v>273.78399999999999</v>
      </c>
      <c r="S826" s="3">
        <v>11.1366</v>
      </c>
      <c r="T826" s="4" t="s">
        <v>43</v>
      </c>
      <c r="U826" s="2" t="s">
        <v>37</v>
      </c>
      <c r="V826" s="2" t="s">
        <v>37</v>
      </c>
      <c r="W826" s="2" t="s">
        <v>37</v>
      </c>
      <c r="X826" s="2" t="s">
        <v>37</v>
      </c>
      <c r="Y826" s="2" t="s">
        <v>37</v>
      </c>
      <c r="Z826" s="2" t="s">
        <v>37</v>
      </c>
      <c r="AA826" s="6">
        <v>2.797219052</v>
      </c>
      <c r="AB826" s="6">
        <v>2.437408064</v>
      </c>
      <c r="AC826" s="6">
        <v>2.8934843460000002</v>
      </c>
      <c r="AD826" cm="1">
        <f t="array" ref="AD826">IF(SUMPRODUCT(--($AM$2:$AM$112=TRIM(LEFT($B826,IFERROR(FIND(" ",$B826)-1,LEN($B826))))))&gt;0,1,0)</f>
        <v>0</v>
      </c>
      <c r="AE826" cm="1">
        <f t="array" ref="AE826">IF(SUMPRODUCT(--($AO$2:$AO$145=TRIM(LEFT($B826,IFERROR(FIND(" ",$B826)-1,LEN($B826))))))&gt;0,1,0)</f>
        <v>0</v>
      </c>
      <c r="AF826" cm="1">
        <f t="array" ref="AF826">IF(SUMPRODUCT(--($AQ$2:$AQ$71=TRIM(LEFT($B826,IFERROR(FIND(" ",$B826)-1,LEN($B826))))))&gt;0,1,0)</f>
        <v>0</v>
      </c>
    </row>
    <row r="827" spans="1:32" ht="105.75" thickBot="1" x14ac:dyDescent="0.3">
      <c r="A827" s="13">
        <v>28</v>
      </c>
      <c r="B827" s="4" t="s">
        <v>1635</v>
      </c>
      <c r="C827" s="4" t="s">
        <v>586</v>
      </c>
      <c r="D827" s="7">
        <v>43724</v>
      </c>
      <c r="E827" s="3">
        <v>1289.52</v>
      </c>
      <c r="F827" s="4" t="s">
        <v>30</v>
      </c>
      <c r="G827" s="4"/>
      <c r="H827" s="4" t="s">
        <v>41</v>
      </c>
      <c r="I827" s="4" t="s">
        <v>41</v>
      </c>
      <c r="J827" s="4" t="s">
        <v>42</v>
      </c>
      <c r="K827" s="4"/>
      <c r="L827" s="3">
        <v>87</v>
      </c>
      <c r="M827" s="4"/>
      <c r="N827" s="3">
        <v>1505.47</v>
      </c>
      <c r="O827" s="4" t="s">
        <v>34</v>
      </c>
      <c r="P827" s="4" t="s">
        <v>292</v>
      </c>
      <c r="Q827" s="4" t="s">
        <v>35</v>
      </c>
      <c r="R827" s="2"/>
      <c r="S827" s="2"/>
      <c r="T827" s="4" t="s">
        <v>964</v>
      </c>
      <c r="U827" s="2" t="s">
        <v>37</v>
      </c>
      <c r="V827" s="2" t="s">
        <v>37</v>
      </c>
      <c r="W827" s="2" t="s">
        <v>38</v>
      </c>
      <c r="X827" s="2" t="s">
        <v>37</v>
      </c>
      <c r="Y827" s="2" t="s">
        <v>37</v>
      </c>
      <c r="Z827" s="2" t="s">
        <v>38</v>
      </c>
      <c r="AA827" s="6">
        <v>3.1104280819999999</v>
      </c>
      <c r="AB827" s="2"/>
      <c r="AC827" s="6">
        <v>3.1776721060000002</v>
      </c>
      <c r="AD827" cm="1">
        <f t="array" ref="AD827">IF(SUMPRODUCT(--($AM$2:$AM$112=TRIM(LEFT($B827,IFERROR(FIND(" ",$B827)-1,LEN($B827))))))&gt;0,1,0)</f>
        <v>0</v>
      </c>
      <c r="AE827" cm="1">
        <f t="array" ref="AE827">IF(SUMPRODUCT(--($AO$2:$AO$145=TRIM(LEFT($B827,IFERROR(FIND(" ",$B827)-1,LEN($B827))))))&gt;0,1,0)</f>
        <v>0</v>
      </c>
      <c r="AF827" cm="1">
        <f t="array" ref="AF827">IF(SUMPRODUCT(--($AQ$2:$AQ$71=TRIM(LEFT($B827,IFERROR(FIND(" ",$B827)-1,LEN($B827))))))&gt;0,1,0)</f>
        <v>0</v>
      </c>
    </row>
    <row r="828" spans="1:32" ht="75.75" thickBot="1" x14ac:dyDescent="0.3">
      <c r="A828" s="13">
        <v>109</v>
      </c>
      <c r="B828" s="4" t="s">
        <v>1636</v>
      </c>
      <c r="C828" s="4" t="s">
        <v>1637</v>
      </c>
      <c r="D828" s="7">
        <v>43607</v>
      </c>
      <c r="E828" s="3">
        <v>1936.24</v>
      </c>
      <c r="F828" s="4" t="s">
        <v>30</v>
      </c>
      <c r="G828" s="3">
        <v>9.9</v>
      </c>
      <c r="H828" s="4" t="s">
        <v>75</v>
      </c>
      <c r="I828" s="4" t="s">
        <v>111</v>
      </c>
      <c r="J828" s="4" t="s">
        <v>133</v>
      </c>
      <c r="K828" s="3">
        <v>117</v>
      </c>
      <c r="L828" s="3">
        <v>78</v>
      </c>
      <c r="M828" s="4"/>
      <c r="N828" s="3">
        <v>1953.94</v>
      </c>
      <c r="O828" s="4" t="s">
        <v>34</v>
      </c>
      <c r="P828" s="4" t="s">
        <v>34</v>
      </c>
      <c r="Q828" s="4" t="s">
        <v>35</v>
      </c>
      <c r="R828" s="3">
        <v>675.03599999999994</v>
      </c>
      <c r="S828" s="3">
        <v>12.414</v>
      </c>
      <c r="T828" s="4" t="s">
        <v>113</v>
      </c>
      <c r="U828" s="2" t="s">
        <v>37</v>
      </c>
      <c r="V828" s="2" t="s">
        <v>37</v>
      </c>
      <c r="W828" s="2" t="s">
        <v>37</v>
      </c>
      <c r="X828" s="2" t="s">
        <v>38</v>
      </c>
      <c r="Y828" s="2" t="s">
        <v>37</v>
      </c>
      <c r="Z828" s="2" t="s">
        <v>37</v>
      </c>
      <c r="AA828" s="6">
        <v>3.286959188</v>
      </c>
      <c r="AB828" s="6">
        <v>2.8293269350000001</v>
      </c>
      <c r="AC828" s="6">
        <v>3.2909112239999998</v>
      </c>
      <c r="AD828" cm="1">
        <f t="array" ref="AD828">IF(SUMPRODUCT(--($AM$2:$AM$112=TRIM(LEFT($B828,IFERROR(FIND(" ",$B828)-1,LEN($B828))))))&gt;0,1,0)</f>
        <v>0</v>
      </c>
      <c r="AE828" cm="1">
        <f t="array" ref="AE828">IF(SUMPRODUCT(--($AO$2:$AO$145=TRIM(LEFT($B828,IFERROR(FIND(" ",$B828)-1,LEN($B828))))))&gt;0,1,0)</f>
        <v>0</v>
      </c>
      <c r="AF828" cm="1">
        <f t="array" ref="AF828">IF(SUMPRODUCT(--($AQ$2:$AQ$71=TRIM(LEFT($B828,IFERROR(FIND(" ",$B828)-1,LEN($B828))))))&gt;0,1,0)</f>
        <v>0</v>
      </c>
    </row>
    <row r="829" spans="1:32" ht="135.75" thickBot="1" x14ac:dyDescent="0.3">
      <c r="A829" s="13">
        <v>57</v>
      </c>
      <c r="B829" s="4" t="s">
        <v>1638</v>
      </c>
      <c r="C829" s="4" t="s">
        <v>1639</v>
      </c>
      <c r="D829" s="7">
        <v>43672</v>
      </c>
      <c r="E829" s="3">
        <v>859.76</v>
      </c>
      <c r="F829" s="4" t="s">
        <v>30</v>
      </c>
      <c r="G829" s="3">
        <v>15.31</v>
      </c>
      <c r="H829" s="4" t="s">
        <v>31</v>
      </c>
      <c r="I829" s="4" t="s">
        <v>32</v>
      </c>
      <c r="J829" s="4" t="s">
        <v>33</v>
      </c>
      <c r="K829" s="3">
        <v>49.5</v>
      </c>
      <c r="L829" s="3">
        <v>24.75</v>
      </c>
      <c r="M829" s="4"/>
      <c r="N829" s="3">
        <v>821.26</v>
      </c>
      <c r="O829" s="4" t="s">
        <v>34</v>
      </c>
      <c r="P829" s="4" t="s">
        <v>34</v>
      </c>
      <c r="Q829" s="4" t="s">
        <v>35</v>
      </c>
      <c r="R829" s="3">
        <v>246.73699999999999</v>
      </c>
      <c r="S829" s="3">
        <v>17.3431</v>
      </c>
      <c r="T829" s="4" t="s">
        <v>312</v>
      </c>
      <c r="U829" s="2" t="s">
        <v>37</v>
      </c>
      <c r="V829" s="2" t="s">
        <v>37</v>
      </c>
      <c r="W829" s="2" t="s">
        <v>37</v>
      </c>
      <c r="X829" s="2" t="s">
        <v>38</v>
      </c>
      <c r="Y829" s="2" t="s">
        <v>38</v>
      </c>
      <c r="Z829" s="2" t="s">
        <v>37</v>
      </c>
      <c r="AA829" s="6">
        <v>2.934377236</v>
      </c>
      <c r="AB829" s="6">
        <v>2.3922342799999998</v>
      </c>
      <c r="AC829" s="6">
        <v>2.9144806710000002</v>
      </c>
      <c r="AD829" cm="1">
        <f t="array" ref="AD829">IF(SUMPRODUCT(--($AM$2:$AM$112=TRIM(LEFT($B829,IFERROR(FIND(" ",$B829)-1,LEN($B829))))))&gt;0,1,0)</f>
        <v>0</v>
      </c>
      <c r="AE829" cm="1">
        <f t="array" ref="AE829">IF(SUMPRODUCT(--($AO$2:$AO$145=TRIM(LEFT($B829,IFERROR(FIND(" ",$B829)-1,LEN($B829))))))&gt;0,1,0)</f>
        <v>0</v>
      </c>
      <c r="AF829" cm="1">
        <f t="array" ref="AF829">IF(SUMPRODUCT(--($AQ$2:$AQ$71=TRIM(LEFT($B829,IFERROR(FIND(" ",$B829)-1,LEN($B829))))))&gt;0,1,0)</f>
        <v>0</v>
      </c>
    </row>
    <row r="830" spans="1:32" ht="75.75" thickBot="1" x14ac:dyDescent="0.3">
      <c r="A830" s="13">
        <v>51</v>
      </c>
      <c r="B830" s="4" t="s">
        <v>1640</v>
      </c>
      <c r="C830" s="4" t="s">
        <v>1641</v>
      </c>
      <c r="D830" s="7">
        <v>43679</v>
      </c>
      <c r="E830" s="3">
        <v>1102.1500000000001</v>
      </c>
      <c r="F830" s="4" t="s">
        <v>30</v>
      </c>
      <c r="G830" s="3">
        <v>14.24</v>
      </c>
      <c r="H830" s="4" t="s">
        <v>70</v>
      </c>
      <c r="I830" s="4" t="s">
        <v>94</v>
      </c>
      <c r="J830" s="4" t="s">
        <v>95</v>
      </c>
      <c r="K830" s="3">
        <v>67.5</v>
      </c>
      <c r="L830" s="3">
        <v>30.9</v>
      </c>
      <c r="M830" s="4"/>
      <c r="N830" s="3">
        <v>1101.71</v>
      </c>
      <c r="O830" s="4" t="s">
        <v>34</v>
      </c>
      <c r="P830" s="4" t="s">
        <v>34</v>
      </c>
      <c r="Q830" s="4" t="s">
        <v>35</v>
      </c>
      <c r="R830" s="3">
        <v>743.61400000000003</v>
      </c>
      <c r="S830" s="3">
        <v>5.0933900000000003</v>
      </c>
      <c r="T830" s="4" t="s">
        <v>113</v>
      </c>
      <c r="U830" s="2" t="s">
        <v>37</v>
      </c>
      <c r="V830" s="2" t="s">
        <v>37</v>
      </c>
      <c r="W830" s="2" t="s">
        <v>37</v>
      </c>
      <c r="X830" s="2" t="s">
        <v>38</v>
      </c>
      <c r="Y830" s="2" t="s">
        <v>37</v>
      </c>
      <c r="Z830" s="2" t="s">
        <v>37</v>
      </c>
      <c r="AA830" s="6">
        <v>3.0422407050000002</v>
      </c>
      <c r="AB830" s="6">
        <v>2.8713475580000001</v>
      </c>
      <c r="AC830" s="6">
        <v>3.042067291</v>
      </c>
      <c r="AD830" cm="1">
        <f t="array" ref="AD830">IF(SUMPRODUCT(--($AM$2:$AM$112=TRIM(LEFT($B830,IFERROR(FIND(" ",$B830)-1,LEN($B830))))))&gt;0,1,0)</f>
        <v>0</v>
      </c>
      <c r="AE830" cm="1">
        <f t="array" ref="AE830">IF(SUMPRODUCT(--($AO$2:$AO$145=TRIM(LEFT($B830,IFERROR(FIND(" ",$B830)-1,LEN($B830))))))&gt;0,1,0)</f>
        <v>0</v>
      </c>
      <c r="AF830" cm="1">
        <f t="array" ref="AF830">IF(SUMPRODUCT(--($AQ$2:$AQ$71=TRIM(LEFT($B830,IFERROR(FIND(" ",$B830)-1,LEN($B830))))))&gt;0,1,0)</f>
        <v>0</v>
      </c>
    </row>
    <row r="831" spans="1:32" ht="45.75" thickBot="1" x14ac:dyDescent="0.3">
      <c r="A831" s="13">
        <v>411</v>
      </c>
      <c r="B831" s="4" t="s">
        <v>1642</v>
      </c>
      <c r="C831" s="4" t="s">
        <v>1643</v>
      </c>
      <c r="D831" s="7">
        <v>43174</v>
      </c>
      <c r="E831" s="3">
        <v>1118.2</v>
      </c>
      <c r="F831" s="4" t="s">
        <v>30</v>
      </c>
      <c r="G831" s="3">
        <v>22.16</v>
      </c>
      <c r="H831" s="4" t="s">
        <v>279</v>
      </c>
      <c r="I831" s="4" t="s">
        <v>279</v>
      </c>
      <c r="J831" s="4" t="s">
        <v>974</v>
      </c>
      <c r="K831" s="3">
        <v>42.5</v>
      </c>
      <c r="L831" s="3">
        <v>28.1</v>
      </c>
      <c r="M831" s="4"/>
      <c r="N831" s="3">
        <v>844.78</v>
      </c>
      <c r="O831" s="4" t="s">
        <v>34</v>
      </c>
      <c r="P831" s="4" t="s">
        <v>34</v>
      </c>
      <c r="Q831" s="4" t="s">
        <v>35</v>
      </c>
      <c r="R831" s="3">
        <v>116.66500000000001</v>
      </c>
      <c r="S831" s="3">
        <v>30.459199999999999</v>
      </c>
      <c r="T831" s="4" t="s">
        <v>43</v>
      </c>
      <c r="U831" s="2" t="s">
        <v>37</v>
      </c>
      <c r="V831" s="2" t="s">
        <v>37</v>
      </c>
      <c r="W831" s="2" t="s">
        <v>37</v>
      </c>
      <c r="X831" s="2" t="s">
        <v>37</v>
      </c>
      <c r="Y831" s="2" t="s">
        <v>37</v>
      </c>
      <c r="Z831" s="2" t="s">
        <v>37</v>
      </c>
      <c r="AA831" s="6">
        <v>3.0485194880000002</v>
      </c>
      <c r="AB831" s="6">
        <v>2.0669405850000002</v>
      </c>
      <c r="AC831" s="6">
        <v>2.9267436230000001</v>
      </c>
      <c r="AD831" cm="1">
        <f t="array" ref="AD831">IF(SUMPRODUCT(--($AM$2:$AM$112=TRIM(LEFT($B831,IFERROR(FIND(" ",$B831)-1,LEN($B831))))))&gt;0,1,0)</f>
        <v>0</v>
      </c>
      <c r="AE831" cm="1">
        <f t="array" ref="AE831">IF(SUMPRODUCT(--($AO$2:$AO$145=TRIM(LEFT($B831,IFERROR(FIND(" ",$B831)-1,LEN($B831))))))&gt;0,1,0)</f>
        <v>0</v>
      </c>
      <c r="AF831" cm="1">
        <f t="array" ref="AF831">IF(SUMPRODUCT(--($AQ$2:$AQ$71=TRIM(LEFT($B831,IFERROR(FIND(" ",$B831)-1,LEN($B831))))))&gt;0,1,0)</f>
        <v>0</v>
      </c>
    </row>
    <row r="832" spans="1:32" ht="75.75" thickBot="1" x14ac:dyDescent="0.3">
      <c r="A832" s="13">
        <v>35</v>
      </c>
      <c r="B832" s="4" t="s">
        <v>1644</v>
      </c>
      <c r="C832" s="4" t="s">
        <v>801</v>
      </c>
      <c r="D832" s="7">
        <v>43699</v>
      </c>
      <c r="E832" s="3">
        <v>1781.52</v>
      </c>
      <c r="F832" s="4" t="s">
        <v>30</v>
      </c>
      <c r="G832" s="4"/>
      <c r="H832" s="4" t="s">
        <v>31</v>
      </c>
      <c r="I832" s="4" t="s">
        <v>32</v>
      </c>
      <c r="J832" s="4" t="s">
        <v>33</v>
      </c>
      <c r="K832" s="4"/>
      <c r="L832" s="3">
        <v>70</v>
      </c>
      <c r="M832" s="3">
        <v>28.34</v>
      </c>
      <c r="N832" s="3">
        <v>1912.28</v>
      </c>
      <c r="O832" s="4" t="s">
        <v>34</v>
      </c>
      <c r="P832" s="4" t="s">
        <v>34</v>
      </c>
      <c r="Q832" s="4" t="s">
        <v>35</v>
      </c>
      <c r="R832" s="3">
        <v>209.72399999999999</v>
      </c>
      <c r="S832" s="3">
        <v>-31.837</v>
      </c>
      <c r="T832" s="4" t="s">
        <v>88</v>
      </c>
      <c r="U832" s="2" t="s">
        <v>37</v>
      </c>
      <c r="V832" s="2" t="s">
        <v>37</v>
      </c>
      <c r="W832" s="2" t="s">
        <v>37</v>
      </c>
      <c r="X832" s="2" t="s">
        <v>37</v>
      </c>
      <c r="Y832" s="2" t="s">
        <v>37</v>
      </c>
      <c r="Z832" s="2" t="s">
        <v>38</v>
      </c>
      <c r="AA832" s="6">
        <v>3.2507907020000002</v>
      </c>
      <c r="AB832" s="6">
        <v>2.321648132</v>
      </c>
      <c r="AC832" s="6">
        <v>3.2815514829999999</v>
      </c>
      <c r="AD832" cm="1">
        <f t="array" ref="AD832">IF(SUMPRODUCT(--($AM$2:$AM$112=TRIM(LEFT($B832,IFERROR(FIND(" ",$B832)-1,LEN($B832))))))&gt;0,1,0)</f>
        <v>0</v>
      </c>
      <c r="AE832" cm="1">
        <f t="array" ref="AE832">IF(SUMPRODUCT(--($AO$2:$AO$145=TRIM(LEFT($B832,IFERROR(FIND(" ",$B832)-1,LEN($B832))))))&gt;0,1,0)</f>
        <v>0</v>
      </c>
      <c r="AF832" cm="1">
        <f t="array" ref="AF832">IF(SUMPRODUCT(--($AQ$2:$AQ$71=TRIM(LEFT($B832,IFERROR(FIND(" ",$B832)-1,LEN($B832))))))&gt;0,1,0)</f>
        <v>0</v>
      </c>
    </row>
    <row r="833" spans="1:32" ht="75.75" thickBot="1" x14ac:dyDescent="0.3">
      <c r="A833" s="13">
        <v>140</v>
      </c>
      <c r="B833" s="4" t="s">
        <v>1645</v>
      </c>
      <c r="C833" s="4" t="s">
        <v>438</v>
      </c>
      <c r="D833" s="7">
        <v>43550</v>
      </c>
      <c r="E833" s="3">
        <v>6355.63</v>
      </c>
      <c r="F833" s="4" t="s">
        <v>30</v>
      </c>
      <c r="G833" s="3">
        <v>14.65</v>
      </c>
      <c r="H833" s="4" t="s">
        <v>47</v>
      </c>
      <c r="I833" s="4" t="s">
        <v>47</v>
      </c>
      <c r="J833" s="4" t="s">
        <v>875</v>
      </c>
      <c r="K833" s="4"/>
      <c r="L833" s="3">
        <v>235</v>
      </c>
      <c r="M833" s="4"/>
      <c r="N833" s="3">
        <v>5784.63</v>
      </c>
      <c r="O833" s="4" t="s">
        <v>34</v>
      </c>
      <c r="P833" s="4" t="s">
        <v>439</v>
      </c>
      <c r="Q833" s="4" t="s">
        <v>476</v>
      </c>
      <c r="R833" s="3">
        <v>1372.3</v>
      </c>
      <c r="S833" s="3">
        <v>17.168900000000001</v>
      </c>
      <c r="T833" s="4" t="s">
        <v>934</v>
      </c>
      <c r="U833" s="2" t="s">
        <v>37</v>
      </c>
      <c r="V833" s="2" t="s">
        <v>38</v>
      </c>
      <c r="W833" s="2" t="s">
        <v>37</v>
      </c>
      <c r="X833" s="2" t="s">
        <v>37</v>
      </c>
      <c r="Y833" s="2" t="s">
        <v>37</v>
      </c>
      <c r="Z833" s="2" t="s">
        <v>37</v>
      </c>
      <c r="AA833" s="6">
        <v>3.8031586060000002</v>
      </c>
      <c r="AB833" s="6">
        <v>3.137449063</v>
      </c>
      <c r="AC833" s="6">
        <v>3.7622755859999999</v>
      </c>
      <c r="AD833" cm="1">
        <f t="array" ref="AD833">IF(SUMPRODUCT(--($AM$2:$AM$112=TRIM(LEFT($B833,IFERROR(FIND(" ",$B833)-1,LEN($B833))))))&gt;0,1,0)</f>
        <v>1</v>
      </c>
      <c r="AE833" cm="1">
        <f t="array" ref="AE833">IF(SUMPRODUCT(--($AO$2:$AO$145=TRIM(LEFT($B833,IFERROR(FIND(" ",$B833)-1,LEN($B833))))))&gt;0,1,0)</f>
        <v>0</v>
      </c>
      <c r="AF833" cm="1">
        <f t="array" ref="AF833">IF(SUMPRODUCT(--($AQ$2:$AQ$71=TRIM(LEFT($B833,IFERROR(FIND(" ",$B833)-1,LEN($B833))))))&gt;0,1,0)</f>
        <v>0</v>
      </c>
    </row>
    <row r="834" spans="1:32" ht="75.75" thickBot="1" x14ac:dyDescent="0.3">
      <c r="A834" s="13">
        <v>79</v>
      </c>
      <c r="B834" s="4" t="s">
        <v>1646</v>
      </c>
      <c r="C834" s="4" t="s">
        <v>1647</v>
      </c>
      <c r="D834" s="7">
        <v>43633</v>
      </c>
      <c r="E834" s="3">
        <v>3689.66</v>
      </c>
      <c r="F834" s="4" t="s">
        <v>30</v>
      </c>
      <c r="G834" s="3">
        <v>18.59</v>
      </c>
      <c r="H834" s="4" t="s">
        <v>70</v>
      </c>
      <c r="I834" s="4" t="s">
        <v>94</v>
      </c>
      <c r="J834" s="4" t="s">
        <v>95</v>
      </c>
      <c r="K834" s="3">
        <v>221.71</v>
      </c>
      <c r="L834" s="3">
        <v>110.86</v>
      </c>
      <c r="M834" s="4"/>
      <c r="N834" s="3">
        <v>2656.89</v>
      </c>
      <c r="O834" s="4" t="s">
        <v>34</v>
      </c>
      <c r="P834" s="4" t="s">
        <v>34</v>
      </c>
      <c r="Q834" s="4" t="s">
        <v>35</v>
      </c>
      <c r="R834" s="3">
        <v>991.66</v>
      </c>
      <c r="S834" s="2"/>
      <c r="T834" s="4" t="s">
        <v>113</v>
      </c>
      <c r="U834" s="2" t="s">
        <v>37</v>
      </c>
      <c r="V834" s="2" t="s">
        <v>37</v>
      </c>
      <c r="W834" s="2" t="s">
        <v>37</v>
      </c>
      <c r="X834" s="2" t="s">
        <v>38</v>
      </c>
      <c r="Y834" s="2" t="s">
        <v>37</v>
      </c>
      <c r="Z834" s="2" t="s">
        <v>37</v>
      </c>
      <c r="AA834" s="6">
        <v>3.5669863479999999</v>
      </c>
      <c r="AB834" s="6">
        <v>2.9963627960000001</v>
      </c>
      <c r="AC834" s="6">
        <v>3.4243735740000001</v>
      </c>
      <c r="AD834" cm="1">
        <f t="array" ref="AD834">IF(SUMPRODUCT(--($AM$2:$AM$112=TRIM(LEFT($B834,IFERROR(FIND(" ",$B834)-1,LEN($B834))))))&gt;0,1,0)</f>
        <v>0</v>
      </c>
      <c r="AE834" cm="1">
        <f t="array" ref="AE834">IF(SUMPRODUCT(--($AO$2:$AO$145=TRIM(LEFT($B834,IFERROR(FIND(" ",$B834)-1,LEN($B834))))))&gt;0,1,0)</f>
        <v>0</v>
      </c>
      <c r="AF834" cm="1">
        <f t="array" ref="AF834">IF(SUMPRODUCT(--($AQ$2:$AQ$71=TRIM(LEFT($B834,IFERROR(FIND(" ",$B834)-1,LEN($B834))))))&gt;0,1,0)</f>
        <v>0</v>
      </c>
    </row>
    <row r="835" spans="1:32" ht="135.75" thickBot="1" x14ac:dyDescent="0.3">
      <c r="A835" s="13">
        <v>135</v>
      </c>
      <c r="B835" s="4" t="s">
        <v>1648</v>
      </c>
      <c r="C835" s="4" t="s">
        <v>414</v>
      </c>
      <c r="D835" s="7">
        <v>43551</v>
      </c>
      <c r="E835" s="3">
        <v>824.35</v>
      </c>
      <c r="F835" s="4" t="s">
        <v>30</v>
      </c>
      <c r="G835" s="4"/>
      <c r="H835" s="4" t="s">
        <v>279</v>
      </c>
      <c r="I835" s="4" t="s">
        <v>279</v>
      </c>
      <c r="J835" s="4" t="s">
        <v>974</v>
      </c>
      <c r="K835" s="4"/>
      <c r="L835" s="4"/>
      <c r="M835" s="4"/>
      <c r="N835" s="3">
        <v>762.93</v>
      </c>
      <c r="O835" s="4" t="s">
        <v>49</v>
      </c>
      <c r="P835" s="4" t="s">
        <v>49</v>
      </c>
      <c r="Q835" s="4" t="s">
        <v>35</v>
      </c>
      <c r="R835" s="2"/>
      <c r="S835" s="2"/>
      <c r="T835" s="4" t="s">
        <v>312</v>
      </c>
      <c r="U835" s="2" t="s">
        <v>37</v>
      </c>
      <c r="V835" s="2" t="s">
        <v>37</v>
      </c>
      <c r="W835" s="2" t="s">
        <v>37</v>
      </c>
      <c r="X835" s="2" t="s">
        <v>38</v>
      </c>
      <c r="Y835" s="2" t="s">
        <v>38</v>
      </c>
      <c r="Z835" s="2" t="s">
        <v>37</v>
      </c>
      <c r="AA835" s="6">
        <v>2.9161116420000002</v>
      </c>
      <c r="AB835" s="2"/>
      <c r="AC835" s="6">
        <v>2.8824846929999999</v>
      </c>
      <c r="AD835" cm="1">
        <f t="array" ref="AD835">IF(SUMPRODUCT(--($AM$2:$AM$112=TRIM(LEFT($B835,IFERROR(FIND(" ",$B835)-1,LEN($B835))))))&gt;0,1,0)</f>
        <v>0</v>
      </c>
      <c r="AE835" cm="1">
        <f t="array" ref="AE835">IF(SUMPRODUCT(--($AO$2:$AO$145=TRIM(LEFT($B835,IFERROR(FIND(" ",$B835)-1,LEN($B835))))))&gt;0,1,0)</f>
        <v>0</v>
      </c>
      <c r="AF835" cm="1">
        <f t="array" ref="AF835">IF(SUMPRODUCT(--($AQ$2:$AQ$71=TRIM(LEFT($B835,IFERROR(FIND(" ",$B835)-1,LEN($B835))))))&gt;0,1,0)</f>
        <v>0</v>
      </c>
    </row>
    <row r="836" spans="1:32" ht="75.75" thickBot="1" x14ac:dyDescent="0.3">
      <c r="A836" s="13">
        <v>144</v>
      </c>
      <c r="B836" s="4" t="s">
        <v>1649</v>
      </c>
      <c r="C836" s="4" t="s">
        <v>1088</v>
      </c>
      <c r="D836" s="7">
        <v>43537</v>
      </c>
      <c r="E836" s="3">
        <v>4339.63</v>
      </c>
      <c r="F836" s="4" t="s">
        <v>69</v>
      </c>
      <c r="G836" s="3">
        <v>6.5</v>
      </c>
      <c r="H836" s="4" t="s">
        <v>65</v>
      </c>
      <c r="I836" s="4" t="s">
        <v>138</v>
      </c>
      <c r="J836" s="4" t="s">
        <v>176</v>
      </c>
      <c r="K836" s="4"/>
      <c r="L836" s="3">
        <v>225</v>
      </c>
      <c r="M836" s="4"/>
      <c r="N836" s="3">
        <v>4339.63</v>
      </c>
      <c r="O836" s="4" t="s">
        <v>34</v>
      </c>
      <c r="P836" s="4" t="s">
        <v>49</v>
      </c>
      <c r="Q836" s="4" t="s">
        <v>35</v>
      </c>
      <c r="R836" s="3">
        <v>700.36599999999999</v>
      </c>
      <c r="S836" s="3">
        <v>79.844300000000004</v>
      </c>
      <c r="T836" s="4" t="s">
        <v>768</v>
      </c>
      <c r="U836" s="2" t="s">
        <v>37</v>
      </c>
      <c r="V836" s="2" t="s">
        <v>37</v>
      </c>
      <c r="W836" s="2" t="s">
        <v>38</v>
      </c>
      <c r="X836" s="2" t="s">
        <v>37</v>
      </c>
      <c r="Y836" s="2" t="s">
        <v>37</v>
      </c>
      <c r="Z836" s="2" t="s">
        <v>37</v>
      </c>
      <c r="AA836" s="6">
        <v>3.6374527030000001</v>
      </c>
      <c r="AB836" s="6">
        <v>2.845325055</v>
      </c>
      <c r="AC836" s="6">
        <v>3.6374527030000001</v>
      </c>
      <c r="AD836" cm="1">
        <f t="array" ref="AD836">IF(SUMPRODUCT(--($AM$2:$AM$112=TRIM(LEFT($B836,IFERROR(FIND(" ",$B836)-1,LEN($B836))))))&gt;0,1,0)</f>
        <v>1</v>
      </c>
      <c r="AE836" cm="1">
        <f t="array" ref="AE836">IF(SUMPRODUCT(--($AO$2:$AO$145=TRIM(LEFT($B836,IFERROR(FIND(" ",$B836)-1,LEN($B836))))))&gt;0,1,0)</f>
        <v>1</v>
      </c>
      <c r="AF836" cm="1">
        <f t="array" ref="AF836">IF(SUMPRODUCT(--($AQ$2:$AQ$71=TRIM(LEFT($B836,IFERROR(FIND(" ",$B836)-1,LEN($B836))))))&gt;0,1,0)</f>
        <v>0</v>
      </c>
    </row>
    <row r="837" spans="1:32" ht="45.75" thickBot="1" x14ac:dyDescent="0.3">
      <c r="A837" s="13">
        <v>64</v>
      </c>
      <c r="B837" s="4" t="s">
        <v>1650</v>
      </c>
      <c r="C837" s="4" t="s">
        <v>1651</v>
      </c>
      <c r="D837" s="7">
        <v>43649</v>
      </c>
      <c r="E837" s="3">
        <v>1065.67</v>
      </c>
      <c r="F837" s="4" t="s">
        <v>30</v>
      </c>
      <c r="G837" s="3">
        <v>4.51</v>
      </c>
      <c r="H837" s="4" t="s">
        <v>51</v>
      </c>
      <c r="I837" s="4" t="s">
        <v>51</v>
      </c>
      <c r="J837" s="4" t="s">
        <v>79</v>
      </c>
      <c r="K837" s="3">
        <v>53</v>
      </c>
      <c r="L837" s="3">
        <v>31</v>
      </c>
      <c r="M837" s="3">
        <v>5.7</v>
      </c>
      <c r="N837" s="3">
        <v>855.83</v>
      </c>
      <c r="O837" s="4" t="s">
        <v>34</v>
      </c>
      <c r="P837" s="4" t="s">
        <v>147</v>
      </c>
      <c r="Q837" s="4" t="s">
        <v>35</v>
      </c>
      <c r="R837" s="3">
        <v>121.968</v>
      </c>
      <c r="S837" s="3">
        <v>213.91499999999999</v>
      </c>
      <c r="T837" s="4" t="s">
        <v>43</v>
      </c>
      <c r="U837" s="2" t="s">
        <v>37</v>
      </c>
      <c r="V837" s="2" t="s">
        <v>37</v>
      </c>
      <c r="W837" s="2" t="s">
        <v>37</v>
      </c>
      <c r="X837" s="2" t="s">
        <v>37</v>
      </c>
      <c r="Y837" s="2" t="s">
        <v>37</v>
      </c>
      <c r="Z837" s="2" t="s">
        <v>37</v>
      </c>
      <c r="AA837" s="6">
        <v>3.02762274</v>
      </c>
      <c r="AB837" s="6">
        <v>2.0862459019999999</v>
      </c>
      <c r="AC837" s="6">
        <v>2.932387506</v>
      </c>
      <c r="AD837" cm="1">
        <f t="array" ref="AD837">IF(SUMPRODUCT(--($AM$2:$AM$112=TRIM(LEFT($B837,IFERROR(FIND(" ",$B837)-1,LEN($B837))))))&gt;0,1,0)</f>
        <v>0</v>
      </c>
      <c r="AE837" cm="1">
        <f t="array" ref="AE837">IF(SUMPRODUCT(--($AO$2:$AO$145=TRIM(LEFT($B837,IFERROR(FIND(" ",$B837)-1,LEN($B837))))))&gt;0,1,0)</f>
        <v>0</v>
      </c>
      <c r="AF837" cm="1">
        <f t="array" ref="AF837">IF(SUMPRODUCT(--($AQ$2:$AQ$71=TRIM(LEFT($B837,IFERROR(FIND(" ",$B837)-1,LEN($B837))))))&gt;0,1,0)</f>
        <v>0</v>
      </c>
    </row>
    <row r="838" spans="1:32" ht="105.75" thickBot="1" x14ac:dyDescent="0.3">
      <c r="A838" s="13">
        <v>57</v>
      </c>
      <c r="B838" s="4" t="s">
        <v>1652</v>
      </c>
      <c r="C838" s="4" t="s">
        <v>1653</v>
      </c>
      <c r="D838" s="7">
        <v>43658</v>
      </c>
      <c r="E838" s="3">
        <v>962.48</v>
      </c>
      <c r="F838" s="4" t="s">
        <v>30</v>
      </c>
      <c r="G838" s="3">
        <v>6.41</v>
      </c>
      <c r="H838" s="4" t="s">
        <v>75</v>
      </c>
      <c r="I838" s="4" t="s">
        <v>76</v>
      </c>
      <c r="J838" s="4" t="s">
        <v>298</v>
      </c>
      <c r="K838" s="4"/>
      <c r="L838" s="3">
        <v>19.850000000000001</v>
      </c>
      <c r="M838" s="4"/>
      <c r="N838" s="3">
        <v>641.35</v>
      </c>
      <c r="O838" s="4" t="s">
        <v>34</v>
      </c>
      <c r="P838" s="4" t="s">
        <v>34</v>
      </c>
      <c r="Q838" s="4" t="s">
        <v>35</v>
      </c>
      <c r="R838" s="3">
        <v>1571.85</v>
      </c>
      <c r="S838" s="3">
        <v>4.6383200000000002</v>
      </c>
      <c r="T838" s="4" t="s">
        <v>1457</v>
      </c>
      <c r="U838" s="2" t="s">
        <v>37</v>
      </c>
      <c r="V838" s="2" t="s">
        <v>37</v>
      </c>
      <c r="W838" s="2" t="s">
        <v>37</v>
      </c>
      <c r="X838" s="2" t="s">
        <v>38</v>
      </c>
      <c r="Y838" s="2" t="s">
        <v>37</v>
      </c>
      <c r="Z838" s="2" t="s">
        <v>38</v>
      </c>
      <c r="AA838" s="6">
        <v>2.9833917140000001</v>
      </c>
      <c r="AB838" s="6">
        <v>3.1964110990000001</v>
      </c>
      <c r="AC838" s="6">
        <v>2.8070950990000001</v>
      </c>
      <c r="AD838" cm="1">
        <f t="array" ref="AD838">IF(SUMPRODUCT(--($AM$2:$AM$112=TRIM(LEFT($B838,IFERROR(FIND(" ",$B838)-1,LEN($B838))))))&gt;0,1,0)</f>
        <v>0</v>
      </c>
      <c r="AE838" cm="1">
        <f t="array" ref="AE838">IF(SUMPRODUCT(--($AO$2:$AO$145=TRIM(LEFT($B838,IFERROR(FIND(" ",$B838)-1,LEN($B838))))))&gt;0,1,0)</f>
        <v>0</v>
      </c>
      <c r="AF838" cm="1">
        <f t="array" ref="AF838">IF(SUMPRODUCT(--($AQ$2:$AQ$71=TRIM(LEFT($B838,IFERROR(FIND(" ",$B838)-1,LEN($B838))))))&gt;0,1,0)</f>
        <v>0</v>
      </c>
    </row>
    <row r="839" spans="1:32" ht="135.75" thickBot="1" x14ac:dyDescent="0.3">
      <c r="A839" s="13">
        <v>52</v>
      </c>
      <c r="B839" s="4" t="s">
        <v>1654</v>
      </c>
      <c r="C839" s="4" t="s">
        <v>1655</v>
      </c>
      <c r="D839" s="7">
        <v>43664</v>
      </c>
      <c r="E839" s="3">
        <v>1198.8</v>
      </c>
      <c r="F839" s="4" t="s">
        <v>30</v>
      </c>
      <c r="G839" s="4"/>
      <c r="H839" s="4" t="s">
        <v>51</v>
      </c>
      <c r="I839" s="4" t="s">
        <v>51</v>
      </c>
      <c r="J839" s="4" t="s">
        <v>79</v>
      </c>
      <c r="K839" s="3">
        <v>50</v>
      </c>
      <c r="L839" s="3">
        <v>9.5</v>
      </c>
      <c r="M839" s="4"/>
      <c r="N839" s="3">
        <v>583.97</v>
      </c>
      <c r="O839" s="4" t="s">
        <v>49</v>
      </c>
      <c r="P839" s="4" t="s">
        <v>34</v>
      </c>
      <c r="Q839" s="4" t="s">
        <v>35</v>
      </c>
      <c r="R839" s="3">
        <v>109.61199999999999</v>
      </c>
      <c r="S839" s="3">
        <v>43.333199999999998</v>
      </c>
      <c r="T839" s="4" t="s">
        <v>1656</v>
      </c>
      <c r="U839" s="2" t="s">
        <v>37</v>
      </c>
      <c r="V839" s="2" t="s">
        <v>37</v>
      </c>
      <c r="W839" s="2" t="s">
        <v>38</v>
      </c>
      <c r="X839" s="2" t="s">
        <v>38</v>
      </c>
      <c r="Y839" s="2" t="s">
        <v>38</v>
      </c>
      <c r="Z839" s="2" t="s">
        <v>37</v>
      </c>
      <c r="AA839" s="6">
        <v>3.0787467340000001</v>
      </c>
      <c r="AB839" s="6">
        <v>2.0398581020000002</v>
      </c>
      <c r="AC839" s="6">
        <v>2.7663905369999999</v>
      </c>
      <c r="AD839" cm="1">
        <f t="array" ref="AD839">IF(SUMPRODUCT(--($AM$2:$AM$112=TRIM(LEFT($B839,IFERROR(FIND(" ",$B839)-1,LEN($B839))))))&gt;0,1,0)</f>
        <v>0</v>
      </c>
      <c r="AE839" cm="1">
        <f t="array" ref="AE839">IF(SUMPRODUCT(--($AO$2:$AO$145=TRIM(LEFT($B839,IFERROR(FIND(" ",$B839)-1,LEN($B839))))))&gt;0,1,0)</f>
        <v>0</v>
      </c>
      <c r="AF839" cm="1">
        <f t="array" ref="AF839">IF(SUMPRODUCT(--($AQ$2:$AQ$71=TRIM(LEFT($B839,IFERROR(FIND(" ",$B839)-1,LEN($B839))))))&gt;0,1,0)</f>
        <v>0</v>
      </c>
    </row>
    <row r="840" spans="1:32" ht="105.75" thickBot="1" x14ac:dyDescent="0.3">
      <c r="A840" s="13">
        <v>79</v>
      </c>
      <c r="B840" s="4" t="s">
        <v>1657</v>
      </c>
      <c r="C840" s="4" t="s">
        <v>1381</v>
      </c>
      <c r="D840" s="7">
        <v>43626</v>
      </c>
      <c r="E840" s="3">
        <v>2596.83</v>
      </c>
      <c r="F840" s="4" t="s">
        <v>30</v>
      </c>
      <c r="G840" s="3">
        <v>11.85</v>
      </c>
      <c r="H840" s="4" t="s">
        <v>184</v>
      </c>
      <c r="I840" s="4" t="s">
        <v>185</v>
      </c>
      <c r="J840" s="4" t="s">
        <v>762</v>
      </c>
      <c r="K840" s="3">
        <v>102.5</v>
      </c>
      <c r="L840" s="3">
        <v>51.2</v>
      </c>
      <c r="M840" s="3">
        <v>8.08</v>
      </c>
      <c r="N840" s="3">
        <v>1744.2</v>
      </c>
      <c r="O840" s="4" t="s">
        <v>34</v>
      </c>
      <c r="P840" s="4" t="s">
        <v>34</v>
      </c>
      <c r="Q840" s="4" t="s">
        <v>35</v>
      </c>
      <c r="R840" s="3">
        <v>1961.82</v>
      </c>
      <c r="S840" s="3">
        <v>2.7757200000000002</v>
      </c>
      <c r="T840" s="4" t="s">
        <v>1346</v>
      </c>
      <c r="U840" s="2" t="s">
        <v>37</v>
      </c>
      <c r="V840" s="2" t="s">
        <v>37</v>
      </c>
      <c r="W840" s="2" t="s">
        <v>37</v>
      </c>
      <c r="X840" s="2" t="s">
        <v>37</v>
      </c>
      <c r="Y840" s="2" t="s">
        <v>38</v>
      </c>
      <c r="Z840" s="2" t="s">
        <v>37</v>
      </c>
      <c r="AA840" s="6">
        <v>3.4144435199999998</v>
      </c>
      <c r="AB840" s="6">
        <v>3.2926591580000002</v>
      </c>
      <c r="AC840" s="6">
        <v>3.2415962820000002</v>
      </c>
      <c r="AD840" cm="1">
        <f t="array" ref="AD840">IF(SUMPRODUCT(--($AM$2:$AM$112=TRIM(LEFT($B840,IFERROR(FIND(" ",$B840)-1,LEN($B840))))))&gt;0,1,0)</f>
        <v>0</v>
      </c>
      <c r="AE840" cm="1">
        <f t="array" ref="AE840">IF(SUMPRODUCT(--($AO$2:$AO$145=TRIM(LEFT($B840,IFERROR(FIND(" ",$B840)-1,LEN($B840))))))&gt;0,1,0)</f>
        <v>0</v>
      </c>
      <c r="AF840" cm="1">
        <f t="array" ref="AF840">IF(SUMPRODUCT(--($AQ$2:$AQ$71=TRIM(LEFT($B840,IFERROR(FIND(" ",$B840)-1,LEN($B840))))))&gt;0,1,0)</f>
        <v>0</v>
      </c>
    </row>
    <row r="841" spans="1:32" ht="75.75" thickBot="1" x14ac:dyDescent="0.3">
      <c r="A841" s="13">
        <v>95</v>
      </c>
      <c r="B841" s="4" t="s">
        <v>1658</v>
      </c>
      <c r="C841" s="4" t="s">
        <v>431</v>
      </c>
      <c r="D841" s="7">
        <v>43602</v>
      </c>
      <c r="E841" s="3">
        <v>1295.5899999999999</v>
      </c>
      <c r="F841" s="4" t="s">
        <v>30</v>
      </c>
      <c r="G841" s="4"/>
      <c r="H841" s="4" t="s">
        <v>31</v>
      </c>
      <c r="I841" s="4" t="s">
        <v>432</v>
      </c>
      <c r="J841" s="4" t="s">
        <v>433</v>
      </c>
      <c r="K841" s="4"/>
      <c r="L841" s="3">
        <v>46</v>
      </c>
      <c r="M841" s="3">
        <v>26.81</v>
      </c>
      <c r="N841" s="3">
        <v>1459.84</v>
      </c>
      <c r="O841" s="4" t="s">
        <v>34</v>
      </c>
      <c r="P841" s="4" t="s">
        <v>34</v>
      </c>
      <c r="Q841" s="4" t="s">
        <v>35</v>
      </c>
      <c r="R841" s="3">
        <v>455.94799999999998</v>
      </c>
      <c r="S841" s="3">
        <v>-27.998000000000001</v>
      </c>
      <c r="T841" s="4" t="s">
        <v>43</v>
      </c>
      <c r="U841" s="2" t="s">
        <v>37</v>
      </c>
      <c r="V841" s="2" t="s">
        <v>37</v>
      </c>
      <c r="W841" s="2" t="s">
        <v>37</v>
      </c>
      <c r="X841" s="2" t="s">
        <v>37</v>
      </c>
      <c r="Y841" s="2" t="s">
        <v>37</v>
      </c>
      <c r="Z841" s="2" t="s">
        <v>37</v>
      </c>
      <c r="AA841" s="6">
        <v>3.1124675869999998</v>
      </c>
      <c r="AB841" s="6">
        <v>2.6589153149999998</v>
      </c>
      <c r="AC841" s="6">
        <v>3.1643052589999998</v>
      </c>
      <c r="AD841" cm="1">
        <f t="array" ref="AD841">IF(SUMPRODUCT(--($AM$2:$AM$112=TRIM(LEFT($B841,IFERROR(FIND(" ",$B841)-1,LEN($B841))))))&gt;0,1,0)</f>
        <v>0</v>
      </c>
      <c r="AE841" cm="1">
        <f t="array" ref="AE841">IF(SUMPRODUCT(--($AO$2:$AO$145=TRIM(LEFT($B841,IFERROR(FIND(" ",$B841)-1,LEN($B841))))))&gt;0,1,0)</f>
        <v>0</v>
      </c>
      <c r="AF841" cm="1">
        <f t="array" ref="AF841">IF(SUMPRODUCT(--($AQ$2:$AQ$71=TRIM(LEFT($B841,IFERROR(FIND(" ",$B841)-1,LEN($B841))))))&gt;0,1,0)</f>
        <v>0</v>
      </c>
    </row>
    <row r="842" spans="1:32" ht="135.75" thickBot="1" x14ac:dyDescent="0.3">
      <c r="A842" s="13">
        <v>69</v>
      </c>
      <c r="B842" s="4" t="s">
        <v>1659</v>
      </c>
      <c r="C842" s="4" t="s">
        <v>829</v>
      </c>
      <c r="D842" s="7">
        <v>43640</v>
      </c>
      <c r="E842" s="3">
        <v>823.67</v>
      </c>
      <c r="F842" s="4" t="s">
        <v>30</v>
      </c>
      <c r="G842" s="4"/>
      <c r="H842" s="4" t="s">
        <v>75</v>
      </c>
      <c r="I842" s="4" t="s">
        <v>111</v>
      </c>
      <c r="J842" s="4" t="s">
        <v>133</v>
      </c>
      <c r="K842" s="3">
        <v>15.52</v>
      </c>
      <c r="L842" s="3">
        <v>9.5950000000000006</v>
      </c>
      <c r="M842" s="4"/>
      <c r="N842" s="3">
        <v>267.33</v>
      </c>
      <c r="O842" s="4" t="s">
        <v>34</v>
      </c>
      <c r="P842" s="4" t="s">
        <v>34</v>
      </c>
      <c r="Q842" s="4" t="s">
        <v>35</v>
      </c>
      <c r="R842" s="3">
        <v>378.21600000000001</v>
      </c>
      <c r="S842" s="3">
        <v>-6.7014899999999997</v>
      </c>
      <c r="T842" s="4" t="s">
        <v>312</v>
      </c>
      <c r="U842" s="2" t="s">
        <v>37</v>
      </c>
      <c r="V842" s="2" t="s">
        <v>37</v>
      </c>
      <c r="W842" s="2" t="s">
        <v>37</v>
      </c>
      <c r="X842" s="2" t="s">
        <v>38</v>
      </c>
      <c r="Y842" s="2" t="s">
        <v>38</v>
      </c>
      <c r="Z842" s="2" t="s">
        <v>37</v>
      </c>
      <c r="AA842" s="6">
        <v>2.9157532480000001</v>
      </c>
      <c r="AB842" s="6">
        <v>2.5777398969999998</v>
      </c>
      <c r="AC842" s="6">
        <v>2.427047698</v>
      </c>
      <c r="AD842" cm="1">
        <f t="array" ref="AD842">IF(SUMPRODUCT(--($AM$2:$AM$112=TRIM(LEFT($B842,IFERROR(FIND(" ",$B842)-1,LEN($B842))))))&gt;0,1,0)</f>
        <v>0</v>
      </c>
      <c r="AE842" cm="1">
        <f t="array" ref="AE842">IF(SUMPRODUCT(--($AO$2:$AO$145=TRIM(LEFT($B842,IFERROR(FIND(" ",$B842)-1,LEN($B842))))))&gt;0,1,0)</f>
        <v>0</v>
      </c>
      <c r="AF842" cm="1">
        <f t="array" ref="AF842">IF(SUMPRODUCT(--($AQ$2:$AQ$71=TRIM(LEFT($B842,IFERROR(FIND(" ",$B842)-1,LEN($B842))))))&gt;0,1,0)</f>
        <v>0</v>
      </c>
    </row>
    <row r="843" spans="1:32" ht="75.75" thickBot="1" x14ac:dyDescent="0.3">
      <c r="A843" s="13">
        <v>229</v>
      </c>
      <c r="B843" s="4" t="s">
        <v>1660</v>
      </c>
      <c r="C843" s="4" t="s">
        <v>1095</v>
      </c>
      <c r="D843" s="7">
        <v>43413</v>
      </c>
      <c r="E843" s="3">
        <v>2637.09</v>
      </c>
      <c r="F843" s="4" t="s">
        <v>69</v>
      </c>
      <c r="G843" s="3">
        <v>49.34</v>
      </c>
      <c r="H843" s="4" t="s">
        <v>31</v>
      </c>
      <c r="I843" s="4" t="s">
        <v>432</v>
      </c>
      <c r="J843" s="4" t="s">
        <v>433</v>
      </c>
      <c r="K843" s="3">
        <v>105.2</v>
      </c>
      <c r="L843" s="3">
        <v>105.2</v>
      </c>
      <c r="M843" s="3">
        <v>51.97</v>
      </c>
      <c r="N843" s="3">
        <v>3047.5</v>
      </c>
      <c r="O843" s="4" t="s">
        <v>34</v>
      </c>
      <c r="P843" s="4" t="s">
        <v>34</v>
      </c>
      <c r="Q843" s="4" t="s">
        <v>35</v>
      </c>
      <c r="R843" s="3">
        <v>1280.48</v>
      </c>
      <c r="S843" s="3">
        <v>-1.9535</v>
      </c>
      <c r="T843" s="4" t="s">
        <v>43</v>
      </c>
      <c r="U843" s="2" t="s">
        <v>37</v>
      </c>
      <c r="V843" s="2" t="s">
        <v>37</v>
      </c>
      <c r="W843" s="2" t="s">
        <v>37</v>
      </c>
      <c r="X843" s="2" t="s">
        <v>37</v>
      </c>
      <c r="Y843" s="2" t="s">
        <v>37</v>
      </c>
      <c r="Z843" s="2" t="s">
        <v>37</v>
      </c>
      <c r="AA843" s="6">
        <v>3.421124952</v>
      </c>
      <c r="AB843" s="6">
        <v>3.1073727999999998</v>
      </c>
      <c r="AC843" s="6">
        <v>3.483943714</v>
      </c>
      <c r="AD843" cm="1">
        <f t="array" ref="AD843">IF(SUMPRODUCT(--($AM$2:$AM$112=TRIM(LEFT($B843,IFERROR(FIND(" ",$B843)-1,LEN($B843))))))&gt;0,1,0)</f>
        <v>1</v>
      </c>
      <c r="AE843" cm="1">
        <f t="array" ref="AE843">IF(SUMPRODUCT(--($AO$2:$AO$145=TRIM(LEFT($B843,IFERROR(FIND(" ",$B843)-1,LEN($B843))))))&gt;0,1,0)</f>
        <v>0</v>
      </c>
      <c r="AF843" cm="1">
        <f t="array" ref="AF843">IF(SUMPRODUCT(--($AQ$2:$AQ$71=TRIM(LEFT($B843,IFERROR(FIND(" ",$B843)-1,LEN($B843))))))&gt;0,1,0)</f>
        <v>0</v>
      </c>
    </row>
    <row r="844" spans="1:32" ht="60.75" thickBot="1" x14ac:dyDescent="0.3">
      <c r="A844" s="13">
        <v>209</v>
      </c>
      <c r="B844" s="4" t="s">
        <v>1661</v>
      </c>
      <c r="C844" s="4" t="s">
        <v>183</v>
      </c>
      <c r="D844" s="7">
        <v>43437</v>
      </c>
      <c r="E844" s="3">
        <v>8012.92</v>
      </c>
      <c r="F844" s="4" t="s">
        <v>30</v>
      </c>
      <c r="G844" s="3">
        <v>11.98</v>
      </c>
      <c r="H844" s="4" t="s">
        <v>184</v>
      </c>
      <c r="I844" s="4" t="s">
        <v>185</v>
      </c>
      <c r="J844" s="4" t="s">
        <v>1133</v>
      </c>
      <c r="K844" s="4"/>
      <c r="L844" s="3">
        <v>135</v>
      </c>
      <c r="M844" s="3">
        <v>19.95</v>
      </c>
      <c r="N844" s="3">
        <v>5976.33</v>
      </c>
      <c r="O844" s="4" t="s">
        <v>34</v>
      </c>
      <c r="P844" s="4" t="s">
        <v>34</v>
      </c>
      <c r="Q844" s="4" t="s">
        <v>35</v>
      </c>
      <c r="R844" s="3">
        <v>2009.73</v>
      </c>
      <c r="S844" s="3">
        <v>16.424199999999999</v>
      </c>
      <c r="T844" s="4" t="s">
        <v>43</v>
      </c>
      <c r="U844" s="2" t="s">
        <v>37</v>
      </c>
      <c r="V844" s="2" t="s">
        <v>37</v>
      </c>
      <c r="W844" s="2" t="s">
        <v>37</v>
      </c>
      <c r="X844" s="2" t="s">
        <v>37</v>
      </c>
      <c r="Y844" s="2" t="s">
        <v>37</v>
      </c>
      <c r="Z844" s="2" t="s">
        <v>37</v>
      </c>
      <c r="AA844" s="6">
        <v>3.903790807</v>
      </c>
      <c r="AB844" s="6">
        <v>3.3031377150000001</v>
      </c>
      <c r="AC844" s="6">
        <v>3.7764345700000002</v>
      </c>
      <c r="AD844" cm="1">
        <f t="array" ref="AD844">IF(SUMPRODUCT(--($AM$2:$AM$112=TRIM(LEFT($B844,IFERROR(FIND(" ",$B844)-1,LEN($B844))))))&gt;0,1,0)</f>
        <v>0</v>
      </c>
      <c r="AE844" cm="1">
        <f t="array" ref="AE844">IF(SUMPRODUCT(--($AO$2:$AO$145=TRIM(LEFT($B844,IFERROR(FIND(" ",$B844)-1,LEN($B844))))))&gt;0,1,0)</f>
        <v>0</v>
      </c>
      <c r="AF844" cm="1">
        <f t="array" ref="AF844">IF(SUMPRODUCT(--($AQ$2:$AQ$71=TRIM(LEFT($B844,IFERROR(FIND(" ",$B844)-1,LEN($B844))))))&gt;0,1,0)</f>
        <v>0</v>
      </c>
    </row>
    <row r="845" spans="1:32" ht="45.75" thickBot="1" x14ac:dyDescent="0.3">
      <c r="A845" s="13">
        <v>82</v>
      </c>
      <c r="B845" s="4" t="s">
        <v>1662</v>
      </c>
      <c r="C845" s="4" t="s">
        <v>944</v>
      </c>
      <c r="D845" s="7">
        <v>43613</v>
      </c>
      <c r="E845" s="3">
        <v>25014.23</v>
      </c>
      <c r="F845" s="4" t="s">
        <v>46</v>
      </c>
      <c r="G845" s="3">
        <v>19.53</v>
      </c>
      <c r="H845" s="4" t="s">
        <v>65</v>
      </c>
      <c r="I845" s="4" t="s">
        <v>138</v>
      </c>
      <c r="J845" s="4" t="s">
        <v>139</v>
      </c>
      <c r="K845" s="3">
        <v>860</v>
      </c>
      <c r="L845" s="3">
        <v>860</v>
      </c>
      <c r="M845" s="3">
        <v>18.32</v>
      </c>
      <c r="N845" s="3">
        <v>21113.040000000001</v>
      </c>
      <c r="O845" s="4" t="s">
        <v>34</v>
      </c>
      <c r="P845" s="4" t="s">
        <v>34</v>
      </c>
      <c r="Q845" s="4" t="s">
        <v>35</v>
      </c>
      <c r="R845" s="3">
        <v>4028.21</v>
      </c>
      <c r="S845" s="3">
        <v>21.155899999999999</v>
      </c>
      <c r="T845" s="4" t="s">
        <v>43</v>
      </c>
      <c r="U845" s="2" t="s">
        <v>37</v>
      </c>
      <c r="V845" s="2" t="s">
        <v>37</v>
      </c>
      <c r="W845" s="2" t="s">
        <v>37</v>
      </c>
      <c r="X845" s="2" t="s">
        <v>37</v>
      </c>
      <c r="Y845" s="2" t="s">
        <v>37</v>
      </c>
      <c r="Z845" s="2" t="s">
        <v>37</v>
      </c>
      <c r="AA845" s="6">
        <v>4.398187139</v>
      </c>
      <c r="AB845" s="6">
        <v>3.6051121030000002</v>
      </c>
      <c r="AC845" s="6">
        <v>4.3245507710000002</v>
      </c>
      <c r="AD845" cm="1">
        <f t="array" ref="AD845">IF(SUMPRODUCT(--($AM$2:$AM$112=TRIM(LEFT($B845,IFERROR(FIND(" ",$B845)-1,LEN($B845))))))&gt;0,1,0)</f>
        <v>0</v>
      </c>
      <c r="AE845" cm="1">
        <f t="array" ref="AE845">IF(SUMPRODUCT(--($AO$2:$AO$145=TRIM(LEFT($B845,IFERROR(FIND(" ",$B845)-1,LEN($B845))))))&gt;0,1,0)</f>
        <v>1</v>
      </c>
      <c r="AF845" cm="1">
        <f t="array" ref="AF845">IF(SUMPRODUCT(--($AQ$2:$AQ$71=TRIM(LEFT($B845,IFERROR(FIND(" ",$B845)-1,LEN($B845))))))&gt;0,1,0)</f>
        <v>0</v>
      </c>
    </row>
    <row r="846" spans="1:32" ht="45.75" thickBot="1" x14ac:dyDescent="0.3">
      <c r="A846" s="13">
        <v>98</v>
      </c>
      <c r="B846" s="4" t="s">
        <v>1663</v>
      </c>
      <c r="C846" s="4" t="s">
        <v>1664</v>
      </c>
      <c r="D846" s="7">
        <v>43591</v>
      </c>
      <c r="E846" s="3">
        <v>2540.23</v>
      </c>
      <c r="F846" s="4" t="s">
        <v>107</v>
      </c>
      <c r="G846" s="3">
        <v>14.43</v>
      </c>
      <c r="H846" s="4" t="s">
        <v>51</v>
      </c>
      <c r="I846" s="4" t="s">
        <v>51</v>
      </c>
      <c r="J846" s="4" t="s">
        <v>79</v>
      </c>
      <c r="K846" s="4"/>
      <c r="L846" s="3">
        <v>62.5</v>
      </c>
      <c r="M846" s="3">
        <v>8.7100000000000009</v>
      </c>
      <c r="N846" s="3">
        <v>1860.1</v>
      </c>
      <c r="O846" s="4" t="s">
        <v>34</v>
      </c>
      <c r="P846" s="4" t="s">
        <v>34</v>
      </c>
      <c r="Q846" s="4" t="s">
        <v>35</v>
      </c>
      <c r="R846" s="3">
        <v>597.17200000000003</v>
      </c>
      <c r="S846" s="3">
        <v>15.6813</v>
      </c>
      <c r="T846" s="4" t="s">
        <v>43</v>
      </c>
      <c r="U846" s="2" t="s">
        <v>37</v>
      </c>
      <c r="V846" s="2" t="s">
        <v>37</v>
      </c>
      <c r="W846" s="2" t="s">
        <v>37</v>
      </c>
      <c r="X846" s="2" t="s">
        <v>37</v>
      </c>
      <c r="Y846" s="2" t="s">
        <v>37</v>
      </c>
      <c r="Z846" s="2" t="s">
        <v>37</v>
      </c>
      <c r="AA846" s="6">
        <v>3.4048730410000001</v>
      </c>
      <c r="AB846" s="6">
        <v>2.776099436</v>
      </c>
      <c r="AC846" s="6">
        <v>3.2695362929999998</v>
      </c>
      <c r="AD846" cm="1">
        <f t="array" ref="AD846">IF(SUMPRODUCT(--($AM$2:$AM$112=TRIM(LEFT($B846,IFERROR(FIND(" ",$B846)-1,LEN($B846))))))&gt;0,1,0)</f>
        <v>0</v>
      </c>
      <c r="AE846" cm="1">
        <f t="array" ref="AE846">IF(SUMPRODUCT(--($AO$2:$AO$145=TRIM(LEFT($B846,IFERROR(FIND(" ",$B846)-1,LEN($B846))))))&gt;0,1,0)</f>
        <v>0</v>
      </c>
      <c r="AF846" cm="1">
        <f t="array" ref="AF846">IF(SUMPRODUCT(--($AQ$2:$AQ$71=TRIM(LEFT($B846,IFERROR(FIND(" ",$B846)-1,LEN($B846))))))&gt;0,1,0)</f>
        <v>0</v>
      </c>
    </row>
    <row r="847" spans="1:32" ht="60.75" thickBot="1" x14ac:dyDescent="0.3">
      <c r="A847" s="13">
        <v>52</v>
      </c>
      <c r="B847" s="4" t="s">
        <v>1665</v>
      </c>
      <c r="C847" s="4" t="s">
        <v>1666</v>
      </c>
      <c r="D847" s="7">
        <v>43640</v>
      </c>
      <c r="E847" s="3">
        <v>571.44000000000005</v>
      </c>
      <c r="F847" s="4" t="s">
        <v>30</v>
      </c>
      <c r="G847" s="3">
        <v>9.94</v>
      </c>
      <c r="H847" s="4" t="s">
        <v>75</v>
      </c>
      <c r="I847" s="4" t="s">
        <v>83</v>
      </c>
      <c r="J847" s="4" t="s">
        <v>796</v>
      </c>
      <c r="K847" s="4"/>
      <c r="L847" s="3">
        <v>16.600000000000001</v>
      </c>
      <c r="M847" s="3">
        <v>37.49</v>
      </c>
      <c r="N847" s="3">
        <v>428.98</v>
      </c>
      <c r="O847" s="4" t="s">
        <v>34</v>
      </c>
      <c r="P847" s="4" t="s">
        <v>34</v>
      </c>
      <c r="Q847" s="4" t="s">
        <v>35</v>
      </c>
      <c r="R847" s="3">
        <v>9175.84</v>
      </c>
      <c r="S847" s="3">
        <v>1.97519</v>
      </c>
      <c r="T847" s="4" t="s">
        <v>43</v>
      </c>
      <c r="U847" s="2" t="s">
        <v>37</v>
      </c>
      <c r="V847" s="2" t="s">
        <v>37</v>
      </c>
      <c r="W847" s="2" t="s">
        <v>37</v>
      </c>
      <c r="X847" s="2" t="s">
        <v>37</v>
      </c>
      <c r="Y847" s="2" t="s">
        <v>37</v>
      </c>
      <c r="Z847" s="2" t="s">
        <v>37</v>
      </c>
      <c r="AA847" s="6">
        <v>2.7569706369999998</v>
      </c>
      <c r="AB847" s="6">
        <v>3.9626458320000002</v>
      </c>
      <c r="AC847" s="6">
        <v>2.6324370450000001</v>
      </c>
      <c r="AD847" cm="1">
        <f t="array" ref="AD847">IF(SUMPRODUCT(--($AM$2:$AM$112=TRIM(LEFT($B847,IFERROR(FIND(" ",$B847)-1,LEN($B847))))))&gt;0,1,0)</f>
        <v>0</v>
      </c>
      <c r="AE847" cm="1">
        <f t="array" ref="AE847">IF(SUMPRODUCT(--($AO$2:$AO$145=TRIM(LEFT($B847,IFERROR(FIND(" ",$B847)-1,LEN($B847))))))&gt;0,1,0)</f>
        <v>0</v>
      </c>
      <c r="AF847" cm="1">
        <f t="array" ref="AF847">IF(SUMPRODUCT(--($AQ$2:$AQ$71=TRIM(LEFT($B847,IFERROR(FIND(" ",$B847)-1,LEN($B847))))))&gt;0,1,0)</f>
        <v>0</v>
      </c>
    </row>
    <row r="848" spans="1:32" ht="60.75" thickBot="1" x14ac:dyDescent="0.3">
      <c r="A848" s="13">
        <v>47</v>
      </c>
      <c r="B848" s="4" t="s">
        <v>1667</v>
      </c>
      <c r="C848" s="4" t="s">
        <v>1668</v>
      </c>
      <c r="D848" s="7">
        <v>43643</v>
      </c>
      <c r="E848" s="3">
        <v>1185.45</v>
      </c>
      <c r="F848" s="4" t="s">
        <v>30</v>
      </c>
      <c r="G848" s="4"/>
      <c r="H848" s="4" t="s">
        <v>70</v>
      </c>
      <c r="I848" s="4" t="s">
        <v>94</v>
      </c>
      <c r="J848" s="4" t="s">
        <v>95</v>
      </c>
      <c r="K848" s="4"/>
      <c r="L848" s="3">
        <v>69.656899999999993</v>
      </c>
      <c r="M848" s="4"/>
      <c r="N848" s="3">
        <v>2061.39</v>
      </c>
      <c r="O848" s="4" t="s">
        <v>34</v>
      </c>
      <c r="P848" s="4" t="s">
        <v>34</v>
      </c>
      <c r="Q848" s="4" t="s">
        <v>35</v>
      </c>
      <c r="R848" s="3">
        <v>472.18299999999999</v>
      </c>
      <c r="S848" s="3">
        <v>4.6085700000000003</v>
      </c>
      <c r="T848" s="4" t="s">
        <v>43</v>
      </c>
      <c r="U848" s="2" t="s">
        <v>37</v>
      </c>
      <c r="V848" s="2" t="s">
        <v>37</v>
      </c>
      <c r="W848" s="2" t="s">
        <v>37</v>
      </c>
      <c r="X848" s="2" t="s">
        <v>37</v>
      </c>
      <c r="Y848" s="2" t="s">
        <v>37</v>
      </c>
      <c r="Z848" s="2" t="s">
        <v>37</v>
      </c>
      <c r="AA848" s="6">
        <v>3.0738832409999999</v>
      </c>
      <c r="AB848" s="6">
        <v>2.6741103470000001</v>
      </c>
      <c r="AC848" s="6">
        <v>3.3141601650000001</v>
      </c>
      <c r="AD848" cm="1">
        <f t="array" ref="AD848">IF(SUMPRODUCT(--($AM$2:$AM$112=TRIM(LEFT($B848,IFERROR(FIND(" ",$B848)-1,LEN($B848))))))&gt;0,1,0)</f>
        <v>0</v>
      </c>
      <c r="AE848" cm="1">
        <f t="array" ref="AE848">IF(SUMPRODUCT(--($AO$2:$AO$145=TRIM(LEFT($B848,IFERROR(FIND(" ",$B848)-1,LEN($B848))))))&gt;0,1,0)</f>
        <v>0</v>
      </c>
      <c r="AF848" cm="1">
        <f t="array" ref="AF848">IF(SUMPRODUCT(--($AQ$2:$AQ$71=TRIM(LEFT($B848,IFERROR(FIND(" ",$B848)-1,LEN($B848))))))&gt;0,1,0)</f>
        <v>0</v>
      </c>
    </row>
    <row r="849" spans="1:32" ht="120.75" thickBot="1" x14ac:dyDescent="0.3">
      <c r="A849" s="13">
        <v>103</v>
      </c>
      <c r="B849" s="4" t="s">
        <v>1669</v>
      </c>
      <c r="C849" s="4" t="s">
        <v>1670</v>
      </c>
      <c r="D849" s="7">
        <v>43557</v>
      </c>
      <c r="E849" s="3">
        <v>5359.98</v>
      </c>
      <c r="F849" s="4" t="s">
        <v>69</v>
      </c>
      <c r="G849" s="3">
        <v>12.12</v>
      </c>
      <c r="H849" s="4" t="s">
        <v>279</v>
      </c>
      <c r="I849" s="4" t="s">
        <v>279</v>
      </c>
      <c r="J849" s="4" t="s">
        <v>974</v>
      </c>
      <c r="K849" s="4"/>
      <c r="L849" s="3">
        <v>20</v>
      </c>
      <c r="M849" s="4"/>
      <c r="N849" s="3">
        <v>2430.7399999999998</v>
      </c>
      <c r="O849" s="4" t="s">
        <v>34</v>
      </c>
      <c r="P849" s="4" t="s">
        <v>34</v>
      </c>
      <c r="Q849" s="4" t="s">
        <v>35</v>
      </c>
      <c r="R849" s="3">
        <v>2271</v>
      </c>
      <c r="S849" s="3">
        <v>16.883700000000001</v>
      </c>
      <c r="T849" s="4" t="s">
        <v>321</v>
      </c>
      <c r="U849" s="2" t="s">
        <v>38</v>
      </c>
      <c r="V849" s="2" t="s">
        <v>37</v>
      </c>
      <c r="W849" s="2" t="s">
        <v>37</v>
      </c>
      <c r="X849" s="2" t="s">
        <v>37</v>
      </c>
      <c r="Y849" s="2" t="s">
        <v>37</v>
      </c>
      <c r="Z849" s="2" t="s">
        <v>37</v>
      </c>
      <c r="AA849" s="6">
        <v>3.729163169</v>
      </c>
      <c r="AB849" s="6">
        <v>3.356217134</v>
      </c>
      <c r="AC849" s="6">
        <v>3.3857385080000002</v>
      </c>
      <c r="AD849" cm="1">
        <f t="array" ref="AD849">IF(SUMPRODUCT(--($AM$2:$AM$112=TRIM(LEFT($B849,IFERROR(FIND(" ",$B849)-1,LEN($B849))))))&gt;0,1,0)</f>
        <v>0</v>
      </c>
      <c r="AE849" cm="1">
        <f t="array" ref="AE849">IF(SUMPRODUCT(--($AO$2:$AO$145=TRIM(LEFT($B849,IFERROR(FIND(" ",$B849)-1,LEN($B849))))))&gt;0,1,0)</f>
        <v>0</v>
      </c>
      <c r="AF849" cm="1">
        <f t="array" ref="AF849">IF(SUMPRODUCT(--($AQ$2:$AQ$71=TRIM(LEFT($B849,IFERROR(FIND(" ",$B849)-1,LEN($B849))))))&gt;0,1,0)</f>
        <v>0</v>
      </c>
    </row>
    <row r="850" spans="1:32" ht="45.75" thickBot="1" x14ac:dyDescent="0.3">
      <c r="A850" s="13">
        <v>67</v>
      </c>
      <c r="B850" s="4" t="s">
        <v>1671</v>
      </c>
      <c r="C850" s="4" t="s">
        <v>1672</v>
      </c>
      <c r="D850" s="7">
        <v>43594</v>
      </c>
      <c r="E850" s="3">
        <v>55162.46</v>
      </c>
      <c r="F850" s="4" t="s">
        <v>107</v>
      </c>
      <c r="G850" s="3">
        <v>8.0500000000000007</v>
      </c>
      <c r="H850" s="4" t="s">
        <v>118</v>
      </c>
      <c r="I850" s="4" t="s">
        <v>119</v>
      </c>
      <c r="J850" s="4" t="s">
        <v>120</v>
      </c>
      <c r="K850" s="3">
        <v>1000</v>
      </c>
      <c r="L850" s="3">
        <v>1000</v>
      </c>
      <c r="M850" s="3">
        <v>14.78</v>
      </c>
      <c r="N850" s="3">
        <v>38713.46</v>
      </c>
      <c r="O850" s="4" t="s">
        <v>34</v>
      </c>
      <c r="P850" s="4" t="s">
        <v>34</v>
      </c>
      <c r="Q850" s="4" t="s">
        <v>399</v>
      </c>
      <c r="R850" s="3">
        <v>12837</v>
      </c>
      <c r="S850" s="3">
        <v>11.6897</v>
      </c>
      <c r="T850" s="4" t="s">
        <v>43</v>
      </c>
      <c r="U850" s="2" t="s">
        <v>37</v>
      </c>
      <c r="V850" s="2" t="s">
        <v>37</v>
      </c>
      <c r="W850" s="2" t="s">
        <v>37</v>
      </c>
      <c r="X850" s="2" t="s">
        <v>37</v>
      </c>
      <c r="Y850" s="2" t="s">
        <v>37</v>
      </c>
      <c r="Z850" s="2" t="s">
        <v>37</v>
      </c>
      <c r="AA850" s="6">
        <v>4.7416436260000001</v>
      </c>
      <c r="AB850" s="6">
        <v>4.1084635409999999</v>
      </c>
      <c r="AC850" s="6">
        <v>4.5878619880000002</v>
      </c>
      <c r="AD850" cm="1">
        <f t="array" ref="AD850">IF(SUMPRODUCT(--($AM$2:$AM$112=TRIM(LEFT($B850,IFERROR(FIND(" ",$B850)-1,LEN($B850))))))&gt;0,1,0)</f>
        <v>0</v>
      </c>
      <c r="AE850" cm="1">
        <f t="array" ref="AE850">IF(SUMPRODUCT(--($AO$2:$AO$145=TRIM(LEFT($B850,IFERROR(FIND(" ",$B850)-1,LEN($B850))))))&gt;0,1,0)</f>
        <v>0</v>
      </c>
      <c r="AF850" cm="1">
        <f t="array" ref="AF850">IF(SUMPRODUCT(--($AQ$2:$AQ$71=TRIM(LEFT($B850,IFERROR(FIND(" ",$B850)-1,LEN($B850))))))&gt;0,1,0)</f>
        <v>0</v>
      </c>
    </row>
    <row r="851" spans="1:32" ht="105.75" thickBot="1" x14ac:dyDescent="0.3">
      <c r="A851" s="13">
        <v>44</v>
      </c>
      <c r="B851" s="4" t="s">
        <v>1673</v>
      </c>
      <c r="C851" s="4" t="s">
        <v>1674</v>
      </c>
      <c r="D851" s="7">
        <v>43623</v>
      </c>
      <c r="E851" s="3">
        <v>589.16</v>
      </c>
      <c r="F851" s="4" t="s">
        <v>30</v>
      </c>
      <c r="G851" s="3">
        <v>5.07</v>
      </c>
      <c r="H851" s="4" t="s">
        <v>75</v>
      </c>
      <c r="I851" s="4" t="s">
        <v>83</v>
      </c>
      <c r="J851" s="4" t="s">
        <v>84</v>
      </c>
      <c r="K851" s="4"/>
      <c r="L851" s="4"/>
      <c r="M851" s="4"/>
      <c r="N851" s="3">
        <v>475.77</v>
      </c>
      <c r="O851" s="4" t="s">
        <v>34</v>
      </c>
      <c r="P851" s="4" t="s">
        <v>34</v>
      </c>
      <c r="Q851" s="4" t="s">
        <v>35</v>
      </c>
      <c r="R851" s="3">
        <v>3552.74</v>
      </c>
      <c r="S851" s="3">
        <v>0.46524599999999999</v>
      </c>
      <c r="T851" s="4" t="s">
        <v>1457</v>
      </c>
      <c r="U851" s="2" t="s">
        <v>37</v>
      </c>
      <c r="V851" s="2" t="s">
        <v>37</v>
      </c>
      <c r="W851" s="2" t="s">
        <v>37</v>
      </c>
      <c r="X851" s="2" t="s">
        <v>38</v>
      </c>
      <c r="Y851" s="2" t="s">
        <v>37</v>
      </c>
      <c r="Z851" s="2" t="s">
        <v>38</v>
      </c>
      <c r="AA851" s="6">
        <v>2.7702332529999998</v>
      </c>
      <c r="AB851" s="6">
        <v>3.5505634260000001</v>
      </c>
      <c r="AC851" s="6">
        <v>2.6773970540000001</v>
      </c>
      <c r="AD851" cm="1">
        <f t="array" ref="AD851">IF(SUMPRODUCT(--($AM$2:$AM$112=TRIM(LEFT($B851,IFERROR(FIND(" ",$B851)-1,LEN($B851))))))&gt;0,1,0)</f>
        <v>0</v>
      </c>
      <c r="AE851" cm="1">
        <f t="array" ref="AE851">IF(SUMPRODUCT(--($AO$2:$AO$145=TRIM(LEFT($B851,IFERROR(FIND(" ",$B851)-1,LEN($B851))))))&gt;0,1,0)</f>
        <v>0</v>
      </c>
      <c r="AF851" cm="1">
        <f t="array" ref="AF851">IF(SUMPRODUCT(--($AQ$2:$AQ$71=TRIM(LEFT($B851,IFERROR(FIND(" ",$B851)-1,LEN($B851))))))&gt;0,1,0)</f>
        <v>0</v>
      </c>
    </row>
    <row r="852" spans="1:32" ht="75.75" thickBot="1" x14ac:dyDescent="0.3">
      <c r="A852" s="13">
        <v>62</v>
      </c>
      <c r="B852" s="4" t="s">
        <v>1675</v>
      </c>
      <c r="C852" s="4" t="s">
        <v>1676</v>
      </c>
      <c r="D852" s="7">
        <v>43594</v>
      </c>
      <c r="E852" s="3">
        <v>543.22</v>
      </c>
      <c r="F852" s="4" t="s">
        <v>30</v>
      </c>
      <c r="G852" s="3">
        <v>19.78</v>
      </c>
      <c r="H852" s="4" t="s">
        <v>31</v>
      </c>
      <c r="I852" s="4" t="s">
        <v>432</v>
      </c>
      <c r="J852" s="4" t="s">
        <v>433</v>
      </c>
      <c r="K852" s="4"/>
      <c r="L852" s="4"/>
      <c r="M852" s="3">
        <v>37.32</v>
      </c>
      <c r="N852" s="3">
        <v>636.41</v>
      </c>
      <c r="O852" s="4" t="s">
        <v>34</v>
      </c>
      <c r="P852" s="4" t="s">
        <v>34</v>
      </c>
      <c r="Q852" s="4" t="s">
        <v>35</v>
      </c>
      <c r="R852" s="3">
        <v>272.45800000000003</v>
      </c>
      <c r="S852" s="3">
        <v>6.2838399999999996</v>
      </c>
      <c r="T852" s="4" t="s">
        <v>113</v>
      </c>
      <c r="U852" s="2" t="s">
        <v>37</v>
      </c>
      <c r="V852" s="2" t="s">
        <v>37</v>
      </c>
      <c r="W852" s="2" t="s">
        <v>37</v>
      </c>
      <c r="X852" s="2" t="s">
        <v>38</v>
      </c>
      <c r="Y852" s="2" t="s">
        <v>37</v>
      </c>
      <c r="Z852" s="2" t="s">
        <v>37</v>
      </c>
      <c r="AA852" s="6">
        <v>2.7349757509999999</v>
      </c>
      <c r="AB852" s="6">
        <v>2.4352995640000001</v>
      </c>
      <c r="AC852" s="6">
        <v>2.803736995</v>
      </c>
      <c r="AD852" cm="1">
        <f t="array" ref="AD852">IF(SUMPRODUCT(--($AM$2:$AM$112=TRIM(LEFT($B852,IFERROR(FIND(" ",$B852)-1,LEN($B852))))))&gt;0,1,0)</f>
        <v>0</v>
      </c>
      <c r="AE852" cm="1">
        <f t="array" ref="AE852">IF(SUMPRODUCT(--($AO$2:$AO$145=TRIM(LEFT($B852,IFERROR(FIND(" ",$B852)-1,LEN($B852))))))&gt;0,1,0)</f>
        <v>0</v>
      </c>
      <c r="AF852" cm="1">
        <f t="array" ref="AF852">IF(SUMPRODUCT(--($AQ$2:$AQ$71=TRIM(LEFT($B852,IFERROR(FIND(" ",$B852)-1,LEN($B852))))))&gt;0,1,0)</f>
        <v>0</v>
      </c>
    </row>
    <row r="853" spans="1:32" ht="45.75" thickBot="1" x14ac:dyDescent="0.3">
      <c r="A853" s="13">
        <v>39</v>
      </c>
      <c r="B853" s="4" t="s">
        <v>1677</v>
      </c>
      <c r="C853" s="4" t="s">
        <v>320</v>
      </c>
      <c r="D853" s="7">
        <v>43626</v>
      </c>
      <c r="E853" s="3">
        <v>13981.08</v>
      </c>
      <c r="F853" s="4" t="s">
        <v>46</v>
      </c>
      <c r="G853" s="4"/>
      <c r="H853" s="4" t="s">
        <v>31</v>
      </c>
      <c r="I853" s="4" t="s">
        <v>32</v>
      </c>
      <c r="J853" s="4" t="s">
        <v>33</v>
      </c>
      <c r="K853" s="4"/>
      <c r="L853" s="3">
        <v>552</v>
      </c>
      <c r="M853" s="3">
        <v>46.24</v>
      </c>
      <c r="N853" s="3">
        <v>14766.8</v>
      </c>
      <c r="O853" s="4" t="s">
        <v>34</v>
      </c>
      <c r="P853" s="4" t="s">
        <v>34</v>
      </c>
      <c r="Q853" s="4" t="s">
        <v>35</v>
      </c>
      <c r="R853" s="3">
        <v>1155.3499999999999</v>
      </c>
      <c r="S853" s="3">
        <v>-12.2964</v>
      </c>
      <c r="T853" s="4" t="s">
        <v>43</v>
      </c>
      <c r="U853" s="2" t="s">
        <v>37</v>
      </c>
      <c r="V853" s="2" t="s">
        <v>37</v>
      </c>
      <c r="W853" s="2" t="s">
        <v>37</v>
      </c>
      <c r="X853" s="2" t="s">
        <v>37</v>
      </c>
      <c r="Y853" s="2" t="s">
        <v>37</v>
      </c>
      <c r="Z853" s="2" t="s">
        <v>37</v>
      </c>
      <c r="AA853" s="6">
        <v>4.1455407209999997</v>
      </c>
      <c r="AB853" s="6">
        <v>3.062713569</v>
      </c>
      <c r="AC853" s="6">
        <v>4.1692863930000001</v>
      </c>
      <c r="AD853" cm="1">
        <f t="array" ref="AD853">IF(SUMPRODUCT(--($AM$2:$AM$112=TRIM(LEFT($B853,IFERROR(FIND(" ",$B853)-1,LEN($B853))))))&gt;0,1,0)</f>
        <v>0</v>
      </c>
      <c r="AE853" cm="1">
        <f t="array" ref="AE853">IF(SUMPRODUCT(--($AO$2:$AO$145=TRIM(LEFT($B853,IFERROR(FIND(" ",$B853)-1,LEN($B853))))))&gt;0,1,0)</f>
        <v>0</v>
      </c>
      <c r="AF853" cm="1">
        <f t="array" ref="AF853">IF(SUMPRODUCT(--($AQ$2:$AQ$71=TRIM(LEFT($B853,IFERROR(FIND(" ",$B853)-1,LEN($B853))))))&gt;0,1,0)</f>
        <v>0</v>
      </c>
    </row>
    <row r="854" spans="1:32" ht="45.75" thickBot="1" x14ac:dyDescent="0.3">
      <c r="A854" s="13">
        <v>134</v>
      </c>
      <c r="B854" s="4" t="s">
        <v>1678</v>
      </c>
      <c r="C854" s="4" t="s">
        <v>1342</v>
      </c>
      <c r="D854" s="7">
        <v>43493</v>
      </c>
      <c r="E854" s="3">
        <v>4270.1899999999996</v>
      </c>
      <c r="F854" s="4" t="s">
        <v>46</v>
      </c>
      <c r="G854" s="4"/>
      <c r="H854" s="4" t="s">
        <v>65</v>
      </c>
      <c r="I854" s="4" t="s">
        <v>66</v>
      </c>
      <c r="J854" s="4" t="s">
        <v>66</v>
      </c>
      <c r="K854" s="4"/>
      <c r="L854" s="3">
        <v>134</v>
      </c>
      <c r="M854" s="3">
        <v>-1.44</v>
      </c>
      <c r="N854" s="3">
        <v>3407.77</v>
      </c>
      <c r="O854" s="4" t="s">
        <v>34</v>
      </c>
      <c r="P854" s="4" t="s">
        <v>34</v>
      </c>
      <c r="Q854" s="4" t="s">
        <v>35</v>
      </c>
      <c r="R854" s="3">
        <v>1613.15</v>
      </c>
      <c r="S854" s="3">
        <v>29.579799999999999</v>
      </c>
      <c r="T854" s="4" t="s">
        <v>43</v>
      </c>
      <c r="U854" s="2" t="s">
        <v>37</v>
      </c>
      <c r="V854" s="2" t="s">
        <v>37</v>
      </c>
      <c r="W854" s="2" t="s">
        <v>37</v>
      </c>
      <c r="X854" s="2" t="s">
        <v>37</v>
      </c>
      <c r="Y854" s="2" t="s">
        <v>37</v>
      </c>
      <c r="Z854" s="2" t="s">
        <v>37</v>
      </c>
      <c r="AA854" s="6">
        <v>3.6304471989999998</v>
      </c>
      <c r="AB854" s="6">
        <v>3.207674752</v>
      </c>
      <c r="AC854" s="6">
        <v>3.5324702750000001</v>
      </c>
      <c r="AD854" cm="1">
        <f t="array" ref="AD854">IF(SUMPRODUCT(--($AM$2:$AM$112=TRIM(LEFT($B854,IFERROR(FIND(" ",$B854)-1,LEN($B854))))))&gt;0,1,0)</f>
        <v>0</v>
      </c>
      <c r="AE854" cm="1">
        <f t="array" ref="AE854">IF(SUMPRODUCT(--($AO$2:$AO$145=TRIM(LEFT($B854,IFERROR(FIND(" ",$B854)-1,LEN($B854))))))&gt;0,1,0)</f>
        <v>0</v>
      </c>
      <c r="AF854" cm="1">
        <f t="array" ref="AF854">IF(SUMPRODUCT(--($AQ$2:$AQ$71=TRIM(LEFT($B854,IFERROR(FIND(" ",$B854)-1,LEN($B854))))))&gt;0,1,0)</f>
        <v>0</v>
      </c>
    </row>
    <row r="855" spans="1:32" ht="45.75" thickBot="1" x14ac:dyDescent="0.3">
      <c r="A855" s="13">
        <v>98</v>
      </c>
      <c r="B855" s="4" t="s">
        <v>1679</v>
      </c>
      <c r="C855" s="4" t="s">
        <v>1680</v>
      </c>
      <c r="D855" s="7">
        <v>43542</v>
      </c>
      <c r="E855" s="3">
        <v>41054.83</v>
      </c>
      <c r="F855" s="4" t="s">
        <v>107</v>
      </c>
      <c r="G855" s="3">
        <v>28.64</v>
      </c>
      <c r="H855" s="4" t="s">
        <v>65</v>
      </c>
      <c r="I855" s="4" t="s">
        <v>138</v>
      </c>
      <c r="J855" s="4" t="s">
        <v>139</v>
      </c>
      <c r="K855" s="4"/>
      <c r="L855" s="4"/>
      <c r="M855" s="3">
        <v>17.170000000000002</v>
      </c>
      <c r="N855" s="3">
        <v>33346.53</v>
      </c>
      <c r="O855" s="4" t="s">
        <v>34</v>
      </c>
      <c r="P855" s="4" t="s">
        <v>34</v>
      </c>
      <c r="Q855" s="4" t="s">
        <v>35</v>
      </c>
      <c r="R855" s="3">
        <v>3925.4</v>
      </c>
      <c r="S855" s="3">
        <v>14.4956</v>
      </c>
      <c r="T855" s="4" t="s">
        <v>43</v>
      </c>
      <c r="U855" s="2" t="s">
        <v>37</v>
      </c>
      <c r="V855" s="2" t="s">
        <v>37</v>
      </c>
      <c r="W855" s="2" t="s">
        <v>37</v>
      </c>
      <c r="X855" s="2" t="s">
        <v>37</v>
      </c>
      <c r="Y855" s="2" t="s">
        <v>37</v>
      </c>
      <c r="Z855" s="2" t="s">
        <v>37</v>
      </c>
      <c r="AA855" s="6">
        <v>4.6133642579999998</v>
      </c>
      <c r="AB855" s="6">
        <v>3.593883918</v>
      </c>
      <c r="AC855" s="6">
        <v>4.5230506479999999</v>
      </c>
      <c r="AD855" cm="1">
        <f t="array" ref="AD855">IF(SUMPRODUCT(--($AM$2:$AM$112=TRIM(LEFT($B855,IFERROR(FIND(" ",$B855)-1,LEN($B855))))))&gt;0,1,0)</f>
        <v>0</v>
      </c>
      <c r="AE855" cm="1">
        <f t="array" ref="AE855">IF(SUMPRODUCT(--($AO$2:$AO$145=TRIM(LEFT($B855,IFERROR(FIND(" ",$B855)-1,LEN($B855))))))&gt;0,1,0)</f>
        <v>1</v>
      </c>
      <c r="AF855" cm="1">
        <f t="array" ref="AF855">IF(SUMPRODUCT(--($AQ$2:$AQ$71=TRIM(LEFT($B855,IFERROR(FIND(" ",$B855)-1,LEN($B855))))))&gt;0,1,0)</f>
        <v>0</v>
      </c>
    </row>
    <row r="856" spans="1:32" ht="75.75" thickBot="1" x14ac:dyDescent="0.3">
      <c r="A856" s="13">
        <v>33</v>
      </c>
      <c r="B856" s="4" t="s">
        <v>1681</v>
      </c>
      <c r="C856" s="4" t="s">
        <v>325</v>
      </c>
      <c r="D856" s="7">
        <v>43633</v>
      </c>
      <c r="E856" s="3">
        <v>10988.89</v>
      </c>
      <c r="F856" s="4" t="s">
        <v>30</v>
      </c>
      <c r="G856" s="4"/>
      <c r="H856" s="4" t="s">
        <v>41</v>
      </c>
      <c r="I856" s="4" t="s">
        <v>41</v>
      </c>
      <c r="J856" s="4" t="s">
        <v>42</v>
      </c>
      <c r="K856" s="4"/>
      <c r="L856" s="3">
        <v>400</v>
      </c>
      <c r="M856" s="3">
        <v>76.44</v>
      </c>
      <c r="N856" s="3">
        <v>10644.04</v>
      </c>
      <c r="O856" s="4" t="s">
        <v>34</v>
      </c>
      <c r="P856" s="4" t="s">
        <v>34</v>
      </c>
      <c r="Q856" s="4" t="s">
        <v>35</v>
      </c>
      <c r="R856" s="3">
        <v>173.768</v>
      </c>
      <c r="S856" s="3">
        <v>-50.155099999999997</v>
      </c>
      <c r="T856" s="4" t="s">
        <v>88</v>
      </c>
      <c r="U856" s="2" t="s">
        <v>37</v>
      </c>
      <c r="V856" s="2" t="s">
        <v>37</v>
      </c>
      <c r="W856" s="2" t="s">
        <v>37</v>
      </c>
      <c r="X856" s="2" t="s">
        <v>37</v>
      </c>
      <c r="Y856" s="2" t="s">
        <v>37</v>
      </c>
      <c r="Z856" s="2" t="s">
        <v>38</v>
      </c>
      <c r="AA856" s="6">
        <v>4.040953826</v>
      </c>
      <c r="AB856" s="6">
        <v>2.2399698030000001</v>
      </c>
      <c r="AC856" s="6">
        <v>4.0271064980000002</v>
      </c>
      <c r="AD856" cm="1">
        <f t="array" ref="AD856">IF(SUMPRODUCT(--($AM$2:$AM$112=TRIM(LEFT($B856,IFERROR(FIND(" ",$B856)-1,LEN($B856))))))&gt;0,1,0)</f>
        <v>0</v>
      </c>
      <c r="AE856" cm="1">
        <f t="array" ref="AE856">IF(SUMPRODUCT(--($AO$2:$AO$145=TRIM(LEFT($B856,IFERROR(FIND(" ",$B856)-1,LEN($B856))))))&gt;0,1,0)</f>
        <v>0</v>
      </c>
      <c r="AF856" cm="1">
        <f t="array" ref="AF856">IF(SUMPRODUCT(--($AQ$2:$AQ$71=TRIM(LEFT($B856,IFERROR(FIND(" ",$B856)-1,LEN($B856))))))&gt;0,1,0)</f>
        <v>0</v>
      </c>
    </row>
    <row r="857" spans="1:32" ht="45.75" thickBot="1" x14ac:dyDescent="0.3">
      <c r="A857" s="13">
        <v>60</v>
      </c>
      <c r="B857" s="4" t="s">
        <v>1682</v>
      </c>
      <c r="C857" s="4" t="s">
        <v>1683</v>
      </c>
      <c r="D857" s="7">
        <v>43593</v>
      </c>
      <c r="E857" s="3">
        <v>10178.07</v>
      </c>
      <c r="F857" s="4" t="s">
        <v>46</v>
      </c>
      <c r="G857" s="3">
        <v>10.59</v>
      </c>
      <c r="H857" s="4" t="s">
        <v>118</v>
      </c>
      <c r="I857" s="4" t="s">
        <v>119</v>
      </c>
      <c r="J857" s="4" t="s">
        <v>120</v>
      </c>
      <c r="K857" s="4"/>
      <c r="L857" s="4"/>
      <c r="M857" s="4"/>
      <c r="N857" s="3">
        <v>5224.07</v>
      </c>
      <c r="O857" s="4" t="s">
        <v>34</v>
      </c>
      <c r="P857" s="4" t="s">
        <v>34</v>
      </c>
      <c r="Q857" s="4" t="s">
        <v>35</v>
      </c>
      <c r="R857" s="3">
        <v>10027</v>
      </c>
      <c r="S857" s="2"/>
      <c r="T857" s="4" t="s">
        <v>1684</v>
      </c>
      <c r="U857" s="2" t="s">
        <v>37</v>
      </c>
      <c r="V857" s="2" t="s">
        <v>37</v>
      </c>
      <c r="W857" s="2" t="s">
        <v>37</v>
      </c>
      <c r="X857" s="2" t="s">
        <v>37</v>
      </c>
      <c r="Y857" s="2" t="s">
        <v>37</v>
      </c>
      <c r="Z857" s="2" t="s">
        <v>37</v>
      </c>
      <c r="AA857" s="6">
        <v>4.0076654329999997</v>
      </c>
      <c r="AB857" s="6">
        <v>4.0011710149999997</v>
      </c>
      <c r="AC857" s="6">
        <v>3.7180089879999998</v>
      </c>
      <c r="AD857" cm="1">
        <f t="array" ref="AD857">IF(SUMPRODUCT(--($AM$2:$AM$112=TRIM(LEFT($B857,IFERROR(FIND(" ",$B857)-1,LEN($B857))))))&gt;0,1,0)</f>
        <v>0</v>
      </c>
      <c r="AE857" cm="1">
        <f t="array" ref="AE857">IF(SUMPRODUCT(--($AO$2:$AO$145=TRIM(LEFT($B857,IFERROR(FIND(" ",$B857)-1,LEN($B857))))))&gt;0,1,0)</f>
        <v>0</v>
      </c>
      <c r="AF857" cm="1">
        <f t="array" ref="AF857">IF(SUMPRODUCT(--($AQ$2:$AQ$71=TRIM(LEFT($B857,IFERROR(FIND(" ",$B857)-1,LEN($B857))))))&gt;0,1,0)</f>
        <v>0</v>
      </c>
    </row>
    <row r="858" spans="1:32" ht="120.75" thickBot="1" x14ac:dyDescent="0.3">
      <c r="A858" s="13">
        <v>60</v>
      </c>
      <c r="B858" s="4" t="s">
        <v>1682</v>
      </c>
      <c r="C858" s="4" t="s">
        <v>1683</v>
      </c>
      <c r="D858" s="7">
        <v>43593</v>
      </c>
      <c r="E858" s="3">
        <v>3288.99</v>
      </c>
      <c r="F858" s="4" t="s">
        <v>46</v>
      </c>
      <c r="G858" s="3">
        <v>7.26</v>
      </c>
      <c r="H858" s="4" t="s">
        <v>118</v>
      </c>
      <c r="I858" s="4" t="s">
        <v>119</v>
      </c>
      <c r="J858" s="4" t="s">
        <v>120</v>
      </c>
      <c r="K858" s="4"/>
      <c r="L858" s="4"/>
      <c r="M858" s="3">
        <v>8.26</v>
      </c>
      <c r="N858" s="3">
        <v>3288.99</v>
      </c>
      <c r="O858" s="4" t="s">
        <v>34</v>
      </c>
      <c r="P858" s="4" t="s">
        <v>34</v>
      </c>
      <c r="Q858" s="4" t="s">
        <v>35</v>
      </c>
      <c r="R858" s="3">
        <v>10027</v>
      </c>
      <c r="S858" s="2"/>
      <c r="T858" s="4" t="s">
        <v>321</v>
      </c>
      <c r="U858" s="2" t="s">
        <v>38</v>
      </c>
      <c r="V858" s="2" t="s">
        <v>37</v>
      </c>
      <c r="W858" s="2" t="s">
        <v>37</v>
      </c>
      <c r="X858" s="2" t="s">
        <v>37</v>
      </c>
      <c r="Y858" s="2" t="s">
        <v>37</v>
      </c>
      <c r="Z858" s="2" t="s">
        <v>37</v>
      </c>
      <c r="AA858" s="6">
        <v>3.5170625530000001</v>
      </c>
      <c r="AB858" s="6">
        <v>4.0011710149999997</v>
      </c>
      <c r="AC858" s="6">
        <v>3.5170625530000001</v>
      </c>
      <c r="AD858" cm="1">
        <f t="array" ref="AD858">IF(SUMPRODUCT(--($AM$2:$AM$112=TRIM(LEFT($B858,IFERROR(FIND(" ",$B858)-1,LEN($B858))))))&gt;0,1,0)</f>
        <v>0</v>
      </c>
      <c r="AE858" cm="1">
        <f t="array" ref="AE858">IF(SUMPRODUCT(--($AO$2:$AO$145=TRIM(LEFT($B858,IFERROR(FIND(" ",$B858)-1,LEN($B858))))))&gt;0,1,0)</f>
        <v>0</v>
      </c>
      <c r="AF858" cm="1">
        <f t="array" ref="AF858">IF(SUMPRODUCT(--($AQ$2:$AQ$71=TRIM(LEFT($B858,IFERROR(FIND(" ",$B858)-1,LEN($B858))))))&gt;0,1,0)</f>
        <v>0</v>
      </c>
    </row>
    <row r="859" spans="1:32" ht="45.75" thickBot="1" x14ac:dyDescent="0.3">
      <c r="A859" s="13">
        <v>139</v>
      </c>
      <c r="B859" s="4" t="s">
        <v>1685</v>
      </c>
      <c r="C859" s="4" t="s">
        <v>1686</v>
      </c>
      <c r="D859" s="7">
        <v>43481</v>
      </c>
      <c r="E859" s="3">
        <v>38170.65</v>
      </c>
      <c r="F859" s="4" t="s">
        <v>46</v>
      </c>
      <c r="G859" s="3">
        <v>12.79</v>
      </c>
      <c r="H859" s="4" t="s">
        <v>65</v>
      </c>
      <c r="I859" s="4" t="s">
        <v>138</v>
      </c>
      <c r="J859" s="4" t="s">
        <v>139</v>
      </c>
      <c r="K859" s="3">
        <v>665</v>
      </c>
      <c r="L859" s="4"/>
      <c r="M859" s="3">
        <v>31.06</v>
      </c>
      <c r="N859" s="3">
        <v>21016.65</v>
      </c>
      <c r="O859" s="4" t="s">
        <v>34</v>
      </c>
      <c r="P859" s="4" t="s">
        <v>34</v>
      </c>
      <c r="Q859" s="4" t="s">
        <v>35</v>
      </c>
      <c r="R859" s="3">
        <v>9498</v>
      </c>
      <c r="S859" s="3">
        <v>20.911300000000001</v>
      </c>
      <c r="T859" s="4" t="s">
        <v>43</v>
      </c>
      <c r="U859" s="2" t="s">
        <v>37</v>
      </c>
      <c r="V859" s="2" t="s">
        <v>37</v>
      </c>
      <c r="W859" s="2" t="s">
        <v>37</v>
      </c>
      <c r="X859" s="2" t="s">
        <v>37</v>
      </c>
      <c r="Y859" s="2" t="s">
        <v>37</v>
      </c>
      <c r="Z859" s="2" t="s">
        <v>37</v>
      </c>
      <c r="AA859" s="6">
        <v>4.581729556</v>
      </c>
      <c r="AB859" s="6">
        <v>3.9776321650000002</v>
      </c>
      <c r="AC859" s="6">
        <v>4.3225634919999996</v>
      </c>
      <c r="AD859" cm="1">
        <f t="array" ref="AD859">IF(SUMPRODUCT(--($AM$2:$AM$112=TRIM(LEFT($B859,IFERROR(FIND(" ",$B859)-1,LEN($B859))))))&gt;0,1,0)</f>
        <v>0</v>
      </c>
      <c r="AE859" cm="1">
        <f t="array" ref="AE859">IF(SUMPRODUCT(--($AO$2:$AO$145=TRIM(LEFT($B859,IFERROR(FIND(" ",$B859)-1,LEN($B859))))))&gt;0,1,0)</f>
        <v>0</v>
      </c>
      <c r="AF859" cm="1">
        <f t="array" ref="AF859">IF(SUMPRODUCT(--($AQ$2:$AQ$71=TRIM(LEFT($B859,IFERROR(FIND(" ",$B859)-1,LEN($B859))))))&gt;0,1,0)</f>
        <v>0</v>
      </c>
    </row>
    <row r="860" spans="1:32" ht="45.75" thickBot="1" x14ac:dyDescent="0.3">
      <c r="A860" s="13">
        <v>75</v>
      </c>
      <c r="B860" s="4" t="s">
        <v>1687</v>
      </c>
      <c r="C860" s="4" t="s">
        <v>1688</v>
      </c>
      <c r="D860" s="7">
        <v>43571</v>
      </c>
      <c r="E860" s="3">
        <v>4203.45</v>
      </c>
      <c r="F860" s="4" t="s">
        <v>46</v>
      </c>
      <c r="G860" s="3">
        <v>3.27</v>
      </c>
      <c r="H860" s="4" t="s">
        <v>184</v>
      </c>
      <c r="I860" s="4" t="s">
        <v>185</v>
      </c>
      <c r="J860" s="4" t="s">
        <v>762</v>
      </c>
      <c r="K860" s="4"/>
      <c r="L860" s="3">
        <v>72</v>
      </c>
      <c r="M860" s="3">
        <v>0.49</v>
      </c>
      <c r="N860" s="3">
        <v>2525.4499999999998</v>
      </c>
      <c r="O860" s="4" t="s">
        <v>34</v>
      </c>
      <c r="P860" s="4" t="s">
        <v>34</v>
      </c>
      <c r="Q860" s="4" t="s">
        <v>399</v>
      </c>
      <c r="R860" s="3">
        <v>11449</v>
      </c>
      <c r="S860" s="3">
        <v>-5.3137999999999996</v>
      </c>
      <c r="T860" s="4" t="s">
        <v>43</v>
      </c>
      <c r="U860" s="2" t="s">
        <v>37</v>
      </c>
      <c r="V860" s="2" t="s">
        <v>37</v>
      </c>
      <c r="W860" s="2" t="s">
        <v>37</v>
      </c>
      <c r="X860" s="2" t="s">
        <v>37</v>
      </c>
      <c r="Y860" s="2" t="s">
        <v>37</v>
      </c>
      <c r="Z860" s="2" t="s">
        <v>37</v>
      </c>
      <c r="AA860" s="6">
        <v>3.623605886</v>
      </c>
      <c r="AB860" s="6">
        <v>4.0587675550000002</v>
      </c>
      <c r="AC860" s="6">
        <v>3.402338775</v>
      </c>
      <c r="AD860" cm="1">
        <f t="array" ref="AD860">IF(SUMPRODUCT(--($AM$2:$AM$112=TRIM(LEFT($B860,IFERROR(FIND(" ",$B860)-1,LEN($B860))))))&gt;0,1,0)</f>
        <v>0</v>
      </c>
      <c r="AE860" cm="1">
        <f t="array" ref="AE860">IF(SUMPRODUCT(--($AO$2:$AO$145=TRIM(LEFT($B860,IFERROR(FIND(" ",$B860)-1,LEN($B860))))))&gt;0,1,0)</f>
        <v>0</v>
      </c>
      <c r="AF860" cm="1">
        <f t="array" ref="AF860">IF(SUMPRODUCT(--($AQ$2:$AQ$71=TRIM(LEFT($B860,IFERROR(FIND(" ",$B860)-1,LEN($B860))))))&gt;0,1,0)</f>
        <v>0</v>
      </c>
    </row>
    <row r="861" spans="1:32" ht="135.75" thickBot="1" x14ac:dyDescent="0.3">
      <c r="A861" s="13">
        <v>73</v>
      </c>
      <c r="B861" s="4" t="s">
        <v>1689</v>
      </c>
      <c r="C861" s="4" t="s">
        <v>1690</v>
      </c>
      <c r="D861" s="7">
        <v>43570</v>
      </c>
      <c r="E861" s="3">
        <v>1619.32</v>
      </c>
      <c r="F861" s="4" t="s">
        <v>30</v>
      </c>
      <c r="G861" s="3">
        <v>21.83</v>
      </c>
      <c r="H861" s="4" t="s">
        <v>31</v>
      </c>
      <c r="I861" s="4" t="s">
        <v>432</v>
      </c>
      <c r="J861" s="4" t="s">
        <v>433</v>
      </c>
      <c r="K861" s="3">
        <v>109.94</v>
      </c>
      <c r="L861" s="3">
        <v>59.2</v>
      </c>
      <c r="M861" s="4"/>
      <c r="N861" s="3">
        <v>1577.76</v>
      </c>
      <c r="O861" s="4" t="s">
        <v>34</v>
      </c>
      <c r="P861" s="4" t="s">
        <v>34</v>
      </c>
      <c r="Q861" s="4" t="s">
        <v>35</v>
      </c>
      <c r="R861" s="3">
        <v>1015.02</v>
      </c>
      <c r="S861" s="3">
        <v>0.85957099999999997</v>
      </c>
      <c r="T861" s="4" t="s">
        <v>312</v>
      </c>
      <c r="U861" s="2" t="s">
        <v>37</v>
      </c>
      <c r="V861" s="2" t="s">
        <v>37</v>
      </c>
      <c r="W861" s="2" t="s">
        <v>37</v>
      </c>
      <c r="X861" s="2" t="s">
        <v>38</v>
      </c>
      <c r="Y861" s="2" t="s">
        <v>38</v>
      </c>
      <c r="Z861" s="2" t="s">
        <v>37</v>
      </c>
      <c r="AA861" s="6">
        <v>3.2093326800000002</v>
      </c>
      <c r="AB861" s="6">
        <v>3.0064746000000002</v>
      </c>
      <c r="AC861" s="6">
        <v>3.1980409409999999</v>
      </c>
      <c r="AD861" cm="1">
        <f t="array" ref="AD861">IF(SUMPRODUCT(--($AM$2:$AM$112=TRIM(LEFT($B861,IFERROR(FIND(" ",$B861)-1,LEN($B861))))))&gt;0,1,0)</f>
        <v>0</v>
      </c>
      <c r="AE861" cm="1">
        <f t="array" ref="AE861">IF(SUMPRODUCT(--($AO$2:$AO$145=TRIM(LEFT($B861,IFERROR(FIND(" ",$B861)-1,LEN($B861))))))&gt;0,1,0)</f>
        <v>0</v>
      </c>
      <c r="AF861" cm="1">
        <f t="array" ref="AF861">IF(SUMPRODUCT(--($AQ$2:$AQ$71=TRIM(LEFT($B861,IFERROR(FIND(" ",$B861)-1,LEN($B861))))))&gt;0,1,0)</f>
        <v>0</v>
      </c>
    </row>
    <row r="862" spans="1:32" ht="75.75" thickBot="1" x14ac:dyDescent="0.3">
      <c r="A862" s="13">
        <v>51</v>
      </c>
      <c r="B862" s="4" t="s">
        <v>1691</v>
      </c>
      <c r="C862" s="4" t="s">
        <v>1692</v>
      </c>
      <c r="D862" s="7">
        <v>43599</v>
      </c>
      <c r="E862" s="3">
        <v>600.64</v>
      </c>
      <c r="F862" s="4" t="s">
        <v>30</v>
      </c>
      <c r="G862" s="3">
        <v>9.77</v>
      </c>
      <c r="H862" s="4" t="s">
        <v>47</v>
      </c>
      <c r="I862" s="4" t="s">
        <v>47</v>
      </c>
      <c r="J862" s="4" t="s">
        <v>48</v>
      </c>
      <c r="K862" s="3">
        <v>25</v>
      </c>
      <c r="L862" s="3">
        <v>25</v>
      </c>
      <c r="M862" s="3">
        <v>36.65</v>
      </c>
      <c r="N862" s="3">
        <v>539.34</v>
      </c>
      <c r="O862" s="4" t="s">
        <v>49</v>
      </c>
      <c r="P862" s="4" t="s">
        <v>152</v>
      </c>
      <c r="Q862" s="4" t="s">
        <v>35</v>
      </c>
      <c r="R862" s="3">
        <v>99.047899999999998</v>
      </c>
      <c r="S862" s="3">
        <v>34.100900000000003</v>
      </c>
      <c r="T862" s="4" t="s">
        <v>97</v>
      </c>
      <c r="U862" s="2" t="s">
        <v>37</v>
      </c>
      <c r="V862" s="2" t="s">
        <v>37</v>
      </c>
      <c r="W862" s="2" t="s">
        <v>38</v>
      </c>
      <c r="X862" s="2" t="s">
        <v>37</v>
      </c>
      <c r="Y862" s="2" t="s">
        <v>37</v>
      </c>
      <c r="Z862" s="2" t="s">
        <v>37</v>
      </c>
      <c r="AA862" s="6">
        <v>2.778614251</v>
      </c>
      <c r="AB862" s="6">
        <v>1.9958452719999999</v>
      </c>
      <c r="AC862" s="6">
        <v>2.7318626309999998</v>
      </c>
      <c r="AD862" cm="1">
        <f t="array" ref="AD862">IF(SUMPRODUCT(--($AM$2:$AM$112=TRIM(LEFT($B862,IFERROR(FIND(" ",$B862)-1,LEN($B862))))))&gt;0,1,0)</f>
        <v>0</v>
      </c>
      <c r="AE862" cm="1">
        <f t="array" ref="AE862">IF(SUMPRODUCT(--($AO$2:$AO$145=TRIM(LEFT($B862,IFERROR(FIND(" ",$B862)-1,LEN($B862))))))&gt;0,1,0)</f>
        <v>0</v>
      </c>
      <c r="AF862" cm="1">
        <f t="array" ref="AF862">IF(SUMPRODUCT(--($AQ$2:$AQ$71=TRIM(LEFT($B862,IFERROR(FIND(" ",$B862)-1,LEN($B862))))))&gt;0,1,0)</f>
        <v>0</v>
      </c>
    </row>
    <row r="863" spans="1:32" ht="75.75" thickBot="1" x14ac:dyDescent="0.3">
      <c r="A863" s="13">
        <v>70</v>
      </c>
      <c r="B863" s="4" t="s">
        <v>1693</v>
      </c>
      <c r="C863" s="4" t="s">
        <v>1694</v>
      </c>
      <c r="D863" s="7">
        <v>43565</v>
      </c>
      <c r="E863" s="3">
        <v>1150.72</v>
      </c>
      <c r="F863" s="4" t="s">
        <v>30</v>
      </c>
      <c r="G863" s="3">
        <v>9.59</v>
      </c>
      <c r="H863" s="4" t="s">
        <v>70</v>
      </c>
      <c r="I863" s="4" t="s">
        <v>71</v>
      </c>
      <c r="J863" s="4" t="s">
        <v>1238</v>
      </c>
      <c r="K863" s="4"/>
      <c r="L863" s="3">
        <v>39.952500000000001</v>
      </c>
      <c r="M863" s="3">
        <v>30.56</v>
      </c>
      <c r="N863" s="3">
        <v>965.92</v>
      </c>
      <c r="O863" s="4" t="s">
        <v>34</v>
      </c>
      <c r="P863" s="4" t="s">
        <v>439</v>
      </c>
      <c r="Q863" s="4" t="s">
        <v>35</v>
      </c>
      <c r="R863" s="3">
        <v>1765.4</v>
      </c>
      <c r="S863" s="3">
        <v>5.6325799999999999</v>
      </c>
      <c r="T863" s="4" t="s">
        <v>97</v>
      </c>
      <c r="U863" s="2" t="s">
        <v>37</v>
      </c>
      <c r="V863" s="2" t="s">
        <v>37</v>
      </c>
      <c r="W863" s="2" t="s">
        <v>38</v>
      </c>
      <c r="X863" s="2" t="s">
        <v>37</v>
      </c>
      <c r="Y863" s="2" t="s">
        <v>37</v>
      </c>
      <c r="Z863" s="2" t="s">
        <v>37</v>
      </c>
      <c r="AA863" s="6">
        <v>3.0609696610000001</v>
      </c>
      <c r="AB863" s="6">
        <v>3.246843122</v>
      </c>
      <c r="AC863" s="6">
        <v>2.9849411589999999</v>
      </c>
      <c r="AD863" cm="1">
        <f t="array" ref="AD863">IF(SUMPRODUCT(--($AM$2:$AM$112=TRIM(LEFT($B863,IFERROR(FIND(" ",$B863)-1,LEN($B863))))))&gt;0,1,0)</f>
        <v>0</v>
      </c>
      <c r="AE863" cm="1">
        <f t="array" ref="AE863">IF(SUMPRODUCT(--($AO$2:$AO$145=TRIM(LEFT($B863,IFERROR(FIND(" ",$B863)-1,LEN($B863))))))&gt;0,1,0)</f>
        <v>0</v>
      </c>
      <c r="AF863" cm="1">
        <f t="array" ref="AF863">IF(SUMPRODUCT(--($AQ$2:$AQ$71=TRIM(LEFT($B863,IFERROR(FIND(" ",$B863)-1,LEN($B863))))))&gt;0,1,0)</f>
        <v>0</v>
      </c>
    </row>
    <row r="864" spans="1:32" ht="45.75" thickBot="1" x14ac:dyDescent="0.3">
      <c r="A864" s="13">
        <v>182</v>
      </c>
      <c r="B864" s="4" t="s">
        <v>1695</v>
      </c>
      <c r="C864" s="4" t="s">
        <v>188</v>
      </c>
      <c r="D864" s="7">
        <v>43401</v>
      </c>
      <c r="E864" s="3">
        <v>31802.52</v>
      </c>
      <c r="F864" s="4" t="s">
        <v>30</v>
      </c>
      <c r="G864" s="3">
        <v>52.76</v>
      </c>
      <c r="H864" s="4" t="s">
        <v>31</v>
      </c>
      <c r="I864" s="4" t="s">
        <v>32</v>
      </c>
      <c r="J864" s="4" t="s">
        <v>33</v>
      </c>
      <c r="K864" s="4"/>
      <c r="L864" s="3">
        <v>975</v>
      </c>
      <c r="M864" s="3">
        <v>54.02</v>
      </c>
      <c r="N864" s="3">
        <v>33443.85</v>
      </c>
      <c r="O864" s="4" t="s">
        <v>34</v>
      </c>
      <c r="P864" s="4" t="s">
        <v>34</v>
      </c>
      <c r="Q864" s="4" t="s">
        <v>35</v>
      </c>
      <c r="R864" s="3">
        <v>3362.07</v>
      </c>
      <c r="S864" s="3">
        <v>15.2813</v>
      </c>
      <c r="T864" s="4" t="s">
        <v>43</v>
      </c>
      <c r="U864" s="2" t="s">
        <v>37</v>
      </c>
      <c r="V864" s="2" t="s">
        <v>37</v>
      </c>
      <c r="W864" s="2" t="s">
        <v>37</v>
      </c>
      <c r="X864" s="2" t="s">
        <v>37</v>
      </c>
      <c r="Y864" s="2" t="s">
        <v>37</v>
      </c>
      <c r="Z864" s="2" t="s">
        <v>37</v>
      </c>
      <c r="AA864" s="6">
        <v>4.502461534</v>
      </c>
      <c r="AB864" s="6">
        <v>3.5266067510000001</v>
      </c>
      <c r="AC864" s="6">
        <v>4.5243162669999997</v>
      </c>
      <c r="AD864" cm="1">
        <f t="array" ref="AD864">IF(SUMPRODUCT(--($AM$2:$AM$112=TRIM(LEFT($B864,IFERROR(FIND(" ",$B864)-1,LEN($B864))))))&gt;0,1,0)</f>
        <v>0</v>
      </c>
      <c r="AE864" cm="1">
        <f t="array" ref="AE864">IF(SUMPRODUCT(--($AO$2:$AO$145=TRIM(LEFT($B864,IFERROR(FIND(" ",$B864)-1,LEN($B864))))))&gt;0,1,0)</f>
        <v>1</v>
      </c>
      <c r="AF864" cm="1">
        <f t="array" ref="AF864">IF(SUMPRODUCT(--($AQ$2:$AQ$71=TRIM(LEFT($B864,IFERROR(FIND(" ",$B864)-1,LEN($B864))))))&gt;0,1,0)</f>
        <v>0</v>
      </c>
    </row>
    <row r="865" spans="1:32" ht="45.75" thickBot="1" x14ac:dyDescent="0.3">
      <c r="A865" s="13">
        <v>76</v>
      </c>
      <c r="B865" s="4" t="s">
        <v>1696</v>
      </c>
      <c r="C865" s="4" t="s">
        <v>1697</v>
      </c>
      <c r="D865" s="7">
        <v>43543</v>
      </c>
      <c r="E865" s="3">
        <v>1979.68</v>
      </c>
      <c r="F865" s="4" t="s">
        <v>107</v>
      </c>
      <c r="G865" s="3">
        <v>16.68</v>
      </c>
      <c r="H865" s="4" t="s">
        <v>65</v>
      </c>
      <c r="I865" s="4" t="s">
        <v>138</v>
      </c>
      <c r="J865" s="4" t="s">
        <v>139</v>
      </c>
      <c r="K865" s="3">
        <v>75</v>
      </c>
      <c r="L865" s="3">
        <v>54</v>
      </c>
      <c r="M865" s="3">
        <v>9.66</v>
      </c>
      <c r="N865" s="3">
        <v>1932.9</v>
      </c>
      <c r="O865" s="4" t="s">
        <v>34</v>
      </c>
      <c r="P865" s="4" t="s">
        <v>34</v>
      </c>
      <c r="Q865" s="4" t="s">
        <v>35</v>
      </c>
      <c r="R865" s="3">
        <v>662.04200000000003</v>
      </c>
      <c r="S865" s="3">
        <v>16.0792</v>
      </c>
      <c r="T865" s="4" t="s">
        <v>43</v>
      </c>
      <c r="U865" s="2" t="s">
        <v>37</v>
      </c>
      <c r="V865" s="2" t="s">
        <v>37</v>
      </c>
      <c r="W865" s="2" t="s">
        <v>37</v>
      </c>
      <c r="X865" s="2" t="s">
        <v>37</v>
      </c>
      <c r="Y865" s="2" t="s">
        <v>37</v>
      </c>
      <c r="Z865" s="2" t="s">
        <v>37</v>
      </c>
      <c r="AA865" s="6">
        <v>3.2965949960000001</v>
      </c>
      <c r="AB865" s="6">
        <v>2.8208855420000001</v>
      </c>
      <c r="AC865" s="6">
        <v>3.2862093859999999</v>
      </c>
      <c r="AD865" cm="1">
        <f t="array" ref="AD865">IF(SUMPRODUCT(--($AM$2:$AM$112=TRIM(LEFT($B865,IFERROR(FIND(" ",$B865)-1,LEN($B865))))))&gt;0,1,0)</f>
        <v>0</v>
      </c>
      <c r="AE865" cm="1">
        <f t="array" ref="AE865">IF(SUMPRODUCT(--($AO$2:$AO$145=TRIM(LEFT($B865,IFERROR(FIND(" ",$B865)-1,LEN($B865))))))&gt;0,1,0)</f>
        <v>0</v>
      </c>
      <c r="AF865" cm="1">
        <f t="array" ref="AF865">IF(SUMPRODUCT(--($AQ$2:$AQ$71=TRIM(LEFT($B865,IFERROR(FIND(" ",$B865)-1,LEN($B865))))))&gt;0,1,0)</f>
        <v>0</v>
      </c>
    </row>
    <row r="866" spans="1:32" ht="45.75" thickBot="1" x14ac:dyDescent="0.3">
      <c r="A866" s="13">
        <v>186</v>
      </c>
      <c r="B866" s="4" t="s">
        <v>1698</v>
      </c>
      <c r="C866" s="4" t="s">
        <v>880</v>
      </c>
      <c r="D866" s="7">
        <v>43387</v>
      </c>
      <c r="E866" s="3">
        <v>19551.88</v>
      </c>
      <c r="F866" s="4" t="s">
        <v>46</v>
      </c>
      <c r="G866" s="3">
        <v>14.57</v>
      </c>
      <c r="H866" s="4" t="s">
        <v>70</v>
      </c>
      <c r="I866" s="4" t="s">
        <v>71</v>
      </c>
      <c r="J866" s="4" t="s">
        <v>304</v>
      </c>
      <c r="K866" s="3">
        <v>700</v>
      </c>
      <c r="L866" s="3">
        <v>590</v>
      </c>
      <c r="M866" s="3">
        <v>2.11</v>
      </c>
      <c r="N866" s="3">
        <v>17017.88</v>
      </c>
      <c r="O866" s="4" t="s">
        <v>34</v>
      </c>
      <c r="P866" s="4" t="s">
        <v>34</v>
      </c>
      <c r="Q866" s="4" t="s">
        <v>35</v>
      </c>
      <c r="R866" s="3">
        <v>10244</v>
      </c>
      <c r="S866" s="3">
        <v>10.9903</v>
      </c>
      <c r="T866" s="4" t="s">
        <v>43</v>
      </c>
      <c r="U866" s="2" t="s">
        <v>37</v>
      </c>
      <c r="V866" s="2" t="s">
        <v>37</v>
      </c>
      <c r="W866" s="2" t="s">
        <v>37</v>
      </c>
      <c r="X866" s="2" t="s">
        <v>37</v>
      </c>
      <c r="Y866" s="2" t="s">
        <v>37</v>
      </c>
      <c r="Z866" s="2" t="s">
        <v>37</v>
      </c>
      <c r="AA866" s="6">
        <v>4.2911885229999998</v>
      </c>
      <c r="AB866" s="6">
        <v>4.0104695699999997</v>
      </c>
      <c r="AC866" s="6">
        <v>4.2309054570000004</v>
      </c>
      <c r="AD866" cm="1">
        <f t="array" ref="AD866">IF(SUMPRODUCT(--($AM$2:$AM$112=TRIM(LEFT($B866,IFERROR(FIND(" ",$B866)-1,LEN($B866))))))&gt;0,1,0)</f>
        <v>0</v>
      </c>
      <c r="AE866" cm="1">
        <f t="array" ref="AE866">IF(SUMPRODUCT(--($AO$2:$AO$145=TRIM(LEFT($B866,IFERROR(FIND(" ",$B866)-1,LEN($B866))))))&gt;0,1,0)</f>
        <v>0</v>
      </c>
      <c r="AF866" cm="1">
        <f t="array" ref="AF866">IF(SUMPRODUCT(--($AQ$2:$AQ$71=TRIM(LEFT($B866,IFERROR(FIND(" ",$B866)-1,LEN($B866))))))&gt;0,1,0)</f>
        <v>0</v>
      </c>
    </row>
    <row r="867" spans="1:32" ht="135.75" thickBot="1" x14ac:dyDescent="0.3">
      <c r="A867" s="13">
        <v>91</v>
      </c>
      <c r="B867" s="4" t="s">
        <v>1699</v>
      </c>
      <c r="C867" s="4" t="s">
        <v>536</v>
      </c>
      <c r="D867" s="7">
        <v>43521</v>
      </c>
      <c r="E867" s="3">
        <v>2517.54</v>
      </c>
      <c r="F867" s="4" t="s">
        <v>30</v>
      </c>
      <c r="G867" s="3">
        <v>9.1999999999999993</v>
      </c>
      <c r="H867" s="4" t="s">
        <v>47</v>
      </c>
      <c r="I867" s="4" t="s">
        <v>47</v>
      </c>
      <c r="J867" s="4" t="s">
        <v>159</v>
      </c>
      <c r="K867" s="3">
        <v>103.3</v>
      </c>
      <c r="L867" s="3">
        <v>36.200000000000003</v>
      </c>
      <c r="M867" s="4"/>
      <c r="N867" s="3">
        <v>1025.8699999999999</v>
      </c>
      <c r="O867" s="4" t="s">
        <v>34</v>
      </c>
      <c r="P867" s="4" t="s">
        <v>34</v>
      </c>
      <c r="Q867" s="4" t="s">
        <v>35</v>
      </c>
      <c r="R867" s="3">
        <v>1725.55</v>
      </c>
      <c r="S867" s="3">
        <v>3.5550299999999999</v>
      </c>
      <c r="T867" s="4" t="s">
        <v>312</v>
      </c>
      <c r="U867" s="2" t="s">
        <v>37</v>
      </c>
      <c r="V867" s="2" t="s">
        <v>37</v>
      </c>
      <c r="W867" s="2" t="s">
        <v>37</v>
      </c>
      <c r="X867" s="2" t="s">
        <v>38</v>
      </c>
      <c r="Y867" s="2" t="s">
        <v>38</v>
      </c>
      <c r="Z867" s="2" t="s">
        <v>37</v>
      </c>
      <c r="AA867" s="6">
        <v>3.4009763799999999</v>
      </c>
      <c r="AB867" s="6">
        <v>3.2369275480000002</v>
      </c>
      <c r="AC867" s="6">
        <v>3.0110923299999999</v>
      </c>
      <c r="AD867" cm="1">
        <f t="array" ref="AD867">IF(SUMPRODUCT(--($AM$2:$AM$112=TRIM(LEFT($B867,IFERROR(FIND(" ",$B867)-1,LEN($B867))))))&gt;0,1,0)</f>
        <v>0</v>
      </c>
      <c r="AE867" cm="1">
        <f t="array" ref="AE867">IF(SUMPRODUCT(--($AO$2:$AO$145=TRIM(LEFT($B867,IFERROR(FIND(" ",$B867)-1,LEN($B867))))))&gt;0,1,0)</f>
        <v>1</v>
      </c>
      <c r="AF867" cm="1">
        <f t="array" ref="AF867">IF(SUMPRODUCT(--($AQ$2:$AQ$71=TRIM(LEFT($B867,IFERROR(FIND(" ",$B867)-1,LEN($B867))))))&gt;0,1,0)</f>
        <v>0</v>
      </c>
    </row>
    <row r="868" spans="1:32" ht="165.75" thickBot="1" x14ac:dyDescent="0.3">
      <c r="A868" s="13">
        <v>48</v>
      </c>
      <c r="B868" s="4" t="s">
        <v>1700</v>
      </c>
      <c r="C868" s="4" t="s">
        <v>384</v>
      </c>
      <c r="D868" s="7">
        <v>43571</v>
      </c>
      <c r="E868" s="3">
        <v>1983.11</v>
      </c>
      <c r="F868" s="4" t="s">
        <v>30</v>
      </c>
      <c r="G868" s="3">
        <v>26.37</v>
      </c>
      <c r="H868" s="4" t="s">
        <v>127</v>
      </c>
      <c r="I868" s="4" t="s">
        <v>365</v>
      </c>
      <c r="J868" s="4" t="s">
        <v>366</v>
      </c>
      <c r="K868" s="4"/>
      <c r="L868" s="4"/>
      <c r="M868" s="3">
        <v>25.47</v>
      </c>
      <c r="N868" s="3">
        <v>497.4</v>
      </c>
      <c r="O868" s="4" t="s">
        <v>34</v>
      </c>
      <c r="P868" s="4" t="s">
        <v>34</v>
      </c>
      <c r="Q868" s="4" t="s">
        <v>35</v>
      </c>
      <c r="R868" s="3">
        <v>4741.7700000000004</v>
      </c>
      <c r="S868" s="3">
        <v>-1.17807</v>
      </c>
      <c r="T868" s="4" t="s">
        <v>1310</v>
      </c>
      <c r="U868" s="2" t="s">
        <v>37</v>
      </c>
      <c r="V868" s="2" t="s">
        <v>37</v>
      </c>
      <c r="W868" s="2" t="s">
        <v>37</v>
      </c>
      <c r="X868" s="2" t="s">
        <v>38</v>
      </c>
      <c r="Y868" s="2" t="s">
        <v>38</v>
      </c>
      <c r="Z868" s="2" t="s">
        <v>38</v>
      </c>
      <c r="AA868" s="6">
        <v>3.2973468050000001</v>
      </c>
      <c r="AB868" s="6">
        <v>3.6759404849999999</v>
      </c>
      <c r="AC868" s="6">
        <v>2.6967057809999999</v>
      </c>
      <c r="AD868" cm="1">
        <f t="array" ref="AD868">IF(SUMPRODUCT(--($AM$2:$AM$112=TRIM(LEFT($B868,IFERROR(FIND(" ",$B868)-1,LEN($B868))))))&gt;0,1,0)</f>
        <v>0</v>
      </c>
      <c r="AE868" cm="1">
        <f t="array" ref="AE868">IF(SUMPRODUCT(--($AO$2:$AO$145=TRIM(LEFT($B868,IFERROR(FIND(" ",$B868)-1,LEN($B868))))))&gt;0,1,0)</f>
        <v>0</v>
      </c>
      <c r="AF868" cm="1">
        <f t="array" ref="AF868">IF(SUMPRODUCT(--($AQ$2:$AQ$71=TRIM(LEFT($B868,IFERROR(FIND(" ",$B868)-1,LEN($B868))))))&gt;0,1,0)</f>
        <v>0</v>
      </c>
    </row>
    <row r="869" spans="1:32" ht="75.75" thickBot="1" x14ac:dyDescent="0.3">
      <c r="A869" s="13">
        <v>62</v>
      </c>
      <c r="B869" s="4" t="s">
        <v>1701</v>
      </c>
      <c r="C869" s="4" t="s">
        <v>1702</v>
      </c>
      <c r="D869" s="7">
        <v>43551</v>
      </c>
      <c r="E869" s="3">
        <v>937.4</v>
      </c>
      <c r="F869" s="4" t="s">
        <v>30</v>
      </c>
      <c r="G869" s="3">
        <v>122.2</v>
      </c>
      <c r="H869" s="4" t="s">
        <v>31</v>
      </c>
      <c r="I869" s="4" t="s">
        <v>432</v>
      </c>
      <c r="J869" s="4" t="s">
        <v>433</v>
      </c>
      <c r="K869" s="4"/>
      <c r="L869" s="3">
        <v>32.164999999999999</v>
      </c>
      <c r="M869" s="3">
        <v>24.58</v>
      </c>
      <c r="N869" s="3">
        <v>937.4</v>
      </c>
      <c r="O869" s="4" t="s">
        <v>34</v>
      </c>
      <c r="P869" s="4" t="s">
        <v>34</v>
      </c>
      <c r="Q869" s="4" t="s">
        <v>35</v>
      </c>
      <c r="R869" s="3">
        <v>220.46</v>
      </c>
      <c r="S869" s="3">
        <v>1.3543799999999999</v>
      </c>
      <c r="T869" s="4" t="s">
        <v>43</v>
      </c>
      <c r="U869" s="2" t="s">
        <v>37</v>
      </c>
      <c r="V869" s="2" t="s">
        <v>37</v>
      </c>
      <c r="W869" s="2" t="s">
        <v>37</v>
      </c>
      <c r="X869" s="2" t="s">
        <v>37</v>
      </c>
      <c r="Y869" s="2" t="s">
        <v>37</v>
      </c>
      <c r="Z869" s="2" t="s">
        <v>37</v>
      </c>
      <c r="AA869" s="6">
        <v>2.9719249489999999</v>
      </c>
      <c r="AB869" s="6">
        <v>2.343329803</v>
      </c>
      <c r="AC869" s="6">
        <v>2.9719249489999999</v>
      </c>
      <c r="AD869" cm="1">
        <f t="array" ref="AD869">IF(SUMPRODUCT(--($AM$2:$AM$112=TRIM(LEFT($B869,IFERROR(FIND(" ",$B869)-1,LEN($B869))))))&gt;0,1,0)</f>
        <v>1</v>
      </c>
      <c r="AE869" cm="1">
        <f t="array" ref="AE869">IF(SUMPRODUCT(--($AO$2:$AO$145=TRIM(LEFT($B869,IFERROR(FIND(" ",$B869)-1,LEN($B869))))))&gt;0,1,0)</f>
        <v>0</v>
      </c>
      <c r="AF869" cm="1">
        <f t="array" ref="AF869">IF(SUMPRODUCT(--($AQ$2:$AQ$71=TRIM(LEFT($B869,IFERROR(FIND(" ",$B869)-1,LEN($B869))))))&gt;0,1,0)</f>
        <v>0</v>
      </c>
    </row>
    <row r="870" spans="1:32" ht="45.75" thickBot="1" x14ac:dyDescent="0.3">
      <c r="A870" s="13">
        <v>61</v>
      </c>
      <c r="B870" s="4" t="s">
        <v>1703</v>
      </c>
      <c r="C870" s="4" t="s">
        <v>1704</v>
      </c>
      <c r="D870" s="7">
        <v>43549</v>
      </c>
      <c r="E870" s="3">
        <v>2246.84</v>
      </c>
      <c r="F870" s="4" t="s">
        <v>46</v>
      </c>
      <c r="G870" s="3">
        <v>35.01</v>
      </c>
      <c r="H870" s="4" t="s">
        <v>51</v>
      </c>
      <c r="I870" s="4" t="s">
        <v>51</v>
      </c>
      <c r="J870" s="4" t="s">
        <v>79</v>
      </c>
      <c r="K870" s="4"/>
      <c r="L870" s="3">
        <v>45.45</v>
      </c>
      <c r="M870" s="3">
        <v>17.690000000000001</v>
      </c>
      <c r="N870" s="3">
        <v>1562.83</v>
      </c>
      <c r="O870" s="4" t="s">
        <v>34</v>
      </c>
      <c r="P870" s="4" t="s">
        <v>34</v>
      </c>
      <c r="Q870" s="4" t="s">
        <v>35</v>
      </c>
      <c r="R870" s="2"/>
      <c r="S870" s="2"/>
      <c r="T870" s="4" t="s">
        <v>43</v>
      </c>
      <c r="U870" s="2" t="s">
        <v>37</v>
      </c>
      <c r="V870" s="2" t="s">
        <v>37</v>
      </c>
      <c r="W870" s="2" t="s">
        <v>37</v>
      </c>
      <c r="X870" s="2" t="s">
        <v>37</v>
      </c>
      <c r="Y870" s="2" t="s">
        <v>37</v>
      </c>
      <c r="Z870" s="2" t="s">
        <v>37</v>
      </c>
      <c r="AA870" s="6">
        <v>3.3515721470000002</v>
      </c>
      <c r="AB870" s="2"/>
      <c r="AC870" s="6">
        <v>3.1939117389999998</v>
      </c>
      <c r="AD870" cm="1">
        <f t="array" ref="AD870">IF(SUMPRODUCT(--($AM$2:$AM$112=TRIM(LEFT($B870,IFERROR(FIND(" ",$B870)-1,LEN($B870))))))&gt;0,1,0)</f>
        <v>0</v>
      </c>
      <c r="AE870" cm="1">
        <f t="array" ref="AE870">IF(SUMPRODUCT(--($AO$2:$AO$145=TRIM(LEFT($B870,IFERROR(FIND(" ",$B870)-1,LEN($B870))))))&gt;0,1,0)</f>
        <v>0</v>
      </c>
      <c r="AF870" cm="1">
        <f t="array" ref="AF870">IF(SUMPRODUCT(--($AQ$2:$AQ$71=TRIM(LEFT($B870,IFERROR(FIND(" ",$B870)-1,LEN($B870))))))&gt;0,1,0)</f>
        <v>0</v>
      </c>
    </row>
    <row r="871" spans="1:32" ht="45.75" thickBot="1" x14ac:dyDescent="0.3">
      <c r="A871" s="13">
        <v>54</v>
      </c>
      <c r="B871" s="4" t="s">
        <v>1705</v>
      </c>
      <c r="C871" s="4" t="s">
        <v>725</v>
      </c>
      <c r="D871" s="7">
        <v>43557</v>
      </c>
      <c r="E871" s="3">
        <v>1353.68</v>
      </c>
      <c r="F871" s="4" t="s">
        <v>46</v>
      </c>
      <c r="G871" s="4"/>
      <c r="H871" s="4" t="s">
        <v>1706</v>
      </c>
      <c r="I871" s="4" t="s">
        <v>1706</v>
      </c>
      <c r="J871" s="4" t="s">
        <v>1706</v>
      </c>
      <c r="K871" s="4"/>
      <c r="L871" s="4"/>
      <c r="M871" s="4"/>
      <c r="N871" s="3">
        <v>437.68</v>
      </c>
      <c r="O871" s="4" t="s">
        <v>49</v>
      </c>
      <c r="P871" s="4" t="s">
        <v>49</v>
      </c>
      <c r="Q871" s="4" t="s">
        <v>35</v>
      </c>
      <c r="R871" s="2"/>
      <c r="S871" s="2"/>
      <c r="T871" s="4" t="s">
        <v>43</v>
      </c>
      <c r="U871" s="2" t="s">
        <v>37</v>
      </c>
      <c r="V871" s="2" t="s">
        <v>37</v>
      </c>
      <c r="W871" s="2" t="s">
        <v>37</v>
      </c>
      <c r="X871" s="2" t="s">
        <v>37</v>
      </c>
      <c r="Y871" s="2" t="s">
        <v>37</v>
      </c>
      <c r="Z871" s="2" t="s">
        <v>37</v>
      </c>
      <c r="AA871" s="6">
        <v>3.1315160120000001</v>
      </c>
      <c r="AB871" s="2"/>
      <c r="AC871" s="6">
        <v>2.641156702</v>
      </c>
      <c r="AD871" cm="1">
        <f t="array" ref="AD871">IF(SUMPRODUCT(--($AM$2:$AM$112=TRIM(LEFT($B871,IFERROR(FIND(" ",$B871)-1,LEN($B871))))))&gt;0,1,0)</f>
        <v>0</v>
      </c>
      <c r="AE871" cm="1">
        <f t="array" ref="AE871">IF(SUMPRODUCT(--($AO$2:$AO$145=TRIM(LEFT($B871,IFERROR(FIND(" ",$B871)-1,LEN($B871))))))&gt;0,1,0)</f>
        <v>0</v>
      </c>
      <c r="AF871" cm="1">
        <f t="array" ref="AF871">IF(SUMPRODUCT(--($AQ$2:$AQ$71=TRIM(LEFT($B871,IFERROR(FIND(" ",$B871)-1,LEN($B871))))))&gt;0,1,0)</f>
        <v>0</v>
      </c>
    </row>
    <row r="872" spans="1:32" ht="75.75" thickBot="1" x14ac:dyDescent="0.3">
      <c r="A872" s="13">
        <v>39</v>
      </c>
      <c r="B872" s="4" t="s">
        <v>1707</v>
      </c>
      <c r="C872" s="4" t="s">
        <v>1708</v>
      </c>
      <c r="D872" s="7">
        <v>43577</v>
      </c>
      <c r="E872" s="3">
        <v>817.97</v>
      </c>
      <c r="F872" s="4" t="s">
        <v>30</v>
      </c>
      <c r="G872" s="3">
        <v>25.43</v>
      </c>
      <c r="H872" s="4" t="s">
        <v>31</v>
      </c>
      <c r="I872" s="4" t="s">
        <v>32</v>
      </c>
      <c r="J872" s="4" t="s">
        <v>33</v>
      </c>
      <c r="K872" s="4"/>
      <c r="L872" s="3">
        <v>21</v>
      </c>
      <c r="M872" s="3">
        <v>36.72</v>
      </c>
      <c r="N872" s="3">
        <v>563.14</v>
      </c>
      <c r="O872" s="4" t="s">
        <v>34</v>
      </c>
      <c r="P872" s="4" t="s">
        <v>34</v>
      </c>
      <c r="Q872" s="4" t="s">
        <v>35</v>
      </c>
      <c r="R872" s="3">
        <v>506.84</v>
      </c>
      <c r="S872" s="3">
        <v>1.7089700000000001</v>
      </c>
      <c r="T872" s="4" t="s">
        <v>88</v>
      </c>
      <c r="U872" s="2" t="s">
        <v>37</v>
      </c>
      <c r="V872" s="2" t="s">
        <v>37</v>
      </c>
      <c r="W872" s="2" t="s">
        <v>37</v>
      </c>
      <c r="X872" s="2" t="s">
        <v>37</v>
      </c>
      <c r="Y872" s="2" t="s">
        <v>37</v>
      </c>
      <c r="Z872" s="2" t="s">
        <v>38</v>
      </c>
      <c r="AA872" s="6">
        <v>2.9127373759999999</v>
      </c>
      <c r="AB872" s="6">
        <v>2.7048708819999998</v>
      </c>
      <c r="AC872" s="6">
        <v>2.7506163770000001</v>
      </c>
      <c r="AD872" cm="1">
        <f t="array" ref="AD872">IF(SUMPRODUCT(--($AM$2:$AM$112=TRIM(LEFT($B872,IFERROR(FIND(" ",$B872)-1,LEN($B872))))))&gt;0,1,0)</f>
        <v>0</v>
      </c>
      <c r="AE872" cm="1">
        <f t="array" ref="AE872">IF(SUMPRODUCT(--($AO$2:$AO$145=TRIM(LEFT($B872,IFERROR(FIND(" ",$B872)-1,LEN($B872))))))&gt;0,1,0)</f>
        <v>0</v>
      </c>
      <c r="AF872" cm="1">
        <f t="array" ref="AF872">IF(SUMPRODUCT(--($AQ$2:$AQ$71=TRIM(LEFT($B872,IFERROR(FIND(" ",$B872)-1,LEN($B872))))))&gt;0,1,0)</f>
        <v>0</v>
      </c>
    </row>
    <row r="873" spans="1:32" ht="75.75" thickBot="1" x14ac:dyDescent="0.3">
      <c r="A873" s="13">
        <v>222</v>
      </c>
      <c r="B873" s="4" t="s">
        <v>1709</v>
      </c>
      <c r="C873" s="4" t="s">
        <v>473</v>
      </c>
      <c r="D873" s="7">
        <v>43318</v>
      </c>
      <c r="E873" s="3">
        <v>6230.55</v>
      </c>
      <c r="F873" s="4" t="s">
        <v>46</v>
      </c>
      <c r="G873" s="3">
        <v>20.260000000000002</v>
      </c>
      <c r="H873" s="4" t="s">
        <v>47</v>
      </c>
      <c r="I873" s="4" t="s">
        <v>47</v>
      </c>
      <c r="J873" s="4" t="s">
        <v>159</v>
      </c>
      <c r="K873" s="3">
        <v>130</v>
      </c>
      <c r="L873" s="3">
        <v>130</v>
      </c>
      <c r="M873" s="3">
        <v>21.89</v>
      </c>
      <c r="N873" s="3">
        <v>4762.6499999999996</v>
      </c>
      <c r="O873" s="4" t="s">
        <v>34</v>
      </c>
      <c r="P873" s="4" t="s">
        <v>152</v>
      </c>
      <c r="Q873" s="4" t="s">
        <v>35</v>
      </c>
      <c r="R873" s="3">
        <v>4089.9</v>
      </c>
      <c r="S873" s="3">
        <v>9.2423500000000001</v>
      </c>
      <c r="T873" s="4" t="s">
        <v>97</v>
      </c>
      <c r="U873" s="2" t="s">
        <v>37</v>
      </c>
      <c r="V873" s="2" t="s">
        <v>37</v>
      </c>
      <c r="W873" s="2" t="s">
        <v>38</v>
      </c>
      <c r="X873" s="2" t="s">
        <v>37</v>
      </c>
      <c r="Y873" s="2" t="s">
        <v>37</v>
      </c>
      <c r="Z873" s="2" t="s">
        <v>37</v>
      </c>
      <c r="AA873" s="6">
        <v>3.7945263859999998</v>
      </c>
      <c r="AB873" s="6">
        <v>3.611712689</v>
      </c>
      <c r="AC873" s="6">
        <v>3.6778486670000001</v>
      </c>
      <c r="AD873" cm="1">
        <f t="array" ref="AD873">IF(SUMPRODUCT(--($AM$2:$AM$112=TRIM(LEFT($B873,IFERROR(FIND(" ",$B873)-1,LEN($B873))))))&gt;0,1,0)</f>
        <v>1</v>
      </c>
      <c r="AE873" cm="1">
        <f t="array" ref="AE873">IF(SUMPRODUCT(--($AO$2:$AO$145=TRIM(LEFT($B873,IFERROR(FIND(" ",$B873)-1,LEN($B873))))))&gt;0,1,0)</f>
        <v>1</v>
      </c>
      <c r="AF873" cm="1">
        <f t="array" ref="AF873">IF(SUMPRODUCT(--($AQ$2:$AQ$71=TRIM(LEFT($B873,IFERROR(FIND(" ",$B873)-1,LEN($B873))))))&gt;0,1,0)</f>
        <v>0</v>
      </c>
    </row>
    <row r="874" spans="1:32" ht="45.75" thickBot="1" x14ac:dyDescent="0.3">
      <c r="A874" s="13">
        <v>71</v>
      </c>
      <c r="B874" s="4" t="s">
        <v>1710</v>
      </c>
      <c r="C874" s="4" t="s">
        <v>90</v>
      </c>
      <c r="D874" s="7">
        <v>43528</v>
      </c>
      <c r="E874" s="3">
        <v>753.07</v>
      </c>
      <c r="F874" s="4" t="s">
        <v>30</v>
      </c>
      <c r="G874" s="4"/>
      <c r="H874" s="4" t="s">
        <v>41</v>
      </c>
      <c r="I874" s="4" t="s">
        <v>41</v>
      </c>
      <c r="J874" s="4" t="s">
        <v>42</v>
      </c>
      <c r="K874" s="4"/>
      <c r="L874" s="4"/>
      <c r="M874" s="3">
        <v>74.44</v>
      </c>
      <c r="N874" s="3">
        <v>853.84</v>
      </c>
      <c r="O874" s="4" t="s">
        <v>34</v>
      </c>
      <c r="P874" s="4" t="s">
        <v>34</v>
      </c>
      <c r="Q874" s="4" t="s">
        <v>35</v>
      </c>
      <c r="R874" s="2"/>
      <c r="S874" s="2"/>
      <c r="T874" s="4" t="s">
        <v>43</v>
      </c>
      <c r="U874" s="2" t="s">
        <v>37</v>
      </c>
      <c r="V874" s="2" t="s">
        <v>37</v>
      </c>
      <c r="W874" s="2" t="s">
        <v>37</v>
      </c>
      <c r="X874" s="2" t="s">
        <v>37</v>
      </c>
      <c r="Y874" s="2" t="s">
        <v>37</v>
      </c>
      <c r="Z874" s="2" t="s">
        <v>37</v>
      </c>
      <c r="AA874" s="6">
        <v>2.8768353470000001</v>
      </c>
      <c r="AB874" s="2"/>
      <c r="AC874" s="6">
        <v>2.9313764959999999</v>
      </c>
      <c r="AD874" cm="1">
        <f t="array" ref="AD874">IF(SUMPRODUCT(--($AM$2:$AM$112=TRIM(LEFT($B874,IFERROR(FIND(" ",$B874)-1,LEN($B874))))))&gt;0,1,0)</f>
        <v>0</v>
      </c>
      <c r="AE874" cm="1">
        <f t="array" ref="AE874">IF(SUMPRODUCT(--($AO$2:$AO$145=TRIM(LEFT($B874,IFERROR(FIND(" ",$B874)-1,LEN($B874))))))&gt;0,1,0)</f>
        <v>0</v>
      </c>
      <c r="AF874" cm="1">
        <f t="array" ref="AF874">IF(SUMPRODUCT(--($AQ$2:$AQ$71=TRIM(LEFT($B874,IFERROR(FIND(" ",$B874)-1,LEN($B874))))))&gt;0,1,0)</f>
        <v>0</v>
      </c>
    </row>
    <row r="875" spans="1:32" ht="135.75" thickBot="1" x14ac:dyDescent="0.3">
      <c r="A875" s="13">
        <v>124</v>
      </c>
      <c r="B875" s="4" t="s">
        <v>1711</v>
      </c>
      <c r="C875" s="2"/>
      <c r="D875" s="7">
        <v>43444</v>
      </c>
      <c r="E875" s="3">
        <v>4055.53</v>
      </c>
      <c r="F875" s="4" t="s">
        <v>30</v>
      </c>
      <c r="G875" s="3">
        <v>8.16</v>
      </c>
      <c r="H875" s="4" t="s">
        <v>75</v>
      </c>
      <c r="I875" s="4" t="s">
        <v>111</v>
      </c>
      <c r="J875" s="4" t="s">
        <v>133</v>
      </c>
      <c r="K875" s="3">
        <v>124.6</v>
      </c>
      <c r="L875" s="3">
        <v>31.1</v>
      </c>
      <c r="M875" s="3">
        <v>6.52</v>
      </c>
      <c r="N875" s="3">
        <v>1991.31</v>
      </c>
      <c r="O875" s="4" t="s">
        <v>34</v>
      </c>
      <c r="P875" s="4" t="s">
        <v>34</v>
      </c>
      <c r="Q875" s="4" t="s">
        <v>35</v>
      </c>
      <c r="R875" s="3">
        <v>2551.06</v>
      </c>
      <c r="S875" s="3">
        <v>8.9540699999999998</v>
      </c>
      <c r="T875" s="4" t="s">
        <v>1254</v>
      </c>
      <c r="U875" s="2" t="s">
        <v>37</v>
      </c>
      <c r="V875" s="2" t="s">
        <v>37</v>
      </c>
      <c r="W875" s="2" t="s">
        <v>37</v>
      </c>
      <c r="X875" s="2" t="s">
        <v>38</v>
      </c>
      <c r="Y875" s="2" t="s">
        <v>38</v>
      </c>
      <c r="Z875" s="2" t="s">
        <v>37</v>
      </c>
      <c r="AA875" s="6">
        <v>3.6080476180000001</v>
      </c>
      <c r="AB875" s="6">
        <v>3.4067206730000001</v>
      </c>
      <c r="AC875" s="6">
        <v>3.2991388750000001</v>
      </c>
      <c r="AD875" cm="1">
        <f t="array" ref="AD875">IF(SUMPRODUCT(--($AM$2:$AM$112=TRIM(LEFT($B875,IFERROR(FIND(" ",$B875)-1,LEN($B875))))))&gt;0,1,0)</f>
        <v>0</v>
      </c>
      <c r="AE875" cm="1">
        <f t="array" ref="AE875">IF(SUMPRODUCT(--($AO$2:$AO$145=TRIM(LEFT($B875,IFERROR(FIND(" ",$B875)-1,LEN($B875))))))&gt;0,1,0)</f>
        <v>0</v>
      </c>
      <c r="AF875" cm="1">
        <f t="array" ref="AF875">IF(SUMPRODUCT(--($AQ$2:$AQ$71=TRIM(LEFT($B875,IFERROR(FIND(" ",$B875)-1,LEN($B875))))))&gt;0,1,0)</f>
        <v>0</v>
      </c>
    </row>
    <row r="876" spans="1:32" ht="45.75" thickBot="1" x14ac:dyDescent="0.3">
      <c r="A876" s="13">
        <v>198</v>
      </c>
      <c r="B876" s="4" t="s">
        <v>1712</v>
      </c>
      <c r="C876" s="4" t="s">
        <v>1713</v>
      </c>
      <c r="D876" s="7">
        <v>43334</v>
      </c>
      <c r="E876" s="3">
        <v>2083.5700000000002</v>
      </c>
      <c r="F876" s="4" t="s">
        <v>30</v>
      </c>
      <c r="G876" s="4"/>
      <c r="H876" s="4" t="s">
        <v>65</v>
      </c>
      <c r="I876" s="4" t="s">
        <v>206</v>
      </c>
      <c r="J876" s="4" t="s">
        <v>206</v>
      </c>
      <c r="K876" s="4"/>
      <c r="L876" s="3">
        <v>68.25</v>
      </c>
      <c r="M876" s="3">
        <v>14.06</v>
      </c>
      <c r="N876" s="3">
        <v>2083.5700000000002</v>
      </c>
      <c r="O876" s="4" t="s">
        <v>34</v>
      </c>
      <c r="P876" s="4" t="s">
        <v>34</v>
      </c>
      <c r="Q876" s="4" t="s">
        <v>35</v>
      </c>
      <c r="R876" s="3">
        <v>1443.16</v>
      </c>
      <c r="S876" s="3">
        <v>1.87965</v>
      </c>
      <c r="T876" s="4" t="s">
        <v>43</v>
      </c>
      <c r="U876" s="2" t="s">
        <v>37</v>
      </c>
      <c r="V876" s="2" t="s">
        <v>37</v>
      </c>
      <c r="W876" s="2" t="s">
        <v>37</v>
      </c>
      <c r="X876" s="2" t="s">
        <v>37</v>
      </c>
      <c r="Y876" s="2" t="s">
        <v>37</v>
      </c>
      <c r="Z876" s="2" t="s">
        <v>37</v>
      </c>
      <c r="AA876" s="6">
        <v>3.3188080960000002</v>
      </c>
      <c r="AB876" s="6">
        <v>3.1593144830000002</v>
      </c>
      <c r="AC876" s="6">
        <v>3.3188080960000002</v>
      </c>
      <c r="AD876" cm="1">
        <f t="array" ref="AD876">IF(SUMPRODUCT(--($AM$2:$AM$112=TRIM(LEFT($B876,IFERROR(FIND(" ",$B876)-1,LEN($B876))))))&gt;0,1,0)</f>
        <v>0</v>
      </c>
      <c r="AE876" cm="1">
        <f t="array" ref="AE876">IF(SUMPRODUCT(--($AO$2:$AO$145=TRIM(LEFT($B876,IFERROR(FIND(" ",$B876)-1,LEN($B876))))))&gt;0,1,0)</f>
        <v>0</v>
      </c>
      <c r="AF876" cm="1">
        <f t="array" ref="AF876">IF(SUMPRODUCT(--($AQ$2:$AQ$71=TRIM(LEFT($B876,IFERROR(FIND(" ",$B876)-1,LEN($B876))))))&gt;0,1,0)</f>
        <v>0</v>
      </c>
    </row>
    <row r="877" spans="1:32" ht="45.75" thickBot="1" x14ac:dyDescent="0.3">
      <c r="A877" s="13">
        <v>152</v>
      </c>
      <c r="B877" s="4" t="s">
        <v>1714</v>
      </c>
      <c r="C877" s="4" t="s">
        <v>1715</v>
      </c>
      <c r="D877" s="7">
        <v>43391</v>
      </c>
      <c r="E877" s="3">
        <v>1864.34</v>
      </c>
      <c r="F877" s="4" t="s">
        <v>30</v>
      </c>
      <c r="G877" s="3">
        <v>15.51</v>
      </c>
      <c r="H877" s="4" t="s">
        <v>279</v>
      </c>
      <c r="I877" s="4" t="s">
        <v>279</v>
      </c>
      <c r="J877" s="4" t="s">
        <v>280</v>
      </c>
      <c r="K877" s="4"/>
      <c r="L877" s="3">
        <v>45</v>
      </c>
      <c r="M877" s="3">
        <v>3.17</v>
      </c>
      <c r="N877" s="3">
        <v>923.21</v>
      </c>
      <c r="O877" s="4" t="s">
        <v>34</v>
      </c>
      <c r="P877" s="4" t="s">
        <v>34</v>
      </c>
      <c r="Q877" s="4" t="s">
        <v>35</v>
      </c>
      <c r="R877" s="3">
        <v>200.35400000000001</v>
      </c>
      <c r="S877" s="3">
        <v>60.445099999999996</v>
      </c>
      <c r="T877" s="4" t="s">
        <v>43</v>
      </c>
      <c r="U877" s="2" t="s">
        <v>37</v>
      </c>
      <c r="V877" s="2" t="s">
        <v>37</v>
      </c>
      <c r="W877" s="2" t="s">
        <v>37</v>
      </c>
      <c r="X877" s="2" t="s">
        <v>37</v>
      </c>
      <c r="Y877" s="2" t="s">
        <v>37</v>
      </c>
      <c r="Z877" s="2" t="s">
        <v>37</v>
      </c>
      <c r="AA877" s="6">
        <v>3.2705251180000001</v>
      </c>
      <c r="AB877" s="6">
        <v>2.3017980169999999</v>
      </c>
      <c r="AC877" s="6">
        <v>2.9653005000000001</v>
      </c>
      <c r="AD877" cm="1">
        <f t="array" ref="AD877">IF(SUMPRODUCT(--($AM$2:$AM$112=TRIM(LEFT($B877,IFERROR(FIND(" ",$B877)-1,LEN($B877))))))&gt;0,1,0)</f>
        <v>0</v>
      </c>
      <c r="AE877" cm="1">
        <f t="array" ref="AE877">IF(SUMPRODUCT(--($AO$2:$AO$145=TRIM(LEFT($B877,IFERROR(FIND(" ",$B877)-1,LEN($B877))))))&gt;0,1,0)</f>
        <v>0</v>
      </c>
      <c r="AF877" cm="1">
        <f t="array" ref="AF877">IF(SUMPRODUCT(--($AQ$2:$AQ$71=TRIM(LEFT($B877,IFERROR(FIND(" ",$B877)-1,LEN($B877))))))&gt;0,1,0)</f>
        <v>0</v>
      </c>
    </row>
    <row r="878" spans="1:32" ht="45.75" thickBot="1" x14ac:dyDescent="0.3">
      <c r="A878" s="13">
        <v>98</v>
      </c>
      <c r="B878" s="4" t="s">
        <v>1716</v>
      </c>
      <c r="C878" s="4" t="s">
        <v>1717</v>
      </c>
      <c r="D878" s="7">
        <v>43467</v>
      </c>
      <c r="E878" s="3">
        <v>590.48</v>
      </c>
      <c r="F878" s="4" t="s">
        <v>107</v>
      </c>
      <c r="G878" s="3">
        <v>14.23</v>
      </c>
      <c r="H878" s="4" t="s">
        <v>51</v>
      </c>
      <c r="I878" s="4" t="s">
        <v>51</v>
      </c>
      <c r="J878" s="4" t="s">
        <v>79</v>
      </c>
      <c r="K878" s="4"/>
      <c r="L878" s="3">
        <v>6.5339</v>
      </c>
      <c r="M878" s="3">
        <v>56.84</v>
      </c>
      <c r="N878" s="3">
        <v>325.83999999999997</v>
      </c>
      <c r="O878" s="4" t="s">
        <v>34</v>
      </c>
      <c r="P878" s="4" t="s">
        <v>34</v>
      </c>
      <c r="Q878" s="4" t="s">
        <v>35</v>
      </c>
      <c r="R878" s="3">
        <v>57.26</v>
      </c>
      <c r="S878" s="3">
        <v>35.430700000000002</v>
      </c>
      <c r="T878" s="4" t="s">
        <v>43</v>
      </c>
      <c r="U878" s="2" t="s">
        <v>37</v>
      </c>
      <c r="V878" s="2" t="s">
        <v>37</v>
      </c>
      <c r="W878" s="2" t="s">
        <v>37</v>
      </c>
      <c r="X878" s="2" t="s">
        <v>37</v>
      </c>
      <c r="Y878" s="2" t="s">
        <v>37</v>
      </c>
      <c r="Z878" s="2" t="s">
        <v>37</v>
      </c>
      <c r="AA878" s="6">
        <v>2.771205192</v>
      </c>
      <c r="AB878" s="6">
        <v>1.7578513440000001</v>
      </c>
      <c r="AC878" s="6">
        <v>2.513004397</v>
      </c>
      <c r="AD878" cm="1">
        <f t="array" ref="AD878">IF(SUMPRODUCT(--($AM$2:$AM$112=TRIM(LEFT($B878,IFERROR(FIND(" ",$B878)-1,LEN($B878))))))&gt;0,1,0)</f>
        <v>0</v>
      </c>
      <c r="AE878" cm="1">
        <f t="array" ref="AE878">IF(SUMPRODUCT(--($AO$2:$AO$145=TRIM(LEFT($B878,IFERROR(FIND(" ",$B878)-1,LEN($B878))))))&gt;0,1,0)</f>
        <v>0</v>
      </c>
      <c r="AF878" cm="1">
        <f t="array" ref="AF878">IF(SUMPRODUCT(--($AQ$2:$AQ$71=TRIM(LEFT($B878,IFERROR(FIND(" ",$B878)-1,LEN($B878))))))&gt;0,1,0)</f>
        <v>0</v>
      </c>
    </row>
    <row r="879" spans="1:32" ht="210.75" thickBot="1" x14ac:dyDescent="0.3">
      <c r="A879" s="13">
        <v>175</v>
      </c>
      <c r="B879" s="4" t="s">
        <v>1718</v>
      </c>
      <c r="C879" s="2"/>
      <c r="D879" s="7">
        <v>43356</v>
      </c>
      <c r="E879" s="3">
        <v>2602.3200000000002</v>
      </c>
      <c r="F879" s="4" t="s">
        <v>30</v>
      </c>
      <c r="G879" s="3">
        <v>9.1999999999999993</v>
      </c>
      <c r="H879" s="4" t="s">
        <v>47</v>
      </c>
      <c r="I879" s="4" t="s">
        <v>47</v>
      </c>
      <c r="J879" s="4" t="s">
        <v>875</v>
      </c>
      <c r="K879" s="4"/>
      <c r="L879" s="4"/>
      <c r="M879" s="4"/>
      <c r="N879" s="3">
        <v>1565.32</v>
      </c>
      <c r="O879" s="4" t="s">
        <v>34</v>
      </c>
      <c r="P879" s="4" t="s">
        <v>976</v>
      </c>
      <c r="Q879" s="4" t="s">
        <v>35</v>
      </c>
      <c r="R879" s="3">
        <v>2705</v>
      </c>
      <c r="S879" s="3">
        <v>7.6155299999999997</v>
      </c>
      <c r="T879" s="4" t="s">
        <v>1719</v>
      </c>
      <c r="U879" s="2" t="s">
        <v>37</v>
      </c>
      <c r="V879" s="2" t="s">
        <v>37</v>
      </c>
      <c r="W879" s="2" t="s">
        <v>38</v>
      </c>
      <c r="X879" s="2" t="s">
        <v>38</v>
      </c>
      <c r="Y879" s="2" t="s">
        <v>38</v>
      </c>
      <c r="Z879" s="2" t="s">
        <v>37</v>
      </c>
      <c r="AA879" s="6">
        <v>3.4153606989999998</v>
      </c>
      <c r="AB879" s="6">
        <v>3.4321672689999998</v>
      </c>
      <c r="AC879" s="6">
        <v>3.1946031339999998</v>
      </c>
      <c r="AD879" cm="1">
        <f t="array" ref="AD879">IF(SUMPRODUCT(--($AM$2:$AM$112=TRIM(LEFT($B879,IFERROR(FIND(" ",$B879)-1,LEN($B879))))))&gt;0,1,0)</f>
        <v>1</v>
      </c>
      <c r="AE879" cm="1">
        <f t="array" ref="AE879">IF(SUMPRODUCT(--($AO$2:$AO$145=TRIM(LEFT($B879,IFERROR(FIND(" ",$B879)-1,LEN($B879))))))&gt;0,1,0)</f>
        <v>0</v>
      </c>
      <c r="AF879" cm="1">
        <f t="array" ref="AF879">IF(SUMPRODUCT(--($AQ$2:$AQ$71=TRIM(LEFT($B879,IFERROR(FIND(" ",$B879)-1,LEN($B879))))))&gt;0,1,0)</f>
        <v>0</v>
      </c>
    </row>
    <row r="880" spans="1:32" ht="165.75" thickBot="1" x14ac:dyDescent="0.3">
      <c r="A880" s="13">
        <v>66</v>
      </c>
      <c r="B880" s="4" t="s">
        <v>1720</v>
      </c>
      <c r="C880" s="2"/>
      <c r="D880" s="7">
        <v>43500</v>
      </c>
      <c r="E880" s="3">
        <v>10365.790000000001</v>
      </c>
      <c r="F880" s="4" t="s">
        <v>30</v>
      </c>
      <c r="G880" s="3">
        <v>79.86</v>
      </c>
      <c r="H880" s="4" t="s">
        <v>31</v>
      </c>
      <c r="I880" s="4" t="s">
        <v>32</v>
      </c>
      <c r="J880" s="4" t="s">
        <v>33</v>
      </c>
      <c r="K880" s="3">
        <v>550</v>
      </c>
      <c r="L880" s="3">
        <v>110</v>
      </c>
      <c r="M880" s="4"/>
      <c r="N880" s="3">
        <v>10365.790000000001</v>
      </c>
      <c r="O880" s="4" t="s">
        <v>34</v>
      </c>
      <c r="P880" s="4" t="s">
        <v>534</v>
      </c>
      <c r="Q880" s="4" t="s">
        <v>35</v>
      </c>
      <c r="R880" s="3">
        <v>1140.54</v>
      </c>
      <c r="S880" s="3">
        <v>5.6906299999999996</v>
      </c>
      <c r="T880" s="4" t="s">
        <v>726</v>
      </c>
      <c r="U880" s="2" t="s">
        <v>37</v>
      </c>
      <c r="V880" s="2" t="s">
        <v>37</v>
      </c>
      <c r="W880" s="2" t="s">
        <v>38</v>
      </c>
      <c r="X880" s="2" t="s">
        <v>38</v>
      </c>
      <c r="Y880" s="2" t="s">
        <v>38</v>
      </c>
      <c r="Z880" s="2" t="s">
        <v>37</v>
      </c>
      <c r="AA880" s="6">
        <v>4.0156024060000002</v>
      </c>
      <c r="AB880" s="6">
        <v>3.0571105209999998</v>
      </c>
      <c r="AC880" s="6">
        <v>4.0156024060000002</v>
      </c>
      <c r="AD880" cm="1">
        <f t="array" ref="AD880">IF(SUMPRODUCT(--($AM$2:$AM$112=TRIM(LEFT($B880,IFERROR(FIND(" ",$B880)-1,LEN($B880))))))&gt;0,1,0)</f>
        <v>0</v>
      </c>
      <c r="AE880" cm="1">
        <f t="array" ref="AE880">IF(SUMPRODUCT(--($AO$2:$AO$145=TRIM(LEFT($B880,IFERROR(FIND(" ",$B880)-1,LEN($B880))))))&gt;0,1,0)</f>
        <v>0</v>
      </c>
      <c r="AF880" cm="1">
        <f t="array" ref="AF880">IF(SUMPRODUCT(--($AQ$2:$AQ$71=TRIM(LEFT($B880,IFERROR(FIND(" ",$B880)-1,LEN($B880))))))&gt;0,1,0)</f>
        <v>0</v>
      </c>
    </row>
    <row r="881" spans="1:32" ht="75.75" thickBot="1" x14ac:dyDescent="0.3">
      <c r="A881" s="13">
        <v>59</v>
      </c>
      <c r="B881" s="4" t="s">
        <v>1721</v>
      </c>
      <c r="C881" s="4" t="s">
        <v>1410</v>
      </c>
      <c r="D881" s="7">
        <v>43507</v>
      </c>
      <c r="E881" s="3">
        <v>761.06</v>
      </c>
      <c r="F881" s="4" t="s">
        <v>30</v>
      </c>
      <c r="G881" s="3">
        <v>64.2</v>
      </c>
      <c r="H881" s="4" t="s">
        <v>65</v>
      </c>
      <c r="I881" s="4" t="s">
        <v>138</v>
      </c>
      <c r="J881" s="4" t="s">
        <v>139</v>
      </c>
      <c r="K881" s="4"/>
      <c r="L881" s="4"/>
      <c r="M881" s="3">
        <v>47.88</v>
      </c>
      <c r="N881" s="3">
        <v>825.45</v>
      </c>
      <c r="O881" s="4" t="s">
        <v>49</v>
      </c>
      <c r="P881" s="4" t="s">
        <v>34</v>
      </c>
      <c r="Q881" s="4" t="s">
        <v>35</v>
      </c>
      <c r="R881" s="3">
        <v>8.2600200000000008</v>
      </c>
      <c r="S881" s="3">
        <v>70.439300000000003</v>
      </c>
      <c r="T881" s="4" t="s">
        <v>97</v>
      </c>
      <c r="U881" s="2" t="s">
        <v>37</v>
      </c>
      <c r="V881" s="2" t="s">
        <v>37</v>
      </c>
      <c r="W881" s="2" t="s">
        <v>38</v>
      </c>
      <c r="X881" s="2" t="s">
        <v>37</v>
      </c>
      <c r="Y881" s="2" t="s">
        <v>37</v>
      </c>
      <c r="Z881" s="2" t="s">
        <v>37</v>
      </c>
      <c r="AA881" s="6">
        <v>2.8814188970000001</v>
      </c>
      <c r="AB881" s="6">
        <v>0.91698109890000001</v>
      </c>
      <c r="AC881" s="6">
        <v>2.9166907719999999</v>
      </c>
      <c r="AD881" cm="1">
        <f t="array" ref="AD881">IF(SUMPRODUCT(--($AM$2:$AM$112=TRIM(LEFT($B881,IFERROR(FIND(" ",$B881)-1,LEN($B881))))))&gt;0,1,0)</f>
        <v>0</v>
      </c>
      <c r="AE881" cm="1">
        <f t="array" ref="AE881">IF(SUMPRODUCT(--($AO$2:$AO$145=TRIM(LEFT($B881,IFERROR(FIND(" ",$B881)-1,LEN($B881))))))&gt;0,1,0)</f>
        <v>0</v>
      </c>
      <c r="AF881" cm="1">
        <f t="array" ref="AF881">IF(SUMPRODUCT(--($AQ$2:$AQ$71=TRIM(LEFT($B881,IFERROR(FIND(" ",$B881)-1,LEN($B881))))))&gt;0,1,0)</f>
        <v>0</v>
      </c>
    </row>
    <row r="882" spans="1:32" ht="180.75" thickBot="1" x14ac:dyDescent="0.3">
      <c r="A882" s="13">
        <v>54</v>
      </c>
      <c r="B882" s="4" t="s">
        <v>1505</v>
      </c>
      <c r="C882" s="4" t="s">
        <v>1722</v>
      </c>
      <c r="D882" s="7">
        <v>43508</v>
      </c>
      <c r="E882" s="3">
        <v>9149.5300000000007</v>
      </c>
      <c r="F882" s="4" t="s">
        <v>30</v>
      </c>
      <c r="G882" s="4"/>
      <c r="H882" s="4" t="s">
        <v>127</v>
      </c>
      <c r="I882" s="4" t="s">
        <v>128</v>
      </c>
      <c r="J882" s="4" t="s">
        <v>1506</v>
      </c>
      <c r="K882" s="4"/>
      <c r="L882" s="4"/>
      <c r="M882" s="3">
        <v>55.46</v>
      </c>
      <c r="N882" s="3">
        <v>1750.43</v>
      </c>
      <c r="O882" s="4" t="s">
        <v>34</v>
      </c>
      <c r="P882" s="4" t="s">
        <v>1723</v>
      </c>
      <c r="Q882" s="4" t="s">
        <v>35</v>
      </c>
      <c r="R882" s="3">
        <v>5892.9</v>
      </c>
      <c r="S882" s="3">
        <v>-0.40243200000000001</v>
      </c>
      <c r="T882" s="4" t="s">
        <v>1724</v>
      </c>
      <c r="U882" s="2" t="s">
        <v>38</v>
      </c>
      <c r="V882" s="2" t="s">
        <v>37</v>
      </c>
      <c r="W882" s="2" t="s">
        <v>38</v>
      </c>
      <c r="X882" s="2" t="s">
        <v>37</v>
      </c>
      <c r="Y882" s="2" t="s">
        <v>37</v>
      </c>
      <c r="Z882" s="2" t="s">
        <v>38</v>
      </c>
      <c r="AA882" s="6">
        <v>3.9613987850000001</v>
      </c>
      <c r="AB882" s="6">
        <v>3.7703290709999999</v>
      </c>
      <c r="AC882" s="6">
        <v>3.2431447480000002</v>
      </c>
      <c r="AD882" cm="1">
        <f t="array" ref="AD882">IF(SUMPRODUCT(--($AM$2:$AM$112=TRIM(LEFT($B882,IFERROR(FIND(" ",$B882)-1,LEN($B882))))))&gt;0,1,0)</f>
        <v>0</v>
      </c>
      <c r="AE882" cm="1">
        <f t="array" ref="AE882">IF(SUMPRODUCT(--($AO$2:$AO$145=TRIM(LEFT($B882,IFERROR(FIND(" ",$B882)-1,LEN($B882))))))&gt;0,1,0)</f>
        <v>0</v>
      </c>
      <c r="AF882" cm="1">
        <f t="array" ref="AF882">IF(SUMPRODUCT(--($AQ$2:$AQ$71=TRIM(LEFT($B882,IFERROR(FIND(" ",$B882)-1,LEN($B882))))))&gt;0,1,0)</f>
        <v>0</v>
      </c>
    </row>
    <row r="883" spans="1:32" ht="105.75" thickBot="1" x14ac:dyDescent="0.3">
      <c r="A883" s="13">
        <v>228</v>
      </c>
      <c r="B883" s="4" t="s">
        <v>1725</v>
      </c>
      <c r="C883" s="4" t="s">
        <v>1726</v>
      </c>
      <c r="D883" s="7">
        <v>43262</v>
      </c>
      <c r="E883" s="3">
        <v>6796.89</v>
      </c>
      <c r="F883" s="4" t="s">
        <v>30</v>
      </c>
      <c r="G883" s="3">
        <v>15.28</v>
      </c>
      <c r="H883" s="4" t="s">
        <v>47</v>
      </c>
      <c r="I883" s="4" t="s">
        <v>47</v>
      </c>
      <c r="J883" s="4" t="s">
        <v>542</v>
      </c>
      <c r="K883" s="4"/>
      <c r="L883" s="3">
        <v>215</v>
      </c>
      <c r="M883" s="4"/>
      <c r="N883" s="3">
        <v>6074.89</v>
      </c>
      <c r="O883" s="4" t="s">
        <v>34</v>
      </c>
      <c r="P883" s="4" t="s">
        <v>439</v>
      </c>
      <c r="Q883" s="4" t="s">
        <v>35</v>
      </c>
      <c r="R883" s="3">
        <v>3336</v>
      </c>
      <c r="S883" s="3">
        <v>6.8045600000000004</v>
      </c>
      <c r="T883" s="4" t="s">
        <v>316</v>
      </c>
      <c r="U883" s="2" t="s">
        <v>37</v>
      </c>
      <c r="V883" s="2" t="s">
        <v>37</v>
      </c>
      <c r="W883" s="2" t="s">
        <v>38</v>
      </c>
      <c r="X883" s="2" t="s">
        <v>38</v>
      </c>
      <c r="Y883" s="2" t="s">
        <v>37</v>
      </c>
      <c r="Z883" s="2" t="s">
        <v>37</v>
      </c>
      <c r="AA883" s="6">
        <v>3.8323102410000001</v>
      </c>
      <c r="AB883" s="6">
        <v>3.5232260420000001</v>
      </c>
      <c r="AC883" s="6">
        <v>3.783538418</v>
      </c>
      <c r="AD883" cm="1">
        <f t="array" ref="AD883">IF(SUMPRODUCT(--($AM$2:$AM$112=TRIM(LEFT($B883,IFERROR(FIND(" ",$B883)-1,LEN($B883))))))&gt;0,1,0)</f>
        <v>0</v>
      </c>
      <c r="AE883" cm="1">
        <f t="array" ref="AE883">IF(SUMPRODUCT(--($AO$2:$AO$145=TRIM(LEFT($B883,IFERROR(FIND(" ",$B883)-1,LEN($B883))))))&gt;0,1,0)</f>
        <v>0</v>
      </c>
      <c r="AF883" cm="1">
        <f t="array" ref="AF883">IF(SUMPRODUCT(--($AQ$2:$AQ$71=TRIM(LEFT($B883,IFERROR(FIND(" ",$B883)-1,LEN($B883))))))&gt;0,1,0)</f>
        <v>0</v>
      </c>
    </row>
    <row r="884" spans="1:32" ht="75.75" thickBot="1" x14ac:dyDescent="0.3">
      <c r="A884" s="13">
        <v>72</v>
      </c>
      <c r="B884" s="4" t="s">
        <v>1727</v>
      </c>
      <c r="C884" s="4" t="s">
        <v>1728</v>
      </c>
      <c r="D884" s="7">
        <v>43479</v>
      </c>
      <c r="E884" s="3">
        <v>12290.19</v>
      </c>
      <c r="F884" s="4" t="s">
        <v>107</v>
      </c>
      <c r="G884" s="4"/>
      <c r="H884" s="4" t="s">
        <v>47</v>
      </c>
      <c r="I884" s="4" t="s">
        <v>47</v>
      </c>
      <c r="J884" s="4" t="s">
        <v>48</v>
      </c>
      <c r="K884" s="3">
        <v>350</v>
      </c>
      <c r="L884" s="3">
        <v>650</v>
      </c>
      <c r="M884" s="3">
        <v>12.51</v>
      </c>
      <c r="N884" s="3">
        <v>9487.19</v>
      </c>
      <c r="O884" s="4" t="s">
        <v>49</v>
      </c>
      <c r="P884" s="4" t="s">
        <v>34</v>
      </c>
      <c r="Q884" s="4" t="s">
        <v>35</v>
      </c>
      <c r="R884" s="3">
        <v>11812</v>
      </c>
      <c r="S884" s="3">
        <v>-154.65</v>
      </c>
      <c r="T884" s="4" t="s">
        <v>97</v>
      </c>
      <c r="U884" s="2" t="s">
        <v>37</v>
      </c>
      <c r="V884" s="2" t="s">
        <v>37</v>
      </c>
      <c r="W884" s="2" t="s">
        <v>38</v>
      </c>
      <c r="X884" s="2" t="s">
        <v>37</v>
      </c>
      <c r="Y884" s="2" t="s">
        <v>37</v>
      </c>
      <c r="Z884" s="2" t="s">
        <v>37</v>
      </c>
      <c r="AA884" s="6">
        <v>4.0895585969999999</v>
      </c>
      <c r="AB884" s="6">
        <v>4.0723234379999997</v>
      </c>
      <c r="AC884" s="6">
        <v>3.9771375980000001</v>
      </c>
      <c r="AD884" cm="1">
        <f t="array" ref="AD884">IF(SUMPRODUCT(--($AM$2:$AM$112=TRIM(LEFT($B884,IFERROR(FIND(" ",$B884)-1,LEN($B884))))))&gt;0,1,0)</f>
        <v>0</v>
      </c>
      <c r="AE884" cm="1">
        <f t="array" ref="AE884">IF(SUMPRODUCT(--($AO$2:$AO$145=TRIM(LEFT($B884,IFERROR(FIND(" ",$B884)-1,LEN($B884))))))&gt;0,1,0)</f>
        <v>0</v>
      </c>
      <c r="AF884" cm="1">
        <f t="array" ref="AF884">IF(SUMPRODUCT(--($AQ$2:$AQ$71=TRIM(LEFT($B884,IFERROR(FIND(" ",$B884)-1,LEN($B884))))))&gt;0,1,0)</f>
        <v>0</v>
      </c>
    </row>
    <row r="885" spans="1:32" ht="75.75" thickBot="1" x14ac:dyDescent="0.3">
      <c r="A885" s="13">
        <v>39</v>
      </c>
      <c r="B885" s="4" t="s">
        <v>1729</v>
      </c>
      <c r="C885" s="4" t="s">
        <v>954</v>
      </c>
      <c r="D885" s="7">
        <v>43521</v>
      </c>
      <c r="E885" s="3">
        <v>863.26</v>
      </c>
      <c r="F885" s="4" t="s">
        <v>30</v>
      </c>
      <c r="G885" s="4"/>
      <c r="H885" s="4" t="s">
        <v>41</v>
      </c>
      <c r="I885" s="4" t="s">
        <v>41</v>
      </c>
      <c r="J885" s="4" t="s">
        <v>42</v>
      </c>
      <c r="K885" s="4"/>
      <c r="L885" s="4"/>
      <c r="M885" s="3">
        <v>79.209999999999994</v>
      </c>
      <c r="N885" s="3">
        <v>945.31</v>
      </c>
      <c r="O885" s="4" t="s">
        <v>49</v>
      </c>
      <c r="P885" s="4" t="s">
        <v>147</v>
      </c>
      <c r="Q885" s="4" t="s">
        <v>35</v>
      </c>
      <c r="R885" s="2"/>
      <c r="S885" s="2"/>
      <c r="T885" s="4" t="s">
        <v>97</v>
      </c>
      <c r="U885" s="2" t="s">
        <v>37</v>
      </c>
      <c r="V885" s="2" t="s">
        <v>37</v>
      </c>
      <c r="W885" s="2" t="s">
        <v>38</v>
      </c>
      <c r="X885" s="2" t="s">
        <v>37</v>
      </c>
      <c r="Y885" s="2" t="s">
        <v>37</v>
      </c>
      <c r="Z885" s="2" t="s">
        <v>37</v>
      </c>
      <c r="AA885" s="6">
        <v>2.9361416180000002</v>
      </c>
      <c r="AB885" s="2"/>
      <c r="AC885" s="6">
        <v>2.9755742519999999</v>
      </c>
      <c r="AD885" cm="1">
        <f t="array" ref="AD885">IF(SUMPRODUCT(--($AM$2:$AM$112=TRIM(LEFT($B885,IFERROR(FIND(" ",$B885)-1,LEN($B885))))))&gt;0,1,0)</f>
        <v>0</v>
      </c>
      <c r="AE885" cm="1">
        <f t="array" ref="AE885">IF(SUMPRODUCT(--($AO$2:$AO$145=TRIM(LEFT($B885,IFERROR(FIND(" ",$B885)-1,LEN($B885))))))&gt;0,1,0)</f>
        <v>0</v>
      </c>
      <c r="AF885" cm="1">
        <f t="array" ref="AF885">IF(SUMPRODUCT(--($AQ$2:$AQ$71=TRIM(LEFT($B885,IFERROR(FIND(" ",$B885)-1,LEN($B885))))))&gt;0,1,0)</f>
        <v>0</v>
      </c>
    </row>
    <row r="886" spans="1:32" ht="120.75" thickBot="1" x14ac:dyDescent="0.3">
      <c r="A886" s="13">
        <v>98</v>
      </c>
      <c r="B886" s="4" t="s">
        <v>1730</v>
      </c>
      <c r="C886" s="2"/>
      <c r="D886" s="7">
        <v>43438</v>
      </c>
      <c r="E886" s="3">
        <v>659.51</v>
      </c>
      <c r="F886" s="4" t="s">
        <v>30</v>
      </c>
      <c r="G886" s="3">
        <v>22.19</v>
      </c>
      <c r="H886" s="4" t="s">
        <v>127</v>
      </c>
      <c r="I886" s="4" t="s">
        <v>128</v>
      </c>
      <c r="J886" s="4" t="s">
        <v>129</v>
      </c>
      <c r="K886" s="4"/>
      <c r="L886" s="3">
        <v>11.5</v>
      </c>
      <c r="M886" s="3">
        <v>9.32</v>
      </c>
      <c r="N886" s="3">
        <v>273.63</v>
      </c>
      <c r="O886" s="4" t="s">
        <v>49</v>
      </c>
      <c r="P886" s="4" t="s">
        <v>49</v>
      </c>
      <c r="Q886" s="4" t="s">
        <v>35</v>
      </c>
      <c r="R886" s="3">
        <v>2120.65</v>
      </c>
      <c r="S886" s="2"/>
      <c r="T886" s="4" t="s">
        <v>1731</v>
      </c>
      <c r="U886" s="2" t="s">
        <v>37</v>
      </c>
      <c r="V886" s="2" t="s">
        <v>37</v>
      </c>
      <c r="W886" s="2" t="s">
        <v>37</v>
      </c>
      <c r="X886" s="2" t="s">
        <v>38</v>
      </c>
      <c r="Y886" s="2" t="s">
        <v>37</v>
      </c>
      <c r="Z886" s="2" t="s">
        <v>37</v>
      </c>
      <c r="AA886" s="6">
        <v>2.8192213850000001</v>
      </c>
      <c r="AB886" s="6">
        <v>3.3264689970000001</v>
      </c>
      <c r="AC886" s="6">
        <v>2.4371637100000001</v>
      </c>
      <c r="AD886" cm="1">
        <f t="array" ref="AD886">IF(SUMPRODUCT(--($AM$2:$AM$112=TRIM(LEFT($B886,IFERROR(FIND(" ",$B886)-1,LEN($B886))))))&gt;0,1,0)</f>
        <v>0</v>
      </c>
      <c r="AE886" cm="1">
        <f t="array" ref="AE886">IF(SUMPRODUCT(--($AO$2:$AO$145=TRIM(LEFT($B886,IFERROR(FIND(" ",$B886)-1,LEN($B886))))))&gt;0,1,0)</f>
        <v>0</v>
      </c>
      <c r="AF886" cm="1">
        <f t="array" ref="AF886">IF(SUMPRODUCT(--($AQ$2:$AQ$71=TRIM(LEFT($B886,IFERROR(FIND(" ",$B886)-1,LEN($B886))))))&gt;0,1,0)</f>
        <v>0</v>
      </c>
    </row>
    <row r="887" spans="1:32" ht="105.75" thickBot="1" x14ac:dyDescent="0.3">
      <c r="A887" s="13">
        <v>28</v>
      </c>
      <c r="B887" s="4" t="s">
        <v>1732</v>
      </c>
      <c r="C887" s="4" t="s">
        <v>1733</v>
      </c>
      <c r="D887" s="7">
        <v>43536</v>
      </c>
      <c r="E887" s="3">
        <v>615.63</v>
      </c>
      <c r="F887" s="4" t="s">
        <v>30</v>
      </c>
      <c r="G887" s="3">
        <v>57.4</v>
      </c>
      <c r="H887" s="4" t="s">
        <v>41</v>
      </c>
      <c r="I887" s="4" t="s">
        <v>41</v>
      </c>
      <c r="J887" s="4" t="s">
        <v>42</v>
      </c>
      <c r="K887" s="4"/>
      <c r="L887" s="3">
        <v>18.682500000000001</v>
      </c>
      <c r="M887" s="3">
        <v>12.77</v>
      </c>
      <c r="N887" s="3">
        <v>655.99</v>
      </c>
      <c r="O887" s="4" t="s">
        <v>34</v>
      </c>
      <c r="P887" s="4" t="s">
        <v>166</v>
      </c>
      <c r="Q887" s="4" t="s">
        <v>35</v>
      </c>
      <c r="R887" s="3">
        <v>142.82400000000001</v>
      </c>
      <c r="S887" s="3">
        <v>6.8986999999999998</v>
      </c>
      <c r="T887" s="4" t="s">
        <v>964</v>
      </c>
      <c r="U887" s="2" t="s">
        <v>37</v>
      </c>
      <c r="V887" s="2" t="s">
        <v>37</v>
      </c>
      <c r="W887" s="2" t="s">
        <v>38</v>
      </c>
      <c r="X887" s="2" t="s">
        <v>37</v>
      </c>
      <c r="Y887" s="2" t="s">
        <v>37</v>
      </c>
      <c r="Z887" s="2" t="s">
        <v>38</v>
      </c>
      <c r="AA887" s="6">
        <v>2.7893197750000001</v>
      </c>
      <c r="AB887" s="6">
        <v>2.1548011919999999</v>
      </c>
      <c r="AC887" s="6">
        <v>2.8168972189999999</v>
      </c>
      <c r="AD887" cm="1">
        <f t="array" ref="AD887">IF(SUMPRODUCT(--($AM$2:$AM$112=TRIM(LEFT($B887,IFERROR(FIND(" ",$B887)-1,LEN($B887))))))&gt;0,1,0)</f>
        <v>0</v>
      </c>
      <c r="AE887" cm="1">
        <f t="array" ref="AE887">IF(SUMPRODUCT(--($AO$2:$AO$145=TRIM(LEFT($B887,IFERROR(FIND(" ",$B887)-1,LEN($B887))))))&gt;0,1,0)</f>
        <v>0</v>
      </c>
      <c r="AF887" cm="1">
        <f t="array" ref="AF887">IF(SUMPRODUCT(--($AQ$2:$AQ$71=TRIM(LEFT($B887,IFERROR(FIND(" ",$B887)-1,LEN($B887))))))&gt;0,1,0)</f>
        <v>0</v>
      </c>
    </row>
    <row r="888" spans="1:32" ht="45.75" thickBot="1" x14ac:dyDescent="0.3">
      <c r="A888" s="13">
        <v>134</v>
      </c>
      <c r="B888" s="4" t="s">
        <v>1734</v>
      </c>
      <c r="C888" s="4" t="s">
        <v>1735</v>
      </c>
      <c r="D888" s="7">
        <v>43381</v>
      </c>
      <c r="E888" s="3">
        <v>2855.93</v>
      </c>
      <c r="F888" s="4" t="s">
        <v>46</v>
      </c>
      <c r="G888" s="3">
        <v>9.8000000000000007</v>
      </c>
      <c r="H888" s="4" t="s">
        <v>118</v>
      </c>
      <c r="I888" s="4" t="s">
        <v>119</v>
      </c>
      <c r="J888" s="4" t="s">
        <v>355</v>
      </c>
      <c r="K888" s="4"/>
      <c r="L888" s="4"/>
      <c r="M888" s="3">
        <v>-32.29</v>
      </c>
      <c r="N888" s="3">
        <v>1509.23</v>
      </c>
      <c r="O888" s="4" t="s">
        <v>34</v>
      </c>
      <c r="P888" s="4" t="s">
        <v>34</v>
      </c>
      <c r="Q888" s="4" t="s">
        <v>35</v>
      </c>
      <c r="R888" s="2"/>
      <c r="S888" s="3">
        <v>-36.142099999999999</v>
      </c>
      <c r="T888" s="4" t="s">
        <v>43</v>
      </c>
      <c r="U888" s="2" t="s">
        <v>37</v>
      </c>
      <c r="V888" s="2" t="s">
        <v>37</v>
      </c>
      <c r="W888" s="2" t="s">
        <v>37</v>
      </c>
      <c r="X888" s="2" t="s">
        <v>37</v>
      </c>
      <c r="Y888" s="2" t="s">
        <v>37</v>
      </c>
      <c r="Z888" s="2" t="s">
        <v>37</v>
      </c>
      <c r="AA888" s="6">
        <v>3.4557475590000002</v>
      </c>
      <c r="AB888" s="2"/>
      <c r="AC888" s="6">
        <v>3.1787554290000002</v>
      </c>
      <c r="AD888" cm="1">
        <f t="array" ref="AD888">IF(SUMPRODUCT(--($AM$2:$AM$112=TRIM(LEFT($B888,IFERROR(FIND(" ",$B888)-1,LEN($B888))))))&gt;0,1,0)</f>
        <v>0</v>
      </c>
      <c r="AE888" cm="1">
        <f t="array" ref="AE888">IF(SUMPRODUCT(--($AO$2:$AO$145=TRIM(LEFT($B888,IFERROR(FIND(" ",$B888)-1,LEN($B888))))))&gt;0,1,0)</f>
        <v>0</v>
      </c>
      <c r="AF888" cm="1">
        <f t="array" ref="AF888">IF(SUMPRODUCT(--($AQ$2:$AQ$71=TRIM(LEFT($B888,IFERROR(FIND(" ",$B888)-1,LEN($B888))))))&gt;0,1,0)</f>
        <v>0</v>
      </c>
    </row>
    <row r="889" spans="1:32" ht="75.75" thickBot="1" x14ac:dyDescent="0.3">
      <c r="A889" s="13">
        <v>107</v>
      </c>
      <c r="B889" s="4" t="s">
        <v>1736</v>
      </c>
      <c r="C889" s="4" t="s">
        <v>1737</v>
      </c>
      <c r="D889" s="7">
        <v>43412</v>
      </c>
      <c r="E889" s="3">
        <v>7335.45</v>
      </c>
      <c r="F889" s="4" t="s">
        <v>30</v>
      </c>
      <c r="G889" s="3">
        <v>12.44</v>
      </c>
      <c r="H889" s="4" t="s">
        <v>31</v>
      </c>
      <c r="I889" s="4" t="s">
        <v>432</v>
      </c>
      <c r="J889" s="4" t="s">
        <v>433</v>
      </c>
      <c r="K889" s="3">
        <v>250</v>
      </c>
      <c r="L889" s="3">
        <v>58</v>
      </c>
      <c r="M889" s="3">
        <v>32.090000000000003</v>
      </c>
      <c r="N889" s="3">
        <v>5725.5</v>
      </c>
      <c r="O889" s="4" t="s">
        <v>34</v>
      </c>
      <c r="P889" s="4" t="s">
        <v>34</v>
      </c>
      <c r="Q889" s="4" t="s">
        <v>35</v>
      </c>
      <c r="R889" s="3">
        <v>4205.8</v>
      </c>
      <c r="S889" s="3">
        <v>2.65306</v>
      </c>
      <c r="T889" s="4" t="s">
        <v>43</v>
      </c>
      <c r="U889" s="2" t="s">
        <v>37</v>
      </c>
      <c r="V889" s="2" t="s">
        <v>37</v>
      </c>
      <c r="W889" s="2" t="s">
        <v>37</v>
      </c>
      <c r="X889" s="2" t="s">
        <v>37</v>
      </c>
      <c r="Y889" s="2" t="s">
        <v>37</v>
      </c>
      <c r="Z889" s="2" t="s">
        <v>37</v>
      </c>
      <c r="AA889" s="6">
        <v>3.8654267610000002</v>
      </c>
      <c r="AB889" s="6">
        <v>3.6238486170000002</v>
      </c>
      <c r="AC889" s="6">
        <v>3.7578134190000001</v>
      </c>
      <c r="AD889" cm="1">
        <f t="array" ref="AD889">IF(SUMPRODUCT(--($AM$2:$AM$112=TRIM(LEFT($B889,IFERROR(FIND(" ",$B889)-1,LEN($B889))))))&gt;0,1,0)</f>
        <v>0</v>
      </c>
      <c r="AE889" cm="1">
        <f t="array" ref="AE889">IF(SUMPRODUCT(--($AO$2:$AO$145=TRIM(LEFT($B889,IFERROR(FIND(" ",$B889)-1,LEN($B889))))))&gt;0,1,0)</f>
        <v>1</v>
      </c>
      <c r="AF889" cm="1">
        <f t="array" ref="AF889">IF(SUMPRODUCT(--($AQ$2:$AQ$71=TRIM(LEFT($B889,IFERROR(FIND(" ",$B889)-1,LEN($B889))))))&gt;0,1,0)</f>
        <v>0</v>
      </c>
    </row>
    <row r="890" spans="1:32" ht="75.75" thickBot="1" x14ac:dyDescent="0.3">
      <c r="A890" s="13">
        <v>146</v>
      </c>
      <c r="B890" s="4" t="s">
        <v>1738</v>
      </c>
      <c r="C890" s="4" t="s">
        <v>1739</v>
      </c>
      <c r="D890" s="7">
        <v>43353</v>
      </c>
      <c r="E890" s="3">
        <v>6516.46</v>
      </c>
      <c r="F890" s="4" t="s">
        <v>30</v>
      </c>
      <c r="G890" s="3">
        <v>31.53</v>
      </c>
      <c r="H890" s="4" t="s">
        <v>31</v>
      </c>
      <c r="I890" s="4" t="s">
        <v>432</v>
      </c>
      <c r="J890" s="4" t="s">
        <v>1072</v>
      </c>
      <c r="K890" s="3">
        <v>166.4</v>
      </c>
      <c r="L890" s="3">
        <v>166.4</v>
      </c>
      <c r="M890" s="3">
        <v>27.55</v>
      </c>
      <c r="N890" s="3">
        <v>6366.77</v>
      </c>
      <c r="O890" s="4" t="s">
        <v>34</v>
      </c>
      <c r="P890" s="4" t="s">
        <v>96</v>
      </c>
      <c r="Q890" s="4" t="s">
        <v>35</v>
      </c>
      <c r="R890" s="3">
        <v>842.76400000000001</v>
      </c>
      <c r="S890" s="3">
        <v>15.151300000000001</v>
      </c>
      <c r="T890" s="4" t="s">
        <v>97</v>
      </c>
      <c r="U890" s="2" t="s">
        <v>37</v>
      </c>
      <c r="V890" s="2" t="s">
        <v>37</v>
      </c>
      <c r="W890" s="2" t="s">
        <v>38</v>
      </c>
      <c r="X890" s="2" t="s">
        <v>37</v>
      </c>
      <c r="Y890" s="2" t="s">
        <v>37</v>
      </c>
      <c r="Z890" s="2" t="s">
        <v>37</v>
      </c>
      <c r="AA890" s="6">
        <v>3.8140117340000002</v>
      </c>
      <c r="AB890" s="6">
        <v>2.9257059760000002</v>
      </c>
      <c r="AC890" s="6">
        <v>3.803919161</v>
      </c>
      <c r="AD890" cm="1">
        <f t="array" ref="AD890">IF(SUMPRODUCT(--($AM$2:$AM$112=TRIM(LEFT($B890,IFERROR(FIND(" ",$B890)-1,LEN($B890))))))&gt;0,1,0)</f>
        <v>1</v>
      </c>
      <c r="AE890" cm="1">
        <f t="array" ref="AE890">IF(SUMPRODUCT(--($AO$2:$AO$145=TRIM(LEFT($B890,IFERROR(FIND(" ",$B890)-1,LEN($B890))))))&gt;0,1,0)</f>
        <v>0</v>
      </c>
      <c r="AF890" cm="1">
        <f t="array" ref="AF890">IF(SUMPRODUCT(--($AQ$2:$AQ$71=TRIM(LEFT($B890,IFERROR(FIND(" ",$B890)-1,LEN($B890))))))&gt;0,1,0)</f>
        <v>0</v>
      </c>
    </row>
    <row r="891" spans="1:32" ht="45.75" thickBot="1" x14ac:dyDescent="0.3">
      <c r="A891" s="13">
        <v>91</v>
      </c>
      <c r="B891" s="4" t="s">
        <v>1740</v>
      </c>
      <c r="C891" s="4" t="s">
        <v>1527</v>
      </c>
      <c r="D891" s="7">
        <v>43430</v>
      </c>
      <c r="E891" s="3">
        <v>835.91</v>
      </c>
      <c r="F891" s="4" t="s">
        <v>46</v>
      </c>
      <c r="G891" s="4"/>
      <c r="H891" s="4" t="s">
        <v>65</v>
      </c>
      <c r="I891" s="4" t="s">
        <v>66</v>
      </c>
      <c r="J891" s="4" t="s">
        <v>66</v>
      </c>
      <c r="K891" s="3">
        <v>31.8</v>
      </c>
      <c r="L891" s="3">
        <v>31.8</v>
      </c>
      <c r="M891" s="3">
        <v>8.0500000000000007</v>
      </c>
      <c r="N891" s="3">
        <v>835.91</v>
      </c>
      <c r="O891" s="4" t="s">
        <v>34</v>
      </c>
      <c r="P891" s="4" t="s">
        <v>34</v>
      </c>
      <c r="Q891" s="4" t="s">
        <v>35</v>
      </c>
      <c r="R891" s="3">
        <v>190.93899999999999</v>
      </c>
      <c r="S891" s="3">
        <v>33.987900000000003</v>
      </c>
      <c r="T891" s="4" t="s">
        <v>43</v>
      </c>
      <c r="U891" s="2" t="s">
        <v>37</v>
      </c>
      <c r="V891" s="2" t="s">
        <v>37</v>
      </c>
      <c r="W891" s="2" t="s">
        <v>37</v>
      </c>
      <c r="X891" s="2" t="s">
        <v>37</v>
      </c>
      <c r="Y891" s="2" t="s">
        <v>37</v>
      </c>
      <c r="Z891" s="2" t="s">
        <v>37</v>
      </c>
      <c r="AA891" s="6">
        <v>2.9221595210000002</v>
      </c>
      <c r="AB891" s="6">
        <v>2.280894644</v>
      </c>
      <c r="AC891" s="6">
        <v>2.9221595210000002</v>
      </c>
      <c r="AD891" cm="1">
        <f t="array" ref="AD891">IF(SUMPRODUCT(--($AM$2:$AM$112=TRIM(LEFT($B891,IFERROR(FIND(" ",$B891)-1,LEN($B891))))))&gt;0,1,0)</f>
        <v>0</v>
      </c>
      <c r="AE891" cm="1">
        <f t="array" ref="AE891">IF(SUMPRODUCT(--($AO$2:$AO$145=TRIM(LEFT($B891,IFERROR(FIND(" ",$B891)-1,LEN($B891))))))&gt;0,1,0)</f>
        <v>0</v>
      </c>
      <c r="AF891" cm="1">
        <f t="array" ref="AF891">IF(SUMPRODUCT(--($AQ$2:$AQ$71=TRIM(LEFT($B891,IFERROR(FIND(" ",$B891)-1,LEN($B891))))))&gt;0,1,0)</f>
        <v>0</v>
      </c>
    </row>
    <row r="892" spans="1:32" ht="45.75" thickBot="1" x14ac:dyDescent="0.3">
      <c r="A892" s="13">
        <v>138</v>
      </c>
      <c r="B892" s="4" t="s">
        <v>1741</v>
      </c>
      <c r="C892" s="4" t="s">
        <v>442</v>
      </c>
      <c r="D892" s="7">
        <v>43363</v>
      </c>
      <c r="E892" s="3">
        <v>704.2</v>
      </c>
      <c r="F892" s="4" t="s">
        <v>107</v>
      </c>
      <c r="G892" s="4"/>
      <c r="H892" s="4" t="s">
        <v>65</v>
      </c>
      <c r="I892" s="4" t="s">
        <v>66</v>
      </c>
      <c r="J892" s="4" t="s">
        <v>66</v>
      </c>
      <c r="K892" s="4"/>
      <c r="L892" s="3">
        <v>26.2</v>
      </c>
      <c r="M892" s="3">
        <v>13.75</v>
      </c>
      <c r="N892" s="3">
        <v>704.2</v>
      </c>
      <c r="O892" s="4" t="s">
        <v>34</v>
      </c>
      <c r="P892" s="4" t="s">
        <v>34</v>
      </c>
      <c r="Q892" s="4" t="s">
        <v>35</v>
      </c>
      <c r="R892" s="3">
        <v>117.05200000000001</v>
      </c>
      <c r="S892" s="3">
        <v>36.960799999999999</v>
      </c>
      <c r="T892" s="4" t="s">
        <v>43</v>
      </c>
      <c r="U892" s="2" t="s">
        <v>37</v>
      </c>
      <c r="V892" s="2" t="s">
        <v>37</v>
      </c>
      <c r="W892" s="2" t="s">
        <v>37</v>
      </c>
      <c r="X892" s="2" t="s">
        <v>37</v>
      </c>
      <c r="Y892" s="2" t="s">
        <v>37</v>
      </c>
      <c r="Z892" s="2" t="s">
        <v>37</v>
      </c>
      <c r="AA892" s="6">
        <v>2.847696021</v>
      </c>
      <c r="AB892" s="6">
        <v>2.0683788390000002</v>
      </c>
      <c r="AC892" s="6">
        <v>2.847696021</v>
      </c>
      <c r="AD892" cm="1">
        <f t="array" ref="AD892">IF(SUMPRODUCT(--($AM$2:$AM$112=TRIM(LEFT($B892,IFERROR(FIND(" ",$B892)-1,LEN($B892))))))&gt;0,1,0)</f>
        <v>0</v>
      </c>
      <c r="AE892" cm="1">
        <f t="array" ref="AE892">IF(SUMPRODUCT(--($AO$2:$AO$145=TRIM(LEFT($B892,IFERROR(FIND(" ",$B892)-1,LEN($B892))))))&gt;0,1,0)</f>
        <v>0</v>
      </c>
      <c r="AF892" cm="1">
        <f t="array" ref="AF892">IF(SUMPRODUCT(--($AQ$2:$AQ$71=TRIM(LEFT($B892,IFERROR(FIND(" ",$B892)-1,LEN($B892))))))&gt;0,1,0)</f>
        <v>0</v>
      </c>
    </row>
    <row r="893" spans="1:32" ht="45.75" thickBot="1" x14ac:dyDescent="0.3">
      <c r="A893" s="13">
        <v>220</v>
      </c>
      <c r="B893" s="4" t="s">
        <v>1742</v>
      </c>
      <c r="C893" s="4" t="s">
        <v>234</v>
      </c>
      <c r="D893" s="7">
        <v>43241</v>
      </c>
      <c r="E893" s="3">
        <v>4480.71</v>
      </c>
      <c r="F893" s="4" t="s">
        <v>107</v>
      </c>
      <c r="G893" s="4"/>
      <c r="H893" s="4" t="s">
        <v>65</v>
      </c>
      <c r="I893" s="4" t="s">
        <v>66</v>
      </c>
      <c r="J893" s="4" t="s">
        <v>66</v>
      </c>
      <c r="K893" s="4"/>
      <c r="L893" s="3">
        <v>151.19999999999999</v>
      </c>
      <c r="M893" s="3">
        <v>24.11</v>
      </c>
      <c r="N893" s="3">
        <v>4480.71</v>
      </c>
      <c r="O893" s="4" t="s">
        <v>34</v>
      </c>
      <c r="P893" s="4" t="s">
        <v>34</v>
      </c>
      <c r="Q893" s="4" t="s">
        <v>35</v>
      </c>
      <c r="R893" s="3">
        <v>1092.23</v>
      </c>
      <c r="S893" s="3">
        <v>25.720400000000001</v>
      </c>
      <c r="T893" s="4" t="s">
        <v>43</v>
      </c>
      <c r="U893" s="2" t="s">
        <v>37</v>
      </c>
      <c r="V893" s="2" t="s">
        <v>37</v>
      </c>
      <c r="W893" s="2" t="s">
        <v>37</v>
      </c>
      <c r="X893" s="2" t="s">
        <v>37</v>
      </c>
      <c r="Y893" s="2" t="s">
        <v>37</v>
      </c>
      <c r="Z893" s="2" t="s">
        <v>37</v>
      </c>
      <c r="AA893" s="6">
        <v>3.6513468360000001</v>
      </c>
      <c r="AB893" s="6">
        <v>3.0383141010000001</v>
      </c>
      <c r="AC893" s="6">
        <v>3.6513468360000001</v>
      </c>
      <c r="AD893" cm="1">
        <f t="array" ref="AD893">IF(SUMPRODUCT(--($AM$2:$AM$112=TRIM(LEFT($B893,IFERROR(FIND(" ",$B893)-1,LEN($B893))))))&gt;0,1,0)</f>
        <v>0</v>
      </c>
      <c r="AE893" cm="1">
        <f t="array" ref="AE893">IF(SUMPRODUCT(--($AO$2:$AO$145=TRIM(LEFT($B893,IFERROR(FIND(" ",$B893)-1,LEN($B893))))))&gt;0,1,0)</f>
        <v>0</v>
      </c>
      <c r="AF893" cm="1">
        <f t="array" ref="AF893">IF(SUMPRODUCT(--($AQ$2:$AQ$71=TRIM(LEFT($B893,IFERROR(FIND(" ",$B893)-1,LEN($B893))))))&gt;0,1,0)</f>
        <v>0</v>
      </c>
    </row>
    <row r="894" spans="1:32" ht="45.75" thickBot="1" x14ac:dyDescent="0.3">
      <c r="A894" s="13">
        <v>331</v>
      </c>
      <c r="B894" s="4" t="s">
        <v>1743</v>
      </c>
      <c r="C894" s="4" t="s">
        <v>1744</v>
      </c>
      <c r="D894" s="7">
        <v>43083</v>
      </c>
      <c r="E894" s="3">
        <v>83343.34</v>
      </c>
      <c r="F894" s="4" t="s">
        <v>69</v>
      </c>
      <c r="G894" s="3">
        <v>11.95</v>
      </c>
      <c r="H894" s="4" t="s">
        <v>184</v>
      </c>
      <c r="I894" s="4" t="s">
        <v>185</v>
      </c>
      <c r="J894" s="4" t="s">
        <v>186</v>
      </c>
      <c r="K894" s="3">
        <v>2500</v>
      </c>
      <c r="L894" s="3">
        <v>1525</v>
      </c>
      <c r="M894" s="3">
        <v>1.44</v>
      </c>
      <c r="N894" s="3">
        <v>70395.34</v>
      </c>
      <c r="O894" s="4" t="s">
        <v>34</v>
      </c>
      <c r="P894" s="4" t="s">
        <v>34</v>
      </c>
      <c r="Q894" s="4" t="s">
        <v>35</v>
      </c>
      <c r="R894" s="3">
        <v>30400</v>
      </c>
      <c r="S894" s="3">
        <v>20.9879</v>
      </c>
      <c r="T894" s="4" t="s">
        <v>43</v>
      </c>
      <c r="U894" s="2" t="s">
        <v>37</v>
      </c>
      <c r="V894" s="2" t="s">
        <v>37</v>
      </c>
      <c r="W894" s="2" t="s">
        <v>37</v>
      </c>
      <c r="X894" s="2" t="s">
        <v>37</v>
      </c>
      <c r="Y894" s="2" t="s">
        <v>37</v>
      </c>
      <c r="Z894" s="2" t="s">
        <v>37</v>
      </c>
      <c r="AA894" s="6">
        <v>4.9208709009999998</v>
      </c>
      <c r="AB894" s="6">
        <v>4.482873584</v>
      </c>
      <c r="AC894" s="6">
        <v>4.8475439109999998</v>
      </c>
      <c r="AD894" cm="1">
        <f t="array" ref="AD894">IF(SUMPRODUCT(--($AM$2:$AM$112=TRIM(LEFT($B894,IFERROR(FIND(" ",$B894)-1,LEN($B894))))))&gt;0,1,0)</f>
        <v>0</v>
      </c>
      <c r="AE894" cm="1">
        <f t="array" ref="AE894">IF(SUMPRODUCT(--($AO$2:$AO$145=TRIM(LEFT($B894,IFERROR(FIND(" ",$B894)-1,LEN($B894))))))&gt;0,1,0)</f>
        <v>0</v>
      </c>
      <c r="AF894" cm="1">
        <f t="array" ref="AF894">IF(SUMPRODUCT(--($AQ$2:$AQ$71=TRIM(LEFT($B894,IFERROR(FIND(" ",$B894)-1,LEN($B894))))))&gt;0,1,0)</f>
        <v>0</v>
      </c>
    </row>
    <row r="895" spans="1:32" ht="45.75" thickBot="1" x14ac:dyDescent="0.3">
      <c r="A895" s="13">
        <v>112</v>
      </c>
      <c r="B895" s="4" t="s">
        <v>1745</v>
      </c>
      <c r="C895" s="4" t="s">
        <v>1746</v>
      </c>
      <c r="D895" s="7">
        <v>43383</v>
      </c>
      <c r="E895" s="3">
        <v>3991.84</v>
      </c>
      <c r="F895" s="4" t="s">
        <v>30</v>
      </c>
      <c r="G895" s="3">
        <v>13.8</v>
      </c>
      <c r="H895" s="4" t="s">
        <v>70</v>
      </c>
      <c r="I895" s="4" t="s">
        <v>71</v>
      </c>
      <c r="J895" s="4" t="s">
        <v>304</v>
      </c>
      <c r="K895" s="4"/>
      <c r="L895" s="3">
        <v>128.85499999999999</v>
      </c>
      <c r="M895" s="3">
        <v>36.409999999999997</v>
      </c>
      <c r="N895" s="3">
        <v>3606.75</v>
      </c>
      <c r="O895" s="4" t="s">
        <v>34</v>
      </c>
      <c r="P895" s="4" t="s">
        <v>34</v>
      </c>
      <c r="Q895" s="4" t="s">
        <v>35</v>
      </c>
      <c r="R895" s="3">
        <v>2034.84</v>
      </c>
      <c r="S895" s="3">
        <v>10.0557</v>
      </c>
      <c r="T895" s="4" t="s">
        <v>43</v>
      </c>
      <c r="U895" s="2" t="s">
        <v>37</v>
      </c>
      <c r="V895" s="2" t="s">
        <v>37</v>
      </c>
      <c r="W895" s="2" t="s">
        <v>37</v>
      </c>
      <c r="X895" s="2" t="s">
        <v>37</v>
      </c>
      <c r="Y895" s="2" t="s">
        <v>37</v>
      </c>
      <c r="Z895" s="2" t="s">
        <v>37</v>
      </c>
      <c r="AA895" s="6">
        <v>3.6011731259999999</v>
      </c>
      <c r="AB895" s="6">
        <v>3.308530266</v>
      </c>
      <c r="AC895" s="6">
        <v>3.5571160399999999</v>
      </c>
      <c r="AD895" cm="1">
        <f t="array" ref="AD895">IF(SUMPRODUCT(--($AM$2:$AM$112=TRIM(LEFT($B895,IFERROR(FIND(" ",$B895)-1,LEN($B895))))))&gt;0,1,0)</f>
        <v>0</v>
      </c>
      <c r="AE895" cm="1">
        <f t="array" ref="AE895">IF(SUMPRODUCT(--($AO$2:$AO$145=TRIM(LEFT($B895,IFERROR(FIND(" ",$B895)-1,LEN($B895))))))&gt;0,1,0)</f>
        <v>1</v>
      </c>
      <c r="AF895" cm="1">
        <f t="array" ref="AF895">IF(SUMPRODUCT(--($AQ$2:$AQ$71=TRIM(LEFT($B895,IFERROR(FIND(" ",$B895)-1,LEN($B895))))))&gt;0,1,0)</f>
        <v>0</v>
      </c>
    </row>
    <row r="896" spans="1:32" ht="120.75" thickBot="1" x14ac:dyDescent="0.3">
      <c r="A896" s="13">
        <v>112</v>
      </c>
      <c r="B896" s="4" t="s">
        <v>1747</v>
      </c>
      <c r="C896" s="4" t="s">
        <v>1748</v>
      </c>
      <c r="D896" s="7">
        <v>43382</v>
      </c>
      <c r="E896" s="3">
        <v>2786.85</v>
      </c>
      <c r="F896" s="4" t="s">
        <v>69</v>
      </c>
      <c r="G896" s="3">
        <v>10.6</v>
      </c>
      <c r="H896" s="4" t="s">
        <v>118</v>
      </c>
      <c r="I896" s="4" t="s">
        <v>119</v>
      </c>
      <c r="J896" s="4" t="s">
        <v>120</v>
      </c>
      <c r="K896" s="4"/>
      <c r="L896" s="4"/>
      <c r="M896" s="4"/>
      <c r="N896" s="3">
        <v>2786.85</v>
      </c>
      <c r="O896" s="4" t="s">
        <v>34</v>
      </c>
      <c r="P896" s="4" t="s">
        <v>34</v>
      </c>
      <c r="Q896" s="4" t="s">
        <v>35</v>
      </c>
      <c r="R896" s="3">
        <v>1028.52</v>
      </c>
      <c r="S896" s="3">
        <v>59.072099999999999</v>
      </c>
      <c r="T896" s="4" t="s">
        <v>321</v>
      </c>
      <c r="U896" s="2" t="s">
        <v>38</v>
      </c>
      <c r="V896" s="2" t="s">
        <v>37</v>
      </c>
      <c r="W896" s="2" t="s">
        <v>37</v>
      </c>
      <c r="X896" s="2" t="s">
        <v>37</v>
      </c>
      <c r="Y896" s="2" t="s">
        <v>37</v>
      </c>
      <c r="Z896" s="2" t="s">
        <v>37</v>
      </c>
      <c r="AA896" s="6">
        <v>3.4451135939999999</v>
      </c>
      <c r="AB896" s="6">
        <v>3.0122127409999999</v>
      </c>
      <c r="AC896" s="6">
        <v>3.4451135939999999</v>
      </c>
      <c r="AD896" cm="1">
        <f t="array" ref="AD896">IF(SUMPRODUCT(--($AM$2:$AM$112=TRIM(LEFT($B896,IFERROR(FIND(" ",$B896)-1,LEN($B896))))))&gt;0,1,0)</f>
        <v>0</v>
      </c>
      <c r="AE896" cm="1">
        <f t="array" ref="AE896">IF(SUMPRODUCT(--($AO$2:$AO$145=TRIM(LEFT($B896,IFERROR(FIND(" ",$B896)-1,LEN($B896))))))&gt;0,1,0)</f>
        <v>0</v>
      </c>
      <c r="AF896" cm="1">
        <f t="array" ref="AF896">IF(SUMPRODUCT(--($AQ$2:$AQ$71=TRIM(LEFT($B896,IFERROR(FIND(" ",$B896)-1,LEN($B896))))))&gt;0,1,0)</f>
        <v>0</v>
      </c>
    </row>
    <row r="897" spans="1:32" ht="150.75" thickBot="1" x14ac:dyDescent="0.3">
      <c r="A897" s="13">
        <v>111</v>
      </c>
      <c r="B897" s="4" t="s">
        <v>1747</v>
      </c>
      <c r="C897" s="4" t="s">
        <v>1748</v>
      </c>
      <c r="D897" s="7">
        <v>43382</v>
      </c>
      <c r="E897" s="3">
        <v>3025.29</v>
      </c>
      <c r="F897" s="4" t="s">
        <v>107</v>
      </c>
      <c r="G897" s="3">
        <v>8.0299999999999994</v>
      </c>
      <c r="H897" s="4" t="s">
        <v>118</v>
      </c>
      <c r="I897" s="4" t="s">
        <v>119</v>
      </c>
      <c r="J897" s="4" t="s">
        <v>120</v>
      </c>
      <c r="K897" s="4"/>
      <c r="L897" s="4"/>
      <c r="M897" s="4"/>
      <c r="N897" s="3">
        <v>1633.25</v>
      </c>
      <c r="O897" s="4" t="s">
        <v>34</v>
      </c>
      <c r="P897" s="4" t="s">
        <v>34</v>
      </c>
      <c r="Q897" s="4" t="s">
        <v>35</v>
      </c>
      <c r="R897" s="3">
        <v>1028.52</v>
      </c>
      <c r="S897" s="3">
        <v>59.072099999999999</v>
      </c>
      <c r="T897" s="4" t="s">
        <v>1749</v>
      </c>
      <c r="U897" s="2" t="s">
        <v>37</v>
      </c>
      <c r="V897" s="2" t="s">
        <v>37</v>
      </c>
      <c r="W897" s="2" t="s">
        <v>37</v>
      </c>
      <c r="X897" s="2" t="s">
        <v>37</v>
      </c>
      <c r="Y897" s="2" t="s">
        <v>37</v>
      </c>
      <c r="Z897" s="2" t="s">
        <v>37</v>
      </c>
      <c r="AA897" s="6">
        <v>3.4807670119999998</v>
      </c>
      <c r="AB897" s="6">
        <v>3.0122127409999999</v>
      </c>
      <c r="AC897" s="6">
        <v>3.2130526669999999</v>
      </c>
      <c r="AD897" cm="1">
        <f t="array" ref="AD897">IF(SUMPRODUCT(--($AM$2:$AM$112=TRIM(LEFT($B897,IFERROR(FIND(" ",$B897)-1,LEN($B897))))))&gt;0,1,0)</f>
        <v>0</v>
      </c>
      <c r="AE897" cm="1">
        <f t="array" ref="AE897">IF(SUMPRODUCT(--($AO$2:$AO$145=TRIM(LEFT($B897,IFERROR(FIND(" ",$B897)-1,LEN($B897))))))&gt;0,1,0)</f>
        <v>0</v>
      </c>
      <c r="AF897" cm="1">
        <f t="array" ref="AF897">IF(SUMPRODUCT(--($AQ$2:$AQ$71=TRIM(LEFT($B897,IFERROR(FIND(" ",$B897)-1,LEN($B897))))))&gt;0,1,0)</f>
        <v>0</v>
      </c>
    </row>
    <row r="898" spans="1:32" ht="75.75" thickBot="1" x14ac:dyDescent="0.3">
      <c r="A898" s="13">
        <v>66</v>
      </c>
      <c r="B898" s="4" t="s">
        <v>1750</v>
      </c>
      <c r="C898" s="4" t="s">
        <v>1099</v>
      </c>
      <c r="D898" s="7">
        <v>43444</v>
      </c>
      <c r="E898" s="3">
        <v>1289.43</v>
      </c>
      <c r="F898" s="4" t="s">
        <v>107</v>
      </c>
      <c r="G898" s="3">
        <v>13.09</v>
      </c>
      <c r="H898" s="4" t="s">
        <v>75</v>
      </c>
      <c r="I898" s="4" t="s">
        <v>111</v>
      </c>
      <c r="J898" s="4" t="s">
        <v>112</v>
      </c>
      <c r="K898" s="4"/>
      <c r="L898" s="3">
        <v>45</v>
      </c>
      <c r="M898" s="4"/>
      <c r="N898" s="3">
        <v>1381.98</v>
      </c>
      <c r="O898" s="4" t="s">
        <v>34</v>
      </c>
      <c r="P898" s="4" t="s">
        <v>34</v>
      </c>
      <c r="Q898" s="4" t="s">
        <v>35</v>
      </c>
      <c r="R898" s="3">
        <v>691.03899999999999</v>
      </c>
      <c r="S898" s="3">
        <v>10.7118</v>
      </c>
      <c r="T898" s="4" t="s">
        <v>43</v>
      </c>
      <c r="U898" s="2" t="s">
        <v>37</v>
      </c>
      <c r="V898" s="2" t="s">
        <v>37</v>
      </c>
      <c r="W898" s="2" t="s">
        <v>37</v>
      </c>
      <c r="X898" s="2" t="s">
        <v>37</v>
      </c>
      <c r="Y898" s="2" t="s">
        <v>37</v>
      </c>
      <c r="Z898" s="2" t="s">
        <v>37</v>
      </c>
      <c r="AA898" s="6">
        <v>3.1103977700000001</v>
      </c>
      <c r="AB898" s="6">
        <v>2.839502558</v>
      </c>
      <c r="AC898" s="6">
        <v>3.1405017580000001</v>
      </c>
      <c r="AD898" cm="1">
        <f t="array" ref="AD898">IF(SUMPRODUCT(--($AM$2:$AM$112=TRIM(LEFT($B898,IFERROR(FIND(" ",$B898)-1,LEN($B898))))))&gt;0,1,0)</f>
        <v>0</v>
      </c>
      <c r="AE898" cm="1">
        <f t="array" ref="AE898">IF(SUMPRODUCT(--($AO$2:$AO$145=TRIM(LEFT($B898,IFERROR(FIND(" ",$B898)-1,LEN($B898))))))&gt;0,1,0)</f>
        <v>0</v>
      </c>
      <c r="AF898" cm="1">
        <f t="array" ref="AF898">IF(SUMPRODUCT(--($AQ$2:$AQ$71=TRIM(LEFT($B898,IFERROR(FIND(" ",$B898)-1,LEN($B898))))))&gt;0,1,0)</f>
        <v>0</v>
      </c>
    </row>
    <row r="899" spans="1:32" ht="135.75" thickBot="1" x14ac:dyDescent="0.3">
      <c r="A899" s="13">
        <v>134</v>
      </c>
      <c r="B899" s="4" t="s">
        <v>1751</v>
      </c>
      <c r="C899" s="4" t="s">
        <v>1196</v>
      </c>
      <c r="D899" s="7">
        <v>43348</v>
      </c>
      <c r="E899" s="3">
        <v>1248.75</v>
      </c>
      <c r="F899" s="4" t="s">
        <v>30</v>
      </c>
      <c r="G899" s="3">
        <v>22.98</v>
      </c>
      <c r="H899" s="4" t="s">
        <v>47</v>
      </c>
      <c r="I899" s="4" t="s">
        <v>47</v>
      </c>
      <c r="J899" s="4" t="s">
        <v>48</v>
      </c>
      <c r="K899" s="4"/>
      <c r="L899" s="4"/>
      <c r="M899" s="3">
        <v>23.32</v>
      </c>
      <c r="N899" s="3">
        <v>1376.01</v>
      </c>
      <c r="O899" s="4" t="s">
        <v>49</v>
      </c>
      <c r="P899" s="4" t="s">
        <v>1197</v>
      </c>
      <c r="Q899" s="4" t="s">
        <v>35</v>
      </c>
      <c r="R899" s="2"/>
      <c r="S899" s="2"/>
      <c r="T899" s="4" t="s">
        <v>1752</v>
      </c>
      <c r="U899" s="2" t="s">
        <v>37</v>
      </c>
      <c r="V899" s="2" t="s">
        <v>37</v>
      </c>
      <c r="W899" s="2" t="s">
        <v>38</v>
      </c>
      <c r="X899" s="2" t="s">
        <v>37</v>
      </c>
      <c r="Y899" s="2" t="s">
        <v>37</v>
      </c>
      <c r="Z899" s="2" t="s">
        <v>38</v>
      </c>
      <c r="AA899" s="6">
        <v>3.096475501</v>
      </c>
      <c r="AB899" s="2"/>
      <c r="AC899" s="6">
        <v>3.1386215900000001</v>
      </c>
      <c r="AD899" cm="1">
        <f t="array" ref="AD899">IF(SUMPRODUCT(--($AM$2:$AM$112=TRIM(LEFT($B899,IFERROR(FIND(" ",$B899)-1,LEN($B899))))))&gt;0,1,0)</f>
        <v>1</v>
      </c>
      <c r="AE899" cm="1">
        <f t="array" ref="AE899">IF(SUMPRODUCT(--($AO$2:$AO$145=TRIM(LEFT($B899,IFERROR(FIND(" ",$B899)-1,LEN($B899))))))&gt;0,1,0)</f>
        <v>0</v>
      </c>
      <c r="AF899" cm="1">
        <f t="array" ref="AF899">IF(SUMPRODUCT(--($AQ$2:$AQ$71=TRIM(LEFT($B899,IFERROR(FIND(" ",$B899)-1,LEN($B899))))))&gt;0,1,0)</f>
        <v>0</v>
      </c>
    </row>
    <row r="900" spans="1:32" ht="135.75" thickBot="1" x14ac:dyDescent="0.3">
      <c r="A900" s="13">
        <v>59</v>
      </c>
      <c r="B900" s="4" t="s">
        <v>1753</v>
      </c>
      <c r="C900" s="4" t="s">
        <v>341</v>
      </c>
      <c r="D900" s="7">
        <v>43452</v>
      </c>
      <c r="E900" s="3">
        <v>1340.03</v>
      </c>
      <c r="F900" s="4" t="s">
        <v>30</v>
      </c>
      <c r="G900" s="3">
        <v>8.9499999999999993</v>
      </c>
      <c r="H900" s="4" t="s">
        <v>41</v>
      </c>
      <c r="I900" s="4" t="s">
        <v>41</v>
      </c>
      <c r="J900" s="4" t="s">
        <v>100</v>
      </c>
      <c r="K900" s="4"/>
      <c r="L900" s="4"/>
      <c r="M900" s="3">
        <v>28.73</v>
      </c>
      <c r="N900" s="3">
        <v>641.05999999999995</v>
      </c>
      <c r="O900" s="4" t="s">
        <v>34</v>
      </c>
      <c r="P900" s="4" t="s">
        <v>34</v>
      </c>
      <c r="Q900" s="4" t="s">
        <v>35</v>
      </c>
      <c r="R900" s="3">
        <v>1602.2</v>
      </c>
      <c r="S900" s="3">
        <v>3.3934500000000001</v>
      </c>
      <c r="T900" s="4" t="s">
        <v>312</v>
      </c>
      <c r="U900" s="2" t="s">
        <v>37</v>
      </c>
      <c r="V900" s="2" t="s">
        <v>37</v>
      </c>
      <c r="W900" s="2" t="s">
        <v>37</v>
      </c>
      <c r="X900" s="2" t="s">
        <v>38</v>
      </c>
      <c r="Y900" s="2" t="s">
        <v>38</v>
      </c>
      <c r="Z900" s="2" t="s">
        <v>37</v>
      </c>
      <c r="AA900" s="6">
        <v>3.1271145210000002</v>
      </c>
      <c r="AB900" s="6">
        <v>3.2047167270000001</v>
      </c>
      <c r="AC900" s="6">
        <v>2.8068986790000001</v>
      </c>
      <c r="AD900" cm="1">
        <f t="array" ref="AD900">IF(SUMPRODUCT(--($AM$2:$AM$112=TRIM(LEFT($B900,IFERROR(FIND(" ",$B900)-1,LEN($B900))))))&gt;0,1,0)</f>
        <v>0</v>
      </c>
      <c r="AE900" cm="1">
        <f t="array" ref="AE900">IF(SUMPRODUCT(--($AO$2:$AO$145=TRIM(LEFT($B900,IFERROR(FIND(" ",$B900)-1,LEN($B900))))))&gt;0,1,0)</f>
        <v>0</v>
      </c>
      <c r="AF900" cm="1">
        <f t="array" ref="AF900">IF(SUMPRODUCT(--($AQ$2:$AQ$71=TRIM(LEFT($B900,IFERROR(FIND(" ",$B900)-1,LEN($B900))))))&gt;0,1,0)</f>
        <v>0</v>
      </c>
    </row>
    <row r="901" spans="1:32" ht="45.75" thickBot="1" x14ac:dyDescent="0.3">
      <c r="A901" s="13">
        <v>120</v>
      </c>
      <c r="B901" s="4" t="s">
        <v>1754</v>
      </c>
      <c r="C901" s="4" t="s">
        <v>874</v>
      </c>
      <c r="D901" s="7">
        <v>43360</v>
      </c>
      <c r="E901" s="3">
        <v>1847.59</v>
      </c>
      <c r="F901" s="4" t="s">
        <v>107</v>
      </c>
      <c r="G901" s="3">
        <v>8.9600000000000009</v>
      </c>
      <c r="H901" s="4" t="s">
        <v>47</v>
      </c>
      <c r="I901" s="4" t="s">
        <v>47</v>
      </c>
      <c r="J901" s="4" t="s">
        <v>875</v>
      </c>
      <c r="K901" s="3">
        <v>128</v>
      </c>
      <c r="L901" s="4"/>
      <c r="M901" s="3">
        <v>15.08</v>
      </c>
      <c r="N901" s="3">
        <v>1037.19</v>
      </c>
      <c r="O901" s="4" t="s">
        <v>34</v>
      </c>
      <c r="P901" s="4" t="s">
        <v>34</v>
      </c>
      <c r="Q901" s="4" t="s">
        <v>35</v>
      </c>
      <c r="R901" s="3">
        <v>4034.2</v>
      </c>
      <c r="S901" s="3">
        <v>2.23245</v>
      </c>
      <c r="T901" s="4" t="s">
        <v>43</v>
      </c>
      <c r="U901" s="2" t="s">
        <v>37</v>
      </c>
      <c r="V901" s="2" t="s">
        <v>37</v>
      </c>
      <c r="W901" s="2" t="s">
        <v>37</v>
      </c>
      <c r="X901" s="2" t="s">
        <v>37</v>
      </c>
      <c r="Y901" s="2" t="s">
        <v>37</v>
      </c>
      <c r="Z901" s="2" t="s">
        <v>37</v>
      </c>
      <c r="AA901" s="6">
        <v>3.2666056029999999</v>
      </c>
      <c r="AB901" s="6">
        <v>3.6057574250000002</v>
      </c>
      <c r="AC901" s="6">
        <v>3.0158583210000001</v>
      </c>
      <c r="AD901" cm="1">
        <f t="array" ref="AD901">IF(SUMPRODUCT(--($AM$2:$AM$112=TRIM(LEFT($B901,IFERROR(FIND(" ",$B901)-1,LEN($B901))))))&gt;0,1,0)</f>
        <v>0</v>
      </c>
      <c r="AE901" cm="1">
        <f t="array" ref="AE901">IF(SUMPRODUCT(--($AO$2:$AO$145=TRIM(LEFT($B901,IFERROR(FIND(" ",$B901)-1,LEN($B901))))))&gt;0,1,0)</f>
        <v>1</v>
      </c>
      <c r="AF901" cm="1">
        <f t="array" ref="AF901">IF(SUMPRODUCT(--($AQ$2:$AQ$71=TRIM(LEFT($B901,IFERROR(FIND(" ",$B901)-1,LEN($B901))))))&gt;0,1,0)</f>
        <v>0</v>
      </c>
    </row>
    <row r="902" spans="1:32" ht="45.75" thickBot="1" x14ac:dyDescent="0.3">
      <c r="A902" s="13">
        <v>75</v>
      </c>
      <c r="B902" s="4" t="s">
        <v>1755</v>
      </c>
      <c r="C902" s="4" t="s">
        <v>1276</v>
      </c>
      <c r="D902" s="7">
        <v>43423</v>
      </c>
      <c r="E902" s="3">
        <v>1531.82</v>
      </c>
      <c r="F902" s="4" t="s">
        <v>69</v>
      </c>
      <c r="G902" s="3">
        <v>10.41</v>
      </c>
      <c r="H902" s="4" t="s">
        <v>118</v>
      </c>
      <c r="I902" s="4" t="s">
        <v>119</v>
      </c>
      <c r="J902" s="4" t="s">
        <v>120</v>
      </c>
      <c r="K902" s="4"/>
      <c r="L902" s="3">
        <v>35.9</v>
      </c>
      <c r="M902" s="3">
        <v>21.13</v>
      </c>
      <c r="N902" s="3">
        <v>828.95</v>
      </c>
      <c r="O902" s="4" t="s">
        <v>34</v>
      </c>
      <c r="P902" s="4" t="s">
        <v>34</v>
      </c>
      <c r="Q902" s="4" t="s">
        <v>35</v>
      </c>
      <c r="R902" s="3">
        <v>307.20800000000003</v>
      </c>
      <c r="S902" s="3">
        <v>11.9651</v>
      </c>
      <c r="T902" s="4" t="s">
        <v>43</v>
      </c>
      <c r="U902" s="2" t="s">
        <v>37</v>
      </c>
      <c r="V902" s="2" t="s">
        <v>37</v>
      </c>
      <c r="W902" s="2" t="s">
        <v>37</v>
      </c>
      <c r="X902" s="2" t="s">
        <v>37</v>
      </c>
      <c r="Y902" s="2" t="s">
        <v>37</v>
      </c>
      <c r="Z902" s="2" t="s">
        <v>37</v>
      </c>
      <c r="AA902" s="6">
        <v>3.1852077360000002</v>
      </c>
      <c r="AB902" s="6">
        <v>2.4874325210000001</v>
      </c>
      <c r="AC902" s="6">
        <v>2.9185283360000001</v>
      </c>
      <c r="AD902" cm="1">
        <f t="array" ref="AD902">IF(SUMPRODUCT(--($AM$2:$AM$112=TRIM(LEFT($B902,IFERROR(FIND(" ",$B902)-1,LEN($B902))))))&gt;0,1,0)</f>
        <v>0</v>
      </c>
      <c r="AE902" cm="1">
        <f t="array" ref="AE902">IF(SUMPRODUCT(--($AO$2:$AO$145=TRIM(LEFT($B902,IFERROR(FIND(" ",$B902)-1,LEN($B902))))))&gt;0,1,0)</f>
        <v>0</v>
      </c>
      <c r="AF902" cm="1">
        <f t="array" ref="AF902">IF(SUMPRODUCT(--($AQ$2:$AQ$71=TRIM(LEFT($B902,IFERROR(FIND(" ",$B902)-1,LEN($B902))))))&gt;0,1,0)</f>
        <v>0</v>
      </c>
    </row>
    <row r="903" spans="1:32" ht="45.75" thickBot="1" x14ac:dyDescent="0.3">
      <c r="A903" s="13">
        <v>148</v>
      </c>
      <c r="B903" s="4" t="s">
        <v>1756</v>
      </c>
      <c r="C903" s="4" t="s">
        <v>1210</v>
      </c>
      <c r="D903" s="7">
        <v>43320</v>
      </c>
      <c r="E903" s="3">
        <v>1493.8</v>
      </c>
      <c r="F903" s="4" t="s">
        <v>107</v>
      </c>
      <c r="G903" s="4"/>
      <c r="H903" s="4" t="s">
        <v>65</v>
      </c>
      <c r="I903" s="4" t="s">
        <v>66</v>
      </c>
      <c r="J903" s="4" t="s">
        <v>66</v>
      </c>
      <c r="K903" s="3">
        <v>52.5</v>
      </c>
      <c r="L903" s="3">
        <v>52.5</v>
      </c>
      <c r="M903" s="3">
        <v>18.850000000000001</v>
      </c>
      <c r="N903" s="3">
        <v>1493.8</v>
      </c>
      <c r="O903" s="4" t="s">
        <v>34</v>
      </c>
      <c r="P903" s="4" t="s">
        <v>34</v>
      </c>
      <c r="Q903" s="4" t="s">
        <v>35</v>
      </c>
      <c r="R903" s="3">
        <v>237.351</v>
      </c>
      <c r="S903" s="3">
        <v>30.296700000000001</v>
      </c>
      <c r="T903" s="4" t="s">
        <v>43</v>
      </c>
      <c r="U903" s="2" t="s">
        <v>37</v>
      </c>
      <c r="V903" s="2" t="s">
        <v>37</v>
      </c>
      <c r="W903" s="2" t="s">
        <v>37</v>
      </c>
      <c r="X903" s="2" t="s">
        <v>37</v>
      </c>
      <c r="Y903" s="2" t="s">
        <v>37</v>
      </c>
      <c r="Z903" s="2" t="s">
        <v>37</v>
      </c>
      <c r="AA903" s="6">
        <v>3.1742924549999998</v>
      </c>
      <c r="AB903" s="6">
        <v>2.3753910660000002</v>
      </c>
      <c r="AC903" s="6">
        <v>3.1742924549999998</v>
      </c>
      <c r="AD903" cm="1">
        <f t="array" ref="AD903">IF(SUMPRODUCT(--($AM$2:$AM$112=TRIM(LEFT($B903,IFERROR(FIND(" ",$B903)-1,LEN($B903))))))&gt;0,1,0)</f>
        <v>0</v>
      </c>
      <c r="AE903" cm="1">
        <f t="array" ref="AE903">IF(SUMPRODUCT(--($AO$2:$AO$145=TRIM(LEFT($B903,IFERROR(FIND(" ",$B903)-1,LEN($B903))))))&gt;0,1,0)</f>
        <v>0</v>
      </c>
      <c r="AF903" cm="1">
        <f t="array" ref="AF903">IF(SUMPRODUCT(--($AQ$2:$AQ$71=TRIM(LEFT($B903,IFERROR(FIND(" ",$B903)-1,LEN($B903))))))&gt;0,1,0)</f>
        <v>0</v>
      </c>
    </row>
    <row r="904" spans="1:32" ht="60.75" thickBot="1" x14ac:dyDescent="0.3">
      <c r="A904" s="13">
        <v>83</v>
      </c>
      <c r="B904" s="4" t="s">
        <v>1757</v>
      </c>
      <c r="C904" s="4" t="s">
        <v>1758</v>
      </c>
      <c r="D904" s="7">
        <v>43411</v>
      </c>
      <c r="E904" s="3">
        <v>1017.34</v>
      </c>
      <c r="F904" s="4" t="s">
        <v>30</v>
      </c>
      <c r="G904" s="3">
        <v>18.649999999999999</v>
      </c>
      <c r="H904" s="4" t="s">
        <v>65</v>
      </c>
      <c r="I904" s="4" t="s">
        <v>138</v>
      </c>
      <c r="J904" s="4" t="s">
        <v>203</v>
      </c>
      <c r="K904" s="4"/>
      <c r="L904" s="3">
        <v>33.76</v>
      </c>
      <c r="M904" s="3">
        <v>10.62</v>
      </c>
      <c r="N904" s="3">
        <v>999.57</v>
      </c>
      <c r="O904" s="4" t="s">
        <v>34</v>
      </c>
      <c r="P904" s="4" t="s">
        <v>34</v>
      </c>
      <c r="Q904" s="4" t="s">
        <v>35</v>
      </c>
      <c r="R904" s="2"/>
      <c r="S904" s="2"/>
      <c r="T904" s="4" t="s">
        <v>43</v>
      </c>
      <c r="U904" s="2" t="s">
        <v>37</v>
      </c>
      <c r="V904" s="2" t="s">
        <v>37</v>
      </c>
      <c r="W904" s="2" t="s">
        <v>37</v>
      </c>
      <c r="X904" s="2" t="s">
        <v>37</v>
      </c>
      <c r="Y904" s="2" t="s">
        <v>37</v>
      </c>
      <c r="Z904" s="2" t="s">
        <v>37</v>
      </c>
      <c r="AA904" s="6">
        <v>3.0074661210000002</v>
      </c>
      <c r="AB904" s="2"/>
      <c r="AC904" s="6">
        <v>2.9998132129999999</v>
      </c>
      <c r="AD904" cm="1">
        <f t="array" ref="AD904">IF(SUMPRODUCT(--($AM$2:$AM$112=TRIM(LEFT($B904,IFERROR(FIND(" ",$B904)-1,LEN($B904))))))&gt;0,1,0)</f>
        <v>0</v>
      </c>
      <c r="AE904" cm="1">
        <f t="array" ref="AE904">IF(SUMPRODUCT(--($AO$2:$AO$145=TRIM(LEFT($B904,IFERROR(FIND(" ",$B904)-1,LEN($B904))))))&gt;0,1,0)</f>
        <v>0</v>
      </c>
      <c r="AF904" cm="1">
        <f t="array" ref="AF904">IF(SUMPRODUCT(--($AQ$2:$AQ$71=TRIM(LEFT($B904,IFERROR(FIND(" ",$B904)-1,LEN($B904))))))&gt;0,1,0)</f>
        <v>0</v>
      </c>
    </row>
    <row r="905" spans="1:32" ht="45.75" thickBot="1" x14ac:dyDescent="0.3">
      <c r="A905" s="13">
        <v>81</v>
      </c>
      <c r="B905" s="4" t="s">
        <v>1759</v>
      </c>
      <c r="C905" s="4" t="s">
        <v>354</v>
      </c>
      <c r="D905" s="7">
        <v>43412</v>
      </c>
      <c r="E905" s="3">
        <v>9369.6200000000008</v>
      </c>
      <c r="F905" s="4" t="s">
        <v>46</v>
      </c>
      <c r="G905" s="3">
        <v>13.93</v>
      </c>
      <c r="H905" s="4" t="s">
        <v>118</v>
      </c>
      <c r="I905" s="4" t="s">
        <v>119</v>
      </c>
      <c r="J905" s="4" t="s">
        <v>120</v>
      </c>
      <c r="K905" s="4"/>
      <c r="L905" s="3">
        <v>60</v>
      </c>
      <c r="M905" s="3">
        <v>7.49</v>
      </c>
      <c r="N905" s="3">
        <v>4933.82</v>
      </c>
      <c r="O905" s="4" t="s">
        <v>34</v>
      </c>
      <c r="P905" s="4" t="s">
        <v>34</v>
      </c>
      <c r="Q905" s="4" t="s">
        <v>35</v>
      </c>
      <c r="R905" s="3">
        <v>3843.4</v>
      </c>
      <c r="S905" s="3">
        <v>41.021700000000003</v>
      </c>
      <c r="T905" s="4" t="s">
        <v>1684</v>
      </c>
      <c r="U905" s="2" t="s">
        <v>37</v>
      </c>
      <c r="V905" s="2" t="s">
        <v>37</v>
      </c>
      <c r="W905" s="2" t="s">
        <v>37</v>
      </c>
      <c r="X905" s="2" t="s">
        <v>37</v>
      </c>
      <c r="Y905" s="2" t="s">
        <v>37</v>
      </c>
      <c r="Z905" s="2" t="s">
        <v>37</v>
      </c>
      <c r="AA905" s="6">
        <v>3.9717219780000002</v>
      </c>
      <c r="AB905" s="6">
        <v>3.5847155860000002</v>
      </c>
      <c r="AC905" s="6">
        <v>3.6931833009999999</v>
      </c>
      <c r="AD905" cm="1">
        <f t="array" ref="AD905">IF(SUMPRODUCT(--($AM$2:$AM$112=TRIM(LEFT($B905,IFERROR(FIND(" ",$B905)-1,LEN($B905))))))&gt;0,1,0)</f>
        <v>0</v>
      </c>
      <c r="AE905" cm="1">
        <f t="array" ref="AE905">IF(SUMPRODUCT(--($AO$2:$AO$145=TRIM(LEFT($B905,IFERROR(FIND(" ",$B905)-1,LEN($B905))))))&gt;0,1,0)</f>
        <v>0</v>
      </c>
      <c r="AF905" cm="1">
        <f t="array" ref="AF905">IF(SUMPRODUCT(--($AQ$2:$AQ$71=TRIM(LEFT($B905,IFERROR(FIND(" ",$B905)-1,LEN($B905))))))&gt;0,1,0)</f>
        <v>0</v>
      </c>
    </row>
    <row r="906" spans="1:32" ht="180.75" thickBot="1" x14ac:dyDescent="0.3">
      <c r="A906" s="13">
        <v>68</v>
      </c>
      <c r="B906" s="4" t="s">
        <v>1760</v>
      </c>
      <c r="C906" s="4" t="s">
        <v>1761</v>
      </c>
      <c r="D906" s="7">
        <v>43430</v>
      </c>
      <c r="E906" s="3">
        <v>1116.68</v>
      </c>
      <c r="F906" s="4" t="s">
        <v>30</v>
      </c>
      <c r="G906" s="3">
        <v>11.66</v>
      </c>
      <c r="H906" s="4" t="s">
        <v>118</v>
      </c>
      <c r="I906" s="4" t="s">
        <v>119</v>
      </c>
      <c r="J906" s="4" t="s">
        <v>120</v>
      </c>
      <c r="K906" s="3">
        <v>27</v>
      </c>
      <c r="L906" s="4"/>
      <c r="M906" s="4"/>
      <c r="N906" s="3">
        <v>535.51</v>
      </c>
      <c r="O906" s="4" t="s">
        <v>34</v>
      </c>
      <c r="P906" s="4" t="s">
        <v>34</v>
      </c>
      <c r="Q906" s="4" t="s">
        <v>35</v>
      </c>
      <c r="R906" s="3">
        <v>645.97199999999998</v>
      </c>
      <c r="S906" s="3">
        <v>41.063499999999998</v>
      </c>
      <c r="T906" s="4" t="s">
        <v>1357</v>
      </c>
      <c r="U906" s="2" t="s">
        <v>38</v>
      </c>
      <c r="V906" s="2" t="s">
        <v>37</v>
      </c>
      <c r="W906" s="2" t="s">
        <v>37</v>
      </c>
      <c r="X906" s="2" t="s">
        <v>38</v>
      </c>
      <c r="Y906" s="2" t="s">
        <v>38</v>
      </c>
      <c r="Z906" s="2" t="s">
        <v>37</v>
      </c>
      <c r="AA906" s="6">
        <v>3.047928738</v>
      </c>
      <c r="AB906" s="6">
        <v>2.8102136940000002</v>
      </c>
      <c r="AC906" s="6">
        <v>2.7287675849999999</v>
      </c>
      <c r="AD906" cm="1">
        <f t="array" ref="AD906">IF(SUMPRODUCT(--($AM$2:$AM$112=TRIM(LEFT($B906,IFERROR(FIND(" ",$B906)-1,LEN($B906))))))&gt;0,1,0)</f>
        <v>0</v>
      </c>
      <c r="AE906" cm="1">
        <f t="array" ref="AE906">IF(SUMPRODUCT(--($AO$2:$AO$145=TRIM(LEFT($B906,IFERROR(FIND(" ",$B906)-1,LEN($B906))))))&gt;0,1,0)</f>
        <v>0</v>
      </c>
      <c r="AF906" cm="1">
        <f t="array" ref="AF906">IF(SUMPRODUCT(--($AQ$2:$AQ$71=TRIM(LEFT($B906,IFERROR(FIND(" ",$B906)-1,LEN($B906))))))&gt;0,1,0)</f>
        <v>0</v>
      </c>
    </row>
    <row r="907" spans="1:32" ht="75.75" thickBot="1" x14ac:dyDescent="0.3">
      <c r="A907" s="13">
        <v>76</v>
      </c>
      <c r="B907" s="4" t="s">
        <v>1762</v>
      </c>
      <c r="C907" s="4" t="s">
        <v>375</v>
      </c>
      <c r="D907" s="7">
        <v>43418</v>
      </c>
      <c r="E907" s="3">
        <v>1048.56</v>
      </c>
      <c r="F907" s="4" t="s">
        <v>69</v>
      </c>
      <c r="G907" s="4"/>
      <c r="H907" s="4" t="s">
        <v>47</v>
      </c>
      <c r="I907" s="4" t="s">
        <v>47</v>
      </c>
      <c r="J907" s="4" t="s">
        <v>48</v>
      </c>
      <c r="K907" s="3">
        <v>38</v>
      </c>
      <c r="L907" s="3">
        <v>38</v>
      </c>
      <c r="M907" s="3">
        <v>42.35</v>
      </c>
      <c r="N907" s="3">
        <v>1094.6199999999999</v>
      </c>
      <c r="O907" s="4" t="s">
        <v>34</v>
      </c>
      <c r="P907" s="4" t="s">
        <v>49</v>
      </c>
      <c r="Q907" s="4" t="s">
        <v>35</v>
      </c>
      <c r="R907" s="3">
        <v>733.55700000000002</v>
      </c>
      <c r="S907" s="3">
        <v>-42.68</v>
      </c>
      <c r="T907" s="4" t="s">
        <v>97</v>
      </c>
      <c r="U907" s="2" t="s">
        <v>37</v>
      </c>
      <c r="V907" s="2" t="s">
        <v>37</v>
      </c>
      <c r="W907" s="2" t="s">
        <v>38</v>
      </c>
      <c r="X907" s="2" t="s">
        <v>37</v>
      </c>
      <c r="Y907" s="2" t="s">
        <v>37</v>
      </c>
      <c r="Z907" s="2" t="s">
        <v>37</v>
      </c>
      <c r="AA907" s="6">
        <v>3.020593286</v>
      </c>
      <c r="AB907" s="6">
        <v>2.8654338660000001</v>
      </c>
      <c r="AC907" s="6">
        <v>3.0392633789999999</v>
      </c>
      <c r="AD907" cm="1">
        <f t="array" ref="AD907">IF(SUMPRODUCT(--($AM$2:$AM$112=TRIM(LEFT($B907,IFERROR(FIND(" ",$B907)-1,LEN($B907))))))&gt;0,1,0)</f>
        <v>0</v>
      </c>
      <c r="AE907" cm="1">
        <f t="array" ref="AE907">IF(SUMPRODUCT(--($AO$2:$AO$145=TRIM(LEFT($B907,IFERROR(FIND(" ",$B907)-1,LEN($B907))))))&gt;0,1,0)</f>
        <v>0</v>
      </c>
      <c r="AF907" cm="1">
        <f t="array" ref="AF907">IF(SUMPRODUCT(--($AQ$2:$AQ$71=TRIM(LEFT($B907,IFERROR(FIND(" ",$B907)-1,LEN($B907))))))&gt;0,1,0)</f>
        <v>0</v>
      </c>
    </row>
    <row r="908" spans="1:32" ht="135.75" thickBot="1" x14ac:dyDescent="0.3">
      <c r="A908" s="13">
        <v>405</v>
      </c>
      <c r="B908" s="4" t="s">
        <v>1763</v>
      </c>
      <c r="C908" s="4" t="s">
        <v>1764</v>
      </c>
      <c r="D908" s="7">
        <v>42954</v>
      </c>
      <c r="E908" s="3">
        <v>1909.87</v>
      </c>
      <c r="F908" s="4" t="s">
        <v>30</v>
      </c>
      <c r="G908" s="3">
        <v>69.87</v>
      </c>
      <c r="H908" s="4" t="s">
        <v>41</v>
      </c>
      <c r="I908" s="4" t="s">
        <v>41</v>
      </c>
      <c r="J908" s="4" t="s">
        <v>60</v>
      </c>
      <c r="K908" s="3">
        <v>100</v>
      </c>
      <c r="L908" s="3">
        <v>60</v>
      </c>
      <c r="M908" s="4"/>
      <c r="N908" s="3">
        <v>1972.06</v>
      </c>
      <c r="O908" s="4" t="s">
        <v>34</v>
      </c>
      <c r="P908" s="4" t="s">
        <v>439</v>
      </c>
      <c r="Q908" s="4" t="s">
        <v>35</v>
      </c>
      <c r="R908" s="3">
        <v>393.94099999999997</v>
      </c>
      <c r="S908" s="3">
        <v>-0.654474</v>
      </c>
      <c r="T908" s="4" t="s">
        <v>990</v>
      </c>
      <c r="U908" s="2" t="s">
        <v>37</v>
      </c>
      <c r="V908" s="2" t="s">
        <v>37</v>
      </c>
      <c r="W908" s="2" t="s">
        <v>38</v>
      </c>
      <c r="X908" s="2" t="s">
        <v>37</v>
      </c>
      <c r="Y908" s="2" t="s">
        <v>38</v>
      </c>
      <c r="Z908" s="2" t="s">
        <v>37</v>
      </c>
      <c r="AA908" s="6">
        <v>3.2810038069999998</v>
      </c>
      <c r="AB908" s="6">
        <v>2.5954311830000001</v>
      </c>
      <c r="AC908" s="6">
        <v>3.2949201239999999</v>
      </c>
      <c r="AD908" cm="1">
        <f t="array" ref="AD908">IF(SUMPRODUCT(--($AM$2:$AM$112=TRIM(LEFT($B908,IFERROR(FIND(" ",$B908)-1,LEN($B908))))))&gt;0,1,0)</f>
        <v>0</v>
      </c>
      <c r="AE908" cm="1">
        <f t="array" ref="AE908">IF(SUMPRODUCT(--($AO$2:$AO$145=TRIM(LEFT($B908,IFERROR(FIND(" ",$B908)-1,LEN($B908))))))&gt;0,1,0)</f>
        <v>0</v>
      </c>
      <c r="AF908" cm="1">
        <f t="array" ref="AF908">IF(SUMPRODUCT(--($AQ$2:$AQ$71=TRIM(LEFT($B908,IFERROR(FIND(" ",$B908)-1,LEN($B908))))))&gt;0,1,0)</f>
        <v>0</v>
      </c>
    </row>
    <row r="909" spans="1:32" ht="150.75" thickBot="1" x14ac:dyDescent="0.3">
      <c r="A909" s="13">
        <v>125</v>
      </c>
      <c r="B909" s="4" t="s">
        <v>1765</v>
      </c>
      <c r="C909" s="4" t="s">
        <v>1766</v>
      </c>
      <c r="D909" s="7">
        <v>43342</v>
      </c>
      <c r="E909" s="3">
        <v>678.66</v>
      </c>
      <c r="F909" s="4" t="s">
        <v>30</v>
      </c>
      <c r="G909" s="3">
        <v>7.52</v>
      </c>
      <c r="H909" s="4" t="s">
        <v>118</v>
      </c>
      <c r="I909" s="4" t="s">
        <v>119</v>
      </c>
      <c r="J909" s="4" t="s">
        <v>355</v>
      </c>
      <c r="K909" s="4"/>
      <c r="L909" s="4"/>
      <c r="M909" s="3">
        <v>1.1399999999999999</v>
      </c>
      <c r="N909" s="3">
        <v>319.16000000000003</v>
      </c>
      <c r="O909" s="4" t="s">
        <v>49</v>
      </c>
      <c r="P909" s="4" t="s">
        <v>49</v>
      </c>
      <c r="Q909" s="4" t="s">
        <v>1767</v>
      </c>
      <c r="R909" s="3">
        <v>386.70299999999997</v>
      </c>
      <c r="S909" s="3">
        <v>-109.498</v>
      </c>
      <c r="T909" s="4" t="s">
        <v>1768</v>
      </c>
      <c r="U909" s="2" t="s">
        <v>38</v>
      </c>
      <c r="V909" s="2" t="s">
        <v>37</v>
      </c>
      <c r="W909" s="2" t="s">
        <v>37</v>
      </c>
      <c r="X909" s="2" t="s">
        <v>38</v>
      </c>
      <c r="Y909" s="2" t="s">
        <v>37</v>
      </c>
      <c r="Z909" s="2" t="s">
        <v>38</v>
      </c>
      <c r="AA909" s="6">
        <v>2.8316522530000001</v>
      </c>
      <c r="AB909" s="6">
        <v>2.5873775409999999</v>
      </c>
      <c r="AC909" s="6">
        <v>2.5040084560000002</v>
      </c>
      <c r="AD909" cm="1">
        <f t="array" ref="AD909">IF(SUMPRODUCT(--($AM$2:$AM$112=TRIM(LEFT($B909,IFERROR(FIND(" ",$B909)-1,LEN($B909))))))&gt;0,1,0)</f>
        <v>0</v>
      </c>
      <c r="AE909" cm="1">
        <f t="array" ref="AE909">IF(SUMPRODUCT(--($AO$2:$AO$145=TRIM(LEFT($B909,IFERROR(FIND(" ",$B909)-1,LEN($B909))))))&gt;0,1,0)</f>
        <v>0</v>
      </c>
      <c r="AF909" cm="1">
        <f t="array" ref="AF909">IF(SUMPRODUCT(--($AQ$2:$AQ$71=TRIM(LEFT($B909,IFERROR(FIND(" ",$B909)-1,LEN($B909))))))&gt;0,1,0)</f>
        <v>0</v>
      </c>
    </row>
    <row r="910" spans="1:32" ht="105.75" thickBot="1" x14ac:dyDescent="0.3">
      <c r="A910" s="13">
        <v>32</v>
      </c>
      <c r="B910" s="4" t="s">
        <v>1769</v>
      </c>
      <c r="C910" s="4" t="s">
        <v>40</v>
      </c>
      <c r="D910" s="7">
        <v>43472</v>
      </c>
      <c r="E910" s="3">
        <v>6973.93</v>
      </c>
      <c r="F910" s="4" t="s">
        <v>30</v>
      </c>
      <c r="G910" s="4"/>
      <c r="H910" s="4" t="s">
        <v>41</v>
      </c>
      <c r="I910" s="4" t="s">
        <v>41</v>
      </c>
      <c r="J910" s="4" t="s">
        <v>42</v>
      </c>
      <c r="K910" s="4"/>
      <c r="L910" s="3">
        <v>265</v>
      </c>
      <c r="M910" s="3">
        <v>72.739999999999995</v>
      </c>
      <c r="N910" s="3">
        <v>7595.93</v>
      </c>
      <c r="O910" s="4" t="s">
        <v>34</v>
      </c>
      <c r="P910" s="4" t="s">
        <v>34</v>
      </c>
      <c r="Q910" s="4" t="s">
        <v>35</v>
      </c>
      <c r="R910" s="3">
        <v>21.3</v>
      </c>
      <c r="S910" s="3">
        <v>-50.331499999999998</v>
      </c>
      <c r="T910" s="4" t="s">
        <v>1770</v>
      </c>
      <c r="U910" s="2" t="s">
        <v>37</v>
      </c>
      <c r="V910" s="2" t="s">
        <v>37</v>
      </c>
      <c r="W910" s="2" t="s">
        <v>37</v>
      </c>
      <c r="X910" s="2" t="s">
        <v>37</v>
      </c>
      <c r="Y910" s="2" t="s">
        <v>37</v>
      </c>
      <c r="Z910" s="2" t="s">
        <v>38</v>
      </c>
      <c r="AA910" s="6">
        <v>3.8434775839999999</v>
      </c>
      <c r="AB910" s="6">
        <v>1.3283796029999999</v>
      </c>
      <c r="AC910" s="6">
        <v>3.880580954</v>
      </c>
      <c r="AD910" cm="1">
        <f t="array" ref="AD910">IF(SUMPRODUCT(--($AM$2:$AM$112=TRIM(LEFT($B910,IFERROR(FIND(" ",$B910)-1,LEN($B910))))))&gt;0,1,0)</f>
        <v>0</v>
      </c>
      <c r="AE910" cm="1">
        <f t="array" ref="AE910">IF(SUMPRODUCT(--($AO$2:$AO$145=TRIM(LEFT($B910,IFERROR(FIND(" ",$B910)-1,LEN($B910))))))&gt;0,1,0)</f>
        <v>0</v>
      </c>
      <c r="AF910" cm="1">
        <f t="array" ref="AF910">IF(SUMPRODUCT(--($AQ$2:$AQ$71=TRIM(LEFT($B910,IFERROR(FIND(" ",$B910)-1,LEN($B910))))))&gt;0,1,0)</f>
        <v>0</v>
      </c>
    </row>
    <row r="911" spans="1:32" ht="135.75" thickBot="1" x14ac:dyDescent="0.3">
      <c r="A911" s="13">
        <v>42</v>
      </c>
      <c r="B911" s="4" t="s">
        <v>1771</v>
      </c>
      <c r="C911" s="4" t="s">
        <v>695</v>
      </c>
      <c r="D911" s="7">
        <v>43458</v>
      </c>
      <c r="E911" s="3">
        <v>1727.51</v>
      </c>
      <c r="F911" s="4" t="s">
        <v>30</v>
      </c>
      <c r="G911" s="4"/>
      <c r="H911" s="4" t="s">
        <v>31</v>
      </c>
      <c r="I911" s="4" t="s">
        <v>32</v>
      </c>
      <c r="J911" s="4" t="s">
        <v>33</v>
      </c>
      <c r="K911" s="4"/>
      <c r="L911" s="3">
        <v>57.167999999999999</v>
      </c>
      <c r="M911" s="4"/>
      <c r="N911" s="3">
        <v>1803.17</v>
      </c>
      <c r="O911" s="4" t="s">
        <v>34</v>
      </c>
      <c r="P911" s="4" t="s">
        <v>34</v>
      </c>
      <c r="Q911" s="4" t="s">
        <v>35</v>
      </c>
      <c r="R911" s="3">
        <v>182.626</v>
      </c>
      <c r="S911" s="3">
        <v>-16.523599999999998</v>
      </c>
      <c r="T911" s="4" t="s">
        <v>312</v>
      </c>
      <c r="U911" s="2" t="s">
        <v>37</v>
      </c>
      <c r="V911" s="2" t="s">
        <v>37</v>
      </c>
      <c r="W911" s="2" t="s">
        <v>37</v>
      </c>
      <c r="X911" s="2" t="s">
        <v>38</v>
      </c>
      <c r="Y911" s="2" t="s">
        <v>38</v>
      </c>
      <c r="Z911" s="2" t="s">
        <v>37</v>
      </c>
      <c r="AA911" s="6">
        <v>3.2374205699999998</v>
      </c>
      <c r="AB911" s="6">
        <v>2.2615626070000001</v>
      </c>
      <c r="AC911" s="6">
        <v>3.2560366730000001</v>
      </c>
      <c r="AD911" cm="1">
        <f t="array" ref="AD911">IF(SUMPRODUCT(--($AM$2:$AM$112=TRIM(LEFT($B911,IFERROR(FIND(" ",$B911)-1,LEN($B911))))))&gt;0,1,0)</f>
        <v>0</v>
      </c>
      <c r="AE911" cm="1">
        <f t="array" ref="AE911">IF(SUMPRODUCT(--($AO$2:$AO$145=TRIM(LEFT($B911,IFERROR(FIND(" ",$B911)-1,LEN($B911))))))&gt;0,1,0)</f>
        <v>0</v>
      </c>
      <c r="AF911" cm="1">
        <f t="array" ref="AF911">IF(SUMPRODUCT(--($AQ$2:$AQ$71=TRIM(LEFT($B911,IFERROR(FIND(" ",$B911)-1,LEN($B911))))))&gt;0,1,0)</f>
        <v>0</v>
      </c>
    </row>
    <row r="912" spans="1:32" ht="135.75" thickBot="1" x14ac:dyDescent="0.3">
      <c r="A912" s="13">
        <v>124</v>
      </c>
      <c r="B912" s="4" t="s">
        <v>204</v>
      </c>
      <c r="C912" s="4" t="s">
        <v>384</v>
      </c>
      <c r="D912" s="7">
        <v>43340</v>
      </c>
      <c r="E912" s="3">
        <v>2550.16</v>
      </c>
      <c r="F912" s="4" t="s">
        <v>30</v>
      </c>
      <c r="G912" s="4"/>
      <c r="H912" s="4" t="s">
        <v>65</v>
      </c>
      <c r="I912" s="4" t="s">
        <v>206</v>
      </c>
      <c r="J912" s="4" t="s">
        <v>206</v>
      </c>
      <c r="K912" s="3">
        <v>165.87</v>
      </c>
      <c r="L912" s="3">
        <v>82.935000000000002</v>
      </c>
      <c r="M912" s="4"/>
      <c r="N912" s="3">
        <v>2550.16</v>
      </c>
      <c r="O912" s="4" t="s">
        <v>207</v>
      </c>
      <c r="P912" s="4" t="s">
        <v>34</v>
      </c>
      <c r="Q912" s="4" t="s">
        <v>35</v>
      </c>
      <c r="R912" s="3">
        <v>3219.6</v>
      </c>
      <c r="S912" s="2"/>
      <c r="T912" s="4" t="s">
        <v>312</v>
      </c>
      <c r="U912" s="2" t="s">
        <v>37</v>
      </c>
      <c r="V912" s="2" t="s">
        <v>37</v>
      </c>
      <c r="W912" s="2" t="s">
        <v>37</v>
      </c>
      <c r="X912" s="2" t="s">
        <v>38</v>
      </c>
      <c r="Y912" s="2" t="s">
        <v>38</v>
      </c>
      <c r="Z912" s="2" t="s">
        <v>37</v>
      </c>
      <c r="AA912" s="6">
        <v>3.4065674289999999</v>
      </c>
      <c r="AB912" s="6">
        <v>3.5078019189999998</v>
      </c>
      <c r="AC912" s="6">
        <v>3.4065674289999999</v>
      </c>
      <c r="AD912" cm="1">
        <f t="array" ref="AD912">IF(SUMPRODUCT(--($AM$2:$AM$112=TRIM(LEFT($B912,IFERROR(FIND(" ",$B912)-1,LEN($B912))))))&gt;0,1,0)</f>
        <v>0</v>
      </c>
      <c r="AE912" cm="1">
        <f t="array" ref="AE912">IF(SUMPRODUCT(--($AO$2:$AO$145=TRIM(LEFT($B912,IFERROR(FIND(" ",$B912)-1,LEN($B912))))))&gt;0,1,0)</f>
        <v>1</v>
      </c>
      <c r="AF912" cm="1">
        <f t="array" ref="AF912">IF(SUMPRODUCT(--($AQ$2:$AQ$71=TRIM(LEFT($B912,IFERROR(FIND(" ",$B912)-1,LEN($B912))))))&gt;0,1,0)</f>
        <v>0</v>
      </c>
    </row>
    <row r="913" spans="1:32" ht="75.75" thickBot="1" x14ac:dyDescent="0.3">
      <c r="A913" s="13">
        <v>76</v>
      </c>
      <c r="B913" s="4" t="s">
        <v>1772</v>
      </c>
      <c r="C913" s="4" t="s">
        <v>227</v>
      </c>
      <c r="D913" s="7">
        <v>43405</v>
      </c>
      <c r="E913" s="3">
        <v>8181.15</v>
      </c>
      <c r="F913" s="4" t="s">
        <v>46</v>
      </c>
      <c r="G913" s="3">
        <v>1.55</v>
      </c>
      <c r="H913" s="4" t="s">
        <v>118</v>
      </c>
      <c r="I913" s="4" t="s">
        <v>119</v>
      </c>
      <c r="J913" s="4" t="s">
        <v>120</v>
      </c>
      <c r="K913" s="3">
        <v>300</v>
      </c>
      <c r="L913" s="3">
        <v>150</v>
      </c>
      <c r="M913" s="3">
        <v>25.5</v>
      </c>
      <c r="N913" s="3">
        <v>6009.15</v>
      </c>
      <c r="O913" s="4" t="s">
        <v>34</v>
      </c>
      <c r="P913" s="4" t="s">
        <v>49</v>
      </c>
      <c r="Q913" s="4" t="s">
        <v>35</v>
      </c>
      <c r="R913" s="2"/>
      <c r="S913" s="2"/>
      <c r="T913" s="4" t="s">
        <v>97</v>
      </c>
      <c r="U913" s="2" t="s">
        <v>37</v>
      </c>
      <c r="V913" s="2" t="s">
        <v>37</v>
      </c>
      <c r="W913" s="2" t="s">
        <v>38</v>
      </c>
      <c r="X913" s="2" t="s">
        <v>37</v>
      </c>
      <c r="Y913" s="2" t="s">
        <v>37</v>
      </c>
      <c r="Z913" s="2" t="s">
        <v>37</v>
      </c>
      <c r="AA913" s="6">
        <v>3.9128143550000001</v>
      </c>
      <c r="AB913" s="2"/>
      <c r="AC913" s="6">
        <v>3.7788130450000001</v>
      </c>
      <c r="AD913" cm="1">
        <f t="array" ref="AD913">IF(SUMPRODUCT(--($AM$2:$AM$112=TRIM(LEFT($B913,IFERROR(FIND(" ",$B913)-1,LEN($B913))))))&gt;0,1,0)</f>
        <v>0</v>
      </c>
      <c r="AE913" cm="1">
        <f t="array" ref="AE913">IF(SUMPRODUCT(--($AO$2:$AO$145=TRIM(LEFT($B913,IFERROR(FIND(" ",$B913)-1,LEN($B913))))))&gt;0,1,0)</f>
        <v>0</v>
      </c>
      <c r="AF913" cm="1">
        <f t="array" ref="AF913">IF(SUMPRODUCT(--($AQ$2:$AQ$71=TRIM(LEFT($B913,IFERROR(FIND(" ",$B913)-1,LEN($B913))))))&gt;0,1,0)</f>
        <v>0</v>
      </c>
    </row>
    <row r="914" spans="1:32" ht="180.75" thickBot="1" x14ac:dyDescent="0.3">
      <c r="A914" s="13">
        <v>67</v>
      </c>
      <c r="B914" s="4" t="s">
        <v>1773</v>
      </c>
      <c r="C914" s="2"/>
      <c r="D914" s="7">
        <v>43416</v>
      </c>
      <c r="E914" s="3">
        <v>4948.92</v>
      </c>
      <c r="F914" s="4" t="s">
        <v>30</v>
      </c>
      <c r="G914" s="3">
        <v>17.09</v>
      </c>
      <c r="H914" s="4" t="s">
        <v>31</v>
      </c>
      <c r="I914" s="4" t="s">
        <v>32</v>
      </c>
      <c r="J914" s="4" t="s">
        <v>33</v>
      </c>
      <c r="K914" s="3">
        <v>312.63499999999999</v>
      </c>
      <c r="L914" s="3">
        <v>142.10499999999999</v>
      </c>
      <c r="M914" s="4"/>
      <c r="N914" s="3">
        <v>4994.22</v>
      </c>
      <c r="O914" s="4" t="s">
        <v>34</v>
      </c>
      <c r="P914" s="4" t="s">
        <v>34</v>
      </c>
      <c r="Q914" s="4" t="s">
        <v>399</v>
      </c>
      <c r="R914" s="3">
        <v>1220.3</v>
      </c>
      <c r="S914" s="3">
        <v>12.360799999999999</v>
      </c>
      <c r="T914" s="4" t="s">
        <v>1357</v>
      </c>
      <c r="U914" s="2" t="s">
        <v>38</v>
      </c>
      <c r="V914" s="2" t="s">
        <v>37</v>
      </c>
      <c r="W914" s="2" t="s">
        <v>37</v>
      </c>
      <c r="X914" s="2" t="s">
        <v>38</v>
      </c>
      <c r="Y914" s="2" t="s">
        <v>38</v>
      </c>
      <c r="Z914" s="2" t="s">
        <v>37</v>
      </c>
      <c r="AA914" s="6">
        <v>3.694510433</v>
      </c>
      <c r="AB914" s="6">
        <v>3.0864666110000001</v>
      </c>
      <c r="AC914" s="6">
        <v>3.6984676699999999</v>
      </c>
      <c r="AD914" cm="1">
        <f t="array" ref="AD914">IF(SUMPRODUCT(--($AM$2:$AM$112=TRIM(LEFT($B914,IFERROR(FIND(" ",$B914)-1,LEN($B914))))))&gt;0,1,0)</f>
        <v>0</v>
      </c>
      <c r="AE914" cm="1">
        <f t="array" ref="AE914">IF(SUMPRODUCT(--($AO$2:$AO$145=TRIM(LEFT($B914,IFERROR(FIND(" ",$B914)-1,LEN($B914))))))&gt;0,1,0)</f>
        <v>0</v>
      </c>
      <c r="AF914" cm="1">
        <f t="array" ref="AF914">IF(SUMPRODUCT(--($AQ$2:$AQ$71=TRIM(LEFT($B914,IFERROR(FIND(" ",$B914)-1,LEN($B914))))))&gt;0,1,0)</f>
        <v>0</v>
      </c>
    </row>
    <row r="915" spans="1:32" ht="135.75" thickBot="1" x14ac:dyDescent="0.3">
      <c r="A915" s="13">
        <v>134</v>
      </c>
      <c r="B915" s="4" t="s">
        <v>1774</v>
      </c>
      <c r="C915" s="2"/>
      <c r="D915" s="7">
        <v>43320</v>
      </c>
      <c r="E915" s="3">
        <v>6877.29</v>
      </c>
      <c r="F915" s="4" t="s">
        <v>30</v>
      </c>
      <c r="G915" s="3">
        <v>12.31</v>
      </c>
      <c r="H915" s="4" t="s">
        <v>65</v>
      </c>
      <c r="I915" s="4" t="s">
        <v>138</v>
      </c>
      <c r="J915" s="4" t="s">
        <v>139</v>
      </c>
      <c r="K915" s="3">
        <v>980.1</v>
      </c>
      <c r="L915" s="3">
        <v>81.400000000000006</v>
      </c>
      <c r="M915" s="3">
        <v>14.06</v>
      </c>
      <c r="N915" s="3">
        <v>5377.29</v>
      </c>
      <c r="O915" s="4" t="s">
        <v>34</v>
      </c>
      <c r="P915" s="4" t="s">
        <v>34</v>
      </c>
      <c r="Q915" s="4" t="s">
        <v>35</v>
      </c>
      <c r="R915" s="3">
        <v>2314</v>
      </c>
      <c r="S915" s="2"/>
      <c r="T915" s="4" t="s">
        <v>1254</v>
      </c>
      <c r="U915" s="2" t="s">
        <v>37</v>
      </c>
      <c r="V915" s="2" t="s">
        <v>37</v>
      </c>
      <c r="W915" s="2" t="s">
        <v>37</v>
      </c>
      <c r="X915" s="2" t="s">
        <v>38</v>
      </c>
      <c r="Y915" s="2" t="s">
        <v>38</v>
      </c>
      <c r="Z915" s="2" t="s">
        <v>37</v>
      </c>
      <c r="AA915" s="6">
        <v>3.8374173379999998</v>
      </c>
      <c r="AB915" s="6">
        <v>3.3643633550000001</v>
      </c>
      <c r="AC915" s="6">
        <v>3.7305634589999999</v>
      </c>
      <c r="AD915" cm="1">
        <f t="array" ref="AD915">IF(SUMPRODUCT(--($AM$2:$AM$112=TRIM(LEFT($B915,IFERROR(FIND(" ",$B915)-1,LEN($B915))))))&gt;0,1,0)</f>
        <v>0</v>
      </c>
      <c r="AE915" cm="1">
        <f t="array" ref="AE915">IF(SUMPRODUCT(--($AO$2:$AO$145=TRIM(LEFT($B915,IFERROR(FIND(" ",$B915)-1,LEN($B915))))))&gt;0,1,0)</f>
        <v>0</v>
      </c>
      <c r="AF915" cm="1">
        <f t="array" ref="AF915">IF(SUMPRODUCT(--($AQ$2:$AQ$71=TRIM(LEFT($B915,IFERROR(FIND(" ",$B915)-1,LEN($B915))))))&gt;0,1,0)</f>
        <v>0</v>
      </c>
    </row>
    <row r="916" spans="1:32" ht="75.75" thickBot="1" x14ac:dyDescent="0.3">
      <c r="A916" s="13">
        <v>70</v>
      </c>
      <c r="B916" s="4" t="s">
        <v>1775</v>
      </c>
      <c r="C916" s="4" t="s">
        <v>1776</v>
      </c>
      <c r="D916" s="7">
        <v>43403</v>
      </c>
      <c r="E916" s="3">
        <v>906.92</v>
      </c>
      <c r="F916" s="4" t="s">
        <v>30</v>
      </c>
      <c r="G916" s="3">
        <v>7.02</v>
      </c>
      <c r="H916" s="4" t="s">
        <v>31</v>
      </c>
      <c r="I916" s="4" t="s">
        <v>432</v>
      </c>
      <c r="J916" s="4" t="s">
        <v>1072</v>
      </c>
      <c r="K916" s="4"/>
      <c r="L916" s="3">
        <v>35.65</v>
      </c>
      <c r="M916" s="4"/>
      <c r="N916" s="3">
        <v>1024.1400000000001</v>
      </c>
      <c r="O916" s="4" t="s">
        <v>34</v>
      </c>
      <c r="P916" s="4" t="s">
        <v>34</v>
      </c>
      <c r="Q916" s="4" t="s">
        <v>493</v>
      </c>
      <c r="R916" s="3">
        <v>367.88400000000001</v>
      </c>
      <c r="S916" s="3">
        <v>23.992000000000001</v>
      </c>
      <c r="T916" s="4" t="s">
        <v>43</v>
      </c>
      <c r="U916" s="2" t="s">
        <v>37</v>
      </c>
      <c r="V916" s="2" t="s">
        <v>37</v>
      </c>
      <c r="W916" s="2" t="s">
        <v>37</v>
      </c>
      <c r="X916" s="2" t="s">
        <v>37</v>
      </c>
      <c r="Y916" s="2" t="s">
        <v>37</v>
      </c>
      <c r="Z916" s="2" t="s">
        <v>37</v>
      </c>
      <c r="AA916" s="6">
        <v>2.9575689789999999</v>
      </c>
      <c r="AB916" s="6">
        <v>2.5657109</v>
      </c>
      <c r="AC916" s="6">
        <v>3.0103593289999999</v>
      </c>
      <c r="AD916" cm="1">
        <f t="array" ref="AD916">IF(SUMPRODUCT(--($AM$2:$AM$112=TRIM(LEFT($B916,IFERROR(FIND(" ",$B916)-1,LEN($B916))))))&gt;0,1,0)</f>
        <v>1</v>
      </c>
      <c r="AE916" cm="1">
        <f t="array" ref="AE916">IF(SUMPRODUCT(--($AO$2:$AO$145=TRIM(LEFT($B916,IFERROR(FIND(" ",$B916)-1,LEN($B916))))))&gt;0,1,0)</f>
        <v>0</v>
      </c>
      <c r="AF916" cm="1">
        <f t="array" ref="AF916">IF(SUMPRODUCT(--($AQ$2:$AQ$71=TRIM(LEFT($B916,IFERROR(FIND(" ",$B916)-1,LEN($B916))))))&gt;0,1,0)</f>
        <v>0</v>
      </c>
    </row>
    <row r="917" spans="1:32" ht="45.75" thickBot="1" x14ac:dyDescent="0.3">
      <c r="A917" s="13">
        <v>205</v>
      </c>
      <c r="B917" s="4" t="s">
        <v>1777</v>
      </c>
      <c r="C917" s="4" t="s">
        <v>1778</v>
      </c>
      <c r="D917" s="7">
        <v>43213</v>
      </c>
      <c r="E917" s="3">
        <v>8053.22</v>
      </c>
      <c r="F917" s="4" t="s">
        <v>30</v>
      </c>
      <c r="G917" s="3">
        <v>13.83</v>
      </c>
      <c r="H917" s="4" t="s">
        <v>279</v>
      </c>
      <c r="I917" s="4" t="s">
        <v>279</v>
      </c>
      <c r="J917" s="4" t="s">
        <v>974</v>
      </c>
      <c r="K917" s="3">
        <v>210</v>
      </c>
      <c r="L917" s="3">
        <v>150</v>
      </c>
      <c r="M917" s="3">
        <v>14.07</v>
      </c>
      <c r="N917" s="3">
        <v>5981.62</v>
      </c>
      <c r="O917" s="4" t="s">
        <v>34</v>
      </c>
      <c r="P917" s="4" t="s">
        <v>34</v>
      </c>
      <c r="Q917" s="4" t="s">
        <v>35</v>
      </c>
      <c r="R917" s="3">
        <v>2657.3</v>
      </c>
      <c r="S917" s="3">
        <v>9.4411500000000004</v>
      </c>
      <c r="T917" s="4" t="s">
        <v>43</v>
      </c>
      <c r="U917" s="2" t="s">
        <v>37</v>
      </c>
      <c r="V917" s="2" t="s">
        <v>37</v>
      </c>
      <c r="W917" s="2" t="s">
        <v>37</v>
      </c>
      <c r="X917" s="2" t="s">
        <v>37</v>
      </c>
      <c r="Y917" s="2" t="s">
        <v>37</v>
      </c>
      <c r="Z917" s="2" t="s">
        <v>37</v>
      </c>
      <c r="AA917" s="6">
        <v>3.9059695630000002</v>
      </c>
      <c r="AB917" s="6">
        <v>3.424440588</v>
      </c>
      <c r="AC917" s="6">
        <v>3.7768188199999999</v>
      </c>
      <c r="AD917" cm="1">
        <f t="array" ref="AD917">IF(SUMPRODUCT(--($AM$2:$AM$112=TRIM(LEFT($B917,IFERROR(FIND(" ",$B917)-1,LEN($B917))))))&gt;0,1,0)</f>
        <v>0</v>
      </c>
      <c r="AE917" cm="1">
        <f t="array" ref="AE917">IF(SUMPRODUCT(--($AO$2:$AO$145=TRIM(LEFT($B917,IFERROR(FIND(" ",$B917)-1,LEN($B917))))))&gt;0,1,0)</f>
        <v>0</v>
      </c>
      <c r="AF917" cm="1">
        <f t="array" ref="AF917">IF(SUMPRODUCT(--($AQ$2:$AQ$71=TRIM(LEFT($B917,IFERROR(FIND(" ",$B917)-1,LEN($B917))))))&gt;0,1,0)</f>
        <v>0</v>
      </c>
    </row>
    <row r="918" spans="1:32" ht="45.75" thickBot="1" x14ac:dyDescent="0.3">
      <c r="A918" s="13">
        <v>95</v>
      </c>
      <c r="B918" s="4" t="s">
        <v>1779</v>
      </c>
      <c r="C918" s="4" t="s">
        <v>1780</v>
      </c>
      <c r="D918" s="7">
        <v>43367</v>
      </c>
      <c r="E918" s="3">
        <v>2532.5500000000002</v>
      </c>
      <c r="F918" s="4" t="s">
        <v>46</v>
      </c>
      <c r="G918" s="4"/>
      <c r="H918" s="4" t="s">
        <v>184</v>
      </c>
      <c r="I918" s="4" t="s">
        <v>185</v>
      </c>
      <c r="J918" s="4" t="s">
        <v>762</v>
      </c>
      <c r="K918" s="4"/>
      <c r="L918" s="3">
        <v>105</v>
      </c>
      <c r="M918" s="3">
        <v>11.54</v>
      </c>
      <c r="N918" s="3">
        <v>2703.07</v>
      </c>
      <c r="O918" s="4" t="s">
        <v>34</v>
      </c>
      <c r="P918" s="4" t="s">
        <v>34</v>
      </c>
      <c r="Q918" s="4" t="s">
        <v>35</v>
      </c>
      <c r="R918" s="3">
        <v>3662.84</v>
      </c>
      <c r="S918" s="3">
        <v>4.2142600000000003</v>
      </c>
      <c r="T918" s="4" t="s">
        <v>43</v>
      </c>
      <c r="U918" s="2" t="s">
        <v>37</v>
      </c>
      <c r="V918" s="2" t="s">
        <v>37</v>
      </c>
      <c r="W918" s="2" t="s">
        <v>37</v>
      </c>
      <c r="X918" s="2" t="s">
        <v>37</v>
      </c>
      <c r="Y918" s="2" t="s">
        <v>37</v>
      </c>
      <c r="Z918" s="2" t="s">
        <v>37</v>
      </c>
      <c r="AA918" s="6">
        <v>3.403558028</v>
      </c>
      <c r="AB918" s="6">
        <v>3.5638179480000001</v>
      </c>
      <c r="AC918" s="6">
        <v>3.4318572930000002</v>
      </c>
      <c r="AD918" cm="1">
        <f t="array" ref="AD918">IF(SUMPRODUCT(--($AM$2:$AM$112=TRIM(LEFT($B918,IFERROR(FIND(" ",$B918)-1,LEN($B918))))))&gt;0,1,0)</f>
        <v>0</v>
      </c>
      <c r="AE918" cm="1">
        <f t="array" ref="AE918">IF(SUMPRODUCT(--($AO$2:$AO$145=TRIM(LEFT($B918,IFERROR(FIND(" ",$B918)-1,LEN($B918))))))&gt;0,1,0)</f>
        <v>0</v>
      </c>
      <c r="AF918" cm="1">
        <f t="array" ref="AF918">IF(SUMPRODUCT(--($AQ$2:$AQ$71=TRIM(LEFT($B918,IFERROR(FIND(" ",$B918)-1,LEN($B918))))))&gt;0,1,0)</f>
        <v>0</v>
      </c>
    </row>
    <row r="919" spans="1:32" ht="45.75" thickBot="1" x14ac:dyDescent="0.3">
      <c r="A919" s="13">
        <v>80</v>
      </c>
      <c r="B919" s="4" t="s">
        <v>1781</v>
      </c>
      <c r="C919" s="4" t="s">
        <v>1782</v>
      </c>
      <c r="D919" s="7">
        <v>43388</v>
      </c>
      <c r="E919" s="3">
        <v>1834.78</v>
      </c>
      <c r="F919" s="4" t="s">
        <v>46</v>
      </c>
      <c r="G919" s="3">
        <v>490.71</v>
      </c>
      <c r="H919" s="4" t="s">
        <v>31</v>
      </c>
      <c r="I919" s="4" t="s">
        <v>32</v>
      </c>
      <c r="J919" s="4" t="s">
        <v>33</v>
      </c>
      <c r="K919" s="4"/>
      <c r="L919" s="4"/>
      <c r="M919" s="3">
        <v>12.88</v>
      </c>
      <c r="N919" s="3">
        <v>2001.52</v>
      </c>
      <c r="O919" s="4" t="s">
        <v>34</v>
      </c>
      <c r="P919" s="4" t="s">
        <v>34</v>
      </c>
      <c r="Q919" s="4" t="s">
        <v>35</v>
      </c>
      <c r="R919" s="3">
        <v>111.88800000000001</v>
      </c>
      <c r="S919" s="3">
        <v>-5.1147499999999999</v>
      </c>
      <c r="T919" s="4" t="s">
        <v>43</v>
      </c>
      <c r="U919" s="2" t="s">
        <v>37</v>
      </c>
      <c r="V919" s="2" t="s">
        <v>37</v>
      </c>
      <c r="W919" s="2" t="s">
        <v>37</v>
      </c>
      <c r="X919" s="2" t="s">
        <v>37</v>
      </c>
      <c r="Y919" s="2" t="s">
        <v>37</v>
      </c>
      <c r="Z919" s="2" t="s">
        <v>37</v>
      </c>
      <c r="AA919" s="6">
        <v>3.263583997</v>
      </c>
      <c r="AB919" s="6">
        <v>2.0487835109999999</v>
      </c>
      <c r="AC919" s="6">
        <v>3.3013599340000002</v>
      </c>
      <c r="AD919" cm="1">
        <f t="array" ref="AD919">IF(SUMPRODUCT(--($AM$2:$AM$112=TRIM(LEFT($B919,IFERROR(FIND(" ",$B919)-1,LEN($B919))))))&gt;0,1,0)</f>
        <v>0</v>
      </c>
      <c r="AE919" cm="1">
        <f t="array" ref="AE919">IF(SUMPRODUCT(--($AO$2:$AO$145=TRIM(LEFT($B919,IFERROR(FIND(" ",$B919)-1,LEN($B919))))))&gt;0,1,0)</f>
        <v>0</v>
      </c>
      <c r="AF919" cm="1">
        <f t="array" ref="AF919">IF(SUMPRODUCT(--($AQ$2:$AQ$71=TRIM(LEFT($B919,IFERROR(FIND(" ",$B919)-1,LEN($B919))))))&gt;0,1,0)</f>
        <v>0</v>
      </c>
    </row>
    <row r="920" spans="1:32" ht="45.75" thickBot="1" x14ac:dyDescent="0.3">
      <c r="A920" s="13">
        <v>69</v>
      </c>
      <c r="B920" s="4" t="s">
        <v>1783</v>
      </c>
      <c r="C920" s="4" t="s">
        <v>643</v>
      </c>
      <c r="D920" s="7">
        <v>43403</v>
      </c>
      <c r="E920" s="3">
        <v>1209.23</v>
      </c>
      <c r="F920" s="4" t="s">
        <v>69</v>
      </c>
      <c r="G920" s="3">
        <v>3.32</v>
      </c>
      <c r="H920" s="4" t="s">
        <v>118</v>
      </c>
      <c r="I920" s="4" t="s">
        <v>119</v>
      </c>
      <c r="J920" s="4" t="s">
        <v>120</v>
      </c>
      <c r="K920" s="3">
        <v>120</v>
      </c>
      <c r="L920" s="3">
        <v>85</v>
      </c>
      <c r="M920" s="4"/>
      <c r="N920" s="3">
        <v>306.02</v>
      </c>
      <c r="O920" s="4" t="s">
        <v>34</v>
      </c>
      <c r="P920" s="4" t="s">
        <v>34</v>
      </c>
      <c r="Q920" s="4" t="s">
        <v>35</v>
      </c>
      <c r="R920" s="3">
        <v>95.287700000000001</v>
      </c>
      <c r="S920" s="3">
        <v>-269.76400000000001</v>
      </c>
      <c r="T920" s="4" t="s">
        <v>43</v>
      </c>
      <c r="U920" s="2" t="s">
        <v>37</v>
      </c>
      <c r="V920" s="2" t="s">
        <v>37</v>
      </c>
      <c r="W920" s="2" t="s">
        <v>37</v>
      </c>
      <c r="X920" s="2" t="s">
        <v>37</v>
      </c>
      <c r="Y920" s="2" t="s">
        <v>37</v>
      </c>
      <c r="Z920" s="2" t="s">
        <v>37</v>
      </c>
      <c r="AA920" s="6">
        <v>3.0825089129999999</v>
      </c>
      <c r="AB920" s="6">
        <v>1.9790368439999999</v>
      </c>
      <c r="AC920" s="6">
        <v>2.4857498109999998</v>
      </c>
      <c r="AD920" cm="1">
        <f t="array" ref="AD920">IF(SUMPRODUCT(--($AM$2:$AM$112=TRIM(LEFT($B920,IFERROR(FIND(" ",$B920)-1,LEN($B920))))))&gt;0,1,0)</f>
        <v>0</v>
      </c>
      <c r="AE920" cm="1">
        <f t="array" ref="AE920">IF(SUMPRODUCT(--($AO$2:$AO$145=TRIM(LEFT($B920,IFERROR(FIND(" ",$B920)-1,LEN($B920))))))&gt;0,1,0)</f>
        <v>0</v>
      </c>
      <c r="AF920" cm="1">
        <f t="array" ref="AF920">IF(SUMPRODUCT(--($AQ$2:$AQ$71=TRIM(LEFT($B920,IFERROR(FIND(" ",$B920)-1,LEN($B920))))))&gt;0,1,0)</f>
        <v>0</v>
      </c>
    </row>
    <row r="921" spans="1:32" ht="135.75" thickBot="1" x14ac:dyDescent="0.3">
      <c r="A921" s="13">
        <v>101</v>
      </c>
      <c r="B921" s="4" t="s">
        <v>1784</v>
      </c>
      <c r="C921" s="4" t="s">
        <v>1785</v>
      </c>
      <c r="D921" s="7">
        <v>43357</v>
      </c>
      <c r="E921" s="3">
        <v>921.85</v>
      </c>
      <c r="F921" s="4" t="s">
        <v>30</v>
      </c>
      <c r="G921" s="4"/>
      <c r="H921" s="4" t="s">
        <v>70</v>
      </c>
      <c r="I921" s="4" t="s">
        <v>94</v>
      </c>
      <c r="J921" s="4" t="s">
        <v>328</v>
      </c>
      <c r="K921" s="3">
        <v>20</v>
      </c>
      <c r="L921" s="3">
        <v>12</v>
      </c>
      <c r="M921" s="3">
        <v>-8.35</v>
      </c>
      <c r="N921" s="3">
        <v>428.87</v>
      </c>
      <c r="O921" s="4" t="s">
        <v>34</v>
      </c>
      <c r="P921" s="4" t="s">
        <v>34</v>
      </c>
      <c r="Q921" s="4" t="s">
        <v>493</v>
      </c>
      <c r="R921" s="3">
        <v>5037.33</v>
      </c>
      <c r="S921" s="3">
        <v>-0.73447799999999996</v>
      </c>
      <c r="T921" s="4" t="s">
        <v>461</v>
      </c>
      <c r="U921" s="2" t="s">
        <v>38</v>
      </c>
      <c r="V921" s="2" t="s">
        <v>37</v>
      </c>
      <c r="W921" s="2" t="s">
        <v>37</v>
      </c>
      <c r="X921" s="2" t="s">
        <v>37</v>
      </c>
      <c r="Y921" s="2" t="s">
        <v>37</v>
      </c>
      <c r="Z921" s="2" t="s">
        <v>38</v>
      </c>
      <c r="AA921" s="6">
        <v>2.96466026</v>
      </c>
      <c r="AB921" s="6">
        <v>3.702200403</v>
      </c>
      <c r="AC921" s="6">
        <v>2.632325668</v>
      </c>
      <c r="AD921" cm="1">
        <f t="array" ref="AD921">IF(SUMPRODUCT(--($AM$2:$AM$112=TRIM(LEFT($B921,IFERROR(FIND(" ",$B921)-1,LEN($B921))))))&gt;0,1,0)</f>
        <v>0</v>
      </c>
      <c r="AE921" cm="1">
        <f t="array" ref="AE921">IF(SUMPRODUCT(--($AO$2:$AO$145=TRIM(LEFT($B921,IFERROR(FIND(" ",$B921)-1,LEN($B921))))))&gt;0,1,0)</f>
        <v>0</v>
      </c>
      <c r="AF921" cm="1">
        <f t="array" ref="AF921">IF(SUMPRODUCT(--($AQ$2:$AQ$71=TRIM(LEFT($B921,IFERROR(FIND(" ",$B921)-1,LEN($B921))))))&gt;0,1,0)</f>
        <v>0</v>
      </c>
    </row>
    <row r="922" spans="1:32" ht="45.75" thickBot="1" x14ac:dyDescent="0.3">
      <c r="A922" s="13">
        <v>86</v>
      </c>
      <c r="B922" s="4" t="s">
        <v>1786</v>
      </c>
      <c r="C922" s="4" t="s">
        <v>508</v>
      </c>
      <c r="D922" s="7">
        <v>43378</v>
      </c>
      <c r="E922" s="3">
        <v>627.66999999999996</v>
      </c>
      <c r="F922" s="4" t="s">
        <v>46</v>
      </c>
      <c r="G922" s="4"/>
      <c r="H922" s="4" t="s">
        <v>65</v>
      </c>
      <c r="I922" s="4" t="s">
        <v>66</v>
      </c>
      <c r="J922" s="4" t="s">
        <v>66</v>
      </c>
      <c r="K922" s="3">
        <v>25</v>
      </c>
      <c r="L922" s="3">
        <v>25</v>
      </c>
      <c r="M922" s="3">
        <v>9.82</v>
      </c>
      <c r="N922" s="3">
        <v>627.66999999999996</v>
      </c>
      <c r="O922" s="4" t="s">
        <v>34</v>
      </c>
      <c r="P922" s="4" t="s">
        <v>34</v>
      </c>
      <c r="Q922" s="4" t="s">
        <v>35</v>
      </c>
      <c r="R922" s="2"/>
      <c r="S922" s="3">
        <v>34.734400000000001</v>
      </c>
      <c r="T922" s="4" t="s">
        <v>43</v>
      </c>
      <c r="U922" s="2" t="s">
        <v>37</v>
      </c>
      <c r="V922" s="2" t="s">
        <v>37</v>
      </c>
      <c r="W922" s="2" t="s">
        <v>37</v>
      </c>
      <c r="X922" s="2" t="s">
        <v>37</v>
      </c>
      <c r="Y922" s="2" t="s">
        <v>37</v>
      </c>
      <c r="Z922" s="2" t="s">
        <v>37</v>
      </c>
      <c r="AA922" s="6">
        <v>2.7977313719999999</v>
      </c>
      <c r="AB922" s="2"/>
      <c r="AC922" s="6">
        <v>2.7977313719999999</v>
      </c>
      <c r="AD922" cm="1">
        <f t="array" ref="AD922">IF(SUMPRODUCT(--($AM$2:$AM$112=TRIM(LEFT($B922,IFERROR(FIND(" ",$B922)-1,LEN($B922))))))&gt;0,1,0)</f>
        <v>0</v>
      </c>
      <c r="AE922" cm="1">
        <f t="array" ref="AE922">IF(SUMPRODUCT(--($AO$2:$AO$145=TRIM(LEFT($B922,IFERROR(FIND(" ",$B922)-1,LEN($B922))))))&gt;0,1,0)</f>
        <v>0</v>
      </c>
      <c r="AF922" cm="1">
        <f t="array" ref="AF922">IF(SUMPRODUCT(--($AQ$2:$AQ$71=TRIM(LEFT($B922,IFERROR(FIND(" ",$B922)-1,LEN($B922))))))&gt;0,1,0)</f>
        <v>0</v>
      </c>
    </row>
    <row r="923" spans="1:32" ht="45.75" thickBot="1" x14ac:dyDescent="0.3">
      <c r="A923" s="13">
        <v>71</v>
      </c>
      <c r="B923" s="4" t="s">
        <v>1787</v>
      </c>
      <c r="C923" s="4" t="s">
        <v>557</v>
      </c>
      <c r="D923" s="7">
        <v>43395</v>
      </c>
      <c r="E923" s="3">
        <v>10224.07</v>
      </c>
      <c r="F923" s="4" t="s">
        <v>46</v>
      </c>
      <c r="G923" s="3">
        <v>10.43</v>
      </c>
      <c r="H923" s="4" t="s">
        <v>118</v>
      </c>
      <c r="I923" s="4" t="s">
        <v>119</v>
      </c>
      <c r="J923" s="4" t="s">
        <v>120</v>
      </c>
      <c r="K923" s="4"/>
      <c r="L923" s="3">
        <v>55</v>
      </c>
      <c r="M923" s="3">
        <v>-1</v>
      </c>
      <c r="N923" s="3">
        <v>6052.17</v>
      </c>
      <c r="O923" s="4" t="s">
        <v>34</v>
      </c>
      <c r="P923" s="4" t="s">
        <v>34</v>
      </c>
      <c r="Q923" s="4" t="s">
        <v>35</v>
      </c>
      <c r="R923" s="3">
        <v>6900.1</v>
      </c>
      <c r="S923" s="3">
        <v>8.4547600000000003</v>
      </c>
      <c r="T923" s="4" t="s">
        <v>43</v>
      </c>
      <c r="U923" s="2" t="s">
        <v>37</v>
      </c>
      <c r="V923" s="2" t="s">
        <v>37</v>
      </c>
      <c r="W923" s="2" t="s">
        <v>37</v>
      </c>
      <c r="X923" s="2" t="s">
        <v>37</v>
      </c>
      <c r="Y923" s="2" t="s">
        <v>37</v>
      </c>
      <c r="Z923" s="2" t="s">
        <v>37</v>
      </c>
      <c r="AA923" s="6">
        <v>4.0096238140000002</v>
      </c>
      <c r="AB923" s="6">
        <v>3.838855385</v>
      </c>
      <c r="AC923" s="6">
        <v>3.781911118</v>
      </c>
      <c r="AD923" cm="1">
        <f t="array" ref="AD923">IF(SUMPRODUCT(--($AM$2:$AM$112=TRIM(LEFT($B923,IFERROR(FIND(" ",$B923)-1,LEN($B923))))))&gt;0,1,0)</f>
        <v>0</v>
      </c>
      <c r="AE923" cm="1">
        <f t="array" ref="AE923">IF(SUMPRODUCT(--($AO$2:$AO$145=TRIM(LEFT($B923,IFERROR(FIND(" ",$B923)-1,LEN($B923))))))&gt;0,1,0)</f>
        <v>0</v>
      </c>
      <c r="AF923" cm="1">
        <f t="array" ref="AF923">IF(SUMPRODUCT(--($AQ$2:$AQ$71=TRIM(LEFT($B923,IFERROR(FIND(" ",$B923)-1,LEN($B923))))))&gt;0,1,0)</f>
        <v>0</v>
      </c>
    </row>
    <row r="924" spans="1:32" ht="120.75" thickBot="1" x14ac:dyDescent="0.3">
      <c r="A924" s="13">
        <v>46</v>
      </c>
      <c r="B924" s="4" t="s">
        <v>1788</v>
      </c>
      <c r="C924" s="4" t="s">
        <v>1789</v>
      </c>
      <c r="D924" s="7">
        <v>43430</v>
      </c>
      <c r="E924" s="3">
        <v>891.98</v>
      </c>
      <c r="F924" s="4" t="s">
        <v>46</v>
      </c>
      <c r="G924" s="3">
        <v>4.5599999999999996</v>
      </c>
      <c r="H924" s="4" t="s">
        <v>118</v>
      </c>
      <c r="I924" s="4" t="s">
        <v>119</v>
      </c>
      <c r="J924" s="4" t="s">
        <v>120</v>
      </c>
      <c r="K924" s="4"/>
      <c r="L924" s="4"/>
      <c r="M924" s="3">
        <v>-0.09</v>
      </c>
      <c r="N924" s="3">
        <v>891.98</v>
      </c>
      <c r="O924" s="4" t="s">
        <v>34</v>
      </c>
      <c r="P924" s="4" t="s">
        <v>34</v>
      </c>
      <c r="Q924" s="4" t="s">
        <v>35</v>
      </c>
      <c r="R924" s="3">
        <v>480.2</v>
      </c>
      <c r="S924" s="3">
        <v>46.383600000000001</v>
      </c>
      <c r="T924" s="4" t="s">
        <v>321</v>
      </c>
      <c r="U924" s="2" t="s">
        <v>38</v>
      </c>
      <c r="V924" s="2" t="s">
        <v>37</v>
      </c>
      <c r="W924" s="2" t="s">
        <v>37</v>
      </c>
      <c r="X924" s="2" t="s">
        <v>37</v>
      </c>
      <c r="Y924" s="2" t="s">
        <v>37</v>
      </c>
      <c r="Z924" s="2" t="s">
        <v>37</v>
      </c>
      <c r="AA924" s="6">
        <v>2.950355117</v>
      </c>
      <c r="AB924" s="6">
        <v>2.681422156</v>
      </c>
      <c r="AC924" s="6">
        <v>2.950355117</v>
      </c>
      <c r="AD924" cm="1">
        <f t="array" ref="AD924">IF(SUMPRODUCT(--($AM$2:$AM$112=TRIM(LEFT($B924,IFERROR(FIND(" ",$B924)-1,LEN($B924))))))&gt;0,1,0)</f>
        <v>0</v>
      </c>
      <c r="AE924" cm="1">
        <f t="array" ref="AE924">IF(SUMPRODUCT(--($AO$2:$AO$145=TRIM(LEFT($B924,IFERROR(FIND(" ",$B924)-1,LEN($B924))))))&gt;0,1,0)</f>
        <v>0</v>
      </c>
      <c r="AF924" cm="1">
        <f t="array" ref="AF924">IF(SUMPRODUCT(--($AQ$2:$AQ$71=TRIM(LEFT($B924,IFERROR(FIND(" ",$B924)-1,LEN($B924))))))&gt;0,1,0)</f>
        <v>0</v>
      </c>
    </row>
    <row r="925" spans="1:32" ht="135.75" thickBot="1" x14ac:dyDescent="0.3">
      <c r="A925" s="13">
        <v>60</v>
      </c>
      <c r="B925" s="4" t="s">
        <v>1790</v>
      </c>
      <c r="C925" s="2"/>
      <c r="D925" s="7">
        <v>43410</v>
      </c>
      <c r="E925" s="3">
        <v>593.73</v>
      </c>
      <c r="F925" s="4" t="s">
        <v>30</v>
      </c>
      <c r="G925" s="3">
        <v>14.1</v>
      </c>
      <c r="H925" s="4" t="s">
        <v>75</v>
      </c>
      <c r="I925" s="4" t="s">
        <v>111</v>
      </c>
      <c r="J925" s="4" t="s">
        <v>133</v>
      </c>
      <c r="K925" s="3">
        <v>45</v>
      </c>
      <c r="L925" s="3">
        <v>24</v>
      </c>
      <c r="M925" s="4"/>
      <c r="N925" s="3">
        <v>593.73</v>
      </c>
      <c r="O925" s="4" t="s">
        <v>34</v>
      </c>
      <c r="P925" s="4" t="s">
        <v>34</v>
      </c>
      <c r="Q925" s="4" t="s">
        <v>35</v>
      </c>
      <c r="R925" s="3">
        <v>547.43799999999999</v>
      </c>
      <c r="S925" s="3">
        <v>4.6768299999999998</v>
      </c>
      <c r="T925" s="4" t="s">
        <v>312</v>
      </c>
      <c r="U925" s="2" t="s">
        <v>37</v>
      </c>
      <c r="V925" s="2" t="s">
        <v>37</v>
      </c>
      <c r="W925" s="2" t="s">
        <v>37</v>
      </c>
      <c r="X925" s="2" t="s">
        <v>38</v>
      </c>
      <c r="Y925" s="2" t="s">
        <v>38</v>
      </c>
      <c r="Z925" s="2" t="s">
        <v>37</v>
      </c>
      <c r="AA925" s="6">
        <v>2.7735889939999998</v>
      </c>
      <c r="AB925" s="6">
        <v>2.7383349400000001</v>
      </c>
      <c r="AC925" s="6">
        <v>2.7735889939999998</v>
      </c>
      <c r="AD925" cm="1">
        <f t="array" ref="AD925">IF(SUMPRODUCT(--($AM$2:$AM$112=TRIM(LEFT($B925,IFERROR(FIND(" ",$B925)-1,LEN($B925))))))&gt;0,1,0)</f>
        <v>0</v>
      </c>
      <c r="AE925" cm="1">
        <f t="array" ref="AE925">IF(SUMPRODUCT(--($AO$2:$AO$145=TRIM(LEFT($B925,IFERROR(FIND(" ",$B925)-1,LEN($B925))))))&gt;0,1,0)</f>
        <v>0</v>
      </c>
      <c r="AF925" cm="1">
        <f t="array" ref="AF925">IF(SUMPRODUCT(--($AQ$2:$AQ$71=TRIM(LEFT($B925,IFERROR(FIND(" ",$B925)-1,LEN($B925))))))&gt;0,1,0)</f>
        <v>0</v>
      </c>
    </row>
    <row r="926" spans="1:32" ht="105.75" thickBot="1" x14ac:dyDescent="0.3">
      <c r="A926" s="13">
        <v>53</v>
      </c>
      <c r="B926" s="4" t="s">
        <v>892</v>
      </c>
      <c r="C926" s="4" t="s">
        <v>1791</v>
      </c>
      <c r="D926" s="7">
        <v>43415</v>
      </c>
      <c r="E926" s="3">
        <v>7862.26</v>
      </c>
      <c r="F926" s="4" t="s">
        <v>30</v>
      </c>
      <c r="G926" s="4"/>
      <c r="H926" s="4" t="s">
        <v>31</v>
      </c>
      <c r="I926" s="4" t="s">
        <v>32</v>
      </c>
      <c r="J926" s="4" t="s">
        <v>33</v>
      </c>
      <c r="K926" s="4"/>
      <c r="L926" s="4"/>
      <c r="M926" s="4"/>
      <c r="N926" s="3">
        <v>8000</v>
      </c>
      <c r="O926" s="4" t="s">
        <v>34</v>
      </c>
      <c r="P926" s="4" t="s">
        <v>439</v>
      </c>
      <c r="Q926" s="4" t="s">
        <v>35</v>
      </c>
      <c r="R926" s="3">
        <v>1458.63</v>
      </c>
      <c r="S926" s="3">
        <v>-66.042599999999993</v>
      </c>
      <c r="T926" s="4" t="s">
        <v>1370</v>
      </c>
      <c r="U926" s="2" t="s">
        <v>37</v>
      </c>
      <c r="V926" s="2" t="s">
        <v>37</v>
      </c>
      <c r="W926" s="2" t="s">
        <v>38</v>
      </c>
      <c r="X926" s="2" t="s">
        <v>37</v>
      </c>
      <c r="Y926" s="2" t="s">
        <v>37</v>
      </c>
      <c r="Z926" s="2" t="s">
        <v>37</v>
      </c>
      <c r="AA926" s="6">
        <v>3.895547402</v>
      </c>
      <c r="AB926" s="6">
        <v>3.1639451420000002</v>
      </c>
      <c r="AC926" s="6">
        <v>3.903089987</v>
      </c>
      <c r="AD926" cm="1">
        <f t="array" ref="AD926">IF(SUMPRODUCT(--($AM$2:$AM$112=TRIM(LEFT($B926,IFERROR(FIND(" ",$B926)-1,LEN($B926))))))&gt;0,1,0)</f>
        <v>0</v>
      </c>
      <c r="AE926" cm="1">
        <f t="array" ref="AE926">IF(SUMPRODUCT(--($AO$2:$AO$145=TRIM(LEFT($B926,IFERROR(FIND(" ",$B926)-1,LEN($B926))))))&gt;0,1,0)</f>
        <v>0</v>
      </c>
      <c r="AF926" cm="1">
        <f t="array" ref="AF926">IF(SUMPRODUCT(--($AQ$2:$AQ$71=TRIM(LEFT($B926,IFERROR(FIND(" ",$B926)-1,LEN($B926))))))&gt;0,1,0)</f>
        <v>0</v>
      </c>
    </row>
    <row r="927" spans="1:32" ht="105.75" thickBot="1" x14ac:dyDescent="0.3">
      <c r="A927" s="13">
        <v>38</v>
      </c>
      <c r="B927" s="4" t="s">
        <v>1792</v>
      </c>
      <c r="C927" s="4" t="s">
        <v>196</v>
      </c>
      <c r="D927" s="7">
        <v>43437</v>
      </c>
      <c r="E927" s="3">
        <v>4465.07</v>
      </c>
      <c r="F927" s="4" t="s">
        <v>30</v>
      </c>
      <c r="G927" s="4"/>
      <c r="H927" s="4" t="s">
        <v>41</v>
      </c>
      <c r="I927" s="4" t="s">
        <v>41</v>
      </c>
      <c r="J927" s="4" t="s">
        <v>42</v>
      </c>
      <c r="K927" s="4"/>
      <c r="L927" s="3">
        <v>162.5</v>
      </c>
      <c r="M927" s="3">
        <v>110.15</v>
      </c>
      <c r="N927" s="3">
        <v>4298.3</v>
      </c>
      <c r="O927" s="4" t="s">
        <v>34</v>
      </c>
      <c r="P927" s="4" t="s">
        <v>166</v>
      </c>
      <c r="Q927" s="4" t="s">
        <v>35</v>
      </c>
      <c r="R927" s="3">
        <v>223.32599999999999</v>
      </c>
      <c r="S927" s="3">
        <v>-283.26600000000002</v>
      </c>
      <c r="T927" s="4" t="s">
        <v>964</v>
      </c>
      <c r="U927" s="2" t="s">
        <v>37</v>
      </c>
      <c r="V927" s="2" t="s">
        <v>37</v>
      </c>
      <c r="W927" s="2" t="s">
        <v>38</v>
      </c>
      <c r="X927" s="2" t="s">
        <v>37</v>
      </c>
      <c r="Y927" s="2" t="s">
        <v>37</v>
      </c>
      <c r="Z927" s="2" t="s">
        <v>38</v>
      </c>
      <c r="AA927" s="6">
        <v>3.6498282720000002</v>
      </c>
      <c r="AB927" s="6">
        <v>2.3489392869999999</v>
      </c>
      <c r="AC927" s="6">
        <v>3.633296724</v>
      </c>
      <c r="AD927" cm="1">
        <f t="array" ref="AD927">IF(SUMPRODUCT(--($AM$2:$AM$112=TRIM(LEFT($B927,IFERROR(FIND(" ",$B927)-1,LEN($B927))))))&gt;0,1,0)</f>
        <v>0</v>
      </c>
      <c r="AE927" cm="1">
        <f t="array" ref="AE927">IF(SUMPRODUCT(--($AO$2:$AO$145=TRIM(LEFT($B927,IFERROR(FIND(" ",$B927)-1,LEN($B927))))))&gt;0,1,0)</f>
        <v>0</v>
      </c>
      <c r="AF927" cm="1">
        <f t="array" ref="AF927">IF(SUMPRODUCT(--($AQ$2:$AQ$71=TRIM(LEFT($B927,IFERROR(FIND(" ",$B927)-1,LEN($B927))))))&gt;0,1,0)</f>
        <v>0</v>
      </c>
    </row>
    <row r="928" spans="1:32" ht="45.75" thickBot="1" x14ac:dyDescent="0.3">
      <c r="A928" s="13">
        <v>91</v>
      </c>
      <c r="B928" s="4" t="s">
        <v>1793</v>
      </c>
      <c r="C928" s="4" t="s">
        <v>1794</v>
      </c>
      <c r="D928" s="7">
        <v>43353</v>
      </c>
      <c r="E928" s="3">
        <v>2376.9899999999998</v>
      </c>
      <c r="F928" s="4" t="s">
        <v>46</v>
      </c>
      <c r="G928" s="3">
        <v>14.31</v>
      </c>
      <c r="H928" s="4" t="s">
        <v>31</v>
      </c>
      <c r="I928" s="4" t="s">
        <v>32</v>
      </c>
      <c r="J928" s="4" t="s">
        <v>270</v>
      </c>
      <c r="K928" s="3">
        <v>100</v>
      </c>
      <c r="L928" s="3">
        <v>50</v>
      </c>
      <c r="M928" s="3">
        <v>16.25</v>
      </c>
      <c r="N928" s="3">
        <v>1491.59</v>
      </c>
      <c r="O928" s="4" t="s">
        <v>34</v>
      </c>
      <c r="P928" s="4" t="s">
        <v>34</v>
      </c>
      <c r="Q928" s="4" t="s">
        <v>35</v>
      </c>
      <c r="R928" s="3">
        <v>1931.89</v>
      </c>
      <c r="S928" s="3">
        <v>5.9105699999999999</v>
      </c>
      <c r="T928" s="4" t="s">
        <v>43</v>
      </c>
      <c r="U928" s="2" t="s">
        <v>37</v>
      </c>
      <c r="V928" s="2" t="s">
        <v>37</v>
      </c>
      <c r="W928" s="2" t="s">
        <v>37</v>
      </c>
      <c r="X928" s="2" t="s">
        <v>37</v>
      </c>
      <c r="Y928" s="2" t="s">
        <v>37</v>
      </c>
      <c r="Z928" s="2" t="s">
        <v>37</v>
      </c>
      <c r="AA928" s="6">
        <v>3.3760273550000002</v>
      </c>
      <c r="AB928" s="6">
        <v>3.2859823939999999</v>
      </c>
      <c r="AC928" s="6">
        <v>3.1736494629999998</v>
      </c>
      <c r="AD928" cm="1">
        <f t="array" ref="AD928">IF(SUMPRODUCT(--($AM$2:$AM$112=TRIM(LEFT($B928,IFERROR(FIND(" ",$B928)-1,LEN($B928))))))&gt;0,1,0)</f>
        <v>0</v>
      </c>
      <c r="AE928" cm="1">
        <f t="array" ref="AE928">IF(SUMPRODUCT(--($AO$2:$AO$145=TRIM(LEFT($B928,IFERROR(FIND(" ",$B928)-1,LEN($B928))))))&gt;0,1,0)</f>
        <v>0</v>
      </c>
      <c r="AF928" cm="1">
        <f t="array" ref="AF928">IF(SUMPRODUCT(--($AQ$2:$AQ$71=TRIM(LEFT($B928,IFERROR(FIND(" ",$B928)-1,LEN($B928))))))&gt;0,1,0)</f>
        <v>0</v>
      </c>
    </row>
    <row r="929" spans="1:32" ht="135.75" thickBot="1" x14ac:dyDescent="0.3">
      <c r="A929" s="13">
        <v>68</v>
      </c>
      <c r="B929" s="4" t="s">
        <v>1795</v>
      </c>
      <c r="C929" s="4" t="s">
        <v>230</v>
      </c>
      <c r="D929" s="7">
        <v>43383</v>
      </c>
      <c r="E929" s="3">
        <v>1554.11</v>
      </c>
      <c r="F929" s="4" t="s">
        <v>30</v>
      </c>
      <c r="G929" s="3">
        <v>3100.71</v>
      </c>
      <c r="H929" s="4" t="s">
        <v>31</v>
      </c>
      <c r="I929" s="4" t="s">
        <v>32</v>
      </c>
      <c r="J929" s="4" t="s">
        <v>33</v>
      </c>
      <c r="K929" s="4"/>
      <c r="L929" s="4"/>
      <c r="M929" s="4"/>
      <c r="N929" s="3">
        <v>1950.91</v>
      </c>
      <c r="O929" s="4" t="s">
        <v>34</v>
      </c>
      <c r="P929" s="4" t="s">
        <v>34</v>
      </c>
      <c r="Q929" s="4" t="s">
        <v>35</v>
      </c>
      <c r="R929" s="3">
        <v>321.71600000000001</v>
      </c>
      <c r="S929" s="3">
        <v>-3.5007000000000001</v>
      </c>
      <c r="T929" s="4" t="s">
        <v>312</v>
      </c>
      <c r="U929" s="2" t="s">
        <v>37</v>
      </c>
      <c r="V929" s="2" t="s">
        <v>37</v>
      </c>
      <c r="W929" s="2" t="s">
        <v>37</v>
      </c>
      <c r="X929" s="2" t="s">
        <v>38</v>
      </c>
      <c r="Y929" s="2" t="s">
        <v>38</v>
      </c>
      <c r="Z929" s="2" t="s">
        <v>37</v>
      </c>
      <c r="AA929" s="6">
        <v>3.1914817549999999</v>
      </c>
      <c r="AB929" s="6">
        <v>2.5074726599999999</v>
      </c>
      <c r="AC929" s="6">
        <v>3.2902372350000002</v>
      </c>
      <c r="AD929" cm="1">
        <f t="array" ref="AD929">IF(SUMPRODUCT(--($AM$2:$AM$112=TRIM(LEFT($B929,IFERROR(FIND(" ",$B929)-1,LEN($B929))))))&gt;0,1,0)</f>
        <v>0</v>
      </c>
      <c r="AE929" cm="1">
        <f t="array" ref="AE929">IF(SUMPRODUCT(--($AO$2:$AO$145=TRIM(LEFT($B929,IFERROR(FIND(" ",$B929)-1,LEN($B929))))))&gt;0,1,0)</f>
        <v>0</v>
      </c>
      <c r="AF929" cm="1">
        <f t="array" ref="AF929">IF(SUMPRODUCT(--($AQ$2:$AQ$71=TRIM(LEFT($B929,IFERROR(FIND(" ",$B929)-1,LEN($B929))))))&gt;0,1,0)</f>
        <v>0</v>
      </c>
    </row>
    <row r="930" spans="1:32" ht="165.75" thickBot="1" x14ac:dyDescent="0.3">
      <c r="A930" s="13">
        <v>31</v>
      </c>
      <c r="B930" s="4" t="s">
        <v>1796</v>
      </c>
      <c r="C930" s="4" t="s">
        <v>674</v>
      </c>
      <c r="D930" s="7">
        <v>43434</v>
      </c>
      <c r="E930" s="3">
        <v>529.29999999999995</v>
      </c>
      <c r="F930" s="4" t="s">
        <v>30</v>
      </c>
      <c r="G930" s="3">
        <v>6.52</v>
      </c>
      <c r="H930" s="4" t="s">
        <v>118</v>
      </c>
      <c r="I930" s="4" t="s">
        <v>119</v>
      </c>
      <c r="J930" s="4" t="s">
        <v>120</v>
      </c>
      <c r="K930" s="4"/>
      <c r="L930" s="4"/>
      <c r="M930" s="3">
        <v>23.49</v>
      </c>
      <c r="N930" s="3">
        <v>529.29999999999995</v>
      </c>
      <c r="O930" s="4" t="s">
        <v>34</v>
      </c>
      <c r="P930" s="4" t="s">
        <v>34</v>
      </c>
      <c r="Q930" s="4" t="s">
        <v>35</v>
      </c>
      <c r="R930" s="3">
        <v>834.096</v>
      </c>
      <c r="S930" s="3">
        <v>67.482200000000006</v>
      </c>
      <c r="T930" s="4" t="s">
        <v>1797</v>
      </c>
      <c r="U930" s="2" t="s">
        <v>38</v>
      </c>
      <c r="V930" s="2" t="s">
        <v>37</v>
      </c>
      <c r="W930" s="2" t="s">
        <v>37</v>
      </c>
      <c r="X930" s="2" t="s">
        <v>37</v>
      </c>
      <c r="Y930" s="2" t="s">
        <v>37</v>
      </c>
      <c r="Z930" s="2" t="s">
        <v>37</v>
      </c>
      <c r="AA930" s="6">
        <v>2.723701894</v>
      </c>
      <c r="AB930" s="6">
        <v>2.9212160379999998</v>
      </c>
      <c r="AC930" s="6">
        <v>2.723701894</v>
      </c>
      <c r="AD930" cm="1">
        <f t="array" ref="AD930">IF(SUMPRODUCT(--($AM$2:$AM$112=TRIM(LEFT($B930,IFERROR(FIND(" ",$B930)-1,LEN($B930))))))&gt;0,1,0)</f>
        <v>0</v>
      </c>
      <c r="AE930" cm="1">
        <f t="array" ref="AE930">IF(SUMPRODUCT(--($AO$2:$AO$145=TRIM(LEFT($B930,IFERROR(FIND(" ",$B930)-1,LEN($B930))))))&gt;0,1,0)</f>
        <v>0</v>
      </c>
      <c r="AF930" cm="1">
        <f t="array" ref="AF930">IF(SUMPRODUCT(--($AQ$2:$AQ$71=TRIM(LEFT($B930,IFERROR(FIND(" ",$B930)-1,LEN($B930))))))&gt;0,1,0)</f>
        <v>0</v>
      </c>
    </row>
    <row r="931" spans="1:32" ht="135.75" thickBot="1" x14ac:dyDescent="0.3">
      <c r="A931" s="13">
        <v>44</v>
      </c>
      <c r="B931" s="4" t="s">
        <v>1798</v>
      </c>
      <c r="C931" s="4" t="s">
        <v>695</v>
      </c>
      <c r="D931" s="7">
        <v>43415</v>
      </c>
      <c r="E931" s="3">
        <v>1649.76</v>
      </c>
      <c r="F931" s="4" t="s">
        <v>30</v>
      </c>
      <c r="G931" s="4"/>
      <c r="H931" s="4" t="s">
        <v>31</v>
      </c>
      <c r="I931" s="4" t="s">
        <v>32</v>
      </c>
      <c r="J931" s="4" t="s">
        <v>33</v>
      </c>
      <c r="K931" s="4"/>
      <c r="L931" s="3">
        <v>58.14</v>
      </c>
      <c r="M931" s="4"/>
      <c r="N931" s="3">
        <v>1795.03</v>
      </c>
      <c r="O931" s="4" t="s">
        <v>34</v>
      </c>
      <c r="P931" s="4" t="s">
        <v>34</v>
      </c>
      <c r="Q931" s="4" t="s">
        <v>35</v>
      </c>
      <c r="R931" s="3">
        <v>188.51900000000001</v>
      </c>
      <c r="S931" s="3">
        <v>-9.7723700000000004</v>
      </c>
      <c r="T931" s="4" t="s">
        <v>312</v>
      </c>
      <c r="U931" s="2" t="s">
        <v>37</v>
      </c>
      <c r="V931" s="2" t="s">
        <v>37</v>
      </c>
      <c r="W931" s="2" t="s">
        <v>37</v>
      </c>
      <c r="X931" s="2" t="s">
        <v>38</v>
      </c>
      <c r="Y931" s="2" t="s">
        <v>38</v>
      </c>
      <c r="Z931" s="2" t="s">
        <v>37</v>
      </c>
      <c r="AA931" s="6">
        <v>3.2174207699999999</v>
      </c>
      <c r="AB931" s="6">
        <v>2.2753551270000001</v>
      </c>
      <c r="AC931" s="6">
        <v>3.2540717109999999</v>
      </c>
      <c r="AD931" cm="1">
        <f t="array" ref="AD931">IF(SUMPRODUCT(--($AM$2:$AM$112=TRIM(LEFT($B931,IFERROR(FIND(" ",$B931)-1,LEN($B931))))))&gt;0,1,0)</f>
        <v>0</v>
      </c>
      <c r="AE931" cm="1">
        <f t="array" ref="AE931">IF(SUMPRODUCT(--($AO$2:$AO$145=TRIM(LEFT($B931,IFERROR(FIND(" ",$B931)-1,LEN($B931))))))&gt;0,1,0)</f>
        <v>0</v>
      </c>
      <c r="AF931" cm="1">
        <f t="array" ref="AF931">IF(SUMPRODUCT(--($AQ$2:$AQ$71=TRIM(LEFT($B931,IFERROR(FIND(" ",$B931)-1,LEN($B931))))))&gt;0,1,0)</f>
        <v>0</v>
      </c>
    </row>
    <row r="932" spans="1:32" ht="120.75" thickBot="1" x14ac:dyDescent="0.3">
      <c r="A932" s="13">
        <v>61</v>
      </c>
      <c r="B932" s="4" t="s">
        <v>1799</v>
      </c>
      <c r="C932" s="4" t="s">
        <v>1800</v>
      </c>
      <c r="D932" s="7">
        <v>43391</v>
      </c>
      <c r="E932" s="3">
        <v>950.47</v>
      </c>
      <c r="F932" s="4" t="s">
        <v>30</v>
      </c>
      <c r="G932" s="3">
        <v>7.54</v>
      </c>
      <c r="H932" s="4" t="s">
        <v>118</v>
      </c>
      <c r="I932" s="4" t="s">
        <v>119</v>
      </c>
      <c r="J932" s="4" t="s">
        <v>120</v>
      </c>
      <c r="K932" s="4"/>
      <c r="L932" s="4"/>
      <c r="M932" s="3">
        <v>9.5399999999999991</v>
      </c>
      <c r="N932" s="3">
        <v>950.47</v>
      </c>
      <c r="O932" s="4" t="s">
        <v>34</v>
      </c>
      <c r="P932" s="4" t="s">
        <v>34</v>
      </c>
      <c r="Q932" s="4" t="s">
        <v>35</v>
      </c>
      <c r="R932" s="3">
        <v>144766</v>
      </c>
      <c r="S932" s="2"/>
      <c r="T932" s="4" t="s">
        <v>321</v>
      </c>
      <c r="U932" s="2" t="s">
        <v>38</v>
      </c>
      <c r="V932" s="2" t="s">
        <v>37</v>
      </c>
      <c r="W932" s="2" t="s">
        <v>37</v>
      </c>
      <c r="X932" s="2" t="s">
        <v>37</v>
      </c>
      <c r="Y932" s="2" t="s">
        <v>37</v>
      </c>
      <c r="Z932" s="2" t="s">
        <v>37</v>
      </c>
      <c r="AA932" s="6">
        <v>2.977938414</v>
      </c>
      <c r="AB932" s="6">
        <v>5.1606665749999996</v>
      </c>
      <c r="AC932" s="6">
        <v>2.977938414</v>
      </c>
      <c r="AD932" cm="1">
        <f t="array" ref="AD932">IF(SUMPRODUCT(--($AM$2:$AM$112=TRIM(LEFT($B932,IFERROR(FIND(" ",$B932)-1,LEN($B932))))))&gt;0,1,0)</f>
        <v>0</v>
      </c>
      <c r="AE932" cm="1">
        <f t="array" ref="AE932">IF(SUMPRODUCT(--($AO$2:$AO$145=TRIM(LEFT($B932,IFERROR(FIND(" ",$B932)-1,LEN($B932))))))&gt;0,1,0)</f>
        <v>0</v>
      </c>
      <c r="AF932" cm="1">
        <f t="array" ref="AF932">IF(SUMPRODUCT(--($AQ$2:$AQ$71=TRIM(LEFT($B932,IFERROR(FIND(" ",$B932)-1,LEN($B932))))))&gt;0,1,0)</f>
        <v>0</v>
      </c>
    </row>
    <row r="933" spans="1:32" ht="75.75" thickBot="1" x14ac:dyDescent="0.3">
      <c r="A933" s="13">
        <v>177</v>
      </c>
      <c r="B933" s="4" t="s">
        <v>1801</v>
      </c>
      <c r="C933" s="4" t="s">
        <v>1802</v>
      </c>
      <c r="D933" s="7">
        <v>43228</v>
      </c>
      <c r="E933" s="3">
        <v>80971.73</v>
      </c>
      <c r="F933" s="4" t="s">
        <v>107</v>
      </c>
      <c r="G933" s="3">
        <v>16.02</v>
      </c>
      <c r="H933" s="4" t="s">
        <v>41</v>
      </c>
      <c r="I933" s="4" t="s">
        <v>41</v>
      </c>
      <c r="J933" s="4" t="s">
        <v>42</v>
      </c>
      <c r="K933" s="3">
        <v>1224.01</v>
      </c>
      <c r="L933" s="4"/>
      <c r="M933" s="3">
        <v>32.57</v>
      </c>
      <c r="N933" s="3">
        <v>62768.53</v>
      </c>
      <c r="O933" s="4" t="s">
        <v>34</v>
      </c>
      <c r="P933" s="4" t="s">
        <v>96</v>
      </c>
      <c r="Q933" s="4" t="s">
        <v>35</v>
      </c>
      <c r="R933" s="3">
        <v>15160.6</v>
      </c>
      <c r="S933" s="3">
        <v>21.211600000000001</v>
      </c>
      <c r="T933" s="4" t="s">
        <v>97</v>
      </c>
      <c r="U933" s="2" t="s">
        <v>37</v>
      </c>
      <c r="V933" s="2" t="s">
        <v>37</v>
      </c>
      <c r="W933" s="2" t="s">
        <v>38</v>
      </c>
      <c r="X933" s="2" t="s">
        <v>37</v>
      </c>
      <c r="Y933" s="2" t="s">
        <v>37</v>
      </c>
      <c r="Z933" s="2" t="s">
        <v>37</v>
      </c>
      <c r="AA933" s="6">
        <v>4.9083334179999998</v>
      </c>
      <c r="AB933" s="6">
        <v>4.1807163889999996</v>
      </c>
      <c r="AC933" s="6">
        <v>4.7977419579999996</v>
      </c>
      <c r="AD933" cm="1">
        <f t="array" ref="AD933">IF(SUMPRODUCT(--($AM$2:$AM$112=TRIM(LEFT($B933,IFERROR(FIND(" ",$B933)-1,LEN($B933))))))&gt;0,1,0)</f>
        <v>0</v>
      </c>
      <c r="AE933" cm="1">
        <f t="array" ref="AE933">IF(SUMPRODUCT(--($AO$2:$AO$145=TRIM(LEFT($B933,IFERROR(FIND(" ",$B933)-1,LEN($B933))))))&gt;0,1,0)</f>
        <v>0</v>
      </c>
      <c r="AF933" cm="1">
        <f t="array" ref="AF933">IF(SUMPRODUCT(--($AQ$2:$AQ$71=TRIM(LEFT($B933,IFERROR(FIND(" ",$B933)-1,LEN($B933))))))&gt;0,1,0)</f>
        <v>0</v>
      </c>
    </row>
    <row r="934" spans="1:32" ht="165.75" thickBot="1" x14ac:dyDescent="0.3">
      <c r="A934" s="13">
        <v>45</v>
      </c>
      <c r="B934" s="4" t="s">
        <v>1803</v>
      </c>
      <c r="C934" s="4" t="s">
        <v>1804</v>
      </c>
      <c r="D934" s="7">
        <v>43410</v>
      </c>
      <c r="E934" s="3">
        <v>1652.27</v>
      </c>
      <c r="F934" s="4" t="s">
        <v>30</v>
      </c>
      <c r="G934" s="3">
        <v>22.91</v>
      </c>
      <c r="H934" s="4" t="s">
        <v>31</v>
      </c>
      <c r="I934" s="4" t="s">
        <v>32</v>
      </c>
      <c r="J934" s="4" t="s">
        <v>270</v>
      </c>
      <c r="K934" s="4"/>
      <c r="L934" s="4"/>
      <c r="M934" s="4"/>
      <c r="N934" s="3">
        <v>954.98</v>
      </c>
      <c r="O934" s="4" t="s">
        <v>34</v>
      </c>
      <c r="P934" s="4" t="s">
        <v>166</v>
      </c>
      <c r="Q934" s="4" t="s">
        <v>35</v>
      </c>
      <c r="R934" s="2"/>
      <c r="S934" s="3">
        <v>2.97085</v>
      </c>
      <c r="T934" s="4" t="s">
        <v>1310</v>
      </c>
      <c r="U934" s="2" t="s">
        <v>37</v>
      </c>
      <c r="V934" s="2" t="s">
        <v>37</v>
      </c>
      <c r="W934" s="2" t="s">
        <v>37</v>
      </c>
      <c r="X934" s="2" t="s">
        <v>38</v>
      </c>
      <c r="Y934" s="2" t="s">
        <v>38</v>
      </c>
      <c r="Z934" s="2" t="s">
        <v>38</v>
      </c>
      <c r="AA934" s="6">
        <v>3.2180810179999999</v>
      </c>
      <c r="AB934" s="2"/>
      <c r="AC934" s="6">
        <v>2.9799942760000002</v>
      </c>
      <c r="AD934" cm="1">
        <f t="array" ref="AD934">IF(SUMPRODUCT(--($AM$2:$AM$112=TRIM(LEFT($B934,IFERROR(FIND(" ",$B934)-1,LEN($B934))))))&gt;0,1,0)</f>
        <v>0</v>
      </c>
      <c r="AE934" cm="1">
        <f t="array" ref="AE934">IF(SUMPRODUCT(--($AO$2:$AO$145=TRIM(LEFT($B934,IFERROR(FIND(" ",$B934)-1,LEN($B934))))))&gt;0,1,0)</f>
        <v>0</v>
      </c>
      <c r="AF934" cm="1">
        <f t="array" ref="AF934">IF(SUMPRODUCT(--($AQ$2:$AQ$71=TRIM(LEFT($B934,IFERROR(FIND(" ",$B934)-1,LEN($B934))))))&gt;0,1,0)</f>
        <v>0</v>
      </c>
    </row>
    <row r="935" spans="1:32" ht="45.75" thickBot="1" x14ac:dyDescent="0.3">
      <c r="A935" s="13">
        <v>68</v>
      </c>
      <c r="B935" s="4" t="s">
        <v>1805</v>
      </c>
      <c r="C935" s="4" t="s">
        <v>1271</v>
      </c>
      <c r="D935" s="7">
        <v>43376</v>
      </c>
      <c r="E935" s="3">
        <v>1826.47</v>
      </c>
      <c r="F935" s="4" t="s">
        <v>46</v>
      </c>
      <c r="G935" s="4"/>
      <c r="H935" s="4" t="s">
        <v>31</v>
      </c>
      <c r="I935" s="4" t="s">
        <v>32</v>
      </c>
      <c r="J935" s="4" t="s">
        <v>33</v>
      </c>
      <c r="K935" s="3">
        <v>95</v>
      </c>
      <c r="L935" s="3">
        <v>65</v>
      </c>
      <c r="M935" s="3">
        <v>-0.41</v>
      </c>
      <c r="N935" s="3">
        <v>1907.93</v>
      </c>
      <c r="O935" s="4" t="s">
        <v>34</v>
      </c>
      <c r="P935" s="4" t="s">
        <v>34</v>
      </c>
      <c r="Q935" s="4" t="s">
        <v>35</v>
      </c>
      <c r="R935" s="3">
        <v>261.81</v>
      </c>
      <c r="S935" s="3">
        <v>-48.957500000000003</v>
      </c>
      <c r="T935" s="4" t="s">
        <v>43</v>
      </c>
      <c r="U935" s="2" t="s">
        <v>37</v>
      </c>
      <c r="V935" s="2" t="s">
        <v>37</v>
      </c>
      <c r="W935" s="2" t="s">
        <v>37</v>
      </c>
      <c r="X935" s="2" t="s">
        <v>37</v>
      </c>
      <c r="Y935" s="2" t="s">
        <v>37</v>
      </c>
      <c r="Z935" s="2" t="s">
        <v>37</v>
      </c>
      <c r="AA935" s="6">
        <v>3.261612543</v>
      </c>
      <c r="AB935" s="6">
        <v>2.417986231</v>
      </c>
      <c r="AC935" s="6">
        <v>3.2805624369999999</v>
      </c>
      <c r="AD935" cm="1">
        <f t="array" ref="AD935">IF(SUMPRODUCT(--($AM$2:$AM$112=TRIM(LEFT($B935,IFERROR(FIND(" ",$B935)-1,LEN($B935))))))&gt;0,1,0)</f>
        <v>0</v>
      </c>
      <c r="AE935" cm="1">
        <f t="array" ref="AE935">IF(SUMPRODUCT(--($AO$2:$AO$145=TRIM(LEFT($B935,IFERROR(FIND(" ",$B935)-1,LEN($B935))))))&gt;0,1,0)</f>
        <v>0</v>
      </c>
      <c r="AF935" cm="1">
        <f t="array" ref="AF935">IF(SUMPRODUCT(--($AQ$2:$AQ$71=TRIM(LEFT($B935,IFERROR(FIND(" ",$B935)-1,LEN($B935))))))&gt;0,1,0)</f>
        <v>0</v>
      </c>
    </row>
    <row r="936" spans="1:32" ht="45.75" thickBot="1" x14ac:dyDescent="0.3">
      <c r="A936" s="13">
        <v>261</v>
      </c>
      <c r="B936" s="4" t="s">
        <v>1806</v>
      </c>
      <c r="C936" s="4" t="s">
        <v>1789</v>
      </c>
      <c r="D936" s="7">
        <v>43103</v>
      </c>
      <c r="E936" s="3">
        <v>14504.33</v>
      </c>
      <c r="F936" s="4" t="s">
        <v>46</v>
      </c>
      <c r="G936" s="3">
        <v>27.57</v>
      </c>
      <c r="H936" s="4" t="s">
        <v>279</v>
      </c>
      <c r="I936" s="4" t="s">
        <v>279</v>
      </c>
      <c r="J936" s="4" t="s">
        <v>280</v>
      </c>
      <c r="K936" s="4"/>
      <c r="L936" s="3">
        <v>240</v>
      </c>
      <c r="M936" s="3">
        <v>31.84</v>
      </c>
      <c r="N936" s="3">
        <v>7861.33</v>
      </c>
      <c r="O936" s="4" t="s">
        <v>34</v>
      </c>
      <c r="P936" s="4" t="s">
        <v>34</v>
      </c>
      <c r="Q936" s="4" t="s">
        <v>35</v>
      </c>
      <c r="R936" s="3">
        <v>4052</v>
      </c>
      <c r="S936" s="3">
        <v>-17.991099999999999</v>
      </c>
      <c r="T936" s="4" t="s">
        <v>43</v>
      </c>
      <c r="U936" s="2" t="s">
        <v>37</v>
      </c>
      <c r="V936" s="2" t="s">
        <v>37</v>
      </c>
      <c r="W936" s="2" t="s">
        <v>37</v>
      </c>
      <c r="X936" s="2" t="s">
        <v>37</v>
      </c>
      <c r="Y936" s="2" t="s">
        <v>37</v>
      </c>
      <c r="Z936" s="2" t="s">
        <v>37</v>
      </c>
      <c r="AA936" s="6">
        <v>4.1614976720000003</v>
      </c>
      <c r="AB936" s="6">
        <v>3.6076694370000002</v>
      </c>
      <c r="AC936" s="6">
        <v>3.8954960270000001</v>
      </c>
      <c r="AD936" cm="1">
        <f t="array" ref="AD936">IF(SUMPRODUCT(--($AM$2:$AM$112=TRIM(LEFT($B936,IFERROR(FIND(" ",$B936)-1,LEN($B936))))))&gt;0,1,0)</f>
        <v>0</v>
      </c>
      <c r="AE936" cm="1">
        <f t="array" ref="AE936">IF(SUMPRODUCT(--($AO$2:$AO$145=TRIM(LEFT($B936,IFERROR(FIND(" ",$B936)-1,LEN($B936))))))&gt;0,1,0)</f>
        <v>0</v>
      </c>
      <c r="AF936" cm="1">
        <f t="array" ref="AF936">IF(SUMPRODUCT(--($AQ$2:$AQ$71=TRIM(LEFT($B936,IFERROR(FIND(" ",$B936)-1,LEN($B936))))))&gt;0,1,0)</f>
        <v>0</v>
      </c>
    </row>
    <row r="937" spans="1:32" ht="45.75" thickBot="1" x14ac:dyDescent="0.3">
      <c r="A937" s="13">
        <v>78</v>
      </c>
      <c r="B937" s="4" t="s">
        <v>1807</v>
      </c>
      <c r="C937" s="4" t="s">
        <v>1808</v>
      </c>
      <c r="D937" s="7">
        <v>43360</v>
      </c>
      <c r="E937" s="3">
        <v>3680.12</v>
      </c>
      <c r="F937" s="4" t="s">
        <v>46</v>
      </c>
      <c r="G937" s="3">
        <v>12.67</v>
      </c>
      <c r="H937" s="4" t="s">
        <v>51</v>
      </c>
      <c r="I937" s="4" t="s">
        <v>51</v>
      </c>
      <c r="J937" s="4" t="s">
        <v>79</v>
      </c>
      <c r="K937" s="4"/>
      <c r="L937" s="4"/>
      <c r="M937" s="3">
        <v>92.95</v>
      </c>
      <c r="N937" s="3">
        <v>1572.29</v>
      </c>
      <c r="O937" s="4" t="s">
        <v>34</v>
      </c>
      <c r="P937" s="4" t="s">
        <v>34</v>
      </c>
      <c r="Q937" s="4" t="s">
        <v>35</v>
      </c>
      <c r="R937" s="3">
        <v>468.10300000000001</v>
      </c>
      <c r="S937" s="3">
        <v>26.770299999999999</v>
      </c>
      <c r="T937" s="4" t="s">
        <v>43</v>
      </c>
      <c r="U937" s="2" t="s">
        <v>37</v>
      </c>
      <c r="V937" s="2" t="s">
        <v>37</v>
      </c>
      <c r="W937" s="2" t="s">
        <v>37</v>
      </c>
      <c r="X937" s="2" t="s">
        <v>37</v>
      </c>
      <c r="Y937" s="2" t="s">
        <v>37</v>
      </c>
      <c r="Z937" s="2" t="s">
        <v>37</v>
      </c>
      <c r="AA937" s="6">
        <v>3.5658619800000002</v>
      </c>
      <c r="AB937" s="6">
        <v>2.6703414240000001</v>
      </c>
      <c r="AC937" s="6">
        <v>3.1965326520000001</v>
      </c>
      <c r="AD937" cm="1">
        <f t="array" ref="AD937">IF(SUMPRODUCT(--($AM$2:$AM$112=TRIM(LEFT($B937,IFERROR(FIND(" ",$B937)-1,LEN($B937))))))&gt;0,1,0)</f>
        <v>0</v>
      </c>
      <c r="AE937" cm="1">
        <f t="array" ref="AE937">IF(SUMPRODUCT(--($AO$2:$AO$145=TRIM(LEFT($B937,IFERROR(FIND(" ",$B937)-1,LEN($B937))))))&gt;0,1,0)</f>
        <v>0</v>
      </c>
      <c r="AF937" cm="1">
        <f t="array" ref="AF937">IF(SUMPRODUCT(--($AQ$2:$AQ$71=TRIM(LEFT($B937,IFERROR(FIND(" ",$B937)-1,LEN($B937))))))&gt;0,1,0)</f>
        <v>0</v>
      </c>
    </row>
    <row r="938" spans="1:32" ht="45.75" thickBot="1" x14ac:dyDescent="0.3">
      <c r="A938" s="13">
        <v>117</v>
      </c>
      <c r="B938" s="4" t="s">
        <v>1809</v>
      </c>
      <c r="C938" s="4" t="s">
        <v>263</v>
      </c>
      <c r="D938" s="7">
        <v>43305</v>
      </c>
      <c r="E938" s="3">
        <v>2692.62</v>
      </c>
      <c r="F938" s="4" t="s">
        <v>46</v>
      </c>
      <c r="G938" s="4"/>
      <c r="H938" s="4" t="s">
        <v>65</v>
      </c>
      <c r="I938" s="4" t="s">
        <v>66</v>
      </c>
      <c r="J938" s="4" t="s">
        <v>66</v>
      </c>
      <c r="K938" s="3">
        <v>93.5</v>
      </c>
      <c r="L938" s="3">
        <v>93.5</v>
      </c>
      <c r="M938" s="3">
        <v>-4.79</v>
      </c>
      <c r="N938" s="3">
        <v>2692.62</v>
      </c>
      <c r="O938" s="4" t="s">
        <v>34</v>
      </c>
      <c r="P938" s="4" t="s">
        <v>34</v>
      </c>
      <c r="Q938" s="4" t="s">
        <v>35</v>
      </c>
      <c r="R938" s="3">
        <v>409.11700000000002</v>
      </c>
      <c r="S938" s="3">
        <v>55.484999999999999</v>
      </c>
      <c r="T938" s="4" t="s">
        <v>43</v>
      </c>
      <c r="U938" s="2" t="s">
        <v>37</v>
      </c>
      <c r="V938" s="2" t="s">
        <v>37</v>
      </c>
      <c r="W938" s="2" t="s">
        <v>37</v>
      </c>
      <c r="X938" s="2" t="s">
        <v>37</v>
      </c>
      <c r="Y938" s="2" t="s">
        <v>37</v>
      </c>
      <c r="Z938" s="2" t="s">
        <v>37</v>
      </c>
      <c r="AA938" s="6">
        <v>3.430175067</v>
      </c>
      <c r="AB938" s="6">
        <v>2.611847526</v>
      </c>
      <c r="AC938" s="6">
        <v>3.430175067</v>
      </c>
      <c r="AD938" cm="1">
        <f t="array" ref="AD938">IF(SUMPRODUCT(--($AM$2:$AM$112=TRIM(LEFT($B938,IFERROR(FIND(" ",$B938)-1,LEN($B938))))))&gt;0,1,0)</f>
        <v>0</v>
      </c>
      <c r="AE938" cm="1">
        <f t="array" ref="AE938">IF(SUMPRODUCT(--($AO$2:$AO$145=TRIM(LEFT($B938,IFERROR(FIND(" ",$B938)-1,LEN($B938))))))&gt;0,1,0)</f>
        <v>0</v>
      </c>
      <c r="AF938" cm="1">
        <f t="array" ref="AF938">IF(SUMPRODUCT(--($AQ$2:$AQ$71=TRIM(LEFT($B938,IFERROR(FIND(" ",$B938)-1,LEN($B938))))))&gt;0,1,0)</f>
        <v>0</v>
      </c>
    </row>
    <row r="939" spans="1:32" ht="75.75" thickBot="1" x14ac:dyDescent="0.3">
      <c r="A939" s="13">
        <v>139</v>
      </c>
      <c r="B939" s="4" t="s">
        <v>1810</v>
      </c>
      <c r="C939" s="4" t="s">
        <v>1517</v>
      </c>
      <c r="D939" s="7">
        <v>43273</v>
      </c>
      <c r="E939" s="3">
        <v>1141.72</v>
      </c>
      <c r="F939" s="4" t="s">
        <v>107</v>
      </c>
      <c r="G939" s="4"/>
      <c r="H939" s="4" t="s">
        <v>75</v>
      </c>
      <c r="I939" s="4" t="s">
        <v>76</v>
      </c>
      <c r="J939" s="4" t="s">
        <v>77</v>
      </c>
      <c r="K939" s="3">
        <v>35</v>
      </c>
      <c r="L939" s="4"/>
      <c r="M939" s="4"/>
      <c r="N939" s="3">
        <v>1141.72</v>
      </c>
      <c r="O939" s="4" t="s">
        <v>34</v>
      </c>
      <c r="P939" s="4" t="s">
        <v>34</v>
      </c>
      <c r="Q939" s="4" t="s">
        <v>35</v>
      </c>
      <c r="R939" s="2"/>
      <c r="S939" s="2"/>
      <c r="T939" s="4" t="s">
        <v>43</v>
      </c>
      <c r="U939" s="2" t="s">
        <v>37</v>
      </c>
      <c r="V939" s="2" t="s">
        <v>37</v>
      </c>
      <c r="W939" s="2" t="s">
        <v>37</v>
      </c>
      <c r="X939" s="2" t="s">
        <v>37</v>
      </c>
      <c r="Y939" s="2" t="s">
        <v>37</v>
      </c>
      <c r="Z939" s="2" t="s">
        <v>37</v>
      </c>
      <c r="AA939" s="6">
        <v>3.0575596090000001</v>
      </c>
      <c r="AB939" s="2"/>
      <c r="AC939" s="6">
        <v>3.0575596090000001</v>
      </c>
      <c r="AD939" cm="1">
        <f t="array" ref="AD939">IF(SUMPRODUCT(--($AM$2:$AM$112=TRIM(LEFT($B939,IFERROR(FIND(" ",$B939)-1,LEN($B939))))))&gt;0,1,0)</f>
        <v>0</v>
      </c>
      <c r="AE939" cm="1">
        <f t="array" ref="AE939">IF(SUMPRODUCT(--($AO$2:$AO$145=TRIM(LEFT($B939,IFERROR(FIND(" ",$B939)-1,LEN($B939))))))&gt;0,1,0)</f>
        <v>0</v>
      </c>
      <c r="AF939" cm="1">
        <f t="array" ref="AF939">IF(SUMPRODUCT(--($AQ$2:$AQ$71=TRIM(LEFT($B939,IFERROR(FIND(" ",$B939)-1,LEN($B939))))))&gt;0,1,0)</f>
        <v>0</v>
      </c>
    </row>
    <row r="940" spans="1:32" ht="45.75" thickBot="1" x14ac:dyDescent="0.3">
      <c r="A940" s="13">
        <v>162</v>
      </c>
      <c r="B940" s="4" t="s">
        <v>1811</v>
      </c>
      <c r="C940" s="4" t="s">
        <v>570</v>
      </c>
      <c r="D940" s="7">
        <v>43242</v>
      </c>
      <c r="E940" s="3">
        <v>985.51</v>
      </c>
      <c r="F940" s="4" t="s">
        <v>46</v>
      </c>
      <c r="G940" s="4"/>
      <c r="H940" s="4" t="s">
        <v>65</v>
      </c>
      <c r="I940" s="4" t="s">
        <v>66</v>
      </c>
      <c r="J940" s="4" t="s">
        <v>66</v>
      </c>
      <c r="K940" s="4"/>
      <c r="L940" s="4"/>
      <c r="M940" s="3">
        <v>14.07</v>
      </c>
      <c r="N940" s="3">
        <v>985.51</v>
      </c>
      <c r="O940" s="4" t="s">
        <v>34</v>
      </c>
      <c r="P940" s="4" t="s">
        <v>34</v>
      </c>
      <c r="Q940" s="4" t="s">
        <v>35</v>
      </c>
      <c r="R940" s="3">
        <v>159.74600000000001</v>
      </c>
      <c r="S940" s="3">
        <v>42.420699999999997</v>
      </c>
      <c r="T940" s="4" t="s">
        <v>43</v>
      </c>
      <c r="U940" s="2" t="s">
        <v>37</v>
      </c>
      <c r="V940" s="2" t="s">
        <v>37</v>
      </c>
      <c r="W940" s="2" t="s">
        <v>37</v>
      </c>
      <c r="X940" s="2" t="s">
        <v>37</v>
      </c>
      <c r="Y940" s="2" t="s">
        <v>37</v>
      </c>
      <c r="Z940" s="2" t="s">
        <v>37</v>
      </c>
      <c r="AA940" s="6">
        <v>2.9936610350000001</v>
      </c>
      <c r="AB940" s="6">
        <v>2.2034299919999998</v>
      </c>
      <c r="AC940" s="6">
        <v>2.9936610350000001</v>
      </c>
      <c r="AD940" cm="1">
        <f t="array" ref="AD940">IF(SUMPRODUCT(--($AM$2:$AM$112=TRIM(LEFT($B940,IFERROR(FIND(" ",$B940)-1,LEN($B940))))))&gt;0,1,0)</f>
        <v>0</v>
      </c>
      <c r="AE940" cm="1">
        <f t="array" ref="AE940">IF(SUMPRODUCT(--($AO$2:$AO$145=TRIM(LEFT($B940,IFERROR(FIND(" ",$B940)-1,LEN($B940))))))&gt;0,1,0)</f>
        <v>0</v>
      </c>
      <c r="AF940" cm="1">
        <f t="array" ref="AF940">IF(SUMPRODUCT(--($AQ$2:$AQ$71=TRIM(LEFT($B940,IFERROR(FIND(" ",$B940)-1,LEN($B940))))))&gt;0,1,0)</f>
        <v>0</v>
      </c>
    </row>
    <row r="941" spans="1:32" ht="45.75" thickBot="1" x14ac:dyDescent="0.3">
      <c r="A941" s="13">
        <v>168</v>
      </c>
      <c r="B941" s="4" t="s">
        <v>1812</v>
      </c>
      <c r="C941" s="4" t="s">
        <v>1261</v>
      </c>
      <c r="D941" s="7">
        <v>43233</v>
      </c>
      <c r="E941" s="3">
        <v>965.28</v>
      </c>
      <c r="F941" s="4" t="s">
        <v>46</v>
      </c>
      <c r="G941" s="4"/>
      <c r="H941" s="4" t="s">
        <v>65</v>
      </c>
      <c r="I941" s="4" t="s">
        <v>66</v>
      </c>
      <c r="J941" s="4" t="s">
        <v>66</v>
      </c>
      <c r="K941" s="4"/>
      <c r="L941" s="3">
        <v>37.5</v>
      </c>
      <c r="M941" s="3">
        <v>-23.14</v>
      </c>
      <c r="N941" s="3">
        <v>965.28</v>
      </c>
      <c r="O941" s="4" t="s">
        <v>34</v>
      </c>
      <c r="P941" s="4" t="s">
        <v>34</v>
      </c>
      <c r="Q941" s="4" t="s">
        <v>35</v>
      </c>
      <c r="R941" s="3">
        <v>248.13499999999999</v>
      </c>
      <c r="S941" s="3">
        <v>34.195700000000002</v>
      </c>
      <c r="T941" s="4" t="s">
        <v>43</v>
      </c>
      <c r="U941" s="2" t="s">
        <v>37</v>
      </c>
      <c r="V941" s="2" t="s">
        <v>37</v>
      </c>
      <c r="W941" s="2" t="s">
        <v>37</v>
      </c>
      <c r="X941" s="2" t="s">
        <v>37</v>
      </c>
      <c r="Y941" s="2" t="s">
        <v>37</v>
      </c>
      <c r="Z941" s="2" t="s">
        <v>37</v>
      </c>
      <c r="AA941" s="6">
        <v>2.9846533079999999</v>
      </c>
      <c r="AB941" s="6">
        <v>2.3946880269999999</v>
      </c>
      <c r="AC941" s="6">
        <v>2.9846533079999999</v>
      </c>
      <c r="AD941" cm="1">
        <f t="array" ref="AD941">IF(SUMPRODUCT(--($AM$2:$AM$112=TRIM(LEFT($B941,IFERROR(FIND(" ",$B941)-1,LEN($B941))))))&gt;0,1,0)</f>
        <v>0</v>
      </c>
      <c r="AE941" cm="1">
        <f t="array" ref="AE941">IF(SUMPRODUCT(--($AO$2:$AO$145=TRIM(LEFT($B941,IFERROR(FIND(" ",$B941)-1,LEN($B941))))))&gt;0,1,0)</f>
        <v>0</v>
      </c>
      <c r="AF941" cm="1">
        <f t="array" ref="AF941">IF(SUMPRODUCT(--($AQ$2:$AQ$71=TRIM(LEFT($B941,IFERROR(FIND(" ",$B941)-1,LEN($B941))))))&gt;0,1,0)</f>
        <v>0</v>
      </c>
    </row>
    <row r="942" spans="1:32" ht="45.75" thickBot="1" x14ac:dyDescent="0.3">
      <c r="A942" s="13">
        <v>117</v>
      </c>
      <c r="B942" s="4" t="s">
        <v>1813</v>
      </c>
      <c r="C942" s="4" t="s">
        <v>348</v>
      </c>
      <c r="D942" s="7">
        <v>43305</v>
      </c>
      <c r="E942" s="3">
        <v>946.97</v>
      </c>
      <c r="F942" s="4" t="s">
        <v>46</v>
      </c>
      <c r="G942" s="4"/>
      <c r="H942" s="4" t="s">
        <v>65</v>
      </c>
      <c r="I942" s="4" t="s">
        <v>66</v>
      </c>
      <c r="J942" s="4" t="s">
        <v>66</v>
      </c>
      <c r="K942" s="3">
        <v>40</v>
      </c>
      <c r="L942" s="3">
        <v>40</v>
      </c>
      <c r="M942" s="3">
        <v>14.7</v>
      </c>
      <c r="N942" s="3">
        <v>946.97</v>
      </c>
      <c r="O942" s="4" t="s">
        <v>34</v>
      </c>
      <c r="P942" s="4" t="s">
        <v>34</v>
      </c>
      <c r="Q942" s="4" t="s">
        <v>35</v>
      </c>
      <c r="R942" s="3">
        <v>190.762</v>
      </c>
      <c r="S942" s="3">
        <v>37.668700000000001</v>
      </c>
      <c r="T942" s="4" t="s">
        <v>43</v>
      </c>
      <c r="U942" s="2" t="s">
        <v>37</v>
      </c>
      <c r="V942" s="2" t="s">
        <v>37</v>
      </c>
      <c r="W942" s="2" t="s">
        <v>37</v>
      </c>
      <c r="X942" s="2" t="s">
        <v>37</v>
      </c>
      <c r="Y942" s="2" t="s">
        <v>37</v>
      </c>
      <c r="Z942" s="2" t="s">
        <v>37</v>
      </c>
      <c r="AA942" s="6">
        <v>2.9763362209999999</v>
      </c>
      <c r="AB942" s="6">
        <v>2.2804918669999998</v>
      </c>
      <c r="AC942" s="6">
        <v>2.9763362209999999</v>
      </c>
      <c r="AD942" cm="1">
        <f t="array" ref="AD942">IF(SUMPRODUCT(--($AM$2:$AM$112=TRIM(LEFT($B942,IFERROR(FIND(" ",$B942)-1,LEN($B942))))))&gt;0,1,0)</f>
        <v>0</v>
      </c>
      <c r="AE942" cm="1">
        <f t="array" ref="AE942">IF(SUMPRODUCT(--($AO$2:$AO$145=TRIM(LEFT($B942,IFERROR(FIND(" ",$B942)-1,LEN($B942))))))&gt;0,1,0)</f>
        <v>0</v>
      </c>
      <c r="AF942" cm="1">
        <f t="array" ref="AF942">IF(SUMPRODUCT(--($AQ$2:$AQ$71=TRIM(LEFT($B942,IFERROR(FIND(" ",$B942)-1,LEN($B942))))))&gt;0,1,0)</f>
        <v>0</v>
      </c>
    </row>
    <row r="943" spans="1:32" ht="75.75" thickBot="1" x14ac:dyDescent="0.3">
      <c r="A943" s="13">
        <v>48</v>
      </c>
      <c r="B943" s="4" t="s">
        <v>1814</v>
      </c>
      <c r="C943" s="4" t="s">
        <v>200</v>
      </c>
      <c r="D943" s="7">
        <v>43391</v>
      </c>
      <c r="E943" s="3">
        <v>1843.44</v>
      </c>
      <c r="F943" s="4" t="s">
        <v>30</v>
      </c>
      <c r="G943" s="4"/>
      <c r="H943" s="4" t="s">
        <v>41</v>
      </c>
      <c r="I943" s="4" t="s">
        <v>41</v>
      </c>
      <c r="J943" s="4" t="s">
        <v>42</v>
      </c>
      <c r="K943" s="3">
        <v>150</v>
      </c>
      <c r="L943" s="3">
        <v>73.5</v>
      </c>
      <c r="M943" s="3">
        <v>44.69</v>
      </c>
      <c r="N943" s="3">
        <v>2010.23</v>
      </c>
      <c r="O943" s="4" t="s">
        <v>34</v>
      </c>
      <c r="P943" s="4" t="s">
        <v>869</v>
      </c>
      <c r="Q943" s="4" t="s">
        <v>35</v>
      </c>
      <c r="R943" s="3">
        <v>7.0000000000000007E-2</v>
      </c>
      <c r="S943" s="3">
        <v>-34084.5</v>
      </c>
      <c r="T943" s="4" t="s">
        <v>97</v>
      </c>
      <c r="U943" s="2" t="s">
        <v>37</v>
      </c>
      <c r="V943" s="2" t="s">
        <v>37</v>
      </c>
      <c r="W943" s="2" t="s">
        <v>38</v>
      </c>
      <c r="X943" s="2" t="s">
        <v>37</v>
      </c>
      <c r="Y943" s="2" t="s">
        <v>37</v>
      </c>
      <c r="Z943" s="2" t="s">
        <v>37</v>
      </c>
      <c r="AA943" s="6">
        <v>3.2656290069999998</v>
      </c>
      <c r="AB943" s="6">
        <v>-1.1549019599999999</v>
      </c>
      <c r="AC943" s="6">
        <v>3.3032457499999999</v>
      </c>
      <c r="AD943" cm="1">
        <f t="array" ref="AD943">IF(SUMPRODUCT(--($AM$2:$AM$112=TRIM(LEFT($B943,IFERROR(FIND(" ",$B943)-1,LEN($B943))))))&gt;0,1,0)</f>
        <v>0</v>
      </c>
      <c r="AE943" cm="1">
        <f t="array" ref="AE943">IF(SUMPRODUCT(--($AO$2:$AO$145=TRIM(LEFT($B943,IFERROR(FIND(" ",$B943)-1,LEN($B943))))))&gt;0,1,0)</f>
        <v>0</v>
      </c>
      <c r="AF943" cm="1">
        <f t="array" ref="AF943">IF(SUMPRODUCT(--($AQ$2:$AQ$71=TRIM(LEFT($B943,IFERROR(FIND(" ",$B943)-1,LEN($B943))))))&gt;0,1,0)</f>
        <v>0</v>
      </c>
    </row>
    <row r="944" spans="1:32" ht="60.75" thickBot="1" x14ac:dyDescent="0.3">
      <c r="A944" s="13">
        <v>207</v>
      </c>
      <c r="B944" s="4" t="s">
        <v>1815</v>
      </c>
      <c r="C944" s="4" t="s">
        <v>1816</v>
      </c>
      <c r="D944" s="7">
        <v>43167</v>
      </c>
      <c r="E944" s="3">
        <v>68369.38</v>
      </c>
      <c r="F944" s="4" t="s">
        <v>107</v>
      </c>
      <c r="G944" s="3">
        <v>9.3699999999999992</v>
      </c>
      <c r="H944" s="4" t="s">
        <v>41</v>
      </c>
      <c r="I944" s="4" t="s">
        <v>41</v>
      </c>
      <c r="J944" s="4" t="s">
        <v>100</v>
      </c>
      <c r="K944" s="3">
        <v>2100</v>
      </c>
      <c r="L944" s="4"/>
      <c r="M944" s="3">
        <v>28.07</v>
      </c>
      <c r="N944" s="3">
        <v>54664.58</v>
      </c>
      <c r="O944" s="4" t="s">
        <v>34</v>
      </c>
      <c r="P944" s="4" t="s">
        <v>34</v>
      </c>
      <c r="Q944" s="4" t="s">
        <v>35</v>
      </c>
      <c r="R944" s="3">
        <v>100065</v>
      </c>
      <c r="S944" s="3">
        <v>5.2734399999999999</v>
      </c>
      <c r="T944" s="4" t="s">
        <v>43</v>
      </c>
      <c r="U944" s="2" t="s">
        <v>37</v>
      </c>
      <c r="V944" s="2" t="s">
        <v>37</v>
      </c>
      <c r="W944" s="2" t="s">
        <v>37</v>
      </c>
      <c r="X944" s="2" t="s">
        <v>37</v>
      </c>
      <c r="Y944" s="2" t="s">
        <v>37</v>
      </c>
      <c r="Z944" s="2" t="s">
        <v>37</v>
      </c>
      <c r="AA944" s="6">
        <v>4.8348616419999999</v>
      </c>
      <c r="AB944" s="6">
        <v>5.0002822</v>
      </c>
      <c r="AC944" s="6">
        <v>4.7377060159999997</v>
      </c>
      <c r="AD944" cm="1">
        <f t="array" ref="AD944">IF(SUMPRODUCT(--($AM$2:$AM$112=TRIM(LEFT($B944,IFERROR(FIND(" ",$B944)-1,LEN($B944))))))&gt;0,1,0)</f>
        <v>0</v>
      </c>
      <c r="AE944" cm="1">
        <f t="array" ref="AE944">IF(SUMPRODUCT(--($AO$2:$AO$145=TRIM(LEFT($B944,IFERROR(FIND(" ",$B944)-1,LEN($B944))))))&gt;0,1,0)</f>
        <v>0</v>
      </c>
      <c r="AF944" cm="1">
        <f t="array" ref="AF944">IF(SUMPRODUCT(--($AQ$2:$AQ$71=TRIM(LEFT($B944,IFERROR(FIND(" ",$B944)-1,LEN($B944))))))&gt;0,1,0)</f>
        <v>0</v>
      </c>
    </row>
    <row r="945" spans="1:32" ht="75.75" thickBot="1" x14ac:dyDescent="0.3">
      <c r="A945" s="13">
        <v>64</v>
      </c>
      <c r="B945" s="4" t="s">
        <v>1817</v>
      </c>
      <c r="C945" s="4" t="s">
        <v>1818</v>
      </c>
      <c r="D945" s="7">
        <v>43368</v>
      </c>
      <c r="E945" s="3">
        <v>788.81</v>
      </c>
      <c r="F945" s="4" t="s">
        <v>30</v>
      </c>
      <c r="G945" s="3">
        <v>27.31</v>
      </c>
      <c r="H945" s="4" t="s">
        <v>184</v>
      </c>
      <c r="I945" s="4" t="s">
        <v>185</v>
      </c>
      <c r="J945" s="4" t="s">
        <v>762</v>
      </c>
      <c r="K945" s="3">
        <v>50</v>
      </c>
      <c r="L945" s="3">
        <v>24.3</v>
      </c>
      <c r="M945" s="4"/>
      <c r="N945" s="3">
        <v>906.7</v>
      </c>
      <c r="O945" s="4" t="s">
        <v>34</v>
      </c>
      <c r="P945" s="4" t="s">
        <v>34</v>
      </c>
      <c r="Q945" s="4" t="s">
        <v>35</v>
      </c>
      <c r="R945" s="3">
        <v>160.55600000000001</v>
      </c>
      <c r="S945" s="3">
        <v>13.126799999999999</v>
      </c>
      <c r="T945" s="4" t="s">
        <v>113</v>
      </c>
      <c r="U945" s="2" t="s">
        <v>37</v>
      </c>
      <c r="V945" s="2" t="s">
        <v>37</v>
      </c>
      <c r="W945" s="2" t="s">
        <v>37</v>
      </c>
      <c r="X945" s="2" t="s">
        <v>38</v>
      </c>
      <c r="Y945" s="2" t="s">
        <v>37</v>
      </c>
      <c r="Z945" s="2" t="s">
        <v>37</v>
      </c>
      <c r="AA945" s="6">
        <v>2.8969724079999999</v>
      </c>
      <c r="AB945" s="6">
        <v>2.2056265399999999</v>
      </c>
      <c r="AC945" s="6">
        <v>2.9574636160000001</v>
      </c>
      <c r="AD945" cm="1">
        <f t="array" ref="AD945">IF(SUMPRODUCT(--($AM$2:$AM$112=TRIM(LEFT($B945,IFERROR(FIND(" ",$B945)-1,LEN($B945))))))&gt;0,1,0)</f>
        <v>0</v>
      </c>
      <c r="AE945" cm="1">
        <f t="array" ref="AE945">IF(SUMPRODUCT(--($AO$2:$AO$145=TRIM(LEFT($B945,IFERROR(FIND(" ",$B945)-1,LEN($B945))))))&gt;0,1,0)</f>
        <v>0</v>
      </c>
      <c r="AF945" cm="1">
        <f t="array" ref="AF945">IF(SUMPRODUCT(--($AQ$2:$AQ$71=TRIM(LEFT($B945,IFERROR(FIND(" ",$B945)-1,LEN($B945))))))&gt;0,1,0)</f>
        <v>0</v>
      </c>
    </row>
    <row r="946" spans="1:32" ht="75.75" thickBot="1" x14ac:dyDescent="0.3">
      <c r="A946" s="13">
        <v>68</v>
      </c>
      <c r="B946" s="4" t="s">
        <v>1819</v>
      </c>
      <c r="C946" s="4" t="s">
        <v>1820</v>
      </c>
      <c r="D946" s="7">
        <v>43361</v>
      </c>
      <c r="E946" s="3">
        <v>9200.84</v>
      </c>
      <c r="F946" s="4" t="s">
        <v>46</v>
      </c>
      <c r="G946" s="3">
        <v>7.16</v>
      </c>
      <c r="H946" s="4" t="s">
        <v>118</v>
      </c>
      <c r="I946" s="4" t="s">
        <v>119</v>
      </c>
      <c r="J946" s="4" t="s">
        <v>120</v>
      </c>
      <c r="K946" s="4"/>
      <c r="L946" s="4"/>
      <c r="M946" s="3">
        <v>3.61</v>
      </c>
      <c r="N946" s="3">
        <v>2476.84</v>
      </c>
      <c r="O946" s="4" t="s">
        <v>34</v>
      </c>
      <c r="P946" s="4" t="s">
        <v>49</v>
      </c>
      <c r="Q946" s="4" t="s">
        <v>35</v>
      </c>
      <c r="R946" s="3">
        <v>2428</v>
      </c>
      <c r="S946" s="3">
        <v>43.868000000000002</v>
      </c>
      <c r="T946" s="4" t="s">
        <v>97</v>
      </c>
      <c r="U946" s="2" t="s">
        <v>37</v>
      </c>
      <c r="V946" s="2" t="s">
        <v>37</v>
      </c>
      <c r="W946" s="2" t="s">
        <v>38</v>
      </c>
      <c r="X946" s="2" t="s">
        <v>37</v>
      </c>
      <c r="Y946" s="2" t="s">
        <v>37</v>
      </c>
      <c r="Z946" s="2" t="s">
        <v>37</v>
      </c>
      <c r="AA946" s="6">
        <v>3.9638274789999999</v>
      </c>
      <c r="AB946" s="6">
        <v>3.3852486819999998</v>
      </c>
      <c r="AC946" s="6">
        <v>3.3938979530000002</v>
      </c>
      <c r="AD946" cm="1">
        <f t="array" ref="AD946">IF(SUMPRODUCT(--($AM$2:$AM$112=TRIM(LEFT($B946,IFERROR(FIND(" ",$B946)-1,LEN($B946))))))&gt;0,1,0)</f>
        <v>0</v>
      </c>
      <c r="AE946" cm="1">
        <f t="array" ref="AE946">IF(SUMPRODUCT(--($AO$2:$AO$145=TRIM(LEFT($B946,IFERROR(FIND(" ",$B946)-1,LEN($B946))))))&gt;0,1,0)</f>
        <v>0</v>
      </c>
      <c r="AF946" cm="1">
        <f t="array" ref="AF946">IF(SUMPRODUCT(--($AQ$2:$AQ$71=TRIM(LEFT($B946,IFERROR(FIND(" ",$B946)-1,LEN($B946))))))&gt;0,1,0)</f>
        <v>0</v>
      </c>
    </row>
    <row r="947" spans="1:32" ht="45.75" thickBot="1" x14ac:dyDescent="0.3">
      <c r="A947" s="13">
        <v>109</v>
      </c>
      <c r="B947" s="4" t="s">
        <v>1821</v>
      </c>
      <c r="C947" s="4" t="s">
        <v>1338</v>
      </c>
      <c r="D947" s="7">
        <v>43304</v>
      </c>
      <c r="E947" s="3">
        <v>3558.49</v>
      </c>
      <c r="F947" s="4" t="s">
        <v>46</v>
      </c>
      <c r="G947" s="4"/>
      <c r="H947" s="4" t="s">
        <v>65</v>
      </c>
      <c r="I947" s="4" t="s">
        <v>138</v>
      </c>
      <c r="J947" s="4" t="s">
        <v>176</v>
      </c>
      <c r="K947" s="3">
        <v>75.117099999999994</v>
      </c>
      <c r="L947" s="3">
        <v>75.117099999999994</v>
      </c>
      <c r="M947" s="3">
        <v>10.53</v>
      </c>
      <c r="N947" s="3">
        <v>2119.4</v>
      </c>
      <c r="O947" s="4" t="s">
        <v>34</v>
      </c>
      <c r="P947" s="4" t="s">
        <v>34</v>
      </c>
      <c r="Q947" s="4" t="s">
        <v>35</v>
      </c>
      <c r="R947" s="3">
        <v>397.709</v>
      </c>
      <c r="S947" s="3">
        <v>36.536900000000003</v>
      </c>
      <c r="T947" s="4" t="s">
        <v>43</v>
      </c>
      <c r="U947" s="2" t="s">
        <v>37</v>
      </c>
      <c r="V947" s="2" t="s">
        <v>37</v>
      </c>
      <c r="W947" s="2" t="s">
        <v>37</v>
      </c>
      <c r="X947" s="2" t="s">
        <v>37</v>
      </c>
      <c r="Y947" s="2" t="s">
        <v>37</v>
      </c>
      <c r="Z947" s="2" t="s">
        <v>37</v>
      </c>
      <c r="AA947" s="6">
        <v>3.5512657500000002</v>
      </c>
      <c r="AB947" s="6">
        <v>2.5995654190000002</v>
      </c>
      <c r="AC947" s="6">
        <v>3.3262129300000001</v>
      </c>
      <c r="AD947" cm="1">
        <f t="array" ref="AD947">IF(SUMPRODUCT(--($AM$2:$AM$112=TRIM(LEFT($B947,IFERROR(FIND(" ",$B947)-1,LEN($B947))))))&gt;0,1,0)</f>
        <v>0</v>
      </c>
      <c r="AE947" cm="1">
        <f t="array" ref="AE947">IF(SUMPRODUCT(--($AO$2:$AO$145=TRIM(LEFT($B947,IFERROR(FIND(" ",$B947)-1,LEN($B947))))))&gt;0,1,0)</f>
        <v>0</v>
      </c>
      <c r="AF947" cm="1">
        <f t="array" ref="AF947">IF(SUMPRODUCT(--($AQ$2:$AQ$71=TRIM(LEFT($B947,IFERROR(FIND(" ",$B947)-1,LEN($B947))))))&gt;0,1,0)</f>
        <v>0</v>
      </c>
    </row>
    <row r="948" spans="1:32" ht="135.75" thickBot="1" x14ac:dyDescent="0.3">
      <c r="A948" s="13">
        <v>68</v>
      </c>
      <c r="B948" s="4" t="s">
        <v>1822</v>
      </c>
      <c r="C948" s="4" t="s">
        <v>1820</v>
      </c>
      <c r="D948" s="7">
        <v>43361</v>
      </c>
      <c r="E948" s="3">
        <v>994.11</v>
      </c>
      <c r="F948" s="4" t="s">
        <v>46</v>
      </c>
      <c r="G948" s="4"/>
      <c r="H948" s="4" t="s">
        <v>118</v>
      </c>
      <c r="I948" s="4" t="s">
        <v>119</v>
      </c>
      <c r="J948" s="4" t="s">
        <v>120</v>
      </c>
      <c r="K948" s="4"/>
      <c r="L948" s="4"/>
      <c r="M948" s="3">
        <v>8.5399999999999991</v>
      </c>
      <c r="N948" s="3">
        <v>995.11</v>
      </c>
      <c r="O948" s="4" t="s">
        <v>34</v>
      </c>
      <c r="P948" s="4" t="s">
        <v>49</v>
      </c>
      <c r="Q948" s="4" t="s">
        <v>35</v>
      </c>
      <c r="R948" s="2"/>
      <c r="S948" s="2"/>
      <c r="T948" s="4" t="s">
        <v>1141</v>
      </c>
      <c r="U948" s="2" t="s">
        <v>38</v>
      </c>
      <c r="V948" s="2" t="s">
        <v>37</v>
      </c>
      <c r="W948" s="2" t="s">
        <v>38</v>
      </c>
      <c r="X948" s="2" t="s">
        <v>37</v>
      </c>
      <c r="Y948" s="2" t="s">
        <v>37</v>
      </c>
      <c r="Z948" s="2" t="s">
        <v>37</v>
      </c>
      <c r="AA948" s="6">
        <v>2.9974344419999999</v>
      </c>
      <c r="AB948" s="2"/>
      <c r="AC948" s="6">
        <v>2.9978710909999999</v>
      </c>
      <c r="AD948" cm="1">
        <f t="array" ref="AD948">IF(SUMPRODUCT(--($AM$2:$AM$112=TRIM(LEFT($B948,IFERROR(FIND(" ",$B948)-1,LEN($B948))))))&gt;0,1,0)</f>
        <v>0</v>
      </c>
      <c r="AE948" cm="1">
        <f t="array" ref="AE948">IF(SUMPRODUCT(--($AO$2:$AO$145=TRIM(LEFT($B948,IFERROR(FIND(" ",$B948)-1,LEN($B948))))))&gt;0,1,0)</f>
        <v>0</v>
      </c>
      <c r="AF948" cm="1">
        <f t="array" ref="AF948">IF(SUMPRODUCT(--($AQ$2:$AQ$71=TRIM(LEFT($B948,IFERROR(FIND(" ",$B948)-1,LEN($B948))))))&gt;0,1,0)</f>
        <v>0</v>
      </c>
    </row>
    <row r="949" spans="1:32" ht="135.75" thickBot="1" x14ac:dyDescent="0.3">
      <c r="A949" s="13">
        <v>47</v>
      </c>
      <c r="B949" s="4" t="s">
        <v>1481</v>
      </c>
      <c r="C949" s="4" t="s">
        <v>1132</v>
      </c>
      <c r="D949" s="7">
        <v>43388</v>
      </c>
      <c r="E949" s="3">
        <v>733.88</v>
      </c>
      <c r="F949" s="4" t="s">
        <v>30</v>
      </c>
      <c r="G949" s="3">
        <v>17.88</v>
      </c>
      <c r="H949" s="4" t="s">
        <v>75</v>
      </c>
      <c r="I949" s="4" t="s">
        <v>111</v>
      </c>
      <c r="J949" s="4" t="s">
        <v>112</v>
      </c>
      <c r="K949" s="4"/>
      <c r="L949" s="4"/>
      <c r="M949" s="4"/>
      <c r="N949" s="3">
        <v>685.23</v>
      </c>
      <c r="O949" s="4" t="s">
        <v>34</v>
      </c>
      <c r="P949" s="4" t="s">
        <v>34</v>
      </c>
      <c r="Q949" s="4" t="s">
        <v>35</v>
      </c>
      <c r="R949" s="3">
        <v>158.184</v>
      </c>
      <c r="S949" s="3">
        <v>13.132199999999999</v>
      </c>
      <c r="T949" s="4" t="s">
        <v>312</v>
      </c>
      <c r="U949" s="2" t="s">
        <v>37</v>
      </c>
      <c r="V949" s="2" t="s">
        <v>37</v>
      </c>
      <c r="W949" s="2" t="s">
        <v>37</v>
      </c>
      <c r="X949" s="2" t="s">
        <v>38</v>
      </c>
      <c r="Y949" s="2" t="s">
        <v>38</v>
      </c>
      <c r="Z949" s="2" t="s">
        <v>37</v>
      </c>
      <c r="AA949" s="6">
        <v>2.865625052</v>
      </c>
      <c r="AB949" s="6">
        <v>2.1991625529999999</v>
      </c>
      <c r="AC949" s="6">
        <v>2.8358363689999999</v>
      </c>
      <c r="AD949" cm="1">
        <f t="array" ref="AD949">IF(SUMPRODUCT(--($AM$2:$AM$112=TRIM(LEFT($B949,IFERROR(FIND(" ",$B949)-1,LEN($B949))))))&gt;0,1,0)</f>
        <v>0</v>
      </c>
      <c r="AE949" cm="1">
        <f t="array" ref="AE949">IF(SUMPRODUCT(--($AO$2:$AO$145=TRIM(LEFT($B949,IFERROR(FIND(" ",$B949)-1,LEN($B949))))))&gt;0,1,0)</f>
        <v>0</v>
      </c>
      <c r="AF949" cm="1">
        <f t="array" ref="AF949">IF(SUMPRODUCT(--($AQ$2:$AQ$71=TRIM(LEFT($B949,IFERROR(FIND(" ",$B949)-1,LEN($B949))))))&gt;0,1,0)</f>
        <v>0</v>
      </c>
    </row>
    <row r="950" spans="1:32" ht="45.75" thickBot="1" x14ac:dyDescent="0.3">
      <c r="A950" s="13">
        <v>50</v>
      </c>
      <c r="B950" s="4" t="s">
        <v>1823</v>
      </c>
      <c r="C950" s="4" t="s">
        <v>1824</v>
      </c>
      <c r="D950" s="7">
        <v>43383</v>
      </c>
      <c r="E950" s="3">
        <v>556.41999999999996</v>
      </c>
      <c r="F950" s="4" t="s">
        <v>46</v>
      </c>
      <c r="G950" s="3">
        <v>22.56</v>
      </c>
      <c r="H950" s="4" t="s">
        <v>118</v>
      </c>
      <c r="I950" s="4" t="s">
        <v>119</v>
      </c>
      <c r="J950" s="4" t="s">
        <v>120</v>
      </c>
      <c r="K950" s="4"/>
      <c r="L950" s="3">
        <v>20</v>
      </c>
      <c r="M950" s="3">
        <v>46.05</v>
      </c>
      <c r="N950" s="3">
        <v>462.43</v>
      </c>
      <c r="O950" s="4" t="s">
        <v>49</v>
      </c>
      <c r="P950" s="4" t="s">
        <v>49</v>
      </c>
      <c r="Q950" s="4" t="s">
        <v>35</v>
      </c>
      <c r="R950" s="3">
        <v>97.203900000000004</v>
      </c>
      <c r="S950" s="3">
        <v>-11.226699999999999</v>
      </c>
      <c r="T950" s="4" t="s">
        <v>43</v>
      </c>
      <c r="U950" s="2" t="s">
        <v>37</v>
      </c>
      <c r="V950" s="2" t="s">
        <v>37</v>
      </c>
      <c r="W950" s="2" t="s">
        <v>37</v>
      </c>
      <c r="X950" s="2" t="s">
        <v>37</v>
      </c>
      <c r="Y950" s="2" t="s">
        <v>37</v>
      </c>
      <c r="Z950" s="2" t="s">
        <v>37</v>
      </c>
      <c r="AA950" s="6">
        <v>2.7454027320000001</v>
      </c>
      <c r="AB950" s="6">
        <v>1.9876836899999999</v>
      </c>
      <c r="AC950" s="6">
        <v>2.6650460009999999</v>
      </c>
      <c r="AD950" cm="1">
        <f t="array" ref="AD950">IF(SUMPRODUCT(--($AM$2:$AM$112=TRIM(LEFT($B950,IFERROR(FIND(" ",$B950)-1,LEN($B950))))))&gt;0,1,0)</f>
        <v>0</v>
      </c>
      <c r="AE950" cm="1">
        <f t="array" ref="AE950">IF(SUMPRODUCT(--($AO$2:$AO$145=TRIM(LEFT($B950,IFERROR(FIND(" ",$B950)-1,LEN($B950))))))&gt;0,1,0)</f>
        <v>0</v>
      </c>
      <c r="AF950" cm="1">
        <f t="array" ref="AF950">IF(SUMPRODUCT(--($AQ$2:$AQ$71=TRIM(LEFT($B950,IFERROR(FIND(" ",$B950)-1,LEN($B950))))))&gt;0,1,0)</f>
        <v>0</v>
      </c>
    </row>
    <row r="951" spans="1:32" ht="135.75" thickBot="1" x14ac:dyDescent="0.3">
      <c r="A951" s="13">
        <v>82</v>
      </c>
      <c r="B951" s="4" t="s">
        <v>1825</v>
      </c>
      <c r="C951" s="4" t="s">
        <v>1820</v>
      </c>
      <c r="D951" s="7">
        <v>43336</v>
      </c>
      <c r="E951" s="3">
        <v>3158.62</v>
      </c>
      <c r="F951" s="4" t="s">
        <v>46</v>
      </c>
      <c r="G951" s="3">
        <v>17.59</v>
      </c>
      <c r="H951" s="4" t="s">
        <v>118</v>
      </c>
      <c r="I951" s="4" t="s">
        <v>119</v>
      </c>
      <c r="J951" s="4" t="s">
        <v>120</v>
      </c>
      <c r="K951" s="4"/>
      <c r="L951" s="4"/>
      <c r="M951" s="3">
        <v>6.61</v>
      </c>
      <c r="N951" s="3">
        <v>3158.62</v>
      </c>
      <c r="O951" s="4" t="s">
        <v>34</v>
      </c>
      <c r="P951" s="4" t="s">
        <v>49</v>
      </c>
      <c r="Q951" s="4" t="s">
        <v>35</v>
      </c>
      <c r="R951" s="3">
        <v>1950</v>
      </c>
      <c r="S951" s="3">
        <v>33.697699999999998</v>
      </c>
      <c r="T951" s="4" t="s">
        <v>1141</v>
      </c>
      <c r="U951" s="2" t="s">
        <v>38</v>
      </c>
      <c r="V951" s="2" t="s">
        <v>37</v>
      </c>
      <c r="W951" s="2" t="s">
        <v>38</v>
      </c>
      <c r="X951" s="2" t="s">
        <v>37</v>
      </c>
      <c r="Y951" s="2" t="s">
        <v>37</v>
      </c>
      <c r="Z951" s="2" t="s">
        <v>37</v>
      </c>
      <c r="AA951" s="6">
        <v>3.4994973809999999</v>
      </c>
      <c r="AB951" s="6">
        <v>3.2900346109999998</v>
      </c>
      <c r="AC951" s="6">
        <v>3.4994973809999999</v>
      </c>
      <c r="AD951" cm="1">
        <f t="array" ref="AD951">IF(SUMPRODUCT(--($AM$2:$AM$112=TRIM(LEFT($B951,IFERROR(FIND(" ",$B951)-1,LEN($B951))))))&gt;0,1,0)</f>
        <v>0</v>
      </c>
      <c r="AE951" cm="1">
        <f t="array" ref="AE951">IF(SUMPRODUCT(--($AO$2:$AO$145=TRIM(LEFT($B951,IFERROR(FIND(" ",$B951)-1,LEN($B951))))))&gt;0,1,0)</f>
        <v>0</v>
      </c>
      <c r="AF951" cm="1">
        <f t="array" ref="AF951">IF(SUMPRODUCT(--($AQ$2:$AQ$71=TRIM(LEFT($B951,IFERROR(FIND(" ",$B951)-1,LEN($B951))))))&gt;0,1,0)</f>
        <v>0</v>
      </c>
    </row>
    <row r="952" spans="1:32" ht="45.75" thickBot="1" x14ac:dyDescent="0.3">
      <c r="A952" s="13">
        <v>121</v>
      </c>
      <c r="B952" s="4" t="s">
        <v>1826</v>
      </c>
      <c r="C952" s="4" t="s">
        <v>1827</v>
      </c>
      <c r="D952" s="7">
        <v>43279</v>
      </c>
      <c r="E952" s="3">
        <v>537.71</v>
      </c>
      <c r="F952" s="4" t="s">
        <v>46</v>
      </c>
      <c r="G952" s="4"/>
      <c r="H952" s="4" t="s">
        <v>41</v>
      </c>
      <c r="I952" s="4" t="s">
        <v>41</v>
      </c>
      <c r="J952" s="4" t="s">
        <v>42</v>
      </c>
      <c r="K952" s="3">
        <v>22</v>
      </c>
      <c r="L952" s="3">
        <v>22</v>
      </c>
      <c r="M952" s="3">
        <v>-22.32</v>
      </c>
      <c r="N952" s="3">
        <v>472.8</v>
      </c>
      <c r="O952" s="4" t="s">
        <v>34</v>
      </c>
      <c r="P952" s="4" t="s">
        <v>34</v>
      </c>
      <c r="Q952" s="4" t="s">
        <v>35</v>
      </c>
      <c r="R952" s="3">
        <v>170.30099999999999</v>
      </c>
      <c r="S952" s="3">
        <v>-94.038300000000007</v>
      </c>
      <c r="T952" s="4" t="s">
        <v>43</v>
      </c>
      <c r="U952" s="2" t="s">
        <v>37</v>
      </c>
      <c r="V952" s="2" t="s">
        <v>37</v>
      </c>
      <c r="W952" s="2" t="s">
        <v>37</v>
      </c>
      <c r="X952" s="2" t="s">
        <v>37</v>
      </c>
      <c r="Y952" s="2" t="s">
        <v>37</v>
      </c>
      <c r="Z952" s="2" t="s">
        <v>37</v>
      </c>
      <c r="AA952" s="6">
        <v>2.7305481130000002</v>
      </c>
      <c r="AB952" s="6">
        <v>2.231217198</v>
      </c>
      <c r="AC952" s="6">
        <v>2.6746774680000001</v>
      </c>
      <c r="AD952" cm="1">
        <f t="array" ref="AD952">IF(SUMPRODUCT(--($AM$2:$AM$112=TRIM(LEFT($B952,IFERROR(FIND(" ",$B952)-1,LEN($B952))))))&gt;0,1,0)</f>
        <v>0</v>
      </c>
      <c r="AE952" cm="1">
        <f t="array" ref="AE952">IF(SUMPRODUCT(--($AO$2:$AO$145=TRIM(LEFT($B952,IFERROR(FIND(" ",$B952)-1,LEN($B952))))))&gt;0,1,0)</f>
        <v>0</v>
      </c>
      <c r="AF952" cm="1">
        <f t="array" ref="AF952">IF(SUMPRODUCT(--($AQ$2:$AQ$71=TRIM(LEFT($B952,IFERROR(FIND(" ",$B952)-1,LEN($B952))))))&gt;0,1,0)</f>
        <v>0</v>
      </c>
    </row>
    <row r="953" spans="1:32" ht="75.75" thickBot="1" x14ac:dyDescent="0.3">
      <c r="A953" s="13">
        <v>197</v>
      </c>
      <c r="B953" s="4" t="s">
        <v>1828</v>
      </c>
      <c r="C953" s="4" t="s">
        <v>1071</v>
      </c>
      <c r="D953" s="7">
        <v>43171</v>
      </c>
      <c r="E953" s="3">
        <v>1320.77</v>
      </c>
      <c r="F953" s="4" t="s">
        <v>107</v>
      </c>
      <c r="G953" s="3">
        <v>9.2100000000000009</v>
      </c>
      <c r="H953" s="4" t="s">
        <v>31</v>
      </c>
      <c r="I953" s="4" t="s">
        <v>432</v>
      </c>
      <c r="J953" s="4" t="s">
        <v>1072</v>
      </c>
      <c r="K953" s="3">
        <v>80</v>
      </c>
      <c r="L953" s="3">
        <v>63</v>
      </c>
      <c r="M953" s="3">
        <v>33.11</v>
      </c>
      <c r="N953" s="3">
        <v>1607.47</v>
      </c>
      <c r="O953" s="4" t="s">
        <v>34</v>
      </c>
      <c r="P953" s="4" t="s">
        <v>34</v>
      </c>
      <c r="Q953" s="4" t="s">
        <v>35</v>
      </c>
      <c r="R953" s="3">
        <v>543.16999999999996</v>
      </c>
      <c r="S953" s="3">
        <v>9.1520100000000006</v>
      </c>
      <c r="T953" s="4" t="s">
        <v>43</v>
      </c>
      <c r="U953" s="2" t="s">
        <v>37</v>
      </c>
      <c r="V953" s="2" t="s">
        <v>37</v>
      </c>
      <c r="W953" s="2" t="s">
        <v>37</v>
      </c>
      <c r="X953" s="2" t="s">
        <v>37</v>
      </c>
      <c r="Y953" s="2" t="s">
        <v>37</v>
      </c>
      <c r="Z953" s="2" t="s">
        <v>37</v>
      </c>
      <c r="AA953" s="6">
        <v>3.120827196</v>
      </c>
      <c r="AB953" s="6">
        <v>2.7349357749999998</v>
      </c>
      <c r="AC953" s="6">
        <v>3.2061428759999999</v>
      </c>
      <c r="AD953" cm="1">
        <f t="array" ref="AD953">IF(SUMPRODUCT(--($AM$2:$AM$112=TRIM(LEFT($B953,IFERROR(FIND(" ",$B953)-1,LEN($B953))))))&gt;0,1,0)</f>
        <v>1</v>
      </c>
      <c r="AE953" cm="1">
        <f t="array" ref="AE953">IF(SUMPRODUCT(--($AO$2:$AO$145=TRIM(LEFT($B953,IFERROR(FIND(" ",$B953)-1,LEN($B953))))))&gt;0,1,0)</f>
        <v>0</v>
      </c>
      <c r="AF953" cm="1">
        <f t="array" ref="AF953">IF(SUMPRODUCT(--($AQ$2:$AQ$71=TRIM(LEFT($B953,IFERROR(FIND(" ",$B953)-1,LEN($B953))))))&gt;0,1,0)</f>
        <v>0</v>
      </c>
    </row>
    <row r="954" spans="1:32" ht="165.75" thickBot="1" x14ac:dyDescent="0.3">
      <c r="A954" s="13">
        <v>95</v>
      </c>
      <c r="B954" s="4" t="s">
        <v>1829</v>
      </c>
      <c r="C954" s="4" t="s">
        <v>1088</v>
      </c>
      <c r="D954" s="7">
        <v>43312</v>
      </c>
      <c r="E954" s="3">
        <v>9731.6200000000008</v>
      </c>
      <c r="F954" s="4" t="s">
        <v>30</v>
      </c>
      <c r="G954" s="3">
        <v>28.7</v>
      </c>
      <c r="H954" s="4" t="s">
        <v>51</v>
      </c>
      <c r="I954" s="4" t="s">
        <v>51</v>
      </c>
      <c r="J954" s="4" t="s">
        <v>79</v>
      </c>
      <c r="K954" s="3">
        <v>488</v>
      </c>
      <c r="L954" s="3">
        <v>261</v>
      </c>
      <c r="M954" s="4"/>
      <c r="N954" s="3">
        <v>6773.37</v>
      </c>
      <c r="O954" s="4" t="s">
        <v>34</v>
      </c>
      <c r="P954" s="4" t="s">
        <v>49</v>
      </c>
      <c r="Q954" s="4" t="s">
        <v>35</v>
      </c>
      <c r="R954" s="3">
        <v>911.92600000000004</v>
      </c>
      <c r="S954" s="3">
        <v>17.029199999999999</v>
      </c>
      <c r="T954" s="4" t="s">
        <v>726</v>
      </c>
      <c r="U954" s="2" t="s">
        <v>37</v>
      </c>
      <c r="V954" s="2" t="s">
        <v>37</v>
      </c>
      <c r="W954" s="2" t="s">
        <v>38</v>
      </c>
      <c r="X954" s="2" t="s">
        <v>38</v>
      </c>
      <c r="Y954" s="2" t="s">
        <v>38</v>
      </c>
      <c r="Z954" s="2" t="s">
        <v>37</v>
      </c>
      <c r="AA954" s="6">
        <v>3.9881851419999998</v>
      </c>
      <c r="AB954" s="6">
        <v>2.9599595980000002</v>
      </c>
      <c r="AC954" s="6">
        <v>3.8308048000000001</v>
      </c>
      <c r="AD954" cm="1">
        <f t="array" ref="AD954">IF(SUMPRODUCT(--($AM$2:$AM$112=TRIM(LEFT($B954,IFERROR(FIND(" ",$B954)-1,LEN($B954))))))&gt;0,1,0)</f>
        <v>0</v>
      </c>
      <c r="AE954" cm="1">
        <f t="array" ref="AE954">IF(SUMPRODUCT(--($AO$2:$AO$145=TRIM(LEFT($B954,IFERROR(FIND(" ",$B954)-1,LEN($B954))))))&gt;0,1,0)</f>
        <v>0</v>
      </c>
      <c r="AF954" cm="1">
        <f t="array" ref="AF954">IF(SUMPRODUCT(--($AQ$2:$AQ$71=TRIM(LEFT($B954,IFERROR(FIND(" ",$B954)-1,LEN($B954))))))&gt;0,1,0)</f>
        <v>0</v>
      </c>
    </row>
    <row r="955" spans="1:32" ht="75.75" thickBot="1" x14ac:dyDescent="0.3">
      <c r="A955" s="13">
        <v>55</v>
      </c>
      <c r="B955" s="4" t="s">
        <v>1830</v>
      </c>
      <c r="C955" s="4" t="s">
        <v>1456</v>
      </c>
      <c r="D955" s="7">
        <v>43368</v>
      </c>
      <c r="E955" s="3">
        <v>2263.08</v>
      </c>
      <c r="F955" s="4" t="s">
        <v>30</v>
      </c>
      <c r="G955" s="3">
        <v>15.63</v>
      </c>
      <c r="H955" s="4" t="s">
        <v>75</v>
      </c>
      <c r="I955" s="4" t="s">
        <v>111</v>
      </c>
      <c r="J955" s="4" t="s">
        <v>133</v>
      </c>
      <c r="K955" s="4"/>
      <c r="L955" s="3">
        <v>47.735999999999997</v>
      </c>
      <c r="M955" s="3">
        <v>20.329999999999998</v>
      </c>
      <c r="N955" s="3">
        <v>1613.17</v>
      </c>
      <c r="O955" s="4" t="s">
        <v>34</v>
      </c>
      <c r="P955" s="4" t="s">
        <v>34</v>
      </c>
      <c r="Q955" s="4" t="s">
        <v>35</v>
      </c>
      <c r="R955" s="3">
        <v>81.368099999999998</v>
      </c>
      <c r="S955" s="2"/>
      <c r="T955" s="4" t="s">
        <v>43</v>
      </c>
      <c r="U955" s="2" t="s">
        <v>37</v>
      </c>
      <c r="V955" s="2" t="s">
        <v>37</v>
      </c>
      <c r="W955" s="2" t="s">
        <v>37</v>
      </c>
      <c r="X955" s="2" t="s">
        <v>37</v>
      </c>
      <c r="Y955" s="2" t="s">
        <v>37</v>
      </c>
      <c r="Z955" s="2" t="s">
        <v>37</v>
      </c>
      <c r="AA955" s="6">
        <v>3.3546999070000001</v>
      </c>
      <c r="AB955" s="6">
        <v>1.9104541749999999</v>
      </c>
      <c r="AC955" s="6">
        <v>3.2076801370000001</v>
      </c>
      <c r="AD955" cm="1">
        <f t="array" ref="AD955">IF(SUMPRODUCT(--($AM$2:$AM$112=TRIM(LEFT($B955,IFERROR(FIND(" ",$B955)-1,LEN($B955))))))&gt;0,1,0)</f>
        <v>0</v>
      </c>
      <c r="AE955" cm="1">
        <f t="array" ref="AE955">IF(SUMPRODUCT(--($AO$2:$AO$145=TRIM(LEFT($B955,IFERROR(FIND(" ",$B955)-1,LEN($B955))))))&gt;0,1,0)</f>
        <v>0</v>
      </c>
      <c r="AF955" cm="1">
        <f t="array" ref="AF955">IF(SUMPRODUCT(--($AQ$2:$AQ$71=TRIM(LEFT($B955,IFERROR(FIND(" ",$B955)-1,LEN($B955))))))&gt;0,1,0)</f>
        <v>0</v>
      </c>
    </row>
    <row r="956" spans="1:32" ht="180.75" thickBot="1" x14ac:dyDescent="0.3">
      <c r="A956" s="13">
        <v>30</v>
      </c>
      <c r="B956" s="2"/>
      <c r="C956" s="4" t="s">
        <v>1831</v>
      </c>
      <c r="D956" s="7">
        <v>43402</v>
      </c>
      <c r="E956" s="3">
        <v>750</v>
      </c>
      <c r="F956" s="4" t="s">
        <v>107</v>
      </c>
      <c r="G956" s="4"/>
      <c r="H956" s="4" t="s">
        <v>1832</v>
      </c>
      <c r="I956" s="4" t="s">
        <v>1833</v>
      </c>
      <c r="J956" s="4" t="s">
        <v>1834</v>
      </c>
      <c r="K956" s="4"/>
      <c r="L956" s="4"/>
      <c r="M956" s="4"/>
      <c r="N956" s="3">
        <v>750</v>
      </c>
      <c r="O956" s="4" t="s">
        <v>34</v>
      </c>
      <c r="P956" s="4" t="s">
        <v>34</v>
      </c>
      <c r="Q956" s="4" t="s">
        <v>35</v>
      </c>
      <c r="R956" s="2"/>
      <c r="S956" s="2"/>
      <c r="T956" s="4" t="s">
        <v>97</v>
      </c>
      <c r="U956" s="2" t="s">
        <v>37</v>
      </c>
      <c r="V956" s="2" t="s">
        <v>37</v>
      </c>
      <c r="W956" s="2" t="s">
        <v>38</v>
      </c>
      <c r="X956" s="2" t="s">
        <v>37</v>
      </c>
      <c r="Y956" s="2" t="s">
        <v>37</v>
      </c>
      <c r="Z956" s="2" t="s">
        <v>37</v>
      </c>
      <c r="AA956" s="6">
        <v>2.8750612630000001</v>
      </c>
      <c r="AB956" s="2"/>
      <c r="AC956" s="6">
        <v>2.8750612630000001</v>
      </c>
      <c r="AD956" cm="1">
        <f t="array" ref="AD956">IF(SUMPRODUCT(--($AM$2:$AM$112=TRIM(LEFT($B956,IFERROR(FIND(" ",$B956)-1,LEN($B956))))))&gt;0,1,0)</f>
        <v>0</v>
      </c>
      <c r="AE956" cm="1">
        <f t="array" ref="AE956">IF(SUMPRODUCT(--($AO$2:$AO$145=TRIM(LEFT($B956,IFERROR(FIND(" ",$B956)-1,LEN($B956))))))&gt;0,1,0)</f>
        <v>0</v>
      </c>
      <c r="AF956" cm="1">
        <f t="array" ref="AF956">IF(SUMPRODUCT(--($AQ$2:$AQ$71=TRIM(LEFT($B956,IFERROR(FIND(" ",$B956)-1,LEN($B956))))))&gt;0,1,0)</f>
        <v>0</v>
      </c>
    </row>
    <row r="957" spans="1:32" ht="135.75" thickBot="1" x14ac:dyDescent="0.3">
      <c r="A957" s="13">
        <v>33</v>
      </c>
      <c r="B957" s="4" t="s">
        <v>1835</v>
      </c>
      <c r="C957" s="4" t="s">
        <v>1836</v>
      </c>
      <c r="D957" s="7">
        <v>43395</v>
      </c>
      <c r="E957" s="3">
        <v>1781.24</v>
      </c>
      <c r="F957" s="4" t="s">
        <v>30</v>
      </c>
      <c r="G957" s="3">
        <v>12.88</v>
      </c>
      <c r="H957" s="4" t="s">
        <v>70</v>
      </c>
      <c r="I957" s="4" t="s">
        <v>71</v>
      </c>
      <c r="J957" s="4" t="s">
        <v>239</v>
      </c>
      <c r="K957" s="3">
        <v>130</v>
      </c>
      <c r="L957" s="3">
        <v>65</v>
      </c>
      <c r="M957" s="4"/>
      <c r="N957" s="3">
        <v>1335.87</v>
      </c>
      <c r="O957" s="4" t="s">
        <v>34</v>
      </c>
      <c r="P957" s="4" t="s">
        <v>34</v>
      </c>
      <c r="Q957" s="4" t="s">
        <v>35</v>
      </c>
      <c r="R957" s="3">
        <v>476.84300000000002</v>
      </c>
      <c r="S957" s="3">
        <v>15.6309</v>
      </c>
      <c r="T957" s="4" t="s">
        <v>312</v>
      </c>
      <c r="U957" s="2" t="s">
        <v>37</v>
      </c>
      <c r="V957" s="2" t="s">
        <v>37</v>
      </c>
      <c r="W957" s="2" t="s">
        <v>37</v>
      </c>
      <c r="X957" s="2" t="s">
        <v>38</v>
      </c>
      <c r="Y957" s="2" t="s">
        <v>38</v>
      </c>
      <c r="Z957" s="2" t="s">
        <v>37</v>
      </c>
      <c r="AA957" s="6">
        <v>3.250722439</v>
      </c>
      <c r="AB957" s="6">
        <v>2.6783754119999998</v>
      </c>
      <c r="AC957" s="6">
        <v>3.1257641970000001</v>
      </c>
      <c r="AD957" cm="1">
        <f t="array" ref="AD957">IF(SUMPRODUCT(--($AM$2:$AM$112=TRIM(LEFT($B957,IFERROR(FIND(" ",$B957)-1,LEN($B957))))))&gt;0,1,0)</f>
        <v>0</v>
      </c>
      <c r="AE957" cm="1">
        <f t="array" ref="AE957">IF(SUMPRODUCT(--($AO$2:$AO$145=TRIM(LEFT($B957,IFERROR(FIND(" ",$B957)-1,LEN($B957))))))&gt;0,1,0)</f>
        <v>0</v>
      </c>
      <c r="AF957" cm="1">
        <f t="array" ref="AF957">IF(SUMPRODUCT(--($AQ$2:$AQ$71=TRIM(LEFT($B957,IFERROR(FIND(" ",$B957)-1,LEN($B957))))))&gt;0,1,0)</f>
        <v>0</v>
      </c>
    </row>
    <row r="958" spans="1:32" ht="75.75" thickBot="1" x14ac:dyDescent="0.3">
      <c r="A958" s="13">
        <v>63</v>
      </c>
      <c r="B958" s="4" t="s">
        <v>1837</v>
      </c>
      <c r="C958" s="4" t="s">
        <v>1838</v>
      </c>
      <c r="D958" s="7">
        <v>43349</v>
      </c>
      <c r="E958" s="3">
        <v>5030.67</v>
      </c>
      <c r="F958" s="4" t="s">
        <v>69</v>
      </c>
      <c r="G958" s="3">
        <v>16.48</v>
      </c>
      <c r="H958" s="4" t="s">
        <v>51</v>
      </c>
      <c r="I958" s="4" t="s">
        <v>51</v>
      </c>
      <c r="J958" s="4" t="s">
        <v>79</v>
      </c>
      <c r="K958" s="3">
        <v>81</v>
      </c>
      <c r="L958" s="3">
        <v>112</v>
      </c>
      <c r="M958" s="4"/>
      <c r="N958" s="3">
        <v>4173.03</v>
      </c>
      <c r="O958" s="4" t="s">
        <v>34</v>
      </c>
      <c r="P958" s="4" t="s">
        <v>34</v>
      </c>
      <c r="Q958" s="4" t="s">
        <v>493</v>
      </c>
      <c r="R958" s="3">
        <v>1419.95</v>
      </c>
      <c r="S958" s="3">
        <v>10.6127</v>
      </c>
      <c r="T958" s="4" t="s">
        <v>934</v>
      </c>
      <c r="U958" s="2" t="s">
        <v>37</v>
      </c>
      <c r="V958" s="2" t="s">
        <v>38</v>
      </c>
      <c r="W958" s="2" t="s">
        <v>37</v>
      </c>
      <c r="X958" s="2" t="s">
        <v>37</v>
      </c>
      <c r="Y958" s="2" t="s">
        <v>37</v>
      </c>
      <c r="Z958" s="2" t="s">
        <v>37</v>
      </c>
      <c r="AA958" s="6">
        <v>3.7016258299999998</v>
      </c>
      <c r="AB958" s="6">
        <v>3.152273052</v>
      </c>
      <c r="AC958" s="6">
        <v>3.6204515069999998</v>
      </c>
      <c r="AD958" cm="1">
        <f t="array" ref="AD958">IF(SUMPRODUCT(--($AM$2:$AM$112=TRIM(LEFT($B958,IFERROR(FIND(" ",$B958)-1,LEN($B958))))))&gt;0,1,0)</f>
        <v>0</v>
      </c>
      <c r="AE958" cm="1">
        <f t="array" ref="AE958">IF(SUMPRODUCT(--($AO$2:$AO$145=TRIM(LEFT($B958,IFERROR(FIND(" ",$B958)-1,LEN($B958))))))&gt;0,1,0)</f>
        <v>0</v>
      </c>
      <c r="AF958" cm="1">
        <f t="array" ref="AF958">IF(SUMPRODUCT(--($AQ$2:$AQ$71=TRIM(LEFT($B958,IFERROR(FIND(" ",$B958)-1,LEN($B958))))))&gt;0,1,0)</f>
        <v>0</v>
      </c>
    </row>
    <row r="959" spans="1:32" ht="165.75" thickBot="1" x14ac:dyDescent="0.3">
      <c r="A959" s="13">
        <v>160</v>
      </c>
      <c r="B959" s="4" t="s">
        <v>1839</v>
      </c>
      <c r="C959" s="4" t="s">
        <v>1840</v>
      </c>
      <c r="D959" s="7">
        <v>43214</v>
      </c>
      <c r="E959" s="3">
        <v>1936.04</v>
      </c>
      <c r="F959" s="4" t="s">
        <v>30</v>
      </c>
      <c r="G959" s="3">
        <v>29.69</v>
      </c>
      <c r="H959" s="4" t="s">
        <v>31</v>
      </c>
      <c r="I959" s="4" t="s">
        <v>432</v>
      </c>
      <c r="J959" s="4" t="s">
        <v>433</v>
      </c>
      <c r="K959" s="4"/>
      <c r="L959" s="4"/>
      <c r="M959" s="4"/>
      <c r="N959" s="3">
        <v>1350.24</v>
      </c>
      <c r="O959" s="4" t="s">
        <v>34</v>
      </c>
      <c r="P959" s="4" t="s">
        <v>166</v>
      </c>
      <c r="Q959" s="4" t="s">
        <v>35</v>
      </c>
      <c r="R959" s="3">
        <v>1059.0999999999999</v>
      </c>
      <c r="S959" s="3">
        <v>-0.67484699999999997</v>
      </c>
      <c r="T959" s="4" t="s">
        <v>726</v>
      </c>
      <c r="U959" s="2" t="s">
        <v>37</v>
      </c>
      <c r="V959" s="2" t="s">
        <v>37</v>
      </c>
      <c r="W959" s="2" t="s">
        <v>38</v>
      </c>
      <c r="X959" s="2" t="s">
        <v>38</v>
      </c>
      <c r="Y959" s="2" t="s">
        <v>38</v>
      </c>
      <c r="Z959" s="2" t="s">
        <v>37</v>
      </c>
      <c r="AA959" s="6">
        <v>3.2869143260000002</v>
      </c>
      <c r="AB959" s="6">
        <v>3.024936968</v>
      </c>
      <c r="AC959" s="6">
        <v>3.1304109699999998</v>
      </c>
      <c r="AD959" cm="1">
        <f t="array" ref="AD959">IF(SUMPRODUCT(--($AM$2:$AM$112=TRIM(LEFT($B959,IFERROR(FIND(" ",$B959)-1,LEN($B959))))))&gt;0,1,0)</f>
        <v>0</v>
      </c>
      <c r="AE959" cm="1">
        <f t="array" ref="AE959">IF(SUMPRODUCT(--($AO$2:$AO$145=TRIM(LEFT($B959,IFERROR(FIND(" ",$B959)-1,LEN($B959))))))&gt;0,1,0)</f>
        <v>0</v>
      </c>
      <c r="AF959" cm="1">
        <f t="array" ref="AF959">IF(SUMPRODUCT(--($AQ$2:$AQ$71=TRIM(LEFT($B959,IFERROR(FIND(" ",$B959)-1,LEN($B959))))))&gt;0,1,0)</f>
        <v>0</v>
      </c>
    </row>
    <row r="960" spans="1:32" ht="45.75" thickBot="1" x14ac:dyDescent="0.3">
      <c r="A960" s="13">
        <v>79</v>
      </c>
      <c r="B960" s="4" t="s">
        <v>1841</v>
      </c>
      <c r="C960" s="4" t="s">
        <v>1061</v>
      </c>
      <c r="D960" s="7">
        <v>43326</v>
      </c>
      <c r="E960" s="3">
        <v>9144.68</v>
      </c>
      <c r="F960" s="4" t="s">
        <v>46</v>
      </c>
      <c r="G960" s="3">
        <v>11.25</v>
      </c>
      <c r="H960" s="4" t="s">
        <v>118</v>
      </c>
      <c r="I960" s="4" t="s">
        <v>119</v>
      </c>
      <c r="J960" s="4" t="s">
        <v>120</v>
      </c>
      <c r="K960" s="3">
        <v>400</v>
      </c>
      <c r="L960" s="3">
        <v>250</v>
      </c>
      <c r="M960" s="3">
        <v>15.63</v>
      </c>
      <c r="N960" s="3">
        <v>8316.7999999999993</v>
      </c>
      <c r="O960" s="4" t="s">
        <v>34</v>
      </c>
      <c r="P960" s="4" t="s">
        <v>34</v>
      </c>
      <c r="Q960" s="4" t="s">
        <v>35</v>
      </c>
      <c r="R960" s="3">
        <v>971.80399999999997</v>
      </c>
      <c r="S960" s="3">
        <v>20.913599999999999</v>
      </c>
      <c r="T960" s="4" t="s">
        <v>43</v>
      </c>
      <c r="U960" s="2" t="s">
        <v>37</v>
      </c>
      <c r="V960" s="2" t="s">
        <v>37</v>
      </c>
      <c r="W960" s="2" t="s">
        <v>37</v>
      </c>
      <c r="X960" s="2" t="s">
        <v>37</v>
      </c>
      <c r="Y960" s="2" t="s">
        <v>37</v>
      </c>
      <c r="Z960" s="2" t="s">
        <v>37</v>
      </c>
      <c r="AA960" s="6">
        <v>3.9611685130000001</v>
      </c>
      <c r="AB960" s="6">
        <v>2.9875786820000001</v>
      </c>
      <c r="AC960" s="6">
        <v>3.919956258</v>
      </c>
      <c r="AD960" cm="1">
        <f t="array" ref="AD960">IF(SUMPRODUCT(--($AM$2:$AM$112=TRIM(LEFT($B960,IFERROR(FIND(" ",$B960)-1,LEN($B960))))))&gt;0,1,0)</f>
        <v>0</v>
      </c>
      <c r="AE960" cm="1">
        <f t="array" ref="AE960">IF(SUMPRODUCT(--($AO$2:$AO$145=TRIM(LEFT($B960,IFERROR(FIND(" ",$B960)-1,LEN($B960))))))&gt;0,1,0)</f>
        <v>0</v>
      </c>
      <c r="AF960" cm="1">
        <f t="array" ref="AF960">IF(SUMPRODUCT(--($AQ$2:$AQ$71=TRIM(LEFT($B960,IFERROR(FIND(" ",$B960)-1,LEN($B960))))))&gt;0,1,0)</f>
        <v>0</v>
      </c>
    </row>
    <row r="961" spans="1:32" ht="210.75" thickBot="1" x14ac:dyDescent="0.3">
      <c r="A961" s="13">
        <v>234</v>
      </c>
      <c r="B961" s="4" t="s">
        <v>1842</v>
      </c>
      <c r="C961" s="2"/>
      <c r="D961" s="7">
        <v>43109</v>
      </c>
      <c r="E961" s="3">
        <v>1301.1300000000001</v>
      </c>
      <c r="F961" s="4" t="s">
        <v>30</v>
      </c>
      <c r="G961" s="4"/>
      <c r="H961" s="4" t="s">
        <v>65</v>
      </c>
      <c r="I961" s="4" t="s">
        <v>206</v>
      </c>
      <c r="J961" s="4" t="s">
        <v>206</v>
      </c>
      <c r="K961" s="4"/>
      <c r="L961" s="4"/>
      <c r="M961" s="4"/>
      <c r="N961" s="3">
        <v>1301.1300000000001</v>
      </c>
      <c r="O961" s="4" t="s">
        <v>34</v>
      </c>
      <c r="P961" s="4" t="s">
        <v>34</v>
      </c>
      <c r="Q961" s="4" t="s">
        <v>493</v>
      </c>
      <c r="R961" s="3">
        <v>5958.94</v>
      </c>
      <c r="S961" s="3">
        <v>4.3620599999999996</v>
      </c>
      <c r="T961" s="4" t="s">
        <v>1843</v>
      </c>
      <c r="U961" s="2" t="s">
        <v>37</v>
      </c>
      <c r="V961" s="2" t="s">
        <v>37</v>
      </c>
      <c r="W961" s="2" t="s">
        <v>38</v>
      </c>
      <c r="X961" s="2" t="s">
        <v>38</v>
      </c>
      <c r="Y961" s="2" t="s">
        <v>38</v>
      </c>
      <c r="Z961" s="2" t="s">
        <v>37</v>
      </c>
      <c r="AA961" s="6">
        <v>3.11432069</v>
      </c>
      <c r="AB961" s="6">
        <v>3.7751690130000002</v>
      </c>
      <c r="AC961" s="6">
        <v>3.11432069</v>
      </c>
      <c r="AD961" cm="1">
        <f t="array" ref="AD961">IF(SUMPRODUCT(--($AM$2:$AM$112=TRIM(LEFT($B961,IFERROR(FIND(" ",$B961)-1,LEN($B961))))))&gt;0,1,0)</f>
        <v>0</v>
      </c>
      <c r="AE961" cm="1">
        <f t="array" ref="AE961">IF(SUMPRODUCT(--($AO$2:$AO$145=TRIM(LEFT($B961,IFERROR(FIND(" ",$B961)-1,LEN($B961))))))&gt;0,1,0)</f>
        <v>0</v>
      </c>
      <c r="AF961" cm="1">
        <f t="array" ref="AF961">IF(SUMPRODUCT(--($AQ$2:$AQ$71=TRIM(LEFT($B961,IFERROR(FIND(" ",$B961)-1,LEN($B961))))))&gt;0,1,0)</f>
        <v>0</v>
      </c>
    </row>
    <row r="962" spans="1:32" ht="60.75" thickBot="1" x14ac:dyDescent="0.3">
      <c r="A962" s="13">
        <v>259</v>
      </c>
      <c r="B962" s="4" t="s">
        <v>1844</v>
      </c>
      <c r="C962" s="4" t="s">
        <v>922</v>
      </c>
      <c r="D962" s="7">
        <v>43072</v>
      </c>
      <c r="E962" s="3">
        <v>68113.119999999995</v>
      </c>
      <c r="F962" s="4" t="s">
        <v>107</v>
      </c>
      <c r="G962" s="3">
        <v>15.81</v>
      </c>
      <c r="H962" s="4" t="s">
        <v>41</v>
      </c>
      <c r="I962" s="4" t="s">
        <v>41</v>
      </c>
      <c r="J962" s="4" t="s">
        <v>100</v>
      </c>
      <c r="K962" s="3">
        <v>2100</v>
      </c>
      <c r="L962" s="3">
        <v>2100</v>
      </c>
      <c r="M962" s="3">
        <v>16.54</v>
      </c>
      <c r="N962" s="3">
        <v>66751.12</v>
      </c>
      <c r="O962" s="4" t="s">
        <v>34</v>
      </c>
      <c r="P962" s="4" t="s">
        <v>34</v>
      </c>
      <c r="Q962" s="4" t="s">
        <v>35</v>
      </c>
      <c r="R962" s="3">
        <v>60535</v>
      </c>
      <c r="S962" s="3">
        <v>9.05884</v>
      </c>
      <c r="T962" s="4" t="s">
        <v>43</v>
      </c>
      <c r="U962" s="2" t="s">
        <v>37</v>
      </c>
      <c r="V962" s="2" t="s">
        <v>37</v>
      </c>
      <c r="W962" s="2" t="s">
        <v>37</v>
      </c>
      <c r="X962" s="2" t="s">
        <v>37</v>
      </c>
      <c r="Y962" s="2" t="s">
        <v>37</v>
      </c>
      <c r="Z962" s="2" t="s">
        <v>37</v>
      </c>
      <c r="AA962" s="6">
        <v>4.8332307739999996</v>
      </c>
      <c r="AB962" s="6">
        <v>4.7820065469999999</v>
      </c>
      <c r="AC962" s="6">
        <v>4.8244585569999998</v>
      </c>
      <c r="AD962" cm="1">
        <f t="array" ref="AD962">IF(SUMPRODUCT(--($AM$2:$AM$112=TRIM(LEFT($B962,IFERROR(FIND(" ",$B962)-1,LEN($B962))))))&gt;0,1,0)</f>
        <v>0</v>
      </c>
      <c r="AE962" cm="1">
        <f t="array" ref="AE962">IF(SUMPRODUCT(--($AO$2:$AO$145=TRIM(LEFT($B962,IFERROR(FIND(" ",$B962)-1,LEN($B962))))))&gt;0,1,0)</f>
        <v>0</v>
      </c>
      <c r="AF962" cm="1">
        <f t="array" ref="AF962">IF(SUMPRODUCT(--($AQ$2:$AQ$71=TRIM(LEFT($B962,IFERROR(FIND(" ",$B962)-1,LEN($B962))))))&gt;0,1,0)</f>
        <v>0</v>
      </c>
    </row>
    <row r="963" spans="1:32" ht="45.75" thickBot="1" x14ac:dyDescent="0.3">
      <c r="A963" s="13">
        <v>321</v>
      </c>
      <c r="B963" s="4" t="s">
        <v>1845</v>
      </c>
      <c r="C963" s="4" t="s">
        <v>1547</v>
      </c>
      <c r="D963" s="7">
        <v>42983</v>
      </c>
      <c r="E963" s="3">
        <v>29500.19</v>
      </c>
      <c r="F963" s="4" t="s">
        <v>107</v>
      </c>
      <c r="G963" s="3">
        <v>21.18</v>
      </c>
      <c r="H963" s="4" t="s">
        <v>70</v>
      </c>
      <c r="I963" s="4" t="s">
        <v>71</v>
      </c>
      <c r="J963" s="4" t="s">
        <v>304</v>
      </c>
      <c r="K963" s="4"/>
      <c r="L963" s="3">
        <v>695</v>
      </c>
      <c r="M963" s="3">
        <v>8.6199999999999992</v>
      </c>
      <c r="N963" s="3">
        <v>22299.19</v>
      </c>
      <c r="O963" s="4" t="s">
        <v>34</v>
      </c>
      <c r="P963" s="4" t="s">
        <v>34</v>
      </c>
      <c r="Q963" s="4" t="s">
        <v>35</v>
      </c>
      <c r="R963" s="3">
        <v>8665</v>
      </c>
      <c r="S963" s="3">
        <v>16.918600000000001</v>
      </c>
      <c r="T963" s="4" t="s">
        <v>43</v>
      </c>
      <c r="U963" s="2" t="s">
        <v>37</v>
      </c>
      <c r="V963" s="2" t="s">
        <v>37</v>
      </c>
      <c r="W963" s="2" t="s">
        <v>37</v>
      </c>
      <c r="X963" s="2" t="s">
        <v>37</v>
      </c>
      <c r="Y963" s="2" t="s">
        <v>37</v>
      </c>
      <c r="Z963" s="2" t="s">
        <v>37</v>
      </c>
      <c r="AA963" s="6">
        <v>4.4698248129999998</v>
      </c>
      <c r="AB963" s="6">
        <v>3.937768567</v>
      </c>
      <c r="AC963" s="6">
        <v>4.3482890879999996</v>
      </c>
      <c r="AD963" cm="1">
        <f t="array" ref="AD963">IF(SUMPRODUCT(--($AM$2:$AM$112=TRIM(LEFT($B963,IFERROR(FIND(" ",$B963)-1,LEN($B963))))))&gt;0,1,0)</f>
        <v>1</v>
      </c>
      <c r="AE963" cm="1">
        <f t="array" ref="AE963">IF(SUMPRODUCT(--($AO$2:$AO$145=TRIM(LEFT($B963,IFERROR(FIND(" ",$B963)-1,LEN($B963))))))&gt;0,1,0)</f>
        <v>1</v>
      </c>
      <c r="AF963" cm="1">
        <f t="array" ref="AF963">IF(SUMPRODUCT(--($AQ$2:$AQ$71=TRIM(LEFT($B963,IFERROR(FIND(" ",$B963)-1,LEN($B963))))))&gt;0,1,0)</f>
        <v>0</v>
      </c>
    </row>
    <row r="964" spans="1:32" ht="75.75" thickBot="1" x14ac:dyDescent="0.3">
      <c r="A964" s="13">
        <v>86</v>
      </c>
      <c r="B964" s="4" t="s">
        <v>1846</v>
      </c>
      <c r="C964" s="4" t="s">
        <v>1847</v>
      </c>
      <c r="D964" s="7">
        <v>43304</v>
      </c>
      <c r="E964" s="3">
        <v>5297.74</v>
      </c>
      <c r="F964" s="4" t="s">
        <v>30</v>
      </c>
      <c r="G964" s="3">
        <v>8.07</v>
      </c>
      <c r="H964" s="4" t="s">
        <v>41</v>
      </c>
      <c r="I964" s="4" t="s">
        <v>41</v>
      </c>
      <c r="J964" s="4" t="s">
        <v>100</v>
      </c>
      <c r="K964" s="3">
        <v>160.703</v>
      </c>
      <c r="L964" s="3">
        <v>80.352000000000004</v>
      </c>
      <c r="M964" s="4"/>
      <c r="N964" s="3">
        <v>2520.64</v>
      </c>
      <c r="O964" s="4" t="s">
        <v>34</v>
      </c>
      <c r="P964" s="4" t="s">
        <v>34</v>
      </c>
      <c r="Q964" s="4" t="s">
        <v>35</v>
      </c>
      <c r="R964" s="3">
        <v>6291.4</v>
      </c>
      <c r="S964" s="3">
        <v>4.9823199999999996</v>
      </c>
      <c r="T964" s="4" t="s">
        <v>113</v>
      </c>
      <c r="U964" s="2" t="s">
        <v>37</v>
      </c>
      <c r="V964" s="2" t="s">
        <v>37</v>
      </c>
      <c r="W964" s="2" t="s">
        <v>37</v>
      </c>
      <c r="X964" s="2" t="s">
        <v>38</v>
      </c>
      <c r="Y964" s="2" t="s">
        <v>37</v>
      </c>
      <c r="Z964" s="2" t="s">
        <v>37</v>
      </c>
      <c r="AA964" s="6">
        <v>3.72409064</v>
      </c>
      <c r="AB964" s="6">
        <v>3.7987472979999999</v>
      </c>
      <c r="AC964" s="6">
        <v>3.4015108239999998</v>
      </c>
      <c r="AD964" cm="1">
        <f t="array" ref="AD964">IF(SUMPRODUCT(--($AM$2:$AM$112=TRIM(LEFT($B964,IFERROR(FIND(" ",$B964)-1,LEN($B964))))))&gt;0,1,0)</f>
        <v>0</v>
      </c>
      <c r="AE964" cm="1">
        <f t="array" ref="AE964">IF(SUMPRODUCT(--($AO$2:$AO$145=TRIM(LEFT($B964,IFERROR(FIND(" ",$B964)-1,LEN($B964))))))&gt;0,1,0)</f>
        <v>0</v>
      </c>
      <c r="AF964" cm="1">
        <f t="array" ref="AF964">IF(SUMPRODUCT(--($AQ$2:$AQ$71=TRIM(LEFT($B964,IFERROR(FIND(" ",$B964)-1,LEN($B964))))))&gt;0,1,0)</f>
        <v>0</v>
      </c>
    </row>
    <row r="965" spans="1:32" ht="75.75" thickBot="1" x14ac:dyDescent="0.3">
      <c r="A965" s="13">
        <v>52</v>
      </c>
      <c r="B965" s="4" t="s">
        <v>1848</v>
      </c>
      <c r="C965" s="4" t="s">
        <v>1849</v>
      </c>
      <c r="D965" s="7">
        <v>43349</v>
      </c>
      <c r="E965" s="3">
        <v>1500</v>
      </c>
      <c r="F965" s="4" t="s">
        <v>107</v>
      </c>
      <c r="G965" s="4"/>
      <c r="H965" s="4" t="s">
        <v>31</v>
      </c>
      <c r="I965" s="4" t="s">
        <v>32</v>
      </c>
      <c r="J965" s="4" t="s">
        <v>33</v>
      </c>
      <c r="K965" s="4"/>
      <c r="L965" s="4"/>
      <c r="M965" s="4"/>
      <c r="N965" s="3">
        <v>1500</v>
      </c>
      <c r="O965" s="4" t="s">
        <v>34</v>
      </c>
      <c r="P965" s="4" t="s">
        <v>34</v>
      </c>
      <c r="Q965" s="4" t="s">
        <v>35</v>
      </c>
      <c r="R965" s="3">
        <v>276.15300000000002</v>
      </c>
      <c r="S965" s="3">
        <v>-4.2968999999999999</v>
      </c>
      <c r="T965" s="4" t="s">
        <v>1850</v>
      </c>
      <c r="U965" s="2" t="s">
        <v>37</v>
      </c>
      <c r="V965" s="2" t="s">
        <v>37</v>
      </c>
      <c r="W965" s="2" t="s">
        <v>37</v>
      </c>
      <c r="X965" s="2" t="s">
        <v>37</v>
      </c>
      <c r="Y965" s="2" t="s">
        <v>37</v>
      </c>
      <c r="Z965" s="2" t="s">
        <v>37</v>
      </c>
      <c r="AA965" s="6">
        <v>3.1760912590000001</v>
      </c>
      <c r="AB965" s="6">
        <v>2.4411497660000001</v>
      </c>
      <c r="AC965" s="6">
        <v>3.1760912590000001</v>
      </c>
      <c r="AD965" cm="1">
        <f t="array" ref="AD965">IF(SUMPRODUCT(--($AM$2:$AM$112=TRIM(LEFT($B965,IFERROR(FIND(" ",$B965)-1,LEN($B965))))))&gt;0,1,0)</f>
        <v>0</v>
      </c>
      <c r="AE965" cm="1">
        <f t="array" ref="AE965">IF(SUMPRODUCT(--($AO$2:$AO$145=TRIM(LEFT($B965,IFERROR(FIND(" ",$B965)-1,LEN($B965))))))&gt;0,1,0)</f>
        <v>0</v>
      </c>
      <c r="AF965" cm="1">
        <f t="array" ref="AF965">IF(SUMPRODUCT(--($AQ$2:$AQ$71=TRIM(LEFT($B965,IFERROR(FIND(" ",$B965)-1,LEN($B965))))))&gt;0,1,0)</f>
        <v>0</v>
      </c>
    </row>
    <row r="966" spans="1:32" ht="45.75" thickBot="1" x14ac:dyDescent="0.3">
      <c r="A966" s="13">
        <v>67</v>
      </c>
      <c r="B966" s="4" t="s">
        <v>1851</v>
      </c>
      <c r="C966" s="4" t="s">
        <v>1090</v>
      </c>
      <c r="D966" s="7">
        <v>43327</v>
      </c>
      <c r="E966" s="3">
        <v>1537.91</v>
      </c>
      <c r="F966" s="4" t="s">
        <v>107</v>
      </c>
      <c r="G966" s="3">
        <v>13.03</v>
      </c>
      <c r="H966" s="4" t="s">
        <v>47</v>
      </c>
      <c r="I966" s="4" t="s">
        <v>47</v>
      </c>
      <c r="J966" s="4" t="s">
        <v>875</v>
      </c>
      <c r="K966" s="4"/>
      <c r="L966" s="3">
        <v>38.765000000000001</v>
      </c>
      <c r="M966" s="3">
        <v>12.08</v>
      </c>
      <c r="N966" s="3">
        <v>1236.18</v>
      </c>
      <c r="O966" s="4" t="s">
        <v>34</v>
      </c>
      <c r="P966" s="4" t="s">
        <v>34</v>
      </c>
      <c r="Q966" s="4" t="s">
        <v>35</v>
      </c>
      <c r="R966" s="3">
        <v>465.55599999999998</v>
      </c>
      <c r="S966" s="3">
        <v>18.928999999999998</v>
      </c>
      <c r="T966" s="4" t="s">
        <v>43</v>
      </c>
      <c r="U966" s="2" t="s">
        <v>37</v>
      </c>
      <c r="V966" s="2" t="s">
        <v>37</v>
      </c>
      <c r="W966" s="2" t="s">
        <v>37</v>
      </c>
      <c r="X966" s="2" t="s">
        <v>37</v>
      </c>
      <c r="Y966" s="2" t="s">
        <v>37</v>
      </c>
      <c r="Z966" s="2" t="s">
        <v>37</v>
      </c>
      <c r="AA966" s="6">
        <v>3.1869309210000001</v>
      </c>
      <c r="AB966" s="6">
        <v>2.667971928</v>
      </c>
      <c r="AC966" s="6">
        <v>3.0920817129999998</v>
      </c>
      <c r="AD966" cm="1">
        <f t="array" ref="AD966">IF(SUMPRODUCT(--($AM$2:$AM$112=TRIM(LEFT($B966,IFERROR(FIND(" ",$B966)-1,LEN($B966))))))&gt;0,1,0)</f>
        <v>0</v>
      </c>
      <c r="AE966" cm="1">
        <f t="array" ref="AE966">IF(SUMPRODUCT(--($AO$2:$AO$145=TRIM(LEFT($B966,IFERROR(FIND(" ",$B966)-1,LEN($B966))))))&gt;0,1,0)</f>
        <v>0</v>
      </c>
      <c r="AF966" cm="1">
        <f t="array" ref="AF966">IF(SUMPRODUCT(--($AQ$2:$AQ$71=TRIM(LEFT($B966,IFERROR(FIND(" ",$B966)-1,LEN($B966))))))&gt;0,1,0)</f>
        <v>0</v>
      </c>
    </row>
    <row r="967" spans="1:32" ht="75.75" thickBot="1" x14ac:dyDescent="0.3">
      <c r="A967" s="13">
        <v>56</v>
      </c>
      <c r="B967" s="4" t="s">
        <v>1852</v>
      </c>
      <c r="C967" s="4" t="s">
        <v>1853</v>
      </c>
      <c r="D967" s="7">
        <v>43342</v>
      </c>
      <c r="E967" s="3">
        <v>1535.66</v>
      </c>
      <c r="F967" s="4" t="s">
        <v>30</v>
      </c>
      <c r="G967" s="3">
        <v>24.11</v>
      </c>
      <c r="H967" s="4" t="s">
        <v>118</v>
      </c>
      <c r="I967" s="4" t="s">
        <v>119</v>
      </c>
      <c r="J967" s="4" t="s">
        <v>120</v>
      </c>
      <c r="K967" s="4"/>
      <c r="L967" s="4"/>
      <c r="M967" s="4"/>
      <c r="N967" s="3">
        <v>600.5</v>
      </c>
      <c r="O967" s="4" t="s">
        <v>34</v>
      </c>
      <c r="P967" s="4" t="s">
        <v>34</v>
      </c>
      <c r="Q967" s="4" t="s">
        <v>35</v>
      </c>
      <c r="R967" s="3">
        <v>205.26599999999999</v>
      </c>
      <c r="S967" s="3">
        <v>1.4250400000000001</v>
      </c>
      <c r="T967" s="4" t="s">
        <v>113</v>
      </c>
      <c r="U967" s="2" t="s">
        <v>37</v>
      </c>
      <c r="V967" s="2" t="s">
        <v>37</v>
      </c>
      <c r="W967" s="2" t="s">
        <v>37</v>
      </c>
      <c r="X967" s="2" t="s">
        <v>38</v>
      </c>
      <c r="Y967" s="2" t="s">
        <v>37</v>
      </c>
      <c r="Z967" s="2" t="s">
        <v>37</v>
      </c>
      <c r="AA967" s="6">
        <v>3.1862950720000001</v>
      </c>
      <c r="AB967" s="6">
        <v>2.312317019</v>
      </c>
      <c r="AC967" s="6">
        <v>2.7785130119999999</v>
      </c>
      <c r="AD967" cm="1">
        <f t="array" ref="AD967">IF(SUMPRODUCT(--($AM$2:$AM$112=TRIM(LEFT($B967,IFERROR(FIND(" ",$B967)-1,LEN($B967))))))&gt;0,1,0)</f>
        <v>0</v>
      </c>
      <c r="AE967" cm="1">
        <f t="array" ref="AE967">IF(SUMPRODUCT(--($AO$2:$AO$145=TRIM(LEFT($B967,IFERROR(FIND(" ",$B967)-1,LEN($B967))))))&gt;0,1,0)</f>
        <v>0</v>
      </c>
      <c r="AF967" cm="1">
        <f t="array" ref="AF967">IF(SUMPRODUCT(--($AQ$2:$AQ$71=TRIM(LEFT($B967,IFERROR(FIND(" ",$B967)-1,LEN($B967))))))&gt;0,1,0)</f>
        <v>0</v>
      </c>
    </row>
    <row r="968" spans="1:32" ht="120.75" thickBot="1" x14ac:dyDescent="0.3">
      <c r="A968" s="13">
        <v>40</v>
      </c>
      <c r="B968" s="4" t="s">
        <v>1854</v>
      </c>
      <c r="C968" s="4" t="s">
        <v>1820</v>
      </c>
      <c r="D968" s="7">
        <v>43361</v>
      </c>
      <c r="E968" s="3">
        <v>3653.14</v>
      </c>
      <c r="F968" s="4" t="s">
        <v>107</v>
      </c>
      <c r="G968" s="4"/>
      <c r="H968" s="4" t="s">
        <v>118</v>
      </c>
      <c r="I968" s="4" t="s">
        <v>119</v>
      </c>
      <c r="J968" s="4" t="s">
        <v>120</v>
      </c>
      <c r="K968" s="4"/>
      <c r="L968" s="4"/>
      <c r="M968" s="3">
        <v>3.54</v>
      </c>
      <c r="N968" s="3">
        <v>3656.22</v>
      </c>
      <c r="O968" s="4" t="s">
        <v>49</v>
      </c>
      <c r="P968" s="4" t="s">
        <v>49</v>
      </c>
      <c r="Q968" s="4" t="s">
        <v>35</v>
      </c>
      <c r="R968" s="2"/>
      <c r="S968" s="2"/>
      <c r="T968" s="4" t="s">
        <v>321</v>
      </c>
      <c r="U968" s="2" t="s">
        <v>38</v>
      </c>
      <c r="V968" s="2" t="s">
        <v>37</v>
      </c>
      <c r="W968" s="2" t="s">
        <v>37</v>
      </c>
      <c r="X968" s="2" t="s">
        <v>37</v>
      </c>
      <c r="Y968" s="2" t="s">
        <v>37</v>
      </c>
      <c r="Z968" s="2" t="s">
        <v>37</v>
      </c>
      <c r="AA968" s="6">
        <v>3.5626663160000001</v>
      </c>
      <c r="AB968" s="2"/>
      <c r="AC968" s="6">
        <v>3.56303232</v>
      </c>
      <c r="AD968" cm="1">
        <f t="array" ref="AD968">IF(SUMPRODUCT(--($AM$2:$AM$112=TRIM(LEFT($B968,IFERROR(FIND(" ",$B968)-1,LEN($B968))))))&gt;0,1,0)</f>
        <v>0</v>
      </c>
      <c r="AE968" cm="1">
        <f t="array" ref="AE968">IF(SUMPRODUCT(--($AO$2:$AO$145=TRIM(LEFT($B968,IFERROR(FIND(" ",$B968)-1,LEN($B968))))))&gt;0,1,0)</f>
        <v>0</v>
      </c>
      <c r="AF968" cm="1">
        <f t="array" ref="AF968">IF(SUMPRODUCT(--($AQ$2:$AQ$71=TRIM(LEFT($B968,IFERROR(FIND(" ",$B968)-1,LEN($B968))))))&gt;0,1,0)</f>
        <v>0</v>
      </c>
    </row>
    <row r="969" spans="1:32" ht="60.75" thickBot="1" x14ac:dyDescent="0.3">
      <c r="A969" s="13">
        <v>53</v>
      </c>
      <c r="B969" s="4" t="s">
        <v>1855</v>
      </c>
      <c r="C969" s="4" t="s">
        <v>531</v>
      </c>
      <c r="D969" s="7">
        <v>43342</v>
      </c>
      <c r="E969" s="3">
        <v>1258.8900000000001</v>
      </c>
      <c r="F969" s="4" t="s">
        <v>30</v>
      </c>
      <c r="G969" s="4"/>
      <c r="H969" s="4" t="s">
        <v>41</v>
      </c>
      <c r="I969" s="4" t="s">
        <v>41</v>
      </c>
      <c r="J969" s="4" t="s">
        <v>60</v>
      </c>
      <c r="K969" s="4"/>
      <c r="L969" s="3">
        <v>47.6</v>
      </c>
      <c r="M969" s="3">
        <v>29.04</v>
      </c>
      <c r="N969" s="3">
        <v>1198.96</v>
      </c>
      <c r="O969" s="4" t="s">
        <v>34</v>
      </c>
      <c r="P969" s="4" t="s">
        <v>34</v>
      </c>
      <c r="Q969" s="4" t="s">
        <v>35</v>
      </c>
      <c r="R969" s="2"/>
      <c r="S969" s="2"/>
      <c r="T969" s="4" t="s">
        <v>43</v>
      </c>
      <c r="U969" s="2" t="s">
        <v>37</v>
      </c>
      <c r="V969" s="2" t="s">
        <v>37</v>
      </c>
      <c r="W969" s="2" t="s">
        <v>37</v>
      </c>
      <c r="X969" s="2" t="s">
        <v>37</v>
      </c>
      <c r="Y969" s="2" t="s">
        <v>37</v>
      </c>
      <c r="Z969" s="2" t="s">
        <v>37</v>
      </c>
      <c r="AA969" s="6">
        <v>3.0999877840000001</v>
      </c>
      <c r="AB969" s="2"/>
      <c r="AC969" s="6">
        <v>3.078804694</v>
      </c>
      <c r="AD969" cm="1">
        <f t="array" ref="AD969">IF(SUMPRODUCT(--($AM$2:$AM$112=TRIM(LEFT($B969,IFERROR(FIND(" ",$B969)-1,LEN($B969))))))&gt;0,1,0)</f>
        <v>0</v>
      </c>
      <c r="AE969" cm="1">
        <f t="array" ref="AE969">IF(SUMPRODUCT(--($AO$2:$AO$145=TRIM(LEFT($B969,IFERROR(FIND(" ",$B969)-1,LEN($B969))))))&gt;0,1,0)</f>
        <v>0</v>
      </c>
      <c r="AF969" cm="1">
        <f t="array" ref="AF969">IF(SUMPRODUCT(--($AQ$2:$AQ$71=TRIM(LEFT($B969,IFERROR(FIND(" ",$B969)-1,LEN($B969))))))&gt;0,1,0)</f>
        <v>0</v>
      </c>
    </row>
    <row r="970" spans="1:32" ht="45.75" thickBot="1" x14ac:dyDescent="0.3">
      <c r="A970" s="13">
        <v>85</v>
      </c>
      <c r="B970" s="4" t="s">
        <v>1856</v>
      </c>
      <c r="C970" s="4" t="s">
        <v>802</v>
      </c>
      <c r="D970" s="7">
        <v>43292</v>
      </c>
      <c r="E970" s="3">
        <v>18128</v>
      </c>
      <c r="F970" s="4" t="s">
        <v>30</v>
      </c>
      <c r="G970" s="3">
        <v>13.67</v>
      </c>
      <c r="H970" s="4" t="s">
        <v>31</v>
      </c>
      <c r="I970" s="4" t="s">
        <v>32</v>
      </c>
      <c r="J970" s="4" t="s">
        <v>33</v>
      </c>
      <c r="K970" s="4"/>
      <c r="L970" s="3">
        <v>566</v>
      </c>
      <c r="M970" s="3">
        <v>22.82</v>
      </c>
      <c r="N970" s="3">
        <v>18750</v>
      </c>
      <c r="O970" s="4" t="s">
        <v>34</v>
      </c>
      <c r="P970" s="4" t="s">
        <v>34</v>
      </c>
      <c r="Q970" s="4" t="s">
        <v>35</v>
      </c>
      <c r="R970" s="3">
        <v>4235</v>
      </c>
      <c r="S970" s="3">
        <v>21.027699999999999</v>
      </c>
      <c r="T970" s="4" t="s">
        <v>43</v>
      </c>
      <c r="U970" s="2" t="s">
        <v>37</v>
      </c>
      <c r="V970" s="2" t="s">
        <v>37</v>
      </c>
      <c r="W970" s="2" t="s">
        <v>37</v>
      </c>
      <c r="X970" s="2" t="s">
        <v>37</v>
      </c>
      <c r="Y970" s="2" t="s">
        <v>37</v>
      </c>
      <c r="Z970" s="2" t="s">
        <v>37</v>
      </c>
      <c r="AA970" s="6">
        <v>4.2583498930000001</v>
      </c>
      <c r="AB970" s="6">
        <v>3.6268534149999998</v>
      </c>
      <c r="AC970" s="6">
        <v>4.2730012720000001</v>
      </c>
      <c r="AD970" cm="1">
        <f t="array" ref="AD970">IF(SUMPRODUCT(--($AM$2:$AM$112=TRIM(LEFT($B970,IFERROR(FIND(" ",$B970)-1,LEN($B970))))))&gt;0,1,0)</f>
        <v>0</v>
      </c>
      <c r="AE970" cm="1">
        <f t="array" ref="AE970">IF(SUMPRODUCT(--($AO$2:$AO$145=TRIM(LEFT($B970,IFERROR(FIND(" ",$B970)-1,LEN($B970))))))&gt;0,1,0)</f>
        <v>0</v>
      </c>
      <c r="AF970" cm="1">
        <f t="array" ref="AF970">IF(SUMPRODUCT(--($AQ$2:$AQ$71=TRIM(LEFT($B970,IFERROR(FIND(" ",$B970)-1,LEN($B970))))))&gt;0,1,0)</f>
        <v>0</v>
      </c>
    </row>
    <row r="971" spans="1:32" ht="60.75" thickBot="1" x14ac:dyDescent="0.3">
      <c r="A971" s="13">
        <v>201</v>
      </c>
      <c r="B971" s="4" t="s">
        <v>1857</v>
      </c>
      <c r="C971" s="4" t="s">
        <v>685</v>
      </c>
      <c r="D971" s="7">
        <v>43129</v>
      </c>
      <c r="E971" s="3">
        <v>4934.24</v>
      </c>
      <c r="F971" s="4" t="s">
        <v>69</v>
      </c>
      <c r="G971" s="3">
        <v>12.79</v>
      </c>
      <c r="H971" s="4" t="s">
        <v>47</v>
      </c>
      <c r="I971" s="4" t="s">
        <v>47</v>
      </c>
      <c r="J971" s="4" t="s">
        <v>159</v>
      </c>
      <c r="K971" s="4"/>
      <c r="L971" s="3">
        <v>105.6</v>
      </c>
      <c r="M971" s="4"/>
      <c r="N971" s="3">
        <v>3393.48</v>
      </c>
      <c r="O971" s="4" t="s">
        <v>34</v>
      </c>
      <c r="P971" s="4" t="s">
        <v>34</v>
      </c>
      <c r="Q971" s="4" t="s">
        <v>35</v>
      </c>
      <c r="R971" s="3">
        <v>3315.66</v>
      </c>
      <c r="S971" s="3">
        <v>9.2110800000000008</v>
      </c>
      <c r="T971" s="4" t="s">
        <v>43</v>
      </c>
      <c r="U971" s="2" t="s">
        <v>37</v>
      </c>
      <c r="V971" s="2" t="s">
        <v>37</v>
      </c>
      <c r="W971" s="2" t="s">
        <v>37</v>
      </c>
      <c r="X971" s="2" t="s">
        <v>37</v>
      </c>
      <c r="Y971" s="2" t="s">
        <v>37</v>
      </c>
      <c r="Z971" s="2" t="s">
        <v>37</v>
      </c>
      <c r="AA971" s="6">
        <v>3.6932202699999999</v>
      </c>
      <c r="AB971" s="6">
        <v>3.5205699899999998</v>
      </c>
      <c r="AC971" s="6">
        <v>3.5306452940000002</v>
      </c>
      <c r="AD971" cm="1">
        <f t="array" ref="AD971">IF(SUMPRODUCT(--($AM$2:$AM$112=TRIM(LEFT($B971,IFERROR(FIND(" ",$B971)-1,LEN($B971))))))&gt;0,1,0)</f>
        <v>0</v>
      </c>
      <c r="AE971" cm="1">
        <f t="array" ref="AE971">IF(SUMPRODUCT(--($AO$2:$AO$145=TRIM(LEFT($B971,IFERROR(FIND(" ",$B971)-1,LEN($B971))))))&gt;0,1,0)</f>
        <v>0</v>
      </c>
      <c r="AF971" cm="1">
        <f t="array" ref="AF971">IF(SUMPRODUCT(--($AQ$2:$AQ$71=TRIM(LEFT($B971,IFERROR(FIND(" ",$B971)-1,LEN($B971))))))&gt;0,1,0)</f>
        <v>0</v>
      </c>
    </row>
    <row r="972" spans="1:32" ht="45.75" thickBot="1" x14ac:dyDescent="0.3">
      <c r="A972" s="13">
        <v>100</v>
      </c>
      <c r="B972" s="4" t="s">
        <v>1858</v>
      </c>
      <c r="C972" s="4" t="s">
        <v>1859</v>
      </c>
      <c r="D972" s="7">
        <v>43269</v>
      </c>
      <c r="E972" s="3">
        <v>5493.89</v>
      </c>
      <c r="F972" s="4" t="s">
        <v>46</v>
      </c>
      <c r="G972" s="4"/>
      <c r="H972" s="4" t="s">
        <v>51</v>
      </c>
      <c r="I972" s="4" t="s">
        <v>51</v>
      </c>
      <c r="J972" s="4" t="s">
        <v>79</v>
      </c>
      <c r="K972" s="4"/>
      <c r="L972" s="3">
        <v>114</v>
      </c>
      <c r="M972" s="4"/>
      <c r="N972" s="3">
        <v>3650.43</v>
      </c>
      <c r="O972" s="4" t="s">
        <v>34</v>
      </c>
      <c r="P972" s="4" t="s">
        <v>34</v>
      </c>
      <c r="Q972" s="4" t="s">
        <v>35</v>
      </c>
      <c r="R972" s="3">
        <v>447.654</v>
      </c>
      <c r="S972" s="3">
        <v>41.125500000000002</v>
      </c>
      <c r="T972" s="4" t="s">
        <v>43</v>
      </c>
      <c r="U972" s="2" t="s">
        <v>37</v>
      </c>
      <c r="V972" s="2" t="s">
        <v>37</v>
      </c>
      <c r="W972" s="2" t="s">
        <v>37</v>
      </c>
      <c r="X972" s="2" t="s">
        <v>37</v>
      </c>
      <c r="Y972" s="2" t="s">
        <v>37</v>
      </c>
      <c r="Z972" s="2" t="s">
        <v>37</v>
      </c>
      <c r="AA972" s="6">
        <v>3.7398799600000001</v>
      </c>
      <c r="AB972" s="6">
        <v>2.6509424689999999</v>
      </c>
      <c r="AC972" s="6">
        <v>3.5623440249999998</v>
      </c>
      <c r="AD972" cm="1">
        <f t="array" ref="AD972">IF(SUMPRODUCT(--($AM$2:$AM$112=TRIM(LEFT($B972,IFERROR(FIND(" ",$B972)-1,LEN($B972))))))&gt;0,1,0)</f>
        <v>0</v>
      </c>
      <c r="AE972" cm="1">
        <f t="array" ref="AE972">IF(SUMPRODUCT(--($AO$2:$AO$145=TRIM(LEFT($B972,IFERROR(FIND(" ",$B972)-1,LEN($B972))))))&gt;0,1,0)</f>
        <v>0</v>
      </c>
      <c r="AF972" cm="1">
        <f t="array" ref="AF972">IF(SUMPRODUCT(--($AQ$2:$AQ$71=TRIM(LEFT($B972,IFERROR(FIND(" ",$B972)-1,LEN($B972))))))&gt;0,1,0)</f>
        <v>0</v>
      </c>
    </row>
    <row r="973" spans="1:32" ht="105.75" thickBot="1" x14ac:dyDescent="0.3">
      <c r="A973" s="13">
        <v>43</v>
      </c>
      <c r="B973" s="4" t="s">
        <v>1860</v>
      </c>
      <c r="C973" s="4" t="s">
        <v>1861</v>
      </c>
      <c r="D973" s="7">
        <v>43347</v>
      </c>
      <c r="E973" s="3">
        <v>9280.06</v>
      </c>
      <c r="F973" s="4" t="s">
        <v>46</v>
      </c>
      <c r="G973" s="3">
        <v>24.39</v>
      </c>
      <c r="H973" s="4" t="s">
        <v>51</v>
      </c>
      <c r="I973" s="4" t="s">
        <v>51</v>
      </c>
      <c r="J973" s="4" t="s">
        <v>79</v>
      </c>
      <c r="K973" s="4"/>
      <c r="L973" s="4"/>
      <c r="M973" s="4"/>
      <c r="N973" s="3">
        <v>3875.48</v>
      </c>
      <c r="O973" s="4" t="s">
        <v>49</v>
      </c>
      <c r="P973" s="4" t="s">
        <v>49</v>
      </c>
      <c r="Q973" s="4" t="s">
        <v>35</v>
      </c>
      <c r="R973" s="3">
        <v>1012.71</v>
      </c>
      <c r="S973" s="3">
        <v>67.231999999999999</v>
      </c>
      <c r="T973" s="4" t="s">
        <v>1862</v>
      </c>
      <c r="U973" s="2" t="s">
        <v>38</v>
      </c>
      <c r="V973" s="2" t="s">
        <v>37</v>
      </c>
      <c r="W973" s="2" t="s">
        <v>37</v>
      </c>
      <c r="X973" s="2" t="s">
        <v>37</v>
      </c>
      <c r="Y973" s="2" t="s">
        <v>37</v>
      </c>
      <c r="Z973" s="2" t="s">
        <v>37</v>
      </c>
      <c r="AA973" s="6">
        <v>3.9675507840000002</v>
      </c>
      <c r="AB973" s="6">
        <v>3.0054850979999999</v>
      </c>
      <c r="AC973" s="6">
        <v>3.5883254999999998</v>
      </c>
      <c r="AD973" cm="1">
        <f t="array" ref="AD973">IF(SUMPRODUCT(--($AM$2:$AM$112=TRIM(LEFT($B973,IFERROR(FIND(" ",$B973)-1,LEN($B973))))))&gt;0,1,0)</f>
        <v>0</v>
      </c>
      <c r="AE973" cm="1">
        <f t="array" ref="AE973">IF(SUMPRODUCT(--($AO$2:$AO$145=TRIM(LEFT($B973,IFERROR(FIND(" ",$B973)-1,LEN($B973))))))&gt;0,1,0)</f>
        <v>0</v>
      </c>
      <c r="AF973" cm="1">
        <f t="array" ref="AF973">IF(SUMPRODUCT(--($AQ$2:$AQ$71=TRIM(LEFT($B973,IFERROR(FIND(" ",$B973)-1,LEN($B973))))))&gt;0,1,0)</f>
        <v>0</v>
      </c>
    </row>
    <row r="974" spans="1:32" ht="45.75" thickBot="1" x14ac:dyDescent="0.3">
      <c r="A974" s="13">
        <v>88</v>
      </c>
      <c r="B974" s="4" t="s">
        <v>1863</v>
      </c>
      <c r="C974" s="4" t="s">
        <v>1864</v>
      </c>
      <c r="D974" s="7">
        <v>43278</v>
      </c>
      <c r="E974" s="3">
        <v>10742.6</v>
      </c>
      <c r="F974" s="4" t="s">
        <v>107</v>
      </c>
      <c r="G974" s="3">
        <v>18.25</v>
      </c>
      <c r="H974" s="4" t="s">
        <v>127</v>
      </c>
      <c r="I974" s="4" t="s">
        <v>128</v>
      </c>
      <c r="J974" s="4" t="s">
        <v>129</v>
      </c>
      <c r="K974" s="4"/>
      <c r="L974" s="3">
        <v>263.78500000000003</v>
      </c>
      <c r="M974" s="3">
        <v>4.96</v>
      </c>
      <c r="N974" s="3">
        <v>8061.65</v>
      </c>
      <c r="O974" s="4" t="s">
        <v>34</v>
      </c>
      <c r="P974" s="4" t="s">
        <v>34</v>
      </c>
      <c r="Q974" s="4" t="s">
        <v>35</v>
      </c>
      <c r="R974" s="3">
        <v>3144</v>
      </c>
      <c r="S974" s="3">
        <v>16.220300000000002</v>
      </c>
      <c r="T974" s="4" t="s">
        <v>43</v>
      </c>
      <c r="U974" s="2" t="s">
        <v>37</v>
      </c>
      <c r="V974" s="2" t="s">
        <v>37</v>
      </c>
      <c r="W974" s="2" t="s">
        <v>37</v>
      </c>
      <c r="X974" s="2" t="s">
        <v>37</v>
      </c>
      <c r="Y974" s="2" t="s">
        <v>37</v>
      </c>
      <c r="Z974" s="2" t="s">
        <v>37</v>
      </c>
      <c r="AA974" s="6">
        <v>4.0311094049999996</v>
      </c>
      <c r="AB974" s="6">
        <v>3.4974825369999998</v>
      </c>
      <c r="AC974" s="6">
        <v>3.9064239390000002</v>
      </c>
      <c r="AD974" cm="1">
        <f t="array" ref="AD974">IF(SUMPRODUCT(--($AM$2:$AM$112=TRIM(LEFT($B974,IFERROR(FIND(" ",$B974)-1,LEN($B974))))))&gt;0,1,0)</f>
        <v>0</v>
      </c>
      <c r="AE974" cm="1">
        <f t="array" ref="AE974">IF(SUMPRODUCT(--($AO$2:$AO$145=TRIM(LEFT($B974,IFERROR(FIND(" ",$B974)-1,LEN($B974))))))&gt;0,1,0)</f>
        <v>0</v>
      </c>
      <c r="AF974" cm="1">
        <f t="array" ref="AF974">IF(SUMPRODUCT(--($AQ$2:$AQ$71=TRIM(LEFT($B974,IFERROR(FIND(" ",$B974)-1,LEN($B974))))))&gt;0,1,0)</f>
        <v>0</v>
      </c>
    </row>
    <row r="975" spans="1:32" ht="60.75" thickBot="1" x14ac:dyDescent="0.3">
      <c r="A975" s="13">
        <v>63</v>
      </c>
      <c r="B975" s="4" t="s">
        <v>1865</v>
      </c>
      <c r="C975" s="4" t="s">
        <v>1866</v>
      </c>
      <c r="D975" s="7">
        <v>43307</v>
      </c>
      <c r="E975" s="3">
        <v>3121.27</v>
      </c>
      <c r="F975" s="4" t="s">
        <v>30</v>
      </c>
      <c r="G975" s="3">
        <v>9.66</v>
      </c>
      <c r="H975" s="4" t="s">
        <v>127</v>
      </c>
      <c r="I975" s="4" t="s">
        <v>365</v>
      </c>
      <c r="J975" s="4" t="s">
        <v>366</v>
      </c>
      <c r="K975" s="4"/>
      <c r="L975" s="3">
        <v>40.5</v>
      </c>
      <c r="M975" s="3">
        <v>53.76</v>
      </c>
      <c r="N975" s="3">
        <v>1255.28</v>
      </c>
      <c r="O975" s="4" t="s">
        <v>34</v>
      </c>
      <c r="P975" s="4" t="s">
        <v>34</v>
      </c>
      <c r="Q975" s="4" t="s">
        <v>35</v>
      </c>
      <c r="R975" s="3">
        <v>14157</v>
      </c>
      <c r="S975" s="3">
        <v>0.28482800000000003</v>
      </c>
      <c r="T975" s="4" t="s">
        <v>43</v>
      </c>
      <c r="U975" s="2" t="s">
        <v>37</v>
      </c>
      <c r="V975" s="2" t="s">
        <v>37</v>
      </c>
      <c r="W975" s="2" t="s">
        <v>37</v>
      </c>
      <c r="X975" s="2" t="s">
        <v>37</v>
      </c>
      <c r="Y975" s="2" t="s">
        <v>37</v>
      </c>
      <c r="Z975" s="2" t="s">
        <v>37</v>
      </c>
      <c r="AA975" s="6">
        <v>3.4943313379999998</v>
      </c>
      <c r="AB975" s="6">
        <v>4.1509712319999998</v>
      </c>
      <c r="AC975" s="6">
        <v>3.098740609</v>
      </c>
      <c r="AD975" cm="1">
        <f t="array" ref="AD975">IF(SUMPRODUCT(--($AM$2:$AM$112=TRIM(LEFT($B975,IFERROR(FIND(" ",$B975)-1,LEN($B975))))))&gt;0,1,0)</f>
        <v>0</v>
      </c>
      <c r="AE975" cm="1">
        <f t="array" ref="AE975">IF(SUMPRODUCT(--($AO$2:$AO$145=TRIM(LEFT($B975,IFERROR(FIND(" ",$B975)-1,LEN($B975))))))&gt;0,1,0)</f>
        <v>0</v>
      </c>
      <c r="AF975" cm="1">
        <f t="array" ref="AF975">IF(SUMPRODUCT(--($AQ$2:$AQ$71=TRIM(LEFT($B975,IFERROR(FIND(" ",$B975)-1,LEN($B975))))))&gt;0,1,0)</f>
        <v>0</v>
      </c>
    </row>
    <row r="976" spans="1:32" ht="45.75" thickBot="1" x14ac:dyDescent="0.3">
      <c r="A976" s="13">
        <v>58</v>
      </c>
      <c r="B976" s="4" t="s">
        <v>1867</v>
      </c>
      <c r="C976" s="4" t="s">
        <v>819</v>
      </c>
      <c r="D976" s="7">
        <v>43313</v>
      </c>
      <c r="E976" s="3">
        <v>59299.55</v>
      </c>
      <c r="F976" s="4" t="s">
        <v>46</v>
      </c>
      <c r="G976" s="3">
        <v>11.09</v>
      </c>
      <c r="H976" s="4" t="s">
        <v>118</v>
      </c>
      <c r="I976" s="4" t="s">
        <v>119</v>
      </c>
      <c r="J976" s="4" t="s">
        <v>120</v>
      </c>
      <c r="K976" s="4"/>
      <c r="L976" s="3">
        <v>750</v>
      </c>
      <c r="M976" s="3">
        <v>14.94</v>
      </c>
      <c r="N976" s="3">
        <v>25897.55</v>
      </c>
      <c r="O976" s="4" t="s">
        <v>34</v>
      </c>
      <c r="P976" s="4" t="s">
        <v>34</v>
      </c>
      <c r="Q976" s="4" t="s">
        <v>35</v>
      </c>
      <c r="R976" s="3">
        <v>38954</v>
      </c>
      <c r="S976" s="3">
        <v>7.6988200000000004</v>
      </c>
      <c r="T976" s="4" t="s">
        <v>43</v>
      </c>
      <c r="U976" s="2" t="s">
        <v>37</v>
      </c>
      <c r="V976" s="2" t="s">
        <v>37</v>
      </c>
      <c r="W976" s="2" t="s">
        <v>37</v>
      </c>
      <c r="X976" s="2" t="s">
        <v>37</v>
      </c>
      <c r="Y976" s="2" t="s">
        <v>37</v>
      </c>
      <c r="Z976" s="2" t="s">
        <v>37</v>
      </c>
      <c r="AA976" s="6">
        <v>4.7730513979999998</v>
      </c>
      <c r="AB976" s="6">
        <v>4.5905520600000003</v>
      </c>
      <c r="AC976" s="6">
        <v>4.4132586800000002</v>
      </c>
      <c r="AD976" cm="1">
        <f t="array" ref="AD976">IF(SUMPRODUCT(--($AM$2:$AM$112=TRIM(LEFT($B976,IFERROR(FIND(" ",$B976)-1,LEN($B976))))))&gt;0,1,0)</f>
        <v>0</v>
      </c>
      <c r="AE976" cm="1">
        <f t="array" ref="AE976">IF(SUMPRODUCT(--($AO$2:$AO$145=TRIM(LEFT($B976,IFERROR(FIND(" ",$B976)-1,LEN($B976))))))&gt;0,1,0)</f>
        <v>0</v>
      </c>
      <c r="AF976" cm="1">
        <f t="array" ref="AF976">IF(SUMPRODUCT(--($AQ$2:$AQ$71=TRIM(LEFT($B976,IFERROR(FIND(" ",$B976)-1,LEN($B976))))))&gt;0,1,0)</f>
        <v>0</v>
      </c>
    </row>
    <row r="977" spans="1:32" ht="75.75" thickBot="1" x14ac:dyDescent="0.3">
      <c r="A977" s="13">
        <v>57</v>
      </c>
      <c r="B977" s="4" t="s">
        <v>1868</v>
      </c>
      <c r="C977" s="4" t="s">
        <v>1869</v>
      </c>
      <c r="D977" s="7">
        <v>43313</v>
      </c>
      <c r="E977" s="3">
        <v>2392.9</v>
      </c>
      <c r="F977" s="4" t="s">
        <v>30</v>
      </c>
      <c r="G977" s="3">
        <v>10.72</v>
      </c>
      <c r="H977" s="4" t="s">
        <v>75</v>
      </c>
      <c r="I977" s="4" t="s">
        <v>111</v>
      </c>
      <c r="J977" s="4" t="s">
        <v>112</v>
      </c>
      <c r="K977" s="4"/>
      <c r="L977" s="3">
        <v>111</v>
      </c>
      <c r="M977" s="3">
        <v>58.01</v>
      </c>
      <c r="N977" s="3">
        <v>2392.9</v>
      </c>
      <c r="O977" s="4" t="s">
        <v>49</v>
      </c>
      <c r="P977" s="4" t="s">
        <v>49</v>
      </c>
      <c r="Q977" s="4" t="s">
        <v>35</v>
      </c>
      <c r="R977" s="3">
        <v>969.947</v>
      </c>
      <c r="S977" s="3">
        <v>10.3116</v>
      </c>
      <c r="T977" s="4" t="s">
        <v>43</v>
      </c>
      <c r="U977" s="2" t="s">
        <v>37</v>
      </c>
      <c r="V977" s="2" t="s">
        <v>37</v>
      </c>
      <c r="W977" s="2" t="s">
        <v>37</v>
      </c>
      <c r="X977" s="2" t="s">
        <v>37</v>
      </c>
      <c r="Y977" s="2" t="s">
        <v>37</v>
      </c>
      <c r="Z977" s="2" t="s">
        <v>37</v>
      </c>
      <c r="AA977" s="6">
        <v>3.3789245499999998</v>
      </c>
      <c r="AB977" s="6">
        <v>2.9867480039999998</v>
      </c>
      <c r="AC977" s="6">
        <v>3.3789245499999998</v>
      </c>
      <c r="AD977" cm="1">
        <f t="array" ref="AD977">IF(SUMPRODUCT(--($AM$2:$AM$112=TRIM(LEFT($B977,IFERROR(FIND(" ",$B977)-1,LEN($B977))))))&gt;0,1,0)</f>
        <v>0</v>
      </c>
      <c r="AE977" cm="1">
        <f t="array" ref="AE977">IF(SUMPRODUCT(--($AO$2:$AO$145=TRIM(LEFT($B977,IFERROR(FIND(" ",$B977)-1,LEN($B977))))))&gt;0,1,0)</f>
        <v>0</v>
      </c>
      <c r="AF977" cm="1">
        <f t="array" ref="AF977">IF(SUMPRODUCT(--($AQ$2:$AQ$71=TRIM(LEFT($B977,IFERROR(FIND(" ",$B977)-1,LEN($B977))))))&gt;0,1,0)</f>
        <v>0</v>
      </c>
    </row>
    <row r="978" spans="1:32" ht="75.75" thickBot="1" x14ac:dyDescent="0.3">
      <c r="A978" s="13">
        <v>83</v>
      </c>
      <c r="B978" s="4" t="s">
        <v>1870</v>
      </c>
      <c r="C978" s="4" t="s">
        <v>1871</v>
      </c>
      <c r="D978" s="7">
        <v>43276</v>
      </c>
      <c r="E978" s="3">
        <v>811.77</v>
      </c>
      <c r="F978" s="4" t="s">
        <v>30</v>
      </c>
      <c r="G978" s="3">
        <v>9.0299999999999994</v>
      </c>
      <c r="H978" s="4" t="s">
        <v>70</v>
      </c>
      <c r="I978" s="4" t="s">
        <v>71</v>
      </c>
      <c r="J978" s="4" t="s">
        <v>72</v>
      </c>
      <c r="K978" s="3">
        <v>25</v>
      </c>
      <c r="L978" s="3">
        <v>25</v>
      </c>
      <c r="M978" s="4"/>
      <c r="N978" s="3">
        <v>221.77</v>
      </c>
      <c r="O978" s="4" t="s">
        <v>34</v>
      </c>
      <c r="P978" s="4" t="s">
        <v>1723</v>
      </c>
      <c r="Q978" s="4" t="s">
        <v>35</v>
      </c>
      <c r="R978" s="3">
        <v>481.048</v>
      </c>
      <c r="S978" s="3">
        <v>11.4445</v>
      </c>
      <c r="T978" s="4" t="s">
        <v>97</v>
      </c>
      <c r="U978" s="2" t="s">
        <v>37</v>
      </c>
      <c r="V978" s="2" t="s">
        <v>37</v>
      </c>
      <c r="W978" s="2" t="s">
        <v>38</v>
      </c>
      <c r="X978" s="2" t="s">
        <v>37</v>
      </c>
      <c r="Y978" s="2" t="s">
        <v>37</v>
      </c>
      <c r="Z978" s="2" t="s">
        <v>37</v>
      </c>
      <c r="AA978" s="6">
        <v>2.9094329970000001</v>
      </c>
      <c r="AB978" s="6">
        <v>2.682188413</v>
      </c>
      <c r="AC978" s="6">
        <v>2.3459027959999998</v>
      </c>
      <c r="AD978" cm="1">
        <f t="array" ref="AD978">IF(SUMPRODUCT(--($AM$2:$AM$112=TRIM(LEFT($B978,IFERROR(FIND(" ",$B978)-1,LEN($B978))))))&gt;0,1,0)</f>
        <v>0</v>
      </c>
      <c r="AE978" cm="1">
        <f t="array" ref="AE978">IF(SUMPRODUCT(--($AO$2:$AO$145=TRIM(LEFT($B978,IFERROR(FIND(" ",$B978)-1,LEN($B978))))))&gt;0,1,0)</f>
        <v>0</v>
      </c>
      <c r="AF978" cm="1">
        <f t="array" ref="AF978">IF(SUMPRODUCT(--($AQ$2:$AQ$71=TRIM(LEFT($B978,IFERROR(FIND(" ",$B978)-1,LEN($B978))))))&gt;0,1,0)</f>
        <v>0</v>
      </c>
    </row>
    <row r="979" spans="1:32" ht="75.75" thickBot="1" x14ac:dyDescent="0.3">
      <c r="A979" s="13">
        <v>217</v>
      </c>
      <c r="B979" s="4" t="s">
        <v>1872</v>
      </c>
      <c r="C979" s="4" t="s">
        <v>1269</v>
      </c>
      <c r="D979" s="7">
        <v>43087</v>
      </c>
      <c r="E979" s="3">
        <v>5741.3</v>
      </c>
      <c r="F979" s="4" t="s">
        <v>107</v>
      </c>
      <c r="G979" s="3">
        <v>9.0299999999999994</v>
      </c>
      <c r="H979" s="4" t="s">
        <v>75</v>
      </c>
      <c r="I979" s="4" t="s">
        <v>111</v>
      </c>
      <c r="J979" s="4" t="s">
        <v>133</v>
      </c>
      <c r="K979" s="3">
        <v>125</v>
      </c>
      <c r="L979" s="3">
        <v>60</v>
      </c>
      <c r="M979" s="3">
        <v>5.61</v>
      </c>
      <c r="N979" s="3">
        <v>1934.6</v>
      </c>
      <c r="O979" s="4" t="s">
        <v>34</v>
      </c>
      <c r="P979" s="4" t="s">
        <v>34</v>
      </c>
      <c r="Q979" s="4" t="s">
        <v>35</v>
      </c>
      <c r="R979" s="3">
        <v>2561.85</v>
      </c>
      <c r="S979" s="3">
        <v>17.547000000000001</v>
      </c>
      <c r="T979" s="4" t="s">
        <v>43</v>
      </c>
      <c r="U979" s="2" t="s">
        <v>37</v>
      </c>
      <c r="V979" s="2" t="s">
        <v>37</v>
      </c>
      <c r="W979" s="2" t="s">
        <v>37</v>
      </c>
      <c r="X979" s="2" t="s">
        <v>37</v>
      </c>
      <c r="Y979" s="2" t="s">
        <v>37</v>
      </c>
      <c r="Z979" s="2" t="s">
        <v>37</v>
      </c>
      <c r="AA979" s="6">
        <v>3.7590102409999999</v>
      </c>
      <c r="AB979" s="6">
        <v>3.408553698</v>
      </c>
      <c r="AC979" s="6">
        <v>3.2865911830000001</v>
      </c>
      <c r="AD979" cm="1">
        <f t="array" ref="AD979">IF(SUMPRODUCT(--($AM$2:$AM$112=TRIM(LEFT($B979,IFERROR(FIND(" ",$B979)-1,LEN($B979))))))&gt;0,1,0)</f>
        <v>0</v>
      </c>
      <c r="AE979" cm="1">
        <f t="array" ref="AE979">IF(SUMPRODUCT(--($AO$2:$AO$145=TRIM(LEFT($B979,IFERROR(FIND(" ",$B979)-1,LEN($B979))))))&gt;0,1,0)</f>
        <v>0</v>
      </c>
      <c r="AF979" cm="1">
        <f t="array" ref="AF979">IF(SUMPRODUCT(--($AQ$2:$AQ$71=TRIM(LEFT($B979,IFERROR(FIND(" ",$B979)-1,LEN($B979))))))&gt;0,1,0)</f>
        <v>0</v>
      </c>
    </row>
    <row r="980" spans="1:32" ht="135.75" thickBot="1" x14ac:dyDescent="0.3">
      <c r="A980" s="13">
        <v>89</v>
      </c>
      <c r="B980" s="4" t="s">
        <v>1873</v>
      </c>
      <c r="C980" s="4" t="s">
        <v>1874</v>
      </c>
      <c r="D980" s="7">
        <v>43262</v>
      </c>
      <c r="E980" s="3">
        <v>9425.7099999999991</v>
      </c>
      <c r="F980" s="4" t="s">
        <v>30</v>
      </c>
      <c r="G980" s="3">
        <v>15.66</v>
      </c>
      <c r="H980" s="4" t="s">
        <v>41</v>
      </c>
      <c r="I980" s="4" t="s">
        <v>41</v>
      </c>
      <c r="J980" s="4" t="s">
        <v>100</v>
      </c>
      <c r="K980" s="4"/>
      <c r="L980" s="4"/>
      <c r="M980" s="4"/>
      <c r="N980" s="3">
        <v>5571.91</v>
      </c>
      <c r="O980" s="4" t="s">
        <v>34</v>
      </c>
      <c r="P980" s="4" t="s">
        <v>34</v>
      </c>
      <c r="Q980" s="4" t="s">
        <v>35</v>
      </c>
      <c r="R980" s="3">
        <v>7819.3</v>
      </c>
      <c r="S980" s="3">
        <v>-22.363800000000001</v>
      </c>
      <c r="T980" s="4" t="s">
        <v>312</v>
      </c>
      <c r="U980" s="2" t="s">
        <v>37</v>
      </c>
      <c r="V980" s="2" t="s">
        <v>37</v>
      </c>
      <c r="W980" s="2" t="s">
        <v>37</v>
      </c>
      <c r="X980" s="2" t="s">
        <v>38</v>
      </c>
      <c r="Y980" s="2" t="s">
        <v>38</v>
      </c>
      <c r="Z980" s="2" t="s">
        <v>37</v>
      </c>
      <c r="AA980" s="6">
        <v>3.974314074</v>
      </c>
      <c r="AB980" s="6">
        <v>3.8931678760000001</v>
      </c>
      <c r="AC980" s="6">
        <v>3.7460040929999998</v>
      </c>
      <c r="AD980" cm="1">
        <f t="array" ref="AD980">IF(SUMPRODUCT(--($AM$2:$AM$112=TRIM(LEFT($B980,IFERROR(FIND(" ",$B980)-1,LEN($B980))))))&gt;0,1,0)</f>
        <v>0</v>
      </c>
      <c r="AE980" cm="1">
        <f t="array" ref="AE980">IF(SUMPRODUCT(--($AO$2:$AO$145=TRIM(LEFT($B980,IFERROR(FIND(" ",$B980)-1,LEN($B980))))))&gt;0,1,0)</f>
        <v>0</v>
      </c>
      <c r="AF980" cm="1">
        <f t="array" ref="AF980">IF(SUMPRODUCT(--($AQ$2:$AQ$71=TRIM(LEFT($B980,IFERROR(FIND(" ",$B980)-1,LEN($B980))))))&gt;0,1,0)</f>
        <v>0</v>
      </c>
    </row>
    <row r="981" spans="1:32" ht="135.75" thickBot="1" x14ac:dyDescent="0.3">
      <c r="A981" s="13">
        <v>81</v>
      </c>
      <c r="B981" s="4" t="s">
        <v>1875</v>
      </c>
      <c r="C981" s="4" t="s">
        <v>1690</v>
      </c>
      <c r="D981" s="7">
        <v>43272</v>
      </c>
      <c r="E981" s="3">
        <v>2026.34</v>
      </c>
      <c r="F981" s="4" t="s">
        <v>30</v>
      </c>
      <c r="G981" s="3">
        <v>13.14</v>
      </c>
      <c r="H981" s="4" t="s">
        <v>184</v>
      </c>
      <c r="I981" s="4" t="s">
        <v>185</v>
      </c>
      <c r="J981" s="4" t="s">
        <v>762</v>
      </c>
      <c r="K981" s="4"/>
      <c r="L981" s="3">
        <v>39.1</v>
      </c>
      <c r="M981" s="4"/>
      <c r="N981" s="3">
        <v>1385.65</v>
      </c>
      <c r="O981" s="4" t="s">
        <v>34</v>
      </c>
      <c r="P981" s="4" t="s">
        <v>34</v>
      </c>
      <c r="Q981" s="4" t="s">
        <v>35</v>
      </c>
      <c r="R981" s="3">
        <v>749.26099999999997</v>
      </c>
      <c r="S981" s="3">
        <v>10.492900000000001</v>
      </c>
      <c r="T981" s="4" t="s">
        <v>312</v>
      </c>
      <c r="U981" s="2" t="s">
        <v>37</v>
      </c>
      <c r="V981" s="2" t="s">
        <v>37</v>
      </c>
      <c r="W981" s="2" t="s">
        <v>37</v>
      </c>
      <c r="X981" s="2" t="s">
        <v>38</v>
      </c>
      <c r="Y981" s="2" t="s">
        <v>38</v>
      </c>
      <c r="Z981" s="2" t="s">
        <v>37</v>
      </c>
      <c r="AA981" s="6">
        <v>3.3067123170000001</v>
      </c>
      <c r="AB981" s="6">
        <v>2.8746331280000001</v>
      </c>
      <c r="AC981" s="6">
        <v>3.1416535460000001</v>
      </c>
      <c r="AD981" cm="1">
        <f t="array" ref="AD981">IF(SUMPRODUCT(--($AM$2:$AM$112=TRIM(LEFT($B981,IFERROR(FIND(" ",$B981)-1,LEN($B981))))))&gt;0,1,0)</f>
        <v>0</v>
      </c>
      <c r="AE981" cm="1">
        <f t="array" ref="AE981">IF(SUMPRODUCT(--($AO$2:$AO$145=TRIM(LEFT($B981,IFERROR(FIND(" ",$B981)-1,LEN($B981))))))&gt;0,1,0)</f>
        <v>0</v>
      </c>
      <c r="AF981" cm="1">
        <f t="array" ref="AF981">IF(SUMPRODUCT(--($AQ$2:$AQ$71=TRIM(LEFT($B981,IFERROR(FIND(" ",$B981)-1,LEN($B981))))))&gt;0,1,0)</f>
        <v>0</v>
      </c>
    </row>
    <row r="982" spans="1:32" ht="165.75" thickBot="1" x14ac:dyDescent="0.3">
      <c r="A982" s="13">
        <v>113</v>
      </c>
      <c r="B982" s="4" t="s">
        <v>1876</v>
      </c>
      <c r="C982" s="4" t="s">
        <v>539</v>
      </c>
      <c r="D982" s="7">
        <v>43227</v>
      </c>
      <c r="E982" s="3">
        <v>7176.78</v>
      </c>
      <c r="F982" s="4" t="s">
        <v>30</v>
      </c>
      <c r="G982" s="3">
        <v>17.260000000000002</v>
      </c>
      <c r="H982" s="4" t="s">
        <v>51</v>
      </c>
      <c r="I982" s="4" t="s">
        <v>51</v>
      </c>
      <c r="J982" s="4" t="s">
        <v>79</v>
      </c>
      <c r="K982" s="3">
        <v>414</v>
      </c>
      <c r="L982" s="3">
        <v>138</v>
      </c>
      <c r="M982" s="4"/>
      <c r="N982" s="3">
        <v>4421.6000000000004</v>
      </c>
      <c r="O982" s="4" t="s">
        <v>34</v>
      </c>
      <c r="P982" s="4" t="s">
        <v>34</v>
      </c>
      <c r="Q982" s="4" t="s">
        <v>35</v>
      </c>
      <c r="R982" s="2"/>
      <c r="S982" s="2"/>
      <c r="T982" s="4" t="s">
        <v>1877</v>
      </c>
      <c r="U982" s="2" t="s">
        <v>37</v>
      </c>
      <c r="V982" s="2" t="s">
        <v>37</v>
      </c>
      <c r="W982" s="2" t="s">
        <v>37</v>
      </c>
      <c r="X982" s="2" t="s">
        <v>38</v>
      </c>
      <c r="Y982" s="2" t="s">
        <v>38</v>
      </c>
      <c r="Z982" s="2" t="s">
        <v>37</v>
      </c>
      <c r="AA982" s="6">
        <v>3.8559296330000001</v>
      </c>
      <c r="AB982" s="2"/>
      <c r="AC982" s="6">
        <v>3.6455794520000002</v>
      </c>
      <c r="AD982" cm="1">
        <f t="array" ref="AD982">IF(SUMPRODUCT(--($AM$2:$AM$112=TRIM(LEFT($B982,IFERROR(FIND(" ",$B982)-1,LEN($B982))))))&gt;0,1,0)</f>
        <v>0</v>
      </c>
      <c r="AE982" cm="1">
        <f t="array" ref="AE982">IF(SUMPRODUCT(--($AO$2:$AO$145=TRIM(LEFT($B982,IFERROR(FIND(" ",$B982)-1,LEN($B982))))))&gt;0,1,0)</f>
        <v>0</v>
      </c>
      <c r="AF982" cm="1">
        <f t="array" ref="AF982">IF(SUMPRODUCT(--($AQ$2:$AQ$71=TRIM(LEFT($B982,IFERROR(FIND(" ",$B982)-1,LEN($B982))))))&gt;0,1,0)</f>
        <v>0</v>
      </c>
    </row>
    <row r="983" spans="1:32" ht="45.75" thickBot="1" x14ac:dyDescent="0.3">
      <c r="A983" s="13">
        <v>117</v>
      </c>
      <c r="B983" s="4" t="s">
        <v>1878</v>
      </c>
      <c r="C983" s="4" t="s">
        <v>303</v>
      </c>
      <c r="D983" s="7">
        <v>43221</v>
      </c>
      <c r="E983" s="3">
        <v>4196.63</v>
      </c>
      <c r="F983" s="4" t="s">
        <v>30</v>
      </c>
      <c r="G983" s="3">
        <v>14.09</v>
      </c>
      <c r="H983" s="4" t="s">
        <v>70</v>
      </c>
      <c r="I983" s="4" t="s">
        <v>71</v>
      </c>
      <c r="J983" s="4" t="s">
        <v>304</v>
      </c>
      <c r="K983" s="3">
        <v>175</v>
      </c>
      <c r="L983" s="3">
        <v>175</v>
      </c>
      <c r="M983" s="3">
        <v>2.13</v>
      </c>
      <c r="N983" s="3">
        <v>3196.63</v>
      </c>
      <c r="O983" s="4" t="s">
        <v>34</v>
      </c>
      <c r="P983" s="4" t="s">
        <v>34</v>
      </c>
      <c r="Q983" s="4" t="s">
        <v>35</v>
      </c>
      <c r="R983" s="3">
        <v>62286</v>
      </c>
      <c r="S983" s="3">
        <v>12.497400000000001</v>
      </c>
      <c r="T983" s="4" t="s">
        <v>43</v>
      </c>
      <c r="U983" s="2" t="s">
        <v>37</v>
      </c>
      <c r="V983" s="2" t="s">
        <v>37</v>
      </c>
      <c r="W983" s="2" t="s">
        <v>37</v>
      </c>
      <c r="X983" s="2" t="s">
        <v>37</v>
      </c>
      <c r="Y983" s="2" t="s">
        <v>37</v>
      </c>
      <c r="Z983" s="2" t="s">
        <v>37</v>
      </c>
      <c r="AA983" s="6">
        <v>3.622900681</v>
      </c>
      <c r="AB983" s="6">
        <v>4.794390441</v>
      </c>
      <c r="AC983" s="6">
        <v>3.504692371</v>
      </c>
      <c r="AD983" cm="1">
        <f t="array" ref="AD983">IF(SUMPRODUCT(--($AM$2:$AM$112=TRIM(LEFT($B983,IFERROR(FIND(" ",$B983)-1,LEN($B983))))))&gt;0,1,0)</f>
        <v>0</v>
      </c>
      <c r="AE983" cm="1">
        <f t="array" ref="AE983">IF(SUMPRODUCT(--($AO$2:$AO$145=TRIM(LEFT($B983,IFERROR(FIND(" ",$B983)-1,LEN($B983))))))&gt;0,1,0)</f>
        <v>1</v>
      </c>
      <c r="AF983" cm="1">
        <f t="array" ref="AF983">IF(SUMPRODUCT(--($AQ$2:$AQ$71=TRIM(LEFT($B983,IFERROR(FIND(" ",$B983)-1,LEN($B983))))))&gt;0,1,0)</f>
        <v>0</v>
      </c>
    </row>
    <row r="984" spans="1:32" ht="75.75" thickBot="1" x14ac:dyDescent="0.3">
      <c r="A984" s="13">
        <v>58</v>
      </c>
      <c r="B984" s="4" t="s">
        <v>1879</v>
      </c>
      <c r="C984" s="4" t="s">
        <v>1880</v>
      </c>
      <c r="D984" s="7">
        <v>43303</v>
      </c>
      <c r="E984" s="3">
        <v>3602.26</v>
      </c>
      <c r="F984" s="4" t="s">
        <v>30</v>
      </c>
      <c r="G984" s="3">
        <v>13.6</v>
      </c>
      <c r="H984" s="4" t="s">
        <v>31</v>
      </c>
      <c r="I984" s="4" t="s">
        <v>32</v>
      </c>
      <c r="J984" s="4" t="s">
        <v>270</v>
      </c>
      <c r="K984" s="4"/>
      <c r="L984" s="3">
        <v>111.5</v>
      </c>
      <c r="M984" s="3">
        <v>14.45</v>
      </c>
      <c r="N984" s="3">
        <v>3401.66</v>
      </c>
      <c r="O984" s="4" t="s">
        <v>34</v>
      </c>
      <c r="P984" s="4" t="s">
        <v>147</v>
      </c>
      <c r="Q984" s="4" t="s">
        <v>35</v>
      </c>
      <c r="R984" s="3">
        <v>923.82799999999997</v>
      </c>
      <c r="S984" s="3">
        <v>26.090800000000002</v>
      </c>
      <c r="T984" s="4" t="s">
        <v>97</v>
      </c>
      <c r="U984" s="2" t="s">
        <v>37</v>
      </c>
      <c r="V984" s="2" t="s">
        <v>37</v>
      </c>
      <c r="W984" s="2" t="s">
        <v>38</v>
      </c>
      <c r="X984" s="2" t="s">
        <v>37</v>
      </c>
      <c r="Y984" s="2" t="s">
        <v>37</v>
      </c>
      <c r="Z984" s="2" t="s">
        <v>37</v>
      </c>
      <c r="AA984" s="6">
        <v>3.5565750559999998</v>
      </c>
      <c r="AB984" s="6">
        <v>2.9655911210000001</v>
      </c>
      <c r="AC984" s="6">
        <v>3.5316909029999999</v>
      </c>
      <c r="AD984" cm="1">
        <f t="array" ref="AD984">IF(SUMPRODUCT(--($AM$2:$AM$112=TRIM(LEFT($B984,IFERROR(FIND(" ",$B984)-1,LEN($B984))))))&gt;0,1,0)</f>
        <v>0</v>
      </c>
      <c r="AE984" cm="1">
        <f t="array" ref="AE984">IF(SUMPRODUCT(--($AO$2:$AO$145=TRIM(LEFT($B984,IFERROR(FIND(" ",$B984)-1,LEN($B984))))))&gt;0,1,0)</f>
        <v>0</v>
      </c>
      <c r="AF984" cm="1">
        <f t="array" ref="AF984">IF(SUMPRODUCT(--($AQ$2:$AQ$71=TRIM(LEFT($B984,IFERROR(FIND(" ",$B984)-1,LEN($B984))))))&gt;0,1,0)</f>
        <v>0</v>
      </c>
    </row>
    <row r="985" spans="1:32" ht="45.75" thickBot="1" x14ac:dyDescent="0.3">
      <c r="A985" s="13">
        <v>72</v>
      </c>
      <c r="B985" s="4" t="s">
        <v>1881</v>
      </c>
      <c r="C985" s="4" t="s">
        <v>1882</v>
      </c>
      <c r="D985" s="7">
        <v>43279</v>
      </c>
      <c r="E985" s="3">
        <v>1356.24</v>
      </c>
      <c r="F985" s="4" t="s">
        <v>107</v>
      </c>
      <c r="G985" s="3">
        <v>4.33</v>
      </c>
      <c r="H985" s="4" t="s">
        <v>31</v>
      </c>
      <c r="I985" s="4" t="s">
        <v>32</v>
      </c>
      <c r="J985" s="4" t="s">
        <v>270</v>
      </c>
      <c r="K985" s="3">
        <v>12.35</v>
      </c>
      <c r="L985" s="3">
        <v>74</v>
      </c>
      <c r="M985" s="3">
        <v>2.39</v>
      </c>
      <c r="N985" s="3">
        <v>1216.3399999999999</v>
      </c>
      <c r="O985" s="4" t="s">
        <v>34</v>
      </c>
      <c r="P985" s="4" t="s">
        <v>34</v>
      </c>
      <c r="Q985" s="4" t="s">
        <v>35</v>
      </c>
      <c r="R985" s="3">
        <v>2792.1</v>
      </c>
      <c r="S985" s="3">
        <v>5.8564400000000001</v>
      </c>
      <c r="T985" s="4" t="s">
        <v>43</v>
      </c>
      <c r="U985" s="2" t="s">
        <v>37</v>
      </c>
      <c r="V985" s="2" t="s">
        <v>37</v>
      </c>
      <c r="W985" s="2" t="s">
        <v>37</v>
      </c>
      <c r="X985" s="2" t="s">
        <v>37</v>
      </c>
      <c r="Y985" s="2" t="s">
        <v>37</v>
      </c>
      <c r="Z985" s="2" t="s">
        <v>37</v>
      </c>
      <c r="AA985" s="6">
        <v>3.1323365490000001</v>
      </c>
      <c r="AB985" s="6">
        <v>3.445930969</v>
      </c>
      <c r="AC985" s="6">
        <v>3.0850549890000001</v>
      </c>
      <c r="AD985" cm="1">
        <f t="array" ref="AD985">IF(SUMPRODUCT(--($AM$2:$AM$112=TRIM(LEFT($B985,IFERROR(FIND(" ",$B985)-1,LEN($B985))))))&gt;0,1,0)</f>
        <v>0</v>
      </c>
      <c r="AE985" cm="1">
        <f t="array" ref="AE985">IF(SUMPRODUCT(--($AO$2:$AO$145=TRIM(LEFT($B985,IFERROR(FIND(" ",$B985)-1,LEN($B985))))))&gt;0,1,0)</f>
        <v>1</v>
      </c>
      <c r="AF985" cm="1">
        <f t="array" ref="AF985">IF(SUMPRODUCT(--($AQ$2:$AQ$71=TRIM(LEFT($B985,IFERROR(FIND(" ",$B985)-1,LEN($B985))))))&gt;0,1,0)</f>
        <v>0</v>
      </c>
    </row>
    <row r="986" spans="1:32" ht="75.75" thickBot="1" x14ac:dyDescent="0.3">
      <c r="A986" s="13">
        <v>85</v>
      </c>
      <c r="B986" s="4" t="s">
        <v>1883</v>
      </c>
      <c r="C986" s="4" t="s">
        <v>1577</v>
      </c>
      <c r="D986" s="7">
        <v>43258</v>
      </c>
      <c r="E986" s="3">
        <v>777.9</v>
      </c>
      <c r="F986" s="4" t="s">
        <v>69</v>
      </c>
      <c r="G986" s="3">
        <v>17.899999999999999</v>
      </c>
      <c r="H986" s="4" t="s">
        <v>75</v>
      </c>
      <c r="I986" s="4" t="s">
        <v>76</v>
      </c>
      <c r="J986" s="4" t="s">
        <v>77</v>
      </c>
      <c r="K986" s="4"/>
      <c r="L986" s="3">
        <v>18.472000000000001</v>
      </c>
      <c r="M986" s="4"/>
      <c r="N986" s="3">
        <v>480.49</v>
      </c>
      <c r="O986" s="4" t="s">
        <v>34</v>
      </c>
      <c r="P986" s="4" t="s">
        <v>34</v>
      </c>
      <c r="Q986" s="4" t="s">
        <v>35</v>
      </c>
      <c r="R986" s="3">
        <v>843.25300000000004</v>
      </c>
      <c r="S986" s="3">
        <v>3.7307700000000001</v>
      </c>
      <c r="T986" s="4" t="s">
        <v>43</v>
      </c>
      <c r="U986" s="2" t="s">
        <v>37</v>
      </c>
      <c r="V986" s="2" t="s">
        <v>37</v>
      </c>
      <c r="W986" s="2" t="s">
        <v>37</v>
      </c>
      <c r="X986" s="2" t="s">
        <v>37</v>
      </c>
      <c r="Y986" s="2" t="s">
        <v>37</v>
      </c>
      <c r="Z986" s="2" t="s">
        <v>37</v>
      </c>
      <c r="AA986" s="6">
        <v>2.8909237710000002</v>
      </c>
      <c r="AB986" s="6">
        <v>2.9259578949999998</v>
      </c>
      <c r="AC986" s="6">
        <v>2.6816843540000002</v>
      </c>
      <c r="AD986" cm="1">
        <f t="array" ref="AD986">IF(SUMPRODUCT(--($AM$2:$AM$112=TRIM(LEFT($B986,IFERROR(FIND(" ",$B986)-1,LEN($B986))))))&gt;0,1,0)</f>
        <v>0</v>
      </c>
      <c r="AE986" cm="1">
        <f t="array" ref="AE986">IF(SUMPRODUCT(--($AO$2:$AO$145=TRIM(LEFT($B986,IFERROR(FIND(" ",$B986)-1,LEN($B986))))))&gt;0,1,0)</f>
        <v>0</v>
      </c>
      <c r="AF986" cm="1">
        <f t="array" ref="AF986">IF(SUMPRODUCT(--($AQ$2:$AQ$71=TRIM(LEFT($B986,IFERROR(FIND(" ",$B986)-1,LEN($B986))))))&gt;0,1,0)</f>
        <v>0</v>
      </c>
    </row>
    <row r="987" spans="1:32" ht="75.75" thickBot="1" x14ac:dyDescent="0.3">
      <c r="A987" s="13">
        <v>106</v>
      </c>
      <c r="B987" s="4" t="s">
        <v>1884</v>
      </c>
      <c r="C987" s="4" t="s">
        <v>1885</v>
      </c>
      <c r="D987" s="7">
        <v>43228</v>
      </c>
      <c r="E987" s="3">
        <v>587.26</v>
      </c>
      <c r="F987" s="4" t="s">
        <v>107</v>
      </c>
      <c r="G987" s="3">
        <v>8.58</v>
      </c>
      <c r="H987" s="4" t="s">
        <v>31</v>
      </c>
      <c r="I987" s="4" t="s">
        <v>432</v>
      </c>
      <c r="J987" s="4" t="s">
        <v>1072</v>
      </c>
      <c r="K987" s="3">
        <v>45</v>
      </c>
      <c r="L987" s="3">
        <v>22.8</v>
      </c>
      <c r="M987" s="3">
        <v>12.08</v>
      </c>
      <c r="N987" s="3">
        <v>755.67</v>
      </c>
      <c r="O987" s="4" t="s">
        <v>34</v>
      </c>
      <c r="P987" s="4" t="s">
        <v>34</v>
      </c>
      <c r="Q987" s="4" t="s">
        <v>35</v>
      </c>
      <c r="R987" s="3">
        <v>390.77100000000002</v>
      </c>
      <c r="S987" s="3">
        <v>13.150499999999999</v>
      </c>
      <c r="T987" s="4" t="s">
        <v>43</v>
      </c>
      <c r="U987" s="2" t="s">
        <v>37</v>
      </c>
      <c r="V987" s="2" t="s">
        <v>37</v>
      </c>
      <c r="W987" s="2" t="s">
        <v>37</v>
      </c>
      <c r="X987" s="2" t="s">
        <v>37</v>
      </c>
      <c r="Y987" s="2" t="s">
        <v>37</v>
      </c>
      <c r="Z987" s="2" t="s">
        <v>37</v>
      </c>
      <c r="AA987" s="6">
        <v>2.7688304210000001</v>
      </c>
      <c r="AB987" s="6">
        <v>2.5919223260000002</v>
      </c>
      <c r="AC987" s="6">
        <v>2.8783321810000002</v>
      </c>
      <c r="AD987" cm="1">
        <f t="array" ref="AD987">IF(SUMPRODUCT(--($AM$2:$AM$112=TRIM(LEFT($B987,IFERROR(FIND(" ",$B987)-1,LEN($B987))))))&gt;0,1,0)</f>
        <v>1</v>
      </c>
      <c r="AE987" cm="1">
        <f t="array" ref="AE987">IF(SUMPRODUCT(--($AO$2:$AO$145=TRIM(LEFT($B987,IFERROR(FIND(" ",$B987)-1,LEN($B987))))))&gt;0,1,0)</f>
        <v>0</v>
      </c>
      <c r="AF987" cm="1">
        <f t="array" ref="AF987">IF(SUMPRODUCT(--($AQ$2:$AQ$71=TRIM(LEFT($B987,IFERROR(FIND(" ",$B987)-1,LEN($B987))))))&gt;0,1,0)</f>
        <v>0</v>
      </c>
    </row>
    <row r="988" spans="1:32" ht="45.75" thickBot="1" x14ac:dyDescent="0.3">
      <c r="A988" s="13">
        <v>76</v>
      </c>
      <c r="B988" s="4" t="s">
        <v>1886</v>
      </c>
      <c r="C988" s="4" t="s">
        <v>1137</v>
      </c>
      <c r="D988" s="7">
        <v>43270</v>
      </c>
      <c r="E988" s="3">
        <v>540.61</v>
      </c>
      <c r="F988" s="4" t="s">
        <v>46</v>
      </c>
      <c r="G988" s="4"/>
      <c r="H988" s="4" t="s">
        <v>65</v>
      </c>
      <c r="I988" s="4" t="s">
        <v>66</v>
      </c>
      <c r="J988" s="4" t="s">
        <v>66</v>
      </c>
      <c r="K988" s="4"/>
      <c r="L988" s="3">
        <v>22.5</v>
      </c>
      <c r="M988" s="3">
        <v>24.6</v>
      </c>
      <c r="N988" s="3">
        <v>540.61</v>
      </c>
      <c r="O988" s="4" t="s">
        <v>34</v>
      </c>
      <c r="P988" s="4" t="s">
        <v>34</v>
      </c>
      <c r="Q988" s="4" t="s">
        <v>35</v>
      </c>
      <c r="R988" s="3">
        <v>111.982</v>
      </c>
      <c r="S988" s="3">
        <v>32.463900000000002</v>
      </c>
      <c r="T988" s="4" t="s">
        <v>43</v>
      </c>
      <c r="U988" s="2" t="s">
        <v>37</v>
      </c>
      <c r="V988" s="2" t="s">
        <v>37</v>
      </c>
      <c r="W988" s="2" t="s">
        <v>37</v>
      </c>
      <c r="X988" s="2" t="s">
        <v>37</v>
      </c>
      <c r="Y988" s="2" t="s">
        <v>37</v>
      </c>
      <c r="Z988" s="2" t="s">
        <v>37</v>
      </c>
      <c r="AA988" s="6">
        <v>2.7328840749999999</v>
      </c>
      <c r="AB988" s="6">
        <v>2.0491482200000002</v>
      </c>
      <c r="AC988" s="6">
        <v>2.7328840749999999</v>
      </c>
      <c r="AD988" cm="1">
        <f t="array" ref="AD988">IF(SUMPRODUCT(--($AM$2:$AM$112=TRIM(LEFT($B988,IFERROR(FIND(" ",$B988)-1,LEN($B988))))))&gt;0,1,0)</f>
        <v>0</v>
      </c>
      <c r="AE988" cm="1">
        <f t="array" ref="AE988">IF(SUMPRODUCT(--($AO$2:$AO$145=TRIM(LEFT($B988,IFERROR(FIND(" ",$B988)-1,LEN($B988))))))&gt;0,1,0)</f>
        <v>0</v>
      </c>
      <c r="AF988" cm="1">
        <f t="array" ref="AF988">IF(SUMPRODUCT(--($AQ$2:$AQ$71=TRIM(LEFT($B988,IFERROR(FIND(" ",$B988)-1,LEN($B988))))))&gt;0,1,0)</f>
        <v>0</v>
      </c>
    </row>
    <row r="989" spans="1:32" ht="45.75" thickBot="1" x14ac:dyDescent="0.3">
      <c r="A989" s="13">
        <v>111</v>
      </c>
      <c r="B989" s="4" t="s">
        <v>1887</v>
      </c>
      <c r="C989" s="4" t="s">
        <v>1888</v>
      </c>
      <c r="D989" s="7">
        <v>43220</v>
      </c>
      <c r="E989" s="3">
        <v>29019.66</v>
      </c>
      <c r="F989" s="4" t="s">
        <v>69</v>
      </c>
      <c r="G989" s="3">
        <v>10.45</v>
      </c>
      <c r="H989" s="4" t="s">
        <v>118</v>
      </c>
      <c r="I989" s="4" t="s">
        <v>119</v>
      </c>
      <c r="J989" s="4" t="s">
        <v>120</v>
      </c>
      <c r="K989" s="3">
        <v>800</v>
      </c>
      <c r="L989" s="3">
        <v>600</v>
      </c>
      <c r="M989" s="3">
        <v>26.59</v>
      </c>
      <c r="N989" s="3">
        <v>21877.66</v>
      </c>
      <c r="O989" s="4" t="s">
        <v>34</v>
      </c>
      <c r="P989" s="4" t="s">
        <v>34</v>
      </c>
      <c r="Q989" s="4" t="s">
        <v>35</v>
      </c>
      <c r="R989" s="3">
        <v>34975</v>
      </c>
      <c r="S989" s="3">
        <v>5.3837299999999999</v>
      </c>
      <c r="T989" s="4" t="s">
        <v>43</v>
      </c>
      <c r="U989" s="2" t="s">
        <v>37</v>
      </c>
      <c r="V989" s="2" t="s">
        <v>37</v>
      </c>
      <c r="W989" s="2" t="s">
        <v>37</v>
      </c>
      <c r="X989" s="2" t="s">
        <v>37</v>
      </c>
      <c r="Y989" s="2" t="s">
        <v>37</v>
      </c>
      <c r="Z989" s="2" t="s">
        <v>37</v>
      </c>
      <c r="AA989" s="6">
        <v>4.4626923200000004</v>
      </c>
      <c r="AB989" s="6">
        <v>4.5437577229999997</v>
      </c>
      <c r="AC989" s="6">
        <v>4.3400008689999998</v>
      </c>
      <c r="AD989" cm="1">
        <f t="array" ref="AD989">IF(SUMPRODUCT(--($AM$2:$AM$112=TRIM(LEFT($B989,IFERROR(FIND(" ",$B989)-1,LEN($B989))))))&gt;0,1,0)</f>
        <v>0</v>
      </c>
      <c r="AE989" cm="1">
        <f t="array" ref="AE989">IF(SUMPRODUCT(--($AO$2:$AO$145=TRIM(LEFT($B989,IFERROR(FIND(" ",$B989)-1,LEN($B989))))))&gt;0,1,0)</f>
        <v>0</v>
      </c>
      <c r="AF989" cm="1">
        <f t="array" ref="AF989">IF(SUMPRODUCT(--($AQ$2:$AQ$71=TRIM(LEFT($B989,IFERROR(FIND(" ",$B989)-1,LEN($B989))))))&gt;0,1,0)</f>
        <v>0</v>
      </c>
    </row>
    <row r="990" spans="1:32" ht="45.75" thickBot="1" x14ac:dyDescent="0.3">
      <c r="A990" s="13">
        <v>76</v>
      </c>
      <c r="B990" s="4" t="s">
        <v>1889</v>
      </c>
      <c r="C990" s="4" t="s">
        <v>1890</v>
      </c>
      <c r="D990" s="7">
        <v>43269</v>
      </c>
      <c r="E990" s="3">
        <v>1188.55</v>
      </c>
      <c r="F990" s="4" t="s">
        <v>107</v>
      </c>
      <c r="G990" s="4"/>
      <c r="H990" s="4" t="s">
        <v>65</v>
      </c>
      <c r="I990" s="4" t="s">
        <v>66</v>
      </c>
      <c r="J990" s="4" t="s">
        <v>66</v>
      </c>
      <c r="K990" s="4"/>
      <c r="L990" s="3">
        <v>34.200000000000003</v>
      </c>
      <c r="M990" s="3">
        <v>4.38</v>
      </c>
      <c r="N990" s="3">
        <v>984.76</v>
      </c>
      <c r="O990" s="4" t="s">
        <v>34</v>
      </c>
      <c r="P990" s="4" t="s">
        <v>34</v>
      </c>
      <c r="Q990" s="4" t="s">
        <v>35</v>
      </c>
      <c r="R990" s="3">
        <v>177.18799999999999</v>
      </c>
      <c r="S990" s="3">
        <v>34.120100000000001</v>
      </c>
      <c r="T990" s="4" t="s">
        <v>43</v>
      </c>
      <c r="U990" s="2" t="s">
        <v>37</v>
      </c>
      <c r="V990" s="2" t="s">
        <v>37</v>
      </c>
      <c r="W990" s="2" t="s">
        <v>37</v>
      </c>
      <c r="X990" s="2" t="s">
        <v>37</v>
      </c>
      <c r="Y990" s="2" t="s">
        <v>37</v>
      </c>
      <c r="Z990" s="2" t="s">
        <v>37</v>
      </c>
      <c r="AA990" s="6">
        <v>3.0750174559999999</v>
      </c>
      <c r="AB990" s="6">
        <v>2.248434306</v>
      </c>
      <c r="AC990" s="6">
        <v>2.9933304000000001</v>
      </c>
      <c r="AD990" cm="1">
        <f t="array" ref="AD990">IF(SUMPRODUCT(--($AM$2:$AM$112=TRIM(LEFT($B990,IFERROR(FIND(" ",$B990)-1,LEN($B990))))))&gt;0,1,0)</f>
        <v>0</v>
      </c>
      <c r="AE990" cm="1">
        <f t="array" ref="AE990">IF(SUMPRODUCT(--($AO$2:$AO$145=TRIM(LEFT($B990,IFERROR(FIND(" ",$B990)-1,LEN($B990))))))&gt;0,1,0)</f>
        <v>0</v>
      </c>
      <c r="AF990" cm="1">
        <f t="array" ref="AF990">IF(SUMPRODUCT(--($AQ$2:$AQ$71=TRIM(LEFT($B990,IFERROR(FIND(" ",$B990)-1,LEN($B990))))))&gt;0,1,0)</f>
        <v>0</v>
      </c>
    </row>
    <row r="991" spans="1:32" ht="75.75" thickBot="1" x14ac:dyDescent="0.3">
      <c r="A991" s="13">
        <v>121</v>
      </c>
      <c r="B991" s="4" t="s">
        <v>1891</v>
      </c>
      <c r="C991" s="4" t="s">
        <v>1511</v>
      </c>
      <c r="D991" s="7">
        <v>43206</v>
      </c>
      <c r="E991" s="3">
        <v>673.65</v>
      </c>
      <c r="F991" s="4" t="s">
        <v>30</v>
      </c>
      <c r="G991" s="3">
        <v>3.13</v>
      </c>
      <c r="H991" s="4" t="s">
        <v>75</v>
      </c>
      <c r="I991" s="4" t="s">
        <v>111</v>
      </c>
      <c r="J991" s="4" t="s">
        <v>133</v>
      </c>
      <c r="K991" s="3">
        <v>92.5</v>
      </c>
      <c r="L991" s="3">
        <v>92.5</v>
      </c>
      <c r="M991" s="4"/>
      <c r="N991" s="3">
        <v>640</v>
      </c>
      <c r="O991" s="4" t="s">
        <v>34</v>
      </c>
      <c r="P991" s="4" t="s">
        <v>34</v>
      </c>
      <c r="Q991" s="4" t="s">
        <v>35</v>
      </c>
      <c r="R991" s="3">
        <v>898.19</v>
      </c>
      <c r="S991" s="3">
        <v>15.6638</v>
      </c>
      <c r="T991" s="4" t="s">
        <v>43</v>
      </c>
      <c r="U991" s="2" t="s">
        <v>37</v>
      </c>
      <c r="V991" s="2" t="s">
        <v>37</v>
      </c>
      <c r="W991" s="2" t="s">
        <v>37</v>
      </c>
      <c r="X991" s="2" t="s">
        <v>37</v>
      </c>
      <c r="Y991" s="2" t="s">
        <v>37</v>
      </c>
      <c r="Z991" s="2" t="s">
        <v>37</v>
      </c>
      <c r="AA991" s="6">
        <v>2.8284343139999999</v>
      </c>
      <c r="AB991" s="6">
        <v>2.9533682159999999</v>
      </c>
      <c r="AC991" s="6">
        <v>2.806179974</v>
      </c>
      <c r="AD991" cm="1">
        <f t="array" ref="AD991">IF(SUMPRODUCT(--($AM$2:$AM$112=TRIM(LEFT($B991,IFERROR(FIND(" ",$B991)-1,LEN($B991))))))&gt;0,1,0)</f>
        <v>0</v>
      </c>
      <c r="AE991" cm="1">
        <f t="array" ref="AE991">IF(SUMPRODUCT(--($AO$2:$AO$145=TRIM(LEFT($B991,IFERROR(FIND(" ",$B991)-1,LEN($B991))))))&gt;0,1,0)</f>
        <v>0</v>
      </c>
      <c r="AF991" cm="1">
        <f t="array" ref="AF991">IF(SUMPRODUCT(--($AQ$2:$AQ$71=TRIM(LEFT($B991,IFERROR(FIND(" ",$B991)-1,LEN($B991))))))&gt;0,1,0)</f>
        <v>0</v>
      </c>
    </row>
    <row r="992" spans="1:32" ht="135.75" thickBot="1" x14ac:dyDescent="0.3">
      <c r="A992" s="13">
        <v>64</v>
      </c>
      <c r="B992" s="4" t="s">
        <v>1892</v>
      </c>
      <c r="C992" s="4" t="s">
        <v>1893</v>
      </c>
      <c r="D992" s="7">
        <v>43276</v>
      </c>
      <c r="E992" s="3">
        <v>4099.8599999999997</v>
      </c>
      <c r="F992" s="4" t="s">
        <v>30</v>
      </c>
      <c r="G992" s="3">
        <v>25.45</v>
      </c>
      <c r="H992" s="4" t="s">
        <v>51</v>
      </c>
      <c r="I992" s="4" t="s">
        <v>51</v>
      </c>
      <c r="J992" s="4" t="s">
        <v>79</v>
      </c>
      <c r="K992" s="3">
        <v>200</v>
      </c>
      <c r="L992" s="3">
        <v>118.14700000000001</v>
      </c>
      <c r="M992" s="4"/>
      <c r="N992" s="3">
        <v>3146.17</v>
      </c>
      <c r="O992" s="4" t="s">
        <v>34</v>
      </c>
      <c r="P992" s="4" t="s">
        <v>34</v>
      </c>
      <c r="Q992" s="4" t="s">
        <v>35</v>
      </c>
      <c r="R992" s="3">
        <v>331.06599999999997</v>
      </c>
      <c r="S992" s="3">
        <v>19.158200000000001</v>
      </c>
      <c r="T992" s="4" t="s">
        <v>312</v>
      </c>
      <c r="U992" s="2" t="s">
        <v>37</v>
      </c>
      <c r="V992" s="2" t="s">
        <v>37</v>
      </c>
      <c r="W992" s="2" t="s">
        <v>37</v>
      </c>
      <c r="X992" s="2" t="s">
        <v>38</v>
      </c>
      <c r="Y992" s="2" t="s">
        <v>38</v>
      </c>
      <c r="Z992" s="2" t="s">
        <v>37</v>
      </c>
      <c r="AA992" s="6">
        <v>3.6127690270000001</v>
      </c>
      <c r="AB992" s="6">
        <v>2.5199145820000002</v>
      </c>
      <c r="AC992" s="6">
        <v>3.4977821859999998</v>
      </c>
      <c r="AD992" cm="1">
        <f t="array" ref="AD992">IF(SUMPRODUCT(--($AM$2:$AM$112=TRIM(LEFT($B992,IFERROR(FIND(" ",$B992)-1,LEN($B992))))))&gt;0,1,0)</f>
        <v>0</v>
      </c>
      <c r="AE992" cm="1">
        <f t="array" ref="AE992">IF(SUMPRODUCT(--($AO$2:$AO$145=TRIM(LEFT($B992,IFERROR(FIND(" ",$B992)-1,LEN($B992))))))&gt;0,1,0)</f>
        <v>0</v>
      </c>
      <c r="AF992" cm="1">
        <f t="array" ref="AF992">IF(SUMPRODUCT(--($AQ$2:$AQ$71=TRIM(LEFT($B992,IFERROR(FIND(" ",$B992)-1,LEN($B992))))))&gt;0,1,0)</f>
        <v>0</v>
      </c>
    </row>
    <row r="993" spans="1:32" ht="120.75" thickBot="1" x14ac:dyDescent="0.3">
      <c r="A993" s="13">
        <v>68</v>
      </c>
      <c r="B993" s="4" t="s">
        <v>1894</v>
      </c>
      <c r="C993" s="4" t="s">
        <v>1895</v>
      </c>
      <c r="D993" s="7">
        <v>43270</v>
      </c>
      <c r="E993" s="3">
        <v>575.13</v>
      </c>
      <c r="F993" s="4" t="s">
        <v>46</v>
      </c>
      <c r="G993" s="4"/>
      <c r="H993" s="4" t="s">
        <v>118</v>
      </c>
      <c r="I993" s="4" t="s">
        <v>119</v>
      </c>
      <c r="J993" s="4" t="s">
        <v>120</v>
      </c>
      <c r="K993" s="4"/>
      <c r="L993" s="4"/>
      <c r="M993" s="3">
        <v>4.0199999999999996</v>
      </c>
      <c r="N993" s="3">
        <v>575.13</v>
      </c>
      <c r="O993" s="4" t="s">
        <v>34</v>
      </c>
      <c r="P993" s="4" t="s">
        <v>34</v>
      </c>
      <c r="Q993" s="4" t="s">
        <v>35</v>
      </c>
      <c r="R993" s="2"/>
      <c r="S993" s="2"/>
      <c r="T993" s="4" t="s">
        <v>321</v>
      </c>
      <c r="U993" s="2" t="s">
        <v>38</v>
      </c>
      <c r="V993" s="2" t="s">
        <v>37</v>
      </c>
      <c r="W993" s="2" t="s">
        <v>37</v>
      </c>
      <c r="X993" s="2" t="s">
        <v>37</v>
      </c>
      <c r="Y993" s="2" t="s">
        <v>37</v>
      </c>
      <c r="Z993" s="2" t="s">
        <v>37</v>
      </c>
      <c r="AA993" s="6">
        <v>2.759766022</v>
      </c>
      <c r="AB993" s="2"/>
      <c r="AC993" s="6">
        <v>2.759766022</v>
      </c>
      <c r="AD993" cm="1">
        <f t="array" ref="AD993">IF(SUMPRODUCT(--($AM$2:$AM$112=TRIM(LEFT($B993,IFERROR(FIND(" ",$B993)-1,LEN($B993))))))&gt;0,1,0)</f>
        <v>0</v>
      </c>
      <c r="AE993" cm="1">
        <f t="array" ref="AE993">IF(SUMPRODUCT(--($AO$2:$AO$145=TRIM(LEFT($B993,IFERROR(FIND(" ",$B993)-1,LEN($B993))))))&gt;0,1,0)</f>
        <v>0</v>
      </c>
      <c r="AF993" cm="1">
        <f t="array" ref="AF993">IF(SUMPRODUCT(--($AQ$2:$AQ$71=TRIM(LEFT($B993,IFERROR(FIND(" ",$B993)-1,LEN($B993))))))&gt;0,1,0)</f>
        <v>0</v>
      </c>
    </row>
    <row r="994" spans="1:32" ht="75.75" thickBot="1" x14ac:dyDescent="0.3">
      <c r="A994" s="13">
        <v>138</v>
      </c>
      <c r="B994" s="4" t="s">
        <v>1896</v>
      </c>
      <c r="C994" s="4" t="s">
        <v>1651</v>
      </c>
      <c r="D994" s="7">
        <v>43164</v>
      </c>
      <c r="E994" s="3">
        <v>15200.6</v>
      </c>
      <c r="F994" s="4" t="s">
        <v>30</v>
      </c>
      <c r="G994" s="4"/>
      <c r="H994" s="4" t="s">
        <v>65</v>
      </c>
      <c r="I994" s="4" t="s">
        <v>206</v>
      </c>
      <c r="J994" s="4" t="s">
        <v>206</v>
      </c>
      <c r="K994" s="4"/>
      <c r="L994" s="3">
        <v>499</v>
      </c>
      <c r="M994" s="3">
        <v>37.26</v>
      </c>
      <c r="N994" s="3">
        <v>15200.6</v>
      </c>
      <c r="O994" s="4" t="s">
        <v>207</v>
      </c>
      <c r="P994" s="4" t="s">
        <v>147</v>
      </c>
      <c r="Q994" s="4" t="s">
        <v>35</v>
      </c>
      <c r="R994" s="3">
        <v>11328.2</v>
      </c>
      <c r="S994" s="3">
        <v>-2.2887200000000001</v>
      </c>
      <c r="T994" s="4" t="s">
        <v>97</v>
      </c>
      <c r="U994" s="2" t="s">
        <v>37</v>
      </c>
      <c r="V994" s="2" t="s">
        <v>37</v>
      </c>
      <c r="W994" s="2" t="s">
        <v>38</v>
      </c>
      <c r="X994" s="2" t="s">
        <v>37</v>
      </c>
      <c r="Y994" s="2" t="s">
        <v>37</v>
      </c>
      <c r="Z994" s="2" t="s">
        <v>37</v>
      </c>
      <c r="AA994" s="6">
        <v>4.1818607310000004</v>
      </c>
      <c r="AB994" s="6">
        <v>4.0541609080000001</v>
      </c>
      <c r="AC994" s="6">
        <v>4.1818607310000004</v>
      </c>
      <c r="AD994" cm="1">
        <f t="array" ref="AD994">IF(SUMPRODUCT(--($AM$2:$AM$112=TRIM(LEFT($B994,IFERROR(FIND(" ",$B994)-1,LEN($B994))))))&gt;0,1,0)</f>
        <v>0</v>
      </c>
      <c r="AE994" cm="1">
        <f t="array" ref="AE994">IF(SUMPRODUCT(--($AO$2:$AO$145=TRIM(LEFT($B994,IFERROR(FIND(" ",$B994)-1,LEN($B994))))))&gt;0,1,0)</f>
        <v>0</v>
      </c>
      <c r="AF994" cm="1">
        <f t="array" ref="AF994">IF(SUMPRODUCT(--($AQ$2:$AQ$71=TRIM(LEFT($B994,IFERROR(FIND(" ",$B994)-1,LEN($B994))))))&gt;0,1,0)</f>
        <v>0</v>
      </c>
    </row>
    <row r="995" spans="1:32" ht="75.75" thickBot="1" x14ac:dyDescent="0.3">
      <c r="A995" s="13">
        <v>94</v>
      </c>
      <c r="B995" s="4" t="s">
        <v>1897</v>
      </c>
      <c r="C995" s="4" t="s">
        <v>1898</v>
      </c>
      <c r="D995" s="7">
        <v>43222</v>
      </c>
      <c r="E995" s="3">
        <v>5668.63</v>
      </c>
      <c r="F995" s="4" t="s">
        <v>69</v>
      </c>
      <c r="G995" s="3">
        <v>33.630000000000003</v>
      </c>
      <c r="H995" s="4" t="s">
        <v>65</v>
      </c>
      <c r="I995" s="4" t="s">
        <v>138</v>
      </c>
      <c r="J995" s="4" t="s">
        <v>139</v>
      </c>
      <c r="K995" s="4"/>
      <c r="L995" s="3">
        <v>35.118499999999997</v>
      </c>
      <c r="M995" s="4"/>
      <c r="N995" s="3">
        <v>907.04</v>
      </c>
      <c r="O995" s="4" t="s">
        <v>34</v>
      </c>
      <c r="P995" s="4" t="s">
        <v>34</v>
      </c>
      <c r="Q995" s="4" t="s">
        <v>35</v>
      </c>
      <c r="R995" s="3">
        <v>234.33099999999999</v>
      </c>
      <c r="S995" s="3">
        <v>42.334600000000002</v>
      </c>
      <c r="T995" s="4" t="s">
        <v>88</v>
      </c>
      <c r="U995" s="2" t="s">
        <v>37</v>
      </c>
      <c r="V995" s="2" t="s">
        <v>37</v>
      </c>
      <c r="W995" s="2" t="s">
        <v>37</v>
      </c>
      <c r="X995" s="2" t="s">
        <v>37</v>
      </c>
      <c r="Y995" s="2" t="s">
        <v>37</v>
      </c>
      <c r="Z995" s="2" t="s">
        <v>38</v>
      </c>
      <c r="AA995" s="6">
        <v>3.7534781110000002</v>
      </c>
      <c r="AB995" s="6">
        <v>2.3698297460000002</v>
      </c>
      <c r="AC995" s="6">
        <v>2.9576264399999999</v>
      </c>
      <c r="AD995" cm="1">
        <f t="array" ref="AD995">IF(SUMPRODUCT(--($AM$2:$AM$112=TRIM(LEFT($B995,IFERROR(FIND(" ",$B995)-1,LEN($B995))))))&gt;0,1,0)</f>
        <v>0</v>
      </c>
      <c r="AE995" cm="1">
        <f t="array" ref="AE995">IF(SUMPRODUCT(--($AO$2:$AO$145=TRIM(LEFT($B995,IFERROR(FIND(" ",$B995)-1,LEN($B995))))))&gt;0,1,0)</f>
        <v>0</v>
      </c>
      <c r="AF995" cm="1">
        <f t="array" ref="AF995">IF(SUMPRODUCT(--($AQ$2:$AQ$71=TRIM(LEFT($B995,IFERROR(FIND(" ",$B995)-1,LEN($B995))))))&gt;0,1,0)</f>
        <v>0</v>
      </c>
    </row>
    <row r="996" spans="1:32" ht="75.75" thickBot="1" x14ac:dyDescent="0.3">
      <c r="A996" s="13">
        <v>92</v>
      </c>
      <c r="B996" s="4" t="s">
        <v>1899</v>
      </c>
      <c r="C996" s="4" t="s">
        <v>1900</v>
      </c>
      <c r="D996" s="7">
        <v>43220</v>
      </c>
      <c r="E996" s="3">
        <v>5008.7299999999996</v>
      </c>
      <c r="F996" s="4" t="s">
        <v>107</v>
      </c>
      <c r="G996" s="3">
        <v>16.7</v>
      </c>
      <c r="H996" s="4" t="s">
        <v>75</v>
      </c>
      <c r="I996" s="4" t="s">
        <v>111</v>
      </c>
      <c r="J996" s="4" t="s">
        <v>133</v>
      </c>
      <c r="K996" s="3">
        <v>146</v>
      </c>
      <c r="L996" s="3">
        <v>146</v>
      </c>
      <c r="M996" s="3">
        <v>15.07</v>
      </c>
      <c r="N996" s="3">
        <v>4568.7299999999996</v>
      </c>
      <c r="O996" s="4" t="s">
        <v>34</v>
      </c>
      <c r="P996" s="4" t="s">
        <v>34</v>
      </c>
      <c r="Q996" s="4" t="s">
        <v>35</v>
      </c>
      <c r="R996" s="3">
        <v>1786</v>
      </c>
      <c r="S996" s="3">
        <v>12.4247</v>
      </c>
      <c r="T996" s="4" t="s">
        <v>43</v>
      </c>
      <c r="U996" s="2" t="s">
        <v>37</v>
      </c>
      <c r="V996" s="2" t="s">
        <v>37</v>
      </c>
      <c r="W996" s="2" t="s">
        <v>37</v>
      </c>
      <c r="X996" s="2" t="s">
        <v>37</v>
      </c>
      <c r="Y996" s="2" t="s">
        <v>37</v>
      </c>
      <c r="Z996" s="2" t="s">
        <v>37</v>
      </c>
      <c r="AA996" s="6">
        <v>3.6997276210000001</v>
      </c>
      <c r="AB996" s="6">
        <v>3.2518814549999999</v>
      </c>
      <c r="AC996" s="6">
        <v>3.6597954929999998</v>
      </c>
      <c r="AD996" cm="1">
        <f t="array" ref="AD996">IF(SUMPRODUCT(--($AM$2:$AM$112=TRIM(LEFT($B996,IFERROR(FIND(" ",$B996)-1,LEN($B996))))))&gt;0,1,0)</f>
        <v>0</v>
      </c>
      <c r="AE996" cm="1">
        <f t="array" ref="AE996">IF(SUMPRODUCT(--($AO$2:$AO$145=TRIM(LEFT($B996,IFERROR(FIND(" ",$B996)-1,LEN($B996))))))&gt;0,1,0)</f>
        <v>0</v>
      </c>
      <c r="AF996" cm="1">
        <f t="array" ref="AF996">IF(SUMPRODUCT(--($AQ$2:$AQ$71=TRIM(LEFT($B996,IFERROR(FIND(" ",$B996)-1,LEN($B996))))))&gt;0,1,0)</f>
        <v>0</v>
      </c>
    </row>
    <row r="997" spans="1:32" ht="45.75" thickBot="1" x14ac:dyDescent="0.3">
      <c r="A997" s="13">
        <v>52</v>
      </c>
      <c r="B997" s="4" t="s">
        <v>1901</v>
      </c>
      <c r="C997" s="4" t="s">
        <v>900</v>
      </c>
      <c r="D997" s="7">
        <v>43269</v>
      </c>
      <c r="E997" s="3">
        <v>1492.49</v>
      </c>
      <c r="F997" s="4" t="s">
        <v>46</v>
      </c>
      <c r="G997" s="3">
        <v>6.88</v>
      </c>
      <c r="H997" s="4" t="s">
        <v>118</v>
      </c>
      <c r="I997" s="4" t="s">
        <v>119</v>
      </c>
      <c r="J997" s="4" t="s">
        <v>120</v>
      </c>
      <c r="K997" s="4"/>
      <c r="L997" s="4"/>
      <c r="M997" s="3">
        <v>3.85</v>
      </c>
      <c r="N997" s="3">
        <v>1300.03</v>
      </c>
      <c r="O997" s="4" t="s">
        <v>49</v>
      </c>
      <c r="P997" s="4" t="s">
        <v>49</v>
      </c>
      <c r="Q997" s="4" t="s">
        <v>35</v>
      </c>
      <c r="R997" s="3">
        <v>313.54700000000003</v>
      </c>
      <c r="S997" s="3">
        <v>27.158799999999999</v>
      </c>
      <c r="T997" s="4" t="s">
        <v>43</v>
      </c>
      <c r="U997" s="2" t="s">
        <v>37</v>
      </c>
      <c r="V997" s="2" t="s">
        <v>37</v>
      </c>
      <c r="W997" s="2" t="s">
        <v>37</v>
      </c>
      <c r="X997" s="2" t="s">
        <v>37</v>
      </c>
      <c r="Y997" s="2" t="s">
        <v>37</v>
      </c>
      <c r="Z997" s="2" t="s">
        <v>37</v>
      </c>
      <c r="AA997" s="6">
        <v>3.17391143</v>
      </c>
      <c r="AB997" s="6">
        <v>2.4963026500000001</v>
      </c>
      <c r="AC997" s="6">
        <v>3.1139533739999998</v>
      </c>
      <c r="AD997" cm="1">
        <f t="array" ref="AD997">IF(SUMPRODUCT(--($AM$2:$AM$112=TRIM(LEFT($B997,IFERROR(FIND(" ",$B997)-1,LEN($B997))))))&gt;0,1,0)</f>
        <v>0</v>
      </c>
      <c r="AE997" cm="1">
        <f t="array" ref="AE997">IF(SUMPRODUCT(--($AO$2:$AO$145=TRIM(LEFT($B997,IFERROR(FIND(" ",$B997)-1,LEN($B997))))))&gt;0,1,0)</f>
        <v>0</v>
      </c>
      <c r="AF997" cm="1">
        <f t="array" ref="AF997">IF(SUMPRODUCT(--($AQ$2:$AQ$71=TRIM(LEFT($B997,IFERROR(FIND(" ",$B997)-1,LEN($B997))))))&gt;0,1,0)</f>
        <v>0</v>
      </c>
    </row>
    <row r="998" spans="1:32" ht="75.75" thickBot="1" x14ac:dyDescent="0.3">
      <c r="A998" s="13">
        <v>50</v>
      </c>
      <c r="B998" s="4" t="s">
        <v>1902</v>
      </c>
      <c r="C998" s="4" t="s">
        <v>1903</v>
      </c>
      <c r="D998" s="7">
        <v>43270</v>
      </c>
      <c r="E998" s="3">
        <v>4733.47</v>
      </c>
      <c r="F998" s="4" t="s">
        <v>30</v>
      </c>
      <c r="G998" s="3">
        <v>15.09</v>
      </c>
      <c r="H998" s="4" t="s">
        <v>31</v>
      </c>
      <c r="I998" s="4" t="s">
        <v>32</v>
      </c>
      <c r="J998" s="4" t="s">
        <v>33</v>
      </c>
      <c r="K998" s="3">
        <v>217.5</v>
      </c>
      <c r="L998" s="3">
        <v>100</v>
      </c>
      <c r="M998" s="4"/>
      <c r="N998" s="3">
        <v>4159.13</v>
      </c>
      <c r="O998" s="4" t="s">
        <v>34</v>
      </c>
      <c r="P998" s="4" t="s">
        <v>34</v>
      </c>
      <c r="Q998" s="4" t="s">
        <v>35</v>
      </c>
      <c r="R998" s="3">
        <v>678.66099999999994</v>
      </c>
      <c r="S998" s="3">
        <v>26.797799999999999</v>
      </c>
      <c r="T998" s="4" t="s">
        <v>113</v>
      </c>
      <c r="U998" s="2" t="s">
        <v>37</v>
      </c>
      <c r="V998" s="2" t="s">
        <v>37</v>
      </c>
      <c r="W998" s="2" t="s">
        <v>37</v>
      </c>
      <c r="X998" s="2" t="s">
        <v>38</v>
      </c>
      <c r="Y998" s="2" t="s">
        <v>37</v>
      </c>
      <c r="Z998" s="2" t="s">
        <v>37</v>
      </c>
      <c r="AA998" s="6">
        <v>3.6751796290000001</v>
      </c>
      <c r="AB998" s="6">
        <v>2.8316528929999998</v>
      </c>
      <c r="AC998" s="6">
        <v>3.6190024950000002</v>
      </c>
      <c r="AD998" cm="1">
        <f t="array" ref="AD998">IF(SUMPRODUCT(--($AM$2:$AM$112=TRIM(LEFT($B998,IFERROR(FIND(" ",$B998)-1,LEN($B998))))))&gt;0,1,0)</f>
        <v>0</v>
      </c>
      <c r="AE998" cm="1">
        <f t="array" ref="AE998">IF(SUMPRODUCT(--($AO$2:$AO$145=TRIM(LEFT($B998,IFERROR(FIND(" ",$B998)-1,LEN($B998))))))&gt;0,1,0)</f>
        <v>0</v>
      </c>
      <c r="AF998" cm="1">
        <f t="array" ref="AF998">IF(SUMPRODUCT(--($AQ$2:$AQ$71=TRIM(LEFT($B998,IFERROR(FIND(" ",$B998)-1,LEN($B998))))))&gt;0,1,0)</f>
        <v>0</v>
      </c>
    </row>
    <row r="999" spans="1:32" ht="45.75" thickBot="1" x14ac:dyDescent="0.3">
      <c r="A999" s="13">
        <v>83</v>
      </c>
      <c r="B999" s="4" t="s">
        <v>1904</v>
      </c>
      <c r="C999" s="4" t="s">
        <v>1039</v>
      </c>
      <c r="D999" s="7">
        <v>43219</v>
      </c>
      <c r="E999" s="3">
        <v>7996.65</v>
      </c>
      <c r="F999" s="4" t="s">
        <v>46</v>
      </c>
      <c r="G999" s="3">
        <v>27.1</v>
      </c>
      <c r="H999" s="4" t="s">
        <v>51</v>
      </c>
      <c r="I999" s="4" t="s">
        <v>51</v>
      </c>
      <c r="J999" s="4" t="s">
        <v>79</v>
      </c>
      <c r="K999" s="4"/>
      <c r="L999" s="3">
        <v>216</v>
      </c>
      <c r="M999" s="3">
        <v>14.47</v>
      </c>
      <c r="N999" s="3">
        <v>6284.82</v>
      </c>
      <c r="O999" s="4" t="s">
        <v>34</v>
      </c>
      <c r="P999" s="4" t="s">
        <v>34</v>
      </c>
      <c r="Q999" s="4" t="s">
        <v>35</v>
      </c>
      <c r="R999" s="3">
        <v>424.46800000000002</v>
      </c>
      <c r="S999" s="3">
        <v>28.927900000000001</v>
      </c>
      <c r="T999" s="4" t="s">
        <v>43</v>
      </c>
      <c r="U999" s="2" t="s">
        <v>37</v>
      </c>
      <c r="V999" s="2" t="s">
        <v>37</v>
      </c>
      <c r="W999" s="2" t="s">
        <v>37</v>
      </c>
      <c r="X999" s="2" t="s">
        <v>37</v>
      </c>
      <c r="Y999" s="2" t="s">
        <v>37</v>
      </c>
      <c r="Z999" s="2" t="s">
        <v>37</v>
      </c>
      <c r="AA999" s="6">
        <v>3.9029080880000002</v>
      </c>
      <c r="AB999" s="6">
        <v>2.627844955</v>
      </c>
      <c r="AC999" s="6">
        <v>3.7982928440000001</v>
      </c>
      <c r="AD999" cm="1">
        <f t="array" ref="AD999">IF(SUMPRODUCT(--($AM$2:$AM$112=TRIM(LEFT($B999,IFERROR(FIND(" ",$B999)-1,LEN($B999))))))&gt;0,1,0)</f>
        <v>0</v>
      </c>
      <c r="AE999" cm="1">
        <f t="array" ref="AE999">IF(SUMPRODUCT(--($AO$2:$AO$145=TRIM(LEFT($B999,IFERROR(FIND(" ",$B999)-1,LEN($B999))))))&gt;0,1,0)</f>
        <v>0</v>
      </c>
      <c r="AF999" cm="1">
        <f t="array" ref="AF999">IF(SUMPRODUCT(--($AQ$2:$AQ$71=TRIM(LEFT($B999,IFERROR(FIND(" ",$B999)-1,LEN($B999))))))&gt;0,1,0)</f>
        <v>0</v>
      </c>
    </row>
    <row r="1000" spans="1:32" ht="45.75" thickBot="1" x14ac:dyDescent="0.3">
      <c r="A1000" s="13">
        <v>135</v>
      </c>
      <c r="B1000" s="4" t="s">
        <v>1905</v>
      </c>
      <c r="C1000" s="4" t="s">
        <v>1906</v>
      </c>
      <c r="D1000" s="7">
        <v>43146</v>
      </c>
      <c r="E1000" s="3">
        <v>2083.2600000000002</v>
      </c>
      <c r="F1000" s="4" t="s">
        <v>30</v>
      </c>
      <c r="G1000" s="3">
        <v>11.75</v>
      </c>
      <c r="H1000" s="4" t="s">
        <v>47</v>
      </c>
      <c r="I1000" s="4" t="s">
        <v>47</v>
      </c>
      <c r="J1000" s="4" t="s">
        <v>875</v>
      </c>
      <c r="K1000" s="4"/>
      <c r="L1000" s="3">
        <v>50</v>
      </c>
      <c r="M1000" s="3">
        <v>10.5</v>
      </c>
      <c r="N1000" s="3">
        <v>1239.06</v>
      </c>
      <c r="O1000" s="4" t="s">
        <v>34</v>
      </c>
      <c r="P1000" s="4" t="s">
        <v>34</v>
      </c>
      <c r="Q1000" s="4" t="s">
        <v>35</v>
      </c>
      <c r="R1000" s="3">
        <v>2461.12</v>
      </c>
      <c r="S1000" s="3">
        <v>2.9651999999999998</v>
      </c>
      <c r="T1000" s="4" t="s">
        <v>43</v>
      </c>
      <c r="U1000" s="2" t="s">
        <v>37</v>
      </c>
      <c r="V1000" s="2" t="s">
        <v>37</v>
      </c>
      <c r="W1000" s="2" t="s">
        <v>37</v>
      </c>
      <c r="X1000" s="2" t="s">
        <v>37</v>
      </c>
      <c r="Y1000" s="2" t="s">
        <v>37</v>
      </c>
      <c r="Z1000" s="2" t="s">
        <v>37</v>
      </c>
      <c r="AA1000" s="6">
        <v>3.3187434750000002</v>
      </c>
      <c r="AB1000" s="6">
        <v>3.3911327899999999</v>
      </c>
      <c r="AC1000" s="6">
        <v>3.0930923369999999</v>
      </c>
      <c r="AD1000" cm="1">
        <f t="array" ref="AD1000">IF(SUMPRODUCT(--($AM$2:$AM$112=TRIM(LEFT($B1000,IFERROR(FIND(" ",$B1000)-1,LEN($B1000))))))&gt;0,1,0)</f>
        <v>1</v>
      </c>
      <c r="AE1000" cm="1">
        <f t="array" ref="AE1000">IF(SUMPRODUCT(--($AO$2:$AO$145=TRIM(LEFT($B1000,IFERROR(FIND(" ",$B1000)-1,LEN($B1000))))))&gt;0,1,0)</f>
        <v>1</v>
      </c>
      <c r="AF1000" cm="1">
        <f t="array" ref="AF1000">IF(SUMPRODUCT(--($AQ$2:$AQ$71=TRIM(LEFT($B1000,IFERROR(FIND(" ",$B1000)-1,LEN($B1000))))))&gt;0,1,0)</f>
        <v>0</v>
      </c>
    </row>
    <row r="1001" spans="1:32" ht="165.75" thickBot="1" x14ac:dyDescent="0.3">
      <c r="A1001" s="13">
        <v>96</v>
      </c>
      <c r="B1001" s="4" t="s">
        <v>1907</v>
      </c>
      <c r="C1001" s="2"/>
      <c r="D1001" s="7">
        <v>43199</v>
      </c>
      <c r="E1001" s="3">
        <v>2543.4499999999998</v>
      </c>
      <c r="F1001" s="4" t="s">
        <v>30</v>
      </c>
      <c r="G1001" s="4"/>
      <c r="H1001" s="4" t="s">
        <v>31</v>
      </c>
      <c r="I1001" s="4" t="s">
        <v>432</v>
      </c>
      <c r="J1001" s="4" t="s">
        <v>433</v>
      </c>
      <c r="K1001" s="4"/>
      <c r="L1001" s="3">
        <v>186.6</v>
      </c>
      <c r="M1001" s="4"/>
      <c r="N1001" s="3">
        <v>1854.23</v>
      </c>
      <c r="O1001" s="4" t="s">
        <v>34</v>
      </c>
      <c r="P1001" s="4" t="s">
        <v>49</v>
      </c>
      <c r="Q1001" s="4" t="s">
        <v>35</v>
      </c>
      <c r="R1001" s="3">
        <v>1870.98</v>
      </c>
      <c r="S1001" s="3">
        <v>-0.16694500000000001</v>
      </c>
      <c r="T1001" s="4" t="s">
        <v>1908</v>
      </c>
      <c r="U1001" s="2" t="s">
        <v>37</v>
      </c>
      <c r="V1001" s="2" t="s">
        <v>37</v>
      </c>
      <c r="W1001" s="2" t="s">
        <v>38</v>
      </c>
      <c r="X1001" s="2" t="s">
        <v>38</v>
      </c>
      <c r="Y1001" s="2" t="s">
        <v>38</v>
      </c>
      <c r="Z1001" s="2" t="s">
        <v>37</v>
      </c>
      <c r="AA1001" s="6">
        <v>3.405423205</v>
      </c>
      <c r="AB1001" s="6">
        <v>3.2720691450000001</v>
      </c>
      <c r="AC1001" s="6">
        <v>3.2681636030000001</v>
      </c>
      <c r="AD1001" cm="1">
        <f t="array" ref="AD1001">IF(SUMPRODUCT(--($AM$2:$AM$112=TRIM(LEFT($B1001,IFERROR(FIND(" ",$B1001)-1,LEN($B1001))))))&gt;0,1,0)</f>
        <v>0</v>
      </c>
      <c r="AE1001" cm="1">
        <f t="array" ref="AE1001">IF(SUMPRODUCT(--($AO$2:$AO$145=TRIM(LEFT($B1001,IFERROR(FIND(" ",$B1001)-1,LEN($B1001))))))&gt;0,1,0)</f>
        <v>0</v>
      </c>
      <c r="AF1001" cm="1">
        <f t="array" ref="AF1001">IF(SUMPRODUCT(--($AQ$2:$AQ$71=TRIM(LEFT($B1001,IFERROR(FIND(" ",$B1001)-1,LEN($B1001))))))&gt;0,1,0)</f>
        <v>0</v>
      </c>
    </row>
    <row r="1002" spans="1:32" ht="120.75" thickBot="1" x14ac:dyDescent="0.3">
      <c r="A1002" s="13">
        <v>63</v>
      </c>
      <c r="B1002" s="4" t="s">
        <v>1909</v>
      </c>
      <c r="C1002" s="4" t="s">
        <v>1910</v>
      </c>
      <c r="D1002" s="7">
        <v>43237</v>
      </c>
      <c r="E1002" s="3">
        <v>9991.7000000000007</v>
      </c>
      <c r="F1002" s="4" t="s">
        <v>46</v>
      </c>
      <c r="G1002" s="3">
        <v>13.55</v>
      </c>
      <c r="H1002" s="4" t="s">
        <v>118</v>
      </c>
      <c r="I1002" s="4" t="s">
        <v>119</v>
      </c>
      <c r="J1002" s="4" t="s">
        <v>120</v>
      </c>
      <c r="K1002" s="4"/>
      <c r="L1002" s="3">
        <v>410</v>
      </c>
      <c r="M1002" s="3">
        <v>6.99</v>
      </c>
      <c r="N1002" s="3">
        <v>9991.7000000000007</v>
      </c>
      <c r="O1002" s="4" t="s">
        <v>34</v>
      </c>
      <c r="P1002" s="4" t="s">
        <v>34</v>
      </c>
      <c r="Q1002" s="4" t="s">
        <v>35</v>
      </c>
      <c r="R1002" s="3">
        <v>10627</v>
      </c>
      <c r="S1002" s="3">
        <v>13.8094</v>
      </c>
      <c r="T1002" s="4" t="s">
        <v>321</v>
      </c>
      <c r="U1002" s="2" t="s">
        <v>38</v>
      </c>
      <c r="V1002" s="2" t="s">
        <v>37</v>
      </c>
      <c r="W1002" s="2" t="s">
        <v>37</v>
      </c>
      <c r="X1002" s="2" t="s">
        <v>37</v>
      </c>
      <c r="Y1002" s="2" t="s">
        <v>37</v>
      </c>
      <c r="Z1002" s="2" t="s">
        <v>37</v>
      </c>
      <c r="AA1002" s="6">
        <v>3.9996393860000001</v>
      </c>
      <c r="AB1002" s="6">
        <v>4.0264106809999998</v>
      </c>
      <c r="AC1002" s="6">
        <v>3.9996393860000001</v>
      </c>
      <c r="AD1002" cm="1">
        <f t="array" ref="AD1002">IF(SUMPRODUCT(--($AM$2:$AM$112=TRIM(LEFT($B1002,IFERROR(FIND(" ",$B1002)-1,LEN($B1002))))))&gt;0,1,0)</f>
        <v>0</v>
      </c>
      <c r="AE1002" cm="1">
        <f t="array" ref="AE1002">IF(SUMPRODUCT(--($AO$2:$AO$145=TRIM(LEFT($B1002,IFERROR(FIND(" ",$B1002)-1,LEN($B1002))))))&gt;0,1,0)</f>
        <v>0</v>
      </c>
      <c r="AF1002" cm="1">
        <f t="array" ref="AF1002">IF(SUMPRODUCT(--($AQ$2:$AQ$71=TRIM(LEFT($B1002,IFERROR(FIND(" ",$B1002)-1,LEN($B1002))))))&gt;0,1,0)</f>
        <v>0</v>
      </c>
    </row>
    <row r="1003" spans="1:32" ht="135.75" thickBot="1" x14ac:dyDescent="0.3">
      <c r="A1003" s="13">
        <v>41</v>
      </c>
      <c r="B1003" s="4" t="s">
        <v>1911</v>
      </c>
      <c r="C1003" s="4" t="s">
        <v>1912</v>
      </c>
      <c r="D1003" s="7">
        <v>43269</v>
      </c>
      <c r="E1003" s="3">
        <v>1211.78</v>
      </c>
      <c r="F1003" s="4" t="s">
        <v>30</v>
      </c>
      <c r="G1003" s="4"/>
      <c r="H1003" s="4" t="s">
        <v>47</v>
      </c>
      <c r="I1003" s="4" t="s">
        <v>47</v>
      </c>
      <c r="J1003" s="4" t="s">
        <v>48</v>
      </c>
      <c r="K1003" s="4"/>
      <c r="L1003" s="3">
        <v>67</v>
      </c>
      <c r="M1003" s="3">
        <v>49.63</v>
      </c>
      <c r="N1003" s="3">
        <v>1252.95</v>
      </c>
      <c r="O1003" s="4" t="s">
        <v>49</v>
      </c>
      <c r="P1003" s="4" t="s">
        <v>152</v>
      </c>
      <c r="Q1003" s="4" t="s">
        <v>35</v>
      </c>
      <c r="R1003" s="2"/>
      <c r="S1003" s="2"/>
      <c r="T1003" s="4" t="s">
        <v>1141</v>
      </c>
      <c r="U1003" s="2" t="s">
        <v>38</v>
      </c>
      <c r="V1003" s="2" t="s">
        <v>37</v>
      </c>
      <c r="W1003" s="2" t="s">
        <v>38</v>
      </c>
      <c r="X1003" s="2" t="s">
        <v>37</v>
      </c>
      <c r="Y1003" s="2" t="s">
        <v>37</v>
      </c>
      <c r="Z1003" s="2" t="s">
        <v>37</v>
      </c>
      <c r="AA1003" s="6">
        <v>3.0834237799999999</v>
      </c>
      <c r="AB1003" s="2"/>
      <c r="AC1003" s="6">
        <v>3.0979337400000002</v>
      </c>
      <c r="AD1003" cm="1">
        <f t="array" ref="AD1003">IF(SUMPRODUCT(--($AM$2:$AM$112=TRIM(LEFT($B1003,IFERROR(FIND(" ",$B1003)-1,LEN($B1003))))))&gt;0,1,0)</f>
        <v>0</v>
      </c>
      <c r="AE1003" cm="1">
        <f t="array" ref="AE1003">IF(SUMPRODUCT(--($AO$2:$AO$145=TRIM(LEFT($B1003,IFERROR(FIND(" ",$B1003)-1,LEN($B1003))))))&gt;0,1,0)</f>
        <v>0</v>
      </c>
      <c r="AF1003" cm="1">
        <f t="array" ref="AF1003">IF(SUMPRODUCT(--($AQ$2:$AQ$71=TRIM(LEFT($B1003,IFERROR(FIND(" ",$B1003)-1,LEN($B1003))))))&gt;0,1,0)</f>
        <v>0</v>
      </c>
    </row>
    <row r="1004" spans="1:32" ht="45.75" thickBot="1" x14ac:dyDescent="0.3">
      <c r="A1004" s="13">
        <v>121</v>
      </c>
      <c r="B1004" s="4" t="s">
        <v>1913</v>
      </c>
      <c r="C1004" s="4" t="s">
        <v>149</v>
      </c>
      <c r="D1004" s="7">
        <v>43157</v>
      </c>
      <c r="E1004" s="3">
        <v>858.64</v>
      </c>
      <c r="F1004" s="4" t="s">
        <v>107</v>
      </c>
      <c r="G1004" s="4"/>
      <c r="H1004" s="4" t="s">
        <v>65</v>
      </c>
      <c r="I1004" s="4" t="s">
        <v>66</v>
      </c>
      <c r="J1004" s="4" t="s">
        <v>66</v>
      </c>
      <c r="K1004" s="4"/>
      <c r="L1004" s="3">
        <v>35.131999999999998</v>
      </c>
      <c r="M1004" s="3">
        <v>56.96</v>
      </c>
      <c r="N1004" s="3">
        <v>858.64</v>
      </c>
      <c r="O1004" s="4" t="s">
        <v>34</v>
      </c>
      <c r="P1004" s="4" t="s">
        <v>34</v>
      </c>
      <c r="Q1004" s="4" t="s">
        <v>35</v>
      </c>
      <c r="R1004" s="3">
        <v>145.45599999999999</v>
      </c>
      <c r="S1004" s="2"/>
      <c r="T1004" s="4" t="s">
        <v>43</v>
      </c>
      <c r="U1004" s="2" t="s">
        <v>37</v>
      </c>
      <c r="V1004" s="2" t="s">
        <v>37</v>
      </c>
      <c r="W1004" s="2" t="s">
        <v>37</v>
      </c>
      <c r="X1004" s="2" t="s">
        <v>37</v>
      </c>
      <c r="Y1004" s="2" t="s">
        <v>37</v>
      </c>
      <c r="Z1004" s="2" t="s">
        <v>37</v>
      </c>
      <c r="AA1004" s="6">
        <v>2.9338111160000002</v>
      </c>
      <c r="AB1004" s="6">
        <v>2.1627316400000001</v>
      </c>
      <c r="AC1004" s="6">
        <v>2.9338111160000002</v>
      </c>
      <c r="AD1004" cm="1">
        <f t="array" ref="AD1004">IF(SUMPRODUCT(--($AM$2:$AM$112=TRIM(LEFT($B1004,IFERROR(FIND(" ",$B1004)-1,LEN($B1004))))))&gt;0,1,0)</f>
        <v>0</v>
      </c>
      <c r="AE1004" cm="1">
        <f t="array" ref="AE1004">IF(SUMPRODUCT(--($AO$2:$AO$145=TRIM(LEFT($B1004,IFERROR(FIND(" ",$B1004)-1,LEN($B1004))))))&gt;0,1,0)</f>
        <v>0</v>
      </c>
      <c r="AF1004" cm="1">
        <f t="array" ref="AF1004">IF(SUMPRODUCT(--($AQ$2:$AQ$71=TRIM(LEFT($B1004,IFERROR(FIND(" ",$B1004)-1,LEN($B1004))))))&gt;0,1,0)</f>
        <v>0</v>
      </c>
    </row>
    <row r="1005" spans="1:32" ht="45.75" thickBot="1" x14ac:dyDescent="0.3">
      <c r="A1005" s="13">
        <v>70</v>
      </c>
      <c r="B1005" s="4" t="s">
        <v>1914</v>
      </c>
      <c r="C1005" s="4" t="s">
        <v>1915</v>
      </c>
      <c r="D1005" s="7">
        <v>43216</v>
      </c>
      <c r="E1005" s="3">
        <v>11226.42</v>
      </c>
      <c r="F1005" s="4" t="s">
        <v>107</v>
      </c>
      <c r="G1005" s="4"/>
      <c r="H1005" s="4" t="s">
        <v>65</v>
      </c>
      <c r="I1005" s="4" t="s">
        <v>138</v>
      </c>
      <c r="J1005" s="4" t="s">
        <v>139</v>
      </c>
      <c r="K1005" s="3">
        <v>43.2</v>
      </c>
      <c r="L1005" s="3">
        <v>51.8</v>
      </c>
      <c r="M1005" s="3">
        <v>10.56</v>
      </c>
      <c r="N1005" s="3">
        <v>1147.98</v>
      </c>
      <c r="O1005" s="4" t="s">
        <v>34</v>
      </c>
      <c r="P1005" s="4" t="s">
        <v>34</v>
      </c>
      <c r="Q1005" s="4" t="s">
        <v>35</v>
      </c>
      <c r="R1005" s="3">
        <v>348.42200000000003</v>
      </c>
      <c r="S1005" s="3">
        <v>29.758700000000001</v>
      </c>
      <c r="T1005" s="4" t="s">
        <v>43</v>
      </c>
      <c r="U1005" s="2" t="s">
        <v>37</v>
      </c>
      <c r="V1005" s="2" t="s">
        <v>37</v>
      </c>
      <c r="W1005" s="2" t="s">
        <v>37</v>
      </c>
      <c r="X1005" s="2" t="s">
        <v>37</v>
      </c>
      <c r="Y1005" s="2" t="s">
        <v>37</v>
      </c>
      <c r="Z1005" s="2" t="s">
        <v>37</v>
      </c>
      <c r="AA1005" s="6">
        <v>4.0502412860000003</v>
      </c>
      <c r="AB1005" s="6">
        <v>2.5421055689999998</v>
      </c>
      <c r="AC1005" s="6">
        <v>3.0599343220000002</v>
      </c>
      <c r="AD1005" cm="1">
        <f t="array" ref="AD1005">IF(SUMPRODUCT(--($AM$2:$AM$112=TRIM(LEFT($B1005,IFERROR(FIND(" ",$B1005)-1,LEN($B1005))))))&gt;0,1,0)</f>
        <v>0</v>
      </c>
      <c r="AE1005" cm="1">
        <f t="array" ref="AE1005">IF(SUMPRODUCT(--($AO$2:$AO$145=TRIM(LEFT($B1005,IFERROR(FIND(" ",$B1005)-1,LEN($B1005))))))&gt;0,1,0)</f>
        <v>0</v>
      </c>
      <c r="AF1005" cm="1">
        <f t="array" ref="AF1005">IF(SUMPRODUCT(--($AQ$2:$AQ$71=TRIM(LEFT($B1005,IFERROR(FIND(" ",$B1005)-1,LEN($B1005))))))&gt;0,1,0)</f>
        <v>0</v>
      </c>
    </row>
    <row r="1006" spans="1:32" ht="150.75" thickBot="1" x14ac:dyDescent="0.3">
      <c r="A1006" s="13">
        <v>32</v>
      </c>
      <c r="B1006" s="4" t="s">
        <v>1916</v>
      </c>
      <c r="C1006" s="4" t="s">
        <v>336</v>
      </c>
      <c r="D1006" s="7">
        <v>43270</v>
      </c>
      <c r="E1006" s="3">
        <v>2194.58</v>
      </c>
      <c r="F1006" s="4" t="s">
        <v>30</v>
      </c>
      <c r="G1006" s="4"/>
      <c r="H1006" s="4" t="s">
        <v>41</v>
      </c>
      <c r="I1006" s="4" t="s">
        <v>41</v>
      </c>
      <c r="J1006" s="4" t="s">
        <v>60</v>
      </c>
      <c r="K1006" s="4"/>
      <c r="L1006" s="3">
        <v>34.5</v>
      </c>
      <c r="M1006" s="3">
        <v>39.619999999999997</v>
      </c>
      <c r="N1006" s="3">
        <v>2254.88</v>
      </c>
      <c r="O1006" s="4" t="s">
        <v>34</v>
      </c>
      <c r="P1006" s="4" t="s">
        <v>869</v>
      </c>
      <c r="Q1006" s="4" t="s">
        <v>35</v>
      </c>
      <c r="R1006" s="3">
        <v>152.90299999999999</v>
      </c>
      <c r="S1006" s="3">
        <v>-68.736500000000007</v>
      </c>
      <c r="T1006" s="4" t="s">
        <v>1287</v>
      </c>
      <c r="U1006" s="2" t="s">
        <v>38</v>
      </c>
      <c r="V1006" s="2" t="s">
        <v>37</v>
      </c>
      <c r="W1006" s="2" t="s">
        <v>38</v>
      </c>
      <c r="X1006" s="2" t="s">
        <v>37</v>
      </c>
      <c r="Y1006" s="2" t="s">
        <v>37</v>
      </c>
      <c r="Z1006" s="2" t="s">
        <v>38</v>
      </c>
      <c r="AA1006" s="6">
        <v>3.3413514169999998</v>
      </c>
      <c r="AB1006" s="6">
        <v>2.1844160060000002</v>
      </c>
      <c r="AC1006" s="6">
        <v>3.3531234350000001</v>
      </c>
      <c r="AD1006" cm="1">
        <f t="array" ref="AD1006">IF(SUMPRODUCT(--($AM$2:$AM$112=TRIM(LEFT($B1006,IFERROR(FIND(" ",$B1006)-1,LEN($B1006))))))&gt;0,1,0)</f>
        <v>0</v>
      </c>
      <c r="AE1006" cm="1">
        <f t="array" ref="AE1006">IF(SUMPRODUCT(--($AO$2:$AO$145=TRIM(LEFT($B1006,IFERROR(FIND(" ",$B1006)-1,LEN($B1006))))))&gt;0,1,0)</f>
        <v>0</v>
      </c>
      <c r="AF1006" cm="1">
        <f t="array" ref="AF1006">IF(SUMPRODUCT(--($AQ$2:$AQ$71=TRIM(LEFT($B1006,IFERROR(FIND(" ",$B1006)-1,LEN($B1006))))))&gt;0,1,0)</f>
        <v>0</v>
      </c>
    </row>
    <row r="1007" spans="1:32" ht="60.75" thickBot="1" x14ac:dyDescent="0.3">
      <c r="A1007" s="13">
        <v>56</v>
      </c>
      <c r="B1007" s="4" t="s">
        <v>1917</v>
      </c>
      <c r="C1007" s="4" t="s">
        <v>1918</v>
      </c>
      <c r="D1007" s="7">
        <v>43236</v>
      </c>
      <c r="E1007" s="3">
        <v>1717.33</v>
      </c>
      <c r="F1007" s="4" t="s">
        <v>30</v>
      </c>
      <c r="G1007" s="3">
        <v>35.96</v>
      </c>
      <c r="H1007" s="4" t="s">
        <v>41</v>
      </c>
      <c r="I1007" s="4" t="s">
        <v>41</v>
      </c>
      <c r="J1007" s="4" t="s">
        <v>60</v>
      </c>
      <c r="K1007" s="3">
        <v>120</v>
      </c>
      <c r="L1007" s="3">
        <v>70</v>
      </c>
      <c r="M1007" s="3">
        <v>18.399999999999999</v>
      </c>
      <c r="N1007" s="3">
        <v>1883.93</v>
      </c>
      <c r="O1007" s="4" t="s">
        <v>34</v>
      </c>
      <c r="P1007" s="4" t="s">
        <v>34</v>
      </c>
      <c r="Q1007" s="4" t="s">
        <v>35</v>
      </c>
      <c r="R1007" s="3">
        <v>244.7</v>
      </c>
      <c r="S1007" s="3">
        <v>15.796900000000001</v>
      </c>
      <c r="T1007" s="4" t="s">
        <v>43</v>
      </c>
      <c r="U1007" s="2" t="s">
        <v>37</v>
      </c>
      <c r="V1007" s="2" t="s">
        <v>37</v>
      </c>
      <c r="W1007" s="2" t="s">
        <v>37</v>
      </c>
      <c r="X1007" s="2" t="s">
        <v>37</v>
      </c>
      <c r="Y1007" s="2" t="s">
        <v>37</v>
      </c>
      <c r="Z1007" s="2" t="s">
        <v>37</v>
      </c>
      <c r="AA1007" s="6">
        <v>3.2348537570000002</v>
      </c>
      <c r="AB1007" s="6">
        <v>2.3886339689999998</v>
      </c>
      <c r="AC1007" s="6">
        <v>3.275064762</v>
      </c>
      <c r="AD1007" cm="1">
        <f t="array" ref="AD1007">IF(SUMPRODUCT(--($AM$2:$AM$112=TRIM(LEFT($B1007,IFERROR(FIND(" ",$B1007)-1,LEN($B1007))))))&gt;0,1,0)</f>
        <v>0</v>
      </c>
      <c r="AE1007" cm="1">
        <f t="array" ref="AE1007">IF(SUMPRODUCT(--($AO$2:$AO$145=TRIM(LEFT($B1007,IFERROR(FIND(" ",$B1007)-1,LEN($B1007))))))&gt;0,1,0)</f>
        <v>0</v>
      </c>
      <c r="AF1007" cm="1">
        <f t="array" ref="AF1007">IF(SUMPRODUCT(--($AQ$2:$AQ$71=TRIM(LEFT($B1007,IFERROR(FIND(" ",$B1007)-1,LEN($B1007))))))&gt;0,1,0)</f>
        <v>0</v>
      </c>
    </row>
    <row r="1008" spans="1:32" ht="75.75" thickBot="1" x14ac:dyDescent="0.3">
      <c r="A1008" s="13">
        <v>198</v>
      </c>
      <c r="B1008" s="4" t="s">
        <v>1919</v>
      </c>
      <c r="C1008" s="4" t="s">
        <v>1920</v>
      </c>
      <c r="D1008" s="7">
        <v>43038</v>
      </c>
      <c r="E1008" s="3">
        <v>732.98</v>
      </c>
      <c r="F1008" s="4" t="s">
        <v>46</v>
      </c>
      <c r="G1008" s="3">
        <v>8.57</v>
      </c>
      <c r="H1008" s="4" t="s">
        <v>75</v>
      </c>
      <c r="I1008" s="4" t="s">
        <v>111</v>
      </c>
      <c r="J1008" s="4" t="s">
        <v>112</v>
      </c>
      <c r="K1008" s="3">
        <v>25</v>
      </c>
      <c r="L1008" s="3">
        <v>25</v>
      </c>
      <c r="M1008" s="3">
        <v>13.7</v>
      </c>
      <c r="N1008" s="3">
        <v>912.52</v>
      </c>
      <c r="O1008" s="4" t="s">
        <v>34</v>
      </c>
      <c r="P1008" s="4" t="s">
        <v>34</v>
      </c>
      <c r="Q1008" s="4" t="s">
        <v>35</v>
      </c>
      <c r="R1008" s="3">
        <v>440.411</v>
      </c>
      <c r="S1008" s="3">
        <v>10.1966</v>
      </c>
      <c r="T1008" s="4" t="s">
        <v>43</v>
      </c>
      <c r="U1008" s="2" t="s">
        <v>37</v>
      </c>
      <c r="V1008" s="2" t="s">
        <v>37</v>
      </c>
      <c r="W1008" s="2" t="s">
        <v>37</v>
      </c>
      <c r="X1008" s="2" t="s">
        <v>37</v>
      </c>
      <c r="Y1008" s="2" t="s">
        <v>37</v>
      </c>
      <c r="Z1008" s="2" t="s">
        <v>37</v>
      </c>
      <c r="AA1008" s="6">
        <v>2.8650921249999999</v>
      </c>
      <c r="AB1008" s="6">
        <v>2.643858158</v>
      </c>
      <c r="AC1008" s="6">
        <v>2.9602423920000001</v>
      </c>
      <c r="AD1008" cm="1">
        <f t="array" ref="AD1008">IF(SUMPRODUCT(--($AM$2:$AM$112=TRIM(LEFT($B1008,IFERROR(FIND(" ",$B1008)-1,LEN($B1008))))))&gt;0,1,0)</f>
        <v>0</v>
      </c>
      <c r="AE1008" cm="1">
        <f t="array" ref="AE1008">IF(SUMPRODUCT(--($AO$2:$AO$145=TRIM(LEFT($B1008,IFERROR(FIND(" ",$B1008)-1,LEN($B1008))))))&gt;0,1,0)</f>
        <v>0</v>
      </c>
      <c r="AF1008" cm="1">
        <f t="array" ref="AF1008">IF(SUMPRODUCT(--($AQ$2:$AQ$71=TRIM(LEFT($B1008,IFERROR(FIND(" ",$B1008)-1,LEN($B1008))))))&gt;0,1,0)</f>
        <v>0</v>
      </c>
    </row>
    <row r="1009" spans="1:32" ht="45.75" thickBot="1" x14ac:dyDescent="0.3">
      <c r="A1009" s="13">
        <v>121</v>
      </c>
      <c r="B1009" s="4" t="s">
        <v>1921</v>
      </c>
      <c r="C1009" s="4" t="s">
        <v>356</v>
      </c>
      <c r="D1009" s="7">
        <v>43144</v>
      </c>
      <c r="E1009" s="3">
        <v>1759.08</v>
      </c>
      <c r="F1009" s="4" t="s">
        <v>69</v>
      </c>
      <c r="G1009" s="3">
        <v>2.12</v>
      </c>
      <c r="H1009" s="4" t="s">
        <v>65</v>
      </c>
      <c r="I1009" s="4" t="s">
        <v>138</v>
      </c>
      <c r="J1009" s="4" t="s">
        <v>139</v>
      </c>
      <c r="K1009" s="3">
        <v>125</v>
      </c>
      <c r="L1009" s="3">
        <v>65</v>
      </c>
      <c r="M1009" s="3">
        <v>7.0000000000000007E-2</v>
      </c>
      <c r="N1009" s="3">
        <v>1759.08</v>
      </c>
      <c r="O1009" s="4" t="s">
        <v>34</v>
      </c>
      <c r="P1009" s="4" t="s">
        <v>34</v>
      </c>
      <c r="Q1009" s="4" t="s">
        <v>35</v>
      </c>
      <c r="R1009" s="3">
        <v>2063</v>
      </c>
      <c r="S1009" s="3">
        <v>14.199299999999999</v>
      </c>
      <c r="T1009" s="4" t="s">
        <v>43</v>
      </c>
      <c r="U1009" s="2" t="s">
        <v>37</v>
      </c>
      <c r="V1009" s="2" t="s">
        <v>37</v>
      </c>
      <c r="W1009" s="2" t="s">
        <v>37</v>
      </c>
      <c r="X1009" s="2" t="s">
        <v>37</v>
      </c>
      <c r="Y1009" s="2" t="s">
        <v>37</v>
      </c>
      <c r="Z1009" s="2" t="s">
        <v>37</v>
      </c>
      <c r="AA1009" s="6">
        <v>3.245285591</v>
      </c>
      <c r="AB1009" s="6">
        <v>3.3144992279999999</v>
      </c>
      <c r="AC1009" s="6">
        <v>3.245285591</v>
      </c>
      <c r="AD1009" cm="1">
        <f t="array" ref="AD1009">IF(SUMPRODUCT(--($AM$2:$AM$112=TRIM(LEFT($B1009,IFERROR(FIND(" ",$B1009)-1,LEN($B1009))))))&gt;0,1,0)</f>
        <v>0</v>
      </c>
      <c r="AE1009" cm="1">
        <f t="array" ref="AE1009">IF(SUMPRODUCT(--($AO$2:$AO$145=TRIM(LEFT($B1009,IFERROR(FIND(" ",$B1009)-1,LEN($B1009))))))&gt;0,1,0)</f>
        <v>0</v>
      </c>
      <c r="AF1009" cm="1">
        <f t="array" ref="AF1009">IF(SUMPRODUCT(--($AQ$2:$AQ$71=TRIM(LEFT($B1009,IFERROR(FIND(" ",$B1009)-1,LEN($B1009))))))&gt;0,1,0)</f>
        <v>0</v>
      </c>
    </row>
    <row r="1010" spans="1:32" ht="45.75" thickBot="1" x14ac:dyDescent="0.3">
      <c r="A1010" s="13">
        <v>68</v>
      </c>
      <c r="B1010" s="4" t="s">
        <v>1922</v>
      </c>
      <c r="C1010" s="4" t="s">
        <v>1923</v>
      </c>
      <c r="D1010" s="7">
        <v>43215</v>
      </c>
      <c r="E1010" s="3">
        <v>3405.99</v>
      </c>
      <c r="F1010" s="4" t="s">
        <v>30</v>
      </c>
      <c r="G1010" s="4"/>
      <c r="H1010" s="4" t="s">
        <v>51</v>
      </c>
      <c r="I1010" s="4" t="s">
        <v>51</v>
      </c>
      <c r="J1010" s="4" t="s">
        <v>79</v>
      </c>
      <c r="K1010" s="3">
        <v>250</v>
      </c>
      <c r="L1010" s="3">
        <v>59.5</v>
      </c>
      <c r="M1010" s="3">
        <v>4.03</v>
      </c>
      <c r="N1010" s="3">
        <v>1969.4</v>
      </c>
      <c r="O1010" s="4" t="s">
        <v>34</v>
      </c>
      <c r="P1010" s="4" t="s">
        <v>34</v>
      </c>
      <c r="Q1010" s="4" t="s">
        <v>35</v>
      </c>
      <c r="R1010" s="3">
        <v>318.49799999999999</v>
      </c>
      <c r="S1010" s="3">
        <v>-129.25</v>
      </c>
      <c r="T1010" s="4" t="s">
        <v>43</v>
      </c>
      <c r="U1010" s="2" t="s">
        <v>37</v>
      </c>
      <c r="V1010" s="2" t="s">
        <v>37</v>
      </c>
      <c r="W1010" s="2" t="s">
        <v>37</v>
      </c>
      <c r="X1010" s="2" t="s">
        <v>37</v>
      </c>
      <c r="Y1010" s="2" t="s">
        <v>37</v>
      </c>
      <c r="Z1010" s="2" t="s">
        <v>37</v>
      </c>
      <c r="AA1010" s="6">
        <v>3.5322433690000001</v>
      </c>
      <c r="AB1010" s="6">
        <v>2.50310671</v>
      </c>
      <c r="AC1010" s="6">
        <v>3.294333934</v>
      </c>
      <c r="AD1010" cm="1">
        <f t="array" ref="AD1010">IF(SUMPRODUCT(--($AM$2:$AM$112=TRIM(LEFT($B1010,IFERROR(FIND(" ",$B1010)-1,LEN($B1010))))))&gt;0,1,0)</f>
        <v>0</v>
      </c>
      <c r="AE1010" cm="1">
        <f t="array" ref="AE1010">IF(SUMPRODUCT(--($AO$2:$AO$145=TRIM(LEFT($B1010,IFERROR(FIND(" ",$B1010)-1,LEN($B1010))))))&gt;0,1,0)</f>
        <v>0</v>
      </c>
      <c r="AF1010" cm="1">
        <f t="array" ref="AF1010">IF(SUMPRODUCT(--($AQ$2:$AQ$71=TRIM(LEFT($B1010,IFERROR(FIND(" ",$B1010)-1,LEN($B1010))))))&gt;0,1,0)</f>
        <v>0</v>
      </c>
    </row>
    <row r="1011" spans="1:32" ht="45.75" thickBot="1" x14ac:dyDescent="0.3">
      <c r="A1011" s="13">
        <v>55</v>
      </c>
      <c r="B1011" s="4" t="s">
        <v>1924</v>
      </c>
      <c r="C1011" s="4" t="s">
        <v>1925</v>
      </c>
      <c r="D1011" s="7">
        <v>43234</v>
      </c>
      <c r="E1011" s="3">
        <v>2196.91</v>
      </c>
      <c r="F1011" s="4" t="s">
        <v>46</v>
      </c>
      <c r="G1011" s="3">
        <v>1079.42</v>
      </c>
      <c r="H1011" s="4" t="s">
        <v>41</v>
      </c>
      <c r="I1011" s="4" t="s">
        <v>41</v>
      </c>
      <c r="J1011" s="4" t="s">
        <v>42</v>
      </c>
      <c r="K1011" s="4"/>
      <c r="L1011" s="4"/>
      <c r="M1011" s="3">
        <v>33.299999999999997</v>
      </c>
      <c r="N1011" s="3">
        <v>2285.86</v>
      </c>
      <c r="O1011" s="4" t="s">
        <v>49</v>
      </c>
      <c r="P1011" s="4" t="s">
        <v>49</v>
      </c>
      <c r="Q1011" s="4" t="s">
        <v>35</v>
      </c>
      <c r="R1011" s="3">
        <v>34.033700000000003</v>
      </c>
      <c r="S1011" s="3">
        <v>-6.8574400000000004</v>
      </c>
      <c r="T1011" s="4" t="s">
        <v>43</v>
      </c>
      <c r="U1011" s="2" t="s">
        <v>37</v>
      </c>
      <c r="V1011" s="2" t="s">
        <v>37</v>
      </c>
      <c r="W1011" s="2" t="s">
        <v>37</v>
      </c>
      <c r="X1011" s="2" t="s">
        <v>37</v>
      </c>
      <c r="Y1011" s="2" t="s">
        <v>37</v>
      </c>
      <c r="Z1011" s="2" t="s">
        <v>37</v>
      </c>
      <c r="AA1011" s="6">
        <v>3.3418122659999998</v>
      </c>
      <c r="AB1011" s="6">
        <v>1.5319091659999999</v>
      </c>
      <c r="AC1011" s="6">
        <v>3.3590496280000002</v>
      </c>
      <c r="AD1011" cm="1">
        <f t="array" ref="AD1011">IF(SUMPRODUCT(--($AM$2:$AM$112=TRIM(LEFT($B1011,IFERROR(FIND(" ",$B1011)-1,LEN($B1011))))))&gt;0,1,0)</f>
        <v>0</v>
      </c>
      <c r="AE1011" cm="1">
        <f t="array" ref="AE1011">IF(SUMPRODUCT(--($AO$2:$AO$145=TRIM(LEFT($B1011,IFERROR(FIND(" ",$B1011)-1,LEN($B1011))))))&gt;0,1,0)</f>
        <v>0</v>
      </c>
      <c r="AF1011" cm="1">
        <f t="array" ref="AF1011">IF(SUMPRODUCT(--($AQ$2:$AQ$71=TRIM(LEFT($B1011,IFERROR(FIND(" ",$B1011)-1,LEN($B1011))))))&gt;0,1,0)</f>
        <v>0</v>
      </c>
    </row>
    <row r="1012" spans="1:32" ht="45.75" thickBot="1" x14ac:dyDescent="0.3">
      <c r="A1012" s="13">
        <v>63</v>
      </c>
      <c r="B1012" s="4" t="s">
        <v>1926</v>
      </c>
      <c r="C1012" s="4" t="s">
        <v>1523</v>
      </c>
      <c r="D1012" s="7">
        <v>43216</v>
      </c>
      <c r="E1012" s="3">
        <v>2298.9899999999998</v>
      </c>
      <c r="F1012" s="4" t="s">
        <v>46</v>
      </c>
      <c r="G1012" s="3">
        <v>9.3699999999999992</v>
      </c>
      <c r="H1012" s="4" t="s">
        <v>118</v>
      </c>
      <c r="I1012" s="4" t="s">
        <v>119</v>
      </c>
      <c r="J1012" s="4" t="s">
        <v>120</v>
      </c>
      <c r="K1012" s="4"/>
      <c r="L1012" s="3">
        <v>63.4</v>
      </c>
      <c r="M1012" s="3">
        <v>9.9600000000000009</v>
      </c>
      <c r="N1012" s="3">
        <v>2023.53</v>
      </c>
      <c r="O1012" s="4" t="s">
        <v>34</v>
      </c>
      <c r="P1012" s="4" t="s">
        <v>34</v>
      </c>
      <c r="Q1012" s="4" t="s">
        <v>35</v>
      </c>
      <c r="R1012" s="3">
        <v>294.69299999999998</v>
      </c>
      <c r="S1012" s="3">
        <v>64.566199999999995</v>
      </c>
      <c r="T1012" s="4" t="s">
        <v>43</v>
      </c>
      <c r="U1012" s="2" t="s">
        <v>37</v>
      </c>
      <c r="V1012" s="2" t="s">
        <v>37</v>
      </c>
      <c r="W1012" s="2" t="s">
        <v>37</v>
      </c>
      <c r="X1012" s="2" t="s">
        <v>37</v>
      </c>
      <c r="Y1012" s="2" t="s">
        <v>37</v>
      </c>
      <c r="Z1012" s="2" t="s">
        <v>37</v>
      </c>
      <c r="AA1012" s="6">
        <v>3.3615370819999999</v>
      </c>
      <c r="AB1012" s="6">
        <v>2.4693698199999998</v>
      </c>
      <c r="AC1012" s="6">
        <v>3.306109647</v>
      </c>
      <c r="AD1012" cm="1">
        <f t="array" ref="AD1012">IF(SUMPRODUCT(--($AM$2:$AM$112=TRIM(LEFT($B1012,IFERROR(FIND(" ",$B1012)-1,LEN($B1012))))))&gt;0,1,0)</f>
        <v>0</v>
      </c>
      <c r="AE1012" cm="1">
        <f t="array" ref="AE1012">IF(SUMPRODUCT(--($AO$2:$AO$145=TRIM(LEFT($B1012,IFERROR(FIND(" ",$B1012)-1,LEN($B1012))))))&gt;0,1,0)</f>
        <v>0</v>
      </c>
      <c r="AF1012" cm="1">
        <f t="array" ref="AF1012">IF(SUMPRODUCT(--($AQ$2:$AQ$71=TRIM(LEFT($B1012,IFERROR(FIND(" ",$B1012)-1,LEN($B1012))))))&gt;0,1,0)</f>
        <v>0</v>
      </c>
    </row>
    <row r="1013" spans="1:32" ht="45.75" thickBot="1" x14ac:dyDescent="0.3">
      <c r="A1013" s="13">
        <v>118</v>
      </c>
      <c r="B1013" s="4" t="s">
        <v>1927</v>
      </c>
      <c r="C1013" s="4" t="s">
        <v>721</v>
      </c>
      <c r="D1013" s="7">
        <v>43139</v>
      </c>
      <c r="E1013" s="3">
        <v>840.21</v>
      </c>
      <c r="F1013" s="4" t="s">
        <v>46</v>
      </c>
      <c r="G1013" s="4"/>
      <c r="H1013" s="4" t="s">
        <v>118</v>
      </c>
      <c r="I1013" s="4" t="s">
        <v>119</v>
      </c>
      <c r="J1013" s="4" t="s">
        <v>120</v>
      </c>
      <c r="K1013" s="4"/>
      <c r="L1013" s="3">
        <v>13.7</v>
      </c>
      <c r="M1013" s="3">
        <v>4.93</v>
      </c>
      <c r="N1013" s="3">
        <v>797.93</v>
      </c>
      <c r="O1013" s="4" t="s">
        <v>34</v>
      </c>
      <c r="P1013" s="4" t="s">
        <v>34</v>
      </c>
      <c r="Q1013" s="4" t="s">
        <v>35</v>
      </c>
      <c r="R1013" s="3">
        <v>25201</v>
      </c>
      <c r="S1013" s="2"/>
      <c r="T1013" s="4" t="s">
        <v>43</v>
      </c>
      <c r="U1013" s="2" t="s">
        <v>37</v>
      </c>
      <c r="V1013" s="2" t="s">
        <v>37</v>
      </c>
      <c r="W1013" s="2" t="s">
        <v>37</v>
      </c>
      <c r="X1013" s="2" t="s">
        <v>37</v>
      </c>
      <c r="Y1013" s="2" t="s">
        <v>37</v>
      </c>
      <c r="Z1013" s="2" t="s">
        <v>37</v>
      </c>
      <c r="AA1013" s="6">
        <v>2.9243878460000001</v>
      </c>
      <c r="AB1013" s="6">
        <v>4.4014177739999996</v>
      </c>
      <c r="AC1013" s="6">
        <v>2.901964794</v>
      </c>
      <c r="AD1013" cm="1">
        <f t="array" ref="AD1013">IF(SUMPRODUCT(--($AM$2:$AM$112=TRIM(LEFT($B1013,IFERROR(FIND(" ",$B1013)-1,LEN($B1013))))))&gt;0,1,0)</f>
        <v>0</v>
      </c>
      <c r="AE1013" cm="1">
        <f t="array" ref="AE1013">IF(SUMPRODUCT(--($AO$2:$AO$145=TRIM(LEFT($B1013,IFERROR(FIND(" ",$B1013)-1,LEN($B1013))))))&gt;0,1,0)</f>
        <v>0</v>
      </c>
      <c r="AF1013" cm="1">
        <f t="array" ref="AF1013">IF(SUMPRODUCT(--($AQ$2:$AQ$71=TRIM(LEFT($B1013,IFERROR(FIND(" ",$B1013)-1,LEN($B1013))))))&gt;0,1,0)</f>
        <v>0</v>
      </c>
    </row>
    <row r="1014" spans="1:32" ht="45.75" thickBot="1" x14ac:dyDescent="0.3">
      <c r="A1014" s="13">
        <v>82</v>
      </c>
      <c r="B1014" s="4" t="s">
        <v>1928</v>
      </c>
      <c r="C1014" s="4" t="s">
        <v>1433</v>
      </c>
      <c r="D1014" s="7">
        <v>43187</v>
      </c>
      <c r="E1014" s="3">
        <v>9204.4500000000007</v>
      </c>
      <c r="F1014" s="4" t="s">
        <v>46</v>
      </c>
      <c r="G1014" s="3">
        <v>17.46</v>
      </c>
      <c r="H1014" s="4" t="s">
        <v>118</v>
      </c>
      <c r="I1014" s="4" t="s">
        <v>119</v>
      </c>
      <c r="J1014" s="4" t="s">
        <v>120</v>
      </c>
      <c r="K1014" s="3">
        <v>350</v>
      </c>
      <c r="L1014" s="3">
        <v>250</v>
      </c>
      <c r="M1014" s="3">
        <v>22.41</v>
      </c>
      <c r="N1014" s="3">
        <v>7733.42</v>
      </c>
      <c r="O1014" s="4" t="s">
        <v>34</v>
      </c>
      <c r="P1014" s="4" t="s">
        <v>34</v>
      </c>
      <c r="Q1014" s="4" t="s">
        <v>35</v>
      </c>
      <c r="R1014" s="3">
        <v>818.36900000000003</v>
      </c>
      <c r="S1014" s="3">
        <v>35.239600000000003</v>
      </c>
      <c r="T1014" s="4" t="s">
        <v>43</v>
      </c>
      <c r="U1014" s="2" t="s">
        <v>37</v>
      </c>
      <c r="V1014" s="2" t="s">
        <v>37</v>
      </c>
      <c r="W1014" s="2" t="s">
        <v>37</v>
      </c>
      <c r="X1014" s="2" t="s">
        <v>37</v>
      </c>
      <c r="Y1014" s="2" t="s">
        <v>37</v>
      </c>
      <c r="Z1014" s="2" t="s">
        <v>37</v>
      </c>
      <c r="AA1014" s="6">
        <v>3.963997843</v>
      </c>
      <c r="AB1014" s="6">
        <v>2.9129491700000001</v>
      </c>
      <c r="AC1014" s="6">
        <v>3.8883715969999999</v>
      </c>
      <c r="AD1014" cm="1">
        <f t="array" ref="AD1014">IF(SUMPRODUCT(--($AM$2:$AM$112=TRIM(LEFT($B1014,IFERROR(FIND(" ",$B1014)-1,LEN($B1014))))))&gt;0,1,0)</f>
        <v>0</v>
      </c>
      <c r="AE1014" cm="1">
        <f t="array" ref="AE1014">IF(SUMPRODUCT(--($AO$2:$AO$145=TRIM(LEFT($B1014,IFERROR(FIND(" ",$B1014)-1,LEN($B1014))))))&gt;0,1,0)</f>
        <v>0</v>
      </c>
      <c r="AF1014" cm="1">
        <f t="array" ref="AF1014">IF(SUMPRODUCT(--($AQ$2:$AQ$71=TRIM(LEFT($B1014,IFERROR(FIND(" ",$B1014)-1,LEN($B1014))))))&gt;0,1,0)</f>
        <v>0</v>
      </c>
    </row>
    <row r="1015" spans="1:32" ht="135.75" thickBot="1" x14ac:dyDescent="0.3">
      <c r="A1015" s="13">
        <v>59</v>
      </c>
      <c r="B1015" s="4" t="s">
        <v>1929</v>
      </c>
      <c r="C1015" s="4" t="s">
        <v>1314</v>
      </c>
      <c r="D1015" s="7">
        <v>43220</v>
      </c>
      <c r="E1015" s="3">
        <v>2855.34</v>
      </c>
      <c r="F1015" s="4" t="s">
        <v>30</v>
      </c>
      <c r="G1015" s="3">
        <v>24.34</v>
      </c>
      <c r="H1015" s="4" t="s">
        <v>65</v>
      </c>
      <c r="I1015" s="4" t="s">
        <v>138</v>
      </c>
      <c r="J1015" s="4" t="s">
        <v>176</v>
      </c>
      <c r="K1015" s="3">
        <v>181</v>
      </c>
      <c r="L1015" s="3">
        <v>89</v>
      </c>
      <c r="M1015" s="4"/>
      <c r="N1015" s="3">
        <v>2855.34</v>
      </c>
      <c r="O1015" s="4" t="s">
        <v>34</v>
      </c>
      <c r="P1015" s="4" t="s">
        <v>34</v>
      </c>
      <c r="Q1015" s="4" t="s">
        <v>35</v>
      </c>
      <c r="R1015" s="3">
        <v>480.50599999999997</v>
      </c>
      <c r="S1015" s="3">
        <v>19.485399999999998</v>
      </c>
      <c r="T1015" s="4" t="s">
        <v>312</v>
      </c>
      <c r="U1015" s="2" t="s">
        <v>37</v>
      </c>
      <c r="V1015" s="2" t="s">
        <v>37</v>
      </c>
      <c r="W1015" s="2" t="s">
        <v>37</v>
      </c>
      <c r="X1015" s="2" t="s">
        <v>38</v>
      </c>
      <c r="Y1015" s="2" t="s">
        <v>38</v>
      </c>
      <c r="Z1015" s="2" t="s">
        <v>37</v>
      </c>
      <c r="AA1015" s="6">
        <v>3.4556578290000002</v>
      </c>
      <c r="AB1015" s="6">
        <v>2.6816988149999998</v>
      </c>
      <c r="AC1015" s="6">
        <v>3.4556578290000002</v>
      </c>
      <c r="AD1015" cm="1">
        <f t="array" ref="AD1015">IF(SUMPRODUCT(--($AM$2:$AM$112=TRIM(LEFT($B1015,IFERROR(FIND(" ",$B1015)-1,LEN($B1015))))))&gt;0,1,0)</f>
        <v>0</v>
      </c>
      <c r="AE1015" cm="1">
        <f t="array" ref="AE1015">IF(SUMPRODUCT(--($AO$2:$AO$145=TRIM(LEFT($B1015,IFERROR(FIND(" ",$B1015)-1,LEN($B1015))))))&gt;0,1,0)</f>
        <v>0</v>
      </c>
      <c r="AF1015" cm="1">
        <f t="array" ref="AF1015">IF(SUMPRODUCT(--($AQ$2:$AQ$71=TRIM(LEFT($B1015,IFERROR(FIND(" ",$B1015)-1,LEN($B1015))))))&gt;0,1,0)</f>
        <v>0</v>
      </c>
    </row>
    <row r="1016" spans="1:32" ht="45.75" thickBot="1" x14ac:dyDescent="0.3">
      <c r="A1016" s="13">
        <v>128</v>
      </c>
      <c r="B1016" s="4" t="s">
        <v>1930</v>
      </c>
      <c r="C1016" s="4" t="s">
        <v>1931</v>
      </c>
      <c r="D1016" s="7">
        <v>43122</v>
      </c>
      <c r="E1016" s="3">
        <v>5403.4</v>
      </c>
      <c r="F1016" s="4" t="s">
        <v>30</v>
      </c>
      <c r="G1016" s="4"/>
      <c r="H1016" s="4" t="s">
        <v>65</v>
      </c>
      <c r="I1016" s="4" t="s">
        <v>206</v>
      </c>
      <c r="J1016" s="4" t="s">
        <v>206</v>
      </c>
      <c r="K1016" s="4"/>
      <c r="L1016" s="3">
        <v>162</v>
      </c>
      <c r="M1016" s="4"/>
      <c r="N1016" s="3">
        <v>5403.4</v>
      </c>
      <c r="O1016" s="4" t="s">
        <v>34</v>
      </c>
      <c r="P1016" s="4" t="s">
        <v>34</v>
      </c>
      <c r="Q1016" s="4" t="s">
        <v>35</v>
      </c>
      <c r="R1016" s="3">
        <v>2903</v>
      </c>
      <c r="S1016" s="3">
        <v>-20.362300000000001</v>
      </c>
      <c r="T1016" s="4" t="s">
        <v>43</v>
      </c>
      <c r="U1016" s="2" t="s">
        <v>37</v>
      </c>
      <c r="V1016" s="2" t="s">
        <v>37</v>
      </c>
      <c r="W1016" s="2" t="s">
        <v>37</v>
      </c>
      <c r="X1016" s="2" t="s">
        <v>37</v>
      </c>
      <c r="Y1016" s="2" t="s">
        <v>37</v>
      </c>
      <c r="Z1016" s="2" t="s">
        <v>37</v>
      </c>
      <c r="AA1016" s="6">
        <v>3.7326671180000002</v>
      </c>
      <c r="AB1016" s="6">
        <v>3.4628470359999999</v>
      </c>
      <c r="AC1016" s="6">
        <v>3.7326671180000002</v>
      </c>
      <c r="AD1016" cm="1">
        <f t="array" ref="AD1016">IF(SUMPRODUCT(--($AM$2:$AM$112=TRIM(LEFT($B1016,IFERROR(FIND(" ",$B1016)-1,LEN($B1016))))))&gt;0,1,0)</f>
        <v>0</v>
      </c>
      <c r="AE1016" cm="1">
        <f t="array" ref="AE1016">IF(SUMPRODUCT(--($AO$2:$AO$145=TRIM(LEFT($B1016,IFERROR(FIND(" ",$B1016)-1,LEN($B1016))))))&gt;0,1,0)</f>
        <v>0</v>
      </c>
      <c r="AF1016" cm="1">
        <f t="array" ref="AF1016">IF(SUMPRODUCT(--($AQ$2:$AQ$71=TRIM(LEFT($B1016,IFERROR(FIND(" ",$B1016)-1,LEN($B1016))))))&gt;0,1,0)</f>
        <v>0</v>
      </c>
    </row>
    <row r="1017" spans="1:32" ht="150.75" thickBot="1" x14ac:dyDescent="0.3">
      <c r="A1017" s="13">
        <v>31</v>
      </c>
      <c r="B1017" s="2"/>
      <c r="C1017" s="4" t="s">
        <v>1932</v>
      </c>
      <c r="D1017" s="7">
        <v>43257</v>
      </c>
      <c r="E1017" s="3">
        <v>3125</v>
      </c>
      <c r="F1017" s="4" t="s">
        <v>30</v>
      </c>
      <c r="G1017" s="4"/>
      <c r="H1017" s="4" t="s">
        <v>1933</v>
      </c>
      <c r="I1017" s="4" t="s">
        <v>1934</v>
      </c>
      <c r="J1017" s="4" t="s">
        <v>1935</v>
      </c>
      <c r="K1017" s="4"/>
      <c r="L1017" s="4"/>
      <c r="M1017" s="4"/>
      <c r="N1017" s="3">
        <v>3125</v>
      </c>
      <c r="O1017" s="4" t="s">
        <v>34</v>
      </c>
      <c r="P1017" s="4" t="s">
        <v>34</v>
      </c>
      <c r="Q1017" s="4" t="s">
        <v>35</v>
      </c>
      <c r="R1017" s="2"/>
      <c r="S1017" s="2"/>
      <c r="T1017" s="4" t="s">
        <v>1936</v>
      </c>
      <c r="U1017" s="2" t="s">
        <v>37</v>
      </c>
      <c r="V1017" s="2" t="s">
        <v>37</v>
      </c>
      <c r="W1017" s="2" t="s">
        <v>37</v>
      </c>
      <c r="X1017" s="2" t="s">
        <v>37</v>
      </c>
      <c r="Y1017" s="2" t="s">
        <v>38</v>
      </c>
      <c r="Z1017" s="2" t="s">
        <v>37</v>
      </c>
      <c r="AA1017" s="6">
        <v>3.4948500220000001</v>
      </c>
      <c r="AB1017" s="2"/>
      <c r="AC1017" s="6">
        <v>3.4948500220000001</v>
      </c>
      <c r="AD1017" cm="1">
        <f t="array" ref="AD1017">IF(SUMPRODUCT(--($AM$2:$AM$112=TRIM(LEFT($B1017,IFERROR(FIND(" ",$B1017)-1,LEN($B1017))))))&gt;0,1,0)</f>
        <v>0</v>
      </c>
      <c r="AE1017" cm="1">
        <f t="array" ref="AE1017">IF(SUMPRODUCT(--($AO$2:$AO$145=TRIM(LEFT($B1017,IFERROR(FIND(" ",$B1017)-1,LEN($B1017))))))&gt;0,1,0)</f>
        <v>0</v>
      </c>
      <c r="AF1017" cm="1">
        <f t="array" ref="AF1017">IF(SUMPRODUCT(--($AQ$2:$AQ$71=TRIM(LEFT($B1017,IFERROR(FIND(" ",$B1017)-1,LEN($B1017))))))&gt;0,1,0)</f>
        <v>0</v>
      </c>
    </row>
    <row r="1018" spans="1:32" ht="120.75" thickBot="1" x14ac:dyDescent="0.3">
      <c r="A1018" s="13">
        <v>14</v>
      </c>
      <c r="B1018" s="4" t="s">
        <v>1937</v>
      </c>
      <c r="C1018" s="4" t="s">
        <v>1938</v>
      </c>
      <c r="D1018" s="7">
        <v>43280</v>
      </c>
      <c r="E1018" s="3">
        <v>1504.16</v>
      </c>
      <c r="F1018" s="4" t="s">
        <v>30</v>
      </c>
      <c r="G1018" s="3">
        <v>3.93</v>
      </c>
      <c r="H1018" s="4" t="s">
        <v>118</v>
      </c>
      <c r="I1018" s="4" t="s">
        <v>119</v>
      </c>
      <c r="J1018" s="4" t="s">
        <v>120</v>
      </c>
      <c r="K1018" s="4"/>
      <c r="L1018" s="4"/>
      <c r="M1018" s="3">
        <v>14.43</v>
      </c>
      <c r="N1018" s="3">
        <v>1504.16</v>
      </c>
      <c r="O1018" s="4" t="s">
        <v>34</v>
      </c>
      <c r="P1018" s="4" t="s">
        <v>34</v>
      </c>
      <c r="Q1018" s="4" t="s">
        <v>35</v>
      </c>
      <c r="R1018" s="3">
        <v>2305.8000000000002</v>
      </c>
      <c r="S1018" s="3">
        <v>32.190600000000003</v>
      </c>
      <c r="T1018" s="4" t="s">
        <v>321</v>
      </c>
      <c r="U1018" s="2" t="s">
        <v>38</v>
      </c>
      <c r="V1018" s="2" t="s">
        <v>37</v>
      </c>
      <c r="W1018" s="2" t="s">
        <v>37</v>
      </c>
      <c r="X1018" s="2" t="s">
        <v>37</v>
      </c>
      <c r="Y1018" s="2" t="s">
        <v>37</v>
      </c>
      <c r="Z1018" s="2" t="s">
        <v>37</v>
      </c>
      <c r="AA1018" s="6">
        <v>3.1772940350000001</v>
      </c>
      <c r="AB1018" s="6">
        <v>3.362821635</v>
      </c>
      <c r="AC1018" s="6">
        <v>3.1772940350000001</v>
      </c>
      <c r="AD1018" cm="1">
        <f t="array" ref="AD1018">IF(SUMPRODUCT(--($AM$2:$AM$112=TRIM(LEFT($B1018,IFERROR(FIND(" ",$B1018)-1,LEN($B1018))))))&gt;0,1,0)</f>
        <v>0</v>
      </c>
      <c r="AE1018" cm="1">
        <f t="array" ref="AE1018">IF(SUMPRODUCT(--($AO$2:$AO$145=TRIM(LEFT($B1018,IFERROR(FIND(" ",$B1018)-1,LEN($B1018))))))&gt;0,1,0)</f>
        <v>0</v>
      </c>
      <c r="AF1018" cm="1">
        <f t="array" ref="AF1018">IF(SUMPRODUCT(--($AQ$2:$AQ$71=TRIM(LEFT($B1018,IFERROR(FIND(" ",$B1018)-1,LEN($B1018))))))&gt;0,1,0)</f>
        <v>0</v>
      </c>
    </row>
    <row r="1019" spans="1:32" ht="45.75" thickBot="1" x14ac:dyDescent="0.3">
      <c r="A1019" s="13">
        <v>113</v>
      </c>
      <c r="B1019" s="4" t="s">
        <v>1939</v>
      </c>
      <c r="C1019" s="4" t="s">
        <v>379</v>
      </c>
      <c r="D1019" s="7">
        <v>43143</v>
      </c>
      <c r="E1019" s="3">
        <v>641.20000000000005</v>
      </c>
      <c r="F1019" s="4" t="s">
        <v>46</v>
      </c>
      <c r="G1019" s="4"/>
      <c r="H1019" s="4" t="s">
        <v>65</v>
      </c>
      <c r="I1019" s="4" t="s">
        <v>138</v>
      </c>
      <c r="J1019" s="4" t="s">
        <v>176</v>
      </c>
      <c r="K1019" s="4"/>
      <c r="L1019" s="4"/>
      <c r="M1019" s="4"/>
      <c r="N1019" s="3">
        <v>641.20000000000005</v>
      </c>
      <c r="O1019" s="4" t="s">
        <v>34</v>
      </c>
      <c r="P1019" s="4" t="s">
        <v>34</v>
      </c>
      <c r="Q1019" s="4" t="s">
        <v>35</v>
      </c>
      <c r="R1019" s="2"/>
      <c r="S1019" s="2"/>
      <c r="T1019" s="4" t="s">
        <v>43</v>
      </c>
      <c r="U1019" s="2" t="s">
        <v>37</v>
      </c>
      <c r="V1019" s="2" t="s">
        <v>37</v>
      </c>
      <c r="W1019" s="2" t="s">
        <v>37</v>
      </c>
      <c r="X1019" s="2" t="s">
        <v>37</v>
      </c>
      <c r="Y1019" s="2" t="s">
        <v>37</v>
      </c>
      <c r="Z1019" s="2" t="s">
        <v>37</v>
      </c>
      <c r="AA1019" s="6">
        <v>2.8069935140000002</v>
      </c>
      <c r="AB1019" s="2"/>
      <c r="AC1019" s="6">
        <v>2.8069935140000002</v>
      </c>
      <c r="AD1019" cm="1">
        <f t="array" ref="AD1019">IF(SUMPRODUCT(--($AM$2:$AM$112=TRIM(LEFT($B1019,IFERROR(FIND(" ",$B1019)-1,LEN($B1019))))))&gt;0,1,0)</f>
        <v>0</v>
      </c>
      <c r="AE1019" cm="1">
        <f t="array" ref="AE1019">IF(SUMPRODUCT(--($AO$2:$AO$145=TRIM(LEFT($B1019,IFERROR(FIND(" ",$B1019)-1,LEN($B1019))))))&gt;0,1,0)</f>
        <v>0</v>
      </c>
      <c r="AF1019" cm="1">
        <f t="array" ref="AF1019">IF(SUMPRODUCT(--($AQ$2:$AQ$71=TRIM(LEFT($B1019,IFERROR(FIND(" ",$B1019)-1,LEN($B1019))))))&gt;0,1,0)</f>
        <v>0</v>
      </c>
    </row>
    <row r="1020" spans="1:32" ht="60.75" thickBot="1" x14ac:dyDescent="0.3">
      <c r="A1020" s="13">
        <v>101</v>
      </c>
      <c r="B1020" s="4" t="s">
        <v>1940</v>
      </c>
      <c r="C1020" s="4" t="s">
        <v>1941</v>
      </c>
      <c r="D1020" s="7">
        <v>43157</v>
      </c>
      <c r="E1020" s="3">
        <v>4811.24</v>
      </c>
      <c r="F1020" s="4" t="s">
        <v>46</v>
      </c>
      <c r="G1020" s="3">
        <v>8.42</v>
      </c>
      <c r="H1020" s="4" t="s">
        <v>75</v>
      </c>
      <c r="I1020" s="4" t="s">
        <v>83</v>
      </c>
      <c r="J1020" s="4" t="s">
        <v>84</v>
      </c>
      <c r="K1020" s="4"/>
      <c r="L1020" s="4"/>
      <c r="M1020" s="3">
        <v>-84.66</v>
      </c>
      <c r="N1020" s="3">
        <v>969.84</v>
      </c>
      <c r="O1020" s="4" t="s">
        <v>34</v>
      </c>
      <c r="P1020" s="4" t="s">
        <v>34</v>
      </c>
      <c r="Q1020" s="4" t="s">
        <v>35</v>
      </c>
      <c r="R1020" s="3">
        <v>5007.3999999999996</v>
      </c>
      <c r="S1020" s="3">
        <v>8.5037900000000004</v>
      </c>
      <c r="T1020" s="4" t="s">
        <v>43</v>
      </c>
      <c r="U1020" s="2" t="s">
        <v>37</v>
      </c>
      <c r="V1020" s="2" t="s">
        <v>37</v>
      </c>
      <c r="W1020" s="2" t="s">
        <v>37</v>
      </c>
      <c r="X1020" s="2" t="s">
        <v>37</v>
      </c>
      <c r="Y1020" s="2" t="s">
        <v>37</v>
      </c>
      <c r="Z1020" s="2" t="s">
        <v>37</v>
      </c>
      <c r="AA1020" s="6">
        <v>3.6822570209999999</v>
      </c>
      <c r="AB1020" s="6">
        <v>3.6996122850000002</v>
      </c>
      <c r="AC1020" s="6">
        <v>2.986700092</v>
      </c>
      <c r="AD1020" cm="1">
        <f t="array" ref="AD1020">IF(SUMPRODUCT(--($AM$2:$AM$112=TRIM(LEFT($B1020,IFERROR(FIND(" ",$B1020)-1,LEN($B1020))))))&gt;0,1,0)</f>
        <v>0</v>
      </c>
      <c r="AE1020" cm="1">
        <f t="array" ref="AE1020">IF(SUMPRODUCT(--($AO$2:$AO$145=TRIM(LEFT($B1020,IFERROR(FIND(" ",$B1020)-1,LEN($B1020))))))&gt;0,1,0)</f>
        <v>0</v>
      </c>
      <c r="AF1020" cm="1">
        <f t="array" ref="AF1020">IF(SUMPRODUCT(--($AQ$2:$AQ$71=TRIM(LEFT($B1020,IFERROR(FIND(" ",$B1020)-1,LEN($B1020))))))&gt;0,1,0)</f>
        <v>0</v>
      </c>
    </row>
    <row r="1021" spans="1:32" ht="75.75" thickBot="1" x14ac:dyDescent="0.3">
      <c r="A1021" s="13">
        <v>379</v>
      </c>
      <c r="B1021" s="4" t="s">
        <v>1942</v>
      </c>
      <c r="C1021" s="4" t="s">
        <v>1943</v>
      </c>
      <c r="D1021" s="7">
        <v>42760</v>
      </c>
      <c r="E1021" s="3">
        <v>6289.42</v>
      </c>
      <c r="F1021" s="4" t="s">
        <v>30</v>
      </c>
      <c r="G1021" s="3">
        <v>14.84</v>
      </c>
      <c r="H1021" s="4" t="s">
        <v>279</v>
      </c>
      <c r="I1021" s="4" t="s">
        <v>279</v>
      </c>
      <c r="J1021" s="4" t="s">
        <v>1944</v>
      </c>
      <c r="K1021" s="3">
        <v>205</v>
      </c>
      <c r="L1021" s="3">
        <v>136</v>
      </c>
      <c r="M1021" s="3">
        <v>14.1</v>
      </c>
      <c r="N1021" s="3">
        <v>4519.3100000000004</v>
      </c>
      <c r="O1021" s="4" t="s">
        <v>34</v>
      </c>
      <c r="P1021" s="4" t="s">
        <v>49</v>
      </c>
      <c r="Q1021" s="4" t="s">
        <v>35</v>
      </c>
      <c r="R1021" s="3">
        <v>2341.7600000000002</v>
      </c>
      <c r="S1021" s="3">
        <v>2.16337</v>
      </c>
      <c r="T1021" s="4" t="s">
        <v>97</v>
      </c>
      <c r="U1021" s="2" t="s">
        <v>37</v>
      </c>
      <c r="V1021" s="2" t="s">
        <v>37</v>
      </c>
      <c r="W1021" s="2" t="s">
        <v>38</v>
      </c>
      <c r="X1021" s="2" t="s">
        <v>37</v>
      </c>
      <c r="Y1021" s="2" t="s">
        <v>37</v>
      </c>
      <c r="Z1021" s="2" t="s">
        <v>37</v>
      </c>
      <c r="AA1021" s="6">
        <v>3.7986105970000001</v>
      </c>
      <c r="AB1021" s="6">
        <v>3.3695423830000002</v>
      </c>
      <c r="AC1021" s="6">
        <v>3.655072133</v>
      </c>
      <c r="AD1021" cm="1">
        <f t="array" ref="AD1021">IF(SUMPRODUCT(--($AM$2:$AM$112=TRIM(LEFT($B1021,IFERROR(FIND(" ",$B1021)-1,LEN($B1021))))))&gt;0,1,0)</f>
        <v>0</v>
      </c>
      <c r="AE1021" cm="1">
        <f t="array" ref="AE1021">IF(SUMPRODUCT(--($AO$2:$AO$145=TRIM(LEFT($B1021,IFERROR(FIND(" ",$B1021)-1,LEN($B1021))))))&gt;0,1,0)</f>
        <v>0</v>
      </c>
      <c r="AF1021" cm="1">
        <f t="array" ref="AF1021">IF(SUMPRODUCT(--($AQ$2:$AQ$71=TRIM(LEFT($B1021,IFERROR(FIND(" ",$B1021)-1,LEN($B1021))))))&gt;0,1,0)</f>
        <v>0</v>
      </c>
    </row>
    <row r="1022" spans="1:32" ht="75.75" thickBot="1" x14ac:dyDescent="0.3">
      <c r="A1022" s="13">
        <v>166</v>
      </c>
      <c r="B1022" s="4" t="s">
        <v>1945</v>
      </c>
      <c r="C1022" s="4" t="s">
        <v>1946</v>
      </c>
      <c r="D1022" s="7">
        <v>43059</v>
      </c>
      <c r="E1022" s="3">
        <v>3252.65</v>
      </c>
      <c r="F1022" s="4" t="s">
        <v>107</v>
      </c>
      <c r="G1022" s="3">
        <v>48.33</v>
      </c>
      <c r="H1022" s="4" t="s">
        <v>31</v>
      </c>
      <c r="I1022" s="4" t="s">
        <v>432</v>
      </c>
      <c r="J1022" s="4" t="s">
        <v>1072</v>
      </c>
      <c r="K1022" s="3">
        <v>180</v>
      </c>
      <c r="L1022" s="3">
        <v>180</v>
      </c>
      <c r="M1022" s="4"/>
      <c r="N1022" s="3">
        <v>2765.44</v>
      </c>
      <c r="O1022" s="4" t="s">
        <v>34</v>
      </c>
      <c r="P1022" s="4" t="s">
        <v>207</v>
      </c>
      <c r="Q1022" s="4" t="s">
        <v>35</v>
      </c>
      <c r="R1022" s="3">
        <v>984.01800000000003</v>
      </c>
      <c r="S1022" s="3">
        <v>-5.5079099999999999</v>
      </c>
      <c r="T1022" s="4" t="s">
        <v>97</v>
      </c>
      <c r="U1022" s="2" t="s">
        <v>37</v>
      </c>
      <c r="V1022" s="2" t="s">
        <v>37</v>
      </c>
      <c r="W1022" s="2" t="s">
        <v>38</v>
      </c>
      <c r="X1022" s="2" t="s">
        <v>37</v>
      </c>
      <c r="Y1022" s="2" t="s">
        <v>37</v>
      </c>
      <c r="Z1022" s="2" t="s">
        <v>37</v>
      </c>
      <c r="AA1022" s="6">
        <v>3.5122373339999999</v>
      </c>
      <c r="AB1022" s="6">
        <v>2.9930030429999999</v>
      </c>
      <c r="AC1022" s="6">
        <v>3.4417642399999999</v>
      </c>
      <c r="AD1022" cm="1">
        <f t="array" ref="AD1022">IF(SUMPRODUCT(--($AM$2:$AM$112=TRIM(LEFT($B1022,IFERROR(FIND(" ",$B1022)-1,LEN($B1022))))))&gt;0,1,0)</f>
        <v>1</v>
      </c>
      <c r="AE1022" cm="1">
        <f t="array" ref="AE1022">IF(SUMPRODUCT(--($AO$2:$AO$145=TRIM(LEFT($B1022,IFERROR(FIND(" ",$B1022)-1,LEN($B1022))))))&gt;0,1,0)</f>
        <v>0</v>
      </c>
      <c r="AF1022" cm="1">
        <f t="array" ref="AF1022">IF(SUMPRODUCT(--($AQ$2:$AQ$71=TRIM(LEFT($B1022,IFERROR(FIND(" ",$B1022)-1,LEN($B1022))))))&gt;0,1,0)</f>
        <v>0</v>
      </c>
    </row>
    <row r="1023" spans="1:32" ht="45.75" thickBot="1" x14ac:dyDescent="0.3">
      <c r="A1023" s="13">
        <v>101</v>
      </c>
      <c r="B1023" s="4" t="s">
        <v>1947</v>
      </c>
      <c r="C1023" s="4" t="s">
        <v>1948</v>
      </c>
      <c r="D1023" s="7">
        <v>43144</v>
      </c>
      <c r="E1023" s="3">
        <v>1417.19</v>
      </c>
      <c r="F1023" s="4" t="s">
        <v>107</v>
      </c>
      <c r="G1023" s="4"/>
      <c r="H1023" s="4" t="s">
        <v>65</v>
      </c>
      <c r="I1023" s="4" t="s">
        <v>206</v>
      </c>
      <c r="J1023" s="4" t="s">
        <v>206</v>
      </c>
      <c r="K1023" s="3">
        <v>49.598799999999997</v>
      </c>
      <c r="L1023" s="3">
        <v>49.598799999999997</v>
      </c>
      <c r="M1023" s="3">
        <v>27.4</v>
      </c>
      <c r="N1023" s="3">
        <v>1417.19</v>
      </c>
      <c r="O1023" s="4" t="s">
        <v>34</v>
      </c>
      <c r="P1023" s="4" t="s">
        <v>34</v>
      </c>
      <c r="Q1023" s="4" t="s">
        <v>35</v>
      </c>
      <c r="R1023" s="3">
        <v>1517.99</v>
      </c>
      <c r="S1023" s="3">
        <v>6.8412899999999999</v>
      </c>
      <c r="T1023" s="4" t="s">
        <v>43</v>
      </c>
      <c r="U1023" s="2" t="s">
        <v>37</v>
      </c>
      <c r="V1023" s="2" t="s">
        <v>37</v>
      </c>
      <c r="W1023" s="2" t="s">
        <v>37</v>
      </c>
      <c r="X1023" s="2" t="s">
        <v>37</v>
      </c>
      <c r="Y1023" s="2" t="s">
        <v>37</v>
      </c>
      <c r="Z1023" s="2" t="s">
        <v>37</v>
      </c>
      <c r="AA1023" s="6">
        <v>3.151428079</v>
      </c>
      <c r="AB1023" s="6">
        <v>3.1812689110000001</v>
      </c>
      <c r="AC1023" s="6">
        <v>3.151428079</v>
      </c>
      <c r="AD1023" cm="1">
        <f t="array" ref="AD1023">IF(SUMPRODUCT(--($AM$2:$AM$112=TRIM(LEFT($B1023,IFERROR(FIND(" ",$B1023)-1,LEN($B1023))))))&gt;0,1,0)</f>
        <v>0</v>
      </c>
      <c r="AE1023" cm="1">
        <f t="array" ref="AE1023">IF(SUMPRODUCT(--($AO$2:$AO$145=TRIM(LEFT($B1023,IFERROR(FIND(" ",$B1023)-1,LEN($B1023))))))&gt;0,1,0)</f>
        <v>0</v>
      </c>
      <c r="AF1023" cm="1">
        <f t="array" ref="AF1023">IF(SUMPRODUCT(--($AQ$2:$AQ$71=TRIM(LEFT($B1023,IFERROR(FIND(" ",$B1023)-1,LEN($B1023))))))&gt;0,1,0)</f>
        <v>0</v>
      </c>
    </row>
    <row r="1024" spans="1:32" ht="45.75" thickBot="1" x14ac:dyDescent="0.3">
      <c r="A1024" s="13">
        <v>257</v>
      </c>
      <c r="B1024" s="4" t="s">
        <v>1949</v>
      </c>
      <c r="C1024" s="4" t="s">
        <v>1288</v>
      </c>
      <c r="D1024" s="7">
        <v>42926</v>
      </c>
      <c r="E1024" s="3">
        <v>636.86</v>
      </c>
      <c r="F1024" s="4" t="s">
        <v>69</v>
      </c>
      <c r="G1024" s="3">
        <v>6.3</v>
      </c>
      <c r="H1024" s="4" t="s">
        <v>184</v>
      </c>
      <c r="I1024" s="4" t="s">
        <v>251</v>
      </c>
      <c r="J1024" s="4" t="s">
        <v>251</v>
      </c>
      <c r="K1024" s="4"/>
      <c r="L1024" s="3">
        <v>11.94</v>
      </c>
      <c r="M1024" s="3">
        <v>23.22</v>
      </c>
      <c r="N1024" s="3">
        <v>356.87</v>
      </c>
      <c r="O1024" s="4" t="s">
        <v>34</v>
      </c>
      <c r="P1024" s="4" t="s">
        <v>34</v>
      </c>
      <c r="Q1024" s="4" t="s">
        <v>35</v>
      </c>
      <c r="R1024" s="2"/>
      <c r="S1024" s="2"/>
      <c r="T1024" s="4" t="s">
        <v>43</v>
      </c>
      <c r="U1024" s="2" t="s">
        <v>37</v>
      </c>
      <c r="V1024" s="2" t="s">
        <v>37</v>
      </c>
      <c r="W1024" s="2" t="s">
        <v>37</v>
      </c>
      <c r="X1024" s="2" t="s">
        <v>37</v>
      </c>
      <c r="Y1024" s="2" t="s">
        <v>37</v>
      </c>
      <c r="Z1024" s="2" t="s">
        <v>37</v>
      </c>
      <c r="AA1024" s="6">
        <v>2.8040439730000002</v>
      </c>
      <c r="AB1024" s="2"/>
      <c r="AC1024" s="6">
        <v>2.5525100410000001</v>
      </c>
      <c r="AD1024" cm="1">
        <f t="array" ref="AD1024">IF(SUMPRODUCT(--($AM$2:$AM$112=TRIM(LEFT($B1024,IFERROR(FIND(" ",$B1024)-1,LEN($B1024))))))&gt;0,1,0)</f>
        <v>0</v>
      </c>
      <c r="AE1024" cm="1">
        <f t="array" ref="AE1024">IF(SUMPRODUCT(--($AO$2:$AO$145=TRIM(LEFT($B1024,IFERROR(FIND(" ",$B1024)-1,LEN($B1024))))))&gt;0,1,0)</f>
        <v>0</v>
      </c>
      <c r="AF1024" cm="1">
        <f t="array" ref="AF1024">IF(SUMPRODUCT(--($AQ$2:$AQ$71=TRIM(LEFT($B1024,IFERROR(FIND(" ",$B1024)-1,LEN($B1024))))))&gt;0,1,0)</f>
        <v>0</v>
      </c>
    </row>
    <row r="1025" spans="1:32" ht="120.75" thickBot="1" x14ac:dyDescent="0.3">
      <c r="A1025" s="13">
        <v>71</v>
      </c>
      <c r="B1025" s="4" t="s">
        <v>1950</v>
      </c>
      <c r="C1025" s="4" t="s">
        <v>1543</v>
      </c>
      <c r="D1025" s="7">
        <v>43185</v>
      </c>
      <c r="E1025" s="3">
        <v>4003.37</v>
      </c>
      <c r="F1025" s="4" t="s">
        <v>46</v>
      </c>
      <c r="G1025" s="3">
        <v>13.45</v>
      </c>
      <c r="H1025" s="4" t="s">
        <v>118</v>
      </c>
      <c r="I1025" s="4" t="s">
        <v>119</v>
      </c>
      <c r="J1025" s="4" t="s">
        <v>120</v>
      </c>
      <c r="K1025" s="4"/>
      <c r="L1025" s="4"/>
      <c r="M1025" s="3">
        <v>1.1499999999999999</v>
      </c>
      <c r="N1025" s="3">
        <v>1858.18</v>
      </c>
      <c r="O1025" s="4" t="s">
        <v>34</v>
      </c>
      <c r="P1025" s="4" t="s">
        <v>34</v>
      </c>
      <c r="Q1025" s="4" t="s">
        <v>35</v>
      </c>
      <c r="R1025" s="3">
        <v>868.548</v>
      </c>
      <c r="S1025" s="3">
        <v>40.614899999999999</v>
      </c>
      <c r="T1025" s="4" t="s">
        <v>321</v>
      </c>
      <c r="U1025" s="2" t="s">
        <v>38</v>
      </c>
      <c r="V1025" s="2" t="s">
        <v>37</v>
      </c>
      <c r="W1025" s="2" t="s">
        <v>37</v>
      </c>
      <c r="X1025" s="2" t="s">
        <v>37</v>
      </c>
      <c r="Y1025" s="2" t="s">
        <v>37</v>
      </c>
      <c r="Z1025" s="2" t="s">
        <v>37</v>
      </c>
      <c r="AA1025" s="6">
        <v>3.6024257300000002</v>
      </c>
      <c r="AB1025" s="6">
        <v>2.9387938249999999</v>
      </c>
      <c r="AC1025" s="6">
        <v>3.2690877810000001</v>
      </c>
      <c r="AD1025" cm="1">
        <f t="array" ref="AD1025">IF(SUMPRODUCT(--($AM$2:$AM$112=TRIM(LEFT($B1025,IFERROR(FIND(" ",$B1025)-1,LEN($B1025))))))&gt;0,1,0)</f>
        <v>0</v>
      </c>
      <c r="AE1025" cm="1">
        <f t="array" ref="AE1025">IF(SUMPRODUCT(--($AO$2:$AO$145=TRIM(LEFT($B1025,IFERROR(FIND(" ",$B1025)-1,LEN($B1025))))))&gt;0,1,0)</f>
        <v>0</v>
      </c>
      <c r="AF1025" cm="1">
        <f t="array" ref="AF1025">IF(SUMPRODUCT(--($AQ$2:$AQ$71=TRIM(LEFT($B1025,IFERROR(FIND(" ",$B1025)-1,LEN($B1025))))))&gt;0,1,0)</f>
        <v>0</v>
      </c>
    </row>
    <row r="1026" spans="1:32" ht="135.75" thickBot="1" x14ac:dyDescent="0.3">
      <c r="A1026" s="13">
        <v>141</v>
      </c>
      <c r="B1026" s="4" t="s">
        <v>1951</v>
      </c>
      <c r="C1026" s="2"/>
      <c r="D1026" s="7">
        <v>43087</v>
      </c>
      <c r="E1026" s="3">
        <v>3875.13</v>
      </c>
      <c r="F1026" s="4" t="s">
        <v>30</v>
      </c>
      <c r="G1026" s="3">
        <v>17.48</v>
      </c>
      <c r="H1026" s="4" t="s">
        <v>41</v>
      </c>
      <c r="I1026" s="4" t="s">
        <v>41</v>
      </c>
      <c r="J1026" s="4" t="s">
        <v>100</v>
      </c>
      <c r="K1026" s="3">
        <v>61.5</v>
      </c>
      <c r="L1026" s="3">
        <v>29</v>
      </c>
      <c r="M1026" s="4"/>
      <c r="N1026" s="3">
        <v>782.39</v>
      </c>
      <c r="O1026" s="4" t="s">
        <v>34</v>
      </c>
      <c r="P1026" s="4" t="s">
        <v>34</v>
      </c>
      <c r="Q1026" s="4" t="s">
        <v>35</v>
      </c>
      <c r="R1026" s="3">
        <v>6034.12</v>
      </c>
      <c r="S1026" s="3">
        <v>-2.6315400000000002</v>
      </c>
      <c r="T1026" s="4" t="s">
        <v>312</v>
      </c>
      <c r="U1026" s="2" t="s">
        <v>37</v>
      </c>
      <c r="V1026" s="2" t="s">
        <v>37</v>
      </c>
      <c r="W1026" s="2" t="s">
        <v>37</v>
      </c>
      <c r="X1026" s="2" t="s">
        <v>38</v>
      </c>
      <c r="Y1026" s="2" t="s">
        <v>38</v>
      </c>
      <c r="Z1026" s="2" t="s">
        <v>37</v>
      </c>
      <c r="AA1026" s="6">
        <v>3.5882862759999998</v>
      </c>
      <c r="AB1026" s="6">
        <v>3.7806139430000001</v>
      </c>
      <c r="AC1026" s="6">
        <v>2.893423291</v>
      </c>
      <c r="AD1026" cm="1">
        <f t="array" ref="AD1026">IF(SUMPRODUCT(--($AM$2:$AM$112=TRIM(LEFT($B1026,IFERROR(FIND(" ",$B1026)-1,LEN($B1026))))))&gt;0,1,0)</f>
        <v>0</v>
      </c>
      <c r="AE1026" cm="1">
        <f t="array" ref="AE1026">IF(SUMPRODUCT(--($AO$2:$AO$145=TRIM(LEFT($B1026,IFERROR(FIND(" ",$B1026)-1,LEN($B1026))))))&gt;0,1,0)</f>
        <v>0</v>
      </c>
      <c r="AF1026" cm="1">
        <f t="array" ref="AF1026">IF(SUMPRODUCT(--($AQ$2:$AQ$71=TRIM(LEFT($B1026,IFERROR(FIND(" ",$B1026)-1,LEN($B1026))))))&gt;0,1,0)</f>
        <v>0</v>
      </c>
    </row>
    <row r="1027" spans="1:32" ht="75.75" thickBot="1" x14ac:dyDescent="0.3">
      <c r="A1027" s="13">
        <v>33</v>
      </c>
      <c r="B1027" s="4" t="s">
        <v>1952</v>
      </c>
      <c r="C1027" s="4" t="s">
        <v>40</v>
      </c>
      <c r="D1027" s="7">
        <v>43230</v>
      </c>
      <c r="E1027" s="3">
        <v>1470.78</v>
      </c>
      <c r="F1027" s="4" t="s">
        <v>30</v>
      </c>
      <c r="G1027" s="4"/>
      <c r="H1027" s="4" t="s">
        <v>41</v>
      </c>
      <c r="I1027" s="4" t="s">
        <v>41</v>
      </c>
      <c r="J1027" s="4" t="s">
        <v>42</v>
      </c>
      <c r="K1027" s="4"/>
      <c r="L1027" s="3">
        <v>63.4</v>
      </c>
      <c r="M1027" s="4"/>
      <c r="N1027" s="3">
        <v>1520.26</v>
      </c>
      <c r="O1027" s="4" t="s">
        <v>34</v>
      </c>
      <c r="P1027" s="4" t="s">
        <v>34</v>
      </c>
      <c r="Q1027" s="4" t="s">
        <v>35</v>
      </c>
      <c r="R1027" s="2"/>
      <c r="S1027" s="2"/>
      <c r="T1027" s="4" t="s">
        <v>88</v>
      </c>
      <c r="U1027" s="2" t="s">
        <v>37</v>
      </c>
      <c r="V1027" s="2" t="s">
        <v>37</v>
      </c>
      <c r="W1027" s="2" t="s">
        <v>37</v>
      </c>
      <c r="X1027" s="2" t="s">
        <v>37</v>
      </c>
      <c r="Y1027" s="2" t="s">
        <v>37</v>
      </c>
      <c r="Z1027" s="2" t="s">
        <v>38</v>
      </c>
      <c r="AA1027" s="6">
        <v>3.1675477160000001</v>
      </c>
      <c r="AB1027" s="2"/>
      <c r="AC1027" s="6">
        <v>3.1819178689999998</v>
      </c>
      <c r="AD1027" cm="1">
        <f t="array" ref="AD1027">IF(SUMPRODUCT(--($AM$2:$AM$112=TRIM(LEFT($B1027,IFERROR(FIND(" ",$B1027)-1,LEN($B1027))))))&gt;0,1,0)</f>
        <v>0</v>
      </c>
      <c r="AE1027" cm="1">
        <f t="array" ref="AE1027">IF(SUMPRODUCT(--($AO$2:$AO$145=TRIM(LEFT($B1027,IFERROR(FIND(" ",$B1027)-1,LEN($B1027))))))&gt;0,1,0)</f>
        <v>0</v>
      </c>
      <c r="AF1027" cm="1">
        <f t="array" ref="AF1027">IF(SUMPRODUCT(--($AQ$2:$AQ$71=TRIM(LEFT($B1027,IFERROR(FIND(" ",$B1027)-1,LEN($B1027))))))&gt;0,1,0)</f>
        <v>0</v>
      </c>
    </row>
    <row r="1028" spans="1:32" ht="135.75" thickBot="1" x14ac:dyDescent="0.3">
      <c r="A1028" s="13">
        <v>55</v>
      </c>
      <c r="B1028" s="4" t="s">
        <v>1953</v>
      </c>
      <c r="C1028" s="4" t="s">
        <v>1954</v>
      </c>
      <c r="D1028" s="7">
        <v>43200</v>
      </c>
      <c r="E1028" s="3">
        <v>847.83</v>
      </c>
      <c r="F1028" s="4" t="s">
        <v>30</v>
      </c>
      <c r="G1028" s="4"/>
      <c r="H1028" s="4" t="s">
        <v>41</v>
      </c>
      <c r="I1028" s="4" t="s">
        <v>41</v>
      </c>
      <c r="J1028" s="4" t="s">
        <v>60</v>
      </c>
      <c r="K1028" s="3">
        <v>64.2</v>
      </c>
      <c r="L1028" s="3">
        <v>34.799999999999997</v>
      </c>
      <c r="M1028" s="4"/>
      <c r="N1028" s="3">
        <v>1050.0899999999999</v>
      </c>
      <c r="O1028" s="4" t="s">
        <v>34</v>
      </c>
      <c r="P1028" s="4" t="s">
        <v>34</v>
      </c>
      <c r="Q1028" s="4" t="s">
        <v>35</v>
      </c>
      <c r="R1028" s="3">
        <v>486.37200000000001</v>
      </c>
      <c r="S1028" s="3">
        <v>3.2857099999999999</v>
      </c>
      <c r="T1028" s="4" t="s">
        <v>312</v>
      </c>
      <c r="U1028" s="2" t="s">
        <v>37</v>
      </c>
      <c r="V1028" s="2" t="s">
        <v>37</v>
      </c>
      <c r="W1028" s="2" t="s">
        <v>37</v>
      </c>
      <c r="X1028" s="2" t="s">
        <v>38</v>
      </c>
      <c r="Y1028" s="2" t="s">
        <v>38</v>
      </c>
      <c r="Z1028" s="2" t="s">
        <v>37</v>
      </c>
      <c r="AA1028" s="6">
        <v>2.9283087800000001</v>
      </c>
      <c r="AB1028" s="6">
        <v>2.6869685649999999</v>
      </c>
      <c r="AC1028" s="6">
        <v>3.0212265230000002</v>
      </c>
      <c r="AD1028" cm="1">
        <f t="array" ref="AD1028">IF(SUMPRODUCT(--($AM$2:$AM$112=TRIM(LEFT($B1028,IFERROR(FIND(" ",$B1028)-1,LEN($B1028))))))&gt;0,1,0)</f>
        <v>0</v>
      </c>
      <c r="AE1028" cm="1">
        <f t="array" ref="AE1028">IF(SUMPRODUCT(--($AO$2:$AO$145=TRIM(LEFT($B1028,IFERROR(FIND(" ",$B1028)-1,LEN($B1028))))))&gt;0,1,0)</f>
        <v>0</v>
      </c>
      <c r="AF1028" cm="1">
        <f t="array" ref="AF1028">IF(SUMPRODUCT(--($AQ$2:$AQ$71=TRIM(LEFT($B1028,IFERROR(FIND(" ",$B1028)-1,LEN($B1028))))))&gt;0,1,0)</f>
        <v>0</v>
      </c>
    </row>
    <row r="1029" spans="1:32" ht="165.75" thickBot="1" x14ac:dyDescent="0.3">
      <c r="A1029" s="13">
        <v>99</v>
      </c>
      <c r="B1029" s="4" t="s">
        <v>1955</v>
      </c>
      <c r="C1029" s="4" t="s">
        <v>1956</v>
      </c>
      <c r="D1029" s="7">
        <v>43136</v>
      </c>
      <c r="E1029" s="3">
        <v>1688.81</v>
      </c>
      <c r="F1029" s="4" t="s">
        <v>30</v>
      </c>
      <c r="G1029" s="3">
        <v>31.91</v>
      </c>
      <c r="H1029" s="4" t="s">
        <v>279</v>
      </c>
      <c r="I1029" s="4" t="s">
        <v>279</v>
      </c>
      <c r="J1029" s="4" t="s">
        <v>280</v>
      </c>
      <c r="K1029" s="3">
        <v>54.3</v>
      </c>
      <c r="L1029" s="3">
        <v>24.7</v>
      </c>
      <c r="M1029" s="4"/>
      <c r="N1029" s="3">
        <v>986.98</v>
      </c>
      <c r="O1029" s="4" t="s">
        <v>34</v>
      </c>
      <c r="P1029" s="4" t="s">
        <v>869</v>
      </c>
      <c r="Q1029" s="4" t="s">
        <v>35</v>
      </c>
      <c r="R1029" s="3">
        <v>70.088999999999999</v>
      </c>
      <c r="S1029" s="3">
        <v>30.748200000000001</v>
      </c>
      <c r="T1029" s="4" t="s">
        <v>726</v>
      </c>
      <c r="U1029" s="2" t="s">
        <v>37</v>
      </c>
      <c r="V1029" s="2" t="s">
        <v>37</v>
      </c>
      <c r="W1029" s="2" t="s">
        <v>38</v>
      </c>
      <c r="X1029" s="2" t="s">
        <v>38</v>
      </c>
      <c r="Y1029" s="2" t="s">
        <v>38</v>
      </c>
      <c r="Z1029" s="2" t="s">
        <v>37</v>
      </c>
      <c r="AA1029" s="6">
        <v>3.2275807919999999</v>
      </c>
      <c r="AB1029" s="6">
        <v>1.8456498640000001</v>
      </c>
      <c r="AC1029" s="6">
        <v>2.994308352</v>
      </c>
      <c r="AD1029" cm="1">
        <f t="array" ref="AD1029">IF(SUMPRODUCT(--($AM$2:$AM$112=TRIM(LEFT($B1029,IFERROR(FIND(" ",$B1029)-1,LEN($B1029))))))&gt;0,1,0)</f>
        <v>0</v>
      </c>
      <c r="AE1029" cm="1">
        <f t="array" ref="AE1029">IF(SUMPRODUCT(--($AO$2:$AO$145=TRIM(LEFT($B1029,IFERROR(FIND(" ",$B1029)-1,LEN($B1029))))))&gt;0,1,0)</f>
        <v>0</v>
      </c>
      <c r="AF1029" cm="1">
        <f t="array" ref="AF1029">IF(SUMPRODUCT(--($AQ$2:$AQ$71=TRIM(LEFT($B1029,IFERROR(FIND(" ",$B1029)-1,LEN($B1029))))))&gt;0,1,0)</f>
        <v>0</v>
      </c>
    </row>
    <row r="1030" spans="1:32" ht="75.75" thickBot="1" x14ac:dyDescent="0.3">
      <c r="A1030" s="13">
        <v>196</v>
      </c>
      <c r="B1030" s="4" t="s">
        <v>1957</v>
      </c>
      <c r="C1030" s="4" t="s">
        <v>1958</v>
      </c>
      <c r="D1030" s="7">
        <v>42998</v>
      </c>
      <c r="E1030" s="3">
        <v>3623.77</v>
      </c>
      <c r="F1030" s="4" t="s">
        <v>30</v>
      </c>
      <c r="G1030" s="4"/>
      <c r="H1030" s="4" t="s">
        <v>47</v>
      </c>
      <c r="I1030" s="4" t="s">
        <v>47</v>
      </c>
      <c r="J1030" s="4" t="s">
        <v>542</v>
      </c>
      <c r="K1030" s="4"/>
      <c r="L1030" s="4"/>
      <c r="M1030" s="3">
        <v>57.5</v>
      </c>
      <c r="N1030" s="3">
        <v>3623.77</v>
      </c>
      <c r="O1030" s="4" t="s">
        <v>34</v>
      </c>
      <c r="P1030" s="4" t="s">
        <v>687</v>
      </c>
      <c r="Q1030" s="4" t="s">
        <v>35</v>
      </c>
      <c r="R1030" s="3">
        <v>872.553</v>
      </c>
      <c r="S1030" s="2"/>
      <c r="T1030" s="4" t="s">
        <v>97</v>
      </c>
      <c r="U1030" s="2" t="s">
        <v>37</v>
      </c>
      <c r="V1030" s="2" t="s">
        <v>37</v>
      </c>
      <c r="W1030" s="2" t="s">
        <v>38</v>
      </c>
      <c r="X1030" s="2" t="s">
        <v>37</v>
      </c>
      <c r="Y1030" s="2" t="s">
        <v>37</v>
      </c>
      <c r="Z1030" s="2" t="s">
        <v>37</v>
      </c>
      <c r="AA1030" s="6">
        <v>3.5591606250000001</v>
      </c>
      <c r="AB1030" s="6">
        <v>2.9407918159999999</v>
      </c>
      <c r="AC1030" s="6">
        <v>3.5591606250000001</v>
      </c>
      <c r="AD1030" cm="1">
        <f t="array" ref="AD1030">IF(SUMPRODUCT(--($AM$2:$AM$112=TRIM(LEFT($B1030,IFERROR(FIND(" ",$B1030)-1,LEN($B1030))))))&gt;0,1,0)</f>
        <v>0</v>
      </c>
      <c r="AE1030" cm="1">
        <f t="array" ref="AE1030">IF(SUMPRODUCT(--($AO$2:$AO$145=TRIM(LEFT($B1030,IFERROR(FIND(" ",$B1030)-1,LEN($B1030))))))&gt;0,1,0)</f>
        <v>0</v>
      </c>
      <c r="AF1030" cm="1">
        <f t="array" ref="AF1030">IF(SUMPRODUCT(--($AQ$2:$AQ$71=TRIM(LEFT($B1030,IFERROR(FIND(" ",$B1030)-1,LEN($B1030))))))&gt;0,1,0)</f>
        <v>0</v>
      </c>
    </row>
    <row r="1031" spans="1:32" ht="135.75" thickBot="1" x14ac:dyDescent="0.3">
      <c r="A1031" s="13">
        <v>110</v>
      </c>
      <c r="B1031" s="4" t="s">
        <v>1959</v>
      </c>
      <c r="C1031" s="2"/>
      <c r="D1031" s="7">
        <v>43116</v>
      </c>
      <c r="E1031" s="3">
        <v>3014.8</v>
      </c>
      <c r="F1031" s="4" t="s">
        <v>30</v>
      </c>
      <c r="G1031" s="3">
        <v>20.190000000000001</v>
      </c>
      <c r="H1031" s="4" t="s">
        <v>65</v>
      </c>
      <c r="I1031" s="4" t="s">
        <v>138</v>
      </c>
      <c r="J1031" s="4" t="s">
        <v>139</v>
      </c>
      <c r="K1031" s="3">
        <v>136.19999999999999</v>
      </c>
      <c r="L1031" s="3">
        <v>109</v>
      </c>
      <c r="M1031" s="4"/>
      <c r="N1031" s="3">
        <v>2570.8000000000002</v>
      </c>
      <c r="O1031" s="4" t="s">
        <v>34</v>
      </c>
      <c r="P1031" s="4" t="s">
        <v>34</v>
      </c>
      <c r="Q1031" s="4" t="s">
        <v>35</v>
      </c>
      <c r="R1031" s="3">
        <v>117.66</v>
      </c>
      <c r="S1031" s="2"/>
      <c r="T1031" s="4" t="s">
        <v>312</v>
      </c>
      <c r="U1031" s="2" t="s">
        <v>37</v>
      </c>
      <c r="V1031" s="2" t="s">
        <v>37</v>
      </c>
      <c r="W1031" s="2" t="s">
        <v>37</v>
      </c>
      <c r="X1031" s="2" t="s">
        <v>38</v>
      </c>
      <c r="Y1031" s="2" t="s">
        <v>38</v>
      </c>
      <c r="Z1031" s="2" t="s">
        <v>37</v>
      </c>
      <c r="AA1031" s="6">
        <v>3.4792585069999999</v>
      </c>
      <c r="AB1031" s="6">
        <v>2.0706288439999998</v>
      </c>
      <c r="AC1031" s="6">
        <v>3.410068291</v>
      </c>
      <c r="AD1031" cm="1">
        <f t="array" ref="AD1031">IF(SUMPRODUCT(--($AM$2:$AM$112=TRIM(LEFT($B1031,IFERROR(FIND(" ",$B1031)-1,LEN($B1031))))))&gt;0,1,0)</f>
        <v>0</v>
      </c>
      <c r="AE1031" cm="1">
        <f t="array" ref="AE1031">IF(SUMPRODUCT(--($AO$2:$AO$145=TRIM(LEFT($B1031,IFERROR(FIND(" ",$B1031)-1,LEN($B1031))))))&gt;0,1,0)</f>
        <v>0</v>
      </c>
      <c r="AF1031" cm="1">
        <f t="array" ref="AF1031">IF(SUMPRODUCT(--($AQ$2:$AQ$71=TRIM(LEFT($B1031,IFERROR(FIND(" ",$B1031)-1,LEN($B1031))))))&gt;0,1,0)</f>
        <v>0</v>
      </c>
    </row>
    <row r="1032" spans="1:32" ht="75.75" thickBot="1" x14ac:dyDescent="0.3">
      <c r="A1032" s="13">
        <v>124</v>
      </c>
      <c r="B1032" s="4" t="s">
        <v>1960</v>
      </c>
      <c r="C1032" s="4" t="s">
        <v>1961</v>
      </c>
      <c r="D1032" s="7">
        <v>43090</v>
      </c>
      <c r="E1032" s="3">
        <v>1691.38</v>
      </c>
      <c r="F1032" s="4" t="s">
        <v>46</v>
      </c>
      <c r="G1032" s="3">
        <v>24.5</v>
      </c>
      <c r="H1032" s="4" t="s">
        <v>70</v>
      </c>
      <c r="I1032" s="4" t="s">
        <v>94</v>
      </c>
      <c r="J1032" s="4" t="s">
        <v>108</v>
      </c>
      <c r="K1032" s="4"/>
      <c r="L1032" s="3">
        <v>39</v>
      </c>
      <c r="M1032" s="3">
        <v>39.6</v>
      </c>
      <c r="N1032" s="3">
        <v>515.52</v>
      </c>
      <c r="O1032" s="4" t="s">
        <v>34</v>
      </c>
      <c r="P1032" s="4" t="s">
        <v>1163</v>
      </c>
      <c r="Q1032" s="4" t="s">
        <v>35</v>
      </c>
      <c r="R1032" s="3">
        <v>307.81900000000002</v>
      </c>
      <c r="S1032" s="3">
        <v>-63.972299999999997</v>
      </c>
      <c r="T1032" s="4" t="s">
        <v>97</v>
      </c>
      <c r="U1032" s="2" t="s">
        <v>37</v>
      </c>
      <c r="V1032" s="2" t="s">
        <v>37</v>
      </c>
      <c r="W1032" s="2" t="s">
        <v>38</v>
      </c>
      <c r="X1032" s="2" t="s">
        <v>37</v>
      </c>
      <c r="Y1032" s="2" t="s">
        <v>37</v>
      </c>
      <c r="Z1032" s="2" t="s">
        <v>37</v>
      </c>
      <c r="AA1032" s="6">
        <v>3.228241191</v>
      </c>
      <c r="AB1032" s="6">
        <v>2.4882954229999998</v>
      </c>
      <c r="AC1032" s="6">
        <v>2.7122455190000001</v>
      </c>
      <c r="AD1032" cm="1">
        <f t="array" ref="AD1032">IF(SUMPRODUCT(--($AM$2:$AM$112=TRIM(LEFT($B1032,IFERROR(FIND(" ",$B1032)-1,LEN($B1032))))))&gt;0,1,0)</f>
        <v>0</v>
      </c>
      <c r="AE1032" cm="1">
        <f t="array" ref="AE1032">IF(SUMPRODUCT(--($AO$2:$AO$145=TRIM(LEFT($B1032,IFERROR(FIND(" ",$B1032)-1,LEN($B1032))))))&gt;0,1,0)</f>
        <v>0</v>
      </c>
      <c r="AF1032" cm="1">
        <f t="array" ref="AF1032">IF(SUMPRODUCT(--($AQ$2:$AQ$71=TRIM(LEFT($B1032,IFERROR(FIND(" ",$B1032)-1,LEN($B1032))))))&gt;0,1,0)</f>
        <v>0</v>
      </c>
    </row>
    <row r="1033" spans="1:32" ht="45.75" thickBot="1" x14ac:dyDescent="0.3">
      <c r="A1033" s="13">
        <v>189</v>
      </c>
      <c r="B1033" s="4" t="s">
        <v>1962</v>
      </c>
      <c r="C1033" s="4" t="s">
        <v>1963</v>
      </c>
      <c r="D1033" s="7">
        <v>42996</v>
      </c>
      <c r="E1033" s="3">
        <v>7748.25</v>
      </c>
      <c r="F1033" s="4" t="s">
        <v>30</v>
      </c>
      <c r="G1033" s="3">
        <v>11.04</v>
      </c>
      <c r="H1033" s="4" t="s">
        <v>70</v>
      </c>
      <c r="I1033" s="4" t="s">
        <v>71</v>
      </c>
      <c r="J1033" s="4" t="s">
        <v>304</v>
      </c>
      <c r="K1033" s="4"/>
      <c r="L1033" s="3">
        <v>275</v>
      </c>
      <c r="M1033" s="4"/>
      <c r="N1033" s="3">
        <v>6328.25</v>
      </c>
      <c r="O1033" s="4" t="s">
        <v>34</v>
      </c>
      <c r="P1033" s="4" t="s">
        <v>34</v>
      </c>
      <c r="Q1033" s="4" t="s">
        <v>35</v>
      </c>
      <c r="R1033" s="3">
        <v>4764</v>
      </c>
      <c r="S1033" s="3">
        <v>11.460599999999999</v>
      </c>
      <c r="T1033" s="4" t="s">
        <v>43</v>
      </c>
      <c r="U1033" s="2" t="s">
        <v>37</v>
      </c>
      <c r="V1033" s="2" t="s">
        <v>37</v>
      </c>
      <c r="W1033" s="2" t="s">
        <v>37</v>
      </c>
      <c r="X1033" s="2" t="s">
        <v>37</v>
      </c>
      <c r="Y1033" s="2" t="s">
        <v>37</v>
      </c>
      <c r="Z1033" s="2" t="s">
        <v>37</v>
      </c>
      <c r="AA1033" s="6">
        <v>3.8892036249999999</v>
      </c>
      <c r="AB1033" s="6">
        <v>3.677971753</v>
      </c>
      <c r="AC1033" s="6">
        <v>3.8012836280000002</v>
      </c>
      <c r="AD1033" cm="1">
        <f t="array" ref="AD1033">IF(SUMPRODUCT(--($AM$2:$AM$112=TRIM(LEFT($B1033,IFERROR(FIND(" ",$B1033)-1,LEN($B1033))))))&gt;0,1,0)</f>
        <v>0</v>
      </c>
      <c r="AE1033" cm="1">
        <f t="array" ref="AE1033">IF(SUMPRODUCT(--($AO$2:$AO$145=TRIM(LEFT($B1033,IFERROR(FIND(" ",$B1033)-1,LEN($B1033))))))&gt;0,1,0)</f>
        <v>1</v>
      </c>
      <c r="AF1033" cm="1">
        <f t="array" ref="AF1033">IF(SUMPRODUCT(--($AQ$2:$AQ$71=TRIM(LEFT($B1033,IFERROR(FIND(" ",$B1033)-1,LEN($B1033))))))&gt;0,1,0)</f>
        <v>0</v>
      </c>
    </row>
    <row r="1034" spans="1:32" ht="75.75" thickBot="1" x14ac:dyDescent="0.3">
      <c r="A1034" s="13">
        <v>133</v>
      </c>
      <c r="B1034" s="4" t="s">
        <v>1964</v>
      </c>
      <c r="C1034" s="4" t="s">
        <v>689</v>
      </c>
      <c r="D1034" s="7">
        <v>43073</v>
      </c>
      <c r="E1034" s="3">
        <v>2517.7399999999998</v>
      </c>
      <c r="F1034" s="4" t="s">
        <v>30</v>
      </c>
      <c r="G1034" s="4"/>
      <c r="H1034" s="4" t="s">
        <v>70</v>
      </c>
      <c r="I1034" s="4" t="s">
        <v>71</v>
      </c>
      <c r="J1034" s="4" t="s">
        <v>417</v>
      </c>
      <c r="K1034" s="4"/>
      <c r="L1034" s="3">
        <v>47</v>
      </c>
      <c r="M1034" s="3">
        <v>47.16</v>
      </c>
      <c r="N1034" s="3">
        <v>1498.94</v>
      </c>
      <c r="O1034" s="4" t="s">
        <v>34</v>
      </c>
      <c r="P1034" s="4" t="s">
        <v>56</v>
      </c>
      <c r="Q1034" s="4" t="s">
        <v>35</v>
      </c>
      <c r="R1034" s="3">
        <v>10016</v>
      </c>
      <c r="S1034" s="3">
        <v>0.50260199999999999</v>
      </c>
      <c r="T1034" s="4" t="s">
        <v>97</v>
      </c>
      <c r="U1034" s="2" t="s">
        <v>37</v>
      </c>
      <c r="V1034" s="2" t="s">
        <v>37</v>
      </c>
      <c r="W1034" s="2" t="s">
        <v>38</v>
      </c>
      <c r="X1034" s="2" t="s">
        <v>37</v>
      </c>
      <c r="Y1034" s="2" t="s">
        <v>37</v>
      </c>
      <c r="Z1034" s="2" t="s">
        <v>37</v>
      </c>
      <c r="AA1034" s="6">
        <v>3.4010108799999998</v>
      </c>
      <c r="AB1034" s="6">
        <v>4.0006943159999997</v>
      </c>
      <c r="AC1034" s="6">
        <v>3.1757842489999999</v>
      </c>
      <c r="AD1034" cm="1">
        <f t="array" ref="AD1034">IF(SUMPRODUCT(--($AM$2:$AM$112=TRIM(LEFT($B1034,IFERROR(FIND(" ",$B1034)-1,LEN($B1034))))))&gt;0,1,0)</f>
        <v>0</v>
      </c>
      <c r="AE1034" cm="1">
        <f t="array" ref="AE1034">IF(SUMPRODUCT(--($AO$2:$AO$145=TRIM(LEFT($B1034,IFERROR(FIND(" ",$B1034)-1,LEN($B1034))))))&gt;0,1,0)</f>
        <v>0</v>
      </c>
      <c r="AF1034" cm="1">
        <f t="array" ref="AF1034">IF(SUMPRODUCT(--($AQ$2:$AQ$71=TRIM(LEFT($B1034,IFERROR(FIND(" ",$B1034)-1,LEN($B1034))))))&gt;0,1,0)</f>
        <v>0</v>
      </c>
    </row>
    <row r="1035" spans="1:32" ht="45.75" thickBot="1" x14ac:dyDescent="0.3">
      <c r="A1035" s="13">
        <v>71</v>
      </c>
      <c r="B1035" s="4" t="s">
        <v>1965</v>
      </c>
      <c r="C1035" s="4" t="s">
        <v>1966</v>
      </c>
      <c r="D1035" s="7">
        <v>43154</v>
      </c>
      <c r="E1035" s="3">
        <v>1681.04</v>
      </c>
      <c r="F1035" s="4" t="s">
        <v>46</v>
      </c>
      <c r="G1035" s="3">
        <v>3.7</v>
      </c>
      <c r="H1035" s="4" t="s">
        <v>47</v>
      </c>
      <c r="I1035" s="4" t="s">
        <v>47</v>
      </c>
      <c r="J1035" s="4" t="s">
        <v>48</v>
      </c>
      <c r="K1035" s="4"/>
      <c r="L1035" s="4"/>
      <c r="M1035" s="3">
        <v>3.58</v>
      </c>
      <c r="N1035" s="3">
        <v>1115.6400000000001</v>
      </c>
      <c r="O1035" s="4" t="s">
        <v>34</v>
      </c>
      <c r="P1035" s="4" t="s">
        <v>34</v>
      </c>
      <c r="Q1035" s="4" t="s">
        <v>35</v>
      </c>
      <c r="R1035" s="3">
        <v>1795.84</v>
      </c>
      <c r="S1035" s="3">
        <v>21.165900000000001</v>
      </c>
      <c r="T1035" s="4" t="s">
        <v>43</v>
      </c>
      <c r="U1035" s="2" t="s">
        <v>37</v>
      </c>
      <c r="V1035" s="2" t="s">
        <v>37</v>
      </c>
      <c r="W1035" s="2" t="s">
        <v>37</v>
      </c>
      <c r="X1035" s="2" t="s">
        <v>37</v>
      </c>
      <c r="Y1035" s="2" t="s">
        <v>37</v>
      </c>
      <c r="Z1035" s="2" t="s">
        <v>37</v>
      </c>
      <c r="AA1035" s="6">
        <v>3.225578048</v>
      </c>
      <c r="AB1035" s="6">
        <v>3.2542676410000002</v>
      </c>
      <c r="AC1035" s="6">
        <v>3.0475240769999998</v>
      </c>
      <c r="AD1035" cm="1">
        <f t="array" ref="AD1035">IF(SUMPRODUCT(--($AM$2:$AM$112=TRIM(LEFT($B1035,IFERROR(FIND(" ",$B1035)-1,LEN($B1035))))))&gt;0,1,0)</f>
        <v>0</v>
      </c>
      <c r="AE1035" cm="1">
        <f t="array" ref="AE1035">IF(SUMPRODUCT(--($AO$2:$AO$145=TRIM(LEFT($B1035,IFERROR(FIND(" ",$B1035)-1,LEN($B1035))))))&gt;0,1,0)</f>
        <v>0</v>
      </c>
      <c r="AF1035" cm="1">
        <f t="array" ref="AF1035">IF(SUMPRODUCT(--($AQ$2:$AQ$71=TRIM(LEFT($B1035,IFERROR(FIND(" ",$B1035)-1,LEN($B1035))))))&gt;0,1,0)</f>
        <v>0</v>
      </c>
    </row>
    <row r="1036" spans="1:32" ht="45.75" thickBot="1" x14ac:dyDescent="0.3">
      <c r="A1036" s="13">
        <v>35</v>
      </c>
      <c r="B1036" s="4" t="s">
        <v>1967</v>
      </c>
      <c r="C1036" s="4" t="s">
        <v>1968</v>
      </c>
      <c r="D1036" s="7">
        <v>43206</v>
      </c>
      <c r="E1036" s="3">
        <v>1011</v>
      </c>
      <c r="F1036" s="4" t="s">
        <v>46</v>
      </c>
      <c r="G1036" s="4"/>
      <c r="H1036" s="4" t="s">
        <v>118</v>
      </c>
      <c r="I1036" s="4" t="s">
        <v>119</v>
      </c>
      <c r="J1036" s="4" t="s">
        <v>120</v>
      </c>
      <c r="K1036" s="3">
        <v>40</v>
      </c>
      <c r="L1036" s="3">
        <v>40</v>
      </c>
      <c r="M1036" s="3">
        <v>2.98</v>
      </c>
      <c r="N1036" s="3">
        <v>846.01</v>
      </c>
      <c r="O1036" s="4" t="s">
        <v>49</v>
      </c>
      <c r="P1036" s="4" t="s">
        <v>49</v>
      </c>
      <c r="Q1036" s="4" t="s">
        <v>35</v>
      </c>
      <c r="R1036" s="3">
        <v>276.95499999999998</v>
      </c>
      <c r="S1036" s="3">
        <v>-55.031599999999997</v>
      </c>
      <c r="T1036" s="4" t="s">
        <v>43</v>
      </c>
      <c r="U1036" s="2" t="s">
        <v>37</v>
      </c>
      <c r="V1036" s="2" t="s">
        <v>37</v>
      </c>
      <c r="W1036" s="2" t="s">
        <v>37</v>
      </c>
      <c r="X1036" s="2" t="s">
        <v>37</v>
      </c>
      <c r="Y1036" s="2" t="s">
        <v>37</v>
      </c>
      <c r="Z1036" s="2" t="s">
        <v>37</v>
      </c>
      <c r="AA1036" s="6">
        <v>3.0047511560000002</v>
      </c>
      <c r="AB1036" s="6">
        <v>2.4424092100000001</v>
      </c>
      <c r="AC1036" s="6">
        <v>2.9273754969999999</v>
      </c>
      <c r="AD1036" cm="1">
        <f t="array" ref="AD1036">IF(SUMPRODUCT(--($AM$2:$AM$112=TRIM(LEFT($B1036,IFERROR(FIND(" ",$B1036)-1,LEN($B1036))))))&gt;0,1,0)</f>
        <v>0</v>
      </c>
      <c r="AE1036" cm="1">
        <f t="array" ref="AE1036">IF(SUMPRODUCT(--($AO$2:$AO$145=TRIM(LEFT($B1036,IFERROR(FIND(" ",$B1036)-1,LEN($B1036))))))&gt;0,1,0)</f>
        <v>0</v>
      </c>
      <c r="AF1036" cm="1">
        <f t="array" ref="AF1036">IF(SUMPRODUCT(--($AQ$2:$AQ$71=TRIM(LEFT($B1036,IFERROR(FIND(" ",$B1036)-1,LEN($B1036))))))&gt;0,1,0)</f>
        <v>0</v>
      </c>
    </row>
    <row r="1037" spans="1:32" ht="45.75" thickBot="1" x14ac:dyDescent="0.3">
      <c r="A1037" s="13">
        <v>124</v>
      </c>
      <c r="B1037" s="4" t="s">
        <v>1969</v>
      </c>
      <c r="C1037" s="4" t="s">
        <v>1970</v>
      </c>
      <c r="D1037" s="7">
        <v>43081</v>
      </c>
      <c r="E1037" s="3">
        <v>769.89</v>
      </c>
      <c r="F1037" s="4" t="s">
        <v>107</v>
      </c>
      <c r="G1037" s="3">
        <v>5.34</v>
      </c>
      <c r="H1037" s="4" t="s">
        <v>47</v>
      </c>
      <c r="I1037" s="4" t="s">
        <v>47</v>
      </c>
      <c r="J1037" s="4" t="s">
        <v>48</v>
      </c>
      <c r="K1037" s="3">
        <v>52</v>
      </c>
      <c r="L1037" s="3">
        <v>52</v>
      </c>
      <c r="M1037" s="4"/>
      <c r="N1037" s="3">
        <v>163.59</v>
      </c>
      <c r="O1037" s="4" t="s">
        <v>34</v>
      </c>
      <c r="P1037" s="4" t="s">
        <v>34</v>
      </c>
      <c r="Q1037" s="4" t="s">
        <v>35</v>
      </c>
      <c r="R1037" s="3">
        <v>959.79499999999996</v>
      </c>
      <c r="S1037" s="3">
        <v>14.347</v>
      </c>
      <c r="T1037" s="4" t="s">
        <v>43</v>
      </c>
      <c r="U1037" s="2" t="s">
        <v>37</v>
      </c>
      <c r="V1037" s="2" t="s">
        <v>37</v>
      </c>
      <c r="W1037" s="2" t="s">
        <v>37</v>
      </c>
      <c r="X1037" s="2" t="s">
        <v>37</v>
      </c>
      <c r="Y1037" s="2" t="s">
        <v>37</v>
      </c>
      <c r="Z1037" s="2" t="s">
        <v>37</v>
      </c>
      <c r="AA1037" s="6">
        <v>2.8864286790000002</v>
      </c>
      <c r="AB1037" s="6">
        <v>2.9821784830000002</v>
      </c>
      <c r="AC1037" s="6">
        <v>2.2137567520000001</v>
      </c>
      <c r="AD1037" cm="1">
        <f t="array" ref="AD1037">IF(SUMPRODUCT(--($AM$2:$AM$112=TRIM(LEFT($B1037,IFERROR(FIND(" ",$B1037)-1,LEN($B1037))))))&gt;0,1,0)</f>
        <v>0</v>
      </c>
      <c r="AE1037" cm="1">
        <f t="array" ref="AE1037">IF(SUMPRODUCT(--($AO$2:$AO$145=TRIM(LEFT($B1037,IFERROR(FIND(" ",$B1037)-1,LEN($B1037))))))&gt;0,1,0)</f>
        <v>0</v>
      </c>
      <c r="AF1037" cm="1">
        <f t="array" ref="AF1037">IF(SUMPRODUCT(--($AQ$2:$AQ$71=TRIM(LEFT($B1037,IFERROR(FIND(" ",$B1037)-1,LEN($B1037))))))&gt;0,1,0)</f>
        <v>0</v>
      </c>
    </row>
    <row r="1038" spans="1:32" ht="75.75" thickBot="1" x14ac:dyDescent="0.3">
      <c r="A1038" s="13">
        <v>65</v>
      </c>
      <c r="B1038" s="4" t="s">
        <v>1971</v>
      </c>
      <c r="C1038" s="4" t="s">
        <v>1972</v>
      </c>
      <c r="D1038" s="7">
        <v>43160</v>
      </c>
      <c r="E1038" s="3">
        <v>9837.91</v>
      </c>
      <c r="F1038" s="4" t="s">
        <v>30</v>
      </c>
      <c r="G1038" s="3">
        <v>18.87</v>
      </c>
      <c r="H1038" s="4" t="s">
        <v>31</v>
      </c>
      <c r="I1038" s="4" t="s">
        <v>432</v>
      </c>
      <c r="J1038" s="4" t="s">
        <v>1072</v>
      </c>
      <c r="K1038" s="4"/>
      <c r="L1038" s="3">
        <v>290</v>
      </c>
      <c r="M1038" s="3">
        <v>13.65</v>
      </c>
      <c r="N1038" s="3">
        <v>8094.21</v>
      </c>
      <c r="O1038" s="4" t="s">
        <v>34</v>
      </c>
      <c r="P1038" s="4" t="s">
        <v>34</v>
      </c>
      <c r="Q1038" s="4" t="s">
        <v>35</v>
      </c>
      <c r="R1038" s="3">
        <v>1811.8</v>
      </c>
      <c r="S1038" s="3">
        <v>13.535299999999999</v>
      </c>
      <c r="T1038" s="4" t="s">
        <v>43</v>
      </c>
      <c r="U1038" s="2" t="s">
        <v>37</v>
      </c>
      <c r="V1038" s="2" t="s">
        <v>37</v>
      </c>
      <c r="W1038" s="2" t="s">
        <v>37</v>
      </c>
      <c r="X1038" s="2" t="s">
        <v>37</v>
      </c>
      <c r="Y1038" s="2" t="s">
        <v>37</v>
      </c>
      <c r="Z1038" s="2" t="s">
        <v>37</v>
      </c>
      <c r="AA1038" s="6">
        <v>3.9929028450000001</v>
      </c>
      <c r="AB1038" s="6">
        <v>3.2581102550000001</v>
      </c>
      <c r="AC1038" s="6">
        <v>3.9081744679999999</v>
      </c>
      <c r="AD1038" cm="1">
        <f t="array" ref="AD1038">IF(SUMPRODUCT(--($AM$2:$AM$112=TRIM(LEFT($B1038,IFERROR(FIND(" ",$B1038)-1,LEN($B1038))))))&gt;0,1,0)</f>
        <v>1</v>
      </c>
      <c r="AE1038" cm="1">
        <f t="array" ref="AE1038">IF(SUMPRODUCT(--($AO$2:$AO$145=TRIM(LEFT($B1038,IFERROR(FIND(" ",$B1038)-1,LEN($B1038))))))&gt;0,1,0)</f>
        <v>0</v>
      </c>
      <c r="AF1038" cm="1">
        <f t="array" ref="AF1038">IF(SUMPRODUCT(--($AQ$2:$AQ$71=TRIM(LEFT($B1038,IFERROR(FIND(" ",$B1038)-1,LEN($B1038))))))&gt;0,1,0)</f>
        <v>0</v>
      </c>
    </row>
    <row r="1039" spans="1:32" ht="195.75" thickBot="1" x14ac:dyDescent="0.3">
      <c r="A1039" s="13">
        <v>99</v>
      </c>
      <c r="B1039" s="4" t="s">
        <v>1973</v>
      </c>
      <c r="C1039" s="2"/>
      <c r="D1039" s="7">
        <v>43109</v>
      </c>
      <c r="E1039" s="3">
        <v>2854.59</v>
      </c>
      <c r="F1039" s="4" t="s">
        <v>30</v>
      </c>
      <c r="G1039" s="3">
        <v>10.23</v>
      </c>
      <c r="H1039" s="4" t="s">
        <v>51</v>
      </c>
      <c r="I1039" s="4" t="s">
        <v>51</v>
      </c>
      <c r="J1039" s="4" t="s">
        <v>79</v>
      </c>
      <c r="K1039" s="3">
        <v>220</v>
      </c>
      <c r="L1039" s="3">
        <v>77</v>
      </c>
      <c r="M1039" s="4"/>
      <c r="N1039" s="3">
        <v>1988.03</v>
      </c>
      <c r="O1039" s="4" t="s">
        <v>49</v>
      </c>
      <c r="P1039" s="4" t="s">
        <v>34</v>
      </c>
      <c r="Q1039" s="4" t="s">
        <v>35</v>
      </c>
      <c r="R1039" s="3">
        <v>173.83</v>
      </c>
      <c r="S1039" s="3">
        <v>120.663</v>
      </c>
      <c r="T1039" s="4" t="s">
        <v>1974</v>
      </c>
      <c r="U1039" s="2" t="s">
        <v>37</v>
      </c>
      <c r="V1039" s="2" t="s">
        <v>37</v>
      </c>
      <c r="W1039" s="2" t="s">
        <v>38</v>
      </c>
      <c r="X1039" s="2" t="s">
        <v>38</v>
      </c>
      <c r="Y1039" s="2" t="s">
        <v>38</v>
      </c>
      <c r="Z1039" s="2" t="s">
        <v>37</v>
      </c>
      <c r="AA1039" s="6">
        <v>3.45554374</v>
      </c>
      <c r="AB1039" s="6">
        <v>2.2401247299999998</v>
      </c>
      <c r="AC1039" s="6">
        <v>3.298422934</v>
      </c>
      <c r="AD1039" cm="1">
        <f t="array" ref="AD1039">IF(SUMPRODUCT(--($AM$2:$AM$112=TRIM(LEFT($B1039,IFERROR(FIND(" ",$B1039)-1,LEN($B1039))))))&gt;0,1,0)</f>
        <v>0</v>
      </c>
      <c r="AE1039" cm="1">
        <f t="array" ref="AE1039">IF(SUMPRODUCT(--($AO$2:$AO$145=TRIM(LEFT($B1039,IFERROR(FIND(" ",$B1039)-1,LEN($B1039))))))&gt;0,1,0)</f>
        <v>0</v>
      </c>
      <c r="AF1039" cm="1">
        <f t="array" ref="AF1039">IF(SUMPRODUCT(--($AQ$2:$AQ$71=TRIM(LEFT($B1039,IFERROR(FIND(" ",$B1039)-1,LEN($B1039))))))&gt;0,1,0)</f>
        <v>0</v>
      </c>
    </row>
    <row r="1040" spans="1:32" ht="135.75" thickBot="1" x14ac:dyDescent="0.3">
      <c r="A1040" s="13">
        <v>56</v>
      </c>
      <c r="B1040" s="4" t="s">
        <v>1011</v>
      </c>
      <c r="C1040" s="2"/>
      <c r="D1040" s="7">
        <v>43165</v>
      </c>
      <c r="E1040" s="3">
        <v>969.98</v>
      </c>
      <c r="F1040" s="4" t="s">
        <v>30</v>
      </c>
      <c r="G1040" s="3">
        <v>28.12</v>
      </c>
      <c r="H1040" s="4" t="s">
        <v>31</v>
      </c>
      <c r="I1040" s="4" t="s">
        <v>32</v>
      </c>
      <c r="J1040" s="4" t="s">
        <v>33</v>
      </c>
      <c r="K1040" s="3">
        <v>63</v>
      </c>
      <c r="L1040" s="3">
        <v>31.5</v>
      </c>
      <c r="M1040" s="4"/>
      <c r="N1040" s="3">
        <v>989.78</v>
      </c>
      <c r="O1040" s="4" t="s">
        <v>34</v>
      </c>
      <c r="P1040" s="4" t="s">
        <v>34</v>
      </c>
      <c r="Q1040" s="4" t="s">
        <v>35</v>
      </c>
      <c r="R1040" s="3">
        <v>111.121</v>
      </c>
      <c r="S1040" s="3">
        <v>20.724900000000002</v>
      </c>
      <c r="T1040" s="4" t="s">
        <v>312</v>
      </c>
      <c r="U1040" s="2" t="s">
        <v>37</v>
      </c>
      <c r="V1040" s="2" t="s">
        <v>37</v>
      </c>
      <c r="W1040" s="2" t="s">
        <v>37</v>
      </c>
      <c r="X1040" s="2" t="s">
        <v>38</v>
      </c>
      <c r="Y1040" s="2" t="s">
        <v>38</v>
      </c>
      <c r="Z1040" s="2" t="s">
        <v>37</v>
      </c>
      <c r="AA1040" s="6">
        <v>2.9867627799999998</v>
      </c>
      <c r="AB1040" s="6">
        <v>2.0457961409999998</v>
      </c>
      <c r="AC1040" s="6">
        <v>2.9955386740000001</v>
      </c>
      <c r="AD1040" cm="1">
        <f t="array" ref="AD1040">IF(SUMPRODUCT(--($AM$2:$AM$112=TRIM(LEFT($B1040,IFERROR(FIND(" ",$B1040)-1,LEN($B1040))))))&gt;0,1,0)</f>
        <v>0</v>
      </c>
      <c r="AE1040" cm="1">
        <f t="array" ref="AE1040">IF(SUMPRODUCT(--($AO$2:$AO$145=TRIM(LEFT($B1040,IFERROR(FIND(" ",$B1040)-1,LEN($B1040))))))&gt;0,1,0)</f>
        <v>0</v>
      </c>
      <c r="AF1040" cm="1">
        <f t="array" ref="AF1040">IF(SUMPRODUCT(--($AQ$2:$AQ$71=TRIM(LEFT($B1040,IFERROR(FIND(" ",$B1040)-1,LEN($B1040))))))&gt;0,1,0)</f>
        <v>0</v>
      </c>
    </row>
    <row r="1041" spans="1:32" ht="105.75" thickBot="1" x14ac:dyDescent="0.3">
      <c r="A1041" s="13">
        <v>28</v>
      </c>
      <c r="B1041" s="4" t="s">
        <v>1975</v>
      </c>
      <c r="C1041" s="4" t="s">
        <v>200</v>
      </c>
      <c r="D1041" s="7">
        <v>43199</v>
      </c>
      <c r="E1041" s="3">
        <v>7924.42</v>
      </c>
      <c r="F1041" s="4" t="s">
        <v>30</v>
      </c>
      <c r="G1041" s="4"/>
      <c r="H1041" s="4" t="s">
        <v>41</v>
      </c>
      <c r="I1041" s="4" t="s">
        <v>41</v>
      </c>
      <c r="J1041" s="4" t="s">
        <v>42</v>
      </c>
      <c r="K1041" s="3">
        <v>437</v>
      </c>
      <c r="L1041" s="3">
        <v>284</v>
      </c>
      <c r="M1041" s="4"/>
      <c r="N1041" s="3">
        <v>8248.5300000000007</v>
      </c>
      <c r="O1041" s="4" t="s">
        <v>34</v>
      </c>
      <c r="P1041" s="4" t="s">
        <v>869</v>
      </c>
      <c r="Q1041" s="4" t="s">
        <v>35</v>
      </c>
      <c r="R1041" s="2"/>
      <c r="S1041" s="2"/>
      <c r="T1041" s="4" t="s">
        <v>964</v>
      </c>
      <c r="U1041" s="2" t="s">
        <v>37</v>
      </c>
      <c r="V1041" s="2" t="s">
        <v>37</v>
      </c>
      <c r="W1041" s="2" t="s">
        <v>38</v>
      </c>
      <c r="X1041" s="2" t="s">
        <v>37</v>
      </c>
      <c r="Y1041" s="2" t="s">
        <v>37</v>
      </c>
      <c r="Z1041" s="2" t="s">
        <v>38</v>
      </c>
      <c r="AA1041" s="6">
        <v>3.898967485</v>
      </c>
      <c r="AB1041" s="2"/>
      <c r="AC1041" s="6">
        <v>3.9163765580000001</v>
      </c>
      <c r="AD1041" cm="1">
        <f t="array" ref="AD1041">IF(SUMPRODUCT(--($AM$2:$AM$112=TRIM(LEFT($B1041,IFERROR(FIND(" ",$B1041)-1,LEN($B1041))))))&gt;0,1,0)</f>
        <v>0</v>
      </c>
      <c r="AE1041" cm="1">
        <f t="array" ref="AE1041">IF(SUMPRODUCT(--($AO$2:$AO$145=TRIM(LEFT($B1041,IFERROR(FIND(" ",$B1041)-1,LEN($B1041))))))&gt;0,1,0)</f>
        <v>0</v>
      </c>
      <c r="AF1041" cm="1">
        <f t="array" ref="AF1041">IF(SUMPRODUCT(--($AQ$2:$AQ$71=TRIM(LEFT($B1041,IFERROR(FIND(" ",$B1041)-1,LEN($B1041))))))&gt;0,1,0)</f>
        <v>0</v>
      </c>
    </row>
    <row r="1042" spans="1:32" ht="60.75" thickBot="1" x14ac:dyDescent="0.3">
      <c r="A1042" s="13">
        <v>162</v>
      </c>
      <c r="B1042" s="4" t="s">
        <v>1976</v>
      </c>
      <c r="C1042" s="4" t="s">
        <v>1977</v>
      </c>
      <c r="D1042" s="7">
        <v>43010</v>
      </c>
      <c r="E1042" s="3">
        <v>3759.81</v>
      </c>
      <c r="F1042" s="4" t="s">
        <v>69</v>
      </c>
      <c r="G1042" s="3">
        <v>15.59</v>
      </c>
      <c r="H1042" s="4" t="s">
        <v>127</v>
      </c>
      <c r="I1042" s="4" t="s">
        <v>365</v>
      </c>
      <c r="J1042" s="4" t="s">
        <v>366</v>
      </c>
      <c r="K1042" s="4"/>
      <c r="L1042" s="3">
        <v>135</v>
      </c>
      <c r="M1042" s="3">
        <v>8.84</v>
      </c>
      <c r="N1042" s="3">
        <v>3608.52</v>
      </c>
      <c r="O1042" s="4" t="s">
        <v>49</v>
      </c>
      <c r="P1042" s="4" t="s">
        <v>49</v>
      </c>
      <c r="Q1042" s="4" t="s">
        <v>35</v>
      </c>
      <c r="R1042" s="3">
        <v>2270.34</v>
      </c>
      <c r="S1042" s="3">
        <v>8.1564200000000007</v>
      </c>
      <c r="T1042" s="4" t="s">
        <v>43</v>
      </c>
      <c r="U1042" s="2" t="s">
        <v>37</v>
      </c>
      <c r="V1042" s="2" t="s">
        <v>37</v>
      </c>
      <c r="W1042" s="2" t="s">
        <v>37</v>
      </c>
      <c r="X1042" s="2" t="s">
        <v>37</v>
      </c>
      <c r="Y1042" s="2" t="s">
        <v>37</v>
      </c>
      <c r="Z1042" s="2" t="s">
        <v>37</v>
      </c>
      <c r="AA1042" s="6">
        <v>3.5751658989999999</v>
      </c>
      <c r="AB1042" s="6">
        <v>3.356090901</v>
      </c>
      <c r="AC1042" s="6">
        <v>3.5573291170000001</v>
      </c>
      <c r="AD1042" cm="1">
        <f t="array" ref="AD1042">IF(SUMPRODUCT(--($AM$2:$AM$112=TRIM(LEFT($B1042,IFERROR(FIND(" ",$B1042)-1,LEN($B1042))))))&gt;0,1,0)</f>
        <v>0</v>
      </c>
      <c r="AE1042" cm="1">
        <f t="array" ref="AE1042">IF(SUMPRODUCT(--($AO$2:$AO$145=TRIM(LEFT($B1042,IFERROR(FIND(" ",$B1042)-1,LEN($B1042))))))&gt;0,1,0)</f>
        <v>0</v>
      </c>
      <c r="AF1042" cm="1">
        <f t="array" ref="AF1042">IF(SUMPRODUCT(--($AQ$2:$AQ$71=TRIM(LEFT($B1042,IFERROR(FIND(" ",$B1042)-1,LEN($B1042))))))&gt;0,1,0)</f>
        <v>0</v>
      </c>
    </row>
    <row r="1043" spans="1:32" ht="75.75" thickBot="1" x14ac:dyDescent="0.3">
      <c r="A1043" s="13">
        <v>105</v>
      </c>
      <c r="B1043" s="4" t="s">
        <v>1978</v>
      </c>
      <c r="C1043" s="4" t="s">
        <v>1979</v>
      </c>
      <c r="D1043" s="7">
        <v>43087</v>
      </c>
      <c r="E1043" s="3">
        <v>3566</v>
      </c>
      <c r="F1043" s="4" t="s">
        <v>46</v>
      </c>
      <c r="G1043" s="4"/>
      <c r="H1043" s="4" t="s">
        <v>70</v>
      </c>
      <c r="I1043" s="4" t="s">
        <v>94</v>
      </c>
      <c r="J1043" s="4" t="s">
        <v>170</v>
      </c>
      <c r="K1043" s="4"/>
      <c r="L1043" s="4"/>
      <c r="M1043" s="3">
        <v>7.33</v>
      </c>
      <c r="N1043" s="3">
        <v>1827.96</v>
      </c>
      <c r="O1043" s="4" t="s">
        <v>34</v>
      </c>
      <c r="P1043" s="4" t="s">
        <v>34</v>
      </c>
      <c r="Q1043" s="4" t="s">
        <v>35</v>
      </c>
      <c r="R1043" s="3">
        <v>6673.33</v>
      </c>
      <c r="S1043" s="3">
        <v>-6.0730899999999997</v>
      </c>
      <c r="T1043" s="4" t="s">
        <v>88</v>
      </c>
      <c r="U1043" s="2" t="s">
        <v>37</v>
      </c>
      <c r="V1043" s="2" t="s">
        <v>37</v>
      </c>
      <c r="W1043" s="2" t="s">
        <v>37</v>
      </c>
      <c r="X1043" s="2" t="s">
        <v>37</v>
      </c>
      <c r="Y1043" s="2" t="s">
        <v>37</v>
      </c>
      <c r="Z1043" s="2" t="s">
        <v>38</v>
      </c>
      <c r="AA1043" s="6">
        <v>3.5521813390000001</v>
      </c>
      <c r="AB1043" s="6">
        <v>3.8243426010000001</v>
      </c>
      <c r="AC1043" s="6">
        <v>3.2619666879999998</v>
      </c>
      <c r="AD1043" cm="1">
        <f t="array" ref="AD1043">IF(SUMPRODUCT(--($AM$2:$AM$112=TRIM(LEFT($B1043,IFERROR(FIND(" ",$B1043)-1,LEN($B1043))))))&gt;0,1,0)</f>
        <v>0</v>
      </c>
      <c r="AE1043" cm="1">
        <f t="array" ref="AE1043">IF(SUMPRODUCT(--($AO$2:$AO$145=TRIM(LEFT($B1043,IFERROR(FIND(" ",$B1043)-1,LEN($B1043))))))&gt;0,1,0)</f>
        <v>0</v>
      </c>
      <c r="AF1043" cm="1">
        <f t="array" ref="AF1043">IF(SUMPRODUCT(--($AQ$2:$AQ$71=TRIM(LEFT($B1043,IFERROR(FIND(" ",$B1043)-1,LEN($B1043))))))&gt;0,1,0)</f>
        <v>0</v>
      </c>
    </row>
    <row r="1044" spans="1:32" ht="45.75" thickBot="1" x14ac:dyDescent="0.3">
      <c r="A1044" s="13">
        <v>59</v>
      </c>
      <c r="B1044" s="4" t="s">
        <v>1980</v>
      </c>
      <c r="C1044" s="4" t="s">
        <v>1860</v>
      </c>
      <c r="D1044" s="7">
        <v>43146</v>
      </c>
      <c r="E1044" s="3">
        <v>4679.42</v>
      </c>
      <c r="F1044" s="4" t="s">
        <v>69</v>
      </c>
      <c r="G1044" s="4"/>
      <c r="H1044" s="4" t="s">
        <v>51</v>
      </c>
      <c r="I1044" s="4" t="s">
        <v>51</v>
      </c>
      <c r="J1044" s="4" t="s">
        <v>79</v>
      </c>
      <c r="K1044" s="4"/>
      <c r="L1044" s="3">
        <v>95</v>
      </c>
      <c r="M1044" s="4"/>
      <c r="N1044" s="3">
        <v>3203.48</v>
      </c>
      <c r="O1044" s="4" t="s">
        <v>49</v>
      </c>
      <c r="P1044" s="4" t="s">
        <v>49</v>
      </c>
      <c r="Q1044" s="4" t="s">
        <v>35</v>
      </c>
      <c r="R1044" s="3">
        <v>344.03399999999999</v>
      </c>
      <c r="S1044" s="3">
        <v>64.070700000000002</v>
      </c>
      <c r="T1044" s="4" t="s">
        <v>43</v>
      </c>
      <c r="U1044" s="2" t="s">
        <v>37</v>
      </c>
      <c r="V1044" s="2" t="s">
        <v>37</v>
      </c>
      <c r="W1044" s="2" t="s">
        <v>37</v>
      </c>
      <c r="X1044" s="2" t="s">
        <v>37</v>
      </c>
      <c r="Y1044" s="2" t="s">
        <v>37</v>
      </c>
      <c r="Z1044" s="2" t="s">
        <v>37</v>
      </c>
      <c r="AA1044" s="6">
        <v>3.6701920270000001</v>
      </c>
      <c r="AB1044" s="6">
        <v>2.5366013650000001</v>
      </c>
      <c r="AC1044" s="6">
        <v>3.5056220169999999</v>
      </c>
      <c r="AD1044" cm="1">
        <f t="array" ref="AD1044">IF(SUMPRODUCT(--($AM$2:$AM$112=TRIM(LEFT($B1044,IFERROR(FIND(" ",$B1044)-1,LEN($B1044))))))&gt;0,1,0)</f>
        <v>0</v>
      </c>
      <c r="AE1044" cm="1">
        <f t="array" ref="AE1044">IF(SUMPRODUCT(--($AO$2:$AO$145=TRIM(LEFT($B1044,IFERROR(FIND(" ",$B1044)-1,LEN($B1044))))))&gt;0,1,0)</f>
        <v>0</v>
      </c>
      <c r="AF1044" cm="1">
        <f t="array" ref="AF1044">IF(SUMPRODUCT(--($AQ$2:$AQ$71=TRIM(LEFT($B1044,IFERROR(FIND(" ",$B1044)-1,LEN($B1044))))))&gt;0,1,0)</f>
        <v>0</v>
      </c>
    </row>
    <row r="1045" spans="1:32" ht="105.75" thickBot="1" x14ac:dyDescent="0.3">
      <c r="A1045" s="13">
        <v>299</v>
      </c>
      <c r="B1045" s="4" t="s">
        <v>1981</v>
      </c>
      <c r="C1045" s="4" t="s">
        <v>1982</v>
      </c>
      <c r="D1045" s="7">
        <v>42807</v>
      </c>
      <c r="E1045" s="3">
        <v>14131.97</v>
      </c>
      <c r="F1045" s="4" t="s">
        <v>30</v>
      </c>
      <c r="G1045" s="3">
        <v>113.03</v>
      </c>
      <c r="H1045" s="4" t="s">
        <v>75</v>
      </c>
      <c r="I1045" s="4" t="s">
        <v>76</v>
      </c>
      <c r="J1045" s="4" t="s">
        <v>298</v>
      </c>
      <c r="K1045" s="4"/>
      <c r="L1045" s="4"/>
      <c r="M1045" s="3">
        <v>37.53</v>
      </c>
      <c r="N1045" s="3">
        <v>14762.2</v>
      </c>
      <c r="O1045" s="4" t="s">
        <v>34</v>
      </c>
      <c r="P1045" s="4" t="s">
        <v>34</v>
      </c>
      <c r="Q1045" s="4" t="s">
        <v>35</v>
      </c>
      <c r="R1045" s="3">
        <v>358.16199999999998</v>
      </c>
      <c r="S1045" s="3">
        <v>32.925400000000003</v>
      </c>
      <c r="T1045" s="4" t="s">
        <v>964</v>
      </c>
      <c r="U1045" s="2" t="s">
        <v>37</v>
      </c>
      <c r="V1045" s="2" t="s">
        <v>37</v>
      </c>
      <c r="W1045" s="2" t="s">
        <v>38</v>
      </c>
      <c r="X1045" s="2" t="s">
        <v>37</v>
      </c>
      <c r="Y1045" s="2" t="s">
        <v>37</v>
      </c>
      <c r="Z1045" s="2" t="s">
        <v>38</v>
      </c>
      <c r="AA1045" s="6">
        <v>4.150202707</v>
      </c>
      <c r="AB1045" s="6">
        <v>2.554079507</v>
      </c>
      <c r="AC1045" s="6">
        <v>4.1691510850000002</v>
      </c>
      <c r="AD1045" cm="1">
        <f t="array" ref="AD1045">IF(SUMPRODUCT(--($AM$2:$AM$112=TRIM(LEFT($B1045,IFERROR(FIND(" ",$B1045)-1,LEN($B1045))))))&gt;0,1,0)</f>
        <v>0</v>
      </c>
      <c r="AE1045" cm="1">
        <f t="array" ref="AE1045">IF(SUMPRODUCT(--($AO$2:$AO$145=TRIM(LEFT($B1045,IFERROR(FIND(" ",$B1045)-1,LEN($B1045))))))&gt;0,1,0)</f>
        <v>0</v>
      </c>
      <c r="AF1045" cm="1">
        <f t="array" ref="AF1045">IF(SUMPRODUCT(--($AQ$2:$AQ$71=TRIM(LEFT($B1045,IFERROR(FIND(" ",$B1045)-1,LEN($B1045))))))&gt;0,1,0)</f>
        <v>0</v>
      </c>
    </row>
    <row r="1046" spans="1:32" ht="75.75" thickBot="1" x14ac:dyDescent="0.3">
      <c r="A1046" s="13">
        <v>32</v>
      </c>
      <c r="B1046" s="4" t="s">
        <v>1983</v>
      </c>
      <c r="C1046" s="4" t="s">
        <v>320</v>
      </c>
      <c r="D1046" s="7">
        <v>43179</v>
      </c>
      <c r="E1046" s="3">
        <v>5667.38</v>
      </c>
      <c r="F1046" s="4" t="s">
        <v>107</v>
      </c>
      <c r="G1046" s="4"/>
      <c r="H1046" s="4" t="s">
        <v>31</v>
      </c>
      <c r="I1046" s="4" t="s">
        <v>32</v>
      </c>
      <c r="J1046" s="4" t="s">
        <v>33</v>
      </c>
      <c r="K1046" s="4"/>
      <c r="L1046" s="3">
        <v>187</v>
      </c>
      <c r="M1046" s="3">
        <v>37.96</v>
      </c>
      <c r="N1046" s="3">
        <v>5871.55</v>
      </c>
      <c r="O1046" s="4" t="s">
        <v>34</v>
      </c>
      <c r="P1046" s="4" t="s">
        <v>34</v>
      </c>
      <c r="Q1046" s="4" t="s">
        <v>35</v>
      </c>
      <c r="R1046" s="3">
        <v>296.45600000000002</v>
      </c>
      <c r="S1046" s="3">
        <v>-26.9163</v>
      </c>
      <c r="T1046" s="4" t="s">
        <v>88</v>
      </c>
      <c r="U1046" s="2" t="s">
        <v>37</v>
      </c>
      <c r="V1046" s="2" t="s">
        <v>37</v>
      </c>
      <c r="W1046" s="2" t="s">
        <v>37</v>
      </c>
      <c r="X1046" s="2" t="s">
        <v>37</v>
      </c>
      <c r="Y1046" s="2" t="s">
        <v>37</v>
      </c>
      <c r="Z1046" s="2" t="s">
        <v>38</v>
      </c>
      <c r="AA1046" s="6">
        <v>3.7533823329999998</v>
      </c>
      <c r="AB1046" s="6">
        <v>2.4719602439999999</v>
      </c>
      <c r="AC1046" s="6">
        <v>3.7687527639999998</v>
      </c>
      <c r="AD1046" cm="1">
        <f t="array" ref="AD1046">IF(SUMPRODUCT(--($AM$2:$AM$112=TRIM(LEFT($B1046,IFERROR(FIND(" ",$B1046)-1,LEN($B1046))))))&gt;0,1,0)</f>
        <v>0</v>
      </c>
      <c r="AE1046" cm="1">
        <f t="array" ref="AE1046">IF(SUMPRODUCT(--($AO$2:$AO$145=TRIM(LEFT($B1046,IFERROR(FIND(" ",$B1046)-1,LEN($B1046))))))&gt;0,1,0)</f>
        <v>0</v>
      </c>
      <c r="AF1046" cm="1">
        <f t="array" ref="AF1046">IF(SUMPRODUCT(--($AQ$2:$AQ$71=TRIM(LEFT($B1046,IFERROR(FIND(" ",$B1046)-1,LEN($B1046))))))&gt;0,1,0)</f>
        <v>0</v>
      </c>
    </row>
    <row r="1047" spans="1:32" ht="210.75" thickBot="1" x14ac:dyDescent="0.3">
      <c r="A1047" s="13">
        <v>47</v>
      </c>
      <c r="B1047" s="4" t="s">
        <v>1984</v>
      </c>
      <c r="C1047" s="2"/>
      <c r="D1047" s="7">
        <v>43158</v>
      </c>
      <c r="E1047" s="3">
        <v>1014.7</v>
      </c>
      <c r="F1047" s="4" t="s">
        <v>30</v>
      </c>
      <c r="G1047" s="3">
        <v>14.57</v>
      </c>
      <c r="H1047" s="4" t="s">
        <v>70</v>
      </c>
      <c r="I1047" s="4" t="s">
        <v>94</v>
      </c>
      <c r="J1047" s="4" t="s">
        <v>108</v>
      </c>
      <c r="K1047" s="3">
        <v>28.4</v>
      </c>
      <c r="L1047" s="4"/>
      <c r="M1047" s="4"/>
      <c r="N1047" s="3">
        <v>652.88</v>
      </c>
      <c r="O1047" s="4" t="s">
        <v>49</v>
      </c>
      <c r="P1047" s="4" t="s">
        <v>49</v>
      </c>
      <c r="Q1047" s="4" t="s">
        <v>35</v>
      </c>
      <c r="R1047" s="3">
        <v>637.31700000000001</v>
      </c>
      <c r="S1047" s="3">
        <v>5.6944699999999999</v>
      </c>
      <c r="T1047" s="4" t="s">
        <v>573</v>
      </c>
      <c r="U1047" s="2" t="s">
        <v>38</v>
      </c>
      <c r="V1047" s="2" t="s">
        <v>37</v>
      </c>
      <c r="W1047" s="2" t="s">
        <v>38</v>
      </c>
      <c r="X1047" s="2" t="s">
        <v>38</v>
      </c>
      <c r="Y1047" s="2" t="s">
        <v>38</v>
      </c>
      <c r="Z1047" s="2" t="s">
        <v>37</v>
      </c>
      <c r="AA1047" s="6">
        <v>3.0063376599999998</v>
      </c>
      <c r="AB1047" s="6">
        <v>2.804355503</v>
      </c>
      <c r="AC1047" s="6">
        <v>2.8148333650000001</v>
      </c>
      <c r="AD1047" cm="1">
        <f t="array" ref="AD1047">IF(SUMPRODUCT(--($AM$2:$AM$112=TRIM(LEFT($B1047,IFERROR(FIND(" ",$B1047)-1,LEN($B1047))))))&gt;0,1,0)</f>
        <v>0</v>
      </c>
      <c r="AE1047" cm="1">
        <f t="array" ref="AE1047">IF(SUMPRODUCT(--($AO$2:$AO$145=TRIM(LEFT($B1047,IFERROR(FIND(" ",$B1047)-1,LEN($B1047))))))&gt;0,1,0)</f>
        <v>0</v>
      </c>
      <c r="AF1047" cm="1">
        <f t="array" ref="AF1047">IF(SUMPRODUCT(--($AQ$2:$AQ$71=TRIM(LEFT($B1047,IFERROR(FIND(" ",$B1047)-1,LEN($B1047))))))&gt;0,1,0)</f>
        <v>0</v>
      </c>
    </row>
    <row r="1048" spans="1:32" ht="105.75" thickBot="1" x14ac:dyDescent="0.3">
      <c r="A1048" s="13">
        <v>114</v>
      </c>
      <c r="B1048" s="4" t="s">
        <v>1985</v>
      </c>
      <c r="C1048" s="4" t="s">
        <v>1925</v>
      </c>
      <c r="D1048" s="7">
        <v>43063</v>
      </c>
      <c r="E1048" s="3">
        <v>794.28</v>
      </c>
      <c r="F1048" s="4" t="s">
        <v>69</v>
      </c>
      <c r="G1048" s="4"/>
      <c r="H1048" s="4" t="s">
        <v>127</v>
      </c>
      <c r="I1048" s="4" t="s">
        <v>128</v>
      </c>
      <c r="J1048" s="4" t="s">
        <v>584</v>
      </c>
      <c r="K1048" s="4"/>
      <c r="L1048" s="4"/>
      <c r="M1048" s="3">
        <v>173.08</v>
      </c>
      <c r="N1048" s="3">
        <v>821.66</v>
      </c>
      <c r="O1048" s="4" t="s">
        <v>49</v>
      </c>
      <c r="P1048" s="4" t="s">
        <v>49</v>
      </c>
      <c r="Q1048" s="4" t="s">
        <v>476</v>
      </c>
      <c r="R1048" s="3">
        <v>20.241</v>
      </c>
      <c r="S1048" s="3">
        <v>20.920200000000001</v>
      </c>
      <c r="T1048" s="4" t="s">
        <v>1770</v>
      </c>
      <c r="U1048" s="2" t="s">
        <v>37</v>
      </c>
      <c r="V1048" s="2" t="s">
        <v>37</v>
      </c>
      <c r="W1048" s="2" t="s">
        <v>37</v>
      </c>
      <c r="X1048" s="2" t="s">
        <v>37</v>
      </c>
      <c r="Y1048" s="2" t="s">
        <v>37</v>
      </c>
      <c r="Z1048" s="2" t="s">
        <v>38</v>
      </c>
      <c r="AA1048" s="6">
        <v>2.8999736270000001</v>
      </c>
      <c r="AB1048" s="6">
        <v>1.3062319650000001</v>
      </c>
      <c r="AC1048" s="6">
        <v>2.9146921450000001</v>
      </c>
      <c r="AD1048" cm="1">
        <f t="array" ref="AD1048">IF(SUMPRODUCT(--($AM$2:$AM$112=TRIM(LEFT($B1048,IFERROR(FIND(" ",$B1048)-1,LEN($B1048))))))&gt;0,1,0)</f>
        <v>0</v>
      </c>
      <c r="AE1048" cm="1">
        <f t="array" ref="AE1048">IF(SUMPRODUCT(--($AO$2:$AO$145=TRIM(LEFT($B1048,IFERROR(FIND(" ",$B1048)-1,LEN($B1048))))))&gt;0,1,0)</f>
        <v>0</v>
      </c>
      <c r="AF1048" cm="1">
        <f t="array" ref="AF1048">IF(SUMPRODUCT(--($AQ$2:$AQ$71=TRIM(LEFT($B1048,IFERROR(FIND(" ",$B1048)-1,LEN($B1048))))))&gt;0,1,0)</f>
        <v>0</v>
      </c>
    </row>
    <row r="1049" spans="1:32" ht="120.75" thickBot="1" x14ac:dyDescent="0.3">
      <c r="A1049" s="13">
        <v>84</v>
      </c>
      <c r="B1049" s="4" t="s">
        <v>1986</v>
      </c>
      <c r="C1049" s="4" t="s">
        <v>1987</v>
      </c>
      <c r="D1049" s="7">
        <v>43102</v>
      </c>
      <c r="E1049" s="3">
        <v>584.85</v>
      </c>
      <c r="F1049" s="4" t="s">
        <v>46</v>
      </c>
      <c r="G1049" s="3">
        <v>4.38</v>
      </c>
      <c r="H1049" s="4" t="s">
        <v>118</v>
      </c>
      <c r="I1049" s="4" t="s">
        <v>119</v>
      </c>
      <c r="J1049" s="4" t="s">
        <v>355</v>
      </c>
      <c r="K1049" s="4"/>
      <c r="L1049" s="3">
        <v>10</v>
      </c>
      <c r="M1049" s="3">
        <v>22</v>
      </c>
      <c r="N1049" s="3">
        <v>584.85</v>
      </c>
      <c r="O1049" s="4" t="s">
        <v>34</v>
      </c>
      <c r="P1049" s="4" t="s">
        <v>34</v>
      </c>
      <c r="Q1049" s="4" t="s">
        <v>35</v>
      </c>
      <c r="R1049" s="3">
        <v>1489.82</v>
      </c>
      <c r="S1049" s="3">
        <v>23.854900000000001</v>
      </c>
      <c r="T1049" s="4" t="s">
        <v>321</v>
      </c>
      <c r="U1049" s="2" t="s">
        <v>38</v>
      </c>
      <c r="V1049" s="2" t="s">
        <v>37</v>
      </c>
      <c r="W1049" s="2" t="s">
        <v>37</v>
      </c>
      <c r="X1049" s="2" t="s">
        <v>37</v>
      </c>
      <c r="Y1049" s="2" t="s">
        <v>37</v>
      </c>
      <c r="Z1049" s="2" t="s">
        <v>37</v>
      </c>
      <c r="AA1049" s="6">
        <v>2.7670444939999999</v>
      </c>
      <c r="AB1049" s="6">
        <v>3.1731338</v>
      </c>
      <c r="AC1049" s="6">
        <v>2.7670444939999999</v>
      </c>
      <c r="AD1049" cm="1">
        <f t="array" ref="AD1049">IF(SUMPRODUCT(--($AM$2:$AM$112=TRIM(LEFT($B1049,IFERROR(FIND(" ",$B1049)-1,LEN($B1049))))))&gt;0,1,0)</f>
        <v>0</v>
      </c>
      <c r="AE1049" cm="1">
        <f t="array" ref="AE1049">IF(SUMPRODUCT(--($AO$2:$AO$145=TRIM(LEFT($B1049,IFERROR(FIND(" ",$B1049)-1,LEN($B1049))))))&gt;0,1,0)</f>
        <v>0</v>
      </c>
      <c r="AF1049" cm="1">
        <f t="array" ref="AF1049">IF(SUMPRODUCT(--($AQ$2:$AQ$71=TRIM(LEFT($B1049,IFERROR(FIND(" ",$B1049)-1,LEN($B1049))))))&gt;0,1,0)</f>
        <v>0</v>
      </c>
    </row>
    <row r="1050" spans="1:32" ht="45.75" thickBot="1" x14ac:dyDescent="0.3">
      <c r="A1050" s="13">
        <v>44</v>
      </c>
      <c r="B1050" s="4" t="s">
        <v>1988</v>
      </c>
      <c r="C1050" s="4" t="s">
        <v>1989</v>
      </c>
      <c r="D1050" s="7">
        <v>43154</v>
      </c>
      <c r="E1050" s="3">
        <v>7885.88</v>
      </c>
      <c r="F1050" s="4" t="s">
        <v>30</v>
      </c>
      <c r="G1050" s="3">
        <v>25.13</v>
      </c>
      <c r="H1050" s="4" t="s">
        <v>127</v>
      </c>
      <c r="I1050" s="4" t="s">
        <v>128</v>
      </c>
      <c r="J1050" s="4" t="s">
        <v>129</v>
      </c>
      <c r="K1050" s="4"/>
      <c r="L1050" s="3">
        <v>234</v>
      </c>
      <c r="M1050" s="3">
        <v>19.02</v>
      </c>
      <c r="N1050" s="3">
        <v>7885.88</v>
      </c>
      <c r="O1050" s="4" t="s">
        <v>34</v>
      </c>
      <c r="P1050" s="4" t="s">
        <v>34</v>
      </c>
      <c r="Q1050" s="4" t="s">
        <v>35</v>
      </c>
      <c r="R1050" s="3">
        <v>1274.5899999999999</v>
      </c>
      <c r="S1050" s="3">
        <v>23.781500000000001</v>
      </c>
      <c r="T1050" s="4" t="s">
        <v>43</v>
      </c>
      <c r="U1050" s="2" t="s">
        <v>37</v>
      </c>
      <c r="V1050" s="2" t="s">
        <v>37</v>
      </c>
      <c r="W1050" s="2" t="s">
        <v>37</v>
      </c>
      <c r="X1050" s="2" t="s">
        <v>37</v>
      </c>
      <c r="Y1050" s="2" t="s">
        <v>37</v>
      </c>
      <c r="Z1050" s="2" t="s">
        <v>37</v>
      </c>
      <c r="AA1050" s="6">
        <v>3.8968501639999999</v>
      </c>
      <c r="AB1050" s="6">
        <v>3.1053705069999999</v>
      </c>
      <c r="AC1050" s="6">
        <v>3.8968501639999999</v>
      </c>
      <c r="AD1050" cm="1">
        <f t="array" ref="AD1050">IF(SUMPRODUCT(--($AM$2:$AM$112=TRIM(LEFT($B1050,IFERROR(FIND(" ",$B1050)-1,LEN($B1050))))))&gt;0,1,0)</f>
        <v>0</v>
      </c>
      <c r="AE1050" cm="1">
        <f t="array" ref="AE1050">IF(SUMPRODUCT(--($AO$2:$AO$145=TRIM(LEFT($B1050,IFERROR(FIND(" ",$B1050)-1,LEN($B1050))))))&gt;0,1,0)</f>
        <v>0</v>
      </c>
      <c r="AF1050" cm="1">
        <f t="array" ref="AF1050">IF(SUMPRODUCT(--($AQ$2:$AQ$71=TRIM(LEFT($B1050,IFERROR(FIND(" ",$B1050)-1,LEN($B1050))))))&gt;0,1,0)</f>
        <v>0</v>
      </c>
    </row>
    <row r="1051" spans="1:32" ht="45.75" thickBot="1" x14ac:dyDescent="0.3">
      <c r="A1051" s="13">
        <v>69</v>
      </c>
      <c r="B1051" s="4" t="s">
        <v>1990</v>
      </c>
      <c r="C1051" s="4" t="s">
        <v>1849</v>
      </c>
      <c r="D1051" s="7">
        <v>43111</v>
      </c>
      <c r="E1051" s="3">
        <v>5562.6</v>
      </c>
      <c r="F1051" s="4" t="s">
        <v>30</v>
      </c>
      <c r="G1051" s="3">
        <v>13.46</v>
      </c>
      <c r="H1051" s="4" t="s">
        <v>65</v>
      </c>
      <c r="I1051" s="4" t="s">
        <v>138</v>
      </c>
      <c r="J1051" s="4" t="s">
        <v>139</v>
      </c>
      <c r="K1051" s="4"/>
      <c r="L1051" s="3">
        <v>165</v>
      </c>
      <c r="M1051" s="3">
        <v>33</v>
      </c>
      <c r="N1051" s="3">
        <v>5058.5</v>
      </c>
      <c r="O1051" s="4" t="s">
        <v>34</v>
      </c>
      <c r="P1051" s="4" t="s">
        <v>34</v>
      </c>
      <c r="Q1051" s="4" t="s">
        <v>35</v>
      </c>
      <c r="R1051" s="3">
        <v>2218.1999999999998</v>
      </c>
      <c r="S1051" s="3">
        <v>12.8573</v>
      </c>
      <c r="T1051" s="4" t="s">
        <v>43</v>
      </c>
      <c r="U1051" s="2" t="s">
        <v>37</v>
      </c>
      <c r="V1051" s="2" t="s">
        <v>37</v>
      </c>
      <c r="W1051" s="2" t="s">
        <v>37</v>
      </c>
      <c r="X1051" s="2" t="s">
        <v>37</v>
      </c>
      <c r="Y1051" s="2" t="s">
        <v>37</v>
      </c>
      <c r="Z1051" s="2" t="s">
        <v>37</v>
      </c>
      <c r="AA1051" s="6">
        <v>3.7452778310000001</v>
      </c>
      <c r="AB1051" s="6">
        <v>3.3460007009999999</v>
      </c>
      <c r="AC1051" s="6">
        <v>3.7040217540000002</v>
      </c>
      <c r="AD1051" cm="1">
        <f t="array" ref="AD1051">IF(SUMPRODUCT(--($AM$2:$AM$112=TRIM(LEFT($B1051,IFERROR(FIND(" ",$B1051)-1,LEN($B1051))))))&gt;0,1,0)</f>
        <v>0</v>
      </c>
      <c r="AE1051" cm="1">
        <f t="array" ref="AE1051">IF(SUMPRODUCT(--($AO$2:$AO$145=TRIM(LEFT($B1051,IFERROR(FIND(" ",$B1051)-1,LEN($B1051))))))&gt;0,1,0)</f>
        <v>0</v>
      </c>
      <c r="AF1051" cm="1">
        <f t="array" ref="AF1051">IF(SUMPRODUCT(--($AQ$2:$AQ$71=TRIM(LEFT($B1051,IFERROR(FIND(" ",$B1051)-1,LEN($B1051))))))&gt;0,1,0)</f>
        <v>0</v>
      </c>
    </row>
    <row r="1052" spans="1:32" ht="135.75" thickBot="1" x14ac:dyDescent="0.3">
      <c r="A1052" s="13">
        <v>52</v>
      </c>
      <c r="B1052" s="4" t="s">
        <v>1991</v>
      </c>
      <c r="C1052" s="4" t="s">
        <v>158</v>
      </c>
      <c r="D1052" s="7">
        <v>43131</v>
      </c>
      <c r="E1052" s="3">
        <v>2300.5700000000002</v>
      </c>
      <c r="F1052" s="4" t="s">
        <v>30</v>
      </c>
      <c r="G1052" s="3">
        <v>10.11</v>
      </c>
      <c r="H1052" s="4" t="s">
        <v>75</v>
      </c>
      <c r="I1052" s="4" t="s">
        <v>76</v>
      </c>
      <c r="J1052" s="4" t="s">
        <v>77</v>
      </c>
      <c r="K1052" s="3">
        <v>112.5</v>
      </c>
      <c r="L1052" s="3">
        <v>45</v>
      </c>
      <c r="M1052" s="4"/>
      <c r="N1052" s="3">
        <v>1481.66</v>
      </c>
      <c r="O1052" s="4" t="s">
        <v>34</v>
      </c>
      <c r="P1052" s="4" t="s">
        <v>34</v>
      </c>
      <c r="Q1052" s="4" t="s">
        <v>35</v>
      </c>
      <c r="R1052" s="3">
        <v>2056.3000000000002</v>
      </c>
      <c r="S1052" s="3">
        <v>8.4743300000000001</v>
      </c>
      <c r="T1052" s="4" t="s">
        <v>1254</v>
      </c>
      <c r="U1052" s="2" t="s">
        <v>37</v>
      </c>
      <c r="V1052" s="2" t="s">
        <v>37</v>
      </c>
      <c r="W1052" s="2" t="s">
        <v>37</v>
      </c>
      <c r="X1052" s="2" t="s">
        <v>38</v>
      </c>
      <c r="Y1052" s="2" t="s">
        <v>38</v>
      </c>
      <c r="Z1052" s="2" t="s">
        <v>37</v>
      </c>
      <c r="AA1052" s="6">
        <v>3.3618354519999998</v>
      </c>
      <c r="AB1052" s="6">
        <v>3.3130864760000001</v>
      </c>
      <c r="AC1052" s="6">
        <v>3.170748557</v>
      </c>
      <c r="AD1052" cm="1">
        <f t="array" ref="AD1052">IF(SUMPRODUCT(--($AM$2:$AM$112=TRIM(LEFT($B1052,IFERROR(FIND(" ",$B1052)-1,LEN($B1052))))))&gt;0,1,0)</f>
        <v>0</v>
      </c>
      <c r="AE1052" cm="1">
        <f t="array" ref="AE1052">IF(SUMPRODUCT(--($AO$2:$AO$145=TRIM(LEFT($B1052,IFERROR(FIND(" ",$B1052)-1,LEN($B1052))))))&gt;0,1,0)</f>
        <v>0</v>
      </c>
      <c r="AF1052" cm="1">
        <f t="array" ref="AF1052">IF(SUMPRODUCT(--($AQ$2:$AQ$71=TRIM(LEFT($B1052,IFERROR(FIND(" ",$B1052)-1,LEN($B1052))))))&gt;0,1,0)</f>
        <v>0</v>
      </c>
    </row>
    <row r="1053" spans="1:32" ht="45.75" thickBot="1" x14ac:dyDescent="0.3">
      <c r="A1053" s="13">
        <v>116</v>
      </c>
      <c r="B1053" s="4" t="s">
        <v>1992</v>
      </c>
      <c r="C1053" s="4" t="s">
        <v>756</v>
      </c>
      <c r="D1053" s="7">
        <v>43038</v>
      </c>
      <c r="E1053" s="3">
        <v>10515.44</v>
      </c>
      <c r="F1053" s="4" t="s">
        <v>46</v>
      </c>
      <c r="G1053" s="3">
        <v>15.33</v>
      </c>
      <c r="H1053" s="4" t="s">
        <v>279</v>
      </c>
      <c r="I1053" s="4" t="s">
        <v>279</v>
      </c>
      <c r="J1053" s="4" t="s">
        <v>280</v>
      </c>
      <c r="K1053" s="3">
        <v>100</v>
      </c>
      <c r="L1053" s="3">
        <v>87</v>
      </c>
      <c r="M1053" s="3">
        <v>29.68</v>
      </c>
      <c r="N1053" s="3">
        <v>1645.44</v>
      </c>
      <c r="O1053" s="4" t="s">
        <v>34</v>
      </c>
      <c r="P1053" s="4" t="s">
        <v>34</v>
      </c>
      <c r="Q1053" s="4" t="s">
        <v>35</v>
      </c>
      <c r="R1053" s="3">
        <v>4842</v>
      </c>
      <c r="S1053" s="3">
        <v>-8.5088799999999996</v>
      </c>
      <c r="T1053" s="4" t="s">
        <v>43</v>
      </c>
      <c r="U1053" s="2" t="s">
        <v>37</v>
      </c>
      <c r="V1053" s="2" t="s">
        <v>37</v>
      </c>
      <c r="W1053" s="2" t="s">
        <v>37</v>
      </c>
      <c r="X1053" s="2" t="s">
        <v>37</v>
      </c>
      <c r="Y1053" s="2" t="s">
        <v>37</v>
      </c>
      <c r="Z1053" s="2" t="s">
        <v>37</v>
      </c>
      <c r="AA1053" s="6">
        <v>4.02182745</v>
      </c>
      <c r="AB1053" s="6">
        <v>3.685024785</v>
      </c>
      <c r="AC1053" s="6">
        <v>3.2162820509999999</v>
      </c>
      <c r="AD1053" cm="1">
        <f t="array" ref="AD1053">IF(SUMPRODUCT(--($AM$2:$AM$112=TRIM(LEFT($B1053,IFERROR(FIND(" ",$B1053)-1,LEN($B1053))))))&gt;0,1,0)</f>
        <v>0</v>
      </c>
      <c r="AE1053" cm="1">
        <f t="array" ref="AE1053">IF(SUMPRODUCT(--($AO$2:$AO$145=TRIM(LEFT($B1053,IFERROR(FIND(" ",$B1053)-1,LEN($B1053))))))&gt;0,1,0)</f>
        <v>0</v>
      </c>
      <c r="AF1053" cm="1">
        <f t="array" ref="AF1053">IF(SUMPRODUCT(--($AQ$2:$AQ$71=TRIM(LEFT($B1053,IFERROR(FIND(" ",$B1053)-1,LEN($B1053))))))&gt;0,1,0)</f>
        <v>0</v>
      </c>
    </row>
    <row r="1054" spans="1:32" ht="75.75" thickBot="1" x14ac:dyDescent="0.3">
      <c r="A1054" s="13">
        <v>50</v>
      </c>
      <c r="B1054" s="4" t="s">
        <v>1993</v>
      </c>
      <c r="C1054" s="4" t="s">
        <v>1791</v>
      </c>
      <c r="D1054" s="7">
        <v>43129</v>
      </c>
      <c r="E1054" s="3">
        <v>2285.9899999999998</v>
      </c>
      <c r="F1054" s="4" t="s">
        <v>30</v>
      </c>
      <c r="G1054" s="4"/>
      <c r="H1054" s="4" t="s">
        <v>31</v>
      </c>
      <c r="I1054" s="4" t="s">
        <v>32</v>
      </c>
      <c r="J1054" s="4" t="s">
        <v>33</v>
      </c>
      <c r="K1054" s="4"/>
      <c r="L1054" s="3">
        <v>75</v>
      </c>
      <c r="M1054" s="3">
        <v>19.68</v>
      </c>
      <c r="N1054" s="3">
        <v>2462.4</v>
      </c>
      <c r="O1054" s="4" t="s">
        <v>34</v>
      </c>
      <c r="P1054" s="4" t="s">
        <v>439</v>
      </c>
      <c r="Q1054" s="4" t="s">
        <v>35</v>
      </c>
      <c r="R1054" s="3">
        <v>253.09100000000001</v>
      </c>
      <c r="S1054" s="3">
        <v>-8.4748199999999994</v>
      </c>
      <c r="T1054" s="4" t="s">
        <v>97</v>
      </c>
      <c r="U1054" s="2" t="s">
        <v>37</v>
      </c>
      <c r="V1054" s="2" t="s">
        <v>37</v>
      </c>
      <c r="W1054" s="2" t="s">
        <v>38</v>
      </c>
      <c r="X1054" s="2" t="s">
        <v>37</v>
      </c>
      <c r="Y1054" s="2" t="s">
        <v>37</v>
      </c>
      <c r="Z1054" s="2" t="s">
        <v>37</v>
      </c>
      <c r="AA1054" s="6">
        <v>3.359074326</v>
      </c>
      <c r="AB1054" s="6">
        <v>2.4032767019999999</v>
      </c>
      <c r="AC1054" s="6">
        <v>3.3913586019999999</v>
      </c>
      <c r="AD1054" cm="1">
        <f t="array" ref="AD1054">IF(SUMPRODUCT(--($AM$2:$AM$112=TRIM(LEFT($B1054,IFERROR(FIND(" ",$B1054)-1,LEN($B1054))))))&gt;0,1,0)</f>
        <v>0</v>
      </c>
      <c r="AE1054" cm="1">
        <f t="array" ref="AE1054">IF(SUMPRODUCT(--($AO$2:$AO$145=TRIM(LEFT($B1054,IFERROR(FIND(" ",$B1054)-1,LEN($B1054))))))&gt;0,1,0)</f>
        <v>0</v>
      </c>
      <c r="AF1054" cm="1">
        <f t="array" ref="AF1054">IF(SUMPRODUCT(--($AQ$2:$AQ$71=TRIM(LEFT($B1054,IFERROR(FIND(" ",$B1054)-1,LEN($B1054))))))&gt;0,1,0)</f>
        <v>0</v>
      </c>
    </row>
    <row r="1055" spans="1:32" ht="165.75" thickBot="1" x14ac:dyDescent="0.3">
      <c r="A1055" s="13">
        <v>33</v>
      </c>
      <c r="B1055" s="4" t="s">
        <v>1994</v>
      </c>
      <c r="C1055" s="4" t="s">
        <v>1995</v>
      </c>
      <c r="D1055" s="7">
        <v>43151</v>
      </c>
      <c r="E1055" s="3">
        <v>552.86</v>
      </c>
      <c r="F1055" s="4" t="s">
        <v>30</v>
      </c>
      <c r="G1055" s="3">
        <v>11.39</v>
      </c>
      <c r="H1055" s="4" t="s">
        <v>75</v>
      </c>
      <c r="I1055" s="4" t="s">
        <v>111</v>
      </c>
      <c r="J1055" s="4" t="s">
        <v>133</v>
      </c>
      <c r="K1055" s="3">
        <v>29.8</v>
      </c>
      <c r="L1055" s="3">
        <v>17.874199999999998</v>
      </c>
      <c r="M1055" s="4"/>
      <c r="N1055" s="3">
        <v>444.99</v>
      </c>
      <c r="O1055" s="4" t="s">
        <v>34</v>
      </c>
      <c r="P1055" s="4" t="s">
        <v>34</v>
      </c>
      <c r="Q1055" s="4" t="s">
        <v>35</v>
      </c>
      <c r="R1055" s="3">
        <v>314.35899999999998</v>
      </c>
      <c r="S1055" s="3">
        <v>9.3790899999999997</v>
      </c>
      <c r="T1055" s="4" t="s">
        <v>1996</v>
      </c>
      <c r="U1055" s="2" t="s">
        <v>37</v>
      </c>
      <c r="V1055" s="2" t="s">
        <v>37</v>
      </c>
      <c r="W1055" s="2" t="s">
        <v>38</v>
      </c>
      <c r="X1055" s="2" t="s">
        <v>38</v>
      </c>
      <c r="Y1055" s="2" t="s">
        <v>38</v>
      </c>
      <c r="Z1055" s="2" t="s">
        <v>37</v>
      </c>
      <c r="AA1055" s="6">
        <v>2.742615169</v>
      </c>
      <c r="AB1055" s="6">
        <v>2.497425899</v>
      </c>
      <c r="AC1055" s="6">
        <v>2.6483502510000001</v>
      </c>
      <c r="AD1055" cm="1">
        <f t="array" ref="AD1055">IF(SUMPRODUCT(--($AM$2:$AM$112=TRIM(LEFT($B1055,IFERROR(FIND(" ",$B1055)-1,LEN($B1055))))))&gt;0,1,0)</f>
        <v>0</v>
      </c>
      <c r="AE1055" cm="1">
        <f t="array" ref="AE1055">IF(SUMPRODUCT(--($AO$2:$AO$145=TRIM(LEFT($B1055,IFERROR(FIND(" ",$B1055)-1,LEN($B1055))))))&gt;0,1,0)</f>
        <v>0</v>
      </c>
      <c r="AF1055" cm="1">
        <f t="array" ref="AF1055">IF(SUMPRODUCT(--($AQ$2:$AQ$71=TRIM(LEFT($B1055,IFERROR(FIND(" ",$B1055)-1,LEN($B1055))))))&gt;0,1,0)</f>
        <v>0</v>
      </c>
    </row>
    <row r="1056" spans="1:32" ht="75.75" thickBot="1" x14ac:dyDescent="0.3">
      <c r="A1056" s="13">
        <v>38</v>
      </c>
      <c r="B1056" s="4" t="s">
        <v>1997</v>
      </c>
      <c r="C1056" s="4" t="s">
        <v>1998</v>
      </c>
      <c r="D1056" s="7">
        <v>43143</v>
      </c>
      <c r="E1056" s="3">
        <v>9695.9</v>
      </c>
      <c r="F1056" s="4" t="s">
        <v>30</v>
      </c>
      <c r="G1056" s="3">
        <v>13.54</v>
      </c>
      <c r="H1056" s="4" t="s">
        <v>31</v>
      </c>
      <c r="I1056" s="4" t="s">
        <v>32</v>
      </c>
      <c r="J1056" s="4" t="s">
        <v>270</v>
      </c>
      <c r="K1056" s="4"/>
      <c r="L1056" s="3">
        <v>204</v>
      </c>
      <c r="M1056" s="3">
        <v>28.3</v>
      </c>
      <c r="N1056" s="3">
        <v>6778.9</v>
      </c>
      <c r="O1056" s="4" t="s">
        <v>34</v>
      </c>
      <c r="P1056" s="4" t="s">
        <v>34</v>
      </c>
      <c r="Q1056" s="4" t="s">
        <v>35</v>
      </c>
      <c r="R1056" s="3">
        <v>4993</v>
      </c>
      <c r="S1056" s="3">
        <v>9.6366499999999995</v>
      </c>
      <c r="T1056" s="4" t="s">
        <v>88</v>
      </c>
      <c r="U1056" s="2" t="s">
        <v>37</v>
      </c>
      <c r="V1056" s="2" t="s">
        <v>37</v>
      </c>
      <c r="W1056" s="2" t="s">
        <v>37</v>
      </c>
      <c r="X1056" s="2" t="s">
        <v>37</v>
      </c>
      <c r="Y1056" s="2" t="s">
        <v>37</v>
      </c>
      <c r="Z1056" s="2" t="s">
        <v>38</v>
      </c>
      <c r="AA1056" s="6">
        <v>3.9865881280000002</v>
      </c>
      <c r="AB1056" s="6">
        <v>3.698361566</v>
      </c>
      <c r="AC1056" s="6">
        <v>3.8311592270000001</v>
      </c>
      <c r="AD1056" cm="1">
        <f t="array" ref="AD1056">IF(SUMPRODUCT(--($AM$2:$AM$112=TRIM(LEFT($B1056,IFERROR(FIND(" ",$B1056)-1,LEN($B1056))))))&gt;0,1,0)</f>
        <v>0</v>
      </c>
      <c r="AE1056" cm="1">
        <f t="array" ref="AE1056">IF(SUMPRODUCT(--($AO$2:$AO$145=TRIM(LEFT($B1056,IFERROR(FIND(" ",$B1056)-1,LEN($B1056))))))&gt;0,1,0)</f>
        <v>0</v>
      </c>
      <c r="AF1056" cm="1">
        <f t="array" ref="AF1056">IF(SUMPRODUCT(--($AQ$2:$AQ$71=TRIM(LEFT($B1056,IFERROR(FIND(" ",$B1056)-1,LEN($B1056))))))&gt;0,1,0)</f>
        <v>0</v>
      </c>
    </row>
    <row r="1057" spans="1:32" ht="75.75" thickBot="1" x14ac:dyDescent="0.3">
      <c r="A1057" s="13">
        <v>44</v>
      </c>
      <c r="B1057" s="4" t="s">
        <v>1999</v>
      </c>
      <c r="C1057" s="4" t="s">
        <v>2000</v>
      </c>
      <c r="D1057" s="7">
        <v>43132</v>
      </c>
      <c r="E1057" s="3">
        <v>1036.48</v>
      </c>
      <c r="F1057" s="4" t="s">
        <v>30</v>
      </c>
      <c r="G1057" s="3">
        <v>14.89</v>
      </c>
      <c r="H1057" s="4" t="s">
        <v>31</v>
      </c>
      <c r="I1057" s="4" t="s">
        <v>432</v>
      </c>
      <c r="J1057" s="4" t="s">
        <v>433</v>
      </c>
      <c r="K1057" s="4"/>
      <c r="L1057" s="4"/>
      <c r="M1057" s="4"/>
      <c r="N1057" s="3">
        <v>973.68</v>
      </c>
      <c r="O1057" s="4" t="s">
        <v>49</v>
      </c>
      <c r="P1057" s="4" t="s">
        <v>34</v>
      </c>
      <c r="Q1057" s="4" t="s">
        <v>35</v>
      </c>
      <c r="R1057" s="3">
        <v>408.62900000000002</v>
      </c>
      <c r="S1057" s="3">
        <v>10.580500000000001</v>
      </c>
      <c r="T1057" s="4" t="s">
        <v>97</v>
      </c>
      <c r="U1057" s="2" t="s">
        <v>37</v>
      </c>
      <c r="V1057" s="2" t="s">
        <v>37</v>
      </c>
      <c r="W1057" s="2" t="s">
        <v>38</v>
      </c>
      <c r="X1057" s="2" t="s">
        <v>37</v>
      </c>
      <c r="Y1057" s="2" t="s">
        <v>37</v>
      </c>
      <c r="Z1057" s="2" t="s">
        <v>37</v>
      </c>
      <c r="AA1057" s="6">
        <v>3.015560926</v>
      </c>
      <c r="AB1057" s="6">
        <v>2.6113291850000002</v>
      </c>
      <c r="AC1057" s="6">
        <v>2.9884162490000001</v>
      </c>
      <c r="AD1057" cm="1">
        <f t="array" ref="AD1057">IF(SUMPRODUCT(--($AM$2:$AM$112=TRIM(LEFT($B1057,IFERROR(FIND(" ",$B1057)-1,LEN($B1057))))))&gt;0,1,0)</f>
        <v>0</v>
      </c>
      <c r="AE1057" cm="1">
        <f t="array" ref="AE1057">IF(SUMPRODUCT(--($AO$2:$AO$145=TRIM(LEFT($B1057,IFERROR(FIND(" ",$B1057)-1,LEN($B1057))))))&gt;0,1,0)</f>
        <v>0</v>
      </c>
      <c r="AF1057" cm="1">
        <f t="array" ref="AF1057">IF(SUMPRODUCT(--($AQ$2:$AQ$71=TRIM(LEFT($B1057,IFERROR(FIND(" ",$B1057)-1,LEN($B1057))))))&gt;0,1,0)</f>
        <v>0</v>
      </c>
    </row>
    <row r="1058" spans="1:32" ht="45.75" thickBot="1" x14ac:dyDescent="0.3">
      <c r="A1058" s="13">
        <v>180</v>
      </c>
      <c r="B1058" s="4" t="s">
        <v>2001</v>
      </c>
      <c r="C1058" s="4" t="s">
        <v>2002</v>
      </c>
      <c r="D1058" s="7">
        <v>42941</v>
      </c>
      <c r="E1058" s="3">
        <v>988.96</v>
      </c>
      <c r="F1058" s="4" t="s">
        <v>46</v>
      </c>
      <c r="G1058" s="4"/>
      <c r="H1058" s="4" t="s">
        <v>65</v>
      </c>
      <c r="I1058" s="4" t="s">
        <v>66</v>
      </c>
      <c r="J1058" s="4" t="s">
        <v>66</v>
      </c>
      <c r="K1058" s="4"/>
      <c r="L1058" s="3">
        <v>40</v>
      </c>
      <c r="M1058" s="3">
        <v>14.8</v>
      </c>
      <c r="N1058" s="3">
        <v>988.96</v>
      </c>
      <c r="O1058" s="4" t="s">
        <v>34</v>
      </c>
      <c r="P1058" s="4" t="s">
        <v>34</v>
      </c>
      <c r="Q1058" s="4" t="s">
        <v>35</v>
      </c>
      <c r="R1058" s="3">
        <v>211.91200000000001</v>
      </c>
      <c r="S1058" s="3">
        <v>31.785499999999999</v>
      </c>
      <c r="T1058" s="4" t="s">
        <v>43</v>
      </c>
      <c r="U1058" s="2" t="s">
        <v>37</v>
      </c>
      <c r="V1058" s="2" t="s">
        <v>37</v>
      </c>
      <c r="W1058" s="2" t="s">
        <v>37</v>
      </c>
      <c r="X1058" s="2" t="s">
        <v>37</v>
      </c>
      <c r="Y1058" s="2" t="s">
        <v>37</v>
      </c>
      <c r="Z1058" s="2" t="s">
        <v>37</v>
      </c>
      <c r="AA1058" s="6">
        <v>2.9951787259999998</v>
      </c>
      <c r="AB1058" s="6">
        <v>2.3261555500000002</v>
      </c>
      <c r="AC1058" s="6">
        <v>2.9951787259999998</v>
      </c>
      <c r="AD1058" cm="1">
        <f t="array" ref="AD1058">IF(SUMPRODUCT(--($AM$2:$AM$112=TRIM(LEFT($B1058,IFERROR(FIND(" ",$B1058)-1,LEN($B1058))))))&gt;0,1,0)</f>
        <v>0</v>
      </c>
      <c r="AE1058" cm="1">
        <f t="array" ref="AE1058">IF(SUMPRODUCT(--($AO$2:$AO$145=TRIM(LEFT($B1058,IFERROR(FIND(" ",$B1058)-1,LEN($B1058))))))&gt;0,1,0)</f>
        <v>0</v>
      </c>
      <c r="AF1058" cm="1">
        <f t="array" ref="AF1058">IF(SUMPRODUCT(--($AQ$2:$AQ$71=TRIM(LEFT($B1058,IFERROR(FIND(" ",$B1058)-1,LEN($B1058))))))&gt;0,1,0)</f>
        <v>0</v>
      </c>
    </row>
    <row r="1059" spans="1:32" ht="60.75" thickBot="1" x14ac:dyDescent="0.3">
      <c r="A1059" s="13">
        <v>98</v>
      </c>
      <c r="B1059" s="4" t="s">
        <v>2003</v>
      </c>
      <c r="C1059" s="4" t="s">
        <v>965</v>
      </c>
      <c r="D1059" s="7">
        <v>43055</v>
      </c>
      <c r="E1059" s="3">
        <v>985.23</v>
      </c>
      <c r="F1059" s="4" t="s">
        <v>46</v>
      </c>
      <c r="G1059" s="3">
        <v>26.23</v>
      </c>
      <c r="H1059" s="4" t="s">
        <v>41</v>
      </c>
      <c r="I1059" s="4" t="s">
        <v>41</v>
      </c>
      <c r="J1059" s="4" t="s">
        <v>100</v>
      </c>
      <c r="K1059" s="3">
        <v>30</v>
      </c>
      <c r="L1059" s="3">
        <v>30</v>
      </c>
      <c r="M1059" s="3">
        <v>28</v>
      </c>
      <c r="N1059" s="3">
        <v>871.24</v>
      </c>
      <c r="O1059" s="4" t="s">
        <v>34</v>
      </c>
      <c r="P1059" s="4" t="s">
        <v>34</v>
      </c>
      <c r="Q1059" s="4" t="s">
        <v>35</v>
      </c>
      <c r="R1059" s="3">
        <v>796.96500000000003</v>
      </c>
      <c r="S1059" s="3">
        <v>3.58447</v>
      </c>
      <c r="T1059" s="4" t="s">
        <v>43</v>
      </c>
      <c r="U1059" s="2" t="s">
        <v>37</v>
      </c>
      <c r="V1059" s="2" t="s">
        <v>37</v>
      </c>
      <c r="W1059" s="2" t="s">
        <v>37</v>
      </c>
      <c r="X1059" s="2" t="s">
        <v>37</v>
      </c>
      <c r="Y1059" s="2" t="s">
        <v>37</v>
      </c>
      <c r="Z1059" s="2" t="s">
        <v>37</v>
      </c>
      <c r="AA1059" s="6">
        <v>2.9935376279999999</v>
      </c>
      <c r="AB1059" s="6">
        <v>2.9014392490000001</v>
      </c>
      <c r="AC1059" s="6">
        <v>2.9401378060000001</v>
      </c>
      <c r="AD1059" cm="1">
        <f t="array" ref="AD1059">IF(SUMPRODUCT(--($AM$2:$AM$112=TRIM(LEFT($B1059,IFERROR(FIND(" ",$B1059)-1,LEN($B1059))))))&gt;0,1,0)</f>
        <v>0</v>
      </c>
      <c r="AE1059" cm="1">
        <f t="array" ref="AE1059">IF(SUMPRODUCT(--($AO$2:$AO$145=TRIM(LEFT($B1059,IFERROR(FIND(" ",$B1059)-1,LEN($B1059))))))&gt;0,1,0)</f>
        <v>0</v>
      </c>
      <c r="AF1059" cm="1">
        <f t="array" ref="AF1059">IF(SUMPRODUCT(--($AQ$2:$AQ$71=TRIM(LEFT($B1059,IFERROR(FIND(" ",$B1059)-1,LEN($B1059))))))&gt;0,1,0)</f>
        <v>0</v>
      </c>
    </row>
    <row r="1060" spans="1:32" ht="45.75" thickBot="1" x14ac:dyDescent="0.3">
      <c r="A1060" s="13">
        <v>72</v>
      </c>
      <c r="B1060" s="4" t="s">
        <v>2004</v>
      </c>
      <c r="C1060" s="4" t="s">
        <v>753</v>
      </c>
      <c r="D1060" s="7">
        <v>43087</v>
      </c>
      <c r="E1060" s="3">
        <v>6044</v>
      </c>
      <c r="F1060" s="4" t="s">
        <v>30</v>
      </c>
      <c r="G1060" s="3">
        <v>44.36</v>
      </c>
      <c r="H1060" s="4" t="s">
        <v>127</v>
      </c>
      <c r="I1060" s="4" t="s">
        <v>128</v>
      </c>
      <c r="J1060" s="4" t="s">
        <v>129</v>
      </c>
      <c r="K1060" s="3">
        <v>198.6</v>
      </c>
      <c r="L1060" s="3">
        <v>149</v>
      </c>
      <c r="M1060" s="3">
        <v>29.2</v>
      </c>
      <c r="N1060" s="3">
        <v>4947.53</v>
      </c>
      <c r="O1060" s="4" t="s">
        <v>34</v>
      </c>
      <c r="P1060" s="4" t="s">
        <v>34</v>
      </c>
      <c r="Q1060" s="4" t="s">
        <v>35</v>
      </c>
      <c r="R1060" s="3">
        <v>2226.84</v>
      </c>
      <c r="S1060" s="3">
        <v>1.7295400000000001</v>
      </c>
      <c r="T1060" s="4" t="s">
        <v>43</v>
      </c>
      <c r="U1060" s="2" t="s">
        <v>37</v>
      </c>
      <c r="V1060" s="2" t="s">
        <v>37</v>
      </c>
      <c r="W1060" s="2" t="s">
        <v>37</v>
      </c>
      <c r="X1060" s="2" t="s">
        <v>37</v>
      </c>
      <c r="Y1060" s="2" t="s">
        <v>37</v>
      </c>
      <c r="Z1060" s="2" t="s">
        <v>37</v>
      </c>
      <c r="AA1060" s="6">
        <v>3.7813244560000001</v>
      </c>
      <c r="AB1060" s="6">
        <v>3.3476890140000002</v>
      </c>
      <c r="AC1060" s="6">
        <v>3.6943884360000001</v>
      </c>
      <c r="AD1060" cm="1">
        <f t="array" ref="AD1060">IF(SUMPRODUCT(--($AM$2:$AM$112=TRIM(LEFT($B1060,IFERROR(FIND(" ",$B1060)-1,LEN($B1060))))))&gt;0,1,0)</f>
        <v>0</v>
      </c>
      <c r="AE1060" cm="1">
        <f t="array" ref="AE1060">IF(SUMPRODUCT(--($AO$2:$AO$145=TRIM(LEFT($B1060,IFERROR(FIND(" ",$B1060)-1,LEN($B1060))))))&gt;0,1,0)</f>
        <v>0</v>
      </c>
      <c r="AF1060" cm="1">
        <f t="array" ref="AF1060">IF(SUMPRODUCT(--($AQ$2:$AQ$71=TRIM(LEFT($B1060,IFERROR(FIND(" ",$B1060)-1,LEN($B1060))))))&gt;0,1,0)</f>
        <v>0</v>
      </c>
    </row>
    <row r="1061" spans="1:32" ht="45.75" thickBot="1" x14ac:dyDescent="0.3">
      <c r="A1061" s="13">
        <v>245</v>
      </c>
      <c r="B1061" s="4" t="s">
        <v>1453</v>
      </c>
      <c r="C1061" s="4" t="s">
        <v>2005</v>
      </c>
      <c r="D1061" s="7">
        <v>42829</v>
      </c>
      <c r="E1061" s="3">
        <v>2276.6999999999998</v>
      </c>
      <c r="F1061" s="4" t="s">
        <v>46</v>
      </c>
      <c r="G1061" s="3">
        <v>8.4</v>
      </c>
      <c r="H1061" s="4" t="s">
        <v>184</v>
      </c>
      <c r="I1061" s="4" t="s">
        <v>251</v>
      </c>
      <c r="J1061" s="4" t="s">
        <v>251</v>
      </c>
      <c r="K1061" s="4"/>
      <c r="L1061" s="4"/>
      <c r="M1061" s="3">
        <v>36.18</v>
      </c>
      <c r="N1061" s="3">
        <v>899</v>
      </c>
      <c r="O1061" s="4" t="s">
        <v>34</v>
      </c>
      <c r="P1061" s="4" t="s">
        <v>34</v>
      </c>
      <c r="Q1061" s="4" t="s">
        <v>35</v>
      </c>
      <c r="R1061" s="3">
        <v>1046</v>
      </c>
      <c r="S1061" s="3">
        <v>-36.196899999999999</v>
      </c>
      <c r="T1061" s="4" t="s">
        <v>43</v>
      </c>
      <c r="U1061" s="2" t="s">
        <v>37</v>
      </c>
      <c r="V1061" s="2" t="s">
        <v>37</v>
      </c>
      <c r="W1061" s="2" t="s">
        <v>37</v>
      </c>
      <c r="X1061" s="2" t="s">
        <v>37</v>
      </c>
      <c r="Y1061" s="2" t="s">
        <v>37</v>
      </c>
      <c r="Z1061" s="2" t="s">
        <v>37</v>
      </c>
      <c r="AA1061" s="6">
        <v>3.357305808</v>
      </c>
      <c r="AB1061" s="6">
        <v>3.019531685</v>
      </c>
      <c r="AC1061" s="6">
        <v>2.9537596920000002</v>
      </c>
      <c r="AD1061" cm="1">
        <f t="array" ref="AD1061">IF(SUMPRODUCT(--($AM$2:$AM$112=TRIM(LEFT($B1061,IFERROR(FIND(" ",$B1061)-1,LEN($B1061))))))&gt;0,1,0)</f>
        <v>0</v>
      </c>
      <c r="AE1061" cm="1">
        <f t="array" ref="AE1061">IF(SUMPRODUCT(--($AO$2:$AO$145=TRIM(LEFT($B1061,IFERROR(FIND(" ",$B1061)-1,LEN($B1061))))))&gt;0,1,0)</f>
        <v>0</v>
      </c>
      <c r="AF1061" cm="1">
        <f t="array" ref="AF1061">IF(SUMPRODUCT(--($AQ$2:$AQ$71=TRIM(LEFT($B1061,IFERROR(FIND(" ",$B1061)-1,LEN($B1061))))))&gt;0,1,0)</f>
        <v>0</v>
      </c>
    </row>
    <row r="1062" spans="1:32" ht="165.75" thickBot="1" x14ac:dyDescent="0.3">
      <c r="A1062" s="13">
        <v>146</v>
      </c>
      <c r="B1062" s="4" t="s">
        <v>2006</v>
      </c>
      <c r="C1062" s="2"/>
      <c r="D1062" s="7">
        <v>42965</v>
      </c>
      <c r="E1062" s="3">
        <v>17128.22</v>
      </c>
      <c r="F1062" s="4" t="s">
        <v>30</v>
      </c>
      <c r="G1062" s="3">
        <v>9.84</v>
      </c>
      <c r="H1062" s="4" t="s">
        <v>279</v>
      </c>
      <c r="I1062" s="4" t="s">
        <v>279</v>
      </c>
      <c r="J1062" s="4" t="s">
        <v>280</v>
      </c>
      <c r="K1062" s="3">
        <v>335</v>
      </c>
      <c r="L1062" s="3">
        <v>142</v>
      </c>
      <c r="M1062" s="4"/>
      <c r="N1062" s="3">
        <v>5500.22</v>
      </c>
      <c r="O1062" s="4" t="s">
        <v>34</v>
      </c>
      <c r="P1062" s="4" t="s">
        <v>49</v>
      </c>
      <c r="Q1062" s="4" t="s">
        <v>35</v>
      </c>
      <c r="R1062" s="3">
        <v>10072</v>
      </c>
      <c r="S1062" s="3">
        <v>16.2851</v>
      </c>
      <c r="T1062" s="4" t="s">
        <v>726</v>
      </c>
      <c r="U1062" s="2" t="s">
        <v>37</v>
      </c>
      <c r="V1062" s="2" t="s">
        <v>37</v>
      </c>
      <c r="W1062" s="2" t="s">
        <v>38</v>
      </c>
      <c r="X1062" s="2" t="s">
        <v>38</v>
      </c>
      <c r="Y1062" s="2" t="s">
        <v>38</v>
      </c>
      <c r="Z1062" s="2" t="s">
        <v>37</v>
      </c>
      <c r="AA1062" s="6">
        <v>4.2337122330000003</v>
      </c>
      <c r="AB1062" s="6">
        <v>4.003115717</v>
      </c>
      <c r="AC1062" s="6">
        <v>3.7403800610000002</v>
      </c>
      <c r="AD1062" cm="1">
        <f t="array" ref="AD1062">IF(SUMPRODUCT(--($AM$2:$AM$112=TRIM(LEFT($B1062,IFERROR(FIND(" ",$B1062)-1,LEN($B1062))))))&gt;0,1,0)</f>
        <v>0</v>
      </c>
      <c r="AE1062" cm="1">
        <f t="array" ref="AE1062">IF(SUMPRODUCT(--($AO$2:$AO$145=TRIM(LEFT($B1062,IFERROR(FIND(" ",$B1062)-1,LEN($B1062))))))&gt;0,1,0)</f>
        <v>0</v>
      </c>
      <c r="AF1062" cm="1">
        <f t="array" ref="AF1062">IF(SUMPRODUCT(--($AQ$2:$AQ$71=TRIM(LEFT($B1062,IFERROR(FIND(" ",$B1062)-1,LEN($B1062))))))&gt;0,1,0)</f>
        <v>0</v>
      </c>
    </row>
    <row r="1063" spans="1:32" ht="105.75" thickBot="1" x14ac:dyDescent="0.3">
      <c r="A1063" s="13">
        <v>35</v>
      </c>
      <c r="B1063" s="4" t="s">
        <v>2007</v>
      </c>
      <c r="C1063" s="4" t="s">
        <v>222</v>
      </c>
      <c r="D1063" s="7">
        <v>43122</v>
      </c>
      <c r="E1063" s="3">
        <v>11137.44</v>
      </c>
      <c r="F1063" s="4" t="s">
        <v>30</v>
      </c>
      <c r="G1063" s="3">
        <v>24.12</v>
      </c>
      <c r="H1063" s="4" t="s">
        <v>41</v>
      </c>
      <c r="I1063" s="4" t="s">
        <v>41</v>
      </c>
      <c r="J1063" s="4" t="s">
        <v>42</v>
      </c>
      <c r="K1063" s="4"/>
      <c r="L1063" s="3">
        <v>326</v>
      </c>
      <c r="M1063" s="3">
        <v>82.16</v>
      </c>
      <c r="N1063" s="3">
        <v>11361.54</v>
      </c>
      <c r="O1063" s="4" t="s">
        <v>34</v>
      </c>
      <c r="P1063" s="4" t="s">
        <v>147</v>
      </c>
      <c r="Q1063" s="4" t="s">
        <v>35</v>
      </c>
      <c r="R1063" s="3">
        <v>1168.5</v>
      </c>
      <c r="S1063" s="3">
        <v>38.271299999999997</v>
      </c>
      <c r="T1063" s="4" t="s">
        <v>964</v>
      </c>
      <c r="U1063" s="2" t="s">
        <v>37</v>
      </c>
      <c r="V1063" s="2" t="s">
        <v>37</v>
      </c>
      <c r="W1063" s="2" t="s">
        <v>38</v>
      </c>
      <c r="X1063" s="2" t="s">
        <v>37</v>
      </c>
      <c r="Y1063" s="2" t="s">
        <v>37</v>
      </c>
      <c r="Z1063" s="2" t="s">
        <v>38</v>
      </c>
      <c r="AA1063" s="6">
        <v>4.046785377</v>
      </c>
      <c r="AB1063" s="6">
        <v>3.0676287169999998</v>
      </c>
      <c r="AC1063" s="6">
        <v>4.0554372020000002</v>
      </c>
      <c r="AD1063" cm="1">
        <f t="array" ref="AD1063">IF(SUMPRODUCT(--($AM$2:$AM$112=TRIM(LEFT($B1063,IFERROR(FIND(" ",$B1063)-1,LEN($B1063))))))&gt;0,1,0)</f>
        <v>0</v>
      </c>
      <c r="AE1063" cm="1">
        <f t="array" ref="AE1063">IF(SUMPRODUCT(--($AO$2:$AO$145=TRIM(LEFT($B1063,IFERROR(FIND(" ",$B1063)-1,LEN($B1063))))))&gt;0,1,0)</f>
        <v>0</v>
      </c>
      <c r="AF1063" cm="1">
        <f t="array" ref="AF1063">IF(SUMPRODUCT(--($AQ$2:$AQ$71=TRIM(LEFT($B1063,IFERROR(FIND(" ",$B1063)-1,LEN($B1063))))))&gt;0,1,0)</f>
        <v>0</v>
      </c>
    </row>
    <row r="1064" spans="1:32" ht="75.75" thickBot="1" x14ac:dyDescent="0.3">
      <c r="A1064" s="13">
        <v>122</v>
      </c>
      <c r="B1064" s="4" t="s">
        <v>2008</v>
      </c>
      <c r="C1064" s="4" t="s">
        <v>2009</v>
      </c>
      <c r="D1064" s="7">
        <v>42999</v>
      </c>
      <c r="E1064" s="3">
        <v>1329.29</v>
      </c>
      <c r="F1064" s="4" t="s">
        <v>30</v>
      </c>
      <c r="G1064" s="3">
        <v>20.63</v>
      </c>
      <c r="H1064" s="4" t="s">
        <v>47</v>
      </c>
      <c r="I1064" s="4" t="s">
        <v>47</v>
      </c>
      <c r="J1064" s="4" t="s">
        <v>875</v>
      </c>
      <c r="K1064" s="4"/>
      <c r="L1064" s="3">
        <v>33.200000000000003</v>
      </c>
      <c r="M1064" s="3">
        <v>68.099999999999994</v>
      </c>
      <c r="N1064" s="3">
        <v>1107</v>
      </c>
      <c r="O1064" s="4" t="s">
        <v>34</v>
      </c>
      <c r="P1064" s="4" t="s">
        <v>96</v>
      </c>
      <c r="Q1064" s="4" t="s">
        <v>35</v>
      </c>
      <c r="R1064" s="3">
        <v>619.81100000000004</v>
      </c>
      <c r="S1064" s="3">
        <v>6.8043300000000002</v>
      </c>
      <c r="T1064" s="4" t="s">
        <v>97</v>
      </c>
      <c r="U1064" s="2" t="s">
        <v>37</v>
      </c>
      <c r="V1064" s="2" t="s">
        <v>37</v>
      </c>
      <c r="W1064" s="2" t="s">
        <v>38</v>
      </c>
      <c r="X1064" s="2" t="s">
        <v>37</v>
      </c>
      <c r="Y1064" s="2" t="s">
        <v>37</v>
      </c>
      <c r="Z1064" s="2" t="s">
        <v>37</v>
      </c>
      <c r="AA1064" s="6">
        <v>3.1236197379999999</v>
      </c>
      <c r="AB1064" s="6">
        <v>2.7922592800000001</v>
      </c>
      <c r="AC1064" s="6">
        <v>3.044147621</v>
      </c>
      <c r="AD1064" cm="1">
        <f t="array" ref="AD1064">IF(SUMPRODUCT(--($AM$2:$AM$112=TRIM(LEFT($B1064,IFERROR(FIND(" ",$B1064)-1,LEN($B1064))))))&gt;0,1,0)</f>
        <v>0</v>
      </c>
      <c r="AE1064" cm="1">
        <f t="array" ref="AE1064">IF(SUMPRODUCT(--($AO$2:$AO$145=TRIM(LEFT($B1064,IFERROR(FIND(" ",$B1064)-1,LEN($B1064))))))&gt;0,1,0)</f>
        <v>0</v>
      </c>
      <c r="AF1064" cm="1">
        <f t="array" ref="AF1064">IF(SUMPRODUCT(--($AQ$2:$AQ$71=TRIM(LEFT($B1064,IFERROR(FIND(" ",$B1064)-1,LEN($B1064))))))&gt;0,1,0)</f>
        <v>0</v>
      </c>
    </row>
    <row r="1065" spans="1:32" ht="45.75" thickBot="1" x14ac:dyDescent="0.3">
      <c r="A1065" s="13">
        <v>158</v>
      </c>
      <c r="B1065" s="4" t="s">
        <v>2010</v>
      </c>
      <c r="C1065" s="4" t="s">
        <v>2011</v>
      </c>
      <c r="D1065" s="7">
        <v>42947</v>
      </c>
      <c r="E1065" s="3">
        <v>14986.6</v>
      </c>
      <c r="F1065" s="4" t="s">
        <v>107</v>
      </c>
      <c r="G1065" s="3">
        <v>10.96</v>
      </c>
      <c r="H1065" s="4" t="s">
        <v>184</v>
      </c>
      <c r="I1065" s="4" t="s">
        <v>185</v>
      </c>
      <c r="J1065" s="4" t="s">
        <v>186</v>
      </c>
      <c r="K1065" s="3">
        <v>356</v>
      </c>
      <c r="L1065" s="4"/>
      <c r="M1065" s="4"/>
      <c r="N1065" s="3">
        <v>12040.71</v>
      </c>
      <c r="O1065" s="4" t="s">
        <v>34</v>
      </c>
      <c r="P1065" s="4" t="s">
        <v>34</v>
      </c>
      <c r="Q1065" s="4" t="s">
        <v>35</v>
      </c>
      <c r="R1065" s="3">
        <v>3561.81</v>
      </c>
      <c r="S1065" s="3">
        <v>35.78</v>
      </c>
      <c r="T1065" s="4" t="s">
        <v>43</v>
      </c>
      <c r="U1065" s="2" t="s">
        <v>37</v>
      </c>
      <c r="V1065" s="2" t="s">
        <v>37</v>
      </c>
      <c r="W1065" s="2" t="s">
        <v>37</v>
      </c>
      <c r="X1065" s="2" t="s">
        <v>37</v>
      </c>
      <c r="Y1065" s="2" t="s">
        <v>37</v>
      </c>
      <c r="Z1065" s="2" t="s">
        <v>37</v>
      </c>
      <c r="AA1065" s="6">
        <v>4.1757031160000002</v>
      </c>
      <c r="AB1065" s="6">
        <v>3.5516707489999999</v>
      </c>
      <c r="AC1065" s="6">
        <v>4.0806520969999998</v>
      </c>
      <c r="AD1065" cm="1">
        <f t="array" ref="AD1065">IF(SUMPRODUCT(--($AM$2:$AM$112=TRIM(LEFT($B1065,IFERROR(FIND(" ",$B1065)-1,LEN($B1065))))))&gt;0,1,0)</f>
        <v>0</v>
      </c>
      <c r="AE1065" cm="1">
        <f t="array" ref="AE1065">IF(SUMPRODUCT(--($AO$2:$AO$145=TRIM(LEFT($B1065,IFERROR(FIND(" ",$B1065)-1,LEN($B1065))))))&gt;0,1,0)</f>
        <v>0</v>
      </c>
      <c r="AF1065" cm="1">
        <f t="array" ref="AF1065">IF(SUMPRODUCT(--($AQ$2:$AQ$71=TRIM(LEFT($B1065,IFERROR(FIND(" ",$B1065)-1,LEN($B1065))))))&gt;0,1,0)</f>
        <v>0</v>
      </c>
    </row>
    <row r="1066" spans="1:32" ht="135.75" thickBot="1" x14ac:dyDescent="0.3">
      <c r="A1066" s="13">
        <v>33</v>
      </c>
      <c r="B1066" s="4" t="s">
        <v>2012</v>
      </c>
      <c r="C1066" s="4" t="s">
        <v>1617</v>
      </c>
      <c r="D1066" s="7">
        <v>43122</v>
      </c>
      <c r="E1066" s="3">
        <v>7920.82</v>
      </c>
      <c r="F1066" s="4" t="s">
        <v>30</v>
      </c>
      <c r="G1066" s="4"/>
      <c r="H1066" s="4" t="s">
        <v>41</v>
      </c>
      <c r="I1066" s="4" t="s">
        <v>41</v>
      </c>
      <c r="J1066" s="4" t="s">
        <v>42</v>
      </c>
      <c r="K1066" s="3">
        <v>600</v>
      </c>
      <c r="L1066" s="3">
        <v>300</v>
      </c>
      <c r="M1066" s="3">
        <v>71.67</v>
      </c>
      <c r="N1066" s="3">
        <v>8966.5400000000009</v>
      </c>
      <c r="O1066" s="4" t="s">
        <v>34</v>
      </c>
      <c r="P1066" s="4" t="s">
        <v>34</v>
      </c>
      <c r="Q1066" s="4" t="s">
        <v>35</v>
      </c>
      <c r="R1066" s="3">
        <v>111.871</v>
      </c>
      <c r="S1066" s="3">
        <v>-400.25900000000001</v>
      </c>
      <c r="T1066" s="4" t="s">
        <v>461</v>
      </c>
      <c r="U1066" s="2" t="s">
        <v>38</v>
      </c>
      <c r="V1066" s="2" t="s">
        <v>37</v>
      </c>
      <c r="W1066" s="2" t="s">
        <v>37</v>
      </c>
      <c r="X1066" s="2" t="s">
        <v>37</v>
      </c>
      <c r="Y1066" s="2" t="s">
        <v>37</v>
      </c>
      <c r="Z1066" s="2" t="s">
        <v>38</v>
      </c>
      <c r="AA1066" s="6">
        <v>3.8987701440000002</v>
      </c>
      <c r="AB1066" s="6">
        <v>2.0487175199999998</v>
      </c>
      <c r="AC1066" s="6">
        <v>3.9526248900000001</v>
      </c>
      <c r="AD1066" cm="1">
        <f t="array" ref="AD1066">IF(SUMPRODUCT(--($AM$2:$AM$112=TRIM(LEFT($B1066,IFERROR(FIND(" ",$B1066)-1,LEN($B1066))))))&gt;0,1,0)</f>
        <v>0</v>
      </c>
      <c r="AE1066" cm="1">
        <f t="array" ref="AE1066">IF(SUMPRODUCT(--($AO$2:$AO$145=TRIM(LEFT($B1066,IFERROR(FIND(" ",$B1066)-1,LEN($B1066))))))&gt;0,1,0)</f>
        <v>0</v>
      </c>
      <c r="AF1066" cm="1">
        <f t="array" ref="AF1066">IF(SUMPRODUCT(--($AQ$2:$AQ$71=TRIM(LEFT($B1066,IFERROR(FIND(" ",$B1066)-1,LEN($B1066))))))&gt;0,1,0)</f>
        <v>0</v>
      </c>
    </row>
    <row r="1067" spans="1:32" ht="75.75" thickBot="1" x14ac:dyDescent="0.3">
      <c r="A1067" s="13">
        <v>63</v>
      </c>
      <c r="B1067" s="4" t="s">
        <v>2013</v>
      </c>
      <c r="C1067" s="4" t="s">
        <v>2014</v>
      </c>
      <c r="D1067" s="7">
        <v>43074</v>
      </c>
      <c r="E1067" s="3">
        <v>5875.56</v>
      </c>
      <c r="F1067" s="4" t="s">
        <v>30</v>
      </c>
      <c r="G1067" s="3">
        <v>11.26</v>
      </c>
      <c r="H1067" s="4" t="s">
        <v>75</v>
      </c>
      <c r="I1067" s="4" t="s">
        <v>111</v>
      </c>
      <c r="J1067" s="4" t="s">
        <v>133</v>
      </c>
      <c r="K1067" s="3">
        <v>20.151</v>
      </c>
      <c r="L1067" s="3">
        <v>95.150999999999996</v>
      </c>
      <c r="M1067" s="3">
        <v>37.04</v>
      </c>
      <c r="N1067" s="3">
        <v>3611.36</v>
      </c>
      <c r="O1067" s="4" t="s">
        <v>34</v>
      </c>
      <c r="P1067" s="4" t="s">
        <v>166</v>
      </c>
      <c r="Q1067" s="4" t="s">
        <v>35</v>
      </c>
      <c r="R1067" s="3">
        <v>3163</v>
      </c>
      <c r="S1067" s="3">
        <v>8.58995</v>
      </c>
      <c r="T1067" s="4" t="s">
        <v>97</v>
      </c>
      <c r="U1067" s="2" t="s">
        <v>37</v>
      </c>
      <c r="V1067" s="2" t="s">
        <v>37</v>
      </c>
      <c r="W1067" s="2" t="s">
        <v>38</v>
      </c>
      <c r="X1067" s="2" t="s">
        <v>37</v>
      </c>
      <c r="Y1067" s="2" t="s">
        <v>37</v>
      </c>
      <c r="Z1067" s="2" t="s">
        <v>37</v>
      </c>
      <c r="AA1067" s="6">
        <v>3.7690492660000001</v>
      </c>
      <c r="AB1067" s="6">
        <v>3.500099192</v>
      </c>
      <c r="AC1067" s="6">
        <v>3.5576707829999998</v>
      </c>
      <c r="AD1067" cm="1">
        <f t="array" ref="AD1067">IF(SUMPRODUCT(--($AM$2:$AM$112=TRIM(LEFT($B1067,IFERROR(FIND(" ",$B1067)-1,LEN($B1067))))))&gt;0,1,0)</f>
        <v>0</v>
      </c>
      <c r="AE1067" cm="1">
        <f t="array" ref="AE1067">IF(SUMPRODUCT(--($AO$2:$AO$145=TRIM(LEFT($B1067,IFERROR(FIND(" ",$B1067)-1,LEN($B1067))))))&gt;0,1,0)</f>
        <v>0</v>
      </c>
      <c r="AF1067" cm="1">
        <f t="array" ref="AF1067">IF(SUMPRODUCT(--($AQ$2:$AQ$71=TRIM(LEFT($B1067,IFERROR(FIND(" ",$B1067)-1,LEN($B1067))))))&gt;0,1,0)</f>
        <v>0</v>
      </c>
    </row>
    <row r="1068" spans="1:32" ht="60.75" thickBot="1" x14ac:dyDescent="0.3">
      <c r="A1068" s="13">
        <v>61</v>
      </c>
      <c r="B1068" s="4" t="s">
        <v>2015</v>
      </c>
      <c r="C1068" s="4" t="s">
        <v>531</v>
      </c>
      <c r="D1068" s="7">
        <v>43076</v>
      </c>
      <c r="E1068" s="3">
        <v>607.54</v>
      </c>
      <c r="F1068" s="4" t="s">
        <v>30</v>
      </c>
      <c r="G1068" s="4"/>
      <c r="H1068" s="4" t="s">
        <v>41</v>
      </c>
      <c r="I1068" s="4" t="s">
        <v>41</v>
      </c>
      <c r="J1068" s="4" t="s">
        <v>60</v>
      </c>
      <c r="K1068" s="4"/>
      <c r="L1068" s="3">
        <v>20.5</v>
      </c>
      <c r="M1068" s="4"/>
      <c r="N1068" s="3">
        <v>611.38</v>
      </c>
      <c r="O1068" s="4" t="s">
        <v>34</v>
      </c>
      <c r="P1068" s="4" t="s">
        <v>34</v>
      </c>
      <c r="Q1068" s="4" t="s">
        <v>35</v>
      </c>
      <c r="R1068" s="2"/>
      <c r="S1068" s="2"/>
      <c r="T1068" s="4" t="s">
        <v>43</v>
      </c>
      <c r="U1068" s="2" t="s">
        <v>37</v>
      </c>
      <c r="V1068" s="2" t="s">
        <v>37</v>
      </c>
      <c r="W1068" s="2" t="s">
        <v>37</v>
      </c>
      <c r="X1068" s="2" t="s">
        <v>37</v>
      </c>
      <c r="Y1068" s="2" t="s">
        <v>37</v>
      </c>
      <c r="Z1068" s="2" t="s">
        <v>37</v>
      </c>
      <c r="AA1068" s="6">
        <v>2.7835748769999999</v>
      </c>
      <c r="AB1068" s="2"/>
      <c r="AC1068" s="6">
        <v>2.7863112280000002</v>
      </c>
      <c r="AD1068" cm="1">
        <f t="array" ref="AD1068">IF(SUMPRODUCT(--($AM$2:$AM$112=TRIM(LEFT($B1068,IFERROR(FIND(" ",$B1068)-1,LEN($B1068))))))&gt;0,1,0)</f>
        <v>0</v>
      </c>
      <c r="AE1068" cm="1">
        <f t="array" ref="AE1068">IF(SUMPRODUCT(--($AO$2:$AO$145=TRIM(LEFT($B1068,IFERROR(FIND(" ",$B1068)-1,LEN($B1068))))))&gt;0,1,0)</f>
        <v>0</v>
      </c>
      <c r="AF1068" cm="1">
        <f t="array" ref="AF1068">IF(SUMPRODUCT(--($AQ$2:$AQ$71=TRIM(LEFT($B1068,IFERROR(FIND(" ",$B1068)-1,LEN($B1068))))))&gt;0,1,0)</f>
        <v>0</v>
      </c>
    </row>
    <row r="1069" spans="1:32" ht="45.75" thickBot="1" x14ac:dyDescent="0.3">
      <c r="A1069" s="13">
        <v>210</v>
      </c>
      <c r="B1069" s="4" t="s">
        <v>2016</v>
      </c>
      <c r="C1069" s="4" t="s">
        <v>250</v>
      </c>
      <c r="D1069" s="7">
        <v>42866</v>
      </c>
      <c r="E1069" s="3">
        <v>2152.06</v>
      </c>
      <c r="F1069" s="4" t="s">
        <v>46</v>
      </c>
      <c r="G1069" s="4"/>
      <c r="H1069" s="4" t="s">
        <v>184</v>
      </c>
      <c r="I1069" s="4" t="s">
        <v>251</v>
      </c>
      <c r="J1069" s="4" t="s">
        <v>251</v>
      </c>
      <c r="K1069" s="3">
        <v>85</v>
      </c>
      <c r="L1069" s="3">
        <v>38</v>
      </c>
      <c r="M1069" s="3">
        <v>24.49</v>
      </c>
      <c r="N1069" s="3">
        <v>2159.9</v>
      </c>
      <c r="O1069" s="4" t="s">
        <v>34</v>
      </c>
      <c r="P1069" s="4" t="s">
        <v>34</v>
      </c>
      <c r="Q1069" s="4" t="s">
        <v>35</v>
      </c>
      <c r="R1069" s="3">
        <v>0.65800000000000003</v>
      </c>
      <c r="S1069" s="3">
        <v>-7825.9</v>
      </c>
      <c r="T1069" s="4" t="s">
        <v>43</v>
      </c>
      <c r="U1069" s="2" t="s">
        <v>37</v>
      </c>
      <c r="V1069" s="2" t="s">
        <v>37</v>
      </c>
      <c r="W1069" s="2" t="s">
        <v>37</v>
      </c>
      <c r="X1069" s="2" t="s">
        <v>37</v>
      </c>
      <c r="Y1069" s="2" t="s">
        <v>37</v>
      </c>
      <c r="Z1069" s="2" t="s">
        <v>37</v>
      </c>
      <c r="AA1069" s="6">
        <v>3.3328543750000001</v>
      </c>
      <c r="AB1069" s="6">
        <v>-0.1817741064</v>
      </c>
      <c r="AC1069" s="6">
        <v>3.3344336440000002</v>
      </c>
      <c r="AD1069" cm="1">
        <f t="array" ref="AD1069">IF(SUMPRODUCT(--($AM$2:$AM$112=TRIM(LEFT($B1069,IFERROR(FIND(" ",$B1069)-1,LEN($B1069))))))&gt;0,1,0)</f>
        <v>0</v>
      </c>
      <c r="AE1069" cm="1">
        <f t="array" ref="AE1069">IF(SUMPRODUCT(--($AO$2:$AO$145=TRIM(LEFT($B1069,IFERROR(FIND(" ",$B1069)-1,LEN($B1069))))))&gt;0,1,0)</f>
        <v>0</v>
      </c>
      <c r="AF1069" cm="1">
        <f t="array" ref="AF1069">IF(SUMPRODUCT(--($AQ$2:$AQ$71=TRIM(LEFT($B1069,IFERROR(FIND(" ",$B1069)-1,LEN($B1069))))))&gt;0,1,0)</f>
        <v>0</v>
      </c>
    </row>
    <row r="1070" spans="1:32" ht="60.75" thickBot="1" x14ac:dyDescent="0.3">
      <c r="A1070" s="13">
        <v>88</v>
      </c>
      <c r="B1070" s="4" t="s">
        <v>2017</v>
      </c>
      <c r="C1070" s="4" t="s">
        <v>231</v>
      </c>
      <c r="D1070" s="7">
        <v>43031</v>
      </c>
      <c r="E1070" s="3">
        <v>1360.95</v>
      </c>
      <c r="F1070" s="4" t="s">
        <v>46</v>
      </c>
      <c r="G1070" s="3">
        <v>28.73</v>
      </c>
      <c r="H1070" s="4" t="s">
        <v>47</v>
      </c>
      <c r="I1070" s="4" t="s">
        <v>47</v>
      </c>
      <c r="J1070" s="4" t="s">
        <v>962</v>
      </c>
      <c r="K1070" s="3">
        <v>66</v>
      </c>
      <c r="L1070" s="3">
        <v>33</v>
      </c>
      <c r="M1070" s="3">
        <v>3.26</v>
      </c>
      <c r="N1070" s="3">
        <v>1124.92</v>
      </c>
      <c r="O1070" s="4" t="s">
        <v>34</v>
      </c>
      <c r="P1070" s="4" t="s">
        <v>34</v>
      </c>
      <c r="Q1070" s="4" t="s">
        <v>35</v>
      </c>
      <c r="R1070" s="3">
        <v>242.26499999999999</v>
      </c>
      <c r="S1070" s="3">
        <v>6.5837000000000003</v>
      </c>
      <c r="T1070" s="4" t="s">
        <v>43</v>
      </c>
      <c r="U1070" s="2" t="s">
        <v>37</v>
      </c>
      <c r="V1070" s="2" t="s">
        <v>37</v>
      </c>
      <c r="W1070" s="2" t="s">
        <v>37</v>
      </c>
      <c r="X1070" s="2" t="s">
        <v>37</v>
      </c>
      <c r="Y1070" s="2" t="s">
        <v>37</v>
      </c>
      <c r="Z1070" s="2" t="s">
        <v>37</v>
      </c>
      <c r="AA1070" s="6">
        <v>3.1338421699999999</v>
      </c>
      <c r="AB1070" s="6">
        <v>2.384290676</v>
      </c>
      <c r="AC1070" s="6">
        <v>3.0511216380000001</v>
      </c>
      <c r="AD1070" cm="1">
        <f t="array" ref="AD1070">IF(SUMPRODUCT(--($AM$2:$AM$112=TRIM(LEFT($B1070,IFERROR(FIND(" ",$B1070)-1,LEN($B1070))))))&gt;0,1,0)</f>
        <v>0</v>
      </c>
      <c r="AE1070" cm="1">
        <f t="array" ref="AE1070">IF(SUMPRODUCT(--($AO$2:$AO$145=TRIM(LEFT($B1070,IFERROR(FIND(" ",$B1070)-1,LEN($B1070))))))&gt;0,1,0)</f>
        <v>0</v>
      </c>
      <c r="AF1070" cm="1">
        <f t="array" ref="AF1070">IF(SUMPRODUCT(--($AQ$2:$AQ$71=TRIM(LEFT($B1070,IFERROR(FIND(" ",$B1070)-1,LEN($B1070))))))&gt;0,1,0)</f>
        <v>0</v>
      </c>
    </row>
    <row r="1071" spans="1:32" ht="135.75" thickBot="1" x14ac:dyDescent="0.3">
      <c r="A1071" s="13">
        <v>84</v>
      </c>
      <c r="B1071" s="4" t="s">
        <v>2018</v>
      </c>
      <c r="C1071" s="4" t="s">
        <v>2019</v>
      </c>
      <c r="D1071" s="7">
        <v>43031</v>
      </c>
      <c r="E1071" s="3">
        <v>739.92</v>
      </c>
      <c r="F1071" s="4" t="s">
        <v>30</v>
      </c>
      <c r="G1071" s="3">
        <v>26.9</v>
      </c>
      <c r="H1071" s="4" t="s">
        <v>41</v>
      </c>
      <c r="I1071" s="4" t="s">
        <v>41</v>
      </c>
      <c r="J1071" s="4" t="s">
        <v>60</v>
      </c>
      <c r="K1071" s="4"/>
      <c r="L1071" s="3">
        <v>25.797000000000001</v>
      </c>
      <c r="M1071" s="3">
        <v>49.86</v>
      </c>
      <c r="N1071" s="3">
        <v>734.84</v>
      </c>
      <c r="O1071" s="4" t="s">
        <v>34</v>
      </c>
      <c r="P1071" s="4" t="s">
        <v>34</v>
      </c>
      <c r="Q1071" s="4" t="s">
        <v>35</v>
      </c>
      <c r="R1071" s="3">
        <v>257.57299999999998</v>
      </c>
      <c r="S1071" s="3">
        <v>2.78546</v>
      </c>
      <c r="T1071" s="4" t="s">
        <v>1254</v>
      </c>
      <c r="U1071" s="2" t="s">
        <v>37</v>
      </c>
      <c r="V1071" s="2" t="s">
        <v>37</v>
      </c>
      <c r="W1071" s="2" t="s">
        <v>37</v>
      </c>
      <c r="X1071" s="2" t="s">
        <v>38</v>
      </c>
      <c r="Y1071" s="2" t="s">
        <v>38</v>
      </c>
      <c r="Z1071" s="2" t="s">
        <v>37</v>
      </c>
      <c r="AA1071" s="6">
        <v>2.8691847660000001</v>
      </c>
      <c r="AB1071" s="6">
        <v>2.4109003360000001</v>
      </c>
      <c r="AC1071" s="6">
        <v>2.8661927880000002</v>
      </c>
      <c r="AD1071" cm="1">
        <f t="array" ref="AD1071">IF(SUMPRODUCT(--($AM$2:$AM$112=TRIM(LEFT($B1071,IFERROR(FIND(" ",$B1071)-1,LEN($B1071))))))&gt;0,1,0)</f>
        <v>0</v>
      </c>
      <c r="AE1071" cm="1">
        <f t="array" ref="AE1071">IF(SUMPRODUCT(--($AO$2:$AO$145=TRIM(LEFT($B1071,IFERROR(FIND(" ",$B1071)-1,LEN($B1071))))))&gt;0,1,0)</f>
        <v>0</v>
      </c>
      <c r="AF1071" cm="1">
        <f t="array" ref="AF1071">IF(SUMPRODUCT(--($AQ$2:$AQ$71=TRIM(LEFT($B1071,IFERROR(FIND(" ",$B1071)-1,LEN($B1071))))))&gt;0,1,0)</f>
        <v>0</v>
      </c>
    </row>
    <row r="1072" spans="1:32" ht="75.75" thickBot="1" x14ac:dyDescent="0.3">
      <c r="A1072" s="13">
        <v>37</v>
      </c>
      <c r="B1072" s="4" t="s">
        <v>2020</v>
      </c>
      <c r="C1072" s="4" t="s">
        <v>410</v>
      </c>
      <c r="D1072" s="7">
        <v>43095</v>
      </c>
      <c r="E1072" s="3">
        <v>1058.8699999999999</v>
      </c>
      <c r="F1072" s="4" t="s">
        <v>30</v>
      </c>
      <c r="G1072" s="4"/>
      <c r="H1072" s="4" t="s">
        <v>41</v>
      </c>
      <c r="I1072" s="4" t="s">
        <v>41</v>
      </c>
      <c r="J1072" s="4" t="s">
        <v>42</v>
      </c>
      <c r="K1072" s="4"/>
      <c r="L1072" s="3">
        <v>44</v>
      </c>
      <c r="M1072" s="3">
        <v>19.66</v>
      </c>
      <c r="N1072" s="3">
        <v>841.97</v>
      </c>
      <c r="O1072" s="4" t="s">
        <v>34</v>
      </c>
      <c r="P1072" s="4" t="s">
        <v>34</v>
      </c>
      <c r="Q1072" s="4" t="s">
        <v>35</v>
      </c>
      <c r="R1072" s="3">
        <v>230.05600000000001</v>
      </c>
      <c r="S1072" s="3">
        <v>-44.030200000000001</v>
      </c>
      <c r="T1072" s="4" t="s">
        <v>88</v>
      </c>
      <c r="U1072" s="2" t="s">
        <v>37</v>
      </c>
      <c r="V1072" s="2" t="s">
        <v>37</v>
      </c>
      <c r="W1072" s="2" t="s">
        <v>37</v>
      </c>
      <c r="X1072" s="2" t="s">
        <v>37</v>
      </c>
      <c r="Y1072" s="2" t="s">
        <v>37</v>
      </c>
      <c r="Z1072" s="2" t="s">
        <v>38</v>
      </c>
      <c r="AA1072" s="6">
        <v>3.024842644</v>
      </c>
      <c r="AB1072" s="6">
        <v>2.3618335639999999</v>
      </c>
      <c r="AC1072" s="6">
        <v>2.925296618</v>
      </c>
      <c r="AD1072" cm="1">
        <f t="array" ref="AD1072">IF(SUMPRODUCT(--($AM$2:$AM$112=TRIM(LEFT($B1072,IFERROR(FIND(" ",$B1072)-1,LEN($B1072))))))&gt;0,1,0)</f>
        <v>0</v>
      </c>
      <c r="AE1072" cm="1">
        <f t="array" ref="AE1072">IF(SUMPRODUCT(--($AO$2:$AO$145=TRIM(LEFT($B1072,IFERROR(FIND(" ",$B1072)-1,LEN($B1072))))))&gt;0,1,0)</f>
        <v>0</v>
      </c>
      <c r="AF1072" cm="1">
        <f t="array" ref="AF1072">IF(SUMPRODUCT(--($AQ$2:$AQ$71=TRIM(LEFT($B1072,IFERROR(FIND(" ",$B1072)-1,LEN($B1072))))))&gt;0,1,0)</f>
        <v>0</v>
      </c>
    </row>
    <row r="1073" spans="1:32" ht="75.75" thickBot="1" x14ac:dyDescent="0.3">
      <c r="A1073" s="13">
        <v>77</v>
      </c>
      <c r="B1073" s="4" t="s">
        <v>2021</v>
      </c>
      <c r="C1073" s="4" t="s">
        <v>2022</v>
      </c>
      <c r="D1073" s="7">
        <v>43038</v>
      </c>
      <c r="E1073" s="3">
        <v>9234.9599999999991</v>
      </c>
      <c r="F1073" s="4" t="s">
        <v>69</v>
      </c>
      <c r="G1073" s="3">
        <v>12.52</v>
      </c>
      <c r="H1073" s="4" t="s">
        <v>75</v>
      </c>
      <c r="I1073" s="4" t="s">
        <v>76</v>
      </c>
      <c r="J1073" s="4" t="s">
        <v>77</v>
      </c>
      <c r="K1073" s="3">
        <v>178.7</v>
      </c>
      <c r="L1073" s="4"/>
      <c r="M1073" s="3">
        <v>29.75</v>
      </c>
      <c r="N1073" s="3">
        <v>5538.55</v>
      </c>
      <c r="O1073" s="4" t="s">
        <v>34</v>
      </c>
      <c r="P1073" s="4" t="s">
        <v>34</v>
      </c>
      <c r="Q1073" s="4" t="s">
        <v>35</v>
      </c>
      <c r="R1073" s="2"/>
      <c r="S1073" s="2"/>
      <c r="T1073" s="4" t="s">
        <v>43</v>
      </c>
      <c r="U1073" s="2" t="s">
        <v>37</v>
      </c>
      <c r="V1073" s="2" t="s">
        <v>37</v>
      </c>
      <c r="W1073" s="2" t="s">
        <v>37</v>
      </c>
      <c r="X1073" s="2" t="s">
        <v>37</v>
      </c>
      <c r="Y1073" s="2" t="s">
        <v>37</v>
      </c>
      <c r="Z1073" s="2" t="s">
        <v>37</v>
      </c>
      <c r="AA1073" s="6">
        <v>3.9654350190000001</v>
      </c>
      <c r="AB1073" s="2"/>
      <c r="AC1073" s="6">
        <v>3.7433960810000002</v>
      </c>
      <c r="AD1073" cm="1">
        <f t="array" ref="AD1073">IF(SUMPRODUCT(--($AM$2:$AM$112=TRIM(LEFT($B1073,IFERROR(FIND(" ",$B1073)-1,LEN($B1073))))))&gt;0,1,0)</f>
        <v>0</v>
      </c>
      <c r="AE1073" cm="1">
        <f t="array" ref="AE1073">IF(SUMPRODUCT(--($AO$2:$AO$145=TRIM(LEFT($B1073,IFERROR(FIND(" ",$B1073)-1,LEN($B1073))))))&gt;0,1,0)</f>
        <v>0</v>
      </c>
      <c r="AF1073" cm="1">
        <f t="array" ref="AF1073">IF(SUMPRODUCT(--($AQ$2:$AQ$71=TRIM(LEFT($B1073,IFERROR(FIND(" ",$B1073)-1,LEN($B1073))))))&gt;0,1,0)</f>
        <v>0</v>
      </c>
    </row>
    <row r="1074" spans="1:32" ht="135.75" thickBot="1" x14ac:dyDescent="0.3">
      <c r="A1074" s="13">
        <v>56</v>
      </c>
      <c r="B1074" s="4" t="s">
        <v>2023</v>
      </c>
      <c r="C1074" s="4" t="s">
        <v>230</v>
      </c>
      <c r="D1074" s="7">
        <v>43066</v>
      </c>
      <c r="E1074" s="3">
        <v>1261.32</v>
      </c>
      <c r="F1074" s="4" t="s">
        <v>30</v>
      </c>
      <c r="G1074" s="3">
        <v>39.26</v>
      </c>
      <c r="H1074" s="4" t="s">
        <v>31</v>
      </c>
      <c r="I1074" s="4" t="s">
        <v>32</v>
      </c>
      <c r="J1074" s="4" t="s">
        <v>33</v>
      </c>
      <c r="K1074" s="3">
        <v>96.53</v>
      </c>
      <c r="L1074" s="3">
        <v>48.26</v>
      </c>
      <c r="M1074" s="3">
        <v>22.11</v>
      </c>
      <c r="N1074" s="3">
        <v>1467.9</v>
      </c>
      <c r="O1074" s="4" t="s">
        <v>34</v>
      </c>
      <c r="P1074" s="4" t="s">
        <v>34</v>
      </c>
      <c r="Q1074" s="4" t="s">
        <v>35</v>
      </c>
      <c r="R1074" s="3">
        <v>352.649</v>
      </c>
      <c r="S1074" s="3">
        <v>3.9743900000000001</v>
      </c>
      <c r="T1074" s="4" t="s">
        <v>1254</v>
      </c>
      <c r="U1074" s="2" t="s">
        <v>37</v>
      </c>
      <c r="V1074" s="2" t="s">
        <v>37</v>
      </c>
      <c r="W1074" s="2" t="s">
        <v>37</v>
      </c>
      <c r="X1074" s="2" t="s">
        <v>38</v>
      </c>
      <c r="Y1074" s="2" t="s">
        <v>38</v>
      </c>
      <c r="Z1074" s="2" t="s">
        <v>37</v>
      </c>
      <c r="AA1074" s="6">
        <v>3.1008252820000002</v>
      </c>
      <c r="AB1074" s="6">
        <v>2.5473426570000002</v>
      </c>
      <c r="AC1074" s="6">
        <v>3.1666964700000002</v>
      </c>
      <c r="AD1074" cm="1">
        <f t="array" ref="AD1074">IF(SUMPRODUCT(--($AM$2:$AM$112=TRIM(LEFT($B1074,IFERROR(FIND(" ",$B1074)-1,LEN($B1074))))))&gt;0,1,0)</f>
        <v>0</v>
      </c>
      <c r="AE1074" cm="1">
        <f t="array" ref="AE1074">IF(SUMPRODUCT(--($AO$2:$AO$145=TRIM(LEFT($B1074,IFERROR(FIND(" ",$B1074)-1,LEN($B1074))))))&gt;0,1,0)</f>
        <v>0</v>
      </c>
      <c r="AF1074" cm="1">
        <f t="array" ref="AF1074">IF(SUMPRODUCT(--($AQ$2:$AQ$71=TRIM(LEFT($B1074,IFERROR(FIND(" ",$B1074)-1,LEN($B1074))))))&gt;0,1,0)</f>
        <v>0</v>
      </c>
    </row>
    <row r="1075" spans="1:32" ht="105.75" thickBot="1" x14ac:dyDescent="0.3">
      <c r="A1075" s="13">
        <v>36</v>
      </c>
      <c r="B1075" s="4" t="s">
        <v>901</v>
      </c>
      <c r="C1075" s="4" t="s">
        <v>336</v>
      </c>
      <c r="D1075" s="7">
        <v>43091</v>
      </c>
      <c r="E1075" s="3">
        <v>1719.71</v>
      </c>
      <c r="F1075" s="4" t="s">
        <v>30</v>
      </c>
      <c r="G1075" s="4"/>
      <c r="H1075" s="4" t="s">
        <v>41</v>
      </c>
      <c r="I1075" s="4" t="s">
        <v>41</v>
      </c>
      <c r="J1075" s="4" t="s">
        <v>42</v>
      </c>
      <c r="K1075" s="4"/>
      <c r="L1075" s="3">
        <v>58</v>
      </c>
      <c r="M1075" s="3">
        <v>69.849999999999994</v>
      </c>
      <c r="N1075" s="3">
        <v>1834.53</v>
      </c>
      <c r="O1075" s="4" t="s">
        <v>34</v>
      </c>
      <c r="P1075" s="4" t="s">
        <v>869</v>
      </c>
      <c r="Q1075" s="4" t="s">
        <v>35</v>
      </c>
      <c r="R1075" s="3">
        <v>6.8090000000000002</v>
      </c>
      <c r="S1075" s="3">
        <v>-4064.71</v>
      </c>
      <c r="T1075" s="4" t="s">
        <v>964</v>
      </c>
      <c r="U1075" s="2" t="s">
        <v>37</v>
      </c>
      <c r="V1075" s="2" t="s">
        <v>37</v>
      </c>
      <c r="W1075" s="2" t="s">
        <v>38</v>
      </c>
      <c r="X1075" s="2" t="s">
        <v>37</v>
      </c>
      <c r="Y1075" s="2" t="s">
        <v>37</v>
      </c>
      <c r="Z1075" s="2" t="s">
        <v>38</v>
      </c>
      <c r="AA1075" s="6">
        <v>3.2354552170000002</v>
      </c>
      <c r="AB1075" s="6">
        <v>0.83308333420000003</v>
      </c>
      <c r="AC1075" s="6">
        <v>3.263524818</v>
      </c>
      <c r="AD1075" cm="1">
        <f t="array" ref="AD1075">IF(SUMPRODUCT(--($AM$2:$AM$112=TRIM(LEFT($B1075,IFERROR(FIND(" ",$B1075)-1,LEN($B1075))))))&gt;0,1,0)</f>
        <v>0</v>
      </c>
      <c r="AE1075" cm="1">
        <f t="array" ref="AE1075">IF(SUMPRODUCT(--($AO$2:$AO$145=TRIM(LEFT($B1075,IFERROR(FIND(" ",$B1075)-1,LEN($B1075))))))&gt;0,1,0)</f>
        <v>0</v>
      </c>
      <c r="AF1075" cm="1">
        <f t="array" ref="AF1075">IF(SUMPRODUCT(--($AQ$2:$AQ$71=TRIM(LEFT($B1075,IFERROR(FIND(" ",$B1075)-1,LEN($B1075))))))&gt;0,1,0)</f>
        <v>0</v>
      </c>
    </row>
    <row r="1076" spans="1:32" ht="45.75" thickBot="1" x14ac:dyDescent="0.3">
      <c r="A1076" s="13">
        <v>74</v>
      </c>
      <c r="B1076" s="4" t="s">
        <v>2024</v>
      </c>
      <c r="C1076" s="4" t="s">
        <v>413</v>
      </c>
      <c r="D1076" s="7">
        <v>43038</v>
      </c>
      <c r="E1076" s="3">
        <v>585.35</v>
      </c>
      <c r="F1076" s="4" t="s">
        <v>69</v>
      </c>
      <c r="G1076" s="3">
        <v>17.670000000000002</v>
      </c>
      <c r="H1076" s="4" t="s">
        <v>279</v>
      </c>
      <c r="I1076" s="4" t="s">
        <v>279</v>
      </c>
      <c r="J1076" s="4" t="s">
        <v>280</v>
      </c>
      <c r="K1076" s="4"/>
      <c r="L1076" s="3">
        <v>18</v>
      </c>
      <c r="M1076" s="3">
        <v>59.37</v>
      </c>
      <c r="N1076" s="3">
        <v>378.37</v>
      </c>
      <c r="O1076" s="4" t="s">
        <v>49</v>
      </c>
      <c r="P1076" s="4" t="s">
        <v>49</v>
      </c>
      <c r="Q1076" s="4" t="s">
        <v>35</v>
      </c>
      <c r="R1076" s="3">
        <v>60.837000000000003</v>
      </c>
      <c r="S1076" s="3">
        <v>25.843499999999999</v>
      </c>
      <c r="T1076" s="4" t="s">
        <v>43</v>
      </c>
      <c r="U1076" s="2" t="s">
        <v>37</v>
      </c>
      <c r="V1076" s="2" t="s">
        <v>37</v>
      </c>
      <c r="W1076" s="2" t="s">
        <v>37</v>
      </c>
      <c r="X1076" s="2" t="s">
        <v>37</v>
      </c>
      <c r="Y1076" s="2" t="s">
        <v>37</v>
      </c>
      <c r="Z1076" s="2" t="s">
        <v>37</v>
      </c>
      <c r="AA1076" s="6">
        <v>2.7674156230000002</v>
      </c>
      <c r="AB1076" s="6">
        <v>1.7841677899999999</v>
      </c>
      <c r="AC1076" s="6">
        <v>2.5779166949999999</v>
      </c>
      <c r="AD1076" cm="1">
        <f t="array" ref="AD1076">IF(SUMPRODUCT(--($AM$2:$AM$112=TRIM(LEFT($B1076,IFERROR(FIND(" ",$B1076)-1,LEN($B1076))))))&gt;0,1,0)</f>
        <v>0</v>
      </c>
      <c r="AE1076" cm="1">
        <f t="array" ref="AE1076">IF(SUMPRODUCT(--($AO$2:$AO$145=TRIM(LEFT($B1076,IFERROR(FIND(" ",$B1076)-1,LEN($B1076))))))&gt;0,1,0)</f>
        <v>0</v>
      </c>
      <c r="AF1076" cm="1">
        <f t="array" ref="AF1076">IF(SUMPRODUCT(--($AQ$2:$AQ$71=TRIM(LEFT($B1076,IFERROR(FIND(" ",$B1076)-1,LEN($B1076))))))&gt;0,1,0)</f>
        <v>0</v>
      </c>
    </row>
    <row r="1077" spans="1:32" ht="75.75" thickBot="1" x14ac:dyDescent="0.3">
      <c r="A1077" s="13">
        <v>51</v>
      </c>
      <c r="B1077" s="4" t="s">
        <v>2025</v>
      </c>
      <c r="C1077" s="4" t="s">
        <v>2026</v>
      </c>
      <c r="D1077" s="7">
        <v>43067</v>
      </c>
      <c r="E1077" s="3">
        <v>2829.74</v>
      </c>
      <c r="F1077" s="4" t="s">
        <v>30</v>
      </c>
      <c r="G1077" s="3">
        <v>11.49</v>
      </c>
      <c r="H1077" s="4" t="s">
        <v>75</v>
      </c>
      <c r="I1077" s="4" t="s">
        <v>111</v>
      </c>
      <c r="J1077" s="4" t="s">
        <v>133</v>
      </c>
      <c r="K1077" s="3">
        <v>134</v>
      </c>
      <c r="L1077" s="3">
        <v>74</v>
      </c>
      <c r="M1077" s="4"/>
      <c r="N1077" s="3">
        <v>2435.42</v>
      </c>
      <c r="O1077" s="4" t="s">
        <v>34</v>
      </c>
      <c r="P1077" s="4" t="s">
        <v>34</v>
      </c>
      <c r="Q1077" s="4" t="s">
        <v>35</v>
      </c>
      <c r="R1077" s="3">
        <v>1986.79</v>
      </c>
      <c r="S1077" s="3">
        <v>4.61036</v>
      </c>
      <c r="T1077" s="4" t="s">
        <v>113</v>
      </c>
      <c r="U1077" s="2" t="s">
        <v>37</v>
      </c>
      <c r="V1077" s="2" t="s">
        <v>37</v>
      </c>
      <c r="W1077" s="2" t="s">
        <v>37</v>
      </c>
      <c r="X1077" s="2" t="s">
        <v>38</v>
      </c>
      <c r="Y1077" s="2" t="s">
        <v>37</v>
      </c>
      <c r="Z1077" s="2" t="s">
        <v>37</v>
      </c>
      <c r="AA1077" s="6">
        <v>3.4517465340000002</v>
      </c>
      <c r="AB1077" s="6">
        <v>3.2981519650000002</v>
      </c>
      <c r="AC1077" s="6">
        <v>3.3865738680000002</v>
      </c>
      <c r="AD1077" cm="1">
        <f t="array" ref="AD1077">IF(SUMPRODUCT(--($AM$2:$AM$112=TRIM(LEFT($B1077,IFERROR(FIND(" ",$B1077)-1,LEN($B1077))))))&gt;0,1,0)</f>
        <v>0</v>
      </c>
      <c r="AE1077" cm="1">
        <f t="array" ref="AE1077">IF(SUMPRODUCT(--($AO$2:$AO$145=TRIM(LEFT($B1077,IFERROR(FIND(" ",$B1077)-1,LEN($B1077))))))&gt;0,1,0)</f>
        <v>0</v>
      </c>
      <c r="AF1077" cm="1">
        <f t="array" ref="AF1077">IF(SUMPRODUCT(--($AQ$2:$AQ$71=TRIM(LEFT($B1077,IFERROR(FIND(" ",$B1077)-1,LEN($B1077))))))&gt;0,1,0)</f>
        <v>0</v>
      </c>
    </row>
    <row r="1078" spans="1:32" ht="45.75" thickBot="1" x14ac:dyDescent="0.3">
      <c r="A1078" s="13">
        <v>76</v>
      </c>
      <c r="B1078" s="4" t="s">
        <v>2027</v>
      </c>
      <c r="C1078" s="4" t="s">
        <v>747</v>
      </c>
      <c r="D1078" s="7">
        <v>43031</v>
      </c>
      <c r="E1078" s="3">
        <v>1545.91</v>
      </c>
      <c r="F1078" s="4" t="s">
        <v>30</v>
      </c>
      <c r="G1078" s="3">
        <v>54.21</v>
      </c>
      <c r="H1078" s="4" t="s">
        <v>31</v>
      </c>
      <c r="I1078" s="4" t="s">
        <v>32</v>
      </c>
      <c r="J1078" s="4" t="s">
        <v>33</v>
      </c>
      <c r="K1078" s="4"/>
      <c r="L1078" s="3">
        <v>56</v>
      </c>
      <c r="M1078" s="3">
        <v>4.6100000000000003</v>
      </c>
      <c r="N1078" s="3">
        <v>1705.76</v>
      </c>
      <c r="O1078" s="4" t="s">
        <v>34</v>
      </c>
      <c r="P1078" s="4" t="s">
        <v>34</v>
      </c>
      <c r="Q1078" s="4" t="s">
        <v>35</v>
      </c>
      <c r="R1078" s="3">
        <v>340.96199999999999</v>
      </c>
      <c r="S1078" s="3">
        <v>1.4518500000000001</v>
      </c>
      <c r="T1078" s="4" t="s">
        <v>43</v>
      </c>
      <c r="U1078" s="2" t="s">
        <v>37</v>
      </c>
      <c r="V1078" s="2" t="s">
        <v>37</v>
      </c>
      <c r="W1078" s="2" t="s">
        <v>37</v>
      </c>
      <c r="X1078" s="2" t="s">
        <v>37</v>
      </c>
      <c r="Y1078" s="2" t="s">
        <v>37</v>
      </c>
      <c r="Z1078" s="2" t="s">
        <v>37</v>
      </c>
      <c r="AA1078" s="6">
        <v>3.1891842069999998</v>
      </c>
      <c r="AB1078" s="6">
        <v>2.5327059799999998</v>
      </c>
      <c r="AC1078" s="6">
        <v>3.2319179259999999</v>
      </c>
      <c r="AD1078" cm="1">
        <f t="array" ref="AD1078">IF(SUMPRODUCT(--($AM$2:$AM$112=TRIM(LEFT($B1078,IFERROR(FIND(" ",$B1078)-1,LEN($B1078))))))&gt;0,1,0)</f>
        <v>0</v>
      </c>
      <c r="AE1078" cm="1">
        <f t="array" ref="AE1078">IF(SUMPRODUCT(--($AO$2:$AO$145=TRIM(LEFT($B1078,IFERROR(FIND(" ",$B1078)-1,LEN($B1078))))))&gt;0,1,0)</f>
        <v>0</v>
      </c>
      <c r="AF1078" cm="1">
        <f t="array" ref="AF1078">IF(SUMPRODUCT(--($AQ$2:$AQ$71=TRIM(LEFT($B1078,IFERROR(FIND(" ",$B1078)-1,LEN($B1078))))))&gt;0,1,0)</f>
        <v>0</v>
      </c>
    </row>
    <row r="1079" spans="1:32" ht="75.75" thickBot="1" x14ac:dyDescent="0.3">
      <c r="A1079" s="13">
        <v>48</v>
      </c>
      <c r="B1079" s="4" t="s">
        <v>2028</v>
      </c>
      <c r="C1079" s="4" t="s">
        <v>1234</v>
      </c>
      <c r="D1079" s="7">
        <v>43066</v>
      </c>
      <c r="E1079" s="3">
        <v>2520.4499999999998</v>
      </c>
      <c r="F1079" s="4" t="s">
        <v>30</v>
      </c>
      <c r="G1079" s="3">
        <v>10.37</v>
      </c>
      <c r="H1079" s="4" t="s">
        <v>184</v>
      </c>
      <c r="I1079" s="4" t="s">
        <v>185</v>
      </c>
      <c r="J1079" s="4" t="s">
        <v>1133</v>
      </c>
      <c r="K1079" s="4"/>
      <c r="L1079" s="3">
        <v>65</v>
      </c>
      <c r="M1079" s="3">
        <v>44.56</v>
      </c>
      <c r="N1079" s="3">
        <v>1843.01</v>
      </c>
      <c r="O1079" s="4" t="s">
        <v>34</v>
      </c>
      <c r="P1079" s="4" t="s">
        <v>34</v>
      </c>
      <c r="Q1079" s="4" t="s">
        <v>35</v>
      </c>
      <c r="R1079" s="3">
        <v>3076</v>
      </c>
      <c r="S1079" s="3">
        <v>3.78999</v>
      </c>
      <c r="T1079" s="4" t="s">
        <v>88</v>
      </c>
      <c r="U1079" s="2" t="s">
        <v>37</v>
      </c>
      <c r="V1079" s="2" t="s">
        <v>37</v>
      </c>
      <c r="W1079" s="2" t="s">
        <v>37</v>
      </c>
      <c r="X1079" s="2" t="s">
        <v>37</v>
      </c>
      <c r="Y1079" s="2" t="s">
        <v>37</v>
      </c>
      <c r="Z1079" s="2" t="s">
        <v>38</v>
      </c>
      <c r="AA1079" s="6">
        <v>3.401478086</v>
      </c>
      <c r="AB1079" s="6">
        <v>3.4879863310000001</v>
      </c>
      <c r="AC1079" s="6">
        <v>3.265527692</v>
      </c>
      <c r="AD1079" cm="1">
        <f t="array" ref="AD1079">IF(SUMPRODUCT(--($AM$2:$AM$112=TRIM(LEFT($B1079,IFERROR(FIND(" ",$B1079)-1,LEN($B1079))))))&gt;0,1,0)</f>
        <v>0</v>
      </c>
      <c r="AE1079" cm="1">
        <f t="array" ref="AE1079">IF(SUMPRODUCT(--($AO$2:$AO$145=TRIM(LEFT($B1079,IFERROR(FIND(" ",$B1079)-1,LEN($B1079))))))&gt;0,1,0)</f>
        <v>0</v>
      </c>
      <c r="AF1079" cm="1">
        <f t="array" ref="AF1079">IF(SUMPRODUCT(--($AQ$2:$AQ$71=TRIM(LEFT($B1079,IFERROR(FIND(" ",$B1079)-1,LEN($B1079))))))&gt;0,1,0)</f>
        <v>0</v>
      </c>
    </row>
    <row r="1080" spans="1:32" ht="75.75" thickBot="1" x14ac:dyDescent="0.3">
      <c r="A1080" s="13">
        <v>33</v>
      </c>
      <c r="B1080" s="4" t="s">
        <v>2029</v>
      </c>
      <c r="C1080" s="4" t="s">
        <v>2030</v>
      </c>
      <c r="D1080" s="7">
        <v>43087</v>
      </c>
      <c r="E1080" s="3">
        <v>1503.1</v>
      </c>
      <c r="F1080" s="4" t="s">
        <v>30</v>
      </c>
      <c r="G1080" s="3">
        <v>19.54</v>
      </c>
      <c r="H1080" s="4" t="s">
        <v>127</v>
      </c>
      <c r="I1080" s="4" t="s">
        <v>128</v>
      </c>
      <c r="J1080" s="4" t="s">
        <v>129</v>
      </c>
      <c r="K1080" s="4"/>
      <c r="L1080" s="3">
        <v>31.4</v>
      </c>
      <c r="M1080" s="3">
        <v>99.93</v>
      </c>
      <c r="N1080" s="3">
        <v>920.95</v>
      </c>
      <c r="O1080" s="4" t="s">
        <v>34</v>
      </c>
      <c r="P1080" s="4" t="s">
        <v>34</v>
      </c>
      <c r="Q1080" s="4" t="s">
        <v>35</v>
      </c>
      <c r="R1080" s="3">
        <v>164.87200000000001</v>
      </c>
      <c r="S1080" s="3">
        <v>-92.494600000000005</v>
      </c>
      <c r="T1080" s="4" t="s">
        <v>88</v>
      </c>
      <c r="U1080" s="2" t="s">
        <v>37</v>
      </c>
      <c r="V1080" s="2" t="s">
        <v>37</v>
      </c>
      <c r="W1080" s="2" t="s">
        <v>37</v>
      </c>
      <c r="X1080" s="2" t="s">
        <v>37</v>
      </c>
      <c r="Y1080" s="2" t="s">
        <v>37</v>
      </c>
      <c r="Z1080" s="2" t="s">
        <v>38</v>
      </c>
      <c r="AA1080" s="6">
        <v>3.176987875</v>
      </c>
      <c r="AB1080" s="6">
        <v>2.217146906</v>
      </c>
      <c r="AC1080" s="6">
        <v>2.964236052</v>
      </c>
      <c r="AD1080" cm="1">
        <f t="array" ref="AD1080">IF(SUMPRODUCT(--($AM$2:$AM$112=TRIM(LEFT($B1080,IFERROR(FIND(" ",$B1080)-1,LEN($B1080))))))&gt;0,1,0)</f>
        <v>0</v>
      </c>
      <c r="AE1080" cm="1">
        <f t="array" ref="AE1080">IF(SUMPRODUCT(--($AO$2:$AO$145=TRIM(LEFT($B1080,IFERROR(FIND(" ",$B1080)-1,LEN($B1080))))))&gt;0,1,0)</f>
        <v>0</v>
      </c>
      <c r="AF1080" cm="1">
        <f t="array" ref="AF1080">IF(SUMPRODUCT(--($AQ$2:$AQ$71=TRIM(LEFT($B1080,IFERROR(FIND(" ",$B1080)-1,LEN($B1080))))))&gt;0,1,0)</f>
        <v>0</v>
      </c>
    </row>
    <row r="1081" spans="1:32" ht="75.75" thickBot="1" x14ac:dyDescent="0.3">
      <c r="A1081" s="13">
        <v>104</v>
      </c>
      <c r="B1081" s="4" t="s">
        <v>2031</v>
      </c>
      <c r="C1081" s="4" t="s">
        <v>2032</v>
      </c>
      <c r="D1081" s="7">
        <v>42975</v>
      </c>
      <c r="E1081" s="3">
        <v>719.37</v>
      </c>
      <c r="F1081" s="4" t="s">
        <v>69</v>
      </c>
      <c r="G1081" s="3">
        <v>16.98</v>
      </c>
      <c r="H1081" s="4" t="s">
        <v>31</v>
      </c>
      <c r="I1081" s="4" t="s">
        <v>432</v>
      </c>
      <c r="J1081" s="4" t="s">
        <v>1072</v>
      </c>
      <c r="K1081" s="4"/>
      <c r="L1081" s="3">
        <v>28.5</v>
      </c>
      <c r="M1081" s="3">
        <v>43.06</v>
      </c>
      <c r="N1081" s="3">
        <v>812.42</v>
      </c>
      <c r="O1081" s="4" t="s">
        <v>34</v>
      </c>
      <c r="P1081" s="4" t="s">
        <v>34</v>
      </c>
      <c r="Q1081" s="4" t="s">
        <v>35</v>
      </c>
      <c r="R1081" s="3">
        <v>322.12299999999999</v>
      </c>
      <c r="S1081" s="3">
        <v>9.1267999999999994</v>
      </c>
      <c r="T1081" s="4" t="s">
        <v>43</v>
      </c>
      <c r="U1081" s="2" t="s">
        <v>37</v>
      </c>
      <c r="V1081" s="2" t="s">
        <v>37</v>
      </c>
      <c r="W1081" s="2" t="s">
        <v>37</v>
      </c>
      <c r="X1081" s="2" t="s">
        <v>37</v>
      </c>
      <c r="Y1081" s="2" t="s">
        <v>37</v>
      </c>
      <c r="Z1081" s="2" t="s">
        <v>37</v>
      </c>
      <c r="AA1081" s="6">
        <v>2.8569523220000002</v>
      </c>
      <c r="AB1081" s="6">
        <v>2.5080217349999998</v>
      </c>
      <c r="AC1081" s="6">
        <v>2.909780606</v>
      </c>
      <c r="AD1081" cm="1">
        <f t="array" ref="AD1081">IF(SUMPRODUCT(--($AM$2:$AM$112=TRIM(LEFT($B1081,IFERROR(FIND(" ",$B1081)-1,LEN($B1081))))))&gt;0,1,0)</f>
        <v>0</v>
      </c>
      <c r="AE1081" cm="1">
        <f t="array" ref="AE1081">IF(SUMPRODUCT(--($AO$2:$AO$145=TRIM(LEFT($B1081,IFERROR(FIND(" ",$B1081)-1,LEN($B1081))))))&gt;0,1,0)</f>
        <v>0</v>
      </c>
      <c r="AF1081" cm="1">
        <f t="array" ref="AF1081">IF(SUMPRODUCT(--($AQ$2:$AQ$71=TRIM(LEFT($B1081,IFERROR(FIND(" ",$B1081)-1,LEN($B1081))))))&gt;0,1,0)</f>
        <v>0</v>
      </c>
    </row>
    <row r="1082" spans="1:32" ht="45.75" thickBot="1" x14ac:dyDescent="0.3">
      <c r="A1082" s="13">
        <v>86</v>
      </c>
      <c r="B1082" s="4" t="s">
        <v>2033</v>
      </c>
      <c r="C1082" s="4" t="s">
        <v>2034</v>
      </c>
      <c r="D1082" s="7">
        <v>42997</v>
      </c>
      <c r="E1082" s="3">
        <v>1613.9</v>
      </c>
      <c r="F1082" s="4" t="s">
        <v>30</v>
      </c>
      <c r="G1082" s="4"/>
      <c r="H1082" s="4" t="s">
        <v>127</v>
      </c>
      <c r="I1082" s="4" t="s">
        <v>128</v>
      </c>
      <c r="J1082" s="4" t="s">
        <v>129</v>
      </c>
      <c r="K1082" s="4"/>
      <c r="L1082" s="3">
        <v>50</v>
      </c>
      <c r="M1082" s="3">
        <v>14.64</v>
      </c>
      <c r="N1082" s="3">
        <v>1536.58</v>
      </c>
      <c r="O1082" s="4" t="s">
        <v>34</v>
      </c>
      <c r="P1082" s="4" t="s">
        <v>34</v>
      </c>
      <c r="Q1082" s="4" t="s">
        <v>35</v>
      </c>
      <c r="R1082" s="3">
        <v>394.84199999999998</v>
      </c>
      <c r="S1082" s="3">
        <v>9.1780899999999992</v>
      </c>
      <c r="T1082" s="4" t="s">
        <v>43</v>
      </c>
      <c r="U1082" s="2" t="s">
        <v>37</v>
      </c>
      <c r="V1082" s="2" t="s">
        <v>37</v>
      </c>
      <c r="W1082" s="2" t="s">
        <v>37</v>
      </c>
      <c r="X1082" s="2" t="s">
        <v>37</v>
      </c>
      <c r="Y1082" s="2" t="s">
        <v>37</v>
      </c>
      <c r="Z1082" s="2" t="s">
        <v>37</v>
      </c>
      <c r="AA1082" s="6">
        <v>3.2078766220000001</v>
      </c>
      <c r="AB1082" s="6">
        <v>2.5964233430000001</v>
      </c>
      <c r="AC1082" s="6">
        <v>3.1865551760000002</v>
      </c>
      <c r="AD1082" cm="1">
        <f t="array" ref="AD1082">IF(SUMPRODUCT(--($AM$2:$AM$112=TRIM(LEFT($B1082,IFERROR(FIND(" ",$B1082)-1,LEN($B1082))))))&gt;0,1,0)</f>
        <v>0</v>
      </c>
      <c r="AE1082" cm="1">
        <f t="array" ref="AE1082">IF(SUMPRODUCT(--($AO$2:$AO$145=TRIM(LEFT($B1082,IFERROR(FIND(" ",$B1082)-1,LEN($B1082))))))&gt;0,1,0)</f>
        <v>0</v>
      </c>
      <c r="AF1082" cm="1">
        <f t="array" ref="AF1082">IF(SUMPRODUCT(--($AQ$2:$AQ$71=TRIM(LEFT($B1082,IFERROR(FIND(" ",$B1082)-1,LEN($B1082))))))&gt;0,1,0)</f>
        <v>0</v>
      </c>
    </row>
    <row r="1083" spans="1:32" ht="45.75" thickBot="1" x14ac:dyDescent="0.3">
      <c r="A1083" s="13">
        <v>81</v>
      </c>
      <c r="B1083" s="4" t="s">
        <v>2035</v>
      </c>
      <c r="C1083" s="4" t="s">
        <v>2036</v>
      </c>
      <c r="D1083" s="7">
        <v>42996</v>
      </c>
      <c r="E1083" s="3">
        <v>752.6</v>
      </c>
      <c r="F1083" s="4" t="s">
        <v>30</v>
      </c>
      <c r="G1083" s="4"/>
      <c r="H1083" s="4" t="s">
        <v>118</v>
      </c>
      <c r="I1083" s="4" t="s">
        <v>273</v>
      </c>
      <c r="J1083" s="4" t="s">
        <v>273</v>
      </c>
      <c r="K1083" s="4"/>
      <c r="L1083" s="3">
        <v>32.299999999999997</v>
      </c>
      <c r="M1083" s="4"/>
      <c r="N1083" s="3">
        <v>870.44</v>
      </c>
      <c r="O1083" s="4" t="s">
        <v>34</v>
      </c>
      <c r="P1083" s="4" t="s">
        <v>34</v>
      </c>
      <c r="Q1083" s="4" t="s">
        <v>35</v>
      </c>
      <c r="R1083" s="3">
        <v>2367.19</v>
      </c>
      <c r="S1083" s="3">
        <v>13.225300000000001</v>
      </c>
      <c r="T1083" s="4" t="s">
        <v>43</v>
      </c>
      <c r="U1083" s="2" t="s">
        <v>37</v>
      </c>
      <c r="V1083" s="2" t="s">
        <v>37</v>
      </c>
      <c r="W1083" s="2" t="s">
        <v>37</v>
      </c>
      <c r="X1083" s="2" t="s">
        <v>37</v>
      </c>
      <c r="Y1083" s="2" t="s">
        <v>37</v>
      </c>
      <c r="Z1083" s="2" t="s">
        <v>37</v>
      </c>
      <c r="AA1083" s="6">
        <v>2.8765642140000001</v>
      </c>
      <c r="AB1083" s="6">
        <v>3.3742331179999998</v>
      </c>
      <c r="AC1083" s="6">
        <v>2.93973884</v>
      </c>
      <c r="AD1083" cm="1">
        <f t="array" ref="AD1083">IF(SUMPRODUCT(--($AM$2:$AM$112=TRIM(LEFT($B1083,IFERROR(FIND(" ",$B1083)-1,LEN($B1083))))))&gt;0,1,0)</f>
        <v>0</v>
      </c>
      <c r="AE1083" cm="1">
        <f t="array" ref="AE1083">IF(SUMPRODUCT(--($AO$2:$AO$145=TRIM(LEFT($B1083,IFERROR(FIND(" ",$B1083)-1,LEN($B1083))))))&gt;0,1,0)</f>
        <v>0</v>
      </c>
      <c r="AF1083" cm="1">
        <f t="array" ref="AF1083">IF(SUMPRODUCT(--($AQ$2:$AQ$71=TRIM(LEFT($B1083,IFERROR(FIND(" ",$B1083)-1,LEN($B1083))))))&gt;0,1,0)</f>
        <v>0</v>
      </c>
    </row>
    <row r="1084" spans="1:32" ht="120.75" thickBot="1" x14ac:dyDescent="0.3">
      <c r="A1084" s="13">
        <v>129</v>
      </c>
      <c r="B1084" s="4" t="s">
        <v>2037</v>
      </c>
      <c r="C1084" s="4" t="s">
        <v>2005</v>
      </c>
      <c r="D1084" s="7">
        <v>42922</v>
      </c>
      <c r="E1084" s="3">
        <v>1770.68</v>
      </c>
      <c r="F1084" s="4" t="s">
        <v>46</v>
      </c>
      <c r="G1084" s="3">
        <v>10.4</v>
      </c>
      <c r="H1084" s="4" t="s">
        <v>75</v>
      </c>
      <c r="I1084" s="4" t="s">
        <v>83</v>
      </c>
      <c r="J1084" s="4" t="s">
        <v>84</v>
      </c>
      <c r="K1084" s="4"/>
      <c r="L1084" s="4"/>
      <c r="M1084" s="3">
        <v>27.99</v>
      </c>
      <c r="N1084" s="3">
        <v>1294.8800000000001</v>
      </c>
      <c r="O1084" s="4" t="s">
        <v>34</v>
      </c>
      <c r="P1084" s="4" t="s">
        <v>34</v>
      </c>
      <c r="Q1084" s="4" t="s">
        <v>35</v>
      </c>
      <c r="R1084" s="3">
        <v>3567.49</v>
      </c>
      <c r="S1084" s="3">
        <v>5.7755900000000002</v>
      </c>
      <c r="T1084" s="4" t="s">
        <v>321</v>
      </c>
      <c r="U1084" s="2" t="s">
        <v>38</v>
      </c>
      <c r="V1084" s="2" t="s">
        <v>37</v>
      </c>
      <c r="W1084" s="2" t="s">
        <v>37</v>
      </c>
      <c r="X1084" s="2" t="s">
        <v>37</v>
      </c>
      <c r="Y1084" s="2" t="s">
        <v>37</v>
      </c>
      <c r="Z1084" s="2" t="s">
        <v>37</v>
      </c>
      <c r="AA1084" s="6">
        <v>3.2481400819999999</v>
      </c>
      <c r="AB1084" s="6">
        <v>3.5523627640000002</v>
      </c>
      <c r="AC1084" s="6">
        <v>3.1122295229999999</v>
      </c>
      <c r="AD1084" cm="1">
        <f t="array" ref="AD1084">IF(SUMPRODUCT(--($AM$2:$AM$112=TRIM(LEFT($B1084,IFERROR(FIND(" ",$B1084)-1,LEN($B1084))))))&gt;0,1,0)</f>
        <v>0</v>
      </c>
      <c r="AE1084" cm="1">
        <f t="array" ref="AE1084">IF(SUMPRODUCT(--($AO$2:$AO$145=TRIM(LEFT($B1084,IFERROR(FIND(" ",$B1084)-1,LEN($B1084))))))&gt;0,1,0)</f>
        <v>0</v>
      </c>
      <c r="AF1084" cm="1">
        <f t="array" ref="AF1084">IF(SUMPRODUCT(--($AQ$2:$AQ$71=TRIM(LEFT($B1084,IFERROR(FIND(" ",$B1084)-1,LEN($B1084))))))&gt;0,1,0)</f>
        <v>0</v>
      </c>
    </row>
    <row r="1085" spans="1:32" ht="45.75" thickBot="1" x14ac:dyDescent="0.3">
      <c r="A1085" s="13">
        <v>115</v>
      </c>
      <c r="B1085" s="4" t="s">
        <v>2038</v>
      </c>
      <c r="C1085" s="4" t="s">
        <v>1616</v>
      </c>
      <c r="D1085" s="7">
        <v>42942</v>
      </c>
      <c r="E1085" s="3">
        <v>816</v>
      </c>
      <c r="F1085" s="4" t="s">
        <v>46</v>
      </c>
      <c r="G1085" s="4"/>
      <c r="H1085" s="4" t="s">
        <v>65</v>
      </c>
      <c r="I1085" s="4" t="s">
        <v>66</v>
      </c>
      <c r="J1085" s="4" t="s">
        <v>66</v>
      </c>
      <c r="K1085" s="4"/>
      <c r="L1085" s="3">
        <v>30</v>
      </c>
      <c r="M1085" s="4"/>
      <c r="N1085" s="3">
        <v>816</v>
      </c>
      <c r="O1085" s="4" t="s">
        <v>34</v>
      </c>
      <c r="P1085" s="4" t="s">
        <v>34</v>
      </c>
      <c r="Q1085" s="4" t="s">
        <v>35</v>
      </c>
      <c r="R1085" s="2"/>
      <c r="S1085" s="2"/>
      <c r="T1085" s="4" t="s">
        <v>43</v>
      </c>
      <c r="U1085" s="2" t="s">
        <v>37</v>
      </c>
      <c r="V1085" s="2" t="s">
        <v>37</v>
      </c>
      <c r="W1085" s="2" t="s">
        <v>37</v>
      </c>
      <c r="X1085" s="2" t="s">
        <v>37</v>
      </c>
      <c r="Y1085" s="2" t="s">
        <v>37</v>
      </c>
      <c r="Z1085" s="2" t="s">
        <v>37</v>
      </c>
      <c r="AA1085" s="6">
        <v>2.9116901589999999</v>
      </c>
      <c r="AB1085" s="2"/>
      <c r="AC1085" s="6">
        <v>2.9116901589999999</v>
      </c>
      <c r="AD1085" cm="1">
        <f t="array" ref="AD1085">IF(SUMPRODUCT(--($AM$2:$AM$112=TRIM(LEFT($B1085,IFERROR(FIND(" ",$B1085)-1,LEN($B1085))))))&gt;0,1,0)</f>
        <v>0</v>
      </c>
      <c r="AE1085" cm="1">
        <f t="array" ref="AE1085">IF(SUMPRODUCT(--($AO$2:$AO$145=TRIM(LEFT($B1085,IFERROR(FIND(" ",$B1085)-1,LEN($B1085))))))&gt;0,1,0)</f>
        <v>0</v>
      </c>
      <c r="AF1085" cm="1">
        <f t="array" ref="AF1085">IF(SUMPRODUCT(--($AQ$2:$AQ$71=TRIM(LEFT($B1085,IFERROR(FIND(" ",$B1085)-1,LEN($B1085))))))&gt;0,1,0)</f>
        <v>0</v>
      </c>
    </row>
    <row r="1086" spans="1:32" ht="45.75" thickBot="1" x14ac:dyDescent="0.3">
      <c r="A1086" s="13">
        <v>162</v>
      </c>
      <c r="B1086" s="4" t="s">
        <v>2039</v>
      </c>
      <c r="C1086" s="4" t="s">
        <v>508</v>
      </c>
      <c r="D1086" s="7">
        <v>42877</v>
      </c>
      <c r="E1086" s="3">
        <v>731.97</v>
      </c>
      <c r="F1086" s="4" t="s">
        <v>46</v>
      </c>
      <c r="G1086" s="4"/>
      <c r="H1086" s="4" t="s">
        <v>65</v>
      </c>
      <c r="I1086" s="4" t="s">
        <v>66</v>
      </c>
      <c r="J1086" s="4" t="s">
        <v>66</v>
      </c>
      <c r="K1086" s="3">
        <v>26.5</v>
      </c>
      <c r="L1086" s="3">
        <v>26.5</v>
      </c>
      <c r="M1086" s="3">
        <v>14.83</v>
      </c>
      <c r="N1086" s="3">
        <v>731.97</v>
      </c>
      <c r="O1086" s="4" t="s">
        <v>34</v>
      </c>
      <c r="P1086" s="4" t="s">
        <v>34</v>
      </c>
      <c r="Q1086" s="4" t="s">
        <v>35</v>
      </c>
      <c r="R1086" s="3">
        <v>103.541</v>
      </c>
      <c r="S1086" s="3">
        <v>32.101900000000001</v>
      </c>
      <c r="T1086" s="4" t="s">
        <v>43</v>
      </c>
      <c r="U1086" s="2" t="s">
        <v>37</v>
      </c>
      <c r="V1086" s="2" t="s">
        <v>37</v>
      </c>
      <c r="W1086" s="2" t="s">
        <v>37</v>
      </c>
      <c r="X1086" s="2" t="s">
        <v>37</v>
      </c>
      <c r="Y1086" s="2" t="s">
        <v>37</v>
      </c>
      <c r="Z1086" s="2" t="s">
        <v>37</v>
      </c>
      <c r="AA1086" s="6">
        <v>2.8644932820000002</v>
      </c>
      <c r="AB1086" s="6">
        <v>2.0151123549999999</v>
      </c>
      <c r="AC1086" s="6">
        <v>2.8644932820000002</v>
      </c>
      <c r="AD1086" cm="1">
        <f t="array" ref="AD1086">IF(SUMPRODUCT(--($AM$2:$AM$112=TRIM(LEFT($B1086,IFERROR(FIND(" ",$B1086)-1,LEN($B1086))))))&gt;0,1,0)</f>
        <v>0</v>
      </c>
      <c r="AE1086" cm="1">
        <f t="array" ref="AE1086">IF(SUMPRODUCT(--($AO$2:$AO$145=TRIM(LEFT($B1086,IFERROR(FIND(" ",$B1086)-1,LEN($B1086))))))&gt;0,1,0)</f>
        <v>0</v>
      </c>
      <c r="AF1086" cm="1">
        <f t="array" ref="AF1086">IF(SUMPRODUCT(--($AQ$2:$AQ$71=TRIM(LEFT($B1086,IFERROR(FIND(" ",$B1086)-1,LEN($B1086))))))&gt;0,1,0)</f>
        <v>0</v>
      </c>
    </row>
    <row r="1087" spans="1:32" ht="60.75" thickBot="1" x14ac:dyDescent="0.3">
      <c r="A1087" s="13">
        <v>180</v>
      </c>
      <c r="B1087" s="4" t="s">
        <v>2040</v>
      </c>
      <c r="C1087" s="4" t="s">
        <v>2041</v>
      </c>
      <c r="D1087" s="7">
        <v>42848</v>
      </c>
      <c r="E1087" s="3">
        <v>24119.17</v>
      </c>
      <c r="F1087" s="4" t="s">
        <v>107</v>
      </c>
      <c r="G1087" s="3">
        <v>20.54</v>
      </c>
      <c r="H1087" s="4" t="s">
        <v>41</v>
      </c>
      <c r="I1087" s="4" t="s">
        <v>41</v>
      </c>
      <c r="J1087" s="4" t="s">
        <v>60</v>
      </c>
      <c r="K1087" s="4"/>
      <c r="L1087" s="3">
        <v>750</v>
      </c>
      <c r="M1087" s="3">
        <v>26.29</v>
      </c>
      <c r="N1087" s="3">
        <v>23382.47</v>
      </c>
      <c r="O1087" s="4" t="s">
        <v>34</v>
      </c>
      <c r="P1087" s="4" t="s">
        <v>34</v>
      </c>
      <c r="Q1087" s="4" t="s">
        <v>35</v>
      </c>
      <c r="R1087" s="3">
        <v>3714</v>
      </c>
      <c r="S1087" s="3">
        <v>25.8889</v>
      </c>
      <c r="T1087" s="4" t="s">
        <v>43</v>
      </c>
      <c r="U1087" s="2" t="s">
        <v>37</v>
      </c>
      <c r="V1087" s="2" t="s">
        <v>37</v>
      </c>
      <c r="W1087" s="2" t="s">
        <v>37</v>
      </c>
      <c r="X1087" s="2" t="s">
        <v>37</v>
      </c>
      <c r="Y1087" s="2" t="s">
        <v>37</v>
      </c>
      <c r="Z1087" s="2" t="s">
        <v>37</v>
      </c>
      <c r="AA1087" s="6">
        <v>4.382362359</v>
      </c>
      <c r="AB1087" s="6">
        <v>3.569841899</v>
      </c>
      <c r="AC1087" s="6">
        <v>4.3688903860000003</v>
      </c>
      <c r="AD1087" cm="1">
        <f t="array" ref="AD1087">IF(SUMPRODUCT(--($AM$2:$AM$112=TRIM(LEFT($B1087,IFERROR(FIND(" ",$B1087)-1,LEN($B1087))))))&gt;0,1,0)</f>
        <v>1</v>
      </c>
      <c r="AE1087" cm="1">
        <f t="array" ref="AE1087">IF(SUMPRODUCT(--($AO$2:$AO$145=TRIM(LEFT($B1087,IFERROR(FIND(" ",$B1087)-1,LEN($B1087))))))&gt;0,1,0)</f>
        <v>1</v>
      </c>
      <c r="AF1087" cm="1">
        <f t="array" ref="AF1087">IF(SUMPRODUCT(--($AQ$2:$AQ$71=TRIM(LEFT($B1087,IFERROR(FIND(" ",$B1087)-1,LEN($B1087))))))&gt;0,1,0)</f>
        <v>0</v>
      </c>
    </row>
    <row r="1088" spans="1:32" ht="300.75" thickBot="1" x14ac:dyDescent="0.3">
      <c r="A1088" s="13">
        <v>214</v>
      </c>
      <c r="B1088" s="4" t="s">
        <v>2042</v>
      </c>
      <c r="C1088" s="4" t="s">
        <v>1088</v>
      </c>
      <c r="D1088" s="7">
        <v>42801</v>
      </c>
      <c r="E1088" s="3">
        <v>954.09</v>
      </c>
      <c r="F1088" s="4" t="s">
        <v>30</v>
      </c>
      <c r="G1088" s="3">
        <v>11.64</v>
      </c>
      <c r="H1088" s="4" t="s">
        <v>279</v>
      </c>
      <c r="I1088" s="4" t="s">
        <v>279</v>
      </c>
      <c r="J1088" s="4" t="s">
        <v>280</v>
      </c>
      <c r="K1088" s="4"/>
      <c r="L1088" s="4"/>
      <c r="M1088" s="4"/>
      <c r="N1088" s="3">
        <v>557.83000000000004</v>
      </c>
      <c r="O1088" s="4" t="s">
        <v>34</v>
      </c>
      <c r="P1088" s="4" t="s">
        <v>49</v>
      </c>
      <c r="Q1088" s="4" t="s">
        <v>35</v>
      </c>
      <c r="R1088" s="3">
        <v>214.31700000000001</v>
      </c>
      <c r="S1088" s="3">
        <v>0.66526200000000002</v>
      </c>
      <c r="T1088" s="4" t="s">
        <v>2043</v>
      </c>
      <c r="U1088" s="2" t="s">
        <v>38</v>
      </c>
      <c r="V1088" s="2" t="s">
        <v>37</v>
      </c>
      <c r="W1088" s="2" t="s">
        <v>38</v>
      </c>
      <c r="X1088" s="2" t="s">
        <v>38</v>
      </c>
      <c r="Y1088" s="2" t="s">
        <v>38</v>
      </c>
      <c r="Z1088" s="2" t="s">
        <v>38</v>
      </c>
      <c r="AA1088" s="6">
        <v>2.9795893439999999</v>
      </c>
      <c r="AB1088" s="6">
        <v>2.3310566210000001</v>
      </c>
      <c r="AC1088" s="6">
        <v>2.7465018670000001</v>
      </c>
      <c r="AD1088" cm="1">
        <f t="array" ref="AD1088">IF(SUMPRODUCT(--($AM$2:$AM$112=TRIM(LEFT($B1088,IFERROR(FIND(" ",$B1088)-1,LEN($B1088))))))&gt;0,1,0)</f>
        <v>0</v>
      </c>
      <c r="AE1088" cm="1">
        <f t="array" ref="AE1088">IF(SUMPRODUCT(--($AO$2:$AO$145=TRIM(LEFT($B1088,IFERROR(FIND(" ",$B1088)-1,LEN($B1088))))))&gt;0,1,0)</f>
        <v>0</v>
      </c>
      <c r="AF1088" cm="1">
        <f t="array" ref="AF1088">IF(SUMPRODUCT(--($AQ$2:$AQ$71=TRIM(LEFT($B1088,IFERROR(FIND(" ",$B1088)-1,LEN($B1088))))))&gt;0,1,0)</f>
        <v>0</v>
      </c>
    </row>
    <row r="1089" spans="1:32" ht="75.75" thickBot="1" x14ac:dyDescent="0.3">
      <c r="A1089" s="13">
        <v>227</v>
      </c>
      <c r="B1089" s="4" t="s">
        <v>2044</v>
      </c>
      <c r="C1089" s="4" t="s">
        <v>2045</v>
      </c>
      <c r="D1089" s="7">
        <v>42780</v>
      </c>
      <c r="E1089" s="3">
        <v>3119.26</v>
      </c>
      <c r="F1089" s="4" t="s">
        <v>30</v>
      </c>
      <c r="G1089" s="3">
        <v>11.53</v>
      </c>
      <c r="H1089" s="4" t="s">
        <v>65</v>
      </c>
      <c r="I1089" s="4" t="s">
        <v>138</v>
      </c>
      <c r="J1089" s="4" t="s">
        <v>176</v>
      </c>
      <c r="K1089" s="4"/>
      <c r="L1089" s="3">
        <v>131.13999999999999</v>
      </c>
      <c r="M1089" s="3">
        <v>50.55</v>
      </c>
      <c r="N1089" s="3">
        <v>3119.26</v>
      </c>
      <c r="O1089" s="4" t="s">
        <v>34</v>
      </c>
      <c r="P1089" s="4" t="s">
        <v>96</v>
      </c>
      <c r="Q1089" s="4" t="s">
        <v>35</v>
      </c>
      <c r="R1089" s="3">
        <v>1163.81</v>
      </c>
      <c r="S1089" s="3">
        <v>38.325099999999999</v>
      </c>
      <c r="T1089" s="4" t="s">
        <v>97</v>
      </c>
      <c r="U1089" s="2" t="s">
        <v>37</v>
      </c>
      <c r="V1089" s="2" t="s">
        <v>37</v>
      </c>
      <c r="W1089" s="2" t="s">
        <v>38</v>
      </c>
      <c r="X1089" s="2" t="s">
        <v>37</v>
      </c>
      <c r="Y1089" s="2" t="s">
        <v>37</v>
      </c>
      <c r="Z1089" s="2" t="s">
        <v>37</v>
      </c>
      <c r="AA1089" s="6">
        <v>3.4940515759999999</v>
      </c>
      <c r="AB1089" s="6">
        <v>3.0658820850000001</v>
      </c>
      <c r="AC1089" s="6">
        <v>3.4940515759999999</v>
      </c>
      <c r="AD1089" cm="1">
        <f t="array" ref="AD1089">IF(SUMPRODUCT(--($AM$2:$AM$112=TRIM(LEFT($B1089,IFERROR(FIND(" ",$B1089)-1,LEN($B1089))))))&gt;0,1,0)</f>
        <v>0</v>
      </c>
      <c r="AE1089" cm="1">
        <f t="array" ref="AE1089">IF(SUMPRODUCT(--($AO$2:$AO$145=TRIM(LEFT($B1089,IFERROR(FIND(" ",$B1089)-1,LEN($B1089))))))&gt;0,1,0)</f>
        <v>0</v>
      </c>
      <c r="AF1089" cm="1">
        <f t="array" ref="AF1089">IF(SUMPRODUCT(--($AQ$2:$AQ$71=TRIM(LEFT($B1089,IFERROR(FIND(" ",$B1089)-1,LEN($B1089))))))&gt;0,1,0)</f>
        <v>0</v>
      </c>
    </row>
    <row r="1090" spans="1:32" ht="75.75" thickBot="1" x14ac:dyDescent="0.3">
      <c r="A1090" s="13">
        <v>45</v>
      </c>
      <c r="B1090" s="4" t="s">
        <v>2046</v>
      </c>
      <c r="C1090" s="4" t="s">
        <v>1674</v>
      </c>
      <c r="D1090" s="7">
        <v>43034</v>
      </c>
      <c r="E1090" s="3">
        <v>1181.82</v>
      </c>
      <c r="F1090" s="4" t="s">
        <v>30</v>
      </c>
      <c r="G1090" s="3">
        <v>809</v>
      </c>
      <c r="H1090" s="4" t="s">
        <v>31</v>
      </c>
      <c r="I1090" s="4" t="s">
        <v>432</v>
      </c>
      <c r="J1090" s="4" t="s">
        <v>433</v>
      </c>
      <c r="K1090" s="4"/>
      <c r="L1090" s="4"/>
      <c r="M1090" s="4"/>
      <c r="N1090" s="3">
        <v>1440.65</v>
      </c>
      <c r="O1090" s="4" t="s">
        <v>34</v>
      </c>
      <c r="P1090" s="4" t="s">
        <v>34</v>
      </c>
      <c r="Q1090" s="4" t="s">
        <v>35</v>
      </c>
      <c r="R1090" s="3">
        <v>310.85500000000002</v>
      </c>
      <c r="S1090" s="3">
        <v>-2.28308</v>
      </c>
      <c r="T1090" s="4" t="s">
        <v>113</v>
      </c>
      <c r="U1090" s="2" t="s">
        <v>37</v>
      </c>
      <c r="V1090" s="2" t="s">
        <v>37</v>
      </c>
      <c r="W1090" s="2" t="s">
        <v>37</v>
      </c>
      <c r="X1090" s="2" t="s">
        <v>38</v>
      </c>
      <c r="Y1090" s="2" t="s">
        <v>37</v>
      </c>
      <c r="Z1090" s="2" t="s">
        <v>37</v>
      </c>
      <c r="AA1090" s="6">
        <v>3.072551335</v>
      </c>
      <c r="AB1090" s="6">
        <v>2.492557857</v>
      </c>
      <c r="AC1090" s="6">
        <v>3.1585584839999998</v>
      </c>
      <c r="AD1090" cm="1">
        <f t="array" ref="AD1090">IF(SUMPRODUCT(--($AM$2:$AM$112=TRIM(LEFT($B1090,IFERROR(FIND(" ",$B1090)-1,LEN($B1090))))))&gt;0,1,0)</f>
        <v>0</v>
      </c>
      <c r="AE1090" cm="1">
        <f t="array" ref="AE1090">IF(SUMPRODUCT(--($AO$2:$AO$145=TRIM(LEFT($B1090,IFERROR(FIND(" ",$B1090)-1,LEN($B1090))))))&gt;0,1,0)</f>
        <v>0</v>
      </c>
      <c r="AF1090" cm="1">
        <f t="array" ref="AF1090">IF(SUMPRODUCT(--($AQ$2:$AQ$71=TRIM(LEFT($B1090,IFERROR(FIND(" ",$B1090)-1,LEN($B1090))))))&gt;0,1,0)</f>
        <v>0</v>
      </c>
    </row>
    <row r="1091" spans="1:32" ht="165.75" thickBot="1" x14ac:dyDescent="0.3">
      <c r="A1091" s="13">
        <v>84</v>
      </c>
      <c r="B1091" s="4" t="s">
        <v>2047</v>
      </c>
      <c r="C1091" s="4" t="s">
        <v>2048</v>
      </c>
      <c r="D1091" s="7">
        <v>42976</v>
      </c>
      <c r="E1091" s="3">
        <v>573.01</v>
      </c>
      <c r="F1091" s="4" t="s">
        <v>30</v>
      </c>
      <c r="G1091" s="3">
        <v>11.09</v>
      </c>
      <c r="H1091" s="4" t="s">
        <v>118</v>
      </c>
      <c r="I1091" s="4" t="s">
        <v>119</v>
      </c>
      <c r="J1091" s="4" t="s">
        <v>120</v>
      </c>
      <c r="K1091" s="4"/>
      <c r="L1091" s="4"/>
      <c r="M1091" s="4"/>
      <c r="N1091" s="3">
        <v>322.51</v>
      </c>
      <c r="O1091" s="4" t="s">
        <v>34</v>
      </c>
      <c r="P1091" s="4" t="s">
        <v>2049</v>
      </c>
      <c r="Q1091" s="4" t="s">
        <v>35</v>
      </c>
      <c r="R1091" s="2"/>
      <c r="S1091" s="2"/>
      <c r="T1091" s="4" t="s">
        <v>726</v>
      </c>
      <c r="U1091" s="2" t="s">
        <v>37</v>
      </c>
      <c r="V1091" s="2" t="s">
        <v>37</v>
      </c>
      <c r="W1091" s="2" t="s">
        <v>38</v>
      </c>
      <c r="X1091" s="2" t="s">
        <v>38</v>
      </c>
      <c r="Y1091" s="2" t="s">
        <v>38</v>
      </c>
      <c r="Z1091" s="2" t="s">
        <v>37</v>
      </c>
      <c r="AA1091" s="6">
        <v>2.7581622010000002</v>
      </c>
      <c r="AB1091" s="2"/>
      <c r="AC1091" s="6">
        <v>2.5085431850000002</v>
      </c>
      <c r="AD1091" cm="1">
        <f t="array" ref="AD1091">IF(SUMPRODUCT(--($AM$2:$AM$112=TRIM(LEFT($B1091,IFERROR(FIND(" ",$B1091)-1,LEN($B1091))))))&gt;0,1,0)</f>
        <v>0</v>
      </c>
      <c r="AE1091" cm="1">
        <f t="array" ref="AE1091">IF(SUMPRODUCT(--($AO$2:$AO$145=TRIM(LEFT($B1091,IFERROR(FIND(" ",$B1091)-1,LEN($B1091))))))&gt;0,1,0)</f>
        <v>0</v>
      </c>
      <c r="AF1091" cm="1">
        <f t="array" ref="AF1091">IF(SUMPRODUCT(--($AQ$2:$AQ$71=TRIM(LEFT($B1091,IFERROR(FIND(" ",$B1091)-1,LEN($B1091))))))&gt;0,1,0)</f>
        <v>0</v>
      </c>
    </row>
    <row r="1092" spans="1:32" ht="135.75" thickBot="1" x14ac:dyDescent="0.3">
      <c r="A1092" s="13">
        <v>93</v>
      </c>
      <c r="B1092" s="4" t="s">
        <v>2050</v>
      </c>
      <c r="C1092" s="2"/>
      <c r="D1092" s="7">
        <v>42949</v>
      </c>
      <c r="E1092" s="3">
        <v>1383.82</v>
      </c>
      <c r="F1092" s="4" t="s">
        <v>30</v>
      </c>
      <c r="G1092" s="3">
        <v>12.98</v>
      </c>
      <c r="H1092" s="4" t="s">
        <v>41</v>
      </c>
      <c r="I1092" s="4" t="s">
        <v>41</v>
      </c>
      <c r="J1092" s="4" t="s">
        <v>100</v>
      </c>
      <c r="K1092" s="4"/>
      <c r="L1092" s="4"/>
      <c r="M1092" s="4"/>
      <c r="N1092" s="3">
        <v>915.82</v>
      </c>
      <c r="O1092" s="4" t="s">
        <v>34</v>
      </c>
      <c r="P1092" s="4" t="s">
        <v>34</v>
      </c>
      <c r="Q1092" s="4" t="s">
        <v>35</v>
      </c>
      <c r="R1092" s="3">
        <v>2091.1</v>
      </c>
      <c r="S1092" s="3">
        <v>1.8354200000000001</v>
      </c>
      <c r="T1092" s="4" t="s">
        <v>312</v>
      </c>
      <c r="U1092" s="2" t="s">
        <v>37</v>
      </c>
      <c r="V1092" s="2" t="s">
        <v>37</v>
      </c>
      <c r="W1092" s="2" t="s">
        <v>37</v>
      </c>
      <c r="X1092" s="2" t="s">
        <v>38</v>
      </c>
      <c r="Y1092" s="2" t="s">
        <v>38</v>
      </c>
      <c r="Z1092" s="2" t="s">
        <v>37</v>
      </c>
      <c r="AA1092" s="6">
        <v>3.1410796030000001</v>
      </c>
      <c r="AB1092" s="6">
        <v>3.3203748019999999</v>
      </c>
      <c r="AC1092" s="6">
        <v>2.9618101239999999</v>
      </c>
      <c r="AD1092" cm="1">
        <f t="array" ref="AD1092">IF(SUMPRODUCT(--($AM$2:$AM$112=TRIM(LEFT($B1092,IFERROR(FIND(" ",$B1092)-1,LEN($B1092))))))&gt;0,1,0)</f>
        <v>1</v>
      </c>
      <c r="AE1092" cm="1">
        <f t="array" ref="AE1092">IF(SUMPRODUCT(--($AO$2:$AO$145=TRIM(LEFT($B1092,IFERROR(FIND(" ",$B1092)-1,LEN($B1092))))))&gt;0,1,0)</f>
        <v>1</v>
      </c>
      <c r="AF1092" cm="1">
        <f t="array" ref="AF1092">IF(SUMPRODUCT(--($AQ$2:$AQ$71=TRIM(LEFT($B1092,IFERROR(FIND(" ",$B1092)-1,LEN($B1092))))))&gt;0,1,0)</f>
        <v>0</v>
      </c>
    </row>
    <row r="1093" spans="1:32" ht="45.75" thickBot="1" x14ac:dyDescent="0.3">
      <c r="A1093" s="13">
        <v>152</v>
      </c>
      <c r="B1093" s="4" t="s">
        <v>2051</v>
      </c>
      <c r="C1093" s="4" t="s">
        <v>1515</v>
      </c>
      <c r="D1093" s="7">
        <v>42859</v>
      </c>
      <c r="E1093" s="3">
        <v>2788.17</v>
      </c>
      <c r="F1093" s="4" t="s">
        <v>69</v>
      </c>
      <c r="G1093" s="4"/>
      <c r="H1093" s="4" t="s">
        <v>65</v>
      </c>
      <c r="I1093" s="4" t="s">
        <v>66</v>
      </c>
      <c r="J1093" s="4" t="s">
        <v>66</v>
      </c>
      <c r="K1093" s="4"/>
      <c r="L1093" s="3">
        <v>85</v>
      </c>
      <c r="M1093" s="4"/>
      <c r="N1093" s="3">
        <v>2788.17</v>
      </c>
      <c r="O1093" s="4" t="s">
        <v>34</v>
      </c>
      <c r="P1093" s="4" t="s">
        <v>34</v>
      </c>
      <c r="Q1093" s="4" t="s">
        <v>35</v>
      </c>
      <c r="R1093" s="3">
        <v>341.6</v>
      </c>
      <c r="S1093" s="3">
        <v>32.769199999999998</v>
      </c>
      <c r="T1093" s="4" t="s">
        <v>43</v>
      </c>
      <c r="U1093" s="2" t="s">
        <v>37</v>
      </c>
      <c r="V1093" s="2" t="s">
        <v>37</v>
      </c>
      <c r="W1093" s="2" t="s">
        <v>37</v>
      </c>
      <c r="X1093" s="2" t="s">
        <v>37</v>
      </c>
      <c r="Y1093" s="2" t="s">
        <v>37</v>
      </c>
      <c r="Z1093" s="2" t="s">
        <v>37</v>
      </c>
      <c r="AA1093" s="6">
        <v>3.4453192499999998</v>
      </c>
      <c r="AB1093" s="6">
        <v>2.5335178620000001</v>
      </c>
      <c r="AC1093" s="6">
        <v>3.4453192499999998</v>
      </c>
      <c r="AD1093" cm="1">
        <f t="array" ref="AD1093">IF(SUMPRODUCT(--($AM$2:$AM$112=TRIM(LEFT($B1093,IFERROR(FIND(" ",$B1093)-1,LEN($B1093))))))&gt;0,1,0)</f>
        <v>0</v>
      </c>
      <c r="AE1093" cm="1">
        <f t="array" ref="AE1093">IF(SUMPRODUCT(--($AO$2:$AO$145=TRIM(LEFT($B1093,IFERROR(FIND(" ",$B1093)-1,LEN($B1093))))))&gt;0,1,0)</f>
        <v>0</v>
      </c>
      <c r="AF1093" cm="1">
        <f t="array" ref="AF1093">IF(SUMPRODUCT(--($AQ$2:$AQ$71=TRIM(LEFT($B1093,IFERROR(FIND(" ",$B1093)-1,LEN($B1093))))))&gt;0,1,0)</f>
        <v>0</v>
      </c>
    </row>
    <row r="1094" spans="1:32" ht="135.75" thickBot="1" x14ac:dyDescent="0.3">
      <c r="A1094" s="13">
        <v>138</v>
      </c>
      <c r="B1094" s="4" t="s">
        <v>2052</v>
      </c>
      <c r="C1094" s="2"/>
      <c r="D1094" s="7">
        <v>42879</v>
      </c>
      <c r="E1094" s="3">
        <v>1834.64</v>
      </c>
      <c r="F1094" s="4" t="s">
        <v>30</v>
      </c>
      <c r="G1094" s="4"/>
      <c r="H1094" s="4" t="s">
        <v>65</v>
      </c>
      <c r="I1094" s="4" t="s">
        <v>206</v>
      </c>
      <c r="J1094" s="4" t="s">
        <v>206</v>
      </c>
      <c r="K1094" s="4"/>
      <c r="L1094" s="3">
        <v>50</v>
      </c>
      <c r="M1094" s="4"/>
      <c r="N1094" s="3">
        <v>1834.64</v>
      </c>
      <c r="O1094" s="4" t="s">
        <v>34</v>
      </c>
      <c r="P1094" s="4" t="s">
        <v>34</v>
      </c>
      <c r="Q1094" s="4" t="s">
        <v>35</v>
      </c>
      <c r="R1094" s="3">
        <v>29.7212</v>
      </c>
      <c r="S1094" s="2"/>
      <c r="T1094" s="4" t="s">
        <v>312</v>
      </c>
      <c r="U1094" s="2" t="s">
        <v>37</v>
      </c>
      <c r="V1094" s="2" t="s">
        <v>37</v>
      </c>
      <c r="W1094" s="2" t="s">
        <v>37</v>
      </c>
      <c r="X1094" s="2" t="s">
        <v>38</v>
      </c>
      <c r="Y1094" s="2" t="s">
        <v>38</v>
      </c>
      <c r="Z1094" s="2" t="s">
        <v>37</v>
      </c>
      <c r="AA1094" s="6">
        <v>3.2635508579999999</v>
      </c>
      <c r="AB1094" s="6">
        <v>1.4730663399999999</v>
      </c>
      <c r="AC1094" s="6">
        <v>3.2635508579999999</v>
      </c>
      <c r="AD1094" cm="1">
        <f t="array" ref="AD1094">IF(SUMPRODUCT(--($AM$2:$AM$112=TRIM(LEFT($B1094,IFERROR(FIND(" ",$B1094)-1,LEN($B1094))))))&gt;0,1,0)</f>
        <v>0</v>
      </c>
      <c r="AE1094" cm="1">
        <f t="array" ref="AE1094">IF(SUMPRODUCT(--($AO$2:$AO$145=TRIM(LEFT($B1094,IFERROR(FIND(" ",$B1094)-1,LEN($B1094))))))&gt;0,1,0)</f>
        <v>0</v>
      </c>
      <c r="AF1094" cm="1">
        <f t="array" ref="AF1094">IF(SUMPRODUCT(--($AQ$2:$AQ$71=TRIM(LEFT($B1094,IFERROR(FIND(" ",$B1094)-1,LEN($B1094))))))&gt;0,1,0)</f>
        <v>0</v>
      </c>
    </row>
    <row r="1095" spans="1:32" ht="45.75" thickBot="1" x14ac:dyDescent="0.3">
      <c r="A1095" s="13">
        <v>157</v>
      </c>
      <c r="B1095" s="4" t="s">
        <v>2053</v>
      </c>
      <c r="C1095" s="4" t="s">
        <v>571</v>
      </c>
      <c r="D1095" s="7">
        <v>42852</v>
      </c>
      <c r="E1095" s="3">
        <v>657.29</v>
      </c>
      <c r="F1095" s="4" t="s">
        <v>46</v>
      </c>
      <c r="G1095" s="4"/>
      <c r="H1095" s="4" t="s">
        <v>65</v>
      </c>
      <c r="I1095" s="4" t="s">
        <v>66</v>
      </c>
      <c r="J1095" s="4" t="s">
        <v>66</v>
      </c>
      <c r="K1095" s="3">
        <v>25</v>
      </c>
      <c r="L1095" s="3">
        <v>25</v>
      </c>
      <c r="M1095" s="3">
        <v>2.91</v>
      </c>
      <c r="N1095" s="3">
        <v>657.29</v>
      </c>
      <c r="O1095" s="4" t="s">
        <v>34</v>
      </c>
      <c r="P1095" s="4" t="s">
        <v>34</v>
      </c>
      <c r="Q1095" s="4" t="s">
        <v>35</v>
      </c>
      <c r="R1095" s="3">
        <v>140.91</v>
      </c>
      <c r="S1095" s="3">
        <v>33.325499999999998</v>
      </c>
      <c r="T1095" s="4" t="s">
        <v>43</v>
      </c>
      <c r="U1095" s="2" t="s">
        <v>37</v>
      </c>
      <c r="V1095" s="2" t="s">
        <v>37</v>
      </c>
      <c r="W1095" s="2" t="s">
        <v>37</v>
      </c>
      <c r="X1095" s="2" t="s">
        <v>37</v>
      </c>
      <c r="Y1095" s="2" t="s">
        <v>37</v>
      </c>
      <c r="Z1095" s="2" t="s">
        <v>37</v>
      </c>
      <c r="AA1095" s="6">
        <v>2.8177570250000001</v>
      </c>
      <c r="AB1095" s="6">
        <v>2.1489418150000001</v>
      </c>
      <c r="AC1095" s="6">
        <v>2.8177570250000001</v>
      </c>
      <c r="AD1095" cm="1">
        <f t="array" ref="AD1095">IF(SUMPRODUCT(--($AM$2:$AM$112=TRIM(LEFT($B1095,IFERROR(FIND(" ",$B1095)-1,LEN($B1095))))))&gt;0,1,0)</f>
        <v>0</v>
      </c>
      <c r="AE1095" cm="1">
        <f t="array" ref="AE1095">IF(SUMPRODUCT(--($AO$2:$AO$145=TRIM(LEFT($B1095,IFERROR(FIND(" ",$B1095)-1,LEN($B1095))))))&gt;0,1,0)</f>
        <v>0</v>
      </c>
      <c r="AF1095" cm="1">
        <f t="array" ref="AF1095">IF(SUMPRODUCT(--($AQ$2:$AQ$71=TRIM(LEFT($B1095,IFERROR(FIND(" ",$B1095)-1,LEN($B1095))))))&gt;0,1,0)</f>
        <v>0</v>
      </c>
    </row>
    <row r="1096" spans="1:32" ht="120.75" thickBot="1" x14ac:dyDescent="0.3">
      <c r="A1096" s="13">
        <v>131</v>
      </c>
      <c r="B1096" s="4" t="s">
        <v>2054</v>
      </c>
      <c r="C1096" s="4" t="s">
        <v>2055</v>
      </c>
      <c r="D1096" s="7">
        <v>42886</v>
      </c>
      <c r="E1096" s="3">
        <v>517.30999999999995</v>
      </c>
      <c r="F1096" s="4" t="s">
        <v>46</v>
      </c>
      <c r="G1096" s="3">
        <v>7.61</v>
      </c>
      <c r="H1096" s="4" t="s">
        <v>70</v>
      </c>
      <c r="I1096" s="4" t="s">
        <v>94</v>
      </c>
      <c r="J1096" s="4" t="s">
        <v>108</v>
      </c>
      <c r="K1096" s="4"/>
      <c r="L1096" s="4"/>
      <c r="M1096" s="3">
        <v>20.13</v>
      </c>
      <c r="N1096" s="3">
        <v>167.18</v>
      </c>
      <c r="O1096" s="4" t="s">
        <v>207</v>
      </c>
      <c r="P1096" s="4" t="s">
        <v>207</v>
      </c>
      <c r="Q1096" s="4" t="s">
        <v>35</v>
      </c>
      <c r="R1096" s="3">
        <v>152.62899999999999</v>
      </c>
      <c r="S1096" s="3">
        <v>10.435600000000001</v>
      </c>
      <c r="T1096" s="4" t="s">
        <v>321</v>
      </c>
      <c r="U1096" s="2" t="s">
        <v>38</v>
      </c>
      <c r="V1096" s="2" t="s">
        <v>37</v>
      </c>
      <c r="W1096" s="2" t="s">
        <v>37</v>
      </c>
      <c r="X1096" s="2" t="s">
        <v>37</v>
      </c>
      <c r="Y1096" s="2" t="s">
        <v>37</v>
      </c>
      <c r="Z1096" s="2" t="s">
        <v>37</v>
      </c>
      <c r="AA1096" s="6">
        <v>2.713750874</v>
      </c>
      <c r="AB1096" s="6">
        <v>2.183637059</v>
      </c>
      <c r="AC1096" s="6">
        <v>2.2231843210000002</v>
      </c>
      <c r="AD1096" cm="1">
        <f t="array" ref="AD1096">IF(SUMPRODUCT(--($AM$2:$AM$112=TRIM(LEFT($B1096,IFERROR(FIND(" ",$B1096)-1,LEN($B1096))))))&gt;0,1,0)</f>
        <v>0</v>
      </c>
      <c r="AE1096" cm="1">
        <f t="array" ref="AE1096">IF(SUMPRODUCT(--($AO$2:$AO$145=TRIM(LEFT($B1096,IFERROR(FIND(" ",$B1096)-1,LEN($B1096))))))&gt;0,1,0)</f>
        <v>0</v>
      </c>
      <c r="AF1096" cm="1">
        <f t="array" ref="AF1096">IF(SUMPRODUCT(--($AQ$2:$AQ$71=TRIM(LEFT($B1096,IFERROR(FIND(" ",$B1096)-1,LEN($B1096))))))&gt;0,1,0)</f>
        <v>0</v>
      </c>
    </row>
    <row r="1097" spans="1:32" ht="45.75" thickBot="1" x14ac:dyDescent="0.3">
      <c r="A1097" s="13">
        <v>56</v>
      </c>
      <c r="B1097" s="4" t="s">
        <v>2056</v>
      </c>
      <c r="C1097" s="4" t="s">
        <v>679</v>
      </c>
      <c r="D1097" s="7">
        <v>42989</v>
      </c>
      <c r="E1097" s="3">
        <v>652.70000000000005</v>
      </c>
      <c r="F1097" s="4" t="s">
        <v>46</v>
      </c>
      <c r="G1097" s="3">
        <v>14.6</v>
      </c>
      <c r="H1097" s="4" t="s">
        <v>47</v>
      </c>
      <c r="I1097" s="4" t="s">
        <v>47</v>
      </c>
      <c r="J1097" s="4" t="s">
        <v>48</v>
      </c>
      <c r="K1097" s="4"/>
      <c r="L1097" s="4"/>
      <c r="M1097" s="3">
        <v>31.44</v>
      </c>
      <c r="N1097" s="3">
        <v>728.9</v>
      </c>
      <c r="O1097" s="4" t="s">
        <v>49</v>
      </c>
      <c r="P1097" s="4" t="s">
        <v>49</v>
      </c>
      <c r="Q1097" s="4" t="s">
        <v>35</v>
      </c>
      <c r="R1097" s="3">
        <v>307.95699999999999</v>
      </c>
      <c r="S1097" s="3">
        <v>8.9228400000000008</v>
      </c>
      <c r="T1097" s="4" t="s">
        <v>43</v>
      </c>
      <c r="U1097" s="2" t="s">
        <v>37</v>
      </c>
      <c r="V1097" s="2" t="s">
        <v>37</v>
      </c>
      <c r="W1097" s="2" t="s">
        <v>37</v>
      </c>
      <c r="X1097" s="2" t="s">
        <v>37</v>
      </c>
      <c r="Y1097" s="2" t="s">
        <v>37</v>
      </c>
      <c r="Z1097" s="2" t="s">
        <v>37</v>
      </c>
      <c r="AA1097" s="6">
        <v>2.8147136129999999</v>
      </c>
      <c r="AB1097" s="6">
        <v>2.48849008</v>
      </c>
      <c r="AC1097" s="6">
        <v>2.8626679500000001</v>
      </c>
      <c r="AD1097" cm="1">
        <f t="array" ref="AD1097">IF(SUMPRODUCT(--($AM$2:$AM$112=TRIM(LEFT($B1097,IFERROR(FIND(" ",$B1097)-1,LEN($B1097))))))&gt;0,1,0)</f>
        <v>0</v>
      </c>
      <c r="AE1097" cm="1">
        <f t="array" ref="AE1097">IF(SUMPRODUCT(--($AO$2:$AO$145=TRIM(LEFT($B1097,IFERROR(FIND(" ",$B1097)-1,LEN($B1097))))))&gt;0,1,0)</f>
        <v>0</v>
      </c>
      <c r="AF1097" cm="1">
        <f t="array" ref="AF1097">IF(SUMPRODUCT(--($AQ$2:$AQ$71=TRIM(LEFT($B1097,IFERROR(FIND(" ",$B1097)-1,LEN($B1097))))))&gt;0,1,0)</f>
        <v>0</v>
      </c>
    </row>
    <row r="1098" spans="1:32" ht="75.75" thickBot="1" x14ac:dyDescent="0.3">
      <c r="A1098" s="13">
        <v>144</v>
      </c>
      <c r="B1098" s="4" t="s">
        <v>2057</v>
      </c>
      <c r="C1098" s="4" t="s">
        <v>2058</v>
      </c>
      <c r="D1098" s="7">
        <v>42860</v>
      </c>
      <c r="E1098" s="3">
        <v>6311.76</v>
      </c>
      <c r="F1098" s="4" t="s">
        <v>30</v>
      </c>
      <c r="G1098" s="3">
        <v>14</v>
      </c>
      <c r="H1098" s="4" t="s">
        <v>41</v>
      </c>
      <c r="I1098" s="4" t="s">
        <v>41</v>
      </c>
      <c r="J1098" s="4" t="s">
        <v>60</v>
      </c>
      <c r="K1098" s="3">
        <v>300</v>
      </c>
      <c r="L1098" s="3">
        <v>170</v>
      </c>
      <c r="M1098" s="4"/>
      <c r="N1098" s="3">
        <v>4378.46</v>
      </c>
      <c r="O1098" s="4" t="s">
        <v>34</v>
      </c>
      <c r="P1098" s="4" t="s">
        <v>34</v>
      </c>
      <c r="Q1098" s="4" t="s">
        <v>35</v>
      </c>
      <c r="R1098" s="3">
        <v>4514.2</v>
      </c>
      <c r="S1098" s="3">
        <v>6.7544599999999999</v>
      </c>
      <c r="T1098" s="4" t="s">
        <v>113</v>
      </c>
      <c r="U1098" s="2" t="s">
        <v>37</v>
      </c>
      <c r="V1098" s="2" t="s">
        <v>37</v>
      </c>
      <c r="W1098" s="2" t="s">
        <v>37</v>
      </c>
      <c r="X1098" s="2" t="s">
        <v>38</v>
      </c>
      <c r="Y1098" s="2" t="s">
        <v>37</v>
      </c>
      <c r="Z1098" s="2" t="s">
        <v>37</v>
      </c>
      <c r="AA1098" s="6">
        <v>3.8001504769999999</v>
      </c>
      <c r="AB1098" s="6">
        <v>3.6545807959999999</v>
      </c>
      <c r="AC1098" s="6">
        <v>3.6413213870000001</v>
      </c>
      <c r="AD1098" cm="1">
        <f t="array" ref="AD1098">IF(SUMPRODUCT(--($AM$2:$AM$112=TRIM(LEFT($B1098,IFERROR(FIND(" ",$B1098)-1,LEN($B1098))))))&gt;0,1,0)</f>
        <v>0</v>
      </c>
      <c r="AE1098" cm="1">
        <f t="array" ref="AE1098">IF(SUMPRODUCT(--($AO$2:$AO$145=TRIM(LEFT($B1098,IFERROR(FIND(" ",$B1098)-1,LEN($B1098))))))&gt;0,1,0)</f>
        <v>1</v>
      </c>
      <c r="AF1098" cm="1">
        <f t="array" ref="AF1098">IF(SUMPRODUCT(--($AQ$2:$AQ$71=TRIM(LEFT($B1098,IFERROR(FIND(" ",$B1098)-1,LEN($B1098))))))&gt;0,1,0)</f>
        <v>0</v>
      </c>
    </row>
    <row r="1099" spans="1:32" ht="75.75" thickBot="1" x14ac:dyDescent="0.3">
      <c r="A1099" s="13">
        <v>130</v>
      </c>
      <c r="B1099" s="4" t="s">
        <v>2059</v>
      </c>
      <c r="C1099" s="4" t="s">
        <v>2060</v>
      </c>
      <c r="D1099" s="7">
        <v>42880</v>
      </c>
      <c r="E1099" s="3">
        <v>839.67</v>
      </c>
      <c r="F1099" s="4" t="s">
        <v>69</v>
      </c>
      <c r="G1099" s="3">
        <v>6.46</v>
      </c>
      <c r="H1099" s="4" t="s">
        <v>47</v>
      </c>
      <c r="I1099" s="4" t="s">
        <v>47</v>
      </c>
      <c r="J1099" s="4" t="s">
        <v>962</v>
      </c>
      <c r="K1099" s="4"/>
      <c r="L1099" s="4"/>
      <c r="M1099" s="3">
        <v>65.56</v>
      </c>
      <c r="N1099" s="3">
        <v>362.92</v>
      </c>
      <c r="O1099" s="4" t="s">
        <v>49</v>
      </c>
      <c r="P1099" s="4" t="s">
        <v>34</v>
      </c>
      <c r="Q1099" s="4" t="s">
        <v>35</v>
      </c>
      <c r="R1099" s="3">
        <v>1131.77</v>
      </c>
      <c r="S1099" s="3">
        <v>9.07348</v>
      </c>
      <c r="T1099" s="4" t="s">
        <v>97</v>
      </c>
      <c r="U1099" s="2" t="s">
        <v>37</v>
      </c>
      <c r="V1099" s="2" t="s">
        <v>37</v>
      </c>
      <c r="W1099" s="2" t="s">
        <v>38</v>
      </c>
      <c r="X1099" s="2" t="s">
        <v>37</v>
      </c>
      <c r="Y1099" s="2" t="s">
        <v>37</v>
      </c>
      <c r="Z1099" s="2" t="s">
        <v>37</v>
      </c>
      <c r="AA1099" s="6">
        <v>2.9241086369999998</v>
      </c>
      <c r="AB1099" s="6">
        <v>3.0537581779999998</v>
      </c>
      <c r="AC1099" s="6">
        <v>2.5598109020000002</v>
      </c>
      <c r="AD1099" cm="1">
        <f t="array" ref="AD1099">IF(SUMPRODUCT(--($AM$2:$AM$112=TRIM(LEFT($B1099,IFERROR(FIND(" ",$B1099)-1,LEN($B1099))))))&gt;0,1,0)</f>
        <v>1</v>
      </c>
      <c r="AE1099" cm="1">
        <f t="array" ref="AE1099">IF(SUMPRODUCT(--($AO$2:$AO$145=TRIM(LEFT($B1099,IFERROR(FIND(" ",$B1099)-1,LEN($B1099))))))&gt;0,1,0)</f>
        <v>0</v>
      </c>
      <c r="AF1099" cm="1">
        <f t="array" ref="AF1099">IF(SUMPRODUCT(--($AQ$2:$AQ$71=TRIM(LEFT($B1099,IFERROR(FIND(" ",$B1099)-1,LEN($B1099))))))&gt;0,1,0)</f>
        <v>0</v>
      </c>
    </row>
    <row r="1100" spans="1:32" ht="60.75" thickBot="1" x14ac:dyDescent="0.3">
      <c r="A1100" s="13">
        <v>60</v>
      </c>
      <c r="B1100" s="4" t="s">
        <v>2061</v>
      </c>
      <c r="C1100" s="4" t="s">
        <v>398</v>
      </c>
      <c r="D1100" s="7">
        <v>42976</v>
      </c>
      <c r="E1100" s="3">
        <v>2591.2600000000002</v>
      </c>
      <c r="F1100" s="4" t="s">
        <v>30</v>
      </c>
      <c r="G1100" s="3">
        <v>21.42</v>
      </c>
      <c r="H1100" s="4" t="s">
        <v>70</v>
      </c>
      <c r="I1100" s="4" t="s">
        <v>94</v>
      </c>
      <c r="J1100" s="4" t="s">
        <v>95</v>
      </c>
      <c r="K1100" s="3">
        <v>42</v>
      </c>
      <c r="L1100" s="4"/>
      <c r="M1100" s="4"/>
      <c r="N1100" s="3">
        <v>2160.33</v>
      </c>
      <c r="O1100" s="4" t="s">
        <v>34</v>
      </c>
      <c r="P1100" s="4" t="s">
        <v>34</v>
      </c>
      <c r="Q1100" s="4" t="s">
        <v>35</v>
      </c>
      <c r="R1100" s="3">
        <v>803.42399999999998</v>
      </c>
      <c r="S1100" s="3">
        <v>2.5981800000000002</v>
      </c>
      <c r="T1100" s="4" t="s">
        <v>43</v>
      </c>
      <c r="U1100" s="2" t="s">
        <v>37</v>
      </c>
      <c r="V1100" s="2" t="s">
        <v>37</v>
      </c>
      <c r="W1100" s="2" t="s">
        <v>37</v>
      </c>
      <c r="X1100" s="2" t="s">
        <v>37</v>
      </c>
      <c r="Y1100" s="2" t="s">
        <v>37</v>
      </c>
      <c r="Z1100" s="2" t="s">
        <v>37</v>
      </c>
      <c r="AA1100" s="6">
        <v>3.4135109909999999</v>
      </c>
      <c r="AB1100" s="6">
        <v>2.9049448010000001</v>
      </c>
      <c r="AC1100" s="6">
        <v>3.334520097</v>
      </c>
      <c r="AD1100" cm="1">
        <f t="array" ref="AD1100">IF(SUMPRODUCT(--($AM$2:$AM$112=TRIM(LEFT($B1100,IFERROR(FIND(" ",$B1100)-1,LEN($B1100))))))&gt;0,1,0)</f>
        <v>0</v>
      </c>
      <c r="AE1100" cm="1">
        <f t="array" ref="AE1100">IF(SUMPRODUCT(--($AO$2:$AO$145=TRIM(LEFT($B1100,IFERROR(FIND(" ",$B1100)-1,LEN($B1100))))))&gt;0,1,0)</f>
        <v>0</v>
      </c>
      <c r="AF1100" cm="1">
        <f t="array" ref="AF1100">IF(SUMPRODUCT(--($AQ$2:$AQ$71=TRIM(LEFT($B1100,IFERROR(FIND(" ",$B1100)-1,LEN($B1100))))))&gt;0,1,0)</f>
        <v>0</v>
      </c>
    </row>
    <row r="1101" spans="1:32" ht="45.75" thickBot="1" x14ac:dyDescent="0.3">
      <c r="A1101" s="13">
        <v>84</v>
      </c>
      <c r="B1101" s="4" t="s">
        <v>2062</v>
      </c>
      <c r="C1101" s="4" t="s">
        <v>2063</v>
      </c>
      <c r="D1101" s="7">
        <v>42942</v>
      </c>
      <c r="E1101" s="3">
        <v>885.64</v>
      </c>
      <c r="F1101" s="4" t="s">
        <v>30</v>
      </c>
      <c r="G1101" s="4"/>
      <c r="H1101" s="4" t="s">
        <v>65</v>
      </c>
      <c r="I1101" s="4" t="s">
        <v>206</v>
      </c>
      <c r="J1101" s="4" t="s">
        <v>206</v>
      </c>
      <c r="K1101" s="4"/>
      <c r="L1101" s="3">
        <v>27.6</v>
      </c>
      <c r="M1101" s="3">
        <v>14.85</v>
      </c>
      <c r="N1101" s="3">
        <v>885.64</v>
      </c>
      <c r="O1101" s="4" t="s">
        <v>34</v>
      </c>
      <c r="P1101" s="4" t="s">
        <v>34</v>
      </c>
      <c r="Q1101" s="4" t="s">
        <v>35</v>
      </c>
      <c r="R1101" s="3">
        <v>217.07</v>
      </c>
      <c r="S1101" s="3">
        <v>36.044600000000003</v>
      </c>
      <c r="T1101" s="4" t="s">
        <v>43</v>
      </c>
      <c r="U1101" s="2" t="s">
        <v>37</v>
      </c>
      <c r="V1101" s="2" t="s">
        <v>37</v>
      </c>
      <c r="W1101" s="2" t="s">
        <v>37</v>
      </c>
      <c r="X1101" s="2" t="s">
        <v>37</v>
      </c>
      <c r="Y1101" s="2" t="s">
        <v>37</v>
      </c>
      <c r="Z1101" s="2" t="s">
        <v>37</v>
      </c>
      <c r="AA1101" s="6">
        <v>2.9472572229999998</v>
      </c>
      <c r="AB1101" s="6">
        <v>2.3365998060000002</v>
      </c>
      <c r="AC1101" s="6">
        <v>2.9472572229999998</v>
      </c>
      <c r="AD1101" cm="1">
        <f t="array" ref="AD1101">IF(SUMPRODUCT(--($AM$2:$AM$112=TRIM(LEFT($B1101,IFERROR(FIND(" ",$B1101)-1,LEN($B1101))))))&gt;0,1,0)</f>
        <v>0</v>
      </c>
      <c r="AE1101" cm="1">
        <f t="array" ref="AE1101">IF(SUMPRODUCT(--($AO$2:$AO$145=TRIM(LEFT($B1101,IFERROR(FIND(" ",$B1101)-1,LEN($B1101))))))&gt;0,1,0)</f>
        <v>0</v>
      </c>
      <c r="AF1101" cm="1">
        <f t="array" ref="AF1101">IF(SUMPRODUCT(--($AQ$2:$AQ$71=TRIM(LEFT($B1101,IFERROR(FIND(" ",$B1101)-1,LEN($B1101))))))&gt;0,1,0)</f>
        <v>0</v>
      </c>
    </row>
    <row r="1102" spans="1:32" ht="225.75" thickBot="1" x14ac:dyDescent="0.3">
      <c r="A1102" s="13">
        <v>196</v>
      </c>
      <c r="B1102" s="4" t="s">
        <v>2064</v>
      </c>
      <c r="C1102" s="4" t="s">
        <v>637</v>
      </c>
      <c r="D1102" s="7">
        <v>42786</v>
      </c>
      <c r="E1102" s="3">
        <v>821.8</v>
      </c>
      <c r="F1102" s="4" t="s">
        <v>30</v>
      </c>
      <c r="G1102" s="3">
        <v>10.16</v>
      </c>
      <c r="H1102" s="4" t="s">
        <v>184</v>
      </c>
      <c r="I1102" s="4" t="s">
        <v>251</v>
      </c>
      <c r="J1102" s="4" t="s">
        <v>251</v>
      </c>
      <c r="K1102" s="3">
        <v>32.137999999999998</v>
      </c>
      <c r="L1102" s="3">
        <v>16.068999999999999</v>
      </c>
      <c r="M1102" s="4"/>
      <c r="N1102" s="3">
        <v>424.37</v>
      </c>
      <c r="O1102" s="4" t="s">
        <v>34</v>
      </c>
      <c r="P1102" s="4" t="s">
        <v>638</v>
      </c>
      <c r="Q1102" s="4" t="s">
        <v>35</v>
      </c>
      <c r="R1102" s="3">
        <v>206.899</v>
      </c>
      <c r="S1102" s="3">
        <v>10.337899999999999</v>
      </c>
      <c r="T1102" s="4" t="s">
        <v>2065</v>
      </c>
      <c r="U1102" s="2" t="s">
        <v>37</v>
      </c>
      <c r="V1102" s="2" t="s">
        <v>37</v>
      </c>
      <c r="W1102" s="2" t="s">
        <v>38</v>
      </c>
      <c r="X1102" s="2" t="s">
        <v>38</v>
      </c>
      <c r="Y1102" s="2" t="s">
        <v>38</v>
      </c>
      <c r="Z1102" s="2" t="s">
        <v>37</v>
      </c>
      <c r="AA1102" s="6">
        <v>2.914766137</v>
      </c>
      <c r="AB1102" s="6">
        <v>2.3157583920000002</v>
      </c>
      <c r="AC1102" s="6">
        <v>2.6277446750000002</v>
      </c>
      <c r="AD1102" cm="1">
        <f t="array" ref="AD1102">IF(SUMPRODUCT(--($AM$2:$AM$112=TRIM(LEFT($B1102,IFERROR(FIND(" ",$B1102)-1,LEN($B1102))))))&gt;0,1,0)</f>
        <v>0</v>
      </c>
      <c r="AE1102" cm="1">
        <f t="array" ref="AE1102">IF(SUMPRODUCT(--($AO$2:$AO$145=TRIM(LEFT($B1102,IFERROR(FIND(" ",$B1102)-1,LEN($B1102))))))&gt;0,1,0)</f>
        <v>0</v>
      </c>
      <c r="AF1102" cm="1">
        <f t="array" ref="AF1102">IF(SUMPRODUCT(--($AQ$2:$AQ$71=TRIM(LEFT($B1102,IFERROR(FIND(" ",$B1102)-1,LEN($B1102))))))&gt;0,1,0)</f>
        <v>0</v>
      </c>
    </row>
    <row r="1103" spans="1:32" ht="45.75" thickBot="1" x14ac:dyDescent="0.3">
      <c r="A1103" s="13">
        <v>71</v>
      </c>
      <c r="B1103" s="4" t="s">
        <v>2066</v>
      </c>
      <c r="C1103" s="4" t="s">
        <v>2067</v>
      </c>
      <c r="D1103" s="7">
        <v>42957</v>
      </c>
      <c r="E1103" s="3">
        <v>7811</v>
      </c>
      <c r="F1103" s="4" t="s">
        <v>46</v>
      </c>
      <c r="G1103" s="3">
        <v>24.89</v>
      </c>
      <c r="H1103" s="4" t="s">
        <v>51</v>
      </c>
      <c r="I1103" s="4" t="s">
        <v>51</v>
      </c>
      <c r="J1103" s="4" t="s">
        <v>79</v>
      </c>
      <c r="K1103" s="4"/>
      <c r="L1103" s="4"/>
      <c r="M1103" s="3">
        <v>-0.39</v>
      </c>
      <c r="N1103" s="3">
        <v>4398.0600000000004</v>
      </c>
      <c r="O1103" s="4" t="s">
        <v>34</v>
      </c>
      <c r="P1103" s="4" t="s">
        <v>34</v>
      </c>
      <c r="Q1103" s="4" t="s">
        <v>35</v>
      </c>
      <c r="R1103" s="2"/>
      <c r="S1103" s="2"/>
      <c r="T1103" s="4" t="s">
        <v>43</v>
      </c>
      <c r="U1103" s="2" t="s">
        <v>37</v>
      </c>
      <c r="V1103" s="2" t="s">
        <v>37</v>
      </c>
      <c r="W1103" s="2" t="s">
        <v>37</v>
      </c>
      <c r="X1103" s="2" t="s">
        <v>37</v>
      </c>
      <c r="Y1103" s="2" t="s">
        <v>37</v>
      </c>
      <c r="Z1103" s="2" t="s">
        <v>37</v>
      </c>
      <c r="AA1103" s="6">
        <v>3.8927066379999999</v>
      </c>
      <c r="AB1103" s="2"/>
      <c r="AC1103" s="6">
        <v>3.6432611499999998</v>
      </c>
      <c r="AD1103" cm="1">
        <f t="array" ref="AD1103">IF(SUMPRODUCT(--($AM$2:$AM$112=TRIM(LEFT($B1103,IFERROR(FIND(" ",$B1103)-1,LEN($B1103))))))&gt;0,1,0)</f>
        <v>0</v>
      </c>
      <c r="AE1103" cm="1">
        <f t="array" ref="AE1103">IF(SUMPRODUCT(--($AO$2:$AO$145=TRIM(LEFT($B1103,IFERROR(FIND(" ",$B1103)-1,LEN($B1103))))))&gt;0,1,0)</f>
        <v>0</v>
      </c>
      <c r="AF1103" cm="1">
        <f t="array" ref="AF1103">IF(SUMPRODUCT(--($AQ$2:$AQ$71=TRIM(LEFT($B1103,IFERROR(FIND(" ",$B1103)-1,LEN($B1103))))))&gt;0,1,0)</f>
        <v>0</v>
      </c>
    </row>
    <row r="1104" spans="1:32" ht="135.75" thickBot="1" x14ac:dyDescent="0.3">
      <c r="A1104" s="13">
        <v>21</v>
      </c>
      <c r="B1104" s="4" t="s">
        <v>1848</v>
      </c>
      <c r="C1104" s="4" t="s">
        <v>1690</v>
      </c>
      <c r="D1104" s="7">
        <v>43025</v>
      </c>
      <c r="E1104" s="3">
        <v>1000</v>
      </c>
      <c r="F1104" s="4" t="s">
        <v>30</v>
      </c>
      <c r="G1104" s="3">
        <v>26.51</v>
      </c>
      <c r="H1104" s="4" t="s">
        <v>31</v>
      </c>
      <c r="I1104" s="4" t="s">
        <v>32</v>
      </c>
      <c r="J1104" s="4" t="s">
        <v>33</v>
      </c>
      <c r="K1104" s="4"/>
      <c r="L1104" s="4"/>
      <c r="M1104" s="4"/>
      <c r="N1104" s="3">
        <v>1000</v>
      </c>
      <c r="O1104" s="4" t="s">
        <v>34</v>
      </c>
      <c r="P1104" s="4" t="s">
        <v>34</v>
      </c>
      <c r="Q1104" s="4" t="s">
        <v>35</v>
      </c>
      <c r="R1104" s="3">
        <v>276.15300000000002</v>
      </c>
      <c r="S1104" s="3">
        <v>-4.2968999999999999</v>
      </c>
      <c r="T1104" s="4" t="s">
        <v>1254</v>
      </c>
      <c r="U1104" s="2" t="s">
        <v>37</v>
      </c>
      <c r="V1104" s="2" t="s">
        <v>37</v>
      </c>
      <c r="W1104" s="2" t="s">
        <v>37</v>
      </c>
      <c r="X1104" s="2" t="s">
        <v>38</v>
      </c>
      <c r="Y1104" s="2" t="s">
        <v>38</v>
      </c>
      <c r="Z1104" s="2" t="s">
        <v>37</v>
      </c>
      <c r="AA1104" s="6">
        <v>3</v>
      </c>
      <c r="AB1104" s="6">
        <v>2.4411497660000001</v>
      </c>
      <c r="AC1104" s="6">
        <v>3</v>
      </c>
      <c r="AD1104" cm="1">
        <f t="array" ref="AD1104">IF(SUMPRODUCT(--($AM$2:$AM$112=TRIM(LEFT($B1104,IFERROR(FIND(" ",$B1104)-1,LEN($B1104))))))&gt;0,1,0)</f>
        <v>0</v>
      </c>
      <c r="AE1104" cm="1">
        <f t="array" ref="AE1104">IF(SUMPRODUCT(--($AO$2:$AO$145=TRIM(LEFT($B1104,IFERROR(FIND(" ",$B1104)-1,LEN($B1104))))))&gt;0,1,0)</f>
        <v>0</v>
      </c>
      <c r="AF1104" cm="1">
        <f t="array" ref="AF1104">IF(SUMPRODUCT(--($AQ$2:$AQ$71=TRIM(LEFT($B1104,IFERROR(FIND(" ",$B1104)-1,LEN($B1104))))))&gt;0,1,0)</f>
        <v>0</v>
      </c>
    </row>
    <row r="1105" spans="1:32" ht="45.75" thickBot="1" x14ac:dyDescent="0.3">
      <c r="A1105" s="13">
        <v>106</v>
      </c>
      <c r="B1105" s="4" t="s">
        <v>2068</v>
      </c>
      <c r="C1105" s="4" t="s">
        <v>675</v>
      </c>
      <c r="D1105" s="7">
        <v>42905</v>
      </c>
      <c r="E1105" s="3">
        <v>6456.71</v>
      </c>
      <c r="F1105" s="4" t="s">
        <v>107</v>
      </c>
      <c r="G1105" s="3">
        <v>11.19</v>
      </c>
      <c r="H1105" s="4" t="s">
        <v>118</v>
      </c>
      <c r="I1105" s="4" t="s">
        <v>119</v>
      </c>
      <c r="J1105" s="4" t="s">
        <v>120</v>
      </c>
      <c r="K1105" s="4"/>
      <c r="L1105" s="3">
        <v>255</v>
      </c>
      <c r="M1105" s="3">
        <v>28.79</v>
      </c>
      <c r="N1105" s="3">
        <v>5344.29</v>
      </c>
      <c r="O1105" s="4" t="s">
        <v>34</v>
      </c>
      <c r="P1105" s="4" t="s">
        <v>34</v>
      </c>
      <c r="Q1105" s="4" t="s">
        <v>35</v>
      </c>
      <c r="R1105" s="3">
        <v>979.97699999999998</v>
      </c>
      <c r="S1105" s="3">
        <v>16.850999999999999</v>
      </c>
      <c r="T1105" s="4" t="s">
        <v>43</v>
      </c>
      <c r="U1105" s="2" t="s">
        <v>37</v>
      </c>
      <c r="V1105" s="2" t="s">
        <v>37</v>
      </c>
      <c r="W1105" s="2" t="s">
        <v>37</v>
      </c>
      <c r="X1105" s="2" t="s">
        <v>37</v>
      </c>
      <c r="Y1105" s="2" t="s">
        <v>37</v>
      </c>
      <c r="Z1105" s="2" t="s">
        <v>37</v>
      </c>
      <c r="AA1105" s="6">
        <v>3.810011281</v>
      </c>
      <c r="AB1105" s="6">
        <v>2.9912158830000002</v>
      </c>
      <c r="AC1105" s="6">
        <v>3.7278900159999999</v>
      </c>
      <c r="AD1105" cm="1">
        <f t="array" ref="AD1105">IF(SUMPRODUCT(--($AM$2:$AM$112=TRIM(LEFT($B1105,IFERROR(FIND(" ",$B1105)-1,LEN($B1105))))))&gt;0,1,0)</f>
        <v>0</v>
      </c>
      <c r="AE1105" cm="1">
        <f t="array" ref="AE1105">IF(SUMPRODUCT(--($AO$2:$AO$145=TRIM(LEFT($B1105,IFERROR(FIND(" ",$B1105)-1,LEN($B1105))))))&gt;0,1,0)</f>
        <v>0</v>
      </c>
      <c r="AF1105" cm="1">
        <f t="array" ref="AF1105">IF(SUMPRODUCT(--($AQ$2:$AQ$71=TRIM(LEFT($B1105,IFERROR(FIND(" ",$B1105)-1,LEN($B1105))))))&gt;0,1,0)</f>
        <v>0</v>
      </c>
    </row>
    <row r="1106" spans="1:32" ht="75.75" thickBot="1" x14ac:dyDescent="0.3">
      <c r="A1106" s="13">
        <v>94</v>
      </c>
      <c r="B1106" s="4" t="s">
        <v>2069</v>
      </c>
      <c r="C1106" s="4" t="s">
        <v>2070</v>
      </c>
      <c r="D1106" s="7">
        <v>42919</v>
      </c>
      <c r="E1106" s="3">
        <v>1366.22</v>
      </c>
      <c r="F1106" s="4" t="s">
        <v>30</v>
      </c>
      <c r="G1106" s="3">
        <v>32.35</v>
      </c>
      <c r="H1106" s="4" t="s">
        <v>184</v>
      </c>
      <c r="I1106" s="4" t="s">
        <v>185</v>
      </c>
      <c r="J1106" s="4" t="s">
        <v>762</v>
      </c>
      <c r="K1106" s="3">
        <v>87.9</v>
      </c>
      <c r="L1106" s="3">
        <v>37.700000000000003</v>
      </c>
      <c r="M1106" s="3">
        <v>21.08</v>
      </c>
      <c r="N1106" s="3">
        <v>1253.18</v>
      </c>
      <c r="O1106" s="4" t="s">
        <v>34</v>
      </c>
      <c r="P1106" s="4" t="s">
        <v>34</v>
      </c>
      <c r="Q1106" s="4" t="s">
        <v>35</v>
      </c>
      <c r="R1106" s="3">
        <v>434.161</v>
      </c>
      <c r="S1106" s="3">
        <v>-0.15493799999999999</v>
      </c>
      <c r="T1106" s="4" t="s">
        <v>113</v>
      </c>
      <c r="U1106" s="2" t="s">
        <v>37</v>
      </c>
      <c r="V1106" s="2" t="s">
        <v>37</v>
      </c>
      <c r="W1106" s="2" t="s">
        <v>37</v>
      </c>
      <c r="X1106" s="2" t="s">
        <v>38</v>
      </c>
      <c r="Y1106" s="2" t="s">
        <v>37</v>
      </c>
      <c r="Z1106" s="2" t="s">
        <v>37</v>
      </c>
      <c r="AA1106" s="6">
        <v>3.1355206390000001</v>
      </c>
      <c r="AB1106" s="6">
        <v>2.6376508090000002</v>
      </c>
      <c r="AC1106" s="6">
        <v>3.0980134549999998</v>
      </c>
      <c r="AD1106" cm="1">
        <f t="array" ref="AD1106">IF(SUMPRODUCT(--($AM$2:$AM$112=TRIM(LEFT($B1106,IFERROR(FIND(" ",$B1106)-1,LEN($B1106))))))&gt;0,1,0)</f>
        <v>0</v>
      </c>
      <c r="AE1106" cm="1">
        <f t="array" ref="AE1106">IF(SUMPRODUCT(--($AO$2:$AO$145=TRIM(LEFT($B1106,IFERROR(FIND(" ",$B1106)-1,LEN($B1106))))))&gt;0,1,0)</f>
        <v>0</v>
      </c>
      <c r="AF1106" cm="1">
        <f t="array" ref="AF1106">IF(SUMPRODUCT(--($AQ$2:$AQ$71=TRIM(LEFT($B1106,IFERROR(FIND(" ",$B1106)-1,LEN($B1106))))))&gt;0,1,0)</f>
        <v>0</v>
      </c>
    </row>
    <row r="1107" spans="1:32" ht="105.75" thickBot="1" x14ac:dyDescent="0.3">
      <c r="A1107" s="13">
        <v>80</v>
      </c>
      <c r="B1107" s="4" t="s">
        <v>2071</v>
      </c>
      <c r="C1107" s="4" t="s">
        <v>2072</v>
      </c>
      <c r="D1107" s="7">
        <v>42933</v>
      </c>
      <c r="E1107" s="3">
        <v>1027.58</v>
      </c>
      <c r="F1107" s="4" t="s">
        <v>30</v>
      </c>
      <c r="G1107" s="3">
        <v>4.78</v>
      </c>
      <c r="H1107" s="4" t="s">
        <v>47</v>
      </c>
      <c r="I1107" s="4" t="s">
        <v>47</v>
      </c>
      <c r="J1107" s="4" t="s">
        <v>48</v>
      </c>
      <c r="K1107" s="3">
        <v>70.2</v>
      </c>
      <c r="L1107" s="3">
        <v>43.9</v>
      </c>
      <c r="M1107" s="4"/>
      <c r="N1107" s="3">
        <v>1148.19</v>
      </c>
      <c r="O1107" s="4" t="s">
        <v>49</v>
      </c>
      <c r="P1107" s="4" t="s">
        <v>34</v>
      </c>
      <c r="Q1107" s="4" t="s">
        <v>35</v>
      </c>
      <c r="R1107" s="3">
        <v>570.85500000000002</v>
      </c>
      <c r="S1107" s="3">
        <v>5.6283099999999999</v>
      </c>
      <c r="T1107" s="4" t="s">
        <v>316</v>
      </c>
      <c r="U1107" s="2" t="s">
        <v>37</v>
      </c>
      <c r="V1107" s="2" t="s">
        <v>37</v>
      </c>
      <c r="W1107" s="2" t="s">
        <v>38</v>
      </c>
      <c r="X1107" s="2" t="s">
        <v>38</v>
      </c>
      <c r="Y1107" s="2" t="s">
        <v>37</v>
      </c>
      <c r="Z1107" s="2" t="s">
        <v>37</v>
      </c>
      <c r="AA1107" s="6">
        <v>3.0118156429999998</v>
      </c>
      <c r="AB1107" s="6">
        <v>2.7565258090000002</v>
      </c>
      <c r="AC1107" s="6">
        <v>3.0600137599999999</v>
      </c>
      <c r="AD1107" cm="1">
        <f t="array" ref="AD1107">IF(SUMPRODUCT(--($AM$2:$AM$112=TRIM(LEFT($B1107,IFERROR(FIND(" ",$B1107)-1,LEN($B1107))))))&gt;0,1,0)</f>
        <v>0</v>
      </c>
      <c r="AE1107" cm="1">
        <f t="array" ref="AE1107">IF(SUMPRODUCT(--($AO$2:$AO$145=TRIM(LEFT($B1107,IFERROR(FIND(" ",$B1107)-1,LEN($B1107))))))&gt;0,1,0)</f>
        <v>0</v>
      </c>
      <c r="AF1107" cm="1">
        <f t="array" ref="AF1107">IF(SUMPRODUCT(--($AQ$2:$AQ$71=TRIM(LEFT($B1107,IFERROR(FIND(" ",$B1107)-1,LEN($B1107))))))&gt;0,1,0)</f>
        <v>0</v>
      </c>
    </row>
    <row r="1108" spans="1:32" ht="45.75" thickBot="1" x14ac:dyDescent="0.3">
      <c r="A1108" s="13">
        <v>213</v>
      </c>
      <c r="B1108" s="4" t="s">
        <v>2073</v>
      </c>
      <c r="C1108" s="4" t="s">
        <v>380</v>
      </c>
      <c r="D1108" s="7">
        <v>42745</v>
      </c>
      <c r="E1108" s="3">
        <v>649.08000000000004</v>
      </c>
      <c r="F1108" s="4" t="s">
        <v>46</v>
      </c>
      <c r="G1108" s="4"/>
      <c r="H1108" s="4" t="s">
        <v>65</v>
      </c>
      <c r="I1108" s="4" t="s">
        <v>66</v>
      </c>
      <c r="J1108" s="4" t="s">
        <v>66</v>
      </c>
      <c r="K1108" s="4"/>
      <c r="L1108" s="3">
        <v>18.75</v>
      </c>
      <c r="M1108" s="3">
        <v>33.130000000000003</v>
      </c>
      <c r="N1108" s="3">
        <v>649.08000000000004</v>
      </c>
      <c r="O1108" s="4" t="s">
        <v>34</v>
      </c>
      <c r="P1108" s="4" t="s">
        <v>34</v>
      </c>
      <c r="Q1108" s="4" t="s">
        <v>35</v>
      </c>
      <c r="R1108" s="3">
        <v>97.76</v>
      </c>
      <c r="S1108" s="3">
        <v>40.4664</v>
      </c>
      <c r="T1108" s="4" t="s">
        <v>43</v>
      </c>
      <c r="U1108" s="2" t="s">
        <v>37</v>
      </c>
      <c r="V1108" s="2" t="s">
        <v>37</v>
      </c>
      <c r="W1108" s="2" t="s">
        <v>37</v>
      </c>
      <c r="X1108" s="2" t="s">
        <v>37</v>
      </c>
      <c r="Y1108" s="2" t="s">
        <v>37</v>
      </c>
      <c r="Z1108" s="2" t="s">
        <v>37</v>
      </c>
      <c r="AA1108" s="6">
        <v>2.8122982269999999</v>
      </c>
      <c r="AB1108" s="6">
        <v>1.9901611930000001</v>
      </c>
      <c r="AC1108" s="6">
        <v>2.8122982269999999</v>
      </c>
      <c r="AD1108" cm="1">
        <f t="array" ref="AD1108">IF(SUMPRODUCT(--($AM$2:$AM$112=TRIM(LEFT($B1108,IFERROR(FIND(" ",$B1108)-1,LEN($B1108))))))&gt;0,1,0)</f>
        <v>0</v>
      </c>
      <c r="AE1108" cm="1">
        <f t="array" ref="AE1108">IF(SUMPRODUCT(--($AO$2:$AO$145=TRIM(LEFT($B1108,IFERROR(FIND(" ",$B1108)-1,LEN($B1108))))))&gt;0,1,0)</f>
        <v>0</v>
      </c>
      <c r="AF1108" cm="1">
        <f t="array" ref="AF1108">IF(SUMPRODUCT(--($AQ$2:$AQ$71=TRIM(LEFT($B1108,IFERROR(FIND(" ",$B1108)-1,LEN($B1108))))))&gt;0,1,0)</f>
        <v>0</v>
      </c>
    </row>
    <row r="1109" spans="1:32" ht="45.75" thickBot="1" x14ac:dyDescent="0.3">
      <c r="A1109" s="13">
        <v>9</v>
      </c>
      <c r="B1109" s="4" t="s">
        <v>789</v>
      </c>
      <c r="C1109" s="4" t="s">
        <v>2074</v>
      </c>
      <c r="D1109" s="7">
        <v>43027</v>
      </c>
      <c r="E1109" s="3">
        <v>3231.5</v>
      </c>
      <c r="F1109" s="4" t="s">
        <v>2075</v>
      </c>
      <c r="G1109" s="3">
        <v>15.91</v>
      </c>
      <c r="H1109" s="4" t="s">
        <v>118</v>
      </c>
      <c r="I1109" s="4" t="s">
        <v>119</v>
      </c>
      <c r="J1109" s="4" t="s">
        <v>120</v>
      </c>
      <c r="K1109" s="4"/>
      <c r="L1109" s="4"/>
      <c r="M1109" s="3">
        <v>-2.0699999999999998</v>
      </c>
      <c r="N1109" s="3">
        <v>2011.1</v>
      </c>
      <c r="O1109" s="4" t="s">
        <v>34</v>
      </c>
      <c r="P1109" s="4" t="s">
        <v>34</v>
      </c>
      <c r="Q1109" s="4" t="s">
        <v>35</v>
      </c>
      <c r="R1109" s="3">
        <v>547.48</v>
      </c>
      <c r="S1109" s="3">
        <v>41.8919</v>
      </c>
      <c r="T1109" s="4" t="s">
        <v>1684</v>
      </c>
      <c r="U1109" s="2" t="s">
        <v>37</v>
      </c>
      <c r="V1109" s="2" t="s">
        <v>37</v>
      </c>
      <c r="W1109" s="2" t="s">
        <v>37</v>
      </c>
      <c r="X1109" s="2" t="s">
        <v>37</v>
      </c>
      <c r="Y1109" s="2" t="s">
        <v>37</v>
      </c>
      <c r="Z1109" s="2" t="s">
        <v>37</v>
      </c>
      <c r="AA1109" s="6">
        <v>3.5094041599999999</v>
      </c>
      <c r="AB1109" s="6">
        <v>2.738368259</v>
      </c>
      <c r="AC1109" s="6">
        <v>3.3034336660000001</v>
      </c>
      <c r="AD1109" cm="1">
        <f t="array" ref="AD1109">IF(SUMPRODUCT(--($AM$2:$AM$112=TRIM(LEFT($B1109,IFERROR(FIND(" ",$B1109)-1,LEN($B1109))))))&gt;0,1,0)</f>
        <v>0</v>
      </c>
      <c r="AE1109" cm="1">
        <f t="array" ref="AE1109">IF(SUMPRODUCT(--($AO$2:$AO$145=TRIM(LEFT($B1109,IFERROR(FIND(" ",$B1109)-1,LEN($B1109))))))&gt;0,1,0)</f>
        <v>0</v>
      </c>
      <c r="AF1109" cm="1">
        <f t="array" ref="AF1109">IF(SUMPRODUCT(--($AQ$2:$AQ$71=TRIM(LEFT($B1109,IFERROR(FIND(" ",$B1109)-1,LEN($B1109))))))&gt;0,1,0)</f>
        <v>0</v>
      </c>
    </row>
    <row r="1110" spans="1:32" ht="45.75" thickBot="1" x14ac:dyDescent="0.3">
      <c r="A1110" s="13">
        <v>73</v>
      </c>
      <c r="B1110" s="4" t="s">
        <v>2076</v>
      </c>
      <c r="C1110" s="4" t="s">
        <v>1682</v>
      </c>
      <c r="D1110" s="7">
        <v>42937</v>
      </c>
      <c r="E1110" s="3">
        <v>2539.2199999999998</v>
      </c>
      <c r="F1110" s="4" t="s">
        <v>46</v>
      </c>
      <c r="G1110" s="3">
        <v>18.670000000000002</v>
      </c>
      <c r="H1110" s="4" t="s">
        <v>118</v>
      </c>
      <c r="I1110" s="4" t="s">
        <v>119</v>
      </c>
      <c r="J1110" s="4" t="s">
        <v>120</v>
      </c>
      <c r="K1110" s="4"/>
      <c r="L1110" s="4"/>
      <c r="M1110" s="3">
        <v>5.28</v>
      </c>
      <c r="N1110" s="3">
        <v>2235.6</v>
      </c>
      <c r="O1110" s="4" t="s">
        <v>34</v>
      </c>
      <c r="P1110" s="4" t="s">
        <v>34</v>
      </c>
      <c r="Q1110" s="4" t="s">
        <v>35</v>
      </c>
      <c r="R1110" s="3">
        <v>2222.7199999999998</v>
      </c>
      <c r="S1110" s="3">
        <v>3.80816</v>
      </c>
      <c r="T1110" s="4" t="s">
        <v>43</v>
      </c>
      <c r="U1110" s="2" t="s">
        <v>37</v>
      </c>
      <c r="V1110" s="2" t="s">
        <v>37</v>
      </c>
      <c r="W1110" s="2" t="s">
        <v>37</v>
      </c>
      <c r="X1110" s="2" t="s">
        <v>37</v>
      </c>
      <c r="Y1110" s="2" t="s">
        <v>37</v>
      </c>
      <c r="Z1110" s="2" t="s">
        <v>37</v>
      </c>
      <c r="AA1110" s="6">
        <v>3.4047003299999998</v>
      </c>
      <c r="AB1110" s="6">
        <v>3.3468847570000002</v>
      </c>
      <c r="AC1110" s="6">
        <v>3.3493941010000001</v>
      </c>
      <c r="AD1110" cm="1">
        <f t="array" ref="AD1110">IF(SUMPRODUCT(--($AM$2:$AM$112=TRIM(LEFT($B1110,IFERROR(FIND(" ",$B1110)-1,LEN($B1110))))))&gt;0,1,0)</f>
        <v>0</v>
      </c>
      <c r="AE1110" cm="1">
        <f t="array" ref="AE1110">IF(SUMPRODUCT(--($AO$2:$AO$145=TRIM(LEFT($B1110,IFERROR(FIND(" ",$B1110)-1,LEN($B1110))))))&gt;0,1,0)</f>
        <v>0</v>
      </c>
      <c r="AF1110" cm="1">
        <f t="array" ref="AF1110">IF(SUMPRODUCT(--($AQ$2:$AQ$71=TRIM(LEFT($B1110,IFERROR(FIND(" ",$B1110)-1,LEN($B1110))))))&gt;0,1,0)</f>
        <v>0</v>
      </c>
    </row>
    <row r="1111" spans="1:32" ht="45.75" thickBot="1" x14ac:dyDescent="0.3">
      <c r="A1111" s="13">
        <v>144</v>
      </c>
      <c r="B1111" s="4" t="s">
        <v>2077</v>
      </c>
      <c r="C1111" s="4" t="s">
        <v>791</v>
      </c>
      <c r="D1111" s="7">
        <v>42831</v>
      </c>
      <c r="E1111" s="3">
        <v>707.11</v>
      </c>
      <c r="F1111" s="4" t="s">
        <v>107</v>
      </c>
      <c r="G1111" s="4"/>
      <c r="H1111" s="4" t="s">
        <v>65</v>
      </c>
      <c r="I1111" s="4" t="s">
        <v>66</v>
      </c>
      <c r="J1111" s="4" t="s">
        <v>66</v>
      </c>
      <c r="K1111" s="4"/>
      <c r="L1111" s="3">
        <v>26.5</v>
      </c>
      <c r="M1111" s="3">
        <v>2.15</v>
      </c>
      <c r="N1111" s="3">
        <v>707.11</v>
      </c>
      <c r="O1111" s="4" t="s">
        <v>34</v>
      </c>
      <c r="P1111" s="4" t="s">
        <v>34</v>
      </c>
      <c r="Q1111" s="4" t="s">
        <v>35</v>
      </c>
      <c r="R1111" s="3">
        <v>113.264</v>
      </c>
      <c r="S1111" s="3">
        <v>41.149099999999997</v>
      </c>
      <c r="T1111" s="4" t="s">
        <v>43</v>
      </c>
      <c r="U1111" s="2" t="s">
        <v>37</v>
      </c>
      <c r="V1111" s="2" t="s">
        <v>37</v>
      </c>
      <c r="W1111" s="2" t="s">
        <v>37</v>
      </c>
      <c r="X1111" s="2" t="s">
        <v>37</v>
      </c>
      <c r="Y1111" s="2" t="s">
        <v>37</v>
      </c>
      <c r="Z1111" s="2" t="s">
        <v>37</v>
      </c>
      <c r="AA1111" s="6">
        <v>2.8494869789999999</v>
      </c>
      <c r="AB1111" s="6">
        <v>2.054091895</v>
      </c>
      <c r="AC1111" s="6">
        <v>2.8494869789999999</v>
      </c>
      <c r="AD1111" cm="1">
        <f t="array" ref="AD1111">IF(SUMPRODUCT(--($AM$2:$AM$112=TRIM(LEFT($B1111,IFERROR(FIND(" ",$B1111)-1,LEN($B1111))))))&gt;0,1,0)</f>
        <v>0</v>
      </c>
      <c r="AE1111" cm="1">
        <f t="array" ref="AE1111">IF(SUMPRODUCT(--($AO$2:$AO$145=TRIM(LEFT($B1111,IFERROR(FIND(" ",$B1111)-1,LEN($B1111))))))&gt;0,1,0)</f>
        <v>0</v>
      </c>
      <c r="AF1111" cm="1">
        <f t="array" ref="AF1111">IF(SUMPRODUCT(--($AQ$2:$AQ$71=TRIM(LEFT($B1111,IFERROR(FIND(" ",$B1111)-1,LEN($B1111))))))&gt;0,1,0)</f>
        <v>0</v>
      </c>
    </row>
    <row r="1112" spans="1:32" ht="75.75" thickBot="1" x14ac:dyDescent="0.3">
      <c r="A1112" s="13">
        <v>32</v>
      </c>
      <c r="B1112" s="4" t="s">
        <v>2078</v>
      </c>
      <c r="C1112" s="4" t="s">
        <v>2079</v>
      </c>
      <c r="D1112" s="7">
        <v>42984</v>
      </c>
      <c r="E1112" s="3">
        <v>727.73</v>
      </c>
      <c r="F1112" s="4" t="s">
        <v>30</v>
      </c>
      <c r="G1112" s="3">
        <v>18.22</v>
      </c>
      <c r="H1112" s="4" t="s">
        <v>70</v>
      </c>
      <c r="I1112" s="4" t="s">
        <v>71</v>
      </c>
      <c r="J1112" s="4" t="s">
        <v>417</v>
      </c>
      <c r="K1112" s="4"/>
      <c r="L1112" s="3">
        <v>23.09</v>
      </c>
      <c r="M1112" s="3">
        <v>10.55</v>
      </c>
      <c r="N1112" s="3">
        <v>648.19000000000005</v>
      </c>
      <c r="O1112" s="4" t="s">
        <v>34</v>
      </c>
      <c r="P1112" s="4" t="s">
        <v>34</v>
      </c>
      <c r="Q1112" s="4" t="s">
        <v>35</v>
      </c>
      <c r="R1112" s="3">
        <v>149.239</v>
      </c>
      <c r="S1112" s="3">
        <v>19.101400000000002</v>
      </c>
      <c r="T1112" s="4" t="s">
        <v>88</v>
      </c>
      <c r="U1112" s="2" t="s">
        <v>37</v>
      </c>
      <c r="V1112" s="2" t="s">
        <v>37</v>
      </c>
      <c r="W1112" s="2" t="s">
        <v>37</v>
      </c>
      <c r="X1112" s="2" t="s">
        <v>37</v>
      </c>
      <c r="Y1112" s="2" t="s">
        <v>37</v>
      </c>
      <c r="Z1112" s="2" t="s">
        <v>38</v>
      </c>
      <c r="AA1112" s="6">
        <v>2.8619702789999999</v>
      </c>
      <c r="AB1112" s="6">
        <v>2.1738823300000001</v>
      </c>
      <c r="AC1112" s="6">
        <v>2.8117023269999999</v>
      </c>
      <c r="AD1112" cm="1">
        <f t="array" ref="AD1112">IF(SUMPRODUCT(--($AM$2:$AM$112=TRIM(LEFT($B1112,IFERROR(FIND(" ",$B1112)-1,LEN($B1112))))))&gt;0,1,0)</f>
        <v>0</v>
      </c>
      <c r="AE1112" cm="1">
        <f t="array" ref="AE1112">IF(SUMPRODUCT(--($AO$2:$AO$145=TRIM(LEFT($B1112,IFERROR(FIND(" ",$B1112)-1,LEN($B1112))))))&gt;0,1,0)</f>
        <v>0</v>
      </c>
      <c r="AF1112" cm="1">
        <f t="array" ref="AF1112">IF(SUMPRODUCT(--($AQ$2:$AQ$71=TRIM(LEFT($B1112,IFERROR(FIND(" ",$B1112)-1,LEN($B1112))))))&gt;0,1,0)</f>
        <v>0</v>
      </c>
    </row>
    <row r="1113" spans="1:32" ht="165.75" thickBot="1" x14ac:dyDescent="0.3">
      <c r="A1113" s="13">
        <v>160</v>
      </c>
      <c r="B1113" s="4" t="s">
        <v>1503</v>
      </c>
      <c r="C1113" s="4" t="s">
        <v>1088</v>
      </c>
      <c r="D1113" s="7">
        <v>42801</v>
      </c>
      <c r="E1113" s="3">
        <v>4724.71</v>
      </c>
      <c r="F1113" s="4" t="s">
        <v>69</v>
      </c>
      <c r="G1113" s="3">
        <v>17.98</v>
      </c>
      <c r="H1113" s="4" t="s">
        <v>279</v>
      </c>
      <c r="I1113" s="4" t="s">
        <v>279</v>
      </c>
      <c r="J1113" s="4" t="s">
        <v>280</v>
      </c>
      <c r="K1113" s="3">
        <v>50</v>
      </c>
      <c r="L1113" s="4"/>
      <c r="M1113" s="3">
        <v>-0.86</v>
      </c>
      <c r="N1113" s="3">
        <v>1252.5899999999999</v>
      </c>
      <c r="O1113" s="4" t="s">
        <v>34</v>
      </c>
      <c r="P1113" s="4" t="s">
        <v>49</v>
      </c>
      <c r="Q1113" s="4" t="s">
        <v>35</v>
      </c>
      <c r="R1113" s="3">
        <v>941.24</v>
      </c>
      <c r="S1113" s="3">
        <v>11.9034</v>
      </c>
      <c r="T1113" s="4" t="s">
        <v>2080</v>
      </c>
      <c r="U1113" s="2" t="s">
        <v>38</v>
      </c>
      <c r="V1113" s="2" t="s">
        <v>37</v>
      </c>
      <c r="W1113" s="2" t="s">
        <v>38</v>
      </c>
      <c r="X1113" s="2" t="s">
        <v>37</v>
      </c>
      <c r="Y1113" s="2" t="s">
        <v>37</v>
      </c>
      <c r="Z1113" s="2" t="s">
        <v>37</v>
      </c>
      <c r="AA1113" s="6">
        <v>3.6743751570000001</v>
      </c>
      <c r="AB1113" s="6">
        <v>2.973700375</v>
      </c>
      <c r="AC1113" s="6">
        <v>3.0978089400000002</v>
      </c>
      <c r="AD1113" cm="1">
        <f t="array" ref="AD1113">IF(SUMPRODUCT(--($AM$2:$AM$112=TRIM(LEFT($B1113,IFERROR(FIND(" ",$B1113)-1,LEN($B1113))))))&gt;0,1,0)</f>
        <v>0</v>
      </c>
      <c r="AE1113" cm="1">
        <f t="array" ref="AE1113">IF(SUMPRODUCT(--($AO$2:$AO$145=TRIM(LEFT($B1113,IFERROR(FIND(" ",$B1113)-1,LEN($B1113))))))&gt;0,1,0)</f>
        <v>0</v>
      </c>
      <c r="AF1113" cm="1">
        <f t="array" ref="AF1113">IF(SUMPRODUCT(--($AQ$2:$AQ$71=TRIM(LEFT($B1113,IFERROR(FIND(" ",$B1113)-1,LEN($B1113))))))&gt;0,1,0)</f>
        <v>0</v>
      </c>
    </row>
    <row r="1114" spans="1:32" ht="165.75" thickBot="1" x14ac:dyDescent="0.3">
      <c r="A1114" s="13">
        <v>75</v>
      </c>
      <c r="B1114" s="4" t="s">
        <v>2081</v>
      </c>
      <c r="C1114" s="4" t="s">
        <v>2082</v>
      </c>
      <c r="D1114" s="7">
        <v>42916</v>
      </c>
      <c r="E1114" s="3">
        <v>1483.1</v>
      </c>
      <c r="F1114" s="4" t="s">
        <v>30</v>
      </c>
      <c r="G1114" s="4"/>
      <c r="H1114" s="4" t="s">
        <v>51</v>
      </c>
      <c r="I1114" s="4" t="s">
        <v>51</v>
      </c>
      <c r="J1114" s="4" t="s">
        <v>79</v>
      </c>
      <c r="K1114" s="4"/>
      <c r="L1114" s="3">
        <v>26.4</v>
      </c>
      <c r="M1114" s="4"/>
      <c r="N1114" s="3">
        <v>937.17</v>
      </c>
      <c r="O1114" s="4" t="s">
        <v>34</v>
      </c>
      <c r="P1114" s="4" t="s">
        <v>49</v>
      </c>
      <c r="Q1114" s="4" t="s">
        <v>35</v>
      </c>
      <c r="R1114" s="2"/>
      <c r="S1114" s="3">
        <v>-0.78164900000000004</v>
      </c>
      <c r="T1114" s="4" t="s">
        <v>726</v>
      </c>
      <c r="U1114" s="2" t="s">
        <v>37</v>
      </c>
      <c r="V1114" s="2" t="s">
        <v>37</v>
      </c>
      <c r="W1114" s="2" t="s">
        <v>38</v>
      </c>
      <c r="X1114" s="2" t="s">
        <v>38</v>
      </c>
      <c r="Y1114" s="2" t="s">
        <v>38</v>
      </c>
      <c r="Z1114" s="2" t="s">
        <v>37</v>
      </c>
      <c r="AA1114" s="6">
        <v>3.1711704350000001</v>
      </c>
      <c r="AB1114" s="2"/>
      <c r="AC1114" s="6">
        <v>2.971818378</v>
      </c>
      <c r="AD1114" cm="1">
        <f t="array" ref="AD1114">IF(SUMPRODUCT(--($AM$2:$AM$112=TRIM(LEFT($B1114,IFERROR(FIND(" ",$B1114)-1,LEN($B1114))))))&gt;0,1,0)</f>
        <v>0</v>
      </c>
      <c r="AE1114" cm="1">
        <f t="array" ref="AE1114">IF(SUMPRODUCT(--($AO$2:$AO$145=TRIM(LEFT($B1114,IFERROR(FIND(" ",$B1114)-1,LEN($B1114))))))&gt;0,1,0)</f>
        <v>0</v>
      </c>
      <c r="AF1114" cm="1">
        <f t="array" ref="AF1114">IF(SUMPRODUCT(--($AQ$2:$AQ$71=TRIM(LEFT($B1114,IFERROR(FIND(" ",$B1114)-1,LEN($B1114))))))&gt;0,1,0)</f>
        <v>0</v>
      </c>
    </row>
    <row r="1115" spans="1:32" ht="135.75" thickBot="1" x14ac:dyDescent="0.3">
      <c r="A1115" s="13">
        <v>112</v>
      </c>
      <c r="B1115" s="4" t="s">
        <v>2083</v>
      </c>
      <c r="C1115" s="4" t="s">
        <v>1381</v>
      </c>
      <c r="D1115" s="7">
        <v>42864</v>
      </c>
      <c r="E1115" s="3">
        <v>4974.84</v>
      </c>
      <c r="F1115" s="4" t="s">
        <v>30</v>
      </c>
      <c r="G1115" s="3">
        <v>7.82</v>
      </c>
      <c r="H1115" s="4" t="s">
        <v>184</v>
      </c>
      <c r="I1115" s="4" t="s">
        <v>251</v>
      </c>
      <c r="J1115" s="4" t="s">
        <v>251</v>
      </c>
      <c r="K1115" s="3">
        <v>134</v>
      </c>
      <c r="L1115" s="3">
        <v>72</v>
      </c>
      <c r="M1115" s="4"/>
      <c r="N1115" s="3">
        <v>1988.23</v>
      </c>
      <c r="O1115" s="4" t="s">
        <v>34</v>
      </c>
      <c r="P1115" s="4" t="s">
        <v>34</v>
      </c>
      <c r="Q1115" s="4" t="s">
        <v>35</v>
      </c>
      <c r="R1115" s="3">
        <v>2291.96</v>
      </c>
      <c r="S1115" s="3">
        <v>18.506799999999998</v>
      </c>
      <c r="T1115" s="4" t="s">
        <v>312</v>
      </c>
      <c r="U1115" s="2" t="s">
        <v>37</v>
      </c>
      <c r="V1115" s="2" t="s">
        <v>37</v>
      </c>
      <c r="W1115" s="2" t="s">
        <v>37</v>
      </c>
      <c r="X1115" s="2" t="s">
        <v>38</v>
      </c>
      <c r="Y1115" s="2" t="s">
        <v>38</v>
      </c>
      <c r="Z1115" s="2" t="s">
        <v>37</v>
      </c>
      <c r="AA1115" s="6">
        <v>3.6967791179999998</v>
      </c>
      <c r="AB1115" s="6">
        <v>3.3602070340000001</v>
      </c>
      <c r="AC1115" s="6">
        <v>3.2984666219999998</v>
      </c>
      <c r="AD1115" cm="1">
        <f t="array" ref="AD1115">IF(SUMPRODUCT(--($AM$2:$AM$112=TRIM(LEFT($B1115,IFERROR(FIND(" ",$B1115)-1,LEN($B1115))))))&gt;0,1,0)</f>
        <v>0</v>
      </c>
      <c r="AE1115" cm="1">
        <f t="array" ref="AE1115">IF(SUMPRODUCT(--($AO$2:$AO$145=TRIM(LEFT($B1115,IFERROR(FIND(" ",$B1115)-1,LEN($B1115))))))&gt;0,1,0)</f>
        <v>0</v>
      </c>
      <c r="AF1115" cm="1">
        <f t="array" ref="AF1115">IF(SUMPRODUCT(--($AQ$2:$AQ$71=TRIM(LEFT($B1115,IFERROR(FIND(" ",$B1115)-1,LEN($B1115))))))&gt;0,1,0)</f>
        <v>0</v>
      </c>
    </row>
    <row r="1116" spans="1:32" ht="75.75" thickBot="1" x14ac:dyDescent="0.3">
      <c r="A1116" s="13">
        <v>94</v>
      </c>
      <c r="B1116" s="4" t="s">
        <v>2084</v>
      </c>
      <c r="C1116" s="4" t="s">
        <v>1735</v>
      </c>
      <c r="D1116" s="7">
        <v>42885</v>
      </c>
      <c r="E1116" s="3">
        <v>1831.56</v>
      </c>
      <c r="F1116" s="4" t="s">
        <v>46</v>
      </c>
      <c r="G1116" s="3">
        <v>6.37</v>
      </c>
      <c r="H1116" s="4" t="s">
        <v>118</v>
      </c>
      <c r="I1116" s="4" t="s">
        <v>119</v>
      </c>
      <c r="J1116" s="4" t="s">
        <v>355</v>
      </c>
      <c r="K1116" s="3">
        <v>50</v>
      </c>
      <c r="L1116" s="3">
        <v>30</v>
      </c>
      <c r="M1116" s="3">
        <v>47.93</v>
      </c>
      <c r="N1116" s="3">
        <v>968.61</v>
      </c>
      <c r="O1116" s="4" t="s">
        <v>34</v>
      </c>
      <c r="P1116" s="4" t="s">
        <v>166</v>
      </c>
      <c r="Q1116" s="4" t="s">
        <v>35</v>
      </c>
      <c r="R1116" s="3">
        <v>1020.64</v>
      </c>
      <c r="S1116" s="3">
        <v>6.2168400000000004</v>
      </c>
      <c r="T1116" s="4" t="s">
        <v>97</v>
      </c>
      <c r="U1116" s="2" t="s">
        <v>37</v>
      </c>
      <c r="V1116" s="2" t="s">
        <v>37</v>
      </c>
      <c r="W1116" s="2" t="s">
        <v>38</v>
      </c>
      <c r="X1116" s="2" t="s">
        <v>37</v>
      </c>
      <c r="Y1116" s="2" t="s">
        <v>37</v>
      </c>
      <c r="Z1116" s="2" t="s">
        <v>37</v>
      </c>
      <c r="AA1116" s="6">
        <v>3.2628211500000002</v>
      </c>
      <c r="AB1116" s="6">
        <v>3.0088725850000002</v>
      </c>
      <c r="AC1116" s="6">
        <v>2.9861489479999999</v>
      </c>
      <c r="AD1116" cm="1">
        <f t="array" ref="AD1116">IF(SUMPRODUCT(--($AM$2:$AM$112=TRIM(LEFT($B1116,IFERROR(FIND(" ",$B1116)-1,LEN($B1116))))))&gt;0,1,0)</f>
        <v>0</v>
      </c>
      <c r="AE1116" cm="1">
        <f t="array" ref="AE1116">IF(SUMPRODUCT(--($AO$2:$AO$145=TRIM(LEFT($B1116,IFERROR(FIND(" ",$B1116)-1,LEN($B1116))))))&gt;0,1,0)</f>
        <v>0</v>
      </c>
      <c r="AF1116" cm="1">
        <f t="array" ref="AF1116">IF(SUMPRODUCT(--($AQ$2:$AQ$71=TRIM(LEFT($B1116,IFERROR(FIND(" ",$B1116)-1,LEN($B1116))))))&gt;0,1,0)</f>
        <v>0</v>
      </c>
    </row>
    <row r="1117" spans="1:32" ht="75.75" thickBot="1" x14ac:dyDescent="0.3">
      <c r="A1117" s="13">
        <v>104</v>
      </c>
      <c r="B1117" s="4" t="s">
        <v>2085</v>
      </c>
      <c r="C1117" s="4" t="s">
        <v>1230</v>
      </c>
      <c r="D1117" s="7">
        <v>42870</v>
      </c>
      <c r="E1117" s="3">
        <v>7096.97</v>
      </c>
      <c r="F1117" s="4" t="s">
        <v>30</v>
      </c>
      <c r="G1117" s="3">
        <v>22.27</v>
      </c>
      <c r="H1117" s="4" t="s">
        <v>41</v>
      </c>
      <c r="I1117" s="4" t="s">
        <v>41</v>
      </c>
      <c r="J1117" s="4" t="s">
        <v>42</v>
      </c>
      <c r="K1117" s="4"/>
      <c r="L1117" s="3">
        <v>203</v>
      </c>
      <c r="M1117" s="3">
        <v>33.659999999999997</v>
      </c>
      <c r="N1117" s="3">
        <v>5079.7700000000004</v>
      </c>
      <c r="O1117" s="4" t="s">
        <v>34</v>
      </c>
      <c r="P1117" s="4" t="s">
        <v>34</v>
      </c>
      <c r="Q1117" s="4" t="s">
        <v>35</v>
      </c>
      <c r="R1117" s="3">
        <v>1866.7</v>
      </c>
      <c r="S1117" s="3">
        <v>10.206899999999999</v>
      </c>
      <c r="T1117" s="4" t="s">
        <v>88</v>
      </c>
      <c r="U1117" s="2" t="s">
        <v>37</v>
      </c>
      <c r="V1117" s="2" t="s">
        <v>37</v>
      </c>
      <c r="W1117" s="2" t="s">
        <v>37</v>
      </c>
      <c r="X1117" s="2" t="s">
        <v>37</v>
      </c>
      <c r="Y1117" s="2" t="s">
        <v>37</v>
      </c>
      <c r="Z1117" s="2" t="s">
        <v>38</v>
      </c>
      <c r="AA1117" s="6">
        <v>3.8510729690000001</v>
      </c>
      <c r="AB1117" s="6">
        <v>3.2710745270000001</v>
      </c>
      <c r="AC1117" s="6">
        <v>3.705844049</v>
      </c>
      <c r="AD1117" cm="1">
        <f t="array" ref="AD1117">IF(SUMPRODUCT(--($AM$2:$AM$112=TRIM(LEFT($B1117,IFERROR(FIND(" ",$B1117)-1,LEN($B1117))))))&gt;0,1,0)</f>
        <v>0</v>
      </c>
      <c r="AE1117" cm="1">
        <f t="array" ref="AE1117">IF(SUMPRODUCT(--($AO$2:$AO$145=TRIM(LEFT($B1117,IFERROR(FIND(" ",$B1117)-1,LEN($B1117))))))&gt;0,1,0)</f>
        <v>1</v>
      </c>
      <c r="AF1117" cm="1">
        <f t="array" ref="AF1117">IF(SUMPRODUCT(--($AQ$2:$AQ$71=TRIM(LEFT($B1117,IFERROR(FIND(" ",$B1117)-1,LEN($B1117))))))&gt;0,1,0)</f>
        <v>0</v>
      </c>
    </row>
    <row r="1118" spans="1:32" ht="45.75" thickBot="1" x14ac:dyDescent="0.3">
      <c r="A1118" s="13">
        <v>114</v>
      </c>
      <c r="B1118" s="4" t="s">
        <v>2086</v>
      </c>
      <c r="C1118" s="4" t="s">
        <v>1602</v>
      </c>
      <c r="D1118" s="7">
        <v>42856</v>
      </c>
      <c r="E1118" s="3">
        <v>5085.7</v>
      </c>
      <c r="F1118" s="4" t="s">
        <v>69</v>
      </c>
      <c r="G1118" s="4"/>
      <c r="H1118" s="4" t="s">
        <v>118</v>
      </c>
      <c r="I1118" s="4" t="s">
        <v>119</v>
      </c>
      <c r="J1118" s="4" t="s">
        <v>120</v>
      </c>
      <c r="K1118" s="4"/>
      <c r="L1118" s="4"/>
      <c r="M1118" s="3">
        <v>25.05</v>
      </c>
      <c r="N1118" s="3">
        <v>4281.34</v>
      </c>
      <c r="O1118" s="4" t="s">
        <v>49</v>
      </c>
      <c r="P1118" s="4" t="s">
        <v>49</v>
      </c>
      <c r="Q1118" s="4" t="s">
        <v>35</v>
      </c>
      <c r="R1118" s="3">
        <v>40.0334</v>
      </c>
      <c r="S1118" s="3">
        <v>-121.687</v>
      </c>
      <c r="T1118" s="4" t="s">
        <v>43</v>
      </c>
      <c r="U1118" s="2" t="s">
        <v>37</v>
      </c>
      <c r="V1118" s="2" t="s">
        <v>37</v>
      </c>
      <c r="W1118" s="2" t="s">
        <v>37</v>
      </c>
      <c r="X1118" s="2" t="s">
        <v>37</v>
      </c>
      <c r="Y1118" s="2" t="s">
        <v>37</v>
      </c>
      <c r="Z1118" s="2" t="s">
        <v>37</v>
      </c>
      <c r="AA1118" s="6">
        <v>3.7063507379999998</v>
      </c>
      <c r="AB1118" s="6">
        <v>1.6024224760000001</v>
      </c>
      <c r="AC1118" s="6">
        <v>3.6315797179999998</v>
      </c>
      <c r="AD1118" cm="1">
        <f t="array" ref="AD1118">IF(SUMPRODUCT(--($AM$2:$AM$112=TRIM(LEFT($B1118,IFERROR(FIND(" ",$B1118)-1,LEN($B1118))))))&gt;0,1,0)</f>
        <v>0</v>
      </c>
      <c r="AE1118" cm="1">
        <f t="array" ref="AE1118">IF(SUMPRODUCT(--($AO$2:$AO$145=TRIM(LEFT($B1118,IFERROR(FIND(" ",$B1118)-1,LEN($B1118))))))&gt;0,1,0)</f>
        <v>0</v>
      </c>
      <c r="AF1118" cm="1">
        <f t="array" ref="AF1118">IF(SUMPRODUCT(--($AQ$2:$AQ$71=TRIM(LEFT($B1118,IFERROR(FIND(" ",$B1118)-1,LEN($B1118))))))&gt;0,1,0)</f>
        <v>0</v>
      </c>
    </row>
    <row r="1119" spans="1:32" ht="75.75" thickBot="1" x14ac:dyDescent="0.3">
      <c r="A1119" s="13">
        <v>160</v>
      </c>
      <c r="B1119" s="4" t="s">
        <v>2087</v>
      </c>
      <c r="C1119" s="4" t="s">
        <v>920</v>
      </c>
      <c r="D1119" s="7">
        <v>42790</v>
      </c>
      <c r="E1119" s="3">
        <v>3142.94</v>
      </c>
      <c r="F1119" s="4" t="s">
        <v>107</v>
      </c>
      <c r="G1119" s="3">
        <v>8.1</v>
      </c>
      <c r="H1119" s="4" t="s">
        <v>184</v>
      </c>
      <c r="I1119" s="4" t="s">
        <v>251</v>
      </c>
      <c r="J1119" s="4" t="s">
        <v>251</v>
      </c>
      <c r="K1119" s="3">
        <v>85</v>
      </c>
      <c r="L1119" s="3">
        <v>85</v>
      </c>
      <c r="M1119" s="3">
        <v>12.72</v>
      </c>
      <c r="N1119" s="3">
        <v>2120.94</v>
      </c>
      <c r="O1119" s="4" t="s">
        <v>34</v>
      </c>
      <c r="P1119" s="4" t="s">
        <v>34</v>
      </c>
      <c r="Q1119" s="4" t="s">
        <v>35</v>
      </c>
      <c r="R1119" s="3">
        <v>725.4</v>
      </c>
      <c r="S1119" s="3">
        <v>9.4209200000000006</v>
      </c>
      <c r="T1119" s="4" t="s">
        <v>97</v>
      </c>
      <c r="U1119" s="2" t="s">
        <v>37</v>
      </c>
      <c r="V1119" s="2" t="s">
        <v>37</v>
      </c>
      <c r="W1119" s="2" t="s">
        <v>38</v>
      </c>
      <c r="X1119" s="2" t="s">
        <v>37</v>
      </c>
      <c r="Y1119" s="2" t="s">
        <v>37</v>
      </c>
      <c r="Z1119" s="2" t="s">
        <v>37</v>
      </c>
      <c r="AA1119" s="6">
        <v>3.4973360900000001</v>
      </c>
      <c r="AB1119" s="6">
        <v>2.860577551</v>
      </c>
      <c r="AC1119" s="6">
        <v>3.3265283829999999</v>
      </c>
      <c r="AD1119" cm="1">
        <f t="array" ref="AD1119">IF(SUMPRODUCT(--($AM$2:$AM$112=TRIM(LEFT($B1119,IFERROR(FIND(" ",$B1119)-1,LEN($B1119))))))&gt;0,1,0)</f>
        <v>0</v>
      </c>
      <c r="AE1119" cm="1">
        <f t="array" ref="AE1119">IF(SUMPRODUCT(--($AO$2:$AO$145=TRIM(LEFT($B1119,IFERROR(FIND(" ",$B1119)-1,LEN($B1119))))))&gt;0,1,0)</f>
        <v>0</v>
      </c>
      <c r="AF1119" cm="1">
        <f t="array" ref="AF1119">IF(SUMPRODUCT(--($AQ$2:$AQ$71=TRIM(LEFT($B1119,IFERROR(FIND(" ",$B1119)-1,LEN($B1119))))))&gt;0,1,0)</f>
        <v>0</v>
      </c>
    </row>
    <row r="1120" spans="1:32" ht="75.75" thickBot="1" x14ac:dyDescent="0.3">
      <c r="A1120" s="13">
        <v>28</v>
      </c>
      <c r="B1120" s="4" t="s">
        <v>2088</v>
      </c>
      <c r="C1120" s="4" t="s">
        <v>135</v>
      </c>
      <c r="D1120" s="7">
        <v>42975</v>
      </c>
      <c r="E1120" s="3">
        <v>10104.620000000001</v>
      </c>
      <c r="F1120" s="4" t="s">
        <v>30</v>
      </c>
      <c r="G1120" s="4"/>
      <c r="H1120" s="4" t="s">
        <v>41</v>
      </c>
      <c r="I1120" s="4" t="s">
        <v>41</v>
      </c>
      <c r="J1120" s="4" t="s">
        <v>42</v>
      </c>
      <c r="K1120" s="4"/>
      <c r="L1120" s="3">
        <v>356</v>
      </c>
      <c r="M1120" s="3">
        <v>46.02</v>
      </c>
      <c r="N1120" s="3">
        <v>10885.73</v>
      </c>
      <c r="O1120" s="4" t="s">
        <v>34</v>
      </c>
      <c r="P1120" s="4" t="s">
        <v>34</v>
      </c>
      <c r="Q1120" s="4" t="s">
        <v>35</v>
      </c>
      <c r="R1120" s="3">
        <v>27281</v>
      </c>
      <c r="S1120" s="3">
        <v>-1103.3800000000001</v>
      </c>
      <c r="T1120" s="4" t="s">
        <v>88</v>
      </c>
      <c r="U1120" s="2" t="s">
        <v>37</v>
      </c>
      <c r="V1120" s="2" t="s">
        <v>37</v>
      </c>
      <c r="W1120" s="2" t="s">
        <v>37</v>
      </c>
      <c r="X1120" s="2" t="s">
        <v>37</v>
      </c>
      <c r="Y1120" s="2" t="s">
        <v>37</v>
      </c>
      <c r="Z1120" s="2" t="s">
        <v>38</v>
      </c>
      <c r="AA1120" s="6">
        <v>4.004519986</v>
      </c>
      <c r="AB1120" s="6">
        <v>4.4358602859999996</v>
      </c>
      <c r="AC1120" s="6">
        <v>4.0368575580000003</v>
      </c>
      <c r="AD1120" cm="1">
        <f t="array" ref="AD1120">IF(SUMPRODUCT(--($AM$2:$AM$112=TRIM(LEFT($B1120,IFERROR(FIND(" ",$B1120)-1,LEN($B1120))))))&gt;0,1,0)</f>
        <v>0</v>
      </c>
      <c r="AE1120" cm="1">
        <f t="array" ref="AE1120">IF(SUMPRODUCT(--($AO$2:$AO$145=TRIM(LEFT($B1120,IFERROR(FIND(" ",$B1120)-1,LEN($B1120))))))&gt;0,1,0)</f>
        <v>0</v>
      </c>
      <c r="AF1120" cm="1">
        <f t="array" ref="AF1120">IF(SUMPRODUCT(--($AQ$2:$AQ$71=TRIM(LEFT($B1120,IFERROR(FIND(" ",$B1120)-1,LEN($B1120))))))&gt;0,1,0)</f>
        <v>0</v>
      </c>
    </row>
    <row r="1121" spans="1:32" ht="45.75" thickBot="1" x14ac:dyDescent="0.3">
      <c r="A1121" s="13">
        <v>150</v>
      </c>
      <c r="B1121" s="4" t="s">
        <v>2089</v>
      </c>
      <c r="C1121" s="4" t="s">
        <v>1191</v>
      </c>
      <c r="D1121" s="7">
        <v>42801</v>
      </c>
      <c r="E1121" s="3">
        <v>2164.59</v>
      </c>
      <c r="F1121" s="4" t="s">
        <v>46</v>
      </c>
      <c r="G1121" s="4"/>
      <c r="H1121" s="4" t="s">
        <v>65</v>
      </c>
      <c r="I1121" s="4" t="s">
        <v>66</v>
      </c>
      <c r="J1121" s="4" t="s">
        <v>66</v>
      </c>
      <c r="K1121" s="3">
        <v>75.7</v>
      </c>
      <c r="L1121" s="3">
        <v>75.7</v>
      </c>
      <c r="M1121" s="3">
        <v>14.93</v>
      </c>
      <c r="N1121" s="3">
        <v>2164.59</v>
      </c>
      <c r="O1121" s="4" t="s">
        <v>34</v>
      </c>
      <c r="P1121" s="4" t="s">
        <v>34</v>
      </c>
      <c r="Q1121" s="4" t="s">
        <v>35</v>
      </c>
      <c r="R1121" s="3">
        <v>505.83499999999998</v>
      </c>
      <c r="S1121" s="3">
        <v>28.418099999999999</v>
      </c>
      <c r="T1121" s="4" t="s">
        <v>43</v>
      </c>
      <c r="U1121" s="2" t="s">
        <v>37</v>
      </c>
      <c r="V1121" s="2" t="s">
        <v>37</v>
      </c>
      <c r="W1121" s="2" t="s">
        <v>37</v>
      </c>
      <c r="X1121" s="2" t="s">
        <v>37</v>
      </c>
      <c r="Y1121" s="2" t="s">
        <v>37</v>
      </c>
      <c r="Z1121" s="2" t="s">
        <v>37</v>
      </c>
      <c r="AA1121" s="6">
        <v>3.3353756479999999</v>
      </c>
      <c r="AB1121" s="6">
        <v>2.7040088760000001</v>
      </c>
      <c r="AC1121" s="6">
        <v>3.3353756479999999</v>
      </c>
      <c r="AD1121" cm="1">
        <f t="array" ref="AD1121">IF(SUMPRODUCT(--($AM$2:$AM$112=TRIM(LEFT($B1121,IFERROR(FIND(" ",$B1121)-1,LEN($B1121))))))&gt;0,1,0)</f>
        <v>0</v>
      </c>
      <c r="AE1121" cm="1">
        <f t="array" ref="AE1121">IF(SUMPRODUCT(--($AO$2:$AO$145=TRIM(LEFT($B1121,IFERROR(FIND(" ",$B1121)-1,LEN($B1121))))))&gt;0,1,0)</f>
        <v>0</v>
      </c>
      <c r="AF1121" cm="1">
        <f t="array" ref="AF1121">IF(SUMPRODUCT(--($AQ$2:$AQ$71=TRIM(LEFT($B1121,IFERROR(FIND(" ",$B1121)-1,LEN($B1121))))))&gt;0,1,0)</f>
        <v>0</v>
      </c>
    </row>
    <row r="1122" spans="1:32" ht="45.75" thickBot="1" x14ac:dyDescent="0.3">
      <c r="A1122" s="13">
        <v>69</v>
      </c>
      <c r="B1122" s="4" t="s">
        <v>2090</v>
      </c>
      <c r="C1122" s="4" t="s">
        <v>1808</v>
      </c>
      <c r="D1122" s="7">
        <v>42914</v>
      </c>
      <c r="E1122" s="3">
        <v>1285.1300000000001</v>
      </c>
      <c r="F1122" s="4" t="s">
        <v>30</v>
      </c>
      <c r="G1122" s="3">
        <v>15.95</v>
      </c>
      <c r="H1122" s="4" t="s">
        <v>51</v>
      </c>
      <c r="I1122" s="4" t="s">
        <v>51</v>
      </c>
      <c r="J1122" s="4" t="s">
        <v>79</v>
      </c>
      <c r="K1122" s="4"/>
      <c r="L1122" s="3">
        <v>25</v>
      </c>
      <c r="M1122" s="3">
        <v>0.43</v>
      </c>
      <c r="N1122" s="3">
        <v>654.69000000000005</v>
      </c>
      <c r="O1122" s="4" t="s">
        <v>34</v>
      </c>
      <c r="P1122" s="4" t="s">
        <v>34</v>
      </c>
      <c r="Q1122" s="4" t="s">
        <v>35</v>
      </c>
      <c r="R1122" s="3">
        <v>160.334</v>
      </c>
      <c r="S1122" s="3">
        <v>12.373699999999999</v>
      </c>
      <c r="T1122" s="4" t="s">
        <v>43</v>
      </c>
      <c r="U1122" s="2" t="s">
        <v>37</v>
      </c>
      <c r="V1122" s="2" t="s">
        <v>37</v>
      </c>
      <c r="W1122" s="2" t="s">
        <v>37</v>
      </c>
      <c r="X1122" s="2" t="s">
        <v>37</v>
      </c>
      <c r="Y1122" s="2" t="s">
        <v>37</v>
      </c>
      <c r="Z1122" s="2" t="s">
        <v>37</v>
      </c>
      <c r="AA1122" s="6">
        <v>3.1089470619999999</v>
      </c>
      <c r="AB1122" s="6">
        <v>2.2050256269999999</v>
      </c>
      <c r="AC1122" s="6">
        <v>2.8160357070000002</v>
      </c>
      <c r="AD1122" cm="1">
        <f t="array" ref="AD1122">IF(SUMPRODUCT(--($AM$2:$AM$112=TRIM(LEFT($B1122,IFERROR(FIND(" ",$B1122)-1,LEN($B1122))))))&gt;0,1,0)</f>
        <v>0</v>
      </c>
      <c r="AE1122" cm="1">
        <f t="array" ref="AE1122">IF(SUMPRODUCT(--($AO$2:$AO$145=TRIM(LEFT($B1122,IFERROR(FIND(" ",$B1122)-1,LEN($B1122))))))&gt;0,1,0)</f>
        <v>0</v>
      </c>
      <c r="AF1122" cm="1">
        <f t="array" ref="AF1122">IF(SUMPRODUCT(--($AQ$2:$AQ$71=TRIM(LEFT($B1122,IFERROR(FIND(" ",$B1122)-1,LEN($B1122))))))&gt;0,1,0)</f>
        <v>0</v>
      </c>
    </row>
    <row r="1123" spans="1:32" ht="90.75" thickBot="1" x14ac:dyDescent="0.3">
      <c r="A1123" s="13">
        <v>34</v>
      </c>
      <c r="B1123" s="4" t="s">
        <v>2091</v>
      </c>
      <c r="C1123" s="4" t="s">
        <v>1353</v>
      </c>
      <c r="D1123" s="7">
        <v>42963</v>
      </c>
      <c r="E1123" s="3">
        <v>1275.6099999999999</v>
      </c>
      <c r="F1123" s="4" t="s">
        <v>30</v>
      </c>
      <c r="G1123" s="3">
        <v>6.59</v>
      </c>
      <c r="H1123" s="4" t="s">
        <v>70</v>
      </c>
      <c r="I1123" s="4" t="s">
        <v>94</v>
      </c>
      <c r="J1123" s="4" t="s">
        <v>328</v>
      </c>
      <c r="K1123" s="3">
        <v>13.164999999999999</v>
      </c>
      <c r="L1123" s="3">
        <v>21.96</v>
      </c>
      <c r="M1123" s="4"/>
      <c r="N1123" s="3">
        <v>596.11</v>
      </c>
      <c r="O1123" s="4" t="s">
        <v>34</v>
      </c>
      <c r="P1123" s="4" t="s">
        <v>34</v>
      </c>
      <c r="Q1123" s="4" t="s">
        <v>35</v>
      </c>
      <c r="R1123" s="3">
        <v>396.98399999999998</v>
      </c>
      <c r="S1123" s="3">
        <v>23.5425</v>
      </c>
      <c r="T1123" s="4" t="s">
        <v>215</v>
      </c>
      <c r="U1123" s="2" t="s">
        <v>37</v>
      </c>
      <c r="V1123" s="2" t="s">
        <v>38</v>
      </c>
      <c r="W1123" s="2" t="s">
        <v>37</v>
      </c>
      <c r="X1123" s="2" t="s">
        <v>37</v>
      </c>
      <c r="Y1123" s="2" t="s">
        <v>37</v>
      </c>
      <c r="Z1123" s="2" t="s">
        <v>37</v>
      </c>
      <c r="AA1123" s="6">
        <v>3.1057179150000001</v>
      </c>
      <c r="AB1123" s="6">
        <v>2.5987730029999998</v>
      </c>
      <c r="AC1123" s="6">
        <v>2.7753264070000001</v>
      </c>
      <c r="AD1123" cm="1">
        <f t="array" ref="AD1123">IF(SUMPRODUCT(--($AM$2:$AM$112=TRIM(LEFT($B1123,IFERROR(FIND(" ",$B1123)-1,LEN($B1123))))))&gt;0,1,0)</f>
        <v>0</v>
      </c>
      <c r="AE1123" cm="1">
        <f t="array" ref="AE1123">IF(SUMPRODUCT(--($AO$2:$AO$145=TRIM(LEFT($B1123,IFERROR(FIND(" ",$B1123)-1,LEN($B1123))))))&gt;0,1,0)</f>
        <v>0</v>
      </c>
      <c r="AF1123" cm="1">
        <f t="array" ref="AF1123">IF(SUMPRODUCT(--($AQ$2:$AQ$71=TRIM(LEFT($B1123,IFERROR(FIND(" ",$B1123)-1,LEN($B1123))))))&gt;0,1,0)</f>
        <v>0</v>
      </c>
    </row>
    <row r="1124" spans="1:32" ht="45.75" thickBot="1" x14ac:dyDescent="0.3">
      <c r="A1124" s="13">
        <v>111</v>
      </c>
      <c r="B1124" s="4" t="s">
        <v>2092</v>
      </c>
      <c r="C1124" s="4" t="s">
        <v>1519</v>
      </c>
      <c r="D1124" s="7">
        <v>42856</v>
      </c>
      <c r="E1124" s="3">
        <v>513.80999999999995</v>
      </c>
      <c r="F1124" s="4" t="s">
        <v>69</v>
      </c>
      <c r="G1124" s="3">
        <v>25.84</v>
      </c>
      <c r="H1124" s="4" t="s">
        <v>184</v>
      </c>
      <c r="I1124" s="4" t="s">
        <v>185</v>
      </c>
      <c r="J1124" s="4" t="s">
        <v>762</v>
      </c>
      <c r="K1124" s="4"/>
      <c r="L1124" s="3">
        <v>20</v>
      </c>
      <c r="M1124" s="3">
        <v>46.86</v>
      </c>
      <c r="N1124" s="3">
        <v>495.11</v>
      </c>
      <c r="O1124" s="4" t="s">
        <v>34</v>
      </c>
      <c r="P1124" s="4" t="s">
        <v>34</v>
      </c>
      <c r="Q1124" s="4" t="s">
        <v>35</v>
      </c>
      <c r="R1124" s="3">
        <v>323.32900000000001</v>
      </c>
      <c r="S1124" s="3">
        <v>-2.7082799999999998</v>
      </c>
      <c r="T1124" s="4" t="s">
        <v>43</v>
      </c>
      <c r="U1124" s="2" t="s">
        <v>37</v>
      </c>
      <c r="V1124" s="2" t="s">
        <v>37</v>
      </c>
      <c r="W1124" s="2" t="s">
        <v>37</v>
      </c>
      <c r="X1124" s="2" t="s">
        <v>37</v>
      </c>
      <c r="Y1124" s="2" t="s">
        <v>37</v>
      </c>
      <c r="Z1124" s="2" t="s">
        <v>37</v>
      </c>
      <c r="AA1124" s="6">
        <v>2.7108025520000001</v>
      </c>
      <c r="AB1124" s="6">
        <v>2.5096446590000001</v>
      </c>
      <c r="AC1124" s="6">
        <v>2.6947016979999998</v>
      </c>
      <c r="AD1124" cm="1">
        <f t="array" ref="AD1124">IF(SUMPRODUCT(--($AM$2:$AM$112=TRIM(LEFT($B1124,IFERROR(FIND(" ",$B1124)-1,LEN($B1124))))))&gt;0,1,0)</f>
        <v>0</v>
      </c>
      <c r="AE1124" cm="1">
        <f t="array" ref="AE1124">IF(SUMPRODUCT(--($AO$2:$AO$145=TRIM(LEFT($B1124,IFERROR(FIND(" ",$B1124)-1,LEN($B1124))))))&gt;0,1,0)</f>
        <v>0</v>
      </c>
      <c r="AF1124" cm="1">
        <f t="array" ref="AF1124">IF(SUMPRODUCT(--($AQ$2:$AQ$71=TRIM(LEFT($B1124,IFERROR(FIND(" ",$B1124)-1,LEN($B1124))))))&gt;0,1,0)</f>
        <v>0</v>
      </c>
    </row>
    <row r="1125" spans="1:32" ht="165.75" thickBot="1" x14ac:dyDescent="0.3">
      <c r="A1125" s="13">
        <v>74</v>
      </c>
      <c r="B1125" s="4" t="s">
        <v>2093</v>
      </c>
      <c r="C1125" s="4" t="s">
        <v>2094</v>
      </c>
      <c r="D1125" s="7">
        <v>42906</v>
      </c>
      <c r="E1125" s="3">
        <v>4887.76</v>
      </c>
      <c r="F1125" s="4" t="s">
        <v>30</v>
      </c>
      <c r="G1125" s="3">
        <v>15.84</v>
      </c>
      <c r="H1125" s="4" t="s">
        <v>41</v>
      </c>
      <c r="I1125" s="4" t="s">
        <v>41</v>
      </c>
      <c r="J1125" s="4" t="s">
        <v>100</v>
      </c>
      <c r="K1125" s="3">
        <v>276</v>
      </c>
      <c r="L1125" s="3">
        <v>138</v>
      </c>
      <c r="M1125" s="4"/>
      <c r="N1125" s="3">
        <v>4472.16</v>
      </c>
      <c r="O1125" s="4" t="s">
        <v>34</v>
      </c>
      <c r="P1125" s="4" t="s">
        <v>166</v>
      </c>
      <c r="Q1125" s="4" t="s">
        <v>35</v>
      </c>
      <c r="R1125" s="3">
        <v>2441.5</v>
      </c>
      <c r="S1125" s="3">
        <v>7.8312499999999998</v>
      </c>
      <c r="T1125" s="4" t="s">
        <v>726</v>
      </c>
      <c r="U1125" s="2" t="s">
        <v>37</v>
      </c>
      <c r="V1125" s="2" t="s">
        <v>37</v>
      </c>
      <c r="W1125" s="2" t="s">
        <v>38</v>
      </c>
      <c r="X1125" s="2" t="s">
        <v>38</v>
      </c>
      <c r="Y1125" s="2" t="s">
        <v>38</v>
      </c>
      <c r="Z1125" s="2" t="s">
        <v>37</v>
      </c>
      <c r="AA1125" s="6">
        <v>3.689109873</v>
      </c>
      <c r="AB1125" s="6">
        <v>3.3876567290000001</v>
      </c>
      <c r="AC1125" s="6">
        <v>3.6505173329999998</v>
      </c>
      <c r="AD1125" cm="1">
        <f t="array" ref="AD1125">IF(SUMPRODUCT(--($AM$2:$AM$112=TRIM(LEFT($B1125,IFERROR(FIND(" ",$B1125)-1,LEN($B1125))))))&gt;0,1,0)</f>
        <v>0</v>
      </c>
      <c r="AE1125" cm="1">
        <f t="array" ref="AE1125">IF(SUMPRODUCT(--($AO$2:$AO$145=TRIM(LEFT($B1125,IFERROR(FIND(" ",$B1125)-1,LEN($B1125))))))&gt;0,1,0)</f>
        <v>1</v>
      </c>
      <c r="AF1125" cm="1">
        <f t="array" ref="AF1125">IF(SUMPRODUCT(--($AQ$2:$AQ$71=TRIM(LEFT($B1125,IFERROR(FIND(" ",$B1125)-1,LEN($B1125))))))&gt;0,1,0)</f>
        <v>0</v>
      </c>
    </row>
    <row r="1126" spans="1:32" ht="75.75" thickBot="1" x14ac:dyDescent="0.3">
      <c r="A1126" s="13">
        <v>107</v>
      </c>
      <c r="B1126" s="4" t="s">
        <v>2095</v>
      </c>
      <c r="C1126" s="4" t="s">
        <v>2096</v>
      </c>
      <c r="D1126" s="7">
        <v>42858</v>
      </c>
      <c r="E1126" s="3">
        <v>1714.82</v>
      </c>
      <c r="F1126" s="4" t="s">
        <v>30</v>
      </c>
      <c r="G1126" s="4"/>
      <c r="H1126" s="4" t="s">
        <v>65</v>
      </c>
      <c r="I1126" s="4" t="s">
        <v>206</v>
      </c>
      <c r="J1126" s="4" t="s">
        <v>206</v>
      </c>
      <c r="K1126" s="4"/>
      <c r="L1126" s="3">
        <v>85.1</v>
      </c>
      <c r="M1126" s="3">
        <v>16.04</v>
      </c>
      <c r="N1126" s="3">
        <v>1714.82</v>
      </c>
      <c r="O1126" s="4" t="s">
        <v>34</v>
      </c>
      <c r="P1126" s="4" t="s">
        <v>49</v>
      </c>
      <c r="Q1126" s="4" t="s">
        <v>35</v>
      </c>
      <c r="R1126" s="3">
        <v>1194.4000000000001</v>
      </c>
      <c r="S1126" s="3">
        <v>7.0040899999999997</v>
      </c>
      <c r="T1126" s="4" t="s">
        <v>97</v>
      </c>
      <c r="U1126" s="2" t="s">
        <v>37</v>
      </c>
      <c r="V1126" s="2" t="s">
        <v>37</v>
      </c>
      <c r="W1126" s="2" t="s">
        <v>38</v>
      </c>
      <c r="X1126" s="2" t="s">
        <v>37</v>
      </c>
      <c r="Y1126" s="2" t="s">
        <v>37</v>
      </c>
      <c r="Z1126" s="2" t="s">
        <v>37</v>
      </c>
      <c r="AA1126" s="6">
        <v>3.2342185400000001</v>
      </c>
      <c r="AB1126" s="6">
        <v>3.077149795</v>
      </c>
      <c r="AC1126" s="6">
        <v>3.2342185400000001</v>
      </c>
      <c r="AD1126" cm="1">
        <f t="array" ref="AD1126">IF(SUMPRODUCT(--($AM$2:$AM$112=TRIM(LEFT($B1126,IFERROR(FIND(" ",$B1126)-1,LEN($B1126))))))&gt;0,1,0)</f>
        <v>0</v>
      </c>
      <c r="AE1126" cm="1">
        <f t="array" ref="AE1126">IF(SUMPRODUCT(--($AO$2:$AO$145=TRIM(LEFT($B1126,IFERROR(FIND(" ",$B1126)-1,LEN($B1126))))))&gt;0,1,0)</f>
        <v>0</v>
      </c>
      <c r="AF1126" cm="1">
        <f t="array" ref="AF1126">IF(SUMPRODUCT(--($AQ$2:$AQ$71=TRIM(LEFT($B1126,IFERROR(FIND(" ",$B1126)-1,LEN($B1126))))))&gt;0,1,0)</f>
        <v>0</v>
      </c>
    </row>
    <row r="1127" spans="1:32" ht="45.75" thickBot="1" x14ac:dyDescent="0.3">
      <c r="A1127" s="13">
        <v>133</v>
      </c>
      <c r="B1127" s="4" t="s">
        <v>2097</v>
      </c>
      <c r="C1127" s="4" t="s">
        <v>2098</v>
      </c>
      <c r="D1127" s="7">
        <v>42821</v>
      </c>
      <c r="E1127" s="3">
        <v>868.18</v>
      </c>
      <c r="F1127" s="4" t="s">
        <v>107</v>
      </c>
      <c r="G1127" s="4"/>
      <c r="H1127" s="4" t="s">
        <v>65</v>
      </c>
      <c r="I1127" s="4" t="s">
        <v>66</v>
      </c>
      <c r="J1127" s="4" t="s">
        <v>66</v>
      </c>
      <c r="K1127" s="4"/>
      <c r="L1127" s="3">
        <v>36</v>
      </c>
      <c r="M1127" s="3">
        <v>26.38</v>
      </c>
      <c r="N1127" s="3">
        <v>868.18</v>
      </c>
      <c r="O1127" s="4" t="s">
        <v>34</v>
      </c>
      <c r="P1127" s="4" t="s">
        <v>34</v>
      </c>
      <c r="Q1127" s="4" t="s">
        <v>35</v>
      </c>
      <c r="R1127" s="3">
        <v>110.31</v>
      </c>
      <c r="S1127" s="3">
        <v>42.878399999999999</v>
      </c>
      <c r="T1127" s="4" t="s">
        <v>43</v>
      </c>
      <c r="U1127" s="2" t="s">
        <v>37</v>
      </c>
      <c r="V1127" s="2" t="s">
        <v>37</v>
      </c>
      <c r="W1127" s="2" t="s">
        <v>37</v>
      </c>
      <c r="X1127" s="2" t="s">
        <v>37</v>
      </c>
      <c r="Y1127" s="2" t="s">
        <v>37</v>
      </c>
      <c r="Z1127" s="2" t="s">
        <v>37</v>
      </c>
      <c r="AA1127" s="6">
        <v>2.9386097769999999</v>
      </c>
      <c r="AB1127" s="6">
        <v>2.0426148849999999</v>
      </c>
      <c r="AC1127" s="6">
        <v>2.9386097769999999</v>
      </c>
      <c r="AD1127" cm="1">
        <f t="array" ref="AD1127">IF(SUMPRODUCT(--($AM$2:$AM$112=TRIM(LEFT($B1127,IFERROR(FIND(" ",$B1127)-1,LEN($B1127))))))&gt;0,1,0)</f>
        <v>0</v>
      </c>
      <c r="AE1127" cm="1">
        <f t="array" ref="AE1127">IF(SUMPRODUCT(--($AO$2:$AO$145=TRIM(LEFT($B1127,IFERROR(FIND(" ",$B1127)-1,LEN($B1127))))))&gt;0,1,0)</f>
        <v>0</v>
      </c>
      <c r="AF1127" cm="1">
        <f t="array" ref="AF1127">IF(SUMPRODUCT(--($AQ$2:$AQ$71=TRIM(LEFT($B1127,IFERROR(FIND(" ",$B1127)-1,LEN($B1127))))))&gt;0,1,0)</f>
        <v>0</v>
      </c>
    </row>
    <row r="1128" spans="1:32" ht="105.75" thickBot="1" x14ac:dyDescent="0.3">
      <c r="A1128" s="13">
        <v>43</v>
      </c>
      <c r="B1128" s="4" t="s">
        <v>2099</v>
      </c>
      <c r="C1128" s="4" t="s">
        <v>1397</v>
      </c>
      <c r="D1128" s="7">
        <v>42943</v>
      </c>
      <c r="E1128" s="3">
        <v>610</v>
      </c>
      <c r="F1128" s="4" t="s">
        <v>30</v>
      </c>
      <c r="G1128" s="3">
        <v>2.02</v>
      </c>
      <c r="H1128" s="4" t="s">
        <v>118</v>
      </c>
      <c r="I1128" s="4" t="s">
        <v>119</v>
      </c>
      <c r="J1128" s="4" t="s">
        <v>355</v>
      </c>
      <c r="K1128" s="4"/>
      <c r="L1128" s="4"/>
      <c r="M1128" s="4"/>
      <c r="N1128" s="3">
        <v>610</v>
      </c>
      <c r="O1128" s="4" t="s">
        <v>34</v>
      </c>
      <c r="P1128" s="4" t="s">
        <v>49</v>
      </c>
      <c r="Q1128" s="4" t="s">
        <v>35</v>
      </c>
      <c r="R1128" s="3">
        <v>1151.26</v>
      </c>
      <c r="S1128" s="3">
        <v>7.8627000000000002</v>
      </c>
      <c r="T1128" s="4" t="s">
        <v>2100</v>
      </c>
      <c r="U1128" s="2" t="s">
        <v>37</v>
      </c>
      <c r="V1128" s="2" t="s">
        <v>37</v>
      </c>
      <c r="W1128" s="2" t="s">
        <v>38</v>
      </c>
      <c r="X1128" s="2" t="s">
        <v>37</v>
      </c>
      <c r="Y1128" s="2" t="s">
        <v>37</v>
      </c>
      <c r="Z1128" s="2" t="s">
        <v>37</v>
      </c>
      <c r="AA1128" s="6">
        <v>2.7853298350000002</v>
      </c>
      <c r="AB1128" s="6">
        <v>3.0611734159999999</v>
      </c>
      <c r="AC1128" s="6">
        <v>2.7853298350000002</v>
      </c>
      <c r="AD1128" cm="1">
        <f t="array" ref="AD1128">IF(SUMPRODUCT(--($AM$2:$AM$112=TRIM(LEFT($B1128,IFERROR(FIND(" ",$B1128)-1,LEN($B1128))))))&gt;0,1,0)</f>
        <v>0</v>
      </c>
      <c r="AE1128" cm="1">
        <f t="array" ref="AE1128">IF(SUMPRODUCT(--($AO$2:$AO$145=TRIM(LEFT($B1128,IFERROR(FIND(" ",$B1128)-1,LEN($B1128))))))&gt;0,1,0)</f>
        <v>0</v>
      </c>
      <c r="AF1128" cm="1">
        <f t="array" ref="AF1128">IF(SUMPRODUCT(--($AQ$2:$AQ$71=TRIM(LEFT($B1128,IFERROR(FIND(" ",$B1128)-1,LEN($B1128))))))&gt;0,1,0)</f>
        <v>0</v>
      </c>
    </row>
    <row r="1129" spans="1:32" ht="165.75" thickBot="1" x14ac:dyDescent="0.3">
      <c r="A1129" s="13">
        <v>57</v>
      </c>
      <c r="B1129" s="4" t="s">
        <v>2101</v>
      </c>
      <c r="C1129" s="2"/>
      <c r="D1129" s="7">
        <v>42920</v>
      </c>
      <c r="E1129" s="3">
        <v>3404.11</v>
      </c>
      <c r="F1129" s="4" t="s">
        <v>30</v>
      </c>
      <c r="G1129" s="3">
        <v>24.53</v>
      </c>
      <c r="H1129" s="4" t="s">
        <v>51</v>
      </c>
      <c r="I1129" s="4" t="s">
        <v>51</v>
      </c>
      <c r="J1129" s="4" t="s">
        <v>79</v>
      </c>
      <c r="K1129" s="3">
        <v>202.09</v>
      </c>
      <c r="L1129" s="3">
        <v>65.679400000000001</v>
      </c>
      <c r="M1129" s="4"/>
      <c r="N1129" s="3">
        <v>2004.21</v>
      </c>
      <c r="O1129" s="4" t="s">
        <v>34</v>
      </c>
      <c r="P1129" s="4" t="s">
        <v>534</v>
      </c>
      <c r="Q1129" s="4" t="s">
        <v>35</v>
      </c>
      <c r="R1129" s="3">
        <v>280.74</v>
      </c>
      <c r="S1129" s="3">
        <v>4.9089299999999998</v>
      </c>
      <c r="T1129" s="4" t="s">
        <v>726</v>
      </c>
      <c r="U1129" s="2" t="s">
        <v>37</v>
      </c>
      <c r="V1129" s="2" t="s">
        <v>37</v>
      </c>
      <c r="W1129" s="2" t="s">
        <v>38</v>
      </c>
      <c r="X1129" s="2" t="s">
        <v>38</v>
      </c>
      <c r="Y1129" s="2" t="s">
        <v>38</v>
      </c>
      <c r="Z1129" s="2" t="s">
        <v>37</v>
      </c>
      <c r="AA1129" s="6">
        <v>3.532003585</v>
      </c>
      <c r="AB1129" s="6">
        <v>2.4483042959999999</v>
      </c>
      <c r="AC1129" s="6">
        <v>3.301943225</v>
      </c>
      <c r="AD1129" cm="1">
        <f t="array" ref="AD1129">IF(SUMPRODUCT(--($AM$2:$AM$112=TRIM(LEFT($B1129,IFERROR(FIND(" ",$B1129)-1,LEN($B1129))))))&gt;0,1,0)</f>
        <v>0</v>
      </c>
      <c r="AE1129" cm="1">
        <f t="array" ref="AE1129">IF(SUMPRODUCT(--($AO$2:$AO$145=TRIM(LEFT($B1129,IFERROR(FIND(" ",$B1129)-1,LEN($B1129))))))&gt;0,1,0)</f>
        <v>0</v>
      </c>
      <c r="AF1129" cm="1">
        <f t="array" ref="AF1129">IF(SUMPRODUCT(--($AQ$2:$AQ$71=TRIM(LEFT($B1129,IFERROR(FIND(" ",$B1129)-1,LEN($B1129))))))&gt;0,1,0)</f>
        <v>0</v>
      </c>
    </row>
    <row r="1130" spans="1:32" ht="75.75" thickBot="1" x14ac:dyDescent="0.3">
      <c r="A1130" s="13">
        <v>41</v>
      </c>
      <c r="B1130" s="4" t="s">
        <v>2102</v>
      </c>
      <c r="C1130" s="4" t="s">
        <v>2103</v>
      </c>
      <c r="D1130" s="7">
        <v>42940</v>
      </c>
      <c r="E1130" s="3">
        <v>2594</v>
      </c>
      <c r="F1130" s="4" t="s">
        <v>30</v>
      </c>
      <c r="G1130" s="3">
        <v>13.13</v>
      </c>
      <c r="H1130" s="4" t="s">
        <v>184</v>
      </c>
      <c r="I1130" s="4" t="s">
        <v>185</v>
      </c>
      <c r="J1130" s="4" t="s">
        <v>762</v>
      </c>
      <c r="K1130" s="4"/>
      <c r="L1130" s="3">
        <v>75</v>
      </c>
      <c r="M1130" s="3">
        <v>15.75</v>
      </c>
      <c r="N1130" s="3">
        <v>2582.69</v>
      </c>
      <c r="O1130" s="4" t="s">
        <v>34</v>
      </c>
      <c r="P1130" s="4" t="s">
        <v>34</v>
      </c>
      <c r="Q1130" s="4" t="s">
        <v>35</v>
      </c>
      <c r="R1130" s="3">
        <v>705.04600000000005</v>
      </c>
      <c r="S1130" s="3">
        <v>23.587900000000001</v>
      </c>
      <c r="T1130" s="4" t="s">
        <v>88</v>
      </c>
      <c r="U1130" s="2" t="s">
        <v>37</v>
      </c>
      <c r="V1130" s="2" t="s">
        <v>37</v>
      </c>
      <c r="W1130" s="2" t="s">
        <v>37</v>
      </c>
      <c r="X1130" s="2" t="s">
        <v>37</v>
      </c>
      <c r="Y1130" s="2" t="s">
        <v>37</v>
      </c>
      <c r="Z1130" s="2" t="s">
        <v>38</v>
      </c>
      <c r="AA1130" s="6">
        <v>3.4139699719999999</v>
      </c>
      <c r="AB1130" s="6">
        <v>2.8482174530000002</v>
      </c>
      <c r="AC1130" s="6">
        <v>3.4120722809999999</v>
      </c>
      <c r="AD1130" cm="1">
        <f t="array" ref="AD1130">IF(SUMPRODUCT(--($AM$2:$AM$112=TRIM(LEFT($B1130,IFERROR(FIND(" ",$B1130)-1,LEN($B1130))))))&gt;0,1,0)</f>
        <v>0</v>
      </c>
      <c r="AE1130" cm="1">
        <f t="array" ref="AE1130">IF(SUMPRODUCT(--($AO$2:$AO$145=TRIM(LEFT($B1130,IFERROR(FIND(" ",$B1130)-1,LEN($B1130))))))&gt;0,1,0)</f>
        <v>0</v>
      </c>
      <c r="AF1130" cm="1">
        <f t="array" ref="AF1130">IF(SUMPRODUCT(--($AQ$2:$AQ$71=TRIM(LEFT($B1130,IFERROR(FIND(" ",$B1130)-1,LEN($B1130))))))&gt;0,1,0)</f>
        <v>0</v>
      </c>
    </row>
    <row r="1131" spans="1:32" ht="135.75" thickBot="1" x14ac:dyDescent="0.3">
      <c r="A1131" s="13">
        <v>51</v>
      </c>
      <c r="B1131" s="4" t="s">
        <v>2104</v>
      </c>
      <c r="C1131" s="4" t="s">
        <v>1381</v>
      </c>
      <c r="D1131" s="7">
        <v>42925</v>
      </c>
      <c r="E1131" s="3">
        <v>2155.39</v>
      </c>
      <c r="F1131" s="4" t="s">
        <v>30</v>
      </c>
      <c r="G1131" s="3">
        <v>11.31</v>
      </c>
      <c r="H1131" s="4" t="s">
        <v>75</v>
      </c>
      <c r="I1131" s="4" t="s">
        <v>111</v>
      </c>
      <c r="J1131" s="4" t="s">
        <v>133</v>
      </c>
      <c r="K1131" s="3">
        <v>74.2</v>
      </c>
      <c r="L1131" s="3">
        <v>34.200000000000003</v>
      </c>
      <c r="M1131" s="4"/>
      <c r="N1131" s="3">
        <v>1121.8499999999999</v>
      </c>
      <c r="O1131" s="4" t="s">
        <v>34</v>
      </c>
      <c r="P1131" s="4" t="s">
        <v>34</v>
      </c>
      <c r="Q1131" s="4" t="s">
        <v>35</v>
      </c>
      <c r="R1131" s="3">
        <v>1088.48</v>
      </c>
      <c r="S1131" s="3">
        <v>7.4035799999999998</v>
      </c>
      <c r="T1131" s="4" t="s">
        <v>312</v>
      </c>
      <c r="U1131" s="2" t="s">
        <v>37</v>
      </c>
      <c r="V1131" s="2" t="s">
        <v>37</v>
      </c>
      <c r="W1131" s="2" t="s">
        <v>37</v>
      </c>
      <c r="X1131" s="2" t="s">
        <v>38</v>
      </c>
      <c r="Y1131" s="2" t="s">
        <v>38</v>
      </c>
      <c r="Z1131" s="2" t="s">
        <v>37</v>
      </c>
      <c r="AA1131" s="6">
        <v>3.3335258639999998</v>
      </c>
      <c r="AB1131" s="6">
        <v>3.0368204539999999</v>
      </c>
      <c r="AC1131" s="6">
        <v>3.0499347920000002</v>
      </c>
      <c r="AD1131" cm="1">
        <f t="array" ref="AD1131">IF(SUMPRODUCT(--($AM$2:$AM$112=TRIM(LEFT($B1131,IFERROR(FIND(" ",$B1131)-1,LEN($B1131))))))&gt;0,1,0)</f>
        <v>0</v>
      </c>
      <c r="AE1131" cm="1">
        <f t="array" ref="AE1131">IF(SUMPRODUCT(--($AO$2:$AO$145=TRIM(LEFT($B1131,IFERROR(FIND(" ",$B1131)-1,LEN($B1131))))))&gt;0,1,0)</f>
        <v>0</v>
      </c>
      <c r="AF1131" cm="1">
        <f t="array" ref="AF1131">IF(SUMPRODUCT(--($AQ$2:$AQ$71=TRIM(LEFT($B1131,IFERROR(FIND(" ",$B1131)-1,LEN($B1131))))))&gt;0,1,0)</f>
        <v>0</v>
      </c>
    </row>
    <row r="1132" spans="1:32" ht="120.75" thickBot="1" x14ac:dyDescent="0.3">
      <c r="A1132" s="13">
        <v>53</v>
      </c>
      <c r="B1132" s="4" t="s">
        <v>2105</v>
      </c>
      <c r="C1132" s="4" t="s">
        <v>2106</v>
      </c>
      <c r="D1132" s="7">
        <v>42922</v>
      </c>
      <c r="E1132" s="3">
        <v>786.27</v>
      </c>
      <c r="F1132" s="4" t="s">
        <v>46</v>
      </c>
      <c r="G1132" s="3">
        <v>6.15</v>
      </c>
      <c r="H1132" s="4" t="s">
        <v>118</v>
      </c>
      <c r="I1132" s="4" t="s">
        <v>119</v>
      </c>
      <c r="J1132" s="4" t="s">
        <v>120</v>
      </c>
      <c r="K1132" s="4"/>
      <c r="L1132" s="4"/>
      <c r="M1132" s="3">
        <v>7.53</v>
      </c>
      <c r="N1132" s="3">
        <v>360.23</v>
      </c>
      <c r="O1132" s="4" t="s">
        <v>49</v>
      </c>
      <c r="P1132" s="4" t="s">
        <v>49</v>
      </c>
      <c r="Q1132" s="4" t="s">
        <v>35</v>
      </c>
      <c r="R1132" s="3">
        <v>151.72800000000001</v>
      </c>
      <c r="S1132" s="3">
        <v>8.8488799999999994</v>
      </c>
      <c r="T1132" s="4" t="s">
        <v>321</v>
      </c>
      <c r="U1132" s="2" t="s">
        <v>38</v>
      </c>
      <c r="V1132" s="2" t="s">
        <v>37</v>
      </c>
      <c r="W1132" s="2" t="s">
        <v>37</v>
      </c>
      <c r="X1132" s="2" t="s">
        <v>37</v>
      </c>
      <c r="Y1132" s="2" t="s">
        <v>37</v>
      </c>
      <c r="Z1132" s="2" t="s">
        <v>37</v>
      </c>
      <c r="AA1132" s="6">
        <v>2.8955717060000001</v>
      </c>
      <c r="AB1132" s="6">
        <v>2.1810657330000001</v>
      </c>
      <c r="AC1132" s="6">
        <v>2.556579878</v>
      </c>
      <c r="AD1132" cm="1">
        <f t="array" ref="AD1132">IF(SUMPRODUCT(--($AM$2:$AM$112=TRIM(LEFT($B1132,IFERROR(FIND(" ",$B1132)-1,LEN($B1132))))))&gt;0,1,0)</f>
        <v>0</v>
      </c>
      <c r="AE1132" cm="1">
        <f t="array" ref="AE1132">IF(SUMPRODUCT(--($AO$2:$AO$145=TRIM(LEFT($B1132,IFERROR(FIND(" ",$B1132)-1,LEN($B1132))))))&gt;0,1,0)</f>
        <v>0</v>
      </c>
      <c r="AF1132" cm="1">
        <f t="array" ref="AF1132">IF(SUMPRODUCT(--($AQ$2:$AQ$71=TRIM(LEFT($B1132,IFERROR(FIND(" ",$B1132)-1,LEN($B1132))))))&gt;0,1,0)</f>
        <v>0</v>
      </c>
    </row>
    <row r="1133" spans="1:32" ht="45.75" thickBot="1" x14ac:dyDescent="0.3">
      <c r="A1133" s="13">
        <v>70</v>
      </c>
      <c r="B1133" s="4" t="s">
        <v>2107</v>
      </c>
      <c r="C1133" s="4" t="s">
        <v>2108</v>
      </c>
      <c r="D1133" s="7">
        <v>42895</v>
      </c>
      <c r="E1133" s="3">
        <v>6309.53</v>
      </c>
      <c r="F1133" s="4" t="s">
        <v>46</v>
      </c>
      <c r="G1133" s="3">
        <v>19.02</v>
      </c>
      <c r="H1133" s="4" t="s">
        <v>51</v>
      </c>
      <c r="I1133" s="4" t="s">
        <v>51</v>
      </c>
      <c r="J1133" s="4" t="s">
        <v>79</v>
      </c>
      <c r="K1133" s="3">
        <v>300</v>
      </c>
      <c r="L1133" s="3">
        <v>150</v>
      </c>
      <c r="M1133" s="3">
        <v>18.510000000000002</v>
      </c>
      <c r="N1133" s="3">
        <v>4960.1099999999997</v>
      </c>
      <c r="O1133" s="4" t="s">
        <v>34</v>
      </c>
      <c r="P1133" s="4" t="s">
        <v>34</v>
      </c>
      <c r="Q1133" s="4" t="s">
        <v>35</v>
      </c>
      <c r="R1133" s="3">
        <v>528.70100000000002</v>
      </c>
      <c r="S1133" s="3">
        <v>39.531100000000002</v>
      </c>
      <c r="T1133" s="4" t="s">
        <v>43</v>
      </c>
      <c r="U1133" s="2" t="s">
        <v>37</v>
      </c>
      <c r="V1133" s="2" t="s">
        <v>37</v>
      </c>
      <c r="W1133" s="2" t="s">
        <v>37</v>
      </c>
      <c r="X1133" s="2" t="s">
        <v>37</v>
      </c>
      <c r="Y1133" s="2" t="s">
        <v>37</v>
      </c>
      <c r="Z1133" s="2" t="s">
        <v>37</v>
      </c>
      <c r="AA1133" s="6">
        <v>3.7999970099999998</v>
      </c>
      <c r="AB1133" s="6">
        <v>2.7232101320000002</v>
      </c>
      <c r="AC1133" s="6">
        <v>3.6954913079999998</v>
      </c>
      <c r="AD1133" cm="1">
        <f t="array" ref="AD1133">IF(SUMPRODUCT(--($AM$2:$AM$112=TRIM(LEFT($B1133,IFERROR(FIND(" ",$B1133)-1,LEN($B1133))))))&gt;0,1,0)</f>
        <v>0</v>
      </c>
      <c r="AE1133" cm="1">
        <f t="array" ref="AE1133">IF(SUMPRODUCT(--($AO$2:$AO$145=TRIM(LEFT($B1133,IFERROR(FIND(" ",$B1133)-1,LEN($B1133))))))&gt;0,1,0)</f>
        <v>0</v>
      </c>
      <c r="AF1133" cm="1">
        <f t="array" ref="AF1133">IF(SUMPRODUCT(--($AQ$2:$AQ$71=TRIM(LEFT($B1133,IFERROR(FIND(" ",$B1133)-1,LEN($B1133))))))&gt;0,1,0)</f>
        <v>0</v>
      </c>
    </row>
    <row r="1134" spans="1:32" ht="60.75" thickBot="1" x14ac:dyDescent="0.3">
      <c r="A1134" s="13">
        <v>178</v>
      </c>
      <c r="B1134" s="4" t="s">
        <v>2109</v>
      </c>
      <c r="C1134" s="4" t="s">
        <v>285</v>
      </c>
      <c r="D1134" s="7">
        <v>42744</v>
      </c>
      <c r="E1134" s="3">
        <v>8751.57</v>
      </c>
      <c r="F1134" s="4" t="s">
        <v>30</v>
      </c>
      <c r="G1134" s="3">
        <v>17.97</v>
      </c>
      <c r="H1134" s="4" t="s">
        <v>41</v>
      </c>
      <c r="I1134" s="4" t="s">
        <v>41</v>
      </c>
      <c r="J1134" s="4" t="s">
        <v>100</v>
      </c>
      <c r="K1134" s="4"/>
      <c r="L1134" s="3">
        <v>275</v>
      </c>
      <c r="M1134" s="4"/>
      <c r="N1134" s="3">
        <v>7545.85</v>
      </c>
      <c r="O1134" s="4" t="s">
        <v>34</v>
      </c>
      <c r="P1134" s="4" t="s">
        <v>34</v>
      </c>
      <c r="Q1134" s="4" t="s">
        <v>35</v>
      </c>
      <c r="R1134" s="3">
        <v>2516.86</v>
      </c>
      <c r="S1134" s="3">
        <v>14.886900000000001</v>
      </c>
      <c r="T1134" s="4" t="s">
        <v>43</v>
      </c>
      <c r="U1134" s="2" t="s">
        <v>37</v>
      </c>
      <c r="V1134" s="2" t="s">
        <v>37</v>
      </c>
      <c r="W1134" s="2" t="s">
        <v>37</v>
      </c>
      <c r="X1134" s="2" t="s">
        <v>37</v>
      </c>
      <c r="Y1134" s="2" t="s">
        <v>37</v>
      </c>
      <c r="Z1134" s="2" t="s">
        <v>37</v>
      </c>
      <c r="AA1134" s="6">
        <v>3.942085971</v>
      </c>
      <c r="AB1134" s="6">
        <v>3.4008590590000001</v>
      </c>
      <c r="AC1134" s="6">
        <v>3.8777081679999998</v>
      </c>
      <c r="AD1134" cm="1">
        <f t="array" ref="AD1134">IF(SUMPRODUCT(--($AM$2:$AM$112=TRIM(LEFT($B1134,IFERROR(FIND(" ",$B1134)-1,LEN($B1134))))))&gt;0,1,0)</f>
        <v>0</v>
      </c>
      <c r="AE1134" cm="1">
        <f t="array" ref="AE1134">IF(SUMPRODUCT(--($AO$2:$AO$145=TRIM(LEFT($B1134,IFERROR(FIND(" ",$B1134)-1,LEN($B1134))))))&gt;0,1,0)</f>
        <v>0</v>
      </c>
      <c r="AF1134" cm="1">
        <f t="array" ref="AF1134">IF(SUMPRODUCT(--($AQ$2:$AQ$71=TRIM(LEFT($B1134,IFERROR(FIND(" ",$B1134)-1,LEN($B1134))))))&gt;0,1,0)</f>
        <v>0</v>
      </c>
    </row>
    <row r="1135" spans="1:32" ht="135.75" thickBot="1" x14ac:dyDescent="0.3">
      <c r="A1135" s="13">
        <v>56</v>
      </c>
      <c r="B1135" s="4" t="s">
        <v>1785</v>
      </c>
      <c r="C1135" s="4" t="s">
        <v>389</v>
      </c>
      <c r="D1135" s="7">
        <v>42914</v>
      </c>
      <c r="E1135" s="3">
        <v>6451.95</v>
      </c>
      <c r="F1135" s="4" t="s">
        <v>30</v>
      </c>
      <c r="G1135" s="3">
        <v>39.03</v>
      </c>
      <c r="H1135" s="4" t="s">
        <v>75</v>
      </c>
      <c r="I1135" s="4" t="s">
        <v>83</v>
      </c>
      <c r="J1135" s="4" t="s">
        <v>84</v>
      </c>
      <c r="K1135" s="3">
        <v>343</v>
      </c>
      <c r="L1135" s="3">
        <v>171</v>
      </c>
      <c r="M1135" s="4"/>
      <c r="N1135" s="3">
        <v>6694.95</v>
      </c>
      <c r="O1135" s="4" t="s">
        <v>34</v>
      </c>
      <c r="P1135" s="4" t="s">
        <v>34</v>
      </c>
      <c r="Q1135" s="4" t="s">
        <v>35</v>
      </c>
      <c r="R1135" s="3">
        <v>18247</v>
      </c>
      <c r="S1135" s="3">
        <v>0.105738</v>
      </c>
      <c r="T1135" s="4" t="s">
        <v>312</v>
      </c>
      <c r="U1135" s="2" t="s">
        <v>37</v>
      </c>
      <c r="V1135" s="2" t="s">
        <v>37</v>
      </c>
      <c r="W1135" s="2" t="s">
        <v>37</v>
      </c>
      <c r="X1135" s="2" t="s">
        <v>38</v>
      </c>
      <c r="Y1135" s="2" t="s">
        <v>38</v>
      </c>
      <c r="Z1135" s="2" t="s">
        <v>37</v>
      </c>
      <c r="AA1135" s="6">
        <v>3.8096909929999998</v>
      </c>
      <c r="AB1135" s="6">
        <v>4.2611914720000001</v>
      </c>
      <c r="AC1135" s="6">
        <v>3.8257473380000002</v>
      </c>
      <c r="AD1135" cm="1">
        <f t="array" ref="AD1135">IF(SUMPRODUCT(--($AM$2:$AM$112=TRIM(LEFT($B1135,IFERROR(FIND(" ",$B1135)-1,LEN($B1135))))))&gt;0,1,0)</f>
        <v>0</v>
      </c>
      <c r="AE1135" cm="1">
        <f t="array" ref="AE1135">IF(SUMPRODUCT(--($AO$2:$AO$145=TRIM(LEFT($B1135,IFERROR(FIND(" ",$B1135)-1,LEN($B1135))))))&gt;0,1,0)</f>
        <v>0</v>
      </c>
      <c r="AF1135" cm="1">
        <f t="array" ref="AF1135">IF(SUMPRODUCT(--($AQ$2:$AQ$71=TRIM(LEFT($B1135,IFERROR(FIND(" ",$B1135)-1,LEN($B1135))))))&gt;0,1,0)</f>
        <v>0</v>
      </c>
    </row>
    <row r="1136" spans="1:32" ht="45.75" thickBot="1" x14ac:dyDescent="0.3">
      <c r="A1136" s="13">
        <v>111</v>
      </c>
      <c r="B1136" s="4" t="s">
        <v>2110</v>
      </c>
      <c r="C1136" s="4" t="s">
        <v>888</v>
      </c>
      <c r="D1136" s="7">
        <v>42835</v>
      </c>
      <c r="E1136" s="3">
        <v>2236.17</v>
      </c>
      <c r="F1136" s="4" t="s">
        <v>46</v>
      </c>
      <c r="G1136" s="3">
        <v>8.9499999999999993</v>
      </c>
      <c r="H1136" s="4" t="s">
        <v>70</v>
      </c>
      <c r="I1136" s="4" t="s">
        <v>94</v>
      </c>
      <c r="J1136" s="4" t="s">
        <v>108</v>
      </c>
      <c r="K1136" s="3">
        <v>89.1</v>
      </c>
      <c r="L1136" s="3">
        <v>75.3</v>
      </c>
      <c r="M1136" s="3">
        <v>-10.59</v>
      </c>
      <c r="N1136" s="3">
        <v>2280.9499999999998</v>
      </c>
      <c r="O1136" s="4" t="s">
        <v>34</v>
      </c>
      <c r="P1136" s="4" t="s">
        <v>34</v>
      </c>
      <c r="Q1136" s="4" t="s">
        <v>35</v>
      </c>
      <c r="R1136" s="3">
        <v>1118.03</v>
      </c>
      <c r="S1136" s="3">
        <v>11.015499999999999</v>
      </c>
      <c r="T1136" s="4" t="s">
        <v>43</v>
      </c>
      <c r="U1136" s="2" t="s">
        <v>37</v>
      </c>
      <c r="V1136" s="2" t="s">
        <v>37</v>
      </c>
      <c r="W1136" s="2" t="s">
        <v>37</v>
      </c>
      <c r="X1136" s="2" t="s">
        <v>37</v>
      </c>
      <c r="Y1136" s="2" t="s">
        <v>37</v>
      </c>
      <c r="Z1136" s="2" t="s">
        <v>37</v>
      </c>
      <c r="AA1136" s="6">
        <v>3.3495048170000001</v>
      </c>
      <c r="AB1136" s="6">
        <v>3.0484534569999999</v>
      </c>
      <c r="AC1136" s="6">
        <v>3.358115765</v>
      </c>
      <c r="AD1136" cm="1">
        <f t="array" ref="AD1136">IF(SUMPRODUCT(--($AM$2:$AM$112=TRIM(LEFT($B1136,IFERROR(FIND(" ",$B1136)-1,LEN($B1136))))))&gt;0,1,0)</f>
        <v>0</v>
      </c>
      <c r="AE1136" cm="1">
        <f t="array" ref="AE1136">IF(SUMPRODUCT(--($AO$2:$AO$145=TRIM(LEFT($B1136,IFERROR(FIND(" ",$B1136)-1,LEN($B1136))))))&gt;0,1,0)</f>
        <v>0</v>
      </c>
      <c r="AF1136" cm="1">
        <f t="array" ref="AF1136">IF(SUMPRODUCT(--($AQ$2:$AQ$71=TRIM(LEFT($B1136,IFERROR(FIND(" ",$B1136)-1,LEN($B1136))))))&gt;0,1,0)</f>
        <v>0</v>
      </c>
    </row>
    <row r="1137" spans="1:32" ht="75.75" thickBot="1" x14ac:dyDescent="0.3">
      <c r="A1137" s="13">
        <v>58</v>
      </c>
      <c r="B1137" s="4" t="s">
        <v>2111</v>
      </c>
      <c r="C1137" s="4" t="s">
        <v>531</v>
      </c>
      <c r="D1137" s="7">
        <v>42905</v>
      </c>
      <c r="E1137" s="3">
        <v>636.95000000000005</v>
      </c>
      <c r="F1137" s="4" t="s">
        <v>30</v>
      </c>
      <c r="G1137" s="4"/>
      <c r="H1137" s="4" t="s">
        <v>41</v>
      </c>
      <c r="I1137" s="4" t="s">
        <v>41</v>
      </c>
      <c r="J1137" s="4" t="s">
        <v>60</v>
      </c>
      <c r="K1137" s="4"/>
      <c r="L1137" s="3">
        <v>21</v>
      </c>
      <c r="M1137" s="3">
        <v>68.739999999999995</v>
      </c>
      <c r="N1137" s="3">
        <v>683.47</v>
      </c>
      <c r="O1137" s="4" t="s">
        <v>49</v>
      </c>
      <c r="P1137" s="4" t="s">
        <v>34</v>
      </c>
      <c r="Q1137" s="4" t="s">
        <v>35</v>
      </c>
      <c r="R1137" s="3">
        <v>80.070599999999999</v>
      </c>
      <c r="S1137" s="3">
        <v>-71.674800000000005</v>
      </c>
      <c r="T1137" s="4" t="s">
        <v>97</v>
      </c>
      <c r="U1137" s="2" t="s">
        <v>37</v>
      </c>
      <c r="V1137" s="2" t="s">
        <v>37</v>
      </c>
      <c r="W1137" s="2" t="s">
        <v>38</v>
      </c>
      <c r="X1137" s="2" t="s">
        <v>37</v>
      </c>
      <c r="Y1137" s="2" t="s">
        <v>37</v>
      </c>
      <c r="Z1137" s="2" t="s">
        <v>37</v>
      </c>
      <c r="AA1137" s="6">
        <v>2.8041053420000002</v>
      </c>
      <c r="AB1137" s="6">
        <v>1.903473083</v>
      </c>
      <c r="AC1137" s="6">
        <v>2.8347194569999998</v>
      </c>
      <c r="AD1137" cm="1">
        <f t="array" ref="AD1137">IF(SUMPRODUCT(--($AM$2:$AM$112=TRIM(LEFT($B1137,IFERROR(FIND(" ",$B1137)-1,LEN($B1137))))))&gt;0,1,0)</f>
        <v>0</v>
      </c>
      <c r="AE1137" cm="1">
        <f t="array" ref="AE1137">IF(SUMPRODUCT(--($AO$2:$AO$145=TRIM(LEFT($B1137,IFERROR(FIND(" ",$B1137)-1,LEN($B1137))))))&gt;0,1,0)</f>
        <v>0</v>
      </c>
      <c r="AF1137" cm="1">
        <f t="array" ref="AF1137">IF(SUMPRODUCT(--($AQ$2:$AQ$71=TRIM(LEFT($B1137,IFERROR(FIND(" ",$B1137)-1,LEN($B1137))))))&gt;0,1,0)</f>
        <v>0</v>
      </c>
    </row>
    <row r="1138" spans="1:32" ht="75.75" thickBot="1" x14ac:dyDescent="0.3">
      <c r="A1138" s="13">
        <v>95</v>
      </c>
      <c r="B1138" s="4" t="s">
        <v>2112</v>
      </c>
      <c r="C1138" s="4" t="s">
        <v>2113</v>
      </c>
      <c r="D1138" s="7">
        <v>42849</v>
      </c>
      <c r="E1138" s="3">
        <v>2451.56</v>
      </c>
      <c r="F1138" s="4" t="s">
        <v>46</v>
      </c>
      <c r="G1138" s="3">
        <v>14.79</v>
      </c>
      <c r="H1138" s="4" t="s">
        <v>51</v>
      </c>
      <c r="I1138" s="4" t="s">
        <v>51</v>
      </c>
      <c r="J1138" s="4" t="s">
        <v>79</v>
      </c>
      <c r="K1138" s="3">
        <v>95</v>
      </c>
      <c r="L1138" s="3">
        <v>39</v>
      </c>
      <c r="M1138" s="3">
        <v>14.05</v>
      </c>
      <c r="N1138" s="3">
        <v>1160.55</v>
      </c>
      <c r="O1138" s="4" t="s">
        <v>34</v>
      </c>
      <c r="P1138" s="4" t="s">
        <v>34</v>
      </c>
      <c r="Q1138" s="4" t="s">
        <v>35</v>
      </c>
      <c r="R1138" s="3">
        <v>866.95399999999995</v>
      </c>
      <c r="S1138" s="3">
        <v>3.7718400000000001</v>
      </c>
      <c r="T1138" s="4" t="s">
        <v>934</v>
      </c>
      <c r="U1138" s="2" t="s">
        <v>37</v>
      </c>
      <c r="V1138" s="2" t="s">
        <v>38</v>
      </c>
      <c r="W1138" s="2" t="s">
        <v>37</v>
      </c>
      <c r="X1138" s="2" t="s">
        <v>37</v>
      </c>
      <c r="Y1138" s="2" t="s">
        <v>37</v>
      </c>
      <c r="Z1138" s="2" t="s">
        <v>37</v>
      </c>
      <c r="AA1138" s="6">
        <v>3.3894425269999999</v>
      </c>
      <c r="AB1138" s="6">
        <v>2.9379960550000002</v>
      </c>
      <c r="AC1138" s="6">
        <v>3.0646638560000001</v>
      </c>
      <c r="AD1138" cm="1">
        <f t="array" ref="AD1138">IF(SUMPRODUCT(--($AM$2:$AM$112=TRIM(LEFT($B1138,IFERROR(FIND(" ",$B1138)-1,LEN($B1138))))))&gt;0,1,0)</f>
        <v>0</v>
      </c>
      <c r="AE1138" cm="1">
        <f t="array" ref="AE1138">IF(SUMPRODUCT(--($AO$2:$AO$145=TRIM(LEFT($B1138,IFERROR(FIND(" ",$B1138)-1,LEN($B1138))))))&gt;0,1,0)</f>
        <v>0</v>
      </c>
      <c r="AF1138" cm="1">
        <f t="array" ref="AF1138">IF(SUMPRODUCT(--($AQ$2:$AQ$71=TRIM(LEFT($B1138,IFERROR(FIND(" ",$B1138)-1,LEN($B1138))))))&gt;0,1,0)</f>
        <v>0</v>
      </c>
    </row>
    <row r="1139" spans="1:32" ht="135.75" thickBot="1" x14ac:dyDescent="0.3">
      <c r="A1139" s="13">
        <v>64</v>
      </c>
      <c r="B1139" s="4" t="s">
        <v>2114</v>
      </c>
      <c r="C1139" s="2"/>
      <c r="D1139" s="7">
        <v>42892</v>
      </c>
      <c r="E1139" s="3">
        <v>1540.03</v>
      </c>
      <c r="F1139" s="4" t="s">
        <v>30</v>
      </c>
      <c r="G1139" s="3">
        <v>33.18</v>
      </c>
      <c r="H1139" s="4" t="s">
        <v>41</v>
      </c>
      <c r="I1139" s="4" t="s">
        <v>41</v>
      </c>
      <c r="J1139" s="4" t="s">
        <v>60</v>
      </c>
      <c r="K1139" s="3">
        <v>70</v>
      </c>
      <c r="L1139" s="3">
        <v>35</v>
      </c>
      <c r="M1139" s="4"/>
      <c r="N1139" s="3">
        <v>933.77</v>
      </c>
      <c r="O1139" s="4" t="s">
        <v>34</v>
      </c>
      <c r="P1139" s="4" t="s">
        <v>34</v>
      </c>
      <c r="Q1139" s="4" t="s">
        <v>35</v>
      </c>
      <c r="R1139" s="3">
        <v>570.45000000000005</v>
      </c>
      <c r="S1139" s="3">
        <v>-3.0181499999999999</v>
      </c>
      <c r="T1139" s="4" t="s">
        <v>312</v>
      </c>
      <c r="U1139" s="2" t="s">
        <v>37</v>
      </c>
      <c r="V1139" s="2" t="s">
        <v>37</v>
      </c>
      <c r="W1139" s="2" t="s">
        <v>37</v>
      </c>
      <c r="X1139" s="2" t="s">
        <v>38</v>
      </c>
      <c r="Y1139" s="2" t="s">
        <v>38</v>
      </c>
      <c r="Z1139" s="2" t="s">
        <v>37</v>
      </c>
      <c r="AA1139" s="6">
        <v>3.1875291809999999</v>
      </c>
      <c r="AB1139" s="6">
        <v>2.7562175839999998</v>
      </c>
      <c r="AC1139" s="6">
        <v>2.9702399169999998</v>
      </c>
      <c r="AD1139" cm="1">
        <f t="array" ref="AD1139">IF(SUMPRODUCT(--($AM$2:$AM$112=TRIM(LEFT($B1139,IFERROR(FIND(" ",$B1139)-1,LEN($B1139))))))&gt;0,1,0)</f>
        <v>0</v>
      </c>
      <c r="AE1139" cm="1">
        <f t="array" ref="AE1139">IF(SUMPRODUCT(--($AO$2:$AO$145=TRIM(LEFT($B1139,IFERROR(FIND(" ",$B1139)-1,LEN($B1139))))))&gt;0,1,0)</f>
        <v>1</v>
      </c>
      <c r="AF1139" cm="1">
        <f t="array" ref="AF1139">IF(SUMPRODUCT(--($AQ$2:$AQ$71=TRIM(LEFT($B1139,IFERROR(FIND(" ",$B1139)-1,LEN($B1139))))))&gt;0,1,0)</f>
        <v>0</v>
      </c>
    </row>
    <row r="1140" spans="1:32" ht="60.75" thickBot="1" x14ac:dyDescent="0.3">
      <c r="A1140" s="13">
        <v>53</v>
      </c>
      <c r="B1140" s="4" t="s">
        <v>2115</v>
      </c>
      <c r="C1140" s="4" t="s">
        <v>967</v>
      </c>
      <c r="D1140" s="7">
        <v>42902</v>
      </c>
      <c r="E1140" s="3">
        <v>13605.36</v>
      </c>
      <c r="F1140" s="4" t="s">
        <v>30</v>
      </c>
      <c r="G1140" s="3">
        <v>10.88</v>
      </c>
      <c r="H1140" s="4" t="s">
        <v>127</v>
      </c>
      <c r="I1140" s="4" t="s">
        <v>365</v>
      </c>
      <c r="J1140" s="4" t="s">
        <v>366</v>
      </c>
      <c r="K1140" s="4"/>
      <c r="L1140" s="3">
        <v>400</v>
      </c>
      <c r="M1140" s="3">
        <v>19.149999999999999</v>
      </c>
      <c r="N1140" s="3">
        <v>13444.36</v>
      </c>
      <c r="O1140" s="4" t="s">
        <v>34</v>
      </c>
      <c r="P1140" s="4" t="s">
        <v>34</v>
      </c>
      <c r="Q1140" s="4" t="s">
        <v>35</v>
      </c>
      <c r="R1140" s="3">
        <v>16030</v>
      </c>
      <c r="S1140" s="3">
        <v>2.8633799999999998</v>
      </c>
      <c r="T1140" s="4" t="s">
        <v>43</v>
      </c>
      <c r="U1140" s="2" t="s">
        <v>37</v>
      </c>
      <c r="V1140" s="2" t="s">
        <v>37</v>
      </c>
      <c r="W1140" s="2" t="s">
        <v>37</v>
      </c>
      <c r="X1140" s="2" t="s">
        <v>37</v>
      </c>
      <c r="Y1140" s="2" t="s">
        <v>37</v>
      </c>
      <c r="Z1140" s="2" t="s">
        <v>37</v>
      </c>
      <c r="AA1140" s="6">
        <v>4.1337100380000003</v>
      </c>
      <c r="AB1140" s="6">
        <v>4.2049335220000001</v>
      </c>
      <c r="AC1140" s="6">
        <v>4.1285401329999996</v>
      </c>
      <c r="AD1140" cm="1">
        <f t="array" ref="AD1140">IF(SUMPRODUCT(--($AM$2:$AM$112=TRIM(LEFT($B1140,IFERROR(FIND(" ",$B1140)-1,LEN($B1140))))))&gt;0,1,0)</f>
        <v>0</v>
      </c>
      <c r="AE1140" cm="1">
        <f t="array" ref="AE1140">IF(SUMPRODUCT(--($AO$2:$AO$145=TRIM(LEFT($B1140,IFERROR(FIND(" ",$B1140)-1,LEN($B1140))))))&gt;0,1,0)</f>
        <v>0</v>
      </c>
      <c r="AF1140" cm="1">
        <f t="array" ref="AF1140">IF(SUMPRODUCT(--($AQ$2:$AQ$71=TRIM(LEFT($B1140,IFERROR(FIND(" ",$B1140)-1,LEN($B1140))))))&gt;0,1,0)</f>
        <v>0</v>
      </c>
    </row>
    <row r="1141" spans="1:32" ht="45.75" thickBot="1" x14ac:dyDescent="0.3">
      <c r="A1141" s="13">
        <v>74</v>
      </c>
      <c r="B1141" s="4" t="s">
        <v>2116</v>
      </c>
      <c r="C1141" s="4" t="s">
        <v>2117</v>
      </c>
      <c r="D1141" s="7">
        <v>42863</v>
      </c>
      <c r="E1141" s="3">
        <v>4034.62</v>
      </c>
      <c r="F1141" s="4" t="s">
        <v>46</v>
      </c>
      <c r="G1141" s="3">
        <v>13.64</v>
      </c>
      <c r="H1141" s="4" t="s">
        <v>51</v>
      </c>
      <c r="I1141" s="4" t="s">
        <v>51</v>
      </c>
      <c r="J1141" s="4" t="s">
        <v>79</v>
      </c>
      <c r="K1141" s="3">
        <v>15</v>
      </c>
      <c r="L1141" s="3">
        <v>38.5</v>
      </c>
      <c r="M1141" s="3">
        <v>14.09</v>
      </c>
      <c r="N1141" s="3">
        <v>2635.92</v>
      </c>
      <c r="O1141" s="4" t="s">
        <v>34</v>
      </c>
      <c r="P1141" s="4" t="s">
        <v>34</v>
      </c>
      <c r="Q1141" s="4" t="s">
        <v>35</v>
      </c>
      <c r="R1141" s="3">
        <v>340.60599999999999</v>
      </c>
      <c r="S1141" s="3">
        <v>59.466099999999997</v>
      </c>
      <c r="T1141" s="4" t="s">
        <v>43</v>
      </c>
      <c r="U1141" s="2" t="s">
        <v>37</v>
      </c>
      <c r="V1141" s="2" t="s">
        <v>37</v>
      </c>
      <c r="W1141" s="2" t="s">
        <v>37</v>
      </c>
      <c r="X1141" s="2" t="s">
        <v>37</v>
      </c>
      <c r="Y1141" s="2" t="s">
        <v>37</v>
      </c>
      <c r="Z1141" s="2" t="s">
        <v>37</v>
      </c>
      <c r="AA1141" s="6">
        <v>3.605802637</v>
      </c>
      <c r="AB1141" s="6">
        <v>2.5322522940000001</v>
      </c>
      <c r="AC1141" s="6">
        <v>3.420932225</v>
      </c>
      <c r="AD1141" cm="1">
        <f t="array" ref="AD1141">IF(SUMPRODUCT(--($AM$2:$AM$112=TRIM(LEFT($B1141,IFERROR(FIND(" ",$B1141)-1,LEN($B1141))))))&gt;0,1,0)</f>
        <v>0</v>
      </c>
      <c r="AE1141" cm="1">
        <f t="array" ref="AE1141">IF(SUMPRODUCT(--($AO$2:$AO$145=TRIM(LEFT($B1141,IFERROR(FIND(" ",$B1141)-1,LEN($B1141))))))&gt;0,1,0)</f>
        <v>0</v>
      </c>
      <c r="AF1141" cm="1">
        <f t="array" ref="AF1141">IF(SUMPRODUCT(--($AQ$2:$AQ$71=TRIM(LEFT($B1141,IFERROR(FIND(" ",$B1141)-1,LEN($B1141))))))&gt;0,1,0)</f>
        <v>0</v>
      </c>
    </row>
    <row r="1142" spans="1:32" ht="105.75" thickBot="1" x14ac:dyDescent="0.3">
      <c r="A1142" s="13">
        <v>32</v>
      </c>
      <c r="B1142" s="4" t="s">
        <v>2118</v>
      </c>
      <c r="C1142" s="4" t="s">
        <v>1422</v>
      </c>
      <c r="D1142" s="7">
        <v>42914</v>
      </c>
      <c r="E1142" s="3">
        <v>2000.93</v>
      </c>
      <c r="F1142" s="4" t="s">
        <v>30</v>
      </c>
      <c r="G1142" s="4"/>
      <c r="H1142" s="4" t="s">
        <v>41</v>
      </c>
      <c r="I1142" s="4" t="s">
        <v>41</v>
      </c>
      <c r="J1142" s="4" t="s">
        <v>60</v>
      </c>
      <c r="K1142" s="4"/>
      <c r="L1142" s="3">
        <v>61</v>
      </c>
      <c r="M1142" s="3">
        <v>33.15</v>
      </c>
      <c r="N1142" s="3">
        <v>1732.73</v>
      </c>
      <c r="O1142" s="4" t="s">
        <v>34</v>
      </c>
      <c r="P1142" s="4" t="s">
        <v>1021</v>
      </c>
      <c r="Q1142" s="4" t="s">
        <v>35</v>
      </c>
      <c r="R1142" s="3">
        <v>270.82299999999998</v>
      </c>
      <c r="S1142" s="3">
        <v>-19.217099999999999</v>
      </c>
      <c r="T1142" s="4" t="s">
        <v>964</v>
      </c>
      <c r="U1142" s="2" t="s">
        <v>37</v>
      </c>
      <c r="V1142" s="2" t="s">
        <v>37</v>
      </c>
      <c r="W1142" s="2" t="s">
        <v>38</v>
      </c>
      <c r="X1142" s="2" t="s">
        <v>37</v>
      </c>
      <c r="Y1142" s="2" t="s">
        <v>37</v>
      </c>
      <c r="Z1142" s="2" t="s">
        <v>38</v>
      </c>
      <c r="AA1142" s="6">
        <v>3.301231896</v>
      </c>
      <c r="AB1142" s="6">
        <v>2.432685545</v>
      </c>
      <c r="AC1142" s="6">
        <v>3.2387308950000002</v>
      </c>
      <c r="AD1142" cm="1">
        <f t="array" ref="AD1142">IF(SUMPRODUCT(--($AM$2:$AM$112=TRIM(LEFT($B1142,IFERROR(FIND(" ",$B1142)-1,LEN($B1142))))))&gt;0,1,0)</f>
        <v>0</v>
      </c>
      <c r="AE1142" cm="1">
        <f t="array" ref="AE1142">IF(SUMPRODUCT(--($AO$2:$AO$145=TRIM(LEFT($B1142,IFERROR(FIND(" ",$B1142)-1,LEN($B1142))))))&gt;0,1,0)</f>
        <v>0</v>
      </c>
      <c r="AF1142" cm="1">
        <f t="array" ref="AF1142">IF(SUMPRODUCT(--($AQ$2:$AQ$71=TRIM(LEFT($B1142,IFERROR(FIND(" ",$B1142)-1,LEN($B1142))))))&gt;0,1,0)</f>
        <v>0</v>
      </c>
    </row>
    <row r="1143" spans="1:32" ht="135.75" thickBot="1" x14ac:dyDescent="0.3">
      <c r="A1143" s="13">
        <v>82</v>
      </c>
      <c r="B1143" s="4" t="s">
        <v>2119</v>
      </c>
      <c r="C1143" s="2"/>
      <c r="D1143" s="7">
        <v>42835</v>
      </c>
      <c r="E1143" s="3">
        <v>1521.66</v>
      </c>
      <c r="F1143" s="4" t="s">
        <v>30</v>
      </c>
      <c r="G1143" s="3">
        <v>12.07</v>
      </c>
      <c r="H1143" s="4" t="s">
        <v>75</v>
      </c>
      <c r="I1143" s="4" t="s">
        <v>111</v>
      </c>
      <c r="J1143" s="4" t="s">
        <v>133</v>
      </c>
      <c r="K1143" s="3">
        <v>66.205100000000002</v>
      </c>
      <c r="L1143" s="3">
        <v>28.3736</v>
      </c>
      <c r="M1143" s="4"/>
      <c r="N1143" s="3">
        <v>944.68</v>
      </c>
      <c r="O1143" s="4" t="s">
        <v>34</v>
      </c>
      <c r="P1143" s="4" t="s">
        <v>34</v>
      </c>
      <c r="Q1143" s="4" t="s">
        <v>35</v>
      </c>
      <c r="R1143" s="3">
        <v>570.91200000000003</v>
      </c>
      <c r="S1143" s="3">
        <v>11.1182</v>
      </c>
      <c r="T1143" s="4" t="s">
        <v>312</v>
      </c>
      <c r="U1143" s="2" t="s">
        <v>37</v>
      </c>
      <c r="V1143" s="2" t="s">
        <v>37</v>
      </c>
      <c r="W1143" s="2" t="s">
        <v>37</v>
      </c>
      <c r="X1143" s="2" t="s">
        <v>38</v>
      </c>
      <c r="Y1143" s="2" t="s">
        <v>38</v>
      </c>
      <c r="Z1143" s="2" t="s">
        <v>37</v>
      </c>
      <c r="AA1143" s="6">
        <v>3.182317624</v>
      </c>
      <c r="AB1143" s="6">
        <v>2.7565691719999998</v>
      </c>
      <c r="AC1143" s="6">
        <v>2.975284721</v>
      </c>
      <c r="AD1143" cm="1">
        <f t="array" ref="AD1143">IF(SUMPRODUCT(--($AM$2:$AM$112=TRIM(LEFT($B1143,IFERROR(FIND(" ",$B1143)-1,LEN($B1143))))))&gt;0,1,0)</f>
        <v>0</v>
      </c>
      <c r="AE1143" cm="1">
        <f t="array" ref="AE1143">IF(SUMPRODUCT(--($AO$2:$AO$145=TRIM(LEFT($B1143,IFERROR(FIND(" ",$B1143)-1,LEN($B1143))))))&gt;0,1,0)</f>
        <v>0</v>
      </c>
      <c r="AF1143" cm="1">
        <f t="array" ref="AF1143">IF(SUMPRODUCT(--($AQ$2:$AQ$71=TRIM(LEFT($B1143,IFERROR(FIND(" ",$B1143)-1,LEN($B1143))))))&gt;0,1,0)</f>
        <v>0</v>
      </c>
    </row>
    <row r="1144" spans="1:32" ht="60.75" thickBot="1" x14ac:dyDescent="0.3">
      <c r="A1144" s="13">
        <v>92</v>
      </c>
      <c r="B1144" s="4" t="s">
        <v>2120</v>
      </c>
      <c r="C1144" s="4" t="s">
        <v>1758</v>
      </c>
      <c r="D1144" s="7">
        <v>42809</v>
      </c>
      <c r="E1144" s="3">
        <v>1328.9</v>
      </c>
      <c r="F1144" s="4" t="s">
        <v>30</v>
      </c>
      <c r="G1144" s="3">
        <v>2.36</v>
      </c>
      <c r="H1144" s="4" t="s">
        <v>65</v>
      </c>
      <c r="I1144" s="4" t="s">
        <v>138</v>
      </c>
      <c r="J1144" s="4" t="s">
        <v>203</v>
      </c>
      <c r="K1144" s="4"/>
      <c r="L1144" s="3">
        <v>45</v>
      </c>
      <c r="M1144" s="3">
        <v>42.27</v>
      </c>
      <c r="N1144" s="3">
        <v>1328.9</v>
      </c>
      <c r="O1144" s="4" t="s">
        <v>34</v>
      </c>
      <c r="P1144" s="4" t="s">
        <v>34</v>
      </c>
      <c r="Q1144" s="4" t="s">
        <v>399</v>
      </c>
      <c r="R1144" s="3">
        <v>2.14689</v>
      </c>
      <c r="S1144" s="2"/>
      <c r="T1144" s="4" t="s">
        <v>43</v>
      </c>
      <c r="U1144" s="2" t="s">
        <v>37</v>
      </c>
      <c r="V1144" s="2" t="s">
        <v>37</v>
      </c>
      <c r="W1144" s="2" t="s">
        <v>37</v>
      </c>
      <c r="X1144" s="2" t="s">
        <v>37</v>
      </c>
      <c r="Y1144" s="2" t="s">
        <v>37</v>
      </c>
      <c r="Z1144" s="2" t="s">
        <v>37</v>
      </c>
      <c r="AA1144" s="6">
        <v>3.1234923010000002</v>
      </c>
      <c r="AB1144" s="6">
        <v>0.33180979309999997</v>
      </c>
      <c r="AC1144" s="6">
        <v>3.1234923010000002</v>
      </c>
      <c r="AD1144" cm="1">
        <f t="array" ref="AD1144">IF(SUMPRODUCT(--($AM$2:$AM$112=TRIM(LEFT($B1144,IFERROR(FIND(" ",$B1144)-1,LEN($B1144))))))&gt;0,1,0)</f>
        <v>0</v>
      </c>
      <c r="AE1144" cm="1">
        <f t="array" ref="AE1144">IF(SUMPRODUCT(--($AO$2:$AO$145=TRIM(LEFT($B1144,IFERROR(FIND(" ",$B1144)-1,LEN($B1144))))))&gt;0,1,0)</f>
        <v>0</v>
      </c>
      <c r="AF1144" cm="1">
        <f t="array" ref="AF1144">IF(SUMPRODUCT(--($AQ$2:$AQ$71=TRIM(LEFT($B1144,IFERROR(FIND(" ",$B1144)-1,LEN($B1144))))))&gt;0,1,0)</f>
        <v>0</v>
      </c>
    </row>
    <row r="1145" spans="1:32" ht="165.75" thickBot="1" x14ac:dyDescent="0.3">
      <c r="A1145" s="13">
        <v>76</v>
      </c>
      <c r="B1145" s="4" t="s">
        <v>2121</v>
      </c>
      <c r="C1145" s="4" t="s">
        <v>1722</v>
      </c>
      <c r="D1145" s="7">
        <v>42830</v>
      </c>
      <c r="E1145" s="3">
        <v>7476.88</v>
      </c>
      <c r="F1145" s="4" t="s">
        <v>30</v>
      </c>
      <c r="G1145" s="3">
        <v>18.100000000000001</v>
      </c>
      <c r="H1145" s="4" t="s">
        <v>75</v>
      </c>
      <c r="I1145" s="4" t="s">
        <v>111</v>
      </c>
      <c r="J1145" s="4" t="s">
        <v>133</v>
      </c>
      <c r="K1145" s="4"/>
      <c r="L1145" s="3">
        <v>215</v>
      </c>
      <c r="M1145" s="4"/>
      <c r="N1145" s="3">
        <v>7156.8</v>
      </c>
      <c r="O1145" s="4" t="s">
        <v>34</v>
      </c>
      <c r="P1145" s="4" t="s">
        <v>1723</v>
      </c>
      <c r="Q1145" s="4" t="s">
        <v>35</v>
      </c>
      <c r="R1145" s="3">
        <v>2795.36</v>
      </c>
      <c r="S1145" s="3">
        <v>8.9729399999999995</v>
      </c>
      <c r="T1145" s="4" t="s">
        <v>726</v>
      </c>
      <c r="U1145" s="2" t="s">
        <v>37</v>
      </c>
      <c r="V1145" s="2" t="s">
        <v>37</v>
      </c>
      <c r="W1145" s="2" t="s">
        <v>38</v>
      </c>
      <c r="X1145" s="2" t="s">
        <v>38</v>
      </c>
      <c r="Y1145" s="2" t="s">
        <v>38</v>
      </c>
      <c r="Z1145" s="2" t="s">
        <v>37</v>
      </c>
      <c r="AA1145" s="6">
        <v>3.8737204109999999</v>
      </c>
      <c r="AB1145" s="6">
        <v>3.446437746</v>
      </c>
      <c r="AC1145" s="6">
        <v>3.8547188810000002</v>
      </c>
      <c r="AD1145" cm="1">
        <f t="array" ref="AD1145">IF(SUMPRODUCT(--($AM$2:$AM$112=TRIM(LEFT($B1145,IFERROR(FIND(" ",$B1145)-1,LEN($B1145))))))&gt;0,1,0)</f>
        <v>0</v>
      </c>
      <c r="AE1145" cm="1">
        <f t="array" ref="AE1145">IF(SUMPRODUCT(--($AO$2:$AO$145=TRIM(LEFT($B1145,IFERROR(FIND(" ",$B1145)-1,LEN($B1145))))))&gt;0,1,0)</f>
        <v>0</v>
      </c>
      <c r="AF1145" cm="1">
        <f t="array" ref="AF1145">IF(SUMPRODUCT(--($AQ$2:$AQ$71=TRIM(LEFT($B1145,IFERROR(FIND(" ",$B1145)-1,LEN($B1145))))))&gt;0,1,0)</f>
        <v>0</v>
      </c>
    </row>
    <row r="1146" spans="1:32" ht="75.75" thickBot="1" x14ac:dyDescent="0.3">
      <c r="A1146" s="13">
        <v>48</v>
      </c>
      <c r="B1146" s="4" t="s">
        <v>2122</v>
      </c>
      <c r="C1146" s="4" t="s">
        <v>2123</v>
      </c>
      <c r="D1146" s="7">
        <v>42863</v>
      </c>
      <c r="E1146" s="3">
        <v>2353.75</v>
      </c>
      <c r="F1146" s="4" t="s">
        <v>30</v>
      </c>
      <c r="G1146" s="3">
        <v>10.55</v>
      </c>
      <c r="H1146" s="4" t="s">
        <v>75</v>
      </c>
      <c r="I1146" s="4" t="s">
        <v>76</v>
      </c>
      <c r="J1146" s="4" t="s">
        <v>307</v>
      </c>
      <c r="K1146" s="4"/>
      <c r="L1146" s="3">
        <v>83.271000000000001</v>
      </c>
      <c r="M1146" s="3">
        <v>2.72</v>
      </c>
      <c r="N1146" s="3">
        <v>2383.5</v>
      </c>
      <c r="O1146" s="4" t="s">
        <v>34</v>
      </c>
      <c r="P1146" s="4" t="s">
        <v>34</v>
      </c>
      <c r="Q1146" s="4" t="s">
        <v>35</v>
      </c>
      <c r="R1146" s="3">
        <v>1381.48</v>
      </c>
      <c r="S1146" s="3">
        <v>12.536099999999999</v>
      </c>
      <c r="T1146" s="4" t="s">
        <v>88</v>
      </c>
      <c r="U1146" s="2" t="s">
        <v>37</v>
      </c>
      <c r="V1146" s="2" t="s">
        <v>37</v>
      </c>
      <c r="W1146" s="2" t="s">
        <v>37</v>
      </c>
      <c r="X1146" s="2" t="s">
        <v>37</v>
      </c>
      <c r="Y1146" s="2" t="s">
        <v>37</v>
      </c>
      <c r="Z1146" s="2" t="s">
        <v>38</v>
      </c>
      <c r="AA1146" s="6">
        <v>3.3717603330000001</v>
      </c>
      <c r="AB1146" s="6">
        <v>3.1403446019999999</v>
      </c>
      <c r="AC1146" s="6">
        <v>3.3772151560000001</v>
      </c>
      <c r="AD1146" cm="1">
        <f t="array" ref="AD1146">IF(SUMPRODUCT(--($AM$2:$AM$112=TRIM(LEFT($B1146,IFERROR(FIND(" ",$B1146)-1,LEN($B1146))))))&gt;0,1,0)</f>
        <v>0</v>
      </c>
      <c r="AE1146" cm="1">
        <f t="array" ref="AE1146">IF(SUMPRODUCT(--($AO$2:$AO$145=TRIM(LEFT($B1146,IFERROR(FIND(" ",$B1146)-1,LEN($B1146))))))&gt;0,1,0)</f>
        <v>0</v>
      </c>
      <c r="AF1146" cm="1">
        <f t="array" ref="AF1146">IF(SUMPRODUCT(--($AQ$2:$AQ$71=TRIM(LEFT($B1146,IFERROR(FIND(" ",$B1146)-1,LEN($B1146))))))&gt;0,1,0)</f>
        <v>0</v>
      </c>
    </row>
    <row r="1147" spans="1:32" ht="75.75" thickBot="1" x14ac:dyDescent="0.3">
      <c r="A1147" s="13">
        <v>30</v>
      </c>
      <c r="B1147" s="4" t="s">
        <v>2124</v>
      </c>
      <c r="C1147" s="4" t="s">
        <v>1685</v>
      </c>
      <c r="D1147" s="7">
        <v>42884</v>
      </c>
      <c r="E1147" s="3">
        <v>588.58000000000004</v>
      </c>
      <c r="F1147" s="4" t="s">
        <v>30</v>
      </c>
      <c r="G1147" s="4"/>
      <c r="H1147" s="4" t="s">
        <v>65</v>
      </c>
      <c r="I1147" s="4" t="s">
        <v>138</v>
      </c>
      <c r="J1147" s="4" t="s">
        <v>139</v>
      </c>
      <c r="K1147" s="3">
        <v>35</v>
      </c>
      <c r="L1147" s="3">
        <v>18</v>
      </c>
      <c r="M1147" s="3">
        <v>8.58</v>
      </c>
      <c r="N1147" s="3">
        <v>467.82</v>
      </c>
      <c r="O1147" s="4" t="s">
        <v>34</v>
      </c>
      <c r="P1147" s="4" t="s">
        <v>34</v>
      </c>
      <c r="Q1147" s="4" t="s">
        <v>35</v>
      </c>
      <c r="R1147" s="3">
        <v>589.32000000000005</v>
      </c>
      <c r="S1147" s="2"/>
      <c r="T1147" s="4" t="s">
        <v>88</v>
      </c>
      <c r="U1147" s="2" t="s">
        <v>37</v>
      </c>
      <c r="V1147" s="2" t="s">
        <v>37</v>
      </c>
      <c r="W1147" s="2" t="s">
        <v>37</v>
      </c>
      <c r="X1147" s="2" t="s">
        <v>37</v>
      </c>
      <c r="Y1147" s="2" t="s">
        <v>37</v>
      </c>
      <c r="Z1147" s="2" t="s">
        <v>38</v>
      </c>
      <c r="AA1147" s="6">
        <v>2.769805501</v>
      </c>
      <c r="AB1147" s="6">
        <v>2.77035118</v>
      </c>
      <c r="AC1147" s="6">
        <v>2.6700787849999998</v>
      </c>
      <c r="AD1147" cm="1">
        <f t="array" ref="AD1147">IF(SUMPRODUCT(--($AM$2:$AM$112=TRIM(LEFT($B1147,IFERROR(FIND(" ",$B1147)-1,LEN($B1147))))))&gt;0,1,0)</f>
        <v>0</v>
      </c>
      <c r="AE1147" cm="1">
        <f t="array" ref="AE1147">IF(SUMPRODUCT(--($AO$2:$AO$145=TRIM(LEFT($B1147,IFERROR(FIND(" ",$B1147)-1,LEN($B1147))))))&gt;0,1,0)</f>
        <v>0</v>
      </c>
      <c r="AF1147" cm="1">
        <f t="array" ref="AF1147">IF(SUMPRODUCT(--($AQ$2:$AQ$71=TRIM(LEFT($B1147,IFERROR(FIND(" ",$B1147)-1,LEN($B1147))))))&gt;0,1,0)</f>
        <v>0</v>
      </c>
    </row>
    <row r="1148" spans="1:32" ht="135.75" thickBot="1" x14ac:dyDescent="0.3">
      <c r="A1148" s="13">
        <v>51</v>
      </c>
      <c r="B1148" s="4" t="s">
        <v>2125</v>
      </c>
      <c r="C1148" s="2"/>
      <c r="D1148" s="7">
        <v>42852</v>
      </c>
      <c r="E1148" s="3">
        <v>595.6</v>
      </c>
      <c r="F1148" s="4" t="s">
        <v>30</v>
      </c>
      <c r="G1148" s="3">
        <v>90.77</v>
      </c>
      <c r="H1148" s="4" t="s">
        <v>47</v>
      </c>
      <c r="I1148" s="4" t="s">
        <v>47</v>
      </c>
      <c r="J1148" s="4" t="s">
        <v>212</v>
      </c>
      <c r="K1148" s="4"/>
      <c r="L1148" s="4"/>
      <c r="M1148" s="3">
        <v>90.33</v>
      </c>
      <c r="N1148" s="3">
        <v>364.29</v>
      </c>
      <c r="O1148" s="4" t="s">
        <v>49</v>
      </c>
      <c r="P1148" s="4" t="s">
        <v>34</v>
      </c>
      <c r="Q1148" s="4" t="s">
        <v>35</v>
      </c>
      <c r="R1148" s="3">
        <v>1402.57</v>
      </c>
      <c r="S1148" s="3">
        <v>-1.3668899999999999</v>
      </c>
      <c r="T1148" s="4" t="s">
        <v>1254</v>
      </c>
      <c r="U1148" s="2" t="s">
        <v>37</v>
      </c>
      <c r="V1148" s="2" t="s">
        <v>37</v>
      </c>
      <c r="W1148" s="2" t="s">
        <v>37</v>
      </c>
      <c r="X1148" s="2" t="s">
        <v>38</v>
      </c>
      <c r="Y1148" s="2" t="s">
        <v>38</v>
      </c>
      <c r="Z1148" s="2" t="s">
        <v>37</v>
      </c>
      <c r="AA1148" s="6">
        <v>2.7749546889999999</v>
      </c>
      <c r="AB1148" s="6">
        <v>3.1469245450000001</v>
      </c>
      <c r="AC1148" s="6">
        <v>2.5614472500000001</v>
      </c>
      <c r="AD1148" cm="1">
        <f t="array" ref="AD1148">IF(SUMPRODUCT(--($AM$2:$AM$112=TRIM(LEFT($B1148,IFERROR(FIND(" ",$B1148)-1,LEN($B1148))))))&gt;0,1,0)</f>
        <v>0</v>
      </c>
      <c r="AE1148" cm="1">
        <f t="array" ref="AE1148">IF(SUMPRODUCT(--($AO$2:$AO$145=TRIM(LEFT($B1148,IFERROR(FIND(" ",$B1148)-1,LEN($B1148))))))&gt;0,1,0)</f>
        <v>0</v>
      </c>
      <c r="AF1148" cm="1">
        <f t="array" ref="AF1148">IF(SUMPRODUCT(--($AQ$2:$AQ$71=TRIM(LEFT($B1148,IFERROR(FIND(" ",$B1148)-1,LEN($B1148))))))&gt;0,1,0)</f>
        <v>0</v>
      </c>
    </row>
    <row r="1149" spans="1:32" ht="270.75" thickBot="1" x14ac:dyDescent="0.3">
      <c r="A1149" s="13">
        <v>59</v>
      </c>
      <c r="B1149" s="4" t="s">
        <v>2126</v>
      </c>
      <c r="C1149" s="2"/>
      <c r="D1149" s="7">
        <v>42838</v>
      </c>
      <c r="E1149" s="3">
        <v>624.08000000000004</v>
      </c>
      <c r="F1149" s="4" t="s">
        <v>30</v>
      </c>
      <c r="G1149" s="3">
        <v>7.83</v>
      </c>
      <c r="H1149" s="4" t="s">
        <v>184</v>
      </c>
      <c r="I1149" s="4" t="s">
        <v>185</v>
      </c>
      <c r="J1149" s="4" t="s">
        <v>186</v>
      </c>
      <c r="K1149" s="4"/>
      <c r="L1149" s="4"/>
      <c r="M1149" s="4"/>
      <c r="N1149" s="3">
        <v>23.5</v>
      </c>
      <c r="O1149" s="4" t="s">
        <v>34</v>
      </c>
      <c r="P1149" s="4" t="s">
        <v>34</v>
      </c>
      <c r="Q1149" s="4" t="s">
        <v>35</v>
      </c>
      <c r="R1149" s="3">
        <v>465.274</v>
      </c>
      <c r="S1149" s="3">
        <v>3.7403400000000002</v>
      </c>
      <c r="T1149" s="4" t="s">
        <v>2127</v>
      </c>
      <c r="U1149" s="2" t="s">
        <v>38</v>
      </c>
      <c r="V1149" s="2" t="s">
        <v>37</v>
      </c>
      <c r="W1149" s="2" t="s">
        <v>38</v>
      </c>
      <c r="X1149" s="2" t="s">
        <v>38</v>
      </c>
      <c r="Y1149" s="2" t="s">
        <v>38</v>
      </c>
      <c r="Z1149" s="2" t="s">
        <v>37</v>
      </c>
      <c r="AA1149" s="6">
        <v>2.7952402649999999</v>
      </c>
      <c r="AB1149" s="6">
        <v>2.6677087840000002</v>
      </c>
      <c r="AC1149" s="6">
        <v>1.3710678620000001</v>
      </c>
      <c r="AD1149" cm="1">
        <f t="array" ref="AD1149">IF(SUMPRODUCT(--($AM$2:$AM$112=TRIM(LEFT($B1149,IFERROR(FIND(" ",$B1149)-1,LEN($B1149))))))&gt;0,1,0)</f>
        <v>0</v>
      </c>
      <c r="AE1149" cm="1">
        <f t="array" ref="AE1149">IF(SUMPRODUCT(--($AO$2:$AO$145=TRIM(LEFT($B1149,IFERROR(FIND(" ",$B1149)-1,LEN($B1149))))))&gt;0,1,0)</f>
        <v>0</v>
      </c>
      <c r="AF1149" cm="1">
        <f t="array" ref="AF1149">IF(SUMPRODUCT(--($AQ$2:$AQ$71=TRIM(LEFT($B1149,IFERROR(FIND(" ",$B1149)-1,LEN($B1149))))))&gt;0,1,0)</f>
        <v>0</v>
      </c>
    </row>
    <row r="1150" spans="1:32" ht="120.75" thickBot="1" x14ac:dyDescent="0.3">
      <c r="A1150" s="13">
        <v>109</v>
      </c>
      <c r="B1150" s="4" t="s">
        <v>2128</v>
      </c>
      <c r="C1150" s="4" t="s">
        <v>558</v>
      </c>
      <c r="D1150" s="7">
        <v>42767</v>
      </c>
      <c r="E1150" s="3">
        <v>17377.650000000001</v>
      </c>
      <c r="F1150" s="4" t="s">
        <v>46</v>
      </c>
      <c r="G1150" s="3">
        <v>11.54</v>
      </c>
      <c r="H1150" s="4" t="s">
        <v>118</v>
      </c>
      <c r="I1150" s="4" t="s">
        <v>119</v>
      </c>
      <c r="J1150" s="4" t="s">
        <v>120</v>
      </c>
      <c r="K1150" s="3">
        <v>300</v>
      </c>
      <c r="L1150" s="3">
        <v>300</v>
      </c>
      <c r="M1150" s="3">
        <v>25.62</v>
      </c>
      <c r="N1150" s="3">
        <v>9540.36</v>
      </c>
      <c r="O1150" s="4" t="s">
        <v>34</v>
      </c>
      <c r="P1150" s="4" t="s">
        <v>34</v>
      </c>
      <c r="Q1150" s="4" t="s">
        <v>35</v>
      </c>
      <c r="R1150" s="3">
        <v>8918.4599999999991</v>
      </c>
      <c r="S1150" s="3">
        <v>13.3653</v>
      </c>
      <c r="T1150" s="4" t="s">
        <v>321</v>
      </c>
      <c r="U1150" s="2" t="s">
        <v>38</v>
      </c>
      <c r="V1150" s="2" t="s">
        <v>37</v>
      </c>
      <c r="W1150" s="2" t="s">
        <v>37</v>
      </c>
      <c r="X1150" s="2" t="s">
        <v>37</v>
      </c>
      <c r="Y1150" s="2" t="s">
        <v>37</v>
      </c>
      <c r="Z1150" s="2" t="s">
        <v>37</v>
      </c>
      <c r="AA1150" s="6">
        <v>4.2399910460000001</v>
      </c>
      <c r="AB1150" s="6">
        <v>3.9502898690000001</v>
      </c>
      <c r="AC1150" s="6">
        <v>3.9795647629999999</v>
      </c>
      <c r="AD1150" cm="1">
        <f t="array" ref="AD1150">IF(SUMPRODUCT(--($AM$2:$AM$112=TRIM(LEFT($B1150,IFERROR(FIND(" ",$B1150)-1,LEN($B1150))))))&gt;0,1,0)</f>
        <v>0</v>
      </c>
      <c r="AE1150" cm="1">
        <f t="array" ref="AE1150">IF(SUMPRODUCT(--($AO$2:$AO$145=TRIM(LEFT($B1150,IFERROR(FIND(" ",$B1150)-1,LEN($B1150))))))&gt;0,1,0)</f>
        <v>0</v>
      </c>
      <c r="AF1150" cm="1">
        <f t="array" ref="AF1150">IF(SUMPRODUCT(--($AQ$2:$AQ$71=TRIM(LEFT($B1150,IFERROR(FIND(" ",$B1150)-1,LEN($B1150))))))&gt;0,1,0)</f>
        <v>0</v>
      </c>
    </row>
    <row r="1151" spans="1:32" ht="135.75" thickBot="1" x14ac:dyDescent="0.3">
      <c r="A1151" s="13">
        <v>60</v>
      </c>
      <c r="B1151" s="4" t="s">
        <v>2129</v>
      </c>
      <c r="C1151" s="4" t="s">
        <v>1359</v>
      </c>
      <c r="D1151" s="7">
        <v>42825</v>
      </c>
      <c r="E1151" s="3">
        <v>615.82000000000005</v>
      </c>
      <c r="F1151" s="4" t="s">
        <v>30</v>
      </c>
      <c r="G1151" s="3">
        <v>12.77</v>
      </c>
      <c r="H1151" s="4" t="s">
        <v>70</v>
      </c>
      <c r="I1151" s="4" t="s">
        <v>94</v>
      </c>
      <c r="J1151" s="4" t="s">
        <v>170</v>
      </c>
      <c r="K1151" s="4"/>
      <c r="L1151" s="3">
        <v>19.399999999999999</v>
      </c>
      <c r="M1151" s="4"/>
      <c r="N1151" s="3">
        <v>554.49</v>
      </c>
      <c r="O1151" s="4" t="s">
        <v>34</v>
      </c>
      <c r="P1151" s="4" t="s">
        <v>34</v>
      </c>
      <c r="Q1151" s="4" t="s">
        <v>35</v>
      </c>
      <c r="R1151" s="3">
        <v>620.86400000000003</v>
      </c>
      <c r="S1151" s="3">
        <v>4.0965400000000001</v>
      </c>
      <c r="T1151" s="4" t="s">
        <v>312</v>
      </c>
      <c r="U1151" s="2" t="s">
        <v>37</v>
      </c>
      <c r="V1151" s="2" t="s">
        <v>37</v>
      </c>
      <c r="W1151" s="2" t="s">
        <v>37</v>
      </c>
      <c r="X1151" s="2" t="s">
        <v>38</v>
      </c>
      <c r="Y1151" s="2" t="s">
        <v>38</v>
      </c>
      <c r="Z1151" s="2" t="s">
        <v>37</v>
      </c>
      <c r="AA1151" s="6">
        <v>2.789453789</v>
      </c>
      <c r="AB1151" s="6">
        <v>2.7929964790000001</v>
      </c>
      <c r="AC1151" s="6">
        <v>2.7438937179999998</v>
      </c>
      <c r="AD1151" cm="1">
        <f t="array" ref="AD1151">IF(SUMPRODUCT(--($AM$2:$AM$112=TRIM(LEFT($B1151,IFERROR(FIND(" ",$B1151)-1,LEN($B1151))))))&gt;0,1,0)</f>
        <v>0</v>
      </c>
      <c r="AE1151" cm="1">
        <f t="array" ref="AE1151">IF(SUMPRODUCT(--($AO$2:$AO$145=TRIM(LEFT($B1151,IFERROR(FIND(" ",$B1151)-1,LEN($B1151))))))&gt;0,1,0)</f>
        <v>0</v>
      </c>
      <c r="AF1151" cm="1">
        <f t="array" ref="AF1151">IF(SUMPRODUCT(--($AQ$2:$AQ$71=TRIM(LEFT($B1151,IFERROR(FIND(" ",$B1151)-1,LEN($B1151))))))&gt;0,1,0)</f>
        <v>0</v>
      </c>
    </row>
    <row r="1152" spans="1:32" ht="135.75" thickBot="1" x14ac:dyDescent="0.3">
      <c r="A1152" s="13">
        <v>70</v>
      </c>
      <c r="B1152" s="4" t="s">
        <v>2130</v>
      </c>
      <c r="C1152" s="4" t="s">
        <v>695</v>
      </c>
      <c r="D1152" s="7">
        <v>42807</v>
      </c>
      <c r="E1152" s="3">
        <v>3431.48</v>
      </c>
      <c r="F1152" s="4" t="s">
        <v>30</v>
      </c>
      <c r="G1152" s="3">
        <v>15.5</v>
      </c>
      <c r="H1152" s="4" t="s">
        <v>31</v>
      </c>
      <c r="I1152" s="4" t="s">
        <v>32</v>
      </c>
      <c r="J1152" s="4" t="s">
        <v>33</v>
      </c>
      <c r="K1152" s="4"/>
      <c r="L1152" s="4"/>
      <c r="M1152" s="3">
        <v>8.66</v>
      </c>
      <c r="N1152" s="3">
        <v>2028.04</v>
      </c>
      <c r="O1152" s="4" t="s">
        <v>49</v>
      </c>
      <c r="P1152" s="4" t="s">
        <v>34</v>
      </c>
      <c r="Q1152" s="4" t="s">
        <v>35</v>
      </c>
      <c r="R1152" s="3">
        <v>1268.8800000000001</v>
      </c>
      <c r="S1152" s="3">
        <v>-1.2124999999999999</v>
      </c>
      <c r="T1152" s="4" t="s">
        <v>1483</v>
      </c>
      <c r="U1152" s="2" t="s">
        <v>37</v>
      </c>
      <c r="V1152" s="2" t="s">
        <v>37</v>
      </c>
      <c r="W1152" s="2" t="s">
        <v>38</v>
      </c>
      <c r="X1152" s="2" t="s">
        <v>37</v>
      </c>
      <c r="Y1152" s="2" t="s">
        <v>38</v>
      </c>
      <c r="Z1152" s="2" t="s">
        <v>37</v>
      </c>
      <c r="AA1152" s="6">
        <v>3.5354814719999998</v>
      </c>
      <c r="AB1152" s="6">
        <v>3.1034205520000002</v>
      </c>
      <c r="AC1152" s="6">
        <v>3.307076517</v>
      </c>
      <c r="AD1152" cm="1">
        <f t="array" ref="AD1152">IF(SUMPRODUCT(--($AM$2:$AM$112=TRIM(LEFT($B1152,IFERROR(FIND(" ",$B1152)-1,LEN($B1152))))))&gt;0,1,0)</f>
        <v>0</v>
      </c>
      <c r="AE1152" cm="1">
        <f t="array" ref="AE1152">IF(SUMPRODUCT(--($AO$2:$AO$145=TRIM(LEFT($B1152,IFERROR(FIND(" ",$B1152)-1,LEN($B1152))))))&gt;0,1,0)</f>
        <v>0</v>
      </c>
      <c r="AF1152" cm="1">
        <f t="array" ref="AF1152">IF(SUMPRODUCT(--($AQ$2:$AQ$71=TRIM(LEFT($B1152,IFERROR(FIND(" ",$B1152)-1,LEN($B1152))))))&gt;0,1,0)</f>
        <v>0</v>
      </c>
    </row>
    <row r="1153" spans="1:32" ht="45.75" thickBot="1" x14ac:dyDescent="0.3">
      <c r="A1153" s="13">
        <v>105</v>
      </c>
      <c r="B1153" s="4" t="s">
        <v>2131</v>
      </c>
      <c r="C1153" s="4" t="s">
        <v>264</v>
      </c>
      <c r="D1153" s="7">
        <v>42757</v>
      </c>
      <c r="E1153" s="3">
        <v>2033.91</v>
      </c>
      <c r="F1153" s="4" t="s">
        <v>46</v>
      </c>
      <c r="G1153" s="4"/>
      <c r="H1153" s="4" t="s">
        <v>65</v>
      </c>
      <c r="I1153" s="4" t="s">
        <v>66</v>
      </c>
      <c r="J1153" s="4" t="s">
        <v>66</v>
      </c>
      <c r="K1153" s="3">
        <v>66</v>
      </c>
      <c r="L1153" s="3">
        <v>66</v>
      </c>
      <c r="M1153" s="4"/>
      <c r="N1153" s="3">
        <v>2033.91</v>
      </c>
      <c r="O1153" s="4" t="s">
        <v>34</v>
      </c>
      <c r="P1153" s="4" t="s">
        <v>34</v>
      </c>
      <c r="Q1153" s="4" t="s">
        <v>35</v>
      </c>
      <c r="R1153" s="3">
        <v>287.66899999999998</v>
      </c>
      <c r="S1153" s="3">
        <v>33.1387</v>
      </c>
      <c r="T1153" s="4" t="s">
        <v>43</v>
      </c>
      <c r="U1153" s="2" t="s">
        <v>37</v>
      </c>
      <c r="V1153" s="2" t="s">
        <v>37</v>
      </c>
      <c r="W1153" s="2" t="s">
        <v>37</v>
      </c>
      <c r="X1153" s="2" t="s">
        <v>37</v>
      </c>
      <c r="Y1153" s="2" t="s">
        <v>37</v>
      </c>
      <c r="Z1153" s="2" t="s">
        <v>37</v>
      </c>
      <c r="AA1153" s="6">
        <v>3.3083317320000001</v>
      </c>
      <c r="AB1153" s="6">
        <v>2.4588930640000002</v>
      </c>
      <c r="AC1153" s="6">
        <v>3.3083317320000001</v>
      </c>
      <c r="AD1153" cm="1">
        <f t="array" ref="AD1153">IF(SUMPRODUCT(--($AM$2:$AM$112=TRIM(LEFT($B1153,IFERROR(FIND(" ",$B1153)-1,LEN($B1153))))))&gt;0,1,0)</f>
        <v>0</v>
      </c>
      <c r="AE1153" cm="1">
        <f t="array" ref="AE1153">IF(SUMPRODUCT(--($AO$2:$AO$145=TRIM(LEFT($B1153,IFERROR(FIND(" ",$B1153)-1,LEN($B1153))))))&gt;0,1,0)</f>
        <v>0</v>
      </c>
      <c r="AF1153" cm="1">
        <f t="array" ref="AF1153">IF(SUMPRODUCT(--($AQ$2:$AQ$71=TRIM(LEFT($B1153,IFERROR(FIND(" ",$B1153)-1,LEN($B1153))))))&gt;0,1,0)</f>
        <v>0</v>
      </c>
    </row>
    <row r="1154" spans="1:32" ht="75.75" thickBot="1" x14ac:dyDescent="0.3">
      <c r="A1154" s="13">
        <v>90</v>
      </c>
      <c r="B1154" s="4" t="s">
        <v>2132</v>
      </c>
      <c r="C1154" s="4" t="s">
        <v>2133</v>
      </c>
      <c r="D1154" s="7">
        <v>42776</v>
      </c>
      <c r="E1154" s="3">
        <v>17809.810000000001</v>
      </c>
      <c r="F1154" s="4" t="s">
        <v>30</v>
      </c>
      <c r="G1154" s="3">
        <v>19.39</v>
      </c>
      <c r="H1154" s="4" t="s">
        <v>127</v>
      </c>
      <c r="I1154" s="4" t="s">
        <v>128</v>
      </c>
      <c r="J1154" s="4" t="s">
        <v>129</v>
      </c>
      <c r="K1154" s="3">
        <v>480</v>
      </c>
      <c r="L1154" s="4"/>
      <c r="M1154" s="3">
        <v>18.47</v>
      </c>
      <c r="N1154" s="3">
        <v>16625.11</v>
      </c>
      <c r="O1154" s="4" t="s">
        <v>34</v>
      </c>
      <c r="P1154" s="4" t="s">
        <v>166</v>
      </c>
      <c r="Q1154" s="4" t="s">
        <v>35</v>
      </c>
      <c r="R1154" s="3">
        <v>3742.7</v>
      </c>
      <c r="S1154" s="3">
        <v>22.4803</v>
      </c>
      <c r="T1154" s="4" t="s">
        <v>97</v>
      </c>
      <c r="U1154" s="2" t="s">
        <v>37</v>
      </c>
      <c r="V1154" s="2" t="s">
        <v>37</v>
      </c>
      <c r="W1154" s="2" t="s">
        <v>38</v>
      </c>
      <c r="X1154" s="2" t="s">
        <v>37</v>
      </c>
      <c r="Y1154" s="2" t="s">
        <v>37</v>
      </c>
      <c r="Z1154" s="2" t="s">
        <v>37</v>
      </c>
      <c r="AA1154" s="6">
        <v>4.2506592860000003</v>
      </c>
      <c r="AB1154" s="6">
        <v>3.5731850170000001</v>
      </c>
      <c r="AC1154" s="6">
        <v>4.220764527</v>
      </c>
      <c r="AD1154" cm="1">
        <f t="array" ref="AD1154">IF(SUMPRODUCT(--($AM$2:$AM$112=TRIM(LEFT($B1154,IFERROR(FIND(" ",$B1154)-1,LEN($B1154))))))&gt;0,1,0)</f>
        <v>1</v>
      </c>
      <c r="AE1154" cm="1">
        <f t="array" ref="AE1154">IF(SUMPRODUCT(--($AO$2:$AO$145=TRIM(LEFT($B1154,IFERROR(FIND(" ",$B1154)-1,LEN($B1154))))))&gt;0,1,0)</f>
        <v>0</v>
      </c>
      <c r="AF1154" cm="1">
        <f t="array" ref="AF1154">IF(SUMPRODUCT(--($AQ$2:$AQ$71=TRIM(LEFT($B1154,IFERROR(FIND(" ",$B1154)-1,LEN($B1154))))))&gt;0,1,0)</f>
        <v>0</v>
      </c>
    </row>
    <row r="1155" spans="1:32" ht="75.75" thickBot="1" x14ac:dyDescent="0.3">
      <c r="A1155" s="13">
        <v>33</v>
      </c>
      <c r="B1155" s="4" t="s">
        <v>2134</v>
      </c>
      <c r="C1155" s="4" t="s">
        <v>2135</v>
      </c>
      <c r="D1155" s="7">
        <v>42850</v>
      </c>
      <c r="E1155" s="3">
        <v>4140.75</v>
      </c>
      <c r="F1155" s="4" t="s">
        <v>30</v>
      </c>
      <c r="G1155" s="3">
        <v>15.55</v>
      </c>
      <c r="H1155" s="4" t="s">
        <v>70</v>
      </c>
      <c r="I1155" s="4" t="s">
        <v>94</v>
      </c>
      <c r="J1155" s="4" t="s">
        <v>95</v>
      </c>
      <c r="K1155" s="4"/>
      <c r="L1155" s="3">
        <v>100</v>
      </c>
      <c r="M1155" s="3">
        <v>26.4</v>
      </c>
      <c r="N1155" s="3">
        <v>3166.26</v>
      </c>
      <c r="O1155" s="4" t="s">
        <v>34</v>
      </c>
      <c r="P1155" s="4" t="s">
        <v>34</v>
      </c>
      <c r="Q1155" s="4" t="s">
        <v>35</v>
      </c>
      <c r="R1155" s="3">
        <v>1568.26</v>
      </c>
      <c r="S1155" s="3">
        <v>12.7418</v>
      </c>
      <c r="T1155" s="4" t="s">
        <v>88</v>
      </c>
      <c r="U1155" s="2" t="s">
        <v>37</v>
      </c>
      <c r="V1155" s="2" t="s">
        <v>37</v>
      </c>
      <c r="W1155" s="2" t="s">
        <v>37</v>
      </c>
      <c r="X1155" s="2" t="s">
        <v>37</v>
      </c>
      <c r="Y1155" s="2" t="s">
        <v>37</v>
      </c>
      <c r="Z1155" s="2" t="s">
        <v>38</v>
      </c>
      <c r="AA1155" s="6">
        <v>3.617079011</v>
      </c>
      <c r="AB1155" s="6">
        <v>3.1954180650000001</v>
      </c>
      <c r="AC1155" s="6">
        <v>3.5005465739999999</v>
      </c>
      <c r="AD1155" cm="1">
        <f t="array" ref="AD1155">IF(SUMPRODUCT(--($AM$2:$AM$112=TRIM(LEFT($B1155,IFERROR(FIND(" ",$B1155)-1,LEN($B1155))))))&gt;0,1,0)</f>
        <v>0</v>
      </c>
      <c r="AE1155" cm="1">
        <f t="array" ref="AE1155">IF(SUMPRODUCT(--($AO$2:$AO$145=TRIM(LEFT($B1155,IFERROR(FIND(" ",$B1155)-1,LEN($B1155))))))&gt;0,1,0)</f>
        <v>0</v>
      </c>
      <c r="AF1155" cm="1">
        <f t="array" ref="AF1155">IF(SUMPRODUCT(--($AQ$2:$AQ$71=TRIM(LEFT($B1155,IFERROR(FIND(" ",$B1155)-1,LEN($B1155))))))&gt;0,1,0)</f>
        <v>0</v>
      </c>
    </row>
    <row r="1156" spans="1:32" ht="45.75" thickBot="1" x14ac:dyDescent="0.3">
      <c r="A1156" s="13">
        <v>57</v>
      </c>
      <c r="B1156" s="4" t="s">
        <v>2136</v>
      </c>
      <c r="C1156" s="4" t="s">
        <v>2137</v>
      </c>
      <c r="D1156" s="7">
        <v>42816</v>
      </c>
      <c r="E1156" s="3">
        <v>513.34</v>
      </c>
      <c r="F1156" s="4" t="s">
        <v>46</v>
      </c>
      <c r="G1156" s="4"/>
      <c r="H1156" s="4" t="s">
        <v>118</v>
      </c>
      <c r="I1156" s="4" t="s">
        <v>119</v>
      </c>
      <c r="J1156" s="4" t="s">
        <v>355</v>
      </c>
      <c r="K1156" s="4"/>
      <c r="L1156" s="4"/>
      <c r="M1156" s="3">
        <v>36.08</v>
      </c>
      <c r="N1156" s="3">
        <v>492.54</v>
      </c>
      <c r="O1156" s="4" t="s">
        <v>49</v>
      </c>
      <c r="P1156" s="4" t="s">
        <v>49</v>
      </c>
      <c r="Q1156" s="4" t="s">
        <v>35</v>
      </c>
      <c r="R1156" s="3">
        <v>180.95599999999999</v>
      </c>
      <c r="S1156" s="3">
        <v>-19.671399999999998</v>
      </c>
      <c r="T1156" s="4" t="s">
        <v>43</v>
      </c>
      <c r="U1156" s="2" t="s">
        <v>37</v>
      </c>
      <c r="V1156" s="2" t="s">
        <v>37</v>
      </c>
      <c r="W1156" s="2" t="s">
        <v>37</v>
      </c>
      <c r="X1156" s="2" t="s">
        <v>37</v>
      </c>
      <c r="Y1156" s="2" t="s">
        <v>37</v>
      </c>
      <c r="Z1156" s="2" t="s">
        <v>37</v>
      </c>
      <c r="AA1156" s="6">
        <v>2.7104051060000001</v>
      </c>
      <c r="AB1156" s="6">
        <v>2.2575729880000002</v>
      </c>
      <c r="AC1156" s="6">
        <v>2.6924415060000002</v>
      </c>
      <c r="AD1156" cm="1">
        <f t="array" ref="AD1156">IF(SUMPRODUCT(--($AM$2:$AM$112=TRIM(LEFT($B1156,IFERROR(FIND(" ",$B1156)-1,LEN($B1156))))))&gt;0,1,0)</f>
        <v>0</v>
      </c>
      <c r="AE1156" cm="1">
        <f t="array" ref="AE1156">IF(SUMPRODUCT(--($AO$2:$AO$145=TRIM(LEFT($B1156,IFERROR(FIND(" ",$B1156)-1,LEN($B1156))))))&gt;0,1,0)</f>
        <v>0</v>
      </c>
      <c r="AF1156" cm="1">
        <f t="array" ref="AF1156">IF(SUMPRODUCT(--($AQ$2:$AQ$71=TRIM(LEFT($B1156,IFERROR(FIND(" ",$B1156)-1,LEN($B1156))))))&gt;0,1,0)</f>
        <v>0</v>
      </c>
    </row>
    <row r="1157" spans="1:32" ht="60.75" thickBot="1" x14ac:dyDescent="0.3">
      <c r="A1157" s="13">
        <v>97</v>
      </c>
      <c r="B1157" s="4" t="s">
        <v>2138</v>
      </c>
      <c r="C1157" s="4" t="s">
        <v>685</v>
      </c>
      <c r="D1157" s="7">
        <v>42759</v>
      </c>
      <c r="E1157" s="3">
        <v>2267.15</v>
      </c>
      <c r="F1157" s="4" t="s">
        <v>30</v>
      </c>
      <c r="G1157" s="3">
        <v>10.91</v>
      </c>
      <c r="H1157" s="4" t="s">
        <v>47</v>
      </c>
      <c r="I1157" s="4" t="s">
        <v>47</v>
      </c>
      <c r="J1157" s="4" t="s">
        <v>159</v>
      </c>
      <c r="K1157" s="4"/>
      <c r="L1157" s="3">
        <v>42.4</v>
      </c>
      <c r="M1157" s="4"/>
      <c r="N1157" s="3">
        <v>1394.15</v>
      </c>
      <c r="O1157" s="4" t="s">
        <v>34</v>
      </c>
      <c r="P1157" s="4" t="s">
        <v>34</v>
      </c>
      <c r="Q1157" s="4" t="s">
        <v>35</v>
      </c>
      <c r="R1157" s="3">
        <v>1661.43</v>
      </c>
      <c r="S1157" s="3">
        <v>5.2887000000000004</v>
      </c>
      <c r="T1157" s="4" t="s">
        <v>43</v>
      </c>
      <c r="U1157" s="2" t="s">
        <v>37</v>
      </c>
      <c r="V1157" s="2" t="s">
        <v>37</v>
      </c>
      <c r="W1157" s="2" t="s">
        <v>37</v>
      </c>
      <c r="X1157" s="2" t="s">
        <v>37</v>
      </c>
      <c r="Y1157" s="2" t="s">
        <v>37</v>
      </c>
      <c r="Z1157" s="2" t="s">
        <v>37</v>
      </c>
      <c r="AA1157" s="6">
        <v>3.3554802549999998</v>
      </c>
      <c r="AB1157" s="6">
        <v>3.220482048</v>
      </c>
      <c r="AC1157" s="6">
        <v>3.1443095030000001</v>
      </c>
      <c r="AD1157" cm="1">
        <f t="array" ref="AD1157">IF(SUMPRODUCT(--($AM$2:$AM$112=TRIM(LEFT($B1157,IFERROR(FIND(" ",$B1157)-1,LEN($B1157))))))&gt;0,1,0)</f>
        <v>0</v>
      </c>
      <c r="AE1157" cm="1">
        <f t="array" ref="AE1157">IF(SUMPRODUCT(--($AO$2:$AO$145=TRIM(LEFT($B1157,IFERROR(FIND(" ",$B1157)-1,LEN($B1157))))))&gt;0,1,0)</f>
        <v>1</v>
      </c>
      <c r="AF1157" cm="1">
        <f t="array" ref="AF1157">IF(SUMPRODUCT(--($AQ$2:$AQ$71=TRIM(LEFT($B1157,IFERROR(FIND(" ",$B1157)-1,LEN($B1157))))))&gt;0,1,0)</f>
        <v>0</v>
      </c>
    </row>
    <row r="1158" spans="1:32" ht="75.75" thickBot="1" x14ac:dyDescent="0.3">
      <c r="A1158" s="13">
        <v>84</v>
      </c>
      <c r="B1158" s="4" t="s">
        <v>2139</v>
      </c>
      <c r="C1158" s="4" t="s">
        <v>2140</v>
      </c>
      <c r="D1158" s="7">
        <v>42768</v>
      </c>
      <c r="E1158" s="3">
        <v>516.83000000000004</v>
      </c>
      <c r="F1158" s="4" t="s">
        <v>107</v>
      </c>
      <c r="G1158" s="3">
        <v>31.87</v>
      </c>
      <c r="H1158" s="4" t="s">
        <v>31</v>
      </c>
      <c r="I1158" s="4" t="s">
        <v>432</v>
      </c>
      <c r="J1158" s="4" t="s">
        <v>1072</v>
      </c>
      <c r="K1158" s="4"/>
      <c r="L1158" s="3">
        <v>26.5</v>
      </c>
      <c r="M1158" s="3">
        <v>15.34</v>
      </c>
      <c r="N1158" s="3">
        <v>782.06</v>
      </c>
      <c r="O1158" s="4" t="s">
        <v>34</v>
      </c>
      <c r="P1158" s="4" t="s">
        <v>34</v>
      </c>
      <c r="Q1158" s="4" t="s">
        <v>35</v>
      </c>
      <c r="R1158" s="3">
        <v>194.05099999999999</v>
      </c>
      <c r="S1158" s="3">
        <v>6.1081200000000004</v>
      </c>
      <c r="T1158" s="4" t="s">
        <v>43</v>
      </c>
      <c r="U1158" s="2" t="s">
        <v>37</v>
      </c>
      <c r="V1158" s="2" t="s">
        <v>37</v>
      </c>
      <c r="W1158" s="2" t="s">
        <v>37</v>
      </c>
      <c r="X1158" s="2" t="s">
        <v>37</v>
      </c>
      <c r="Y1158" s="2" t="s">
        <v>37</v>
      </c>
      <c r="Z1158" s="2" t="s">
        <v>37</v>
      </c>
      <c r="AA1158" s="6">
        <v>2.7133477149999998</v>
      </c>
      <c r="AB1158" s="6">
        <v>2.2879158849999999</v>
      </c>
      <c r="AC1158" s="6">
        <v>2.8932400739999999</v>
      </c>
      <c r="AD1158" cm="1">
        <f t="array" ref="AD1158">IF(SUMPRODUCT(--($AM$2:$AM$112=TRIM(LEFT($B1158,IFERROR(FIND(" ",$B1158)-1,LEN($B1158))))))&gt;0,1,0)</f>
        <v>0</v>
      </c>
      <c r="AE1158" cm="1">
        <f t="array" ref="AE1158">IF(SUMPRODUCT(--($AO$2:$AO$145=TRIM(LEFT($B1158,IFERROR(FIND(" ",$B1158)-1,LEN($B1158))))))&gt;0,1,0)</f>
        <v>0</v>
      </c>
      <c r="AF1158" cm="1">
        <f t="array" ref="AF1158">IF(SUMPRODUCT(--($AQ$2:$AQ$71=TRIM(LEFT($B1158,IFERROR(FIND(" ",$B1158)-1,LEN($B1158))))))&gt;0,1,0)</f>
        <v>0</v>
      </c>
    </row>
    <row r="1159" spans="1:32" ht="75.75" thickBot="1" x14ac:dyDescent="0.3">
      <c r="A1159" s="13">
        <v>52</v>
      </c>
      <c r="B1159" s="4" t="s">
        <v>2141</v>
      </c>
      <c r="C1159" s="4" t="s">
        <v>725</v>
      </c>
      <c r="D1159" s="7">
        <v>42793</v>
      </c>
      <c r="E1159" s="3">
        <v>1384.23</v>
      </c>
      <c r="F1159" s="4" t="s">
        <v>30</v>
      </c>
      <c r="G1159" s="3">
        <v>26.48</v>
      </c>
      <c r="H1159" s="4" t="s">
        <v>51</v>
      </c>
      <c r="I1159" s="4" t="s">
        <v>51</v>
      </c>
      <c r="J1159" s="4" t="s">
        <v>79</v>
      </c>
      <c r="K1159" s="3">
        <v>62.5</v>
      </c>
      <c r="L1159" s="3">
        <v>24.5</v>
      </c>
      <c r="M1159" s="3">
        <v>22.11</v>
      </c>
      <c r="N1159" s="3">
        <v>760.67</v>
      </c>
      <c r="O1159" s="4" t="s">
        <v>34</v>
      </c>
      <c r="P1159" s="4" t="s">
        <v>49</v>
      </c>
      <c r="Q1159" s="4" t="s">
        <v>35</v>
      </c>
      <c r="R1159" s="3">
        <v>126.63500000000001</v>
      </c>
      <c r="S1159" s="3">
        <v>12.902200000000001</v>
      </c>
      <c r="T1159" s="4" t="s">
        <v>97</v>
      </c>
      <c r="U1159" s="2" t="s">
        <v>37</v>
      </c>
      <c r="V1159" s="2" t="s">
        <v>37</v>
      </c>
      <c r="W1159" s="2" t="s">
        <v>38</v>
      </c>
      <c r="X1159" s="2" t="s">
        <v>37</v>
      </c>
      <c r="Y1159" s="2" t="s">
        <v>37</v>
      </c>
      <c r="Z1159" s="2" t="s">
        <v>37</v>
      </c>
      <c r="AA1159" s="6">
        <v>3.1412082570000002</v>
      </c>
      <c r="AB1159" s="6">
        <v>2.1025537550000002</v>
      </c>
      <c r="AC1159" s="6">
        <v>2.8811962879999999</v>
      </c>
      <c r="AD1159" cm="1">
        <f t="array" ref="AD1159">IF(SUMPRODUCT(--($AM$2:$AM$112=TRIM(LEFT($B1159,IFERROR(FIND(" ",$B1159)-1,LEN($B1159))))))&gt;0,1,0)</f>
        <v>0</v>
      </c>
      <c r="AE1159" cm="1">
        <f t="array" ref="AE1159">IF(SUMPRODUCT(--($AO$2:$AO$145=TRIM(LEFT($B1159,IFERROR(FIND(" ",$B1159)-1,LEN($B1159))))))&gt;0,1,0)</f>
        <v>0</v>
      </c>
      <c r="AF1159" cm="1">
        <f t="array" ref="AF1159">IF(SUMPRODUCT(--($AQ$2:$AQ$71=TRIM(LEFT($B1159,IFERROR(FIND(" ",$B1159)-1,LEN($B1159))))))&gt;0,1,0)</f>
        <v>0</v>
      </c>
    </row>
    <row r="1160" spans="1:32" ht="135.75" thickBot="1" x14ac:dyDescent="0.3">
      <c r="A1160" s="13">
        <v>73</v>
      </c>
      <c r="B1160" s="4" t="s">
        <v>2142</v>
      </c>
      <c r="C1160" s="4" t="s">
        <v>2143</v>
      </c>
      <c r="D1160" s="7">
        <v>42754</v>
      </c>
      <c r="E1160" s="3">
        <v>2839.32</v>
      </c>
      <c r="F1160" s="4" t="s">
        <v>30</v>
      </c>
      <c r="G1160" s="3">
        <v>76.010000000000005</v>
      </c>
      <c r="H1160" s="4" t="s">
        <v>51</v>
      </c>
      <c r="I1160" s="4" t="s">
        <v>51</v>
      </c>
      <c r="J1160" s="4" t="s">
        <v>79</v>
      </c>
      <c r="K1160" s="3">
        <v>100</v>
      </c>
      <c r="L1160" s="3">
        <v>53</v>
      </c>
      <c r="M1160" s="3">
        <v>14.76</v>
      </c>
      <c r="N1160" s="3">
        <v>1493.03</v>
      </c>
      <c r="O1160" s="4" t="s">
        <v>34</v>
      </c>
      <c r="P1160" s="4" t="s">
        <v>34</v>
      </c>
      <c r="Q1160" s="4" t="s">
        <v>35</v>
      </c>
      <c r="R1160" s="3">
        <v>281.87400000000002</v>
      </c>
      <c r="S1160" s="3">
        <v>13.1534</v>
      </c>
      <c r="T1160" s="4" t="s">
        <v>1254</v>
      </c>
      <c r="U1160" s="2" t="s">
        <v>37</v>
      </c>
      <c r="V1160" s="2" t="s">
        <v>37</v>
      </c>
      <c r="W1160" s="2" t="s">
        <v>37</v>
      </c>
      <c r="X1160" s="2" t="s">
        <v>38</v>
      </c>
      <c r="Y1160" s="2" t="s">
        <v>38</v>
      </c>
      <c r="Z1160" s="2" t="s">
        <v>37</v>
      </c>
      <c r="AA1160" s="6">
        <v>3.4532143419999999</v>
      </c>
      <c r="AB1160" s="6">
        <v>2.450055018</v>
      </c>
      <c r="AC1160" s="6">
        <v>3.1740685339999999</v>
      </c>
      <c r="AD1160" cm="1">
        <f t="array" ref="AD1160">IF(SUMPRODUCT(--($AM$2:$AM$112=TRIM(LEFT($B1160,IFERROR(FIND(" ",$B1160)-1,LEN($B1160))))))&gt;0,1,0)</f>
        <v>0</v>
      </c>
      <c r="AE1160" cm="1">
        <f t="array" ref="AE1160">IF(SUMPRODUCT(--($AO$2:$AO$145=TRIM(LEFT($B1160,IFERROR(FIND(" ",$B1160)-1,LEN($B1160))))))&gt;0,1,0)</f>
        <v>0</v>
      </c>
      <c r="AF1160" cm="1">
        <f t="array" ref="AF1160">IF(SUMPRODUCT(--($AQ$2:$AQ$71=TRIM(LEFT($B1160,IFERROR(FIND(" ",$B1160)-1,LEN($B1160))))))&gt;0,1,0)</f>
        <v>0</v>
      </c>
    </row>
    <row r="1161" spans="1:32" ht="60.75" thickBot="1" x14ac:dyDescent="0.3">
      <c r="A1161" s="13">
        <v>56</v>
      </c>
      <c r="B1161" s="4" t="s">
        <v>2144</v>
      </c>
      <c r="C1161" s="4" t="s">
        <v>1535</v>
      </c>
      <c r="D1161" s="7">
        <v>42779</v>
      </c>
      <c r="E1161" s="3">
        <v>2309.42</v>
      </c>
      <c r="F1161" s="4" t="s">
        <v>30</v>
      </c>
      <c r="G1161" s="3">
        <v>137.05000000000001</v>
      </c>
      <c r="H1161" s="4" t="s">
        <v>41</v>
      </c>
      <c r="I1161" s="4" t="s">
        <v>41</v>
      </c>
      <c r="J1161" s="4" t="s">
        <v>60</v>
      </c>
      <c r="K1161" s="3">
        <v>75</v>
      </c>
      <c r="L1161" s="3">
        <v>74</v>
      </c>
      <c r="M1161" s="3">
        <v>29.2</v>
      </c>
      <c r="N1161" s="3">
        <v>2372.25</v>
      </c>
      <c r="O1161" s="4" t="s">
        <v>34</v>
      </c>
      <c r="P1161" s="4" t="s">
        <v>34</v>
      </c>
      <c r="Q1161" s="4" t="s">
        <v>35</v>
      </c>
      <c r="R1161" s="3">
        <v>354.20100000000002</v>
      </c>
      <c r="S1161" s="3">
        <v>3.7334700000000001</v>
      </c>
      <c r="T1161" s="4" t="s">
        <v>43</v>
      </c>
      <c r="U1161" s="2" t="s">
        <v>37</v>
      </c>
      <c r="V1161" s="2" t="s">
        <v>37</v>
      </c>
      <c r="W1161" s="2" t="s">
        <v>37</v>
      </c>
      <c r="X1161" s="2" t="s">
        <v>37</v>
      </c>
      <c r="Y1161" s="2" t="s">
        <v>37</v>
      </c>
      <c r="Z1161" s="2" t="s">
        <v>37</v>
      </c>
      <c r="AA1161" s="6">
        <v>3.363502923</v>
      </c>
      <c r="AB1161" s="6">
        <v>2.549249783</v>
      </c>
      <c r="AC1161" s="6">
        <v>3.3751604550000001</v>
      </c>
      <c r="AD1161" cm="1">
        <f t="array" ref="AD1161">IF(SUMPRODUCT(--($AM$2:$AM$112=TRIM(LEFT($B1161,IFERROR(FIND(" ",$B1161)-1,LEN($B1161))))))&gt;0,1,0)</f>
        <v>0</v>
      </c>
      <c r="AE1161" cm="1">
        <f t="array" ref="AE1161">IF(SUMPRODUCT(--($AO$2:$AO$145=TRIM(LEFT($B1161,IFERROR(FIND(" ",$B1161)-1,LEN($B1161))))))&gt;0,1,0)</f>
        <v>0</v>
      </c>
      <c r="AF1161" cm="1">
        <f t="array" ref="AF1161">IF(SUMPRODUCT(--($AQ$2:$AQ$71=TRIM(LEFT($B1161,IFERROR(FIND(" ",$B1161)-1,LEN($B1161))))))&gt;0,1,0)</f>
        <v>0</v>
      </c>
    </row>
    <row r="1162" spans="1:32" ht="45.75" thickBot="1" x14ac:dyDescent="0.3">
      <c r="A1162" s="13">
        <v>72</v>
      </c>
      <c r="B1162" s="4" t="s">
        <v>2145</v>
      </c>
      <c r="C1162" s="4" t="s">
        <v>1490</v>
      </c>
      <c r="D1162" s="7">
        <v>42751</v>
      </c>
      <c r="E1162" s="3">
        <v>3115.09</v>
      </c>
      <c r="F1162" s="4" t="s">
        <v>107</v>
      </c>
      <c r="G1162" s="3">
        <v>17.77</v>
      </c>
      <c r="H1162" s="4" t="s">
        <v>118</v>
      </c>
      <c r="I1162" s="4" t="s">
        <v>119</v>
      </c>
      <c r="J1162" s="4" t="s">
        <v>120</v>
      </c>
      <c r="K1162" s="4"/>
      <c r="L1162" s="3">
        <v>87</v>
      </c>
      <c r="M1162" s="3">
        <v>24.07</v>
      </c>
      <c r="N1162" s="3">
        <v>2491.62</v>
      </c>
      <c r="O1162" s="4" t="s">
        <v>34</v>
      </c>
      <c r="P1162" s="4" t="s">
        <v>34</v>
      </c>
      <c r="Q1162" s="4" t="s">
        <v>35</v>
      </c>
      <c r="R1162" s="3">
        <v>296.80500000000001</v>
      </c>
      <c r="S1162" s="3">
        <v>10.0093</v>
      </c>
      <c r="T1162" s="4" t="s">
        <v>43</v>
      </c>
      <c r="U1162" s="2" t="s">
        <v>37</v>
      </c>
      <c r="V1162" s="2" t="s">
        <v>37</v>
      </c>
      <c r="W1162" s="2" t="s">
        <v>37</v>
      </c>
      <c r="X1162" s="2" t="s">
        <v>37</v>
      </c>
      <c r="Y1162" s="2" t="s">
        <v>37</v>
      </c>
      <c r="Z1162" s="2" t="s">
        <v>37</v>
      </c>
      <c r="AA1162" s="6">
        <v>3.4934705990000001</v>
      </c>
      <c r="AB1162" s="6">
        <v>2.4724712129999999</v>
      </c>
      <c r="AC1162" s="6">
        <v>3.3964818079999999</v>
      </c>
      <c r="AD1162" cm="1">
        <f t="array" ref="AD1162">IF(SUMPRODUCT(--($AM$2:$AM$112=TRIM(LEFT($B1162,IFERROR(FIND(" ",$B1162)-1,LEN($B1162))))))&gt;0,1,0)</f>
        <v>0</v>
      </c>
      <c r="AE1162" cm="1">
        <f t="array" ref="AE1162">IF(SUMPRODUCT(--($AO$2:$AO$145=TRIM(LEFT($B1162,IFERROR(FIND(" ",$B1162)-1,LEN($B1162))))))&gt;0,1,0)</f>
        <v>0</v>
      </c>
      <c r="AF1162" cm="1">
        <f t="array" ref="AF1162">IF(SUMPRODUCT(--($AQ$2:$AQ$71=TRIM(LEFT($B1162,IFERROR(FIND(" ",$B1162)-1,LEN($B1162))))))&gt;0,1,0)</f>
        <v>0</v>
      </c>
    </row>
    <row r="1163" spans="1:32" ht="165.75" thickBot="1" x14ac:dyDescent="0.3">
      <c r="A1163" s="13">
        <v>30</v>
      </c>
      <c r="B1163" s="4" t="s">
        <v>2146</v>
      </c>
      <c r="C1163" s="4" t="s">
        <v>1151</v>
      </c>
      <c r="D1163" s="7">
        <v>42808</v>
      </c>
      <c r="E1163" s="3">
        <v>2467.38</v>
      </c>
      <c r="F1163" s="4" t="s">
        <v>30</v>
      </c>
      <c r="G1163" s="3">
        <v>8.69</v>
      </c>
      <c r="H1163" s="4" t="s">
        <v>41</v>
      </c>
      <c r="I1163" s="4" t="s">
        <v>41</v>
      </c>
      <c r="J1163" s="4" t="s">
        <v>100</v>
      </c>
      <c r="K1163" s="3">
        <v>95.286199999999994</v>
      </c>
      <c r="L1163" s="3">
        <v>51.613399999999999</v>
      </c>
      <c r="M1163" s="4"/>
      <c r="N1163" s="3">
        <v>1566.58</v>
      </c>
      <c r="O1163" s="4" t="s">
        <v>34</v>
      </c>
      <c r="P1163" s="4" t="s">
        <v>34</v>
      </c>
      <c r="Q1163" s="4" t="s">
        <v>35</v>
      </c>
      <c r="R1163" s="3">
        <v>1170.45</v>
      </c>
      <c r="S1163" s="3">
        <v>16.316500000000001</v>
      </c>
      <c r="T1163" s="4" t="s">
        <v>1310</v>
      </c>
      <c r="U1163" s="2" t="s">
        <v>37</v>
      </c>
      <c r="V1163" s="2" t="s">
        <v>37</v>
      </c>
      <c r="W1163" s="2" t="s">
        <v>37</v>
      </c>
      <c r="X1163" s="2" t="s">
        <v>38</v>
      </c>
      <c r="Y1163" s="2" t="s">
        <v>38</v>
      </c>
      <c r="Z1163" s="2" t="s">
        <v>38</v>
      </c>
      <c r="AA1163" s="6">
        <v>3.3922360399999998</v>
      </c>
      <c r="AB1163" s="6">
        <v>3.0683528660000001</v>
      </c>
      <c r="AC1163" s="6">
        <v>3.1949525780000001</v>
      </c>
      <c r="AD1163" cm="1">
        <f t="array" ref="AD1163">IF(SUMPRODUCT(--($AM$2:$AM$112=TRIM(LEFT($B1163,IFERROR(FIND(" ",$B1163)-1,LEN($B1163))))))&gt;0,1,0)</f>
        <v>0</v>
      </c>
      <c r="AE1163" cm="1">
        <f t="array" ref="AE1163">IF(SUMPRODUCT(--($AO$2:$AO$145=TRIM(LEFT($B1163,IFERROR(FIND(" ",$B1163)-1,LEN($B1163))))))&gt;0,1,0)</f>
        <v>0</v>
      </c>
      <c r="AF1163" cm="1">
        <f t="array" ref="AF1163">IF(SUMPRODUCT(--($AQ$2:$AQ$71=TRIM(LEFT($B1163,IFERROR(FIND(" ",$B1163)-1,LEN($B1163))))))&gt;0,1,0)</f>
        <v>0</v>
      </c>
    </row>
    <row r="1164" spans="1:32" ht="45.75" thickBot="1" x14ac:dyDescent="0.3">
      <c r="A1164" s="13">
        <v>58</v>
      </c>
      <c r="B1164" s="4" t="s">
        <v>2147</v>
      </c>
      <c r="C1164" s="4" t="s">
        <v>2148</v>
      </c>
      <c r="D1164" s="7">
        <v>42765</v>
      </c>
      <c r="E1164" s="3">
        <v>1559.49</v>
      </c>
      <c r="F1164" s="4" t="s">
        <v>30</v>
      </c>
      <c r="G1164" s="3">
        <v>20.61</v>
      </c>
      <c r="H1164" s="4" t="s">
        <v>70</v>
      </c>
      <c r="I1164" s="4" t="s">
        <v>71</v>
      </c>
      <c r="J1164" s="4" t="s">
        <v>417</v>
      </c>
      <c r="K1164" s="3">
        <v>500</v>
      </c>
      <c r="L1164" s="3">
        <v>59.715400000000002</v>
      </c>
      <c r="M1164" s="3">
        <v>17.28</v>
      </c>
      <c r="N1164" s="3">
        <v>1646.57</v>
      </c>
      <c r="O1164" s="4" t="s">
        <v>34</v>
      </c>
      <c r="P1164" s="4" t="s">
        <v>34</v>
      </c>
      <c r="Q1164" s="4" t="s">
        <v>35</v>
      </c>
      <c r="R1164" s="3">
        <v>484.84500000000003</v>
      </c>
      <c r="S1164" s="3">
        <v>3.7968799999999998</v>
      </c>
      <c r="T1164" s="4" t="s">
        <v>43</v>
      </c>
      <c r="U1164" s="2" t="s">
        <v>37</v>
      </c>
      <c r="V1164" s="2" t="s">
        <v>37</v>
      </c>
      <c r="W1164" s="2" t="s">
        <v>37</v>
      </c>
      <c r="X1164" s="2" t="s">
        <v>37</v>
      </c>
      <c r="Y1164" s="2" t="s">
        <v>37</v>
      </c>
      <c r="Z1164" s="2" t="s">
        <v>37</v>
      </c>
      <c r="AA1164" s="6">
        <v>3.1929825940000001</v>
      </c>
      <c r="AB1164" s="6">
        <v>2.6856029210000001</v>
      </c>
      <c r="AC1164" s="6">
        <v>3.2165801979999999</v>
      </c>
      <c r="AD1164" cm="1">
        <f t="array" ref="AD1164">IF(SUMPRODUCT(--($AM$2:$AM$112=TRIM(LEFT($B1164,IFERROR(FIND(" ",$B1164)-1,LEN($B1164))))))&gt;0,1,0)</f>
        <v>0</v>
      </c>
      <c r="AE1164" cm="1">
        <f t="array" ref="AE1164">IF(SUMPRODUCT(--($AO$2:$AO$145=TRIM(LEFT($B1164,IFERROR(FIND(" ",$B1164)-1,LEN($B1164))))))&gt;0,1,0)</f>
        <v>0</v>
      </c>
      <c r="AF1164" cm="1">
        <f t="array" ref="AF1164">IF(SUMPRODUCT(--($AQ$2:$AQ$71=TRIM(LEFT($B1164,IFERROR(FIND(" ",$B1164)-1,LEN($B1164))))))&gt;0,1,0)</f>
        <v>0</v>
      </c>
    </row>
    <row r="1165" spans="1:32" ht="75.75" thickBot="1" x14ac:dyDescent="0.3">
      <c r="A1165" s="13">
        <v>30</v>
      </c>
      <c r="B1165" s="4" t="s">
        <v>2149</v>
      </c>
      <c r="C1165" s="4" t="s">
        <v>431</v>
      </c>
      <c r="D1165" s="7">
        <v>42801</v>
      </c>
      <c r="E1165" s="3">
        <v>913.01</v>
      </c>
      <c r="F1165" s="4" t="s">
        <v>30</v>
      </c>
      <c r="G1165" s="4"/>
      <c r="H1165" s="4" t="s">
        <v>31</v>
      </c>
      <c r="I1165" s="4" t="s">
        <v>432</v>
      </c>
      <c r="J1165" s="4" t="s">
        <v>433</v>
      </c>
      <c r="K1165" s="4"/>
      <c r="L1165" s="3">
        <v>40.799999999999997</v>
      </c>
      <c r="M1165" s="3">
        <v>42.57</v>
      </c>
      <c r="N1165" s="3">
        <v>1093.75</v>
      </c>
      <c r="O1165" s="4" t="s">
        <v>34</v>
      </c>
      <c r="P1165" s="4" t="s">
        <v>34</v>
      </c>
      <c r="Q1165" s="4" t="s">
        <v>35</v>
      </c>
      <c r="R1165" s="3">
        <v>402.59699999999998</v>
      </c>
      <c r="S1165" s="3">
        <v>-38.901699999999998</v>
      </c>
      <c r="T1165" s="4" t="s">
        <v>88</v>
      </c>
      <c r="U1165" s="2" t="s">
        <v>37</v>
      </c>
      <c r="V1165" s="2" t="s">
        <v>37</v>
      </c>
      <c r="W1165" s="2" t="s">
        <v>37</v>
      </c>
      <c r="X1165" s="2" t="s">
        <v>37</v>
      </c>
      <c r="Y1165" s="2" t="s">
        <v>37</v>
      </c>
      <c r="Z1165" s="2" t="s">
        <v>38</v>
      </c>
      <c r="AA1165" s="6">
        <v>2.960475534</v>
      </c>
      <c r="AB1165" s="6">
        <v>2.6048705339999998</v>
      </c>
      <c r="AC1165" s="6">
        <v>3.0389180659999999</v>
      </c>
      <c r="AD1165" cm="1">
        <f t="array" ref="AD1165">IF(SUMPRODUCT(--($AM$2:$AM$112=TRIM(LEFT($B1165,IFERROR(FIND(" ",$B1165)-1,LEN($B1165))))))&gt;0,1,0)</f>
        <v>0</v>
      </c>
      <c r="AE1165" cm="1">
        <f t="array" ref="AE1165">IF(SUMPRODUCT(--($AO$2:$AO$145=TRIM(LEFT($B1165,IFERROR(FIND(" ",$B1165)-1,LEN($B1165))))))&gt;0,1,0)</f>
        <v>0</v>
      </c>
      <c r="AF1165" cm="1">
        <f t="array" ref="AF1165">IF(SUMPRODUCT(--($AQ$2:$AQ$71=TRIM(LEFT($B1165,IFERROR(FIND(" ",$B1165)-1,LEN($B1165))))))&gt;0,1,0)</f>
        <v>0</v>
      </c>
    </row>
    <row r="1166" spans="1:32" ht="105.75" thickBot="1" x14ac:dyDescent="0.3">
      <c r="A1166" s="13">
        <v>26</v>
      </c>
      <c r="B1166" s="4" t="s">
        <v>2150</v>
      </c>
      <c r="C1166" s="4" t="s">
        <v>711</v>
      </c>
      <c r="D1166" s="7">
        <v>42787</v>
      </c>
      <c r="E1166" s="3">
        <v>1800.34</v>
      </c>
      <c r="F1166" s="4" t="s">
        <v>30</v>
      </c>
      <c r="G1166" s="3">
        <v>21.28</v>
      </c>
      <c r="H1166" s="4" t="s">
        <v>75</v>
      </c>
      <c r="I1166" s="4" t="s">
        <v>111</v>
      </c>
      <c r="J1166" s="4" t="s">
        <v>133</v>
      </c>
      <c r="K1166" s="4"/>
      <c r="L1166" s="3">
        <v>51</v>
      </c>
      <c r="M1166" s="3">
        <v>22.45</v>
      </c>
      <c r="N1166" s="3">
        <v>1650.54</v>
      </c>
      <c r="O1166" s="4" t="s">
        <v>34</v>
      </c>
      <c r="P1166" s="4" t="s">
        <v>49</v>
      </c>
      <c r="Q1166" s="4" t="s">
        <v>35</v>
      </c>
      <c r="R1166" s="3">
        <v>5357</v>
      </c>
      <c r="S1166" s="3">
        <v>27.705500000000001</v>
      </c>
      <c r="T1166" s="4" t="s">
        <v>964</v>
      </c>
      <c r="U1166" s="2" t="s">
        <v>37</v>
      </c>
      <c r="V1166" s="2" t="s">
        <v>37</v>
      </c>
      <c r="W1166" s="2" t="s">
        <v>38</v>
      </c>
      <c r="X1166" s="2" t="s">
        <v>37</v>
      </c>
      <c r="Y1166" s="2" t="s">
        <v>37</v>
      </c>
      <c r="Z1166" s="2" t="s">
        <v>38</v>
      </c>
      <c r="AA1166" s="6">
        <v>3.2553545310000001</v>
      </c>
      <c r="AB1166" s="6">
        <v>3.7289216459999999</v>
      </c>
      <c r="AC1166" s="6">
        <v>3.2176260540000001</v>
      </c>
      <c r="AD1166" cm="1">
        <f t="array" ref="AD1166">IF(SUMPRODUCT(--($AM$2:$AM$112=TRIM(LEFT($B1166,IFERROR(FIND(" ",$B1166)-1,LEN($B1166))))))&gt;0,1,0)</f>
        <v>0</v>
      </c>
      <c r="AE1166" cm="1">
        <f t="array" ref="AE1166">IF(SUMPRODUCT(--($AO$2:$AO$145=TRIM(LEFT($B1166,IFERROR(FIND(" ",$B1166)-1,LEN($B1166))))))&gt;0,1,0)</f>
        <v>0</v>
      </c>
      <c r="AF1166" cm="1">
        <f t="array" ref="AF1166">IF(SUMPRODUCT(--($AQ$2:$AQ$71=TRIM(LEFT($B1166,IFERROR(FIND(" ",$B1166)-1,LEN($B1166))))))&gt;0,1,0)</f>
        <v>0</v>
      </c>
    </row>
    <row r="1167" spans="1:32" ht="75.75" thickBot="1" x14ac:dyDescent="0.3">
      <c r="A1167" s="13">
        <v>56</v>
      </c>
      <c r="B1167" s="4" t="s">
        <v>2151</v>
      </c>
      <c r="C1167" s="4" t="s">
        <v>398</v>
      </c>
      <c r="D1167" s="7">
        <v>42744</v>
      </c>
      <c r="E1167" s="3">
        <v>3204.95</v>
      </c>
      <c r="F1167" s="4" t="s">
        <v>107</v>
      </c>
      <c r="G1167" s="3">
        <v>9.5399999999999991</v>
      </c>
      <c r="H1167" s="4" t="s">
        <v>41</v>
      </c>
      <c r="I1167" s="4" t="s">
        <v>41</v>
      </c>
      <c r="J1167" s="4" t="s">
        <v>100</v>
      </c>
      <c r="K1167" s="4"/>
      <c r="L1167" s="3">
        <v>90</v>
      </c>
      <c r="M1167" s="3">
        <v>19.57</v>
      </c>
      <c r="N1167" s="3">
        <v>2272.8200000000002</v>
      </c>
      <c r="O1167" s="4" t="s">
        <v>34</v>
      </c>
      <c r="P1167" s="4" t="s">
        <v>34</v>
      </c>
      <c r="Q1167" s="4" t="s">
        <v>35</v>
      </c>
      <c r="R1167" s="3">
        <v>1281.4000000000001</v>
      </c>
      <c r="S1167" s="3">
        <v>19.305499999999999</v>
      </c>
      <c r="T1167" s="4" t="s">
        <v>88</v>
      </c>
      <c r="U1167" s="2" t="s">
        <v>37</v>
      </c>
      <c r="V1167" s="2" t="s">
        <v>37</v>
      </c>
      <c r="W1167" s="2" t="s">
        <v>37</v>
      </c>
      <c r="X1167" s="2" t="s">
        <v>37</v>
      </c>
      <c r="Y1167" s="2" t="s">
        <v>37</v>
      </c>
      <c r="Z1167" s="2" t="s">
        <v>38</v>
      </c>
      <c r="AA1167" s="6">
        <v>3.5058212590000002</v>
      </c>
      <c r="AB1167" s="6">
        <v>3.10768472</v>
      </c>
      <c r="AC1167" s="6">
        <v>3.3565650420000002</v>
      </c>
      <c r="AD1167" cm="1">
        <f t="array" ref="AD1167">IF(SUMPRODUCT(--($AM$2:$AM$112=TRIM(LEFT($B1167,IFERROR(FIND(" ",$B1167)-1,LEN($B1167))))))&gt;0,1,0)</f>
        <v>0</v>
      </c>
      <c r="AE1167" cm="1">
        <f t="array" ref="AE1167">IF(SUMPRODUCT(--($AO$2:$AO$145=TRIM(LEFT($B1167,IFERROR(FIND(" ",$B1167)-1,LEN($B1167))))))&gt;0,1,0)</f>
        <v>0</v>
      </c>
      <c r="AF1167" cm="1">
        <f t="array" ref="AF1167">IF(SUMPRODUCT(--($AQ$2:$AQ$71=TRIM(LEFT($B1167,IFERROR(FIND(" ",$B1167)-1,LEN($B1167))))))&gt;0,1,0)</f>
        <v>0</v>
      </c>
    </row>
    <row r="1168" spans="1:32" ht="75.75" thickBot="1" x14ac:dyDescent="0.3">
      <c r="A1168" s="13">
        <v>28</v>
      </c>
      <c r="B1168" s="4" t="s">
        <v>2152</v>
      </c>
      <c r="C1168" s="4" t="s">
        <v>161</v>
      </c>
      <c r="D1168" s="7">
        <v>42780</v>
      </c>
      <c r="E1168" s="3">
        <v>1046.2</v>
      </c>
      <c r="F1168" s="4" t="s">
        <v>30</v>
      </c>
      <c r="G1168" s="3">
        <v>18.89</v>
      </c>
      <c r="H1168" s="4" t="s">
        <v>41</v>
      </c>
      <c r="I1168" s="4" t="s">
        <v>41</v>
      </c>
      <c r="J1168" s="4" t="s">
        <v>60</v>
      </c>
      <c r="K1168" s="4"/>
      <c r="L1168" s="3">
        <v>57.7</v>
      </c>
      <c r="M1168" s="3">
        <v>34.590000000000003</v>
      </c>
      <c r="N1168" s="3">
        <v>1264.4100000000001</v>
      </c>
      <c r="O1168" s="4" t="s">
        <v>34</v>
      </c>
      <c r="P1168" s="4" t="s">
        <v>34</v>
      </c>
      <c r="Q1168" s="4" t="s">
        <v>35</v>
      </c>
      <c r="R1168" s="3">
        <v>433.53199999999998</v>
      </c>
      <c r="S1168" s="3">
        <v>6.3063399999999996</v>
      </c>
      <c r="T1168" s="4" t="s">
        <v>88</v>
      </c>
      <c r="U1168" s="2" t="s">
        <v>37</v>
      </c>
      <c r="V1168" s="2" t="s">
        <v>37</v>
      </c>
      <c r="W1168" s="2" t="s">
        <v>37</v>
      </c>
      <c r="X1168" s="2" t="s">
        <v>37</v>
      </c>
      <c r="Y1168" s="2" t="s">
        <v>37</v>
      </c>
      <c r="Z1168" s="2" t="s">
        <v>38</v>
      </c>
      <c r="AA1168" s="6">
        <v>3.019614716</v>
      </c>
      <c r="AB1168" s="6">
        <v>2.6370211590000001</v>
      </c>
      <c r="AC1168" s="6">
        <v>3.101887922</v>
      </c>
      <c r="AD1168" cm="1">
        <f t="array" ref="AD1168">IF(SUMPRODUCT(--($AM$2:$AM$112=TRIM(LEFT($B1168,IFERROR(FIND(" ",$B1168)-1,LEN($B1168))))))&gt;0,1,0)</f>
        <v>0</v>
      </c>
      <c r="AE1168" cm="1">
        <f t="array" ref="AE1168">IF(SUMPRODUCT(--($AO$2:$AO$145=TRIM(LEFT($B1168,IFERROR(FIND(" ",$B1168)-1,LEN($B1168))))))&gt;0,1,0)</f>
        <v>0</v>
      </c>
      <c r="AF1168" cm="1">
        <f t="array" ref="AF1168">IF(SUMPRODUCT(--($AQ$2:$AQ$71=TRIM(LEFT($B1168,IFERROR(FIND(" ",$B1168)-1,LEN($B1168))))))&gt;0,1,0)</f>
        <v>0</v>
      </c>
    </row>
    <row r="1169" spans="1:32" ht="75.75" thickBot="1" x14ac:dyDescent="0.3">
      <c r="A1169" s="13">
        <v>42</v>
      </c>
      <c r="B1169" s="4" t="s">
        <v>2153</v>
      </c>
      <c r="C1169" s="4" t="s">
        <v>747</v>
      </c>
      <c r="D1169" s="7">
        <v>42759</v>
      </c>
      <c r="E1169" s="3">
        <v>3575.88</v>
      </c>
      <c r="F1169" s="4" t="s">
        <v>30</v>
      </c>
      <c r="G1169" s="4"/>
      <c r="H1169" s="4" t="s">
        <v>31</v>
      </c>
      <c r="I1169" s="4" t="s">
        <v>32</v>
      </c>
      <c r="J1169" s="4" t="s">
        <v>33</v>
      </c>
      <c r="K1169" s="4"/>
      <c r="L1169" s="4"/>
      <c r="M1169" s="4"/>
      <c r="N1169" s="3">
        <v>3700</v>
      </c>
      <c r="O1169" s="4" t="s">
        <v>34</v>
      </c>
      <c r="P1169" s="4" t="s">
        <v>34</v>
      </c>
      <c r="Q1169" s="4" t="s">
        <v>35</v>
      </c>
      <c r="R1169" s="3">
        <v>150.59200000000001</v>
      </c>
      <c r="S1169" s="2"/>
      <c r="T1169" s="4" t="s">
        <v>1850</v>
      </c>
      <c r="U1169" s="2" t="s">
        <v>37</v>
      </c>
      <c r="V1169" s="2" t="s">
        <v>37</v>
      </c>
      <c r="W1169" s="2" t="s">
        <v>37</v>
      </c>
      <c r="X1169" s="2" t="s">
        <v>37</v>
      </c>
      <c r="Y1169" s="2" t="s">
        <v>37</v>
      </c>
      <c r="Z1169" s="2" t="s">
        <v>37</v>
      </c>
      <c r="AA1169" s="6">
        <v>3.5533829360000002</v>
      </c>
      <c r="AB1169" s="6">
        <v>2.177801901</v>
      </c>
      <c r="AC1169" s="6">
        <v>3.5682017240000001</v>
      </c>
      <c r="AD1169" cm="1">
        <f t="array" ref="AD1169">IF(SUMPRODUCT(--($AM$2:$AM$112=TRIM(LEFT($B1169,IFERROR(FIND(" ",$B1169)-1,LEN($B1169))))))&gt;0,1,0)</f>
        <v>0</v>
      </c>
      <c r="AE1169" cm="1">
        <f t="array" ref="AE1169">IF(SUMPRODUCT(--($AO$2:$AO$145=TRIM(LEFT($B1169,IFERROR(FIND(" ",$B1169)-1,LEN($B1169))))))&gt;0,1,0)</f>
        <v>0</v>
      </c>
      <c r="AF1169" cm="1">
        <f t="array" ref="AF1169">IF(SUMPRODUCT(--($AQ$2:$AQ$71=TRIM(LEFT($B1169,IFERROR(FIND(" ",$B1169)-1,LEN($B1169))))))&gt;0,1,0)</f>
        <v>0</v>
      </c>
    </row>
    <row r="1170" spans="1:32" ht="45.75" thickBot="1" x14ac:dyDescent="0.3">
      <c r="A1170" s="13">
        <v>32</v>
      </c>
      <c r="B1170" s="4" t="s">
        <v>2154</v>
      </c>
      <c r="C1170" s="4" t="s">
        <v>40</v>
      </c>
      <c r="D1170" s="7">
        <v>42753</v>
      </c>
      <c r="E1170" s="3">
        <v>813.37</v>
      </c>
      <c r="F1170" s="4" t="s">
        <v>30</v>
      </c>
      <c r="G1170" s="4"/>
      <c r="H1170" s="4" t="s">
        <v>41</v>
      </c>
      <c r="I1170" s="4" t="s">
        <v>41</v>
      </c>
      <c r="J1170" s="4" t="s">
        <v>42</v>
      </c>
      <c r="K1170" s="4"/>
      <c r="L1170" s="3">
        <v>34</v>
      </c>
      <c r="M1170" s="3">
        <v>31.61</v>
      </c>
      <c r="N1170" s="3">
        <v>913.55</v>
      </c>
      <c r="O1170" s="4" t="s">
        <v>34</v>
      </c>
      <c r="P1170" s="4" t="s">
        <v>34</v>
      </c>
      <c r="Q1170" s="4" t="s">
        <v>35</v>
      </c>
      <c r="R1170" s="2"/>
      <c r="S1170" s="2"/>
      <c r="T1170" s="4" t="s">
        <v>43</v>
      </c>
      <c r="U1170" s="2" t="s">
        <v>37</v>
      </c>
      <c r="V1170" s="2" t="s">
        <v>37</v>
      </c>
      <c r="W1170" s="2" t="s">
        <v>37</v>
      </c>
      <c r="X1170" s="2" t="s">
        <v>37</v>
      </c>
      <c r="Y1170" s="2" t="s">
        <v>37</v>
      </c>
      <c r="Z1170" s="2" t="s">
        <v>37</v>
      </c>
      <c r="AA1170" s="6">
        <v>2.91028815</v>
      </c>
      <c r="AB1170" s="2"/>
      <c r="AC1170" s="6">
        <v>2.9607323220000001</v>
      </c>
      <c r="AD1170" cm="1">
        <f t="array" ref="AD1170">IF(SUMPRODUCT(--($AM$2:$AM$112=TRIM(LEFT($B1170,IFERROR(FIND(" ",$B1170)-1,LEN($B1170))))))&gt;0,1,0)</f>
        <v>0</v>
      </c>
      <c r="AE1170" cm="1">
        <f t="array" ref="AE1170">IF(SUMPRODUCT(--($AO$2:$AO$145=TRIM(LEFT($B1170,IFERROR(FIND(" ",$B1170)-1,LEN($B1170))))))&gt;0,1,0)</f>
        <v>0</v>
      </c>
      <c r="AF1170" cm="1">
        <f t="array" ref="AF1170">IF(SUMPRODUCT(--($AQ$2:$AQ$71=TRIM(LEFT($B1170,IFERROR(FIND(" ",$B1170)-1,LEN($B1170))))))&gt;0,1,0)</f>
        <v>0</v>
      </c>
    </row>
    <row r="1171" spans="1:32" ht="105.75" thickBot="1" x14ac:dyDescent="0.3">
      <c r="A1171" s="13">
        <v>30</v>
      </c>
      <c r="B1171" s="4" t="s">
        <v>2155</v>
      </c>
      <c r="C1171" s="4" t="s">
        <v>1802</v>
      </c>
      <c r="D1171" s="7">
        <v>42744</v>
      </c>
      <c r="E1171" s="3">
        <v>5001.1000000000004</v>
      </c>
      <c r="F1171" s="4" t="s">
        <v>30</v>
      </c>
      <c r="G1171" s="4"/>
      <c r="H1171" s="4" t="s">
        <v>41</v>
      </c>
      <c r="I1171" s="4" t="s">
        <v>41</v>
      </c>
      <c r="J1171" s="4" t="s">
        <v>42</v>
      </c>
      <c r="K1171" s="4"/>
      <c r="L1171" s="3">
        <v>169</v>
      </c>
      <c r="M1171" s="3">
        <v>91.31</v>
      </c>
      <c r="N1171" s="3">
        <v>4762.84</v>
      </c>
      <c r="O1171" s="4" t="s">
        <v>34</v>
      </c>
      <c r="P1171" s="4" t="s">
        <v>96</v>
      </c>
      <c r="Q1171" s="4" t="s">
        <v>35</v>
      </c>
      <c r="R1171" s="3">
        <v>118.804</v>
      </c>
      <c r="S1171" s="3">
        <v>-73.617800000000003</v>
      </c>
      <c r="T1171" s="4" t="s">
        <v>964</v>
      </c>
      <c r="U1171" s="2" t="s">
        <v>37</v>
      </c>
      <c r="V1171" s="2" t="s">
        <v>37</v>
      </c>
      <c r="W1171" s="2" t="s">
        <v>38</v>
      </c>
      <c r="X1171" s="2" t="s">
        <v>37</v>
      </c>
      <c r="Y1171" s="2" t="s">
        <v>37</v>
      </c>
      <c r="Z1171" s="2" t="s">
        <v>38</v>
      </c>
      <c r="AA1171" s="6">
        <v>3.6990655389999998</v>
      </c>
      <c r="AB1171" s="6">
        <v>2.074831063</v>
      </c>
      <c r="AC1171" s="6">
        <v>3.6778659920000001</v>
      </c>
      <c r="AD1171" cm="1">
        <f t="array" ref="AD1171">IF(SUMPRODUCT(--($AM$2:$AM$112=TRIM(LEFT($B1171,IFERROR(FIND(" ",$B1171)-1,LEN($B1171))))))&gt;0,1,0)</f>
        <v>0</v>
      </c>
      <c r="AE1171" cm="1">
        <f t="array" ref="AE1171">IF(SUMPRODUCT(--($AO$2:$AO$145=TRIM(LEFT($B1171,IFERROR(FIND(" ",$B1171)-1,LEN($B1171))))))&gt;0,1,0)</f>
        <v>0</v>
      </c>
      <c r="AF1171" cm="1">
        <f t="array" ref="AF1171">IF(SUMPRODUCT(--($AQ$2:$AQ$71=TRIM(LEFT($B1171,IFERROR(FIND(" ",$B1171)-1,LEN($B1171))))))&gt;0,1,0)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Vance Vanvolkenburgh</dc:creator>
  <cp:lastModifiedBy>Dana Santry</cp:lastModifiedBy>
  <dcterms:created xsi:type="dcterms:W3CDTF">2026-06-30T16:55:34Z</dcterms:created>
  <dcterms:modified xsi:type="dcterms:W3CDTF">2026-07-01T14:48:27Z</dcterms:modified>
</cp:coreProperties>
</file>
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ptos Narrow"/>
      <family val="2"/>
      <color theme="1"/>
      <sz val="11"/>
    </font>
    <font>
      <name val="Arial"/>
      <family val="2"/>
      <color theme="1"/>
      <sz val="11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3" fillId="0" borderId="1" applyAlignment="1" pivotButton="0" quotePrefix="0" xfId="0">
      <alignment horizontal="right" wrapText="1"/>
    </xf>
    <xf numFmtId="0" fontId="3" fillId="0" borderId="1" applyAlignment="1" pivotButton="0" quotePrefix="0" xfId="0">
      <alignment wrapText="1"/>
    </xf>
    <xf numFmtId="14" fontId="4" fillId="0" borderId="1" applyAlignment="1" pivotButton="0" quotePrefix="0" xfId="0">
      <alignment horizontal="right" wrapText="1"/>
    </xf>
    <xf numFmtId="0" fontId="2" fillId="0" borderId="1" applyAlignment="1" pivotButton="0" quotePrefix="0" xfId="0">
      <alignment horizontal="right" wrapText="1"/>
    </xf>
    <xf numFmtId="14" fontId="3" fillId="0" borderId="1" applyAlignment="1" pivotButton="0" quotePrefix="0" xfId="0">
      <alignment horizontal="right" wrapText="1"/>
    </xf>
    <xf numFmtId="0" fontId="4" fillId="0" borderId="1" applyAlignment="1" pivotButton="0" quotePrefix="0" xfId="0">
      <alignment wrapText="1"/>
    </xf>
    <xf numFmtId="11" fontId="3" fillId="0" borderId="1" applyAlignment="1" pivotButton="0" quotePrefix="0" xfId="0">
      <alignment horizontal="right" wrapText="1"/>
    </xf>
    <xf numFmtId="0" fontId="5" fillId="0" borderId="0" pivotButton="0" quotePrefix="0" xfId="0"/>
    <xf numFmtId="0" fontId="1" fillId="0" borderId="2" applyAlignment="1" pivotButton="0" quotePrefix="0" xfId="0">
      <alignment wrapText="1"/>
    </xf>
    <xf numFmtId="0" fontId="1" fillId="0" borderId="3" applyAlignment="1" pivotButton="0" quotePrefix="0" xfId="0">
      <alignment wrapText="1"/>
    </xf>
    <xf numFmtId="0" fontId="3" fillId="0" borderId="3" applyAlignment="1" pivotButton="0" quotePrefix="0" xfId="0">
      <alignment horizontal="right" wrapText="1"/>
    </xf>
    <xf numFmtId="0" fontId="4" fillId="0" borderId="3" applyAlignment="1" pivotButton="0" quotePrefix="0" xfId="0">
      <alignment horizontal="right" wrapText="1"/>
    </xf>
  </cellXfs>
  <cellStyles count="1">
    <cellStyle name="Normal" xfId="0" builtinId="0"/>
  </cellStyles>
  <dxfs count="31"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right" vertical="bottom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right" vertical="bottom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right" vertical="bottom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bottom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bottom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bottom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bottom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bottom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bottom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bottom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</font>
      <alignment horizontal="right" vertical="bottom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</font>
      <alignment horizontal="right" vertical="bottom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bottom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bottom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bottom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</font>
      <alignment horizontal="right" vertical="bottom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</font>
      <alignment horizontal="right" vertical="bottom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</font>
      <alignment horizontal="right" vertical="bottom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bottom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bottom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bottom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bottom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bottom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bottom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</font>
      <alignment horizontal="right" vertical="bottom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19" formatCode="m/d/yyyy"/>
      <alignment horizontal="right" vertical="bottom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bottom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bottom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</font>
      <alignment horizontal="right" vertical="bottom" wrapText="1"/>
      <border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left style="medium">
          <color rgb="FFCCCCCC"/>
        </left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AF1171" headerRowCount="1" totalsRowShown="0" headerRowDxfId="0" tableBorderDxfId="30">
  <autoFilter ref="A1:AF1171"/>
  <tableColumns count="32">
    <tableColumn id="1" name="Days To Complete" dataDxfId="29"/>
    <tableColumn id="2" name="Target Ticker" dataDxfId="28"/>
    <tableColumn id="3" name="Acquirer Ticker" dataDxfId="27"/>
    <tableColumn id="4" name="Announce Date" dataDxfId="26"/>
    <tableColumn id="5" name="Announced Total Value (mil.)" dataDxfId="25"/>
    <tableColumn id="6" name="Payment Type" dataDxfId="24"/>
    <tableColumn id="7" name="TV/EBITDA" dataDxfId="23"/>
    <tableColumn id="8" name="Target Industry Sector" dataDxfId="22"/>
    <tableColumn id="9" name="Target Industry Group" dataDxfId="21"/>
    <tableColumn id="10" name="Target Industry Subgroup" dataDxfId="20"/>
    <tableColumn id="11" name="Acquirer Termination Fee" dataDxfId="19"/>
    <tableColumn id="12" name="Target Termination Fee" dataDxfId="18"/>
    <tableColumn id="13" name="Announced Premium" dataDxfId="17"/>
    <tableColumn id="14" name="Announced Equity Value (mil.)" dataDxfId="16"/>
    <tableColumn id="15" name="Target Country/Region" dataDxfId="15"/>
    <tableColumn id="16" name="Acquirer Country/Region" dataDxfId="14"/>
    <tableColumn id="17" name="Nature of Bid" dataDxfId="13"/>
    <tableColumn id="18" name="Target Sales/Revenue/Turnover" dataDxfId="12"/>
    <tableColumn id="19" name="Target Trailg 12 Mth Operating Margin" dataDxfId="11"/>
    <tableColumn id="20" name="Deal Attributes" dataDxfId="10"/>
    <tableColumn id="21" name="Additional Stake Purchase" dataDxfId="9"/>
    <tableColumn id="22" name="Competing Bid" dataDxfId="8"/>
    <tableColumn id="23" name="Cross Border" dataDxfId="7"/>
    <tableColumn id="24" name="Going Private" dataDxfId="6"/>
    <tableColumn id="25" name="PE Buyout" dataDxfId="5"/>
    <tableColumn id="26" name="Tender Offer" dataDxfId="4"/>
    <tableColumn id="27" name="Log TV" dataDxfId="3"/>
    <tableColumn id="28" name="Log Revenue" dataDxfId="2"/>
    <tableColumn id="29" name="Log Equity Value" dataDxfId="1"/>
    <tableColumn id="30" name="SAMR">
      <calculatedColumnFormula array="1">IF(SUMPRODUCT(--($AM$2:$AM$112=TRIM(LEFT($B2,IFERROR(FIND(" ",$B2)-1,LEN($B2))))))&gt;0,1,0)</calculatedColumnFormula>
    </tableColumn>
    <tableColumn id="31" name="EC">
      <calculatedColumnFormula array="1">IF(SUMPRODUCT(--($AO$2:$AO$145=TRIM(LEFT($B2,IFERROR(FIND(" ",$B2)-1,LEN($B2))))))&gt;0,1,0)</calculatedColumnFormula>
    </tableColumn>
    <tableColumn id="32" name="CFIUS">
      <calculatedColumnFormula array="1">IF(SUMPRODUCT(--($AQ$2:$AQ$71=TRIM(LEFT($B2,IFERROR(FIND(" ",$B2)-1,LEN($B2))))))&gt;0,1,0)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71"/>
  <sheetViews>
    <sheetView tabSelected="1" workbookViewId="0">
      <selection activeCell="A1" sqref="A1"/>
    </sheetView>
  </sheetViews>
  <sheetFormatPr baseColWidth="8" defaultRowHeight="15"/>
  <cols>
    <col width="19.5703125" customWidth="1" min="1" max="1"/>
    <col width="15.140625" customWidth="1" min="2" max="2"/>
    <col width="17" customWidth="1" min="3" max="4"/>
    <col width="29.5703125" customWidth="1" min="5" max="5"/>
    <col width="16.140625" customWidth="1" min="6" max="6"/>
    <col width="12.85546875" customWidth="1" min="7" max="7"/>
    <col width="23.140625" customWidth="1" min="8" max="8"/>
    <col width="22.85546875" customWidth="1" min="9" max="9"/>
    <col width="26.140625" customWidth="1" min="10" max="10"/>
    <col width="26.42578125" customWidth="1" min="11" max="11"/>
    <col width="24.5703125" customWidth="1" min="12" max="12"/>
    <col width="22.28515625" customWidth="1" min="13" max="13"/>
    <col width="30.5703125" customWidth="1" min="14" max="14"/>
    <col width="23.5703125" customWidth="1" min="15" max="15"/>
    <col width="25.42578125" customWidth="1" min="16" max="16"/>
    <col width="15" customWidth="1" min="17" max="17"/>
    <col width="31.85546875" customWidth="1" min="18" max="18"/>
    <col width="37.7109375" customWidth="1" min="19" max="19"/>
    <col width="16.42578125" customWidth="1" min="20" max="20"/>
    <col width="27.140625" customWidth="1" min="21" max="21"/>
    <col width="16.5703125" customWidth="1" min="22" max="22"/>
    <col width="14.7109375" customWidth="1" min="23" max="23"/>
    <col width="15.5703125" customWidth="1" min="24" max="24"/>
    <col width="12.42578125" customWidth="1" min="25" max="25"/>
    <col width="14.5703125" customWidth="1" min="26" max="26"/>
    <col width="9.5703125" customWidth="1" min="27" max="27"/>
    <col width="15.140625" customWidth="1" min="28" max="28"/>
    <col width="18.5703125" customWidth="1" min="29" max="29"/>
    <col width="12.85546875" customWidth="1" min="34" max="34"/>
  </cols>
  <sheetData>
    <row r="1" ht="65.25" customHeight="1" thickBot="1">
      <c r="A1" s="12" t="inlineStr">
        <is>
          <t>Business Days To Complete</t>
        </is>
      </c>
      <c r="B1" s="1" t="inlineStr">
        <is>
          <t>Target Ticker</t>
        </is>
      </c>
      <c r="C1" s="1" t="inlineStr">
        <is>
          <t>Acquirer Ticker</t>
        </is>
      </c>
      <c r="D1" s="1" t="inlineStr">
        <is>
          <t>Announce Date</t>
        </is>
      </c>
      <c r="E1" s="1" t="inlineStr">
        <is>
          <t>Announced Total Value (mil.)</t>
        </is>
      </c>
      <c r="F1" s="1" t="inlineStr">
        <is>
          <t>Payment Type</t>
        </is>
      </c>
      <c r="G1" s="1" t="inlineStr">
        <is>
          <t>TV/EBITDA</t>
        </is>
      </c>
      <c r="H1" s="1" t="inlineStr">
        <is>
          <t>Target Industry Sector</t>
        </is>
      </c>
      <c r="I1" s="1" t="inlineStr">
        <is>
          <t>Target Industry Group</t>
        </is>
      </c>
      <c r="J1" s="1" t="inlineStr">
        <is>
          <t>Target Industry Subgroup</t>
        </is>
      </c>
      <c r="K1" s="1" t="inlineStr">
        <is>
          <t>Acquirer Termination Fee</t>
        </is>
      </c>
      <c r="L1" s="1" t="inlineStr">
        <is>
          <t>Target Termination Fee</t>
        </is>
      </c>
      <c r="M1" s="1" t="inlineStr">
        <is>
          <t>Announced Premium</t>
        </is>
      </c>
      <c r="N1" s="1" t="inlineStr">
        <is>
          <t>Announced Equity Value (mil.)</t>
        </is>
      </c>
      <c r="O1" s="1" t="inlineStr">
        <is>
          <t>Target Country/Region</t>
        </is>
      </c>
      <c r="P1" s="1" t="inlineStr">
        <is>
          <t>Acquirer Country/Region</t>
        </is>
      </c>
      <c r="Q1" s="1" t="inlineStr">
        <is>
          <t>Nature of Bid</t>
        </is>
      </c>
      <c r="R1" s="1" t="inlineStr">
        <is>
          <t>Target Sales/Revenue/Turnover</t>
        </is>
      </c>
      <c r="S1" s="1" t="inlineStr">
        <is>
          <t>Target Trailg 12 Mth Operating Margin</t>
        </is>
      </c>
      <c r="T1" s="1" t="inlineStr">
        <is>
          <t>Deal Attributes</t>
        </is>
      </c>
      <c r="U1" s="1" t="inlineStr">
        <is>
          <t>Additional Stake Purchase</t>
        </is>
      </c>
      <c r="V1" s="1" t="inlineStr">
        <is>
          <t>Competing Bid</t>
        </is>
      </c>
      <c r="W1" s="1" t="inlineStr">
        <is>
          <t>Cross Border</t>
        </is>
      </c>
      <c r="X1" s="1" t="inlineStr">
        <is>
          <t>Going Private</t>
        </is>
      </c>
      <c r="Y1" s="1" t="inlineStr">
        <is>
          <t>PE Buyout</t>
        </is>
      </c>
      <c r="Z1" s="1" t="inlineStr">
        <is>
          <t>Tender Offer</t>
        </is>
      </c>
      <c r="AA1" s="2" t="inlineStr">
        <is>
          <t>Log TV</t>
        </is>
      </c>
      <c r="AB1" s="2" t="inlineStr">
        <is>
          <t>Log Revenue</t>
        </is>
      </c>
      <c r="AC1" s="2" t="inlineStr">
        <is>
          <t>Log Equity Value</t>
        </is>
      </c>
      <c r="AD1" s="10" t="inlineStr">
        <is>
          <t>SAMR</t>
        </is>
      </c>
      <c r="AE1" s="10" t="inlineStr">
        <is>
          <t>EC</t>
        </is>
      </c>
      <c r="AF1" s="10" t="inlineStr">
        <is>
          <t>CFIUS</t>
        </is>
      </c>
      <c r="AL1" s="10" t="inlineStr">
        <is>
          <t>SAMR Reference List</t>
        </is>
      </c>
      <c r="AM1" s="11" t="inlineStr">
        <is>
          <t>Ticker Root</t>
        </is>
      </c>
      <c r="AN1" t="inlineStr">
        <is>
          <t>EC REF</t>
        </is>
      </c>
      <c r="AO1" t="inlineStr">
        <is>
          <t>Ticker root</t>
        </is>
      </c>
      <c r="AP1" t="inlineStr">
        <is>
          <t>CFIUS REF</t>
        </is>
      </c>
      <c r="AQ1" t="inlineStr">
        <is>
          <t>Ticker Root</t>
        </is>
      </c>
    </row>
    <row r="2" ht="165.75" customHeight="1" thickBot="1">
      <c r="A2" s="13" t="n">
        <v>134</v>
      </c>
      <c r="B2" s="4" t="inlineStr">
        <is>
          <t>CWAN US</t>
        </is>
      </c>
      <c r="C2" s="2" t="n"/>
      <c r="D2" s="5" t="n">
        <v>46012</v>
      </c>
      <c r="E2" s="3" t="n">
        <v>7892.89</v>
      </c>
      <c r="F2" s="4" t="inlineStr">
        <is>
          <t>Cash</t>
        </is>
      </c>
      <c r="G2" s="3" t="n">
        <v>234.8</v>
      </c>
      <c r="H2" s="4" t="inlineStr">
        <is>
          <t>Technology</t>
        </is>
      </c>
      <c r="I2" s="4" t="inlineStr">
        <is>
          <t>Software &amp; Tech Services</t>
        </is>
      </c>
      <c r="J2" s="4" t="inlineStr">
        <is>
          <t>Software</t>
        </is>
      </c>
      <c r="K2" s="4" t="n"/>
      <c r="L2" s="4" t="n"/>
      <c r="M2" s="3" t="n">
        <v>13.41</v>
      </c>
      <c r="N2" s="3" t="n">
        <v>7074.18</v>
      </c>
      <c r="O2" s="4" t="inlineStr">
        <is>
          <t>United States</t>
        </is>
      </c>
      <c r="P2" s="4" t="inlineStr">
        <is>
          <t>United States</t>
        </is>
      </c>
      <c r="Q2" s="4" t="inlineStr">
        <is>
          <t>Friendly</t>
        </is>
      </c>
      <c r="R2" s="3" t="n">
        <v>731.3680000000001</v>
      </c>
      <c r="S2" s="3" t="n">
        <v>-0.699864</v>
      </c>
      <c r="T2" s="4" t="inlineStr">
        <is>
          <t>Company Takeover, Private Equity, PE Buyout, Going Private, Cross Border</t>
        </is>
      </c>
      <c r="U2" s="2" t="inlineStr">
        <is>
          <t>No</t>
        </is>
      </c>
      <c r="V2" s="2" t="inlineStr">
        <is>
          <t>No</t>
        </is>
      </c>
      <c r="W2" s="2" t="inlineStr">
        <is>
          <t>Yes</t>
        </is>
      </c>
      <c r="X2" s="2" t="inlineStr">
        <is>
          <t>Yes</t>
        </is>
      </c>
      <c r="Y2" s="2" t="inlineStr">
        <is>
          <t>Yes</t>
        </is>
      </c>
      <c r="Z2" s="2" t="inlineStr">
        <is>
          <t>No</t>
        </is>
      </c>
      <c r="AA2" s="6" t="n">
        <v>3.89723605</v>
      </c>
      <c r="AB2" s="6" t="n">
        <v>2.864135954</v>
      </c>
      <c r="AC2" s="6" t="n">
        <v>3.849676106</v>
      </c>
      <c r="AD2">
        <f t="array" ref="AD2">IF(SUMPRODUCT(--($AM$2:$AM$112=TRIM(LEFT($B2,IFERROR(FIND(" ",$B2)-1,LEN($B2))))))&gt;0,1,0)</f>
        <v/>
      </c>
      <c r="AE2">
        <f t="array" ref="AE2">IF(SUMPRODUCT(--($AO$2:$AO$145=TRIM(LEFT($B2,IFERROR(FIND(" ",$B2)-1,LEN($B2))))))&gt;0,1,0)</f>
        <v/>
      </c>
      <c r="AF2">
        <f t="array" ref="AF2">IF(SUMPRODUCT(--($AQ$2:$AQ$71=TRIM(LEFT($B2,IFERROR(FIND(" ",$B2)-1,LEN($B2))))))&gt;0,1,0)</f>
        <v/>
      </c>
      <c r="AL2" t="inlineStr">
        <is>
          <t xml:space="preserve">LUM / CMOC </t>
        </is>
      </c>
      <c r="AM2">
        <f>TRIM(LEFT(AL2,FIND("/",AL2)-1))</f>
        <v/>
      </c>
      <c r="AN2" t="inlineStr">
        <is>
          <t>FOLD / BioMa</t>
        </is>
      </c>
      <c r="AO2">
        <f>TRIM(LEFT(AN2,FIND("/",AN2)-1))</f>
        <v/>
      </c>
      <c r="AP2" t="inlineStr">
        <is>
          <t>ASCU / Hudba</t>
        </is>
      </c>
      <c r="AQ2">
        <f>TRIM(LEFT(AP2,FIND("/",AP2)-1))</f>
        <v/>
      </c>
    </row>
    <row r="3" ht="45.75" customHeight="1" thickBot="1">
      <c r="A3" s="14" t="n">
        <v>63</v>
      </c>
      <c r="B3" s="4" t="inlineStr">
        <is>
          <t>CNTA US</t>
        </is>
      </c>
      <c r="C3" s="4" t="inlineStr">
        <is>
          <t>LLY US</t>
        </is>
      </c>
      <c r="D3" s="7" t="n">
        <v>46112</v>
      </c>
      <c r="E3" s="3" t="n">
        <v>5488.19</v>
      </c>
      <c r="F3" s="4" t="inlineStr">
        <is>
          <t>Cash</t>
        </is>
      </c>
      <c r="G3" s="4" t="n"/>
      <c r="H3" s="4" t="inlineStr">
        <is>
          <t>Health Care</t>
        </is>
      </c>
      <c r="I3" s="4" t="inlineStr">
        <is>
          <t>Health Care</t>
        </is>
      </c>
      <c r="J3" s="4" t="inlineStr">
        <is>
          <t>Biotech &amp; Pharma</t>
        </is>
      </c>
      <c r="K3" s="4" t="n"/>
      <c r="L3" s="4" t="n"/>
      <c r="M3" s="3" t="n">
        <v>38.25</v>
      </c>
      <c r="N3" s="3" t="n">
        <v>5616.14</v>
      </c>
      <c r="O3" s="4" t="inlineStr">
        <is>
          <t>United States</t>
        </is>
      </c>
      <c r="P3" s="4" t="inlineStr">
        <is>
          <t>United States</t>
        </is>
      </c>
      <c r="Q3" s="4" t="inlineStr">
        <is>
          <t>Friendly</t>
        </is>
      </c>
      <c r="R3" s="3" t="n">
        <v>15</v>
      </c>
      <c r="S3" s="2" t="n"/>
      <c r="T3" s="4" t="inlineStr">
        <is>
          <t>Company Takeover</t>
        </is>
      </c>
      <c r="U3" s="2" t="inlineStr">
        <is>
          <t>No</t>
        </is>
      </c>
      <c r="V3" s="2" t="inlineStr">
        <is>
          <t>No</t>
        </is>
      </c>
      <c r="W3" s="2" t="inlineStr">
        <is>
          <t>No</t>
        </is>
      </c>
      <c r="X3" s="2" t="inlineStr">
        <is>
          <t>No</t>
        </is>
      </c>
      <c r="Y3" s="2" t="inlineStr">
        <is>
          <t>No</t>
        </is>
      </c>
      <c r="Z3" s="2" t="inlineStr">
        <is>
          <t>No</t>
        </is>
      </c>
      <c r="AA3" s="6" t="n">
        <v>3.739429138</v>
      </c>
      <c r="AB3" s="6" t="n">
        <v>1.176091259</v>
      </c>
      <c r="AC3" s="6" t="n">
        <v>3.749437925</v>
      </c>
      <c r="AD3">
        <f t="array" ref="AD3">IF(SUMPRODUCT(--($AM$2:$AM$112=TRIM(LEFT($B3,IFERROR(FIND(" ",$B3)-1,LEN($B3))))))&gt;0,1,0)</f>
        <v/>
      </c>
      <c r="AE3">
        <f t="array" ref="AE3">IF(SUMPRODUCT(--($AO$2:$AO$145=TRIM(LEFT($B3,IFERROR(FIND(" ",$B3)-1,LEN($B3))))))&gt;0,1,0)</f>
        <v/>
      </c>
      <c r="AF3">
        <f t="array" ref="AF3">IF(SUMPRODUCT(--($AQ$2:$AQ$71=TRIM(LEFT($B3,IFERROR(FIND(" ",$B3)-1,LEN($B3))))))&gt;0,1,0)</f>
        <v/>
      </c>
      <c r="AL3" t="inlineStr">
        <is>
          <t>FIL / Lundi</t>
        </is>
      </c>
      <c r="AM3">
        <f>TRIM(LEFT(AL3,FIND("/",AL3)-1))</f>
        <v/>
      </c>
      <c r="AN3" t="inlineStr">
        <is>
          <t>SEE / Clayt</t>
        </is>
      </c>
      <c r="AO3">
        <f>TRIM(LEFT(AN3,FIND("/",AN3)-1))</f>
        <v/>
      </c>
      <c r="AP3" t="inlineStr">
        <is>
          <t>ONTF / Black</t>
        </is>
      </c>
      <c r="AQ3">
        <f>TRIM(LEFT(AP3,FIND("/",AP3)-1))</f>
        <v/>
      </c>
    </row>
    <row r="4" ht="45.75" customHeight="1" thickBot="1">
      <c r="A4" s="13" t="n">
        <v>44</v>
      </c>
      <c r="B4" s="4" t="inlineStr">
        <is>
          <t>RUP CN</t>
        </is>
      </c>
      <c r="C4" s="4" t="inlineStr">
        <is>
          <t>AEM CN</t>
        </is>
      </c>
      <c r="D4" s="7" t="n">
        <v>46132</v>
      </c>
      <c r="E4" s="3" t="n">
        <v>1935.3</v>
      </c>
      <c r="F4" s="4" t="inlineStr">
        <is>
          <t>Stock</t>
        </is>
      </c>
      <c r="G4" s="4" t="n"/>
      <c r="H4" s="4" t="inlineStr">
        <is>
          <t>Materials</t>
        </is>
      </c>
      <c r="I4" s="4" t="inlineStr">
        <is>
          <t>Materials</t>
        </is>
      </c>
      <c r="J4" s="4" t="inlineStr">
        <is>
          <t>Metals &amp; Mining</t>
        </is>
      </c>
      <c r="K4" s="4" t="n"/>
      <c r="L4" s="4" t="n"/>
      <c r="M4" s="3" t="n">
        <v>74.34999999999999</v>
      </c>
      <c r="N4" s="3" t="n">
        <v>1935.3</v>
      </c>
      <c r="O4" s="4" t="inlineStr">
        <is>
          <t>Canada</t>
        </is>
      </c>
      <c r="P4" s="4" t="inlineStr">
        <is>
          <t>Canada</t>
        </is>
      </c>
      <c r="Q4" s="4" t="inlineStr">
        <is>
          <t>Friendly</t>
        </is>
      </c>
      <c r="R4" s="2" t="n"/>
      <c r="S4" s="2" t="n"/>
      <c r="T4" s="4" t="inlineStr">
        <is>
          <t>Company Takeover</t>
        </is>
      </c>
      <c r="U4" s="2" t="inlineStr">
        <is>
          <t>No</t>
        </is>
      </c>
      <c r="V4" s="2" t="inlineStr">
        <is>
          <t>No</t>
        </is>
      </c>
      <c r="W4" s="2" t="inlineStr">
        <is>
          <t>No</t>
        </is>
      </c>
      <c r="X4" s="2" t="inlineStr">
        <is>
          <t>No</t>
        </is>
      </c>
      <c r="Y4" s="2" t="inlineStr">
        <is>
          <t>No</t>
        </is>
      </c>
      <c r="Z4" s="2" t="inlineStr">
        <is>
          <t>No</t>
        </is>
      </c>
      <c r="AA4" s="6" t="n">
        <v>3.286748297</v>
      </c>
      <c r="AB4" s="2" t="n"/>
      <c r="AC4" s="6" t="n">
        <v>3.286748297</v>
      </c>
      <c r="AD4">
        <f t="array" ref="AD4">IF(SUMPRODUCT(--($AM$2:$AM$112=TRIM(LEFT($B4,IFERROR(FIND(" ",$B4)-1,LEN($B4))))))&gt;0,1,0)</f>
        <v/>
      </c>
      <c r="AE4">
        <f t="array" ref="AE4">IF(SUMPRODUCT(--($AO$2:$AO$145=TRIM(LEFT($B4,IFERROR(FIND(" ",$B4)-1,LEN($B4))))))&gt;0,1,0)</f>
        <v/>
      </c>
      <c r="AF4">
        <f t="array" ref="AF4">IF(SUMPRODUCT(--($AQ$2:$AQ$71=TRIM(LEFT($B4,IFERROR(FIND(" ",$B4)-1,LEN($B4))))))&gt;0,1,0)</f>
        <v/>
      </c>
      <c r="AL4" t="inlineStr">
        <is>
          <t>NVEI / Adven</t>
        </is>
      </c>
      <c r="AM4">
        <f>TRIM(LEFT(AL4,FIND("/",AL4)-1))</f>
        <v/>
      </c>
      <c r="AN4" t="inlineStr">
        <is>
          <t>HOLX / Black</t>
        </is>
      </c>
      <c r="AO4">
        <f>TRIM(LEFT(AN4,FIND("/",AN4)-1))</f>
        <v/>
      </c>
      <c r="AP4" t="inlineStr">
        <is>
          <t>CSGS / NEC C</t>
        </is>
      </c>
      <c r="AQ4">
        <f>TRIM(LEFT(AP4,FIND("/",AP4)-1))</f>
        <v/>
      </c>
    </row>
    <row r="5" ht="180.75" customHeight="1" thickBot="1">
      <c r="A5" s="13" t="n">
        <v>86</v>
      </c>
      <c r="B5" s="4" t="inlineStr">
        <is>
          <t>KW US</t>
        </is>
      </c>
      <c r="C5" s="2" t="n"/>
      <c r="D5" s="7" t="n">
        <v>46070</v>
      </c>
      <c r="E5" s="3" t="n">
        <v>1038.74</v>
      </c>
      <c r="F5" s="4" t="inlineStr">
        <is>
          <t>Cash</t>
        </is>
      </c>
      <c r="G5" s="3" t="n">
        <v>4.55</v>
      </c>
      <c r="H5" s="4" t="inlineStr">
        <is>
          <t>Real Estate</t>
        </is>
      </c>
      <c r="I5" s="4" t="inlineStr">
        <is>
          <t>Real Estate</t>
        </is>
      </c>
      <c r="J5" s="4" t="inlineStr">
        <is>
          <t>Real Estate Owners &amp; Developers</t>
        </is>
      </c>
      <c r="K5" s="4" t="n"/>
      <c r="L5" s="3" t="n">
        <v>42.7</v>
      </c>
      <c r="M5" s="3" t="n">
        <v>10.53</v>
      </c>
      <c r="N5" s="3" t="n">
        <v>1038.74</v>
      </c>
      <c r="O5" s="4" t="inlineStr">
        <is>
          <t>United States</t>
        </is>
      </c>
      <c r="P5" s="4" t="inlineStr">
        <is>
          <t>Canada</t>
        </is>
      </c>
      <c r="Q5" s="4" t="inlineStr">
        <is>
          <t>Friendly</t>
        </is>
      </c>
      <c r="R5" s="3" t="n">
        <v>501</v>
      </c>
      <c r="S5" s="3" t="n">
        <v>47.0912</v>
      </c>
      <c r="T5" s="4" t="inlineStr">
        <is>
          <t>Company Takeover, Cross Border, Additional Stake Purchase, Management Buyout</t>
        </is>
      </c>
      <c r="U5" s="2" t="inlineStr">
        <is>
          <t>Yes</t>
        </is>
      </c>
      <c r="V5" s="2" t="inlineStr">
        <is>
          <t>No</t>
        </is>
      </c>
      <c r="W5" s="2" t="inlineStr">
        <is>
          <t>Yes</t>
        </is>
      </c>
      <c r="X5" s="2" t="inlineStr">
        <is>
          <t>No</t>
        </is>
      </c>
      <c r="Y5" s="2" t="inlineStr">
        <is>
          <t>No</t>
        </is>
      </c>
      <c r="Z5" s="2" t="inlineStr">
        <is>
          <t>No</t>
        </is>
      </c>
      <c r="AA5" s="6" t="n">
        <v>3.016506856</v>
      </c>
      <c r="AB5" s="6" t="n">
        <v>2.699837726</v>
      </c>
      <c r="AC5" s="6" t="n">
        <v>3.016506856</v>
      </c>
      <c r="AD5">
        <f t="array" ref="AD5">IF(SUMPRODUCT(--($AM$2:$AM$112=TRIM(LEFT($B5,IFERROR(FIND(" ",$B5)-1,LEN($B5))))))&gt;0,1,0)</f>
        <v/>
      </c>
      <c r="AE5">
        <f t="array" ref="AE5">IF(SUMPRODUCT(--($AO$2:$AO$145=TRIM(LEFT($B5,IFERROR(FIND(" ",$B5)-1,LEN($B5))))))&gt;0,1,0)</f>
        <v/>
      </c>
      <c r="AF5">
        <f t="array" ref="AF5">IF(SUMPRODUCT(--($AQ$2:$AQ$71=TRIM(LEFT($B5,IFERROR(FIND(" ",$B5)-1,LEN($B5))))))&gt;0,1,0)</f>
        <v/>
      </c>
      <c r="AL5" t="inlineStr">
        <is>
          <t>VLN / Flows</t>
        </is>
      </c>
      <c r="AM5">
        <f>TRIM(LEFT(AL5,FIND("/",AL5)-1))</f>
        <v/>
      </c>
      <c r="AN5" t="inlineStr">
        <is>
          <t xml:space="preserve">HI / Lone </t>
        </is>
      </c>
      <c r="AO5">
        <f>TRIM(LEFT(AN5,FIND("/",AN5)-1))</f>
        <v/>
      </c>
      <c r="AP5" t="inlineStr">
        <is>
          <t>HOLX / Black</t>
        </is>
      </c>
      <c r="AQ5">
        <f>TRIM(LEFT(AP5,FIND("/",AP5)-1))</f>
        <v/>
      </c>
    </row>
    <row r="6" ht="105.75" customHeight="1" thickBot="1">
      <c r="A6" s="13" t="n">
        <v>33</v>
      </c>
      <c r="B6" s="4" t="inlineStr">
        <is>
          <t>KALV US</t>
        </is>
      </c>
      <c r="C6" s="4" t="inlineStr">
        <is>
          <t>97612Z IM</t>
        </is>
      </c>
      <c r="D6" s="7" t="n">
        <v>46141</v>
      </c>
      <c r="E6" s="3" t="n">
        <v>1223.43</v>
      </c>
      <c r="F6" s="4" t="inlineStr">
        <is>
          <t>Cash</t>
        </is>
      </c>
      <c r="G6" s="4" t="n"/>
      <c r="H6" s="4" t="inlineStr">
        <is>
          <t>Health Care</t>
        </is>
      </c>
      <c r="I6" s="4" t="inlineStr">
        <is>
          <t>Health Care</t>
        </is>
      </c>
      <c r="J6" s="4" t="inlineStr">
        <is>
          <t>Biotech &amp; Pharma</t>
        </is>
      </c>
      <c r="K6" s="4" t="n"/>
      <c r="L6" s="4" t="n"/>
      <c r="M6" s="3" t="n">
        <v>36.2</v>
      </c>
      <c r="N6" s="3" t="n">
        <v>1383.01</v>
      </c>
      <c r="O6" s="4" t="inlineStr">
        <is>
          <t>United States</t>
        </is>
      </c>
      <c r="P6" s="4" t="inlineStr">
        <is>
          <t>Italy</t>
        </is>
      </c>
      <c r="Q6" s="4" t="inlineStr">
        <is>
          <t>Friendly</t>
        </is>
      </c>
      <c r="R6" s="2" t="n"/>
      <c r="S6" s="2" t="n"/>
      <c r="T6" s="4" t="inlineStr">
        <is>
          <t>Cross Border, Tender Offer, Company Takeover</t>
        </is>
      </c>
      <c r="U6" s="2" t="inlineStr">
        <is>
          <t>No</t>
        </is>
      </c>
      <c r="V6" s="2" t="inlineStr">
        <is>
          <t>No</t>
        </is>
      </c>
      <c r="W6" s="2" t="inlineStr">
        <is>
          <t>Yes</t>
        </is>
      </c>
      <c r="X6" s="2" t="inlineStr">
        <is>
          <t>No</t>
        </is>
      </c>
      <c r="Y6" s="2" t="inlineStr">
        <is>
          <t>No</t>
        </is>
      </c>
      <c r="Z6" s="2" t="inlineStr">
        <is>
          <t>Yes</t>
        </is>
      </c>
      <c r="AA6" s="6" t="n">
        <v>3.087579126</v>
      </c>
      <c r="AB6" s="2" t="n"/>
      <c r="AC6" s="6" t="n">
        <v>3.14082532</v>
      </c>
      <c r="AD6">
        <f t="array" ref="AD6">IF(SUMPRODUCT(--($AM$2:$AM$112=TRIM(LEFT($B6,IFERROR(FIND(" ",$B6)-1,LEN($B6))))))&gt;0,1,0)</f>
        <v/>
      </c>
      <c r="AE6">
        <f t="array" ref="AE6">IF(SUMPRODUCT(--($AO$2:$AO$145=TRIM(LEFT($B6,IFERROR(FIND(" ",$B6)-1,LEN($B6))))))&gt;0,1,0)</f>
        <v/>
      </c>
      <c r="AF6">
        <f t="array" ref="AF6">IF(SUMPRODUCT(--($AQ$2:$AQ$71=TRIM(LEFT($B6,IFERROR(FIND(" ",$B6)-1,LEN($B6))))))&gt;0,1,0)</f>
        <v/>
      </c>
      <c r="AL6" t="inlineStr">
        <is>
          <t>PVG / Newcr</t>
        </is>
      </c>
      <c r="AM6">
        <f>TRIM(LEFT(AL6,FIND("/",AL6)-1))</f>
        <v/>
      </c>
      <c r="AN6" t="inlineStr">
        <is>
          <t>SPNS / Adven</t>
        </is>
      </c>
      <c r="AO6">
        <f>TRIM(LEFT(AN6,FIND("/",AN6)-1))</f>
        <v/>
      </c>
      <c r="AP6" t="inlineStr">
        <is>
          <t xml:space="preserve">HI / Lone </t>
        </is>
      </c>
      <c r="AQ6">
        <f>TRIM(LEFT(AP6,FIND("/",AP6)-1))</f>
        <v/>
      </c>
    </row>
    <row r="7" ht="60.75" customHeight="1" thickBot="1">
      <c r="A7" s="13" t="n">
        <v>83</v>
      </c>
      <c r="B7" s="4" t="inlineStr">
        <is>
          <t>MASI US</t>
        </is>
      </c>
      <c r="C7" s="4" t="inlineStr">
        <is>
          <t>DHR US</t>
        </is>
      </c>
      <c r="D7" s="7" t="n">
        <v>46070</v>
      </c>
      <c r="E7" s="3" t="n">
        <v>9668.51</v>
      </c>
      <c r="F7" s="4" t="inlineStr">
        <is>
          <t>Cash</t>
        </is>
      </c>
      <c r="G7" s="3" t="n">
        <v>27.72</v>
      </c>
      <c r="H7" s="4" t="inlineStr">
        <is>
          <t>Health Care</t>
        </is>
      </c>
      <c r="I7" s="4" t="inlineStr">
        <is>
          <t>Health Care</t>
        </is>
      </c>
      <c r="J7" s="4" t="inlineStr">
        <is>
          <t>Medical Equipment &amp; Devices</t>
        </is>
      </c>
      <c r="K7" s="4" t="n"/>
      <c r="L7" s="3" t="n">
        <v>305</v>
      </c>
      <c r="M7" s="3" t="n">
        <v>30.37</v>
      </c>
      <c r="N7" s="3" t="n">
        <v>9668.51</v>
      </c>
      <c r="O7" s="4" t="inlineStr">
        <is>
          <t>United States</t>
        </is>
      </c>
      <c r="P7" s="4" t="inlineStr">
        <is>
          <t>United States</t>
        </is>
      </c>
      <c r="Q7" s="4" t="inlineStr">
        <is>
          <t>Friendly</t>
        </is>
      </c>
      <c r="R7" s="3" t="n">
        <v>1526.9</v>
      </c>
      <c r="S7" s="3" t="n">
        <v>24.0438</v>
      </c>
      <c r="T7" s="4" t="inlineStr">
        <is>
          <t>Company Takeover</t>
        </is>
      </c>
      <c r="U7" s="2" t="inlineStr">
        <is>
          <t>No</t>
        </is>
      </c>
      <c r="V7" s="2" t="inlineStr">
        <is>
          <t>No</t>
        </is>
      </c>
      <c r="W7" s="2" t="inlineStr">
        <is>
          <t>No</t>
        </is>
      </c>
      <c r="X7" s="2" t="inlineStr">
        <is>
          <t>No</t>
        </is>
      </c>
      <c r="Y7" s="2" t="inlineStr">
        <is>
          <t>No</t>
        </is>
      </c>
      <c r="Z7" s="2" t="inlineStr">
        <is>
          <t>No</t>
        </is>
      </c>
      <c r="AA7" s="6" t="n">
        <v>3.985359551</v>
      </c>
      <c r="AB7" s="6" t="n">
        <v>3.183810595</v>
      </c>
      <c r="AC7" s="6" t="n">
        <v>3.985359551</v>
      </c>
      <c r="AD7">
        <f t="array" ref="AD7">IF(SUMPRODUCT(--($AM$2:$AM$112=TRIM(LEFT($B7,IFERROR(FIND(" ",$B7)-1,LEN($B7))))))&gt;0,1,0)</f>
        <v/>
      </c>
      <c r="AE7">
        <f t="array" ref="AE7">IF(SUMPRODUCT(--($AO$2:$AO$145=TRIM(LEFT($B7,IFERROR(FIND(" ",$B7)-1,LEN($B7))))))&gt;0,1,0)</f>
        <v/>
      </c>
      <c r="AF7">
        <f t="array" ref="AF7">IF(SUMPRODUCT(--($AQ$2:$AQ$71=TRIM(LEFT($B7,IFERROR(FIND(" ",$B7)-1,LEN($B7))))))&gt;0,1,0)</f>
        <v/>
      </c>
      <c r="AL7" t="inlineStr">
        <is>
          <t>GSS / Chife</t>
        </is>
      </c>
      <c r="AM7">
        <f>TRIM(LEFT(AL7,FIND("/",AL7)-1))</f>
        <v/>
      </c>
      <c r="AN7" t="inlineStr">
        <is>
          <t>WOW / Digit</t>
        </is>
      </c>
      <c r="AO7">
        <f>TRIM(LEFT(AN7,FIND("/",AN7)-1))</f>
        <v/>
      </c>
      <c r="AP7" t="inlineStr">
        <is>
          <t>AL / Sumit</t>
        </is>
      </c>
      <c r="AQ7">
        <f>TRIM(LEFT(AP7,FIND("/",AP7)-1))</f>
        <v/>
      </c>
    </row>
    <row r="8" ht="90.75" customHeight="1" thickBot="1">
      <c r="A8" s="13" t="n">
        <v>49</v>
      </c>
      <c r="B8" s="4" t="inlineStr">
        <is>
          <t>RPR-U CN</t>
        </is>
      </c>
      <c r="C8" s="4" t="inlineStr">
        <is>
          <t>CKI CN</t>
        </is>
      </c>
      <c r="D8" s="7" t="n">
        <v>46108</v>
      </c>
      <c r="E8" s="3" t="n">
        <v>801.47</v>
      </c>
      <c r="F8" s="4" t="inlineStr">
        <is>
          <t>Stock</t>
        </is>
      </c>
      <c r="G8" s="3" t="n">
        <v>13.94</v>
      </c>
      <c r="H8" s="4" t="inlineStr">
        <is>
          <t>Real Estate</t>
        </is>
      </c>
      <c r="I8" s="4" t="inlineStr">
        <is>
          <t>Real Estate</t>
        </is>
      </c>
      <c r="J8" s="4" t="inlineStr">
        <is>
          <t>Real Estate Owners &amp; Developers</t>
        </is>
      </c>
      <c r="K8" s="4" t="n"/>
      <c r="L8" s="4" t="n"/>
      <c r="M8" s="4" t="n"/>
      <c r="N8" s="3" t="n">
        <v>2.97</v>
      </c>
      <c r="O8" s="4" t="inlineStr">
        <is>
          <t>Canada</t>
        </is>
      </c>
      <c r="P8" s="4" t="inlineStr">
        <is>
          <t>Canada</t>
        </is>
      </c>
      <c r="Q8" s="4" t="inlineStr">
        <is>
          <t>Friendly</t>
        </is>
      </c>
      <c r="R8" s="3" t="n">
        <v>132.646</v>
      </c>
      <c r="S8" s="3" t="n">
        <v>42.7872</v>
      </c>
      <c r="T8" s="4" t="inlineStr">
        <is>
          <t>Company Takeover</t>
        </is>
      </c>
      <c r="U8" s="2" t="inlineStr">
        <is>
          <t>No</t>
        </is>
      </c>
      <c r="V8" s="2" t="inlineStr">
        <is>
          <t>No</t>
        </is>
      </c>
      <c r="W8" s="2" t="inlineStr">
        <is>
          <t>No</t>
        </is>
      </c>
      <c r="X8" s="2" t="inlineStr">
        <is>
          <t>No</t>
        </is>
      </c>
      <c r="Y8" s="2" t="inlineStr">
        <is>
          <t>No</t>
        </is>
      </c>
      <c r="Z8" s="2" t="inlineStr">
        <is>
          <t>No</t>
        </is>
      </c>
      <c r="AA8" s="6" t="n">
        <v>2.903887271</v>
      </c>
      <c r="AB8" s="6" t="n">
        <v>2.122694158</v>
      </c>
      <c r="AC8" s="6" t="n">
        <v>0.4727564493</v>
      </c>
      <c r="AD8">
        <f t="array" ref="AD8">IF(SUMPRODUCT(--($AM$2:$AM$112=TRIM(LEFT($B8,IFERROR(FIND(" ",$B8)-1,LEN($B8))))))&gt;0,1,0)</f>
        <v/>
      </c>
      <c r="AE8">
        <f t="array" ref="AE8">IF(SUMPRODUCT(--($AO$2:$AO$145=TRIM(LEFT($B8,IFERROR(FIND(" ",$B8)-1,LEN($B8))))))&gt;0,1,0)</f>
        <v/>
      </c>
      <c r="AF8">
        <f t="array" ref="AF8">IF(SUMPRODUCT(--($AQ$2:$AQ$71=TRIM(LEFT($B8,IFERROR(FIND(" ",$B8)-1,LEN($B8))))))&gt;0,1,0)</f>
        <v/>
      </c>
      <c r="AL8" t="inlineStr">
        <is>
          <t>NLC / Zijin</t>
        </is>
      </c>
      <c r="AM8">
        <f>TRIM(LEFT(AL8,FIND("/",AL8)-1))</f>
        <v/>
      </c>
      <c r="AN8" t="inlineStr">
        <is>
          <t>AVDX / TPG (</t>
        </is>
      </c>
      <c r="AO8">
        <f>TRIM(LEFT(AN8,FIND("/",AN8)-1))</f>
        <v/>
      </c>
      <c r="AP8" t="inlineStr">
        <is>
          <t>DAY / Thoma</t>
        </is>
      </c>
      <c r="AQ8">
        <f>TRIM(LEFT(AP8,FIND("/",AP8)-1))</f>
        <v/>
      </c>
    </row>
    <row r="9" ht="45.75" customHeight="1" thickBot="1">
      <c r="A9" s="13" t="n">
        <v>112</v>
      </c>
      <c r="B9" s="4" t="inlineStr">
        <is>
          <t>FFIC US</t>
        </is>
      </c>
      <c r="C9" s="4" t="inlineStr">
        <is>
          <t>OCFC US</t>
        </is>
      </c>
      <c r="D9" s="7" t="n">
        <v>46020</v>
      </c>
      <c r="E9" s="3" t="n">
        <v>567.59</v>
      </c>
      <c r="F9" s="4" t="inlineStr">
        <is>
          <t>Stock</t>
        </is>
      </c>
      <c r="G9" s="4" t="n"/>
      <c r="H9" s="4" t="inlineStr">
        <is>
          <t>Financials</t>
        </is>
      </c>
      <c r="I9" s="4" t="inlineStr">
        <is>
          <t>Banking</t>
        </is>
      </c>
      <c r="J9" s="4" t="inlineStr">
        <is>
          <t>Banking</t>
        </is>
      </c>
      <c r="K9" s="4" t="n"/>
      <c r="L9" s="4" t="n"/>
      <c r="M9" s="3" t="n">
        <v>-1.1</v>
      </c>
      <c r="N9" s="3" t="n">
        <v>567.59</v>
      </c>
      <c r="O9" s="4" t="inlineStr">
        <is>
          <t>United States</t>
        </is>
      </c>
      <c r="P9" s="4" t="inlineStr">
        <is>
          <t>United States</t>
        </is>
      </c>
      <c r="Q9" s="4" t="inlineStr">
        <is>
          <t>Friendly</t>
        </is>
      </c>
      <c r="R9" s="3" t="n">
        <v>489.629</v>
      </c>
      <c r="S9" s="3" t="n">
        <v>20.4513</v>
      </c>
      <c r="T9" s="4" t="inlineStr">
        <is>
          <t>Company Takeover</t>
        </is>
      </c>
      <c r="U9" s="2" t="inlineStr">
        <is>
          <t>No</t>
        </is>
      </c>
      <c r="V9" s="2" t="inlineStr">
        <is>
          <t>No</t>
        </is>
      </c>
      <c r="W9" s="2" t="inlineStr">
        <is>
          <t>No</t>
        </is>
      </c>
      <c r="X9" s="2" t="inlineStr">
        <is>
          <t>No</t>
        </is>
      </c>
      <c r="Y9" s="2" t="inlineStr">
        <is>
          <t>No</t>
        </is>
      </c>
      <c r="Z9" s="2" t="inlineStr">
        <is>
          <t>No</t>
        </is>
      </c>
      <c r="AA9" s="6" t="n">
        <v>2.754034735</v>
      </c>
      <c r="AB9" s="6" t="n">
        <v>2.689867133</v>
      </c>
      <c r="AC9" s="6" t="n">
        <v>2.754034735</v>
      </c>
      <c r="AD9">
        <f t="array" ref="AD9">IF(SUMPRODUCT(--($AM$2:$AM$112=TRIM(LEFT($B9,IFERROR(FIND(" ",$B9)-1,LEN($B9))))))&gt;0,1,0)</f>
        <v/>
      </c>
      <c r="AE9">
        <f t="array" ref="AE9">IF(SUMPRODUCT(--($AO$2:$AO$145=TRIM(LEFT($B9,IFERROR(FIND(" ",$B9)-1,LEN($B9))))))&gt;0,1,0)</f>
        <v/>
      </c>
      <c r="AF9">
        <f t="array" ref="AF9">IF(SUMPRODUCT(--($AQ$2:$AQ$71=TRIM(LEFT($B9,IFERROR(FIND(" ",$B9)-1,LEN($B9))))))&gt;0,1,0)</f>
        <v/>
      </c>
      <c r="AL9" t="inlineStr">
        <is>
          <t>GUY / Zijin</t>
        </is>
      </c>
      <c r="AM9">
        <f>TRIM(LEFT(AL9,FIND("/",AL9)-1))</f>
        <v/>
      </c>
      <c r="AN9" t="inlineStr">
        <is>
          <t>SKX / 3G Ca</t>
        </is>
      </c>
      <c r="AO9">
        <f>TRIM(LEFT(AN9,FIND("/",AN9)-1))</f>
        <v/>
      </c>
      <c r="AP9" t="inlineStr">
        <is>
          <t>ETWO / WiseT</t>
        </is>
      </c>
      <c r="AQ9">
        <f>TRIM(LEFT(AP9,FIND("/",AP9)-1))</f>
        <v/>
      </c>
    </row>
    <row r="10" ht="45.75" customHeight="1" thickBot="1">
      <c r="A10" s="13" t="n">
        <v>70</v>
      </c>
      <c r="B10" s="4" t="inlineStr">
        <is>
          <t>THR US</t>
        </is>
      </c>
      <c r="C10" s="4" t="inlineStr">
        <is>
          <t>CECO US</t>
        </is>
      </c>
      <c r="D10" s="7" t="n">
        <v>46077</v>
      </c>
      <c r="E10" s="3" t="n">
        <v>4165.23</v>
      </c>
      <c r="F10" s="4" t="inlineStr">
        <is>
          <t>Cash or Stock</t>
        </is>
      </c>
      <c r="G10" s="3" t="n">
        <v>39.17</v>
      </c>
      <c r="H10" s="4" t="inlineStr">
        <is>
          <t>Industrials</t>
        </is>
      </c>
      <c r="I10" s="4" t="inlineStr">
        <is>
          <t>Industrial Products</t>
        </is>
      </c>
      <c r="J10" s="4" t="inlineStr">
        <is>
          <t>Machinery</t>
        </is>
      </c>
      <c r="K10" s="4" t="n"/>
      <c r="L10" s="4" t="n"/>
      <c r="M10" s="3" t="n">
        <v>154.17</v>
      </c>
      <c r="N10" s="3" t="n">
        <v>4051.91</v>
      </c>
      <c r="O10" s="4" t="inlineStr">
        <is>
          <t>United States</t>
        </is>
      </c>
      <c r="P10" s="4" t="inlineStr">
        <is>
          <t>United States</t>
        </is>
      </c>
      <c r="Q10" s="4" t="inlineStr">
        <is>
          <t>Friendly</t>
        </is>
      </c>
      <c r="R10" s="3" t="n">
        <v>536.263</v>
      </c>
      <c r="S10" s="3" t="n">
        <v>13.1911</v>
      </c>
      <c r="T10" s="4" t="inlineStr">
        <is>
          <t>Company Takeover</t>
        </is>
      </c>
      <c r="U10" s="2" t="inlineStr">
        <is>
          <t>No</t>
        </is>
      </c>
      <c r="V10" s="2" t="inlineStr">
        <is>
          <t>No</t>
        </is>
      </c>
      <c r="W10" s="2" t="inlineStr">
        <is>
          <t>No</t>
        </is>
      </c>
      <c r="X10" s="2" t="inlineStr">
        <is>
          <t>No</t>
        </is>
      </c>
      <c r="Y10" s="2" t="inlineStr">
        <is>
          <t>No</t>
        </is>
      </c>
      <c r="Z10" s="2" t="inlineStr">
        <is>
          <t>No</t>
        </is>
      </c>
      <c r="AA10" s="6" t="n">
        <v>3.619638988</v>
      </c>
      <c r="AB10" s="6" t="n">
        <v>2.729377833</v>
      </c>
      <c r="AC10" s="6" t="n">
        <v>3.60765979</v>
      </c>
      <c r="AD10">
        <f t="array" ref="AD10">IF(SUMPRODUCT(--($AM$2:$AM$112=TRIM(LEFT($B10,IFERROR(FIND(" ",$B10)-1,LEN($B10))))))&gt;0,1,0)</f>
        <v/>
      </c>
      <c r="AE10">
        <f t="array" ref="AE10">IF(SUMPRODUCT(--($AO$2:$AO$145=TRIM(LEFT($B10,IFERROR(FIND(" ",$B10)-1,LEN($B10))))))&gt;0,1,0)</f>
        <v/>
      </c>
      <c r="AF10">
        <f t="array" ref="AF10">IF(SUMPRODUCT(--($AQ$2:$AQ$71=TRIM(LEFT($B10,IFERROR(FIND(" ",$B10)-1,LEN($B10))))))&gt;0,1,0)</f>
        <v/>
      </c>
      <c r="AL10" t="inlineStr">
        <is>
          <t>CNL / Zijin</t>
        </is>
      </c>
      <c r="AM10">
        <f>TRIM(LEFT(AL10,FIND("/",AL10)-1))</f>
        <v/>
      </c>
      <c r="AN10" t="inlineStr">
        <is>
          <t>DNB / Clear</t>
        </is>
      </c>
      <c r="AO10">
        <f>TRIM(LEFT(AN10,FIND("/",AN10)-1))</f>
        <v/>
      </c>
      <c r="AP10" t="inlineStr">
        <is>
          <t>RDUS / Toyot</t>
        </is>
      </c>
      <c r="AQ10">
        <f>TRIM(LEFT(AP10,FIND("/",AP10)-1))</f>
        <v/>
      </c>
    </row>
    <row r="11" ht="75.75" customHeight="1" thickBot="1">
      <c r="A11" s="13" t="n">
        <v>213</v>
      </c>
      <c r="B11" s="4" t="inlineStr">
        <is>
          <t>AMWD US</t>
        </is>
      </c>
      <c r="C11" s="4" t="inlineStr">
        <is>
          <t>MBC US</t>
        </is>
      </c>
      <c r="D11" s="7" t="n">
        <v>45875</v>
      </c>
      <c r="E11" s="3" t="n">
        <v>1321.3</v>
      </c>
      <c r="F11" s="4" t="inlineStr">
        <is>
          <t>Stock</t>
        </is>
      </c>
      <c r="G11" s="3" t="n">
        <v>5.63</v>
      </c>
      <c r="H11" s="4" t="inlineStr">
        <is>
          <t>Consumer Discretionary</t>
        </is>
      </c>
      <c r="I11" s="4" t="inlineStr">
        <is>
          <t>Consumer Discretionary Products</t>
        </is>
      </c>
      <c r="J11" s="4" t="inlineStr">
        <is>
          <t>Home Construction</t>
        </is>
      </c>
      <c r="K11" s="3" t="n">
        <v>35</v>
      </c>
      <c r="L11" s="3" t="n">
        <v>25</v>
      </c>
      <c r="M11" s="3" t="n">
        <v>8.24</v>
      </c>
      <c r="N11" s="3" t="n">
        <v>856.91</v>
      </c>
      <c r="O11" s="4" t="inlineStr">
        <is>
          <t>United States</t>
        </is>
      </c>
      <c r="P11" s="4" t="inlineStr">
        <is>
          <t>United States</t>
        </is>
      </c>
      <c r="Q11" s="4" t="inlineStr">
        <is>
          <t>Friendly</t>
        </is>
      </c>
      <c r="R11" s="3" t="n">
        <v>1709.59</v>
      </c>
      <c r="S11" s="3" t="n">
        <v>1.85328</v>
      </c>
      <c r="T11" s="4" t="inlineStr">
        <is>
          <t>Company Takeover</t>
        </is>
      </c>
      <c r="U11" s="2" t="inlineStr">
        <is>
          <t>No</t>
        </is>
      </c>
      <c r="V11" s="2" t="inlineStr">
        <is>
          <t>No</t>
        </is>
      </c>
      <c r="W11" s="2" t="inlineStr">
        <is>
          <t>No</t>
        </is>
      </c>
      <c r="X11" s="2" t="inlineStr">
        <is>
          <t>No</t>
        </is>
      </c>
      <c r="Y11" s="2" t="inlineStr">
        <is>
          <t>No</t>
        </is>
      </c>
      <c r="Z11" s="2" t="inlineStr">
        <is>
          <t>No</t>
        </is>
      </c>
      <c r="AA11" s="6" t="n">
        <v>3.121001435</v>
      </c>
      <c r="AB11" s="6" t="n">
        <v>3.232891969</v>
      </c>
      <c r="AC11" s="6" t="n">
        <v>2.932935211</v>
      </c>
      <c r="AD11">
        <f t="array" ref="AD11">IF(SUMPRODUCT(--($AM$2:$AM$112=TRIM(LEFT($B11,IFERROR(FIND(" ",$B11)-1,LEN($B11))))))&gt;0,1,0)</f>
        <v/>
      </c>
      <c r="AE11">
        <f t="array" ref="AE11">IF(SUMPRODUCT(--($AO$2:$AO$145=TRIM(LEFT($B11,IFERROR(FIND(" ",$B11)-1,LEN($B11))))))&gt;0,1,0)</f>
        <v/>
      </c>
      <c r="AF11">
        <f t="array" ref="AF11">IF(SUMPRODUCT(--($AQ$2:$AQ$71=TRIM(LEFT($B11,IFERROR(FIND(" ",$B11)-1,LEN($B11))))))&gt;0,1,0)</f>
        <v/>
      </c>
      <c r="AL11" t="inlineStr">
        <is>
          <t>NSU / Zijin</t>
        </is>
      </c>
      <c r="AM11">
        <f>TRIM(LEFT(AL11,FIND("/",AL11)-1))</f>
        <v/>
      </c>
      <c r="AN11" t="inlineStr">
        <is>
          <t>TGI / Warbu</t>
        </is>
      </c>
      <c r="AO11">
        <f>TRIM(LEFT(AN11,FIND("/",AN11)-1))</f>
        <v/>
      </c>
      <c r="AP11" t="inlineStr">
        <is>
          <t>CIX / Mubad</t>
        </is>
      </c>
      <c r="AQ11">
        <f>TRIM(LEFT(AP11,FIND("/",AP11)-1))</f>
        <v/>
      </c>
    </row>
    <row r="12" ht="144" customHeight="1" thickBot="1">
      <c r="A12" s="13" t="n">
        <v>68</v>
      </c>
      <c r="B12" s="4" t="inlineStr">
        <is>
          <t>VRE US</t>
        </is>
      </c>
      <c r="C12" s="2" t="n"/>
      <c r="D12" s="7" t="n">
        <v>46076</v>
      </c>
      <c r="E12" s="3" t="n">
        <v>1775.1</v>
      </c>
      <c r="F12" s="4" t="inlineStr">
        <is>
          <t>Cash</t>
        </is>
      </c>
      <c r="G12" s="3" t="n">
        <v>14.71</v>
      </c>
      <c r="H12" s="4" t="inlineStr">
        <is>
          <t>Real Estate</t>
        </is>
      </c>
      <c r="I12" s="4" t="inlineStr">
        <is>
          <t>Real Estate</t>
        </is>
      </c>
      <c r="J12" s="4" t="inlineStr">
        <is>
          <t>REIT</t>
        </is>
      </c>
      <c r="K12" s="4" t="n"/>
      <c r="L12" s="4" t="n"/>
      <c r="M12" s="3" t="n">
        <v>19.67</v>
      </c>
      <c r="N12" s="3" t="n">
        <v>1775.1</v>
      </c>
      <c r="O12" s="4" t="inlineStr">
        <is>
          <t>United States</t>
        </is>
      </c>
      <c r="P12" s="4" t="inlineStr">
        <is>
          <t>United States</t>
        </is>
      </c>
      <c r="Q12" s="4" t="inlineStr">
        <is>
          <t>Friendly</t>
        </is>
      </c>
      <c r="R12" s="3" t="n">
        <v>288.434</v>
      </c>
      <c r="S12" s="3" t="n">
        <v>9.60486</v>
      </c>
      <c r="T12" s="8" t="inlineStr">
        <is>
          <t>Going Private, Private Equity, PE Buyout, Company Takeover</t>
        </is>
      </c>
      <c r="U12" s="2" t="inlineStr">
        <is>
          <t>No</t>
        </is>
      </c>
      <c r="V12" s="2" t="inlineStr">
        <is>
          <t>No</t>
        </is>
      </c>
      <c r="W12" s="2" t="inlineStr">
        <is>
          <t>No</t>
        </is>
      </c>
      <c r="X12" s="2" t="inlineStr">
        <is>
          <t>Yes</t>
        </is>
      </c>
      <c r="Y12" s="2" t="inlineStr">
        <is>
          <t>Yes</t>
        </is>
      </c>
      <c r="Z12" s="2" t="inlineStr">
        <is>
          <t>No</t>
        </is>
      </c>
      <c r="AA12" s="6" t="n">
        <v>3.249222824</v>
      </c>
      <c r="AB12" s="6" t="n">
        <v>2.460046453</v>
      </c>
      <c r="AC12" s="6" t="n">
        <v>3.249222824</v>
      </c>
      <c r="AD12">
        <f t="array" ref="AD12">IF(SUMPRODUCT(--($AM$2:$AM$112=TRIM(LEFT($B12,IFERROR(FIND(" ",$B12)-1,LEN($B12))))))&gt;0,1,0)</f>
        <v/>
      </c>
      <c r="AE12">
        <f t="array" ref="AE12">IF(SUMPRODUCT(--($AO$2:$AO$145=TRIM(LEFT($B12,IFERROR(FIND(" ",$B12)-1,LEN($B12))))))&gt;0,1,0)</f>
        <v/>
      </c>
      <c r="AF12">
        <f t="array" ref="AF12">IF(SUMPRODUCT(--($AQ$2:$AQ$71=TRIM(LEFT($B12,IFERROR(FIND(" ",$B12)-1,LEN($B12))))))&gt;0,1,0)</f>
        <v/>
      </c>
      <c r="AL12" t="inlineStr">
        <is>
          <t>TMB / Rayon</t>
        </is>
      </c>
      <c r="AM12">
        <f>TRIM(LEFT(AL12,FIND("/",AL12)-1))</f>
        <v/>
      </c>
      <c r="AN12" t="inlineStr">
        <is>
          <t>IPG / Omnic</t>
        </is>
      </c>
      <c r="AO12">
        <f>TRIM(LEFT(AN12,FIND("/",AN12)-1))</f>
        <v/>
      </c>
      <c r="AP12" t="inlineStr">
        <is>
          <t>USAP / Apera</t>
        </is>
      </c>
      <c r="AQ12">
        <f>TRIM(LEFT(AP12,FIND("/",AP12)-1))</f>
        <v/>
      </c>
    </row>
    <row r="13" ht="195.75" customHeight="1" thickBot="1">
      <c r="A13" s="13" t="n">
        <v>66</v>
      </c>
      <c r="B13" s="4" t="inlineStr">
        <is>
          <t>MCW US</t>
        </is>
      </c>
      <c r="C13" s="4" t="inlineStr">
        <is>
          <t>24469Z US</t>
        </is>
      </c>
      <c r="D13" s="7" t="n">
        <v>46071</v>
      </c>
      <c r="E13" s="3" t="n">
        <v>758.52</v>
      </c>
      <c r="F13" s="4" t="inlineStr">
        <is>
          <t>Cash</t>
        </is>
      </c>
      <c r="G13" s="3" t="n">
        <v>5.56</v>
      </c>
      <c r="H13" s="4" t="inlineStr">
        <is>
          <t>Consumer Discretionary</t>
        </is>
      </c>
      <c r="I13" s="4" t="inlineStr">
        <is>
          <t>Retail &amp; Whsle - Discretionary</t>
        </is>
      </c>
      <c r="J13" s="4" t="inlineStr">
        <is>
          <t>Retail - Discretionary</t>
        </is>
      </c>
      <c r="K13" s="4" t="n"/>
      <c r="L13" s="4" t="n"/>
      <c r="M13" s="3" t="n">
        <v>20.47</v>
      </c>
      <c r="N13" s="3" t="n">
        <v>758.52</v>
      </c>
      <c r="O13" s="4" t="inlineStr">
        <is>
          <t>United States</t>
        </is>
      </c>
      <c r="P13" s="4" t="inlineStr">
        <is>
          <t>United States</t>
        </is>
      </c>
      <c r="Q13" s="4" t="inlineStr">
        <is>
          <t>Friendly</t>
        </is>
      </c>
      <c r="R13" s="3" t="n">
        <v>1051.73</v>
      </c>
      <c r="S13" s="3" t="n">
        <v>19.3117</v>
      </c>
      <c r="T13" s="4" t="inlineStr">
        <is>
          <t>Going Private, Company Takeover, PE Buyout, Private Equity, Additional Stake Purchase</t>
        </is>
      </c>
      <c r="U13" s="2" t="inlineStr">
        <is>
          <t>Yes</t>
        </is>
      </c>
      <c r="V13" s="2" t="inlineStr">
        <is>
          <t>No</t>
        </is>
      </c>
      <c r="W13" s="2" t="inlineStr">
        <is>
          <t>No</t>
        </is>
      </c>
      <c r="X13" s="2" t="inlineStr">
        <is>
          <t>Yes</t>
        </is>
      </c>
      <c r="Y13" s="2" t="inlineStr">
        <is>
          <t>Yes</t>
        </is>
      </c>
      <c r="Z13" s="2" t="inlineStr">
        <is>
          <t>No</t>
        </is>
      </c>
      <c r="AA13" s="6" t="n">
        <v>2.879967036</v>
      </c>
      <c r="AB13" s="6" t="n">
        <v>3.021904262</v>
      </c>
      <c r="AC13" s="6" t="n">
        <v>2.879967036</v>
      </c>
      <c r="AD13">
        <f t="array" ref="AD13">IF(SUMPRODUCT(--($AM$2:$AM$112=TRIM(LEFT($B13,IFERROR(FIND(" ",$B13)-1,LEN($B13))))))&gt;0,1,0)</f>
        <v/>
      </c>
      <c r="AE13">
        <f t="array" ref="AE13">IF(SUMPRODUCT(--($AO$2:$AO$145=TRIM(LEFT($B13,IFERROR(FIND(" ",$B13)-1,LEN($B13))))))&gt;0,1,0)</f>
        <v/>
      </c>
      <c r="AF13">
        <f t="array" ref="AF13">IF(SUMPRODUCT(--($AQ$2:$AQ$71=TRIM(LEFT($B13,IFERROR(FIND(" ",$B13)-1,LEN($B13))))))&gt;0,1,0)</f>
        <v/>
      </c>
      <c r="AL13" t="inlineStr">
        <is>
          <t>SEE / Clayt</t>
        </is>
      </c>
      <c r="AM13">
        <f>TRIM(LEFT(AL13,FIND("/",AL13)-1))</f>
        <v/>
      </c>
      <c r="AN13" t="inlineStr">
        <is>
          <t>PTVE / Novol</t>
        </is>
      </c>
      <c r="AO13">
        <f>TRIM(LEFT(AN13,FIND("/",AN13)-1))</f>
        <v/>
      </c>
      <c r="AP13" t="inlineStr">
        <is>
          <t>ALTM / Rio T</t>
        </is>
      </c>
      <c r="AQ13">
        <f>TRIM(LEFT(AP13,FIND("/",AP13)-1))</f>
        <v/>
      </c>
    </row>
    <row r="14" ht="75.75" customHeight="1" thickBot="1">
      <c r="A14" s="13" t="n">
        <v>32</v>
      </c>
      <c r="B14" s="4" t="inlineStr">
        <is>
          <t>SLNO US</t>
        </is>
      </c>
      <c r="C14" s="4" t="inlineStr">
        <is>
          <t>NBIX US</t>
        </is>
      </c>
      <c r="D14" s="7" t="n">
        <v>46118</v>
      </c>
      <c r="E14" s="3" t="n">
        <v>2900</v>
      </c>
      <c r="F14" s="4" t="inlineStr">
        <is>
          <t>Cash</t>
        </is>
      </c>
      <c r="G14" s="3" t="n">
        <v>236.08</v>
      </c>
      <c r="H14" s="4" t="inlineStr">
        <is>
          <t>Health Care</t>
        </is>
      </c>
      <c r="I14" s="4" t="inlineStr">
        <is>
          <t>Health Care</t>
        </is>
      </c>
      <c r="J14" s="4" t="inlineStr">
        <is>
          <t>Biotech &amp; Pharma</t>
        </is>
      </c>
      <c r="K14" s="4" t="n"/>
      <c r="L14" s="4" t="n"/>
      <c r="M14" s="4" t="n"/>
      <c r="N14" s="3" t="n">
        <v>3333.21</v>
      </c>
      <c r="O14" s="4" t="inlineStr">
        <is>
          <t>United States</t>
        </is>
      </c>
      <c r="P14" s="4" t="inlineStr">
        <is>
          <t>United States</t>
        </is>
      </c>
      <c r="Q14" s="4" t="inlineStr">
        <is>
          <t>Friendly</t>
        </is>
      </c>
      <c r="R14" s="3" t="n">
        <v>190.405</v>
      </c>
      <c r="S14" s="3" t="n">
        <v>30.3272</v>
      </c>
      <c r="T14" s="4" t="inlineStr">
        <is>
          <t>Company Takeover, Tender Offer</t>
        </is>
      </c>
      <c r="U14" s="2" t="inlineStr">
        <is>
          <t>No</t>
        </is>
      </c>
      <c r="V14" s="2" t="inlineStr">
        <is>
          <t>No</t>
        </is>
      </c>
      <c r="W14" s="2" t="inlineStr">
        <is>
          <t>No</t>
        </is>
      </c>
      <c r="X14" s="2" t="inlineStr">
        <is>
          <t>No</t>
        </is>
      </c>
      <c r="Y14" s="2" t="inlineStr">
        <is>
          <t>No</t>
        </is>
      </c>
      <c r="Z14" s="2" t="inlineStr">
        <is>
          <t>Yes</t>
        </is>
      </c>
      <c r="AA14" s="6" t="n">
        <v>3.462397998</v>
      </c>
      <c r="AB14" s="6" t="n">
        <v>2.279678349</v>
      </c>
      <c r="AC14" s="6" t="n">
        <v>3.522862676</v>
      </c>
      <c r="AD14">
        <f t="array" ref="AD14">IF(SUMPRODUCT(--($AM$2:$AM$112=TRIM(LEFT($B14,IFERROR(FIND(" ",$B14)-1,LEN($B14))))))&gt;0,1,0)</f>
        <v/>
      </c>
      <c r="AE14">
        <f t="array" ref="AE14">IF(SUMPRODUCT(--($AO$2:$AO$145=TRIM(LEFT($B14,IFERROR(FIND(" ",$B14)-1,LEN($B14))))))&gt;0,1,0)</f>
        <v/>
      </c>
      <c r="AF14">
        <f t="array" ref="AF14">IF(SUMPRODUCT(--($AQ$2:$AQ$71=TRIM(LEFT($B14,IFERROR(FIND(" ",$B14)-1,LEN($B14))))))&gt;0,1,0)</f>
        <v/>
      </c>
      <c r="AL14" t="inlineStr">
        <is>
          <t>HOLX / Black</t>
        </is>
      </c>
      <c r="AM14">
        <f>TRIM(LEFT(AL14,FIND("/",AL14)-1))</f>
        <v/>
      </c>
      <c r="AN14" t="inlineStr">
        <is>
          <t>BERY / Amcor</t>
        </is>
      </c>
      <c r="AO14">
        <f>TRIM(LEFT(AN14,FIND("/",AN14)-1))</f>
        <v/>
      </c>
      <c r="AP14" t="inlineStr">
        <is>
          <t>TELL / Woods</t>
        </is>
      </c>
      <c r="AQ14">
        <f>TRIM(LEFT(AP14,FIND("/",AP14)-1))</f>
        <v/>
      </c>
    </row>
    <row r="15" ht="105.75" customHeight="1" thickBot="1">
      <c r="A15" s="13" t="n">
        <v>34</v>
      </c>
      <c r="B15" s="4" t="inlineStr">
        <is>
          <t>APLS US</t>
        </is>
      </c>
      <c r="C15" s="4" t="inlineStr">
        <is>
          <t>BIIB US</t>
        </is>
      </c>
      <c r="D15" s="7" t="n">
        <v>46112</v>
      </c>
      <c r="E15" s="3" t="n">
        <v>5249.15</v>
      </c>
      <c r="F15" s="4" t="inlineStr">
        <is>
          <t>Cash</t>
        </is>
      </c>
      <c r="G15" s="3" t="n">
        <v>77.78</v>
      </c>
      <c r="H15" s="4" t="inlineStr">
        <is>
          <t>Health Care</t>
        </is>
      </c>
      <c r="I15" s="4" t="inlineStr">
        <is>
          <t>Health Care</t>
        </is>
      </c>
      <c r="J15" s="4" t="inlineStr">
        <is>
          <t>Biotech &amp; Pharma</t>
        </is>
      </c>
      <c r="K15" s="4" t="n"/>
      <c r="L15" s="4" t="n"/>
      <c r="M15" s="3" t="n">
        <v>120.69</v>
      </c>
      <c r="N15" s="3" t="n">
        <v>5241.03</v>
      </c>
      <c r="O15" s="4" t="inlineStr">
        <is>
          <t>United States</t>
        </is>
      </c>
      <c r="P15" s="4" t="inlineStr">
        <is>
          <t>United States</t>
        </is>
      </c>
      <c r="Q15" s="4" t="inlineStr">
        <is>
          <t>Friendly</t>
        </is>
      </c>
      <c r="R15" s="3" t="n">
        <v>1003.78</v>
      </c>
      <c r="S15" s="3" t="n">
        <v>14.9484</v>
      </c>
      <c r="T15" s="4" t="inlineStr">
        <is>
          <t>Company Takeover, Tender Offer, Squeeze out</t>
        </is>
      </c>
      <c r="U15" s="2" t="inlineStr">
        <is>
          <t>No</t>
        </is>
      </c>
      <c r="V15" s="2" t="inlineStr">
        <is>
          <t>No</t>
        </is>
      </c>
      <c r="W15" s="2" t="inlineStr">
        <is>
          <t>No</t>
        </is>
      </c>
      <c r="X15" s="2" t="inlineStr">
        <is>
          <t>No</t>
        </is>
      </c>
      <c r="Y15" s="2" t="inlineStr">
        <is>
          <t>No</t>
        </is>
      </c>
      <c r="Z15" s="2" t="inlineStr">
        <is>
          <t>Yes</t>
        </is>
      </c>
      <c r="AA15" s="6" t="n">
        <v>3.720088983</v>
      </c>
      <c r="AB15" s="6" t="n">
        <v>3.001638538</v>
      </c>
      <c r="AC15" s="6" t="n">
        <v>3.719416646</v>
      </c>
      <c r="AD15">
        <f t="array" ref="AD15">IF(SUMPRODUCT(--($AM$2:$AM$112=TRIM(LEFT($B15,IFERROR(FIND(" ",$B15)-1,LEN($B15))))))&gt;0,1,0)</f>
        <v/>
      </c>
      <c r="AE15">
        <f t="array" ref="AE15">IF(SUMPRODUCT(--($AO$2:$AO$145=TRIM(LEFT($B15,IFERROR(FIND(" ",$B15)-1,LEN($B15))))))&gt;0,1,0)</f>
        <v/>
      </c>
      <c r="AF15">
        <f t="array" ref="AF15">IF(SUMPRODUCT(--($AQ$2:$AQ$71=TRIM(LEFT($B15,IFERROR(FIND(" ",$B15)-1,LEN($B15))))))&gt;0,1,0)</f>
        <v/>
      </c>
      <c r="AL15" t="inlineStr">
        <is>
          <t xml:space="preserve">HI / Lone </t>
        </is>
      </c>
      <c r="AM15">
        <f>TRIM(LEFT(AL15,FIND("/",AL15)-1))</f>
        <v/>
      </c>
      <c r="AN15" t="inlineStr">
        <is>
          <t>B / Apoll</t>
        </is>
      </c>
      <c r="AO15">
        <f>TRIM(LEFT(AN15,FIND("/",AN15)-1))</f>
        <v/>
      </c>
      <c r="AP15" t="inlineStr">
        <is>
          <t xml:space="preserve">DM / Nano </t>
        </is>
      </c>
      <c r="AQ15">
        <f>TRIM(LEFT(AP15,FIND("/",AP15)-1))</f>
        <v/>
      </c>
    </row>
    <row r="16" ht="75.75" customHeight="1" thickBot="1">
      <c r="A16" s="13" t="n">
        <v>143</v>
      </c>
      <c r="B16" s="4" t="inlineStr">
        <is>
          <t>CSGS US</t>
        </is>
      </c>
      <c r="C16" s="4" t="inlineStr">
        <is>
          <t>6701 JP</t>
        </is>
      </c>
      <c r="D16" s="7" t="n">
        <v>45959</v>
      </c>
      <c r="E16" s="3" t="n">
        <v>2740.67</v>
      </c>
      <c r="F16" s="4" t="inlineStr">
        <is>
          <t>Cash</t>
        </is>
      </c>
      <c r="G16" s="3" t="n">
        <v>12.73</v>
      </c>
      <c r="H16" s="4" t="inlineStr">
        <is>
          <t>Industrials</t>
        </is>
      </c>
      <c r="I16" s="4" t="inlineStr">
        <is>
          <t>Industrial Services</t>
        </is>
      </c>
      <c r="J16" s="4" t="inlineStr">
        <is>
          <t>Commercial Support Services</t>
        </is>
      </c>
      <c r="K16" s="4" t="n"/>
      <c r="L16" s="4" t="n"/>
      <c r="M16" s="3" t="n">
        <v>23.62</v>
      </c>
      <c r="N16" s="3" t="n">
        <v>2321.61</v>
      </c>
      <c r="O16" s="4" t="inlineStr">
        <is>
          <t>United States</t>
        </is>
      </c>
      <c r="P16" s="4" t="inlineStr">
        <is>
          <t>Japan</t>
        </is>
      </c>
      <c r="Q16" s="4" t="inlineStr">
        <is>
          <t>Friendly</t>
        </is>
      </c>
      <c r="R16" s="3" t="n">
        <v>1223.29</v>
      </c>
      <c r="S16" s="3" t="n">
        <v>10.055</v>
      </c>
      <c r="T16" s="4" t="inlineStr">
        <is>
          <t>Company Takeover, Cross Border</t>
        </is>
      </c>
      <c r="U16" s="2" t="inlineStr">
        <is>
          <t>No</t>
        </is>
      </c>
      <c r="V16" s="2" t="inlineStr">
        <is>
          <t>No</t>
        </is>
      </c>
      <c r="W16" s="2" t="inlineStr">
        <is>
          <t>Yes</t>
        </is>
      </c>
      <c r="X16" s="2" t="inlineStr">
        <is>
          <t>No</t>
        </is>
      </c>
      <c r="Y16" s="2" t="inlineStr">
        <is>
          <t>No</t>
        </is>
      </c>
      <c r="Z16" s="2" t="inlineStr">
        <is>
          <t>No</t>
        </is>
      </c>
      <c r="AA16" s="6" t="n">
        <v>3.437856746</v>
      </c>
      <c r="AB16" s="6" t="n">
        <v>3.087529426</v>
      </c>
      <c r="AC16" s="6" t="n">
        <v>3.365789266</v>
      </c>
      <c r="AD16">
        <f t="array" ref="AD16">IF(SUMPRODUCT(--($AM$2:$AM$112=TRIM(LEFT($B16,IFERROR(FIND(" ",$B16)-1,LEN($B16))))))&gt;0,1,0)</f>
        <v/>
      </c>
      <c r="AE16">
        <f t="array" ref="AE16">IF(SUMPRODUCT(--($AO$2:$AO$145=TRIM(LEFT($B16,IFERROR(FIND(" ",$B16)-1,LEN($B16))))))&gt;0,1,0)</f>
        <v/>
      </c>
      <c r="AF16">
        <f t="array" ref="AF16">IF(SUMPRODUCT(--($AQ$2:$AQ$71=TRIM(LEFT($B16,IFERROR(FIND(" ",$B16)-1,LEN($B16))))))&gt;0,1,0)</f>
        <v/>
      </c>
      <c r="AL16" t="inlineStr">
        <is>
          <t>AL / Sumit</t>
        </is>
      </c>
      <c r="AM16">
        <f>TRIM(LEFT(AL16,FIND("/",AL16)-1))</f>
        <v/>
      </c>
      <c r="AN16" t="inlineStr">
        <is>
          <t>SMAR / Black</t>
        </is>
      </c>
      <c r="AO16">
        <f>TRIM(LEFT(AN16,FIND("/",AN16)-1))</f>
        <v/>
      </c>
      <c r="AP16" t="inlineStr">
        <is>
          <t>INFN / Nokia</t>
        </is>
      </c>
      <c r="AQ16">
        <f>TRIM(LEFT(AP16,FIND("/",AP16)-1))</f>
        <v/>
      </c>
    </row>
    <row r="17" ht="135.75" customHeight="1" thickBot="1">
      <c r="A17" s="13" t="n">
        <v>60</v>
      </c>
      <c r="B17" s="4" t="inlineStr">
        <is>
          <t>EHAB US</t>
        </is>
      </c>
      <c r="C17" s="4" t="inlineStr">
        <is>
          <t>884187Z US</t>
        </is>
      </c>
      <c r="D17" s="7" t="n">
        <v>46076</v>
      </c>
      <c r="E17" s="3" t="n">
        <v>1157.98</v>
      </c>
      <c r="F17" s="4" t="inlineStr">
        <is>
          <t>Cash</t>
        </is>
      </c>
      <c r="G17" s="3" t="n">
        <v>18.98</v>
      </c>
      <c r="H17" s="4" t="inlineStr">
        <is>
          <t>Health Care</t>
        </is>
      </c>
      <c r="I17" s="4" t="inlineStr">
        <is>
          <t>Health Care</t>
        </is>
      </c>
      <c r="J17" s="4" t="inlineStr">
        <is>
          <t>Health Care Facilities &amp; Svcs</t>
        </is>
      </c>
      <c r="K17" s="3" t="n">
        <v>44.6123</v>
      </c>
      <c r="L17" s="3" t="n">
        <v>24.5368</v>
      </c>
      <c r="M17" s="3" t="n">
        <v>26.2</v>
      </c>
      <c r="N17" s="3" t="n">
        <v>698.38</v>
      </c>
      <c r="O17" s="4" t="inlineStr">
        <is>
          <t>United States</t>
        </is>
      </c>
      <c r="P17" s="4" t="inlineStr">
        <is>
          <t>United States</t>
        </is>
      </c>
      <c r="Q17" s="4" t="inlineStr">
        <is>
          <t>Friendly</t>
        </is>
      </c>
      <c r="R17" s="3" t="n">
        <v>1060</v>
      </c>
      <c r="S17" s="3" t="n">
        <v>2.77021</v>
      </c>
      <c r="T17" s="4" t="inlineStr">
        <is>
          <t>Private Equity, Company Takeover, PE Buyout, Going Private</t>
        </is>
      </c>
      <c r="U17" s="2" t="inlineStr">
        <is>
          <t>No</t>
        </is>
      </c>
      <c r="V17" s="2" t="inlineStr">
        <is>
          <t>No</t>
        </is>
      </c>
      <c r="W17" s="2" t="inlineStr">
        <is>
          <t>No</t>
        </is>
      </c>
      <c r="X17" s="2" t="inlineStr">
        <is>
          <t>Yes</t>
        </is>
      </c>
      <c r="Y17" s="2" t="inlineStr">
        <is>
          <t>Yes</t>
        </is>
      </c>
      <c r="Z17" s="2" t="inlineStr">
        <is>
          <t>No</t>
        </is>
      </c>
      <c r="AA17" s="6" t="n">
        <v>3.063701059</v>
      </c>
      <c r="AB17" s="6" t="n">
        <v>3.025305865</v>
      </c>
      <c r="AC17" s="6" t="n">
        <v>2.844091794</v>
      </c>
      <c r="AD17">
        <f t="array" ref="AD17">IF(SUMPRODUCT(--($AM$2:$AM$112=TRIM(LEFT($B17,IFERROR(FIND(" ",$B17)-1,LEN($B17))))))&gt;0,1,0)</f>
        <v/>
      </c>
      <c r="AE17">
        <f t="array" ref="AE17">IF(SUMPRODUCT(--($AO$2:$AO$145=TRIM(LEFT($B17,IFERROR(FIND(" ",$B17)-1,LEN($B17))))))&gt;0,1,0)</f>
        <v/>
      </c>
      <c r="AF17">
        <f t="array" ref="AF17">IF(SUMPRODUCT(--($AQ$2:$AQ$71=TRIM(LEFT($B17,IFERROR(FIND(" ",$B17)-1,LEN($B17))))))&gt;0,1,0)</f>
        <v/>
      </c>
      <c r="AL17" t="inlineStr">
        <is>
          <t>ZK / Geely</t>
        </is>
      </c>
      <c r="AM17">
        <f>TRIM(LEFT(AL17,FIND("/",AL17)-1))</f>
        <v/>
      </c>
      <c r="AN17" t="inlineStr">
        <is>
          <t xml:space="preserve">K / Mars </t>
        </is>
      </c>
      <c r="AO17">
        <f>TRIM(LEFT(AN17,FIND("/",AN17)-1))</f>
        <v/>
      </c>
      <c r="AP17" t="inlineStr">
        <is>
          <t>AY / Energ</t>
        </is>
      </c>
      <c r="AQ17">
        <f>TRIM(LEFT(AP17,FIND("/",AP17)-1))</f>
        <v/>
      </c>
    </row>
    <row r="18" ht="75.75" customHeight="1" thickBot="1">
      <c r="A18" s="13" t="n">
        <v>65</v>
      </c>
      <c r="B18" s="4" t="inlineStr">
        <is>
          <t>TPH US</t>
        </is>
      </c>
      <c r="C18" s="4" t="inlineStr">
        <is>
          <t>1911 JP</t>
        </is>
      </c>
      <c r="D18" s="7" t="n">
        <v>46066</v>
      </c>
      <c r="E18" s="3" t="n">
        <v>4442.63</v>
      </c>
      <c r="F18" s="4" t="inlineStr">
        <is>
          <t>Cash</t>
        </is>
      </c>
      <c r="G18" s="3" t="n">
        <v>12.84</v>
      </c>
      <c r="H18" s="4" t="inlineStr">
        <is>
          <t>Consumer Discretionary</t>
        </is>
      </c>
      <c r="I18" s="4" t="inlineStr">
        <is>
          <t>Consumer Discretionary Products</t>
        </is>
      </c>
      <c r="J18" s="4" t="inlineStr">
        <is>
          <t>Home Construction</t>
        </is>
      </c>
      <c r="K18" s="4" t="n"/>
      <c r="L18" s="4" t="n"/>
      <c r="M18" s="3" t="n">
        <v>35.21</v>
      </c>
      <c r="N18" s="3" t="n">
        <v>4039.81</v>
      </c>
      <c r="O18" s="4" t="inlineStr">
        <is>
          <t>United States</t>
        </is>
      </c>
      <c r="P18" s="4" t="inlineStr">
        <is>
          <t>Japan</t>
        </is>
      </c>
      <c r="Q18" s="4" t="inlineStr">
        <is>
          <t>Friendly</t>
        </is>
      </c>
      <c r="R18" s="3" t="n">
        <v>3470.7</v>
      </c>
      <c r="S18" s="3" t="n">
        <v>7.09121</v>
      </c>
      <c r="T18" s="4" t="inlineStr">
        <is>
          <t>Cross Border, Company Takeover</t>
        </is>
      </c>
      <c r="U18" s="2" t="inlineStr">
        <is>
          <t>No</t>
        </is>
      </c>
      <c r="V18" s="2" t="inlineStr">
        <is>
          <t>No</t>
        </is>
      </c>
      <c r="W18" s="2" t="inlineStr">
        <is>
          <t>Yes</t>
        </is>
      </c>
      <c r="X18" s="2" t="inlineStr">
        <is>
          <t>No</t>
        </is>
      </c>
      <c r="Y18" s="2" t="inlineStr">
        <is>
          <t>No</t>
        </is>
      </c>
      <c r="Z18" s="2" t="inlineStr">
        <is>
          <t>No</t>
        </is>
      </c>
      <c r="AA18" s="6" t="n">
        <v>3.647640145</v>
      </c>
      <c r="AB18" s="6" t="n">
        <v>3.540417076</v>
      </c>
      <c r="AC18" s="6" t="n">
        <v>3.60636094</v>
      </c>
      <c r="AD18">
        <f t="array" ref="AD18">IF(SUMPRODUCT(--($AM$2:$AM$112=TRIM(LEFT($B18,IFERROR(FIND(" ",$B18)-1,LEN($B18))))))&gt;0,1,0)</f>
        <v/>
      </c>
      <c r="AE18">
        <f t="array" ref="AE18">IF(SUMPRODUCT(--($AO$2:$AO$145=TRIM(LEFT($B18,IFERROR(FIND(" ",$B18)-1,LEN($B18))))))&gt;0,1,0)</f>
        <v/>
      </c>
      <c r="AF18">
        <f t="array" ref="AF18">IF(SUMPRODUCT(--($AQ$2:$AQ$71=TRIM(LEFT($B18,IFERROR(FIND(" ",$B18)-1,LEN($B18))))))&gt;0,1,0)</f>
        <v/>
      </c>
      <c r="AL18" t="inlineStr">
        <is>
          <t>IPG / Omnic</t>
        </is>
      </c>
      <c r="AM18">
        <f>TRIM(LEFT(AL18,FIND("/",AL18)-1))</f>
        <v/>
      </c>
      <c r="AN18" t="inlineStr">
        <is>
          <t>RCM / Tower</t>
        </is>
      </c>
      <c r="AO18">
        <f>TRIM(LEFT(AN18,FIND("/",AN18)-1))</f>
        <v/>
      </c>
      <c r="AP18" t="inlineStr">
        <is>
          <t>ALE / Canad</t>
        </is>
      </c>
      <c r="AQ18">
        <f>TRIM(LEFT(AP18,FIND("/",AP18)-1))</f>
        <v/>
      </c>
    </row>
    <row r="19" ht="45.75" customHeight="1" thickBot="1">
      <c r="A19" s="13" t="n">
        <v>89</v>
      </c>
      <c r="B19" s="4" t="inlineStr">
        <is>
          <t>SNCY US</t>
        </is>
      </c>
      <c r="C19" s="4" t="inlineStr">
        <is>
          <t>ALGT US</t>
        </is>
      </c>
      <c r="D19" s="7" t="n">
        <v>46033</v>
      </c>
      <c r="E19" s="3" t="n">
        <v>934.1900000000001</v>
      </c>
      <c r="F19" s="4" t="inlineStr">
        <is>
          <t>Cash and Stock</t>
        </is>
      </c>
      <c r="G19" s="3" t="n">
        <v>4.68</v>
      </c>
      <c r="H19" s="4" t="inlineStr">
        <is>
          <t>Industrials</t>
        </is>
      </c>
      <c r="I19" s="4" t="inlineStr">
        <is>
          <t>Industrial Services</t>
        </is>
      </c>
      <c r="J19" s="4" t="inlineStr">
        <is>
          <t>Transportation &amp; Logistics</t>
        </is>
      </c>
      <c r="K19" s="4" t="n"/>
      <c r="L19" s="4" t="n"/>
      <c r="M19" s="3" t="n">
        <v>19.51</v>
      </c>
      <c r="N19" s="3" t="n">
        <v>934.1900000000001</v>
      </c>
      <c r="O19" s="4" t="inlineStr">
        <is>
          <t>United States</t>
        </is>
      </c>
      <c r="P19" s="4" t="inlineStr">
        <is>
          <t>United States</t>
        </is>
      </c>
      <c r="Q19" s="4" t="inlineStr">
        <is>
          <t>Friendly</t>
        </is>
      </c>
      <c r="R19" s="3" t="n">
        <v>1126.77</v>
      </c>
      <c r="S19" s="3" t="n">
        <v>7.13263</v>
      </c>
      <c r="T19" s="4" t="inlineStr">
        <is>
          <t>Company Takeover</t>
        </is>
      </c>
      <c r="U19" s="2" t="inlineStr">
        <is>
          <t>No</t>
        </is>
      </c>
      <c r="V19" s="2" t="inlineStr">
        <is>
          <t>No</t>
        </is>
      </c>
      <c r="W19" s="2" t="inlineStr">
        <is>
          <t>No</t>
        </is>
      </c>
      <c r="X19" s="2" t="inlineStr">
        <is>
          <t>No</t>
        </is>
      </c>
      <c r="Y19" s="2" t="inlineStr">
        <is>
          <t>No</t>
        </is>
      </c>
      <c r="Z19" s="2" t="inlineStr">
        <is>
          <t>No</t>
        </is>
      </c>
      <c r="AA19" s="6" t="n">
        <v>2.970435214</v>
      </c>
      <c r="AB19" s="6" t="n">
        <v>3.051835275</v>
      </c>
      <c r="AC19" s="6" t="n">
        <v>2.970435214</v>
      </c>
      <c r="AD19">
        <f t="array" ref="AD19">IF(SUMPRODUCT(--($AM$2:$AM$112=TRIM(LEFT($B19,IFERROR(FIND(" ",$B19)-1,LEN($B19))))))&gt;0,1,0)</f>
        <v/>
      </c>
      <c r="AE19">
        <f t="array" ref="AE19">IF(SUMPRODUCT(--($AO$2:$AO$145=TRIM(LEFT($B19,IFERROR(FIND(" ",$B19)-1,LEN($B19))))))&gt;0,1,0)</f>
        <v/>
      </c>
      <c r="AF19">
        <f t="array" ref="AF19">IF(SUMPRODUCT(--($AQ$2:$AQ$71=TRIM(LEFT($B19,IFERROR(FIND(" ",$B19)-1,LEN($B19))))))&gt;0,1,0)</f>
        <v/>
      </c>
      <c r="AL19" t="inlineStr">
        <is>
          <t>PTVE / Novol</t>
        </is>
      </c>
      <c r="AM19">
        <f>TRIM(LEFT(AL19,FIND("/",AL19)-1))</f>
        <v/>
      </c>
      <c r="AN19" t="inlineStr">
        <is>
          <t>FIL / Lundi</t>
        </is>
      </c>
      <c r="AO19">
        <f>TRIM(LEFT(AN19,FIND("/",AN19)-1))</f>
        <v/>
      </c>
      <c r="AP19" t="inlineStr">
        <is>
          <t>PRFT / EQT A</t>
        </is>
      </c>
      <c r="AQ19">
        <f>TRIM(LEFT(AP19,FIND("/",AP19)-1))</f>
        <v/>
      </c>
    </row>
    <row r="20" ht="75.75" customHeight="1" thickBot="1">
      <c r="A20" s="13" t="n">
        <v>105</v>
      </c>
      <c r="B20" s="4" t="inlineStr">
        <is>
          <t>UDMY US</t>
        </is>
      </c>
      <c r="C20" s="4" t="inlineStr">
        <is>
          <t>COUR US</t>
        </is>
      </c>
      <c r="D20" s="7" t="n">
        <v>46008</v>
      </c>
      <c r="E20" s="3" t="n">
        <v>622.0700000000001</v>
      </c>
      <c r="F20" s="4" t="inlineStr">
        <is>
          <t>Stock</t>
        </is>
      </c>
      <c r="G20" s="4" t="n"/>
      <c r="H20" s="4" t="inlineStr">
        <is>
          <t>Consumer Discretionary</t>
        </is>
      </c>
      <c r="I20" s="4" t="inlineStr">
        <is>
          <t>Consumer Discretionary Services</t>
        </is>
      </c>
      <c r="J20" s="4" t="inlineStr">
        <is>
          <t>Consumer Services</t>
        </is>
      </c>
      <c r="K20" s="3" t="n">
        <v>40.5</v>
      </c>
      <c r="L20" s="4" t="n"/>
      <c r="M20" s="3" t="n">
        <v>25.59</v>
      </c>
      <c r="N20" s="3" t="n">
        <v>949.05</v>
      </c>
      <c r="O20" s="4" t="inlineStr">
        <is>
          <t>United States</t>
        </is>
      </c>
      <c r="P20" s="4" t="inlineStr">
        <is>
          <t>United States</t>
        </is>
      </c>
      <c r="Q20" s="4" t="inlineStr">
        <is>
          <t>Friendly</t>
        </is>
      </c>
      <c r="R20" s="3" t="n">
        <v>789.8440000000001</v>
      </c>
      <c r="S20" s="3" t="n">
        <v>-1.56092</v>
      </c>
      <c r="T20" s="4" t="inlineStr">
        <is>
          <t>Company Takeover, Going Private</t>
        </is>
      </c>
      <c r="U20" s="2" t="inlineStr">
        <is>
          <t>No</t>
        </is>
      </c>
      <c r="V20" s="2" t="inlineStr">
        <is>
          <t>No</t>
        </is>
      </c>
      <c r="W20" s="2" t="inlineStr">
        <is>
          <t>No</t>
        </is>
      </c>
      <c r="X20" s="2" t="inlineStr">
        <is>
          <t>Yes</t>
        </is>
      </c>
      <c r="Y20" s="2" t="inlineStr">
        <is>
          <t>No</t>
        </is>
      </c>
      <c r="Z20" s="2" t="inlineStr">
        <is>
          <t>No</t>
        </is>
      </c>
      <c r="AA20" s="6" t="n">
        <v>2.793839258</v>
      </c>
      <c r="AB20" s="6" t="n">
        <v>2.897541323</v>
      </c>
      <c r="AC20" s="6" t="n">
        <v>2.977289094</v>
      </c>
      <c r="AD20">
        <f t="array" ref="AD20">IF(SUMPRODUCT(--($AM$2:$AM$112=TRIM(LEFT($B20,IFERROR(FIND(" ",$B20)-1,LEN($B20))))))&gt;0,1,0)</f>
        <v/>
      </c>
      <c r="AE20">
        <f t="array" ref="AE20">IF(SUMPRODUCT(--($AO$2:$AO$145=TRIM(LEFT($B20,IFERROR(FIND(" ",$B20)-1,LEN($B20))))))&gt;0,1,0)</f>
        <v/>
      </c>
      <c r="AF20">
        <f t="array" ref="AF20">IF(SUMPRODUCT(--($AQ$2:$AQ$71=TRIM(LEFT($B20,IFERROR(FIND(" ",$B20)-1,LEN($B20))))))&gt;0,1,0)</f>
        <v/>
      </c>
      <c r="AL20" t="inlineStr">
        <is>
          <t>BERY / Amcor</t>
        </is>
      </c>
      <c r="AM20">
        <f>TRIM(LEFT(AL20,FIND("/",AL20)-1))</f>
        <v/>
      </c>
      <c r="AN20" t="inlineStr">
        <is>
          <t>PARA / Skyda</t>
        </is>
      </c>
      <c r="AO20">
        <f>TRIM(LEFT(AN20,FIND("/",AN20)-1))</f>
        <v/>
      </c>
      <c r="AP20" t="inlineStr">
        <is>
          <t>CHX / SLB (</t>
        </is>
      </c>
      <c r="AQ20">
        <f>TRIM(LEFT(AP20,FIND("/",AP20)-1))</f>
        <v/>
      </c>
    </row>
    <row r="21" ht="75.75" customHeight="1" thickBot="1">
      <c r="A21" s="13" t="n">
        <v>236</v>
      </c>
      <c r="B21" s="4" t="inlineStr">
        <is>
          <t>CTLP US</t>
        </is>
      </c>
      <c r="C21" s="4" t="inlineStr">
        <is>
          <t>0943566D US</t>
        </is>
      </c>
      <c r="D21" s="7" t="n">
        <v>45824</v>
      </c>
      <c r="E21" s="3" t="n">
        <v>821.4400000000001</v>
      </c>
      <c r="F21" s="4" t="inlineStr">
        <is>
          <t>Cash</t>
        </is>
      </c>
      <c r="G21" s="3" t="n">
        <v>28.43</v>
      </c>
      <c r="H21" s="4" t="inlineStr">
        <is>
          <t>Technology</t>
        </is>
      </c>
      <c r="I21" s="4" t="inlineStr">
        <is>
          <t>Software &amp; Tech Services</t>
        </is>
      </c>
      <c r="J21" s="4" t="inlineStr">
        <is>
          <t>Software</t>
        </is>
      </c>
      <c r="K21" s="4" t="n"/>
      <c r="L21" s="4" t="n"/>
      <c r="M21" s="3" t="n">
        <v>26.92</v>
      </c>
      <c r="N21" s="3" t="n">
        <v>818.25</v>
      </c>
      <c r="O21" s="4" t="inlineStr">
        <is>
          <t>United States</t>
        </is>
      </c>
      <c r="P21" s="4" t="inlineStr">
        <is>
          <t>United States</t>
        </is>
      </c>
      <c r="Q21" s="4" t="inlineStr">
        <is>
          <t>Friendly</t>
        </is>
      </c>
      <c r="R21" s="3" t="n">
        <v>302.548</v>
      </c>
      <c r="S21" s="3" t="n">
        <v>2.37765</v>
      </c>
      <c r="T21" s="4" t="inlineStr">
        <is>
          <t>Company Takeover, Going Private</t>
        </is>
      </c>
      <c r="U21" s="2" t="inlineStr">
        <is>
          <t>No</t>
        </is>
      </c>
      <c r="V21" s="2" t="inlineStr">
        <is>
          <t>No</t>
        </is>
      </c>
      <c r="W21" s="2" t="inlineStr">
        <is>
          <t>No</t>
        </is>
      </c>
      <c r="X21" s="2" t="inlineStr">
        <is>
          <t>Yes</t>
        </is>
      </c>
      <c r="Y21" s="2" t="inlineStr">
        <is>
          <t>No</t>
        </is>
      </c>
      <c r="Z21" s="2" t="inlineStr">
        <is>
          <t>No</t>
        </is>
      </c>
      <c r="AA21" s="6" t="n">
        <v>2.914575847</v>
      </c>
      <c r="AB21" s="6" t="n">
        <v>2.480794286</v>
      </c>
      <c r="AC21" s="6" t="n">
        <v>2.912886014</v>
      </c>
      <c r="AD21">
        <f t="array" ref="AD21">IF(SUMPRODUCT(--($AM$2:$AM$112=TRIM(LEFT($B21,IFERROR(FIND(" ",$B21)-1,LEN($B21))))))&gt;0,1,0)</f>
        <v/>
      </c>
      <c r="AE21">
        <f t="array" ref="AE21">IF(SUMPRODUCT(--($AO$2:$AO$145=TRIM(LEFT($B21,IFERROR(FIND(" ",$B21)-1,LEN($B21))))))&gt;0,1,0)</f>
        <v/>
      </c>
      <c r="AF21">
        <f t="array" ref="AF21">IF(SUMPRODUCT(--($AQ$2:$AQ$71=TRIM(LEFT($B21,IFERROR(FIND(" ",$B21)-1,LEN($B21))))))&gt;0,1,0)</f>
        <v/>
      </c>
      <c r="AL21" t="inlineStr">
        <is>
          <t>ALTM / Rio T</t>
        </is>
      </c>
      <c r="AM21">
        <f>TRIM(LEFT(AL21,FIND("/",AL21)-1))</f>
        <v/>
      </c>
      <c r="AN21" t="inlineStr">
        <is>
          <t>SPR / Boein</t>
        </is>
      </c>
      <c r="AO21">
        <f>TRIM(LEFT(AN21,FIND("/",AN21)-1))</f>
        <v/>
      </c>
      <c r="AP21" t="inlineStr">
        <is>
          <t>VSTO / Czech</t>
        </is>
      </c>
      <c r="AQ21">
        <f>TRIM(LEFT(AP21,FIND("/",AP21)-1))</f>
        <v/>
      </c>
    </row>
    <row r="22" ht="45.75" customHeight="1" thickBot="1">
      <c r="A22" s="13" t="n">
        <v>69</v>
      </c>
      <c r="B22" s="4" t="inlineStr">
        <is>
          <t>CTRA US</t>
        </is>
      </c>
      <c r="C22" s="4" t="inlineStr">
        <is>
          <t>DVN US</t>
        </is>
      </c>
      <c r="D22" s="7" t="n">
        <v>46055</v>
      </c>
      <c r="E22" s="3" t="n">
        <v>23961.19</v>
      </c>
      <c r="F22" s="4" t="inlineStr">
        <is>
          <t>Stock</t>
        </is>
      </c>
      <c r="G22" s="3" t="n">
        <v>4.85</v>
      </c>
      <c r="H22" s="4" t="inlineStr">
        <is>
          <t>Energy</t>
        </is>
      </c>
      <c r="I22" s="4" t="inlineStr">
        <is>
          <t>Oil &amp; Gas</t>
        </is>
      </c>
      <c r="J22" s="4" t="inlineStr">
        <is>
          <t>Oil &amp; Gas Supply Chain</t>
        </is>
      </c>
      <c r="K22" s="3" t="n">
        <v>865</v>
      </c>
      <c r="L22" s="3" t="n">
        <v>865</v>
      </c>
      <c r="M22" s="3" t="n">
        <v>-0.64</v>
      </c>
      <c r="N22" s="3" t="n">
        <v>19942.19</v>
      </c>
      <c r="O22" s="4" t="inlineStr">
        <is>
          <t>United States</t>
        </is>
      </c>
      <c r="P22" s="4" t="inlineStr">
        <is>
          <t>United States</t>
        </is>
      </c>
      <c r="Q22" s="4" t="inlineStr">
        <is>
          <t>Friendly</t>
        </is>
      </c>
      <c r="R22" s="3" t="n">
        <v>7645</v>
      </c>
      <c r="S22" s="3" t="n">
        <v>31.1655</v>
      </c>
      <c r="T22" s="4" t="inlineStr">
        <is>
          <t>Company Takeover</t>
        </is>
      </c>
      <c r="U22" s="2" t="inlineStr">
        <is>
          <t>No</t>
        </is>
      </c>
      <c r="V22" s="2" t="inlineStr">
        <is>
          <t>No</t>
        </is>
      </c>
      <c r="W22" s="2" t="inlineStr">
        <is>
          <t>No</t>
        </is>
      </c>
      <c r="X22" s="2" t="inlineStr">
        <is>
          <t>No</t>
        </is>
      </c>
      <c r="Y22" s="2" t="inlineStr">
        <is>
          <t>No</t>
        </is>
      </c>
      <c r="Z22" s="2" t="inlineStr">
        <is>
          <t>No</t>
        </is>
      </c>
      <c r="AA22" s="6" t="n">
        <v>4.379508383</v>
      </c>
      <c r="AB22" s="6" t="n">
        <v>3.88337749</v>
      </c>
      <c r="AC22" s="6" t="n">
        <v>4.29977285</v>
      </c>
      <c r="AD22">
        <f t="array" ref="AD22">IF(SUMPRODUCT(--($AM$2:$AM$112=TRIM(LEFT($B22,IFERROR(FIND(" ",$B22)-1,LEN($B22))))))&gt;0,1,0)</f>
        <v/>
      </c>
      <c r="AE22">
        <f t="array" ref="AE22">IF(SUMPRODUCT(--($AO$2:$AO$145=TRIM(LEFT($B22,IFERROR(FIND(" ",$B22)-1,LEN($B22))))))&gt;0,1,0)</f>
        <v/>
      </c>
      <c r="AF22">
        <f t="array" ref="AF22">IF(SUMPRODUCT(--($AQ$2:$AQ$71=TRIM(LEFT($B22,IFERROR(FIND(" ",$B22)-1,LEN($B22))))))&gt;0,1,0)</f>
        <v/>
      </c>
      <c r="AL22" t="inlineStr">
        <is>
          <t>ARCH / CONSO</t>
        </is>
      </c>
      <c r="AM22">
        <f>TRIM(LEFT(AL22,FIND("/",AL22)-1))</f>
        <v/>
      </c>
      <c r="AN22" t="inlineStr">
        <is>
          <t>INFN / Nokia</t>
        </is>
      </c>
      <c r="AO22">
        <f>TRIM(LEFT(AN22,FIND("/",AN22)-1))</f>
        <v/>
      </c>
      <c r="AP22" t="inlineStr">
        <is>
          <t>HAYN / Aceri</t>
        </is>
      </c>
      <c r="AQ22">
        <f>TRIM(LEFT(AP22,FIND("/",AP22)-1))</f>
        <v/>
      </c>
    </row>
    <row r="23" ht="105.75" customHeight="1" thickBot="1">
      <c r="A23" s="13" t="n">
        <v>31</v>
      </c>
      <c r="B23" s="4" t="inlineStr">
        <is>
          <t>TERN US</t>
        </is>
      </c>
      <c r="C23" s="4" t="inlineStr">
        <is>
          <t>MRK US</t>
        </is>
      </c>
      <c r="D23" s="7" t="n">
        <v>46106</v>
      </c>
      <c r="E23" s="3" t="n">
        <v>5470.06</v>
      </c>
      <c r="F23" s="4" t="inlineStr">
        <is>
          <t>Cash</t>
        </is>
      </c>
      <c r="G23" s="4" t="n"/>
      <c r="H23" s="4" t="inlineStr">
        <is>
          <t>Health Care</t>
        </is>
      </c>
      <c r="I23" s="4" t="inlineStr">
        <is>
          <t>Health Care</t>
        </is>
      </c>
      <c r="J23" s="4" t="inlineStr">
        <is>
          <t>Biotech &amp; Pharma</t>
        </is>
      </c>
      <c r="K23" s="3" t="n">
        <v>270</v>
      </c>
      <c r="L23" s="3" t="n">
        <v>235</v>
      </c>
      <c r="M23" s="3" t="n">
        <v>17.8</v>
      </c>
      <c r="N23" s="3" t="n">
        <v>5764.67</v>
      </c>
      <c r="O23" s="4" t="inlineStr">
        <is>
          <t>United States</t>
        </is>
      </c>
      <c r="P23" s="4" t="inlineStr">
        <is>
          <t>United States</t>
        </is>
      </c>
      <c r="Q23" s="4" t="inlineStr">
        <is>
          <t>Friendly</t>
        </is>
      </c>
      <c r="R23" s="2" t="n"/>
      <c r="S23" s="2" t="n"/>
      <c r="T23" s="4" t="inlineStr">
        <is>
          <t>Company Takeover, Tender Offer, Squeeze out</t>
        </is>
      </c>
      <c r="U23" s="2" t="inlineStr">
        <is>
          <t>No</t>
        </is>
      </c>
      <c r="V23" s="2" t="inlineStr">
        <is>
          <t>No</t>
        </is>
      </c>
      <c r="W23" s="2" t="inlineStr">
        <is>
          <t>No</t>
        </is>
      </c>
      <c r="X23" s="2" t="inlineStr">
        <is>
          <t>No</t>
        </is>
      </c>
      <c r="Y23" s="2" t="inlineStr">
        <is>
          <t>No</t>
        </is>
      </c>
      <c r="Z23" s="2" t="inlineStr">
        <is>
          <t>Yes</t>
        </is>
      </c>
      <c r="AA23" s="6" t="n">
        <v>3.73799209</v>
      </c>
      <c r="AB23" s="2" t="n"/>
      <c r="AC23" s="6" t="n">
        <v>3.760774451</v>
      </c>
      <c r="AD23">
        <f t="array" ref="AD23">IF(SUMPRODUCT(--($AM$2:$AM$112=TRIM(LEFT($B23,IFERROR(FIND(" ",$B23)-1,LEN($B23))))))&gt;0,1,0)</f>
        <v/>
      </c>
      <c r="AE23">
        <f t="array" ref="AE23">IF(SUMPRODUCT(--($AO$2:$AO$145=TRIM(LEFT($B23,IFERROR(FIND(" ",$B23)-1,LEN($B23))))))&gt;0,1,0)</f>
        <v/>
      </c>
      <c r="AF23">
        <f t="array" ref="AF23">IF(SUMPRODUCT(--($AQ$2:$AQ$71=TRIM(LEFT($B23,IFERROR(FIND(" ",$B23)-1,LEN($B23))))))&gt;0,1,0)</f>
        <v/>
      </c>
      <c r="AL23" t="inlineStr">
        <is>
          <t>ALE / Canad</t>
        </is>
      </c>
      <c r="AM23">
        <f>TRIM(LEFT(AL23,FIND("/",AL23)-1))</f>
        <v/>
      </c>
      <c r="AN23" t="inlineStr">
        <is>
          <t>ALE / Canad</t>
        </is>
      </c>
      <c r="AO23">
        <f>TRIM(LEFT(AN23,FIND("/",AN23)-1))</f>
        <v/>
      </c>
      <c r="AP23" t="inlineStr">
        <is>
          <t>TGAN / Renes</t>
        </is>
      </c>
      <c r="AQ23">
        <f>TRIM(LEFT(AP23,FIND("/",AP23)-1))</f>
        <v/>
      </c>
    </row>
    <row r="24" ht="75.75" customHeight="1" thickBot="1">
      <c r="A24" s="13" t="n">
        <v>68</v>
      </c>
      <c r="B24" s="4" t="inlineStr">
        <is>
          <t>PKST US</t>
        </is>
      </c>
      <c r="C24" s="4" t="inlineStr">
        <is>
          <t>BAM CN</t>
        </is>
      </c>
      <c r="D24" s="7" t="n">
        <v>46055</v>
      </c>
      <c r="E24" s="3" t="n">
        <v>1485.65</v>
      </c>
      <c r="F24" s="4" t="inlineStr">
        <is>
          <t>Cash</t>
        </is>
      </c>
      <c r="G24" s="3" t="n">
        <v>51.96</v>
      </c>
      <c r="H24" s="4" t="inlineStr">
        <is>
          <t>Real Estate</t>
        </is>
      </c>
      <c r="I24" s="4" t="inlineStr">
        <is>
          <t>Real Estate</t>
        </is>
      </c>
      <c r="J24" s="4" t="inlineStr">
        <is>
          <t>REIT</t>
        </is>
      </c>
      <c r="K24" s="4" t="n"/>
      <c r="L24" s="3" t="n">
        <v>16</v>
      </c>
      <c r="M24" s="3" t="n">
        <v>47.23</v>
      </c>
      <c r="N24" s="3" t="n">
        <v>772.61</v>
      </c>
      <c r="O24" s="4" t="inlineStr">
        <is>
          <t>United States</t>
        </is>
      </c>
      <c r="P24" s="4" t="inlineStr">
        <is>
          <t>Canada</t>
        </is>
      </c>
      <c r="Q24" s="4" t="inlineStr">
        <is>
          <t>Friendly</t>
        </is>
      </c>
      <c r="R24" s="3" t="n">
        <v>105.981</v>
      </c>
      <c r="S24" s="3" t="n">
        <v>-207.827</v>
      </c>
      <c r="T24" s="4" t="inlineStr">
        <is>
          <t>Cross Border, Company Takeover</t>
        </is>
      </c>
      <c r="U24" s="2" t="inlineStr">
        <is>
          <t>No</t>
        </is>
      </c>
      <c r="V24" s="2" t="inlineStr">
        <is>
          <t>No</t>
        </is>
      </c>
      <c r="W24" s="2" t="inlineStr">
        <is>
          <t>Yes</t>
        </is>
      </c>
      <c r="X24" s="2" t="inlineStr">
        <is>
          <t>No</t>
        </is>
      </c>
      <c r="Y24" s="2" t="inlineStr">
        <is>
          <t>No</t>
        </is>
      </c>
      <c r="Z24" s="2" t="inlineStr">
        <is>
          <t>No</t>
        </is>
      </c>
      <c r="AA24" s="6" t="n">
        <v>3.171916507</v>
      </c>
      <c r="AB24" s="6" t="n">
        <v>2.025228013</v>
      </c>
      <c r="AC24" s="6" t="n">
        <v>2.887960325</v>
      </c>
      <c r="AD24">
        <f t="array" ref="AD24">IF(SUMPRODUCT(--($AM$2:$AM$112=TRIM(LEFT($B24,IFERROR(FIND(" ",$B24)-1,LEN($B24))))))&gt;0,1,0)</f>
        <v/>
      </c>
      <c r="AE24">
        <f t="array" ref="AE24">IF(SUMPRODUCT(--($AO$2:$AO$145=TRIM(LEFT($B24,IFERROR(FIND(" ",$B24)-1,LEN($B24))))))&gt;0,1,0)</f>
        <v/>
      </c>
      <c r="AF24">
        <f t="array" ref="AF24">IF(SUMPRODUCT(--($AQ$2:$AQ$71=TRIM(LEFT($B24,IFERROR(FIND(" ",$B24)-1,LEN($B24))))))&gt;0,1,0)</f>
        <v/>
      </c>
      <c r="AL24" t="inlineStr">
        <is>
          <t>ANSS / Synop</t>
        </is>
      </c>
      <c r="AM24">
        <f>TRIM(LEFT(AL24,FIND("/",AL24)-1))</f>
        <v/>
      </c>
      <c r="AN24" t="inlineStr">
        <is>
          <t>NVEI / Adven</t>
        </is>
      </c>
      <c r="AO24">
        <f>TRIM(LEFT(AN24,FIND("/",AN24)-1))</f>
        <v/>
      </c>
      <c r="AP24" t="inlineStr">
        <is>
          <t>X / Nippo</t>
        </is>
      </c>
      <c r="AQ24">
        <f>TRIM(LEFT(AP24,FIND("/",AP24)-1))</f>
        <v/>
      </c>
    </row>
    <row r="25" ht="105.75" customHeight="1" thickBot="1">
      <c r="A25" s="13" t="n">
        <v>64</v>
      </c>
      <c r="B25" s="4" t="inlineStr">
        <is>
          <t>SOY CN</t>
        </is>
      </c>
      <c r="C25" s="4" t="inlineStr">
        <is>
          <t>0809797D US</t>
        </is>
      </c>
      <c r="D25" s="7" t="n">
        <v>46059</v>
      </c>
      <c r="E25" s="3" t="n">
        <v>1159.15</v>
      </c>
      <c r="F25" s="4" t="inlineStr">
        <is>
          <t>Cash</t>
        </is>
      </c>
      <c r="G25" s="3" t="n">
        <v>12.03</v>
      </c>
      <c r="H25" s="4" t="inlineStr">
        <is>
          <t>Consumer Staples</t>
        </is>
      </c>
      <c r="I25" s="4" t="inlineStr">
        <is>
          <t>Consumer Staple Products</t>
        </is>
      </c>
      <c r="J25" s="4" t="inlineStr">
        <is>
          <t>Food</t>
        </is>
      </c>
      <c r="K25" s="4" t="n"/>
      <c r="L25" s="4" t="n"/>
      <c r="M25" s="3" t="n">
        <v>40.08</v>
      </c>
      <c r="N25" s="3" t="n">
        <v>785.14</v>
      </c>
      <c r="O25" s="4" t="inlineStr">
        <is>
          <t>Canada</t>
        </is>
      </c>
      <c r="P25" s="4" t="inlineStr">
        <is>
          <t>United States</t>
        </is>
      </c>
      <c r="Q25" s="4" t="inlineStr">
        <is>
          <t>Friendly</t>
        </is>
      </c>
      <c r="R25" s="3" t="n">
        <v>817.715</v>
      </c>
      <c r="S25" s="3" t="n">
        <v>4.84668</v>
      </c>
      <c r="T25" s="4" t="inlineStr">
        <is>
          <t>Going Private, Company Takeover, Cross Border</t>
        </is>
      </c>
      <c r="U25" s="2" t="inlineStr">
        <is>
          <t>No</t>
        </is>
      </c>
      <c r="V25" s="2" t="inlineStr">
        <is>
          <t>No</t>
        </is>
      </c>
      <c r="W25" s="2" t="inlineStr">
        <is>
          <t>Yes</t>
        </is>
      </c>
      <c r="X25" s="2" t="inlineStr">
        <is>
          <t>Yes</t>
        </is>
      </c>
      <c r="Y25" s="2" t="inlineStr">
        <is>
          <t>No</t>
        </is>
      </c>
      <c r="Z25" s="2" t="inlineStr">
        <is>
          <t>No</t>
        </is>
      </c>
      <c r="AA25" s="6" t="n">
        <v>3.06413964</v>
      </c>
      <c r="AB25" s="6" t="n">
        <v>2.912601964</v>
      </c>
      <c r="AC25" s="6" t="n">
        <v>2.894947104</v>
      </c>
      <c r="AD25">
        <f t="array" ref="AD25">IF(SUMPRODUCT(--($AM$2:$AM$112=TRIM(LEFT($B25,IFERROR(FIND(" ",$B25)-1,LEN($B25))))))&gt;0,1,0)</f>
        <v/>
      </c>
      <c r="AE25">
        <f t="array" ref="AE25">IF(SUMPRODUCT(--($AO$2:$AO$145=TRIM(LEFT($B25,IFERROR(FIND(" ",$B25)-1,LEN($B25))))))&gt;0,1,0)</f>
        <v/>
      </c>
      <c r="AF25">
        <f t="array" ref="AF25">IF(SUMPRODUCT(--($AQ$2:$AQ$71=TRIM(LEFT($B25,IFERROR(FIND(" ",$B25)-1,LEN($B25))))))&gt;0,1,0)</f>
        <v/>
      </c>
      <c r="AL25" t="inlineStr">
        <is>
          <t>HOLI / Ascen</t>
        </is>
      </c>
      <c r="AM25">
        <f>TRIM(LEFT(AL25,FIND("/",AL25)-1))</f>
        <v/>
      </c>
      <c r="AN25" t="inlineStr">
        <is>
          <t xml:space="preserve">CTLT / Novo </t>
        </is>
      </c>
      <c r="AO25">
        <f>TRIM(LEFT(AN25,FIND("/",AN25)-1))</f>
        <v/>
      </c>
      <c r="AP25" t="inlineStr">
        <is>
          <t xml:space="preserve">LVOX / NICE </t>
        </is>
      </c>
      <c r="AQ25">
        <f>TRIM(LEFT(AP25,FIND("/",AP25)-1))</f>
        <v/>
      </c>
    </row>
    <row r="26" ht="75.75" customHeight="1" thickBot="1">
      <c r="A26" s="13" t="n">
        <v>127</v>
      </c>
      <c r="B26" s="4" t="inlineStr">
        <is>
          <t>GDEN US</t>
        </is>
      </c>
      <c r="C26" s="4" t="inlineStr">
        <is>
          <t>VICI US</t>
        </is>
      </c>
      <c r="D26" s="7" t="n">
        <v>45967</v>
      </c>
      <c r="E26" s="3" t="n">
        <v>1189.11</v>
      </c>
      <c r="F26" s="4" t="inlineStr">
        <is>
          <t>Stock</t>
        </is>
      </c>
      <c r="G26" s="3" t="n">
        <v>5.34</v>
      </c>
      <c r="H26" s="4" t="inlineStr">
        <is>
          <t>Consumer Discretionary</t>
        </is>
      </c>
      <c r="I26" s="4" t="inlineStr">
        <is>
          <t>Consumer Discretionary Services</t>
        </is>
      </c>
      <c r="J26" s="4" t="inlineStr">
        <is>
          <t>Leisure Facilities &amp; Services</t>
        </is>
      </c>
      <c r="K26" s="3" t="n">
        <v>10</v>
      </c>
      <c r="L26" s="3" t="n">
        <v>37</v>
      </c>
      <c r="M26" s="3" t="n">
        <v>27.22</v>
      </c>
      <c r="N26" s="3" t="n">
        <v>725.01</v>
      </c>
      <c r="O26" s="4" t="inlineStr">
        <is>
          <t>United States</t>
        </is>
      </c>
      <c r="P26" s="4" t="inlineStr">
        <is>
          <t>United States</t>
        </is>
      </c>
      <c r="Q26" s="4" t="inlineStr">
        <is>
          <t>Friendly</t>
        </is>
      </c>
      <c r="R26" s="3" t="n">
        <v>634.9109999999999</v>
      </c>
      <c r="S26" s="3" t="n">
        <v>3.39118</v>
      </c>
      <c r="T26" s="4" t="inlineStr">
        <is>
          <t>Company Takeover</t>
        </is>
      </c>
      <c r="U26" s="2" t="inlineStr">
        <is>
          <t>No</t>
        </is>
      </c>
      <c r="V26" s="2" t="inlineStr">
        <is>
          <t>No</t>
        </is>
      </c>
      <c r="W26" s="2" t="inlineStr">
        <is>
          <t>No</t>
        </is>
      </c>
      <c r="X26" s="2" t="inlineStr">
        <is>
          <t>No</t>
        </is>
      </c>
      <c r="Y26" s="2" t="inlineStr">
        <is>
          <t>No</t>
        </is>
      </c>
      <c r="Z26" s="2" t="inlineStr">
        <is>
          <t>No</t>
        </is>
      </c>
      <c r="AA26" s="6" t="n">
        <v>3.075222031</v>
      </c>
      <c r="AB26" s="6" t="n">
        <v>2.802712851</v>
      </c>
      <c r="AC26" s="6" t="n">
        <v>2.860343997</v>
      </c>
      <c r="AD26">
        <f t="array" ref="AD26">IF(SUMPRODUCT(--($AM$2:$AM$112=TRIM(LEFT($B26,IFERROR(FIND(" ",$B26)-1,LEN($B26))))))&gt;0,1,0)</f>
        <v/>
      </c>
      <c r="AE26">
        <f t="array" ref="AE26">IF(SUMPRODUCT(--($AO$2:$AO$145=TRIM(LEFT($B26,IFERROR(FIND(" ",$B26)-1,LEN($B26))))))&gt;0,1,0)</f>
        <v/>
      </c>
      <c r="AF26">
        <f t="array" ref="AF26">IF(SUMPRODUCT(--($AQ$2:$AQ$71=TRIM(LEFT($B26,IFERROR(FIND(" ",$B26)-1,LEN($B26))))))&gt;0,1,0)</f>
        <v/>
      </c>
      <c r="AL26" t="inlineStr">
        <is>
          <t>TGH / Stone</t>
        </is>
      </c>
      <c r="AM26">
        <f>TRIM(LEFT(AL26,FIND("/",AL26)-1))</f>
        <v/>
      </c>
      <c r="AN26" t="inlineStr">
        <is>
          <t>ANSS / Synop</t>
        </is>
      </c>
      <c r="AO26">
        <f>TRIM(LEFT(AN26,FIND("/",AN26)-1))</f>
        <v/>
      </c>
      <c r="AP26" t="inlineStr">
        <is>
          <t>CTG / Ceged</t>
        </is>
      </c>
      <c r="AQ26">
        <f>TRIM(LEFT(AP26,FIND("/",AP26)-1))</f>
        <v/>
      </c>
    </row>
    <row r="27" ht="165.75" customHeight="1" thickBot="1">
      <c r="A27" s="13" t="n">
        <v>48</v>
      </c>
      <c r="B27" s="4" t="inlineStr">
        <is>
          <t>ACLX US</t>
        </is>
      </c>
      <c r="C27" s="4" t="inlineStr">
        <is>
          <t>GILD US</t>
        </is>
      </c>
      <c r="D27" s="7" t="n">
        <v>46076</v>
      </c>
      <c r="E27" s="3" t="n">
        <v>5360.74</v>
      </c>
      <c r="F27" s="4" t="inlineStr">
        <is>
          <t>Cash</t>
        </is>
      </c>
      <c r="G27" s="4" t="n"/>
      <c r="H27" s="4" t="inlineStr">
        <is>
          <t>Health Care</t>
        </is>
      </c>
      <c r="I27" s="4" t="inlineStr">
        <is>
          <t>Health Care</t>
        </is>
      </c>
      <c r="J27" s="4" t="inlineStr">
        <is>
          <t>Biotech &amp; Pharma</t>
        </is>
      </c>
      <c r="K27" s="4" t="n"/>
      <c r="L27" s="3" t="n">
        <v>260</v>
      </c>
      <c r="M27" s="3" t="n">
        <v>68.41</v>
      </c>
      <c r="N27" s="3" t="n">
        <v>5884.92</v>
      </c>
      <c r="O27" s="4" t="inlineStr">
        <is>
          <t>United States</t>
        </is>
      </c>
      <c r="P27" s="4" t="inlineStr">
        <is>
          <t>United States</t>
        </is>
      </c>
      <c r="Q27" s="4" t="inlineStr">
        <is>
          <t>Friendly</t>
        </is>
      </c>
      <c r="R27" s="3" t="n">
        <v>22.286</v>
      </c>
      <c r="S27" s="3" t="n">
        <v>-1135.61</v>
      </c>
      <c r="T27" s="4" t="inlineStr">
        <is>
          <t>Additional Stake Purchase, Company Takeover, Tender Offer, Squeeze out</t>
        </is>
      </c>
      <c r="U27" s="2" t="inlineStr">
        <is>
          <t>Yes</t>
        </is>
      </c>
      <c r="V27" s="2" t="inlineStr">
        <is>
          <t>No</t>
        </is>
      </c>
      <c r="W27" s="2" t="inlineStr">
        <is>
          <t>No</t>
        </is>
      </c>
      <c r="X27" s="2" t="inlineStr">
        <is>
          <t>No</t>
        </is>
      </c>
      <c r="Y27" s="2" t="inlineStr">
        <is>
          <t>No</t>
        </is>
      </c>
      <c r="Z27" s="2" t="inlineStr">
        <is>
          <t>Yes</t>
        </is>
      </c>
      <c r="AA27" s="6" t="n">
        <v>3.729224744</v>
      </c>
      <c r="AB27" s="6" t="n">
        <v>1.348032126</v>
      </c>
      <c r="AC27" s="6" t="n">
        <v>3.769740563</v>
      </c>
      <c r="AD27">
        <f t="array" ref="AD27">IF(SUMPRODUCT(--($AM$2:$AM$112=TRIM(LEFT($B27,IFERROR(FIND(" ",$B27)-1,LEN($B27))))))&gt;0,1,0)</f>
        <v/>
      </c>
      <c r="AE27">
        <f t="array" ref="AE27">IF(SUMPRODUCT(--($AO$2:$AO$145=TRIM(LEFT($B27,IFERROR(FIND(" ",$B27)-1,LEN($B27))))))&gt;0,1,0)</f>
        <v/>
      </c>
      <c r="AF27">
        <f t="array" ref="AF27">IF(SUMPRODUCT(--($AQ$2:$AQ$71=TRIM(LEFT($B27,IFERROR(FIND(" ",$B27)-1,LEN($B27))))))&gt;0,1,0)</f>
        <v/>
      </c>
      <c r="AL27" t="inlineStr">
        <is>
          <t>CPRI / Tapes</t>
        </is>
      </c>
      <c r="AM27">
        <f>TRIM(LEFT(AL27,FIND("/",AL27)-1))</f>
        <v/>
      </c>
      <c r="AN27" t="inlineStr">
        <is>
          <t>JNPR / Hewle</t>
        </is>
      </c>
      <c r="AO27">
        <f>TRIM(LEFT(AN27,FIND("/",AN27)-1))</f>
        <v/>
      </c>
      <c r="AP27" t="inlineStr">
        <is>
          <t>SQNS / Renes</t>
        </is>
      </c>
      <c r="AQ27">
        <f>TRIM(LEFT(AP27,FIND("/",AP27)-1))</f>
        <v/>
      </c>
    </row>
    <row r="28" ht="135.75" customHeight="1" thickBot="1">
      <c r="A28" s="13" t="n">
        <v>119</v>
      </c>
      <c r="B28" s="4" t="inlineStr">
        <is>
          <t>ECN CN</t>
        </is>
      </c>
      <c r="C28" s="2" t="n"/>
      <c r="D28" s="7" t="n">
        <v>45975</v>
      </c>
      <c r="E28" s="3" t="n">
        <v>622.17</v>
      </c>
      <c r="F28" s="4" t="inlineStr">
        <is>
          <t>Cash</t>
        </is>
      </c>
      <c r="G28" s="3" t="n">
        <v>6.7</v>
      </c>
      <c r="H28" s="4" t="inlineStr">
        <is>
          <t>Financials</t>
        </is>
      </c>
      <c r="I28" s="4" t="inlineStr">
        <is>
          <t>Financial Services</t>
        </is>
      </c>
      <c r="J28" s="4" t="inlineStr">
        <is>
          <t>Specialty Finance</t>
        </is>
      </c>
      <c r="K28" s="4" t="n"/>
      <c r="L28" s="4" t="n"/>
      <c r="M28" s="3" t="n">
        <v>8.81</v>
      </c>
      <c r="N28" s="3" t="n">
        <v>622.17</v>
      </c>
      <c r="O28" s="4" t="inlineStr">
        <is>
          <t>Canada</t>
        </is>
      </c>
      <c r="P28" s="4" t="inlineStr">
        <is>
          <t>Canada</t>
        </is>
      </c>
      <c r="Q28" s="4" t="inlineStr">
        <is>
          <t>Friendly</t>
        </is>
      </c>
      <c r="R28" s="3" t="n">
        <v>273.792</v>
      </c>
      <c r="S28" s="3" t="n">
        <v>16.0845</v>
      </c>
      <c r="T28" s="4" t="inlineStr">
        <is>
          <t>Company Takeover, Cross Border, Private Equity, Going Private</t>
        </is>
      </c>
      <c r="U28" s="2" t="inlineStr">
        <is>
          <t>No</t>
        </is>
      </c>
      <c r="V28" s="2" t="inlineStr">
        <is>
          <t>No</t>
        </is>
      </c>
      <c r="W28" s="2" t="inlineStr">
        <is>
          <t>Yes</t>
        </is>
      </c>
      <c r="X28" s="2" t="inlineStr">
        <is>
          <t>Yes</t>
        </is>
      </c>
      <c r="Y28" s="2" t="inlineStr">
        <is>
          <t>No</t>
        </is>
      </c>
      <c r="Z28" s="2" t="inlineStr">
        <is>
          <t>No</t>
        </is>
      </c>
      <c r="AA28" s="6" t="n">
        <v>2.793909066</v>
      </c>
      <c r="AB28" s="6" t="n">
        <v>2.437420754</v>
      </c>
      <c r="AC28" s="6" t="n">
        <v>2.793909066</v>
      </c>
      <c r="AD28">
        <f t="array" ref="AD28">IF(SUMPRODUCT(--($AM$2:$AM$112=TRIM(LEFT($B28,IFERROR(FIND(" ",$B28)-1,LEN($B28))))))&gt;0,1,0)</f>
        <v/>
      </c>
      <c r="AE28">
        <f t="array" ref="AE28">IF(SUMPRODUCT(--($AO$2:$AO$145=TRIM(LEFT($B28,IFERROR(FIND(" ",$B28)-1,LEN($B28))))))&gt;0,1,0)</f>
        <v/>
      </c>
      <c r="AF28">
        <f t="array" ref="AF28">IF(SUMPRODUCT(--($AQ$2:$AQ$71=TRIM(LEFT($B28,IFERROR(FIND(" ",$B28)-1,LEN($B28))))))&gt;0,1,0)</f>
        <v/>
      </c>
      <c r="AL28" t="inlineStr">
        <is>
          <t>VRTV / Clayt</t>
        </is>
      </c>
      <c r="AM28">
        <f>TRIM(LEFT(AL28,FIND("/",AL28)-1))</f>
        <v/>
      </c>
      <c r="AN28" t="inlineStr">
        <is>
          <t>AYX / Clear</t>
        </is>
      </c>
      <c r="AO28">
        <f>TRIM(LEFT(AN28,FIND("/",AN28)-1))</f>
        <v/>
      </c>
      <c r="AP28" t="inlineStr">
        <is>
          <t>DM / Strat</t>
        </is>
      </c>
      <c r="AQ28">
        <f>TRIM(LEFT(AP28,FIND("/",AP28)-1))</f>
        <v/>
      </c>
    </row>
    <row r="29" ht="45.75" customHeight="1" thickBot="1">
      <c r="A29" s="13" t="n">
        <v>93</v>
      </c>
      <c r="B29" s="4" t="inlineStr">
        <is>
          <t>FOLD US</t>
        </is>
      </c>
      <c r="C29" s="4" t="inlineStr">
        <is>
          <t>BMRN US</t>
        </is>
      </c>
      <c r="D29" s="7" t="n">
        <v>46010</v>
      </c>
      <c r="E29" s="3" t="n">
        <v>4710.71</v>
      </c>
      <c r="F29" s="4" t="inlineStr">
        <is>
          <t>Cash</t>
        </is>
      </c>
      <c r="G29" s="3" t="n">
        <v>117.41</v>
      </c>
      <c r="H29" s="4" t="inlineStr">
        <is>
          <t>Health Care</t>
        </is>
      </c>
      <c r="I29" s="4" t="inlineStr">
        <is>
          <t>Health Care</t>
        </is>
      </c>
      <c r="J29" s="4" t="inlineStr">
        <is>
          <t>Biotech &amp; Pharma</t>
        </is>
      </c>
      <c r="K29" s="4" t="n"/>
      <c r="L29" s="4" t="n"/>
      <c r="M29" s="3" t="n">
        <v>43.92</v>
      </c>
      <c r="N29" s="3" t="n">
        <v>4531.73</v>
      </c>
      <c r="O29" s="4" t="inlineStr">
        <is>
          <t>United States</t>
        </is>
      </c>
      <c r="P29" s="4" t="inlineStr">
        <is>
          <t>United States</t>
        </is>
      </c>
      <c r="Q29" s="4" t="inlineStr">
        <is>
          <t>Friendly</t>
        </is>
      </c>
      <c r="R29" s="3" t="n">
        <v>634.21</v>
      </c>
      <c r="S29" s="3" t="n">
        <v>5.17005</v>
      </c>
      <c r="T29" s="4" t="inlineStr">
        <is>
          <t>Company Takeover</t>
        </is>
      </c>
      <c r="U29" s="2" t="inlineStr">
        <is>
          <t>No</t>
        </is>
      </c>
      <c r="V29" s="2" t="inlineStr">
        <is>
          <t>No</t>
        </is>
      </c>
      <c r="W29" s="2" t="inlineStr">
        <is>
          <t>No</t>
        </is>
      </c>
      <c r="X29" s="2" t="inlineStr">
        <is>
          <t>No</t>
        </is>
      </c>
      <c r="Y29" s="2" t="inlineStr">
        <is>
          <t>No</t>
        </is>
      </c>
      <c r="Z29" s="2" t="inlineStr">
        <is>
          <t>No</t>
        </is>
      </c>
      <c r="AA29" s="6" t="n">
        <v>3.673086369</v>
      </c>
      <c r="AB29" s="6" t="n">
        <v>2.802233086</v>
      </c>
      <c r="AC29" s="6" t="n">
        <v>3.656264027</v>
      </c>
      <c r="AD29">
        <f t="array" ref="AD29">IF(SUMPRODUCT(--($AM$2:$AM$112=TRIM(LEFT($B29,IFERROR(FIND(" ",$B29)-1,LEN($B29))))))&gt;0,1,0)</f>
        <v/>
      </c>
      <c r="AE29">
        <f t="array" ref="AE29">IF(SUMPRODUCT(--($AO$2:$AO$145=TRIM(LEFT($B29,IFERROR(FIND(" ",$B29)-1,LEN($B29))))))&gt;0,1,0)</f>
        <v/>
      </c>
      <c r="AF29">
        <f t="array" ref="AF29">IF(SUMPRODUCT(--($AQ$2:$AQ$71=TRIM(LEFT($B29,IFERROR(FIND(" ",$B29)-1,LEN($B29))))))&gt;0,1,0)</f>
        <v/>
      </c>
      <c r="AL29" t="inlineStr">
        <is>
          <t>LTHM / Allke</t>
        </is>
      </c>
      <c r="AM29">
        <f>TRIM(LEFT(AL29,FIND("/",AL29)-1))</f>
        <v/>
      </c>
      <c r="AN29" t="inlineStr">
        <is>
          <t>X / Nippo</t>
        </is>
      </c>
      <c r="AO29">
        <f>TRIM(LEFT(AN29,FIND("/",AN29)-1))</f>
        <v/>
      </c>
      <c r="AP29" t="inlineStr">
        <is>
          <t>EMAN / Samsu</t>
        </is>
      </c>
      <c r="AQ29">
        <f>TRIM(LEFT(AP29,FIND("/",AP29)-1))</f>
        <v/>
      </c>
    </row>
    <row r="30" ht="45.75" customHeight="1" thickBot="1">
      <c r="A30" s="13" t="n">
        <v>115</v>
      </c>
      <c r="B30" s="4" t="inlineStr">
        <is>
          <t>SEMR US</t>
        </is>
      </c>
      <c r="C30" s="4" t="inlineStr">
        <is>
          <t>ADBE US</t>
        </is>
      </c>
      <c r="D30" s="7" t="n">
        <v>45980</v>
      </c>
      <c r="E30" s="3" t="n">
        <v>1528.45</v>
      </c>
      <c r="F30" s="4" t="inlineStr">
        <is>
          <t>Cash</t>
        </is>
      </c>
      <c r="G30" s="3" t="n">
        <v>64.66</v>
      </c>
      <c r="H30" s="4" t="inlineStr">
        <is>
          <t>Technology</t>
        </is>
      </c>
      <c r="I30" s="4" t="inlineStr">
        <is>
          <t>Software &amp; Tech Services</t>
        </is>
      </c>
      <c r="J30" s="4" t="inlineStr">
        <is>
          <t>Software</t>
        </is>
      </c>
      <c r="K30" s="4" t="n"/>
      <c r="L30" s="3" t="n">
        <v>63</v>
      </c>
      <c r="M30" s="3" t="n">
        <v>63.42</v>
      </c>
      <c r="N30" s="3" t="n">
        <v>1790.2</v>
      </c>
      <c r="O30" s="4" t="inlineStr">
        <is>
          <t>United States</t>
        </is>
      </c>
      <c r="P30" s="4" t="inlineStr">
        <is>
          <t>United States</t>
        </is>
      </c>
      <c r="Q30" s="4" t="inlineStr">
        <is>
          <t>Friendly</t>
        </is>
      </c>
      <c r="R30" s="3" t="n">
        <v>443.644</v>
      </c>
      <c r="S30" s="3" t="n">
        <v>-5.14196</v>
      </c>
      <c r="T30" s="4" t="inlineStr">
        <is>
          <t>Company Takeover</t>
        </is>
      </c>
      <c r="U30" s="2" t="inlineStr">
        <is>
          <t>No</t>
        </is>
      </c>
      <c r="V30" s="2" t="inlineStr">
        <is>
          <t>No</t>
        </is>
      </c>
      <c r="W30" s="2" t="inlineStr">
        <is>
          <t>No</t>
        </is>
      </c>
      <c r="X30" s="2" t="inlineStr">
        <is>
          <t>No</t>
        </is>
      </c>
      <c r="Y30" s="2" t="inlineStr">
        <is>
          <t>No</t>
        </is>
      </c>
      <c r="Z30" s="2" t="inlineStr">
        <is>
          <t>No</t>
        </is>
      </c>
      <c r="AA30" s="6" t="n">
        <v>3.184251236</v>
      </c>
      <c r="AB30" s="6" t="n">
        <v>2.647034612</v>
      </c>
      <c r="AC30" s="6" t="n">
        <v>3.252901553</v>
      </c>
      <c r="AD30">
        <f t="array" ref="AD30">IF(SUMPRODUCT(--($AM$2:$AM$112=TRIM(LEFT($B30,IFERROR(FIND(" ",$B30)-1,LEN($B30))))))&gt;0,1,0)</f>
        <v/>
      </c>
      <c r="AE30">
        <f t="array" ref="AE30">IF(SUMPRODUCT(--($AO$2:$AO$145=TRIM(LEFT($B30,IFERROR(FIND(" ",$B30)-1,LEN($B30))))))&gt;0,1,0)</f>
        <v/>
      </c>
      <c r="AF30">
        <f t="array" ref="AF30">IF(SUMPRODUCT(--($AQ$2:$AQ$71=TRIM(LEFT($B30,IFERROR(FIND(" ",$B30)-1,LEN($B30))))))&gt;0,1,0)</f>
        <v/>
      </c>
      <c r="AL30" t="inlineStr">
        <is>
          <t>ARNC / Apoll</t>
        </is>
      </c>
      <c r="AM30">
        <f>TRIM(LEFT(AL30,FIND("/",AL30)-1))</f>
        <v/>
      </c>
      <c r="AN30" t="inlineStr">
        <is>
          <t>SPLK / Cisco</t>
        </is>
      </c>
      <c r="AO30">
        <f>TRIM(LEFT(AN30,FIND("/",AN30)-1))</f>
        <v/>
      </c>
      <c r="AP30" t="inlineStr">
        <is>
          <t>LTHM / Allke</t>
        </is>
      </c>
      <c r="AQ30">
        <f>TRIM(LEFT(AP30,FIND("/",AP30)-1))</f>
        <v/>
      </c>
    </row>
    <row r="31" ht="75.75" customHeight="1" thickBot="1">
      <c r="A31" s="13" t="n">
        <v>36</v>
      </c>
      <c r="B31" s="4" t="inlineStr">
        <is>
          <t>DAWN US</t>
        </is>
      </c>
      <c r="C31" s="4" t="inlineStr">
        <is>
          <t>2296308D FP</t>
        </is>
      </c>
      <c r="D31" s="7" t="n">
        <v>46087</v>
      </c>
      <c r="E31" s="3" t="n">
        <v>2016.41</v>
      </c>
      <c r="F31" s="4" t="inlineStr">
        <is>
          <t>Cash</t>
        </is>
      </c>
      <c r="G31" s="4" t="n"/>
      <c r="H31" s="4" t="inlineStr">
        <is>
          <t>Health Care</t>
        </is>
      </c>
      <c r="I31" s="4" t="inlineStr">
        <is>
          <t>Health Care</t>
        </is>
      </c>
      <c r="J31" s="4" t="inlineStr">
        <is>
          <t>Biotech &amp; Pharma</t>
        </is>
      </c>
      <c r="K31" s="4" t="n"/>
      <c r="L31" s="4" t="n"/>
      <c r="M31" s="3" t="n">
        <v>88.72</v>
      </c>
      <c r="N31" s="2" t="n"/>
      <c r="O31" s="4" t="inlineStr">
        <is>
          <t>United States</t>
        </is>
      </c>
      <c r="P31" s="4" t="inlineStr">
        <is>
          <t>France</t>
        </is>
      </c>
      <c r="Q31" s="4" t="inlineStr">
        <is>
          <t>Friendly</t>
        </is>
      </c>
      <c r="R31" s="3" t="n">
        <v>158.182</v>
      </c>
      <c r="S31" s="3" t="n">
        <v>-80.76139999999999</v>
      </c>
      <c r="T31" s="4" t="inlineStr">
        <is>
          <t>Company Takeover, Tender Offer</t>
        </is>
      </c>
      <c r="U31" s="2" t="inlineStr">
        <is>
          <t>No</t>
        </is>
      </c>
      <c r="V31" s="2" t="inlineStr">
        <is>
          <t>No</t>
        </is>
      </c>
      <c r="W31" s="2" t="inlineStr">
        <is>
          <t>No</t>
        </is>
      </c>
      <c r="X31" s="2" t="inlineStr">
        <is>
          <t>No</t>
        </is>
      </c>
      <c r="Y31" s="2" t="inlineStr">
        <is>
          <t>No</t>
        </is>
      </c>
      <c r="Z31" s="2" t="inlineStr">
        <is>
          <t>Yes</t>
        </is>
      </c>
      <c r="AA31" s="6" t="n">
        <v>3.304578843</v>
      </c>
      <c r="AB31" s="6" t="n">
        <v>2.199157062</v>
      </c>
      <c r="AC31" s="2" t="n"/>
      <c r="AD31">
        <f t="array" ref="AD31">IF(SUMPRODUCT(--($AM$2:$AM$112=TRIM(LEFT($B31,IFERROR(FIND(" ",$B31)-1,LEN($B31))))))&gt;0,1,0)</f>
        <v/>
      </c>
      <c r="AE31">
        <f t="array" ref="AE31">IF(SUMPRODUCT(--($AO$2:$AO$145=TRIM(LEFT($B31,IFERROR(FIND(" ",$B31)-1,LEN($B31))))))&gt;0,1,0)</f>
        <v/>
      </c>
      <c r="AF31">
        <f t="array" ref="AF31">IF(SUMPRODUCT(--($AQ$2:$AQ$71=TRIM(LEFT($B31,IFERROR(FIND(" ",$B31)-1,LEN($B31))))))&gt;0,1,0)</f>
        <v/>
      </c>
      <c r="AL31" t="inlineStr">
        <is>
          <t>NATI / Emers</t>
        </is>
      </c>
      <c r="AM31">
        <f>TRIM(LEFT(AL31,FIND("/",AL31)-1))</f>
        <v/>
      </c>
      <c r="AN31" t="inlineStr">
        <is>
          <t>WRK / Smurf</t>
        </is>
      </c>
      <c r="AO31">
        <f>TRIM(LEFT(AN31,FIND("/",AN31)-1))</f>
        <v/>
      </c>
      <c r="AP31" t="inlineStr">
        <is>
          <t>TRTN / Brook</t>
        </is>
      </c>
      <c r="AQ31">
        <f>TRIM(LEFT(AP31,FIND("/",AP31)-1))</f>
        <v/>
      </c>
    </row>
    <row r="32" ht="45.75" customHeight="1" thickBot="1">
      <c r="A32" s="13" t="n">
        <v>89</v>
      </c>
      <c r="B32" s="4" t="inlineStr">
        <is>
          <t>HTBK US</t>
        </is>
      </c>
      <c r="C32" s="4" t="inlineStr">
        <is>
          <t>CVBF US</t>
        </is>
      </c>
      <c r="D32" s="7" t="n">
        <v>46008</v>
      </c>
      <c r="E32" s="3" t="n">
        <v>784.16</v>
      </c>
      <c r="F32" s="4" t="inlineStr">
        <is>
          <t>Stock</t>
        </is>
      </c>
      <c r="G32" s="4" t="n"/>
      <c r="H32" s="4" t="inlineStr">
        <is>
          <t>Financials</t>
        </is>
      </c>
      <c r="I32" s="4" t="inlineStr">
        <is>
          <t>Banking</t>
        </is>
      </c>
      <c r="J32" s="4" t="inlineStr">
        <is>
          <t>Banking</t>
        </is>
      </c>
      <c r="K32" s="3" t="n">
        <v>32.45</v>
      </c>
      <c r="L32" s="3" t="n">
        <v>32.45</v>
      </c>
      <c r="M32" s="3" t="n">
        <v>13.78</v>
      </c>
      <c r="N32" s="3" t="n">
        <v>784.16</v>
      </c>
      <c r="O32" s="4" t="inlineStr">
        <is>
          <t>United States</t>
        </is>
      </c>
      <c r="P32" s="4" t="inlineStr">
        <is>
          <t>United States</t>
        </is>
      </c>
      <c r="Q32" s="4" t="inlineStr">
        <is>
          <t>Friendly</t>
        </is>
      </c>
      <c r="R32" s="3" t="n">
        <v>269.088</v>
      </c>
      <c r="S32" s="3" t="n">
        <v>34.3298</v>
      </c>
      <c r="T32" s="4" t="inlineStr">
        <is>
          <t>Company Takeover</t>
        </is>
      </c>
      <c r="U32" s="2" t="inlineStr">
        <is>
          <t>No</t>
        </is>
      </c>
      <c r="V32" s="2" t="inlineStr">
        <is>
          <t>No</t>
        </is>
      </c>
      <c r="W32" s="2" t="inlineStr">
        <is>
          <t>No</t>
        </is>
      </c>
      <c r="X32" s="2" t="inlineStr">
        <is>
          <t>No</t>
        </is>
      </c>
      <c r="Y32" s="2" t="inlineStr">
        <is>
          <t>No</t>
        </is>
      </c>
      <c r="Z32" s="2" t="inlineStr">
        <is>
          <t>No</t>
        </is>
      </c>
      <c r="AA32" s="6" t="n">
        <v>2.894404685</v>
      </c>
      <c r="AB32" s="6" t="n">
        <v>2.429894331</v>
      </c>
      <c r="AC32" s="6" t="n">
        <v>2.894404685</v>
      </c>
      <c r="AD32">
        <f t="array" ref="AD32">IF(SUMPRODUCT(--($AM$2:$AM$112=TRIM(LEFT($B32,IFERROR(FIND(" ",$B32)-1,LEN($B32))))))&gt;0,1,0)</f>
        <v/>
      </c>
      <c r="AE32">
        <f t="array" ref="AE32">IF(SUMPRODUCT(--($AO$2:$AO$145=TRIM(LEFT($B32,IFERROR(FIND(" ",$B32)-1,LEN($B32))))))&gt;0,1,0)</f>
        <v/>
      </c>
      <c r="AF32">
        <f t="array" ref="AF32">IF(SUMPRODUCT(--($AQ$2:$AQ$71=TRIM(LEFT($B32,IFERROR(FIND(" ",$B32)-1,LEN($B32))))))&gt;0,1,0)</f>
        <v/>
      </c>
      <c r="AL32" t="inlineStr">
        <is>
          <t>TRTN / Brook</t>
        </is>
      </c>
      <c r="AM32">
        <f>TRIM(LEFT(AL32,FIND("/",AL32)-1))</f>
        <v/>
      </c>
      <c r="AN32" t="inlineStr">
        <is>
          <t>CPRI / Tapes</t>
        </is>
      </c>
      <c r="AO32">
        <f>TRIM(LEFT(AN32,FIND("/",AN32)-1))</f>
        <v/>
      </c>
      <c r="AP32" t="inlineStr">
        <is>
          <t>UNVR / Apoll</t>
        </is>
      </c>
      <c r="AQ32">
        <f>TRIM(LEFT(AP32,FIND("/",AP32)-1))</f>
        <v/>
      </c>
    </row>
    <row r="33" ht="105.75" customHeight="1" thickBot="1">
      <c r="A33" s="13" t="n">
        <v>141</v>
      </c>
      <c r="B33" s="4" t="inlineStr">
        <is>
          <t>RBX CN</t>
        </is>
      </c>
      <c r="C33" s="4" t="inlineStr">
        <is>
          <t>PDI AU</t>
        </is>
      </c>
      <c r="D33" s="7" t="n">
        <v>45936</v>
      </c>
      <c r="E33" s="3" t="n">
        <v>703.03</v>
      </c>
      <c r="F33" s="4" t="inlineStr">
        <is>
          <t>Stock</t>
        </is>
      </c>
      <c r="G33" s="3" t="n">
        <v>11.63</v>
      </c>
      <c r="H33" s="4" t="inlineStr">
        <is>
          <t>Materials</t>
        </is>
      </c>
      <c r="I33" s="4" t="inlineStr">
        <is>
          <t>Materials</t>
        </is>
      </c>
      <c r="J33" s="4" t="inlineStr">
        <is>
          <t>Metals &amp; Mining</t>
        </is>
      </c>
      <c r="K33" s="4" t="n"/>
      <c r="L33" s="4" t="n"/>
      <c r="M33" s="3" t="n">
        <v>0.78</v>
      </c>
      <c r="N33" s="3" t="n">
        <v>714.34</v>
      </c>
      <c r="O33" s="4" t="inlineStr">
        <is>
          <t>Canada</t>
        </is>
      </c>
      <c r="P33" s="4" t="inlineStr">
        <is>
          <t>Australia</t>
        </is>
      </c>
      <c r="Q33" s="4" t="inlineStr">
        <is>
          <t>Friendly</t>
        </is>
      </c>
      <c r="R33" s="3" t="n">
        <v>159.235</v>
      </c>
      <c r="S33" s="3" t="n">
        <v>17.9809</v>
      </c>
      <c r="T33" s="4" t="inlineStr">
        <is>
          <t>Cross Border, Company Takeover, Reverse Merger</t>
        </is>
      </c>
      <c r="U33" s="2" t="inlineStr">
        <is>
          <t>No</t>
        </is>
      </c>
      <c r="V33" s="2" t="inlineStr">
        <is>
          <t>No</t>
        </is>
      </c>
      <c r="W33" s="2" t="inlineStr">
        <is>
          <t>Yes</t>
        </is>
      </c>
      <c r="X33" s="2" t="inlineStr">
        <is>
          <t>No</t>
        </is>
      </c>
      <c r="Y33" s="2" t="inlineStr">
        <is>
          <t>No</t>
        </is>
      </c>
      <c r="Z33" s="2" t="inlineStr">
        <is>
          <t>No</t>
        </is>
      </c>
      <c r="AA33" s="6" t="n">
        <v>2.846973858</v>
      </c>
      <c r="AB33" s="6" t="n">
        <v>2.202038532</v>
      </c>
      <c r="AC33" s="6" t="n">
        <v>2.853904969</v>
      </c>
      <c r="AD33">
        <f t="array" ref="AD33">IF(SUMPRODUCT(--($AM$2:$AM$112=TRIM(LEFT($B33,IFERROR(FIND(" ",$B33)-1,LEN($B33))))))&gt;0,1,0)</f>
        <v/>
      </c>
      <c r="AE33">
        <f t="array" ref="AE33">IF(SUMPRODUCT(--($AO$2:$AO$145=TRIM(LEFT($B33,IFERROR(FIND(" ",$B33)-1,LEN($B33))))))&gt;0,1,0)</f>
        <v/>
      </c>
      <c r="AF33">
        <f t="array" ref="AF33">IF(SUMPRODUCT(--($AQ$2:$AQ$71=TRIM(LEFT($B33,IFERROR(FIND(" ",$B33)-1,LEN($B33))))))&gt;0,1,0)</f>
        <v/>
      </c>
      <c r="AL33" t="inlineStr">
        <is>
          <t>UNVR / Apoll</t>
        </is>
      </c>
      <c r="AM33">
        <f>TRIM(LEFT(AL33,FIND("/",AL33)-1))</f>
        <v/>
      </c>
      <c r="AN33" t="inlineStr">
        <is>
          <t>NEWR / Franc</t>
        </is>
      </c>
      <c r="AO33">
        <f>TRIM(LEFT(AN33,FIND("/",AN33)-1))</f>
        <v/>
      </c>
      <c r="AP33" t="inlineStr">
        <is>
          <t>INDT / Cente</t>
        </is>
      </c>
      <c r="AQ33">
        <f>TRIM(LEFT(AP33,FIND("/",AP33)-1))</f>
        <v/>
      </c>
    </row>
    <row r="34" ht="75.75" customHeight="1" thickBot="1">
      <c r="A34" s="13" t="n">
        <v>54</v>
      </c>
      <c r="B34" s="4" t="inlineStr">
        <is>
          <t>FOM CN</t>
        </is>
      </c>
      <c r="C34" s="4" t="inlineStr">
        <is>
          <t>ELD CN</t>
        </is>
      </c>
      <c r="D34" s="7" t="n">
        <v>46055</v>
      </c>
      <c r="E34" s="3" t="n">
        <v>2343.32</v>
      </c>
      <c r="F34" s="4" t="inlineStr">
        <is>
          <t>Cash and Stock</t>
        </is>
      </c>
      <c r="G34" s="4" t="n"/>
      <c r="H34" s="4" t="inlineStr">
        <is>
          <t>Materials</t>
        </is>
      </c>
      <c r="I34" s="4" t="inlineStr">
        <is>
          <t>Materials</t>
        </is>
      </c>
      <c r="J34" s="4" t="inlineStr">
        <is>
          <t>Metals &amp; Mining</t>
        </is>
      </c>
      <c r="K34" s="4" t="n"/>
      <c r="L34" s="4" t="n"/>
      <c r="M34" s="3" t="n">
        <v>6.8</v>
      </c>
      <c r="N34" s="3" t="n">
        <v>2586.39</v>
      </c>
      <c r="O34" s="4" t="inlineStr">
        <is>
          <t>Canada</t>
        </is>
      </c>
      <c r="P34" s="4" t="inlineStr">
        <is>
          <t>Turkey</t>
        </is>
      </c>
      <c r="Q34" s="4" t="inlineStr">
        <is>
          <t>Friendly</t>
        </is>
      </c>
      <c r="R34" s="2" t="n"/>
      <c r="S34" s="2" t="n"/>
      <c r="T34" s="4" t="inlineStr">
        <is>
          <t>Cross Border, Company Takeover</t>
        </is>
      </c>
      <c r="U34" s="2" t="inlineStr">
        <is>
          <t>No</t>
        </is>
      </c>
      <c r="V34" s="2" t="inlineStr">
        <is>
          <t>No</t>
        </is>
      </c>
      <c r="W34" s="2" t="inlineStr">
        <is>
          <t>Yes</t>
        </is>
      </c>
      <c r="X34" s="2" t="inlineStr">
        <is>
          <t>No</t>
        </is>
      </c>
      <c r="Y34" s="2" t="inlineStr">
        <is>
          <t>No</t>
        </is>
      </c>
      <c r="Z34" s="2" t="inlineStr">
        <is>
          <t>No</t>
        </is>
      </c>
      <c r="AA34" s="6" t="n">
        <v>3.369831599</v>
      </c>
      <c r="AB34" s="2" t="n"/>
      <c r="AC34" s="6" t="n">
        <v>3.412694012</v>
      </c>
      <c r="AD34">
        <f t="array" ref="AD34">IF(SUMPRODUCT(--($AM$2:$AM$112=TRIM(LEFT($B34,IFERROR(FIND(" ",$B34)-1,LEN($B34))))))&gt;0,1,0)</f>
        <v/>
      </c>
      <c r="AE34">
        <f t="array" ref="AE34">IF(SUMPRODUCT(--($AO$2:$AO$145=TRIM(LEFT($B34,IFERROR(FIND(" ",$B34)-1,LEN($B34))))))&gt;0,1,0)</f>
        <v/>
      </c>
      <c r="AF34">
        <f t="array" ref="AF34">IF(SUMPRODUCT(--($AQ$2:$AQ$71=TRIM(LEFT($B34,IFERROR(FIND(" ",$B34)-1,LEN($B34))))))&gt;0,1,0)</f>
        <v/>
      </c>
      <c r="AL34" t="inlineStr">
        <is>
          <t>DSEY / Solen</t>
        </is>
      </c>
      <c r="AM34">
        <f>TRIM(LEFT(AL34,FIND("/",AL34)-1))</f>
        <v/>
      </c>
      <c r="AN34" t="inlineStr">
        <is>
          <t>SYNH / Ellio</t>
        </is>
      </c>
      <c r="AO34">
        <f>TRIM(LEFT(AN34,FIND("/",AN34)-1))</f>
        <v/>
      </c>
      <c r="AP34" t="inlineStr">
        <is>
          <t>MAXR / Adven</t>
        </is>
      </c>
      <c r="AQ34">
        <f>TRIM(LEFT(AP34,FIND("/",AP34)-1))</f>
        <v/>
      </c>
    </row>
    <row r="35" ht="135.75" customHeight="1" thickBot="1">
      <c r="A35" s="13" t="n">
        <v>104</v>
      </c>
      <c r="B35" s="4" t="inlineStr">
        <is>
          <t>SEE US</t>
        </is>
      </c>
      <c r="C35" s="4" t="inlineStr">
        <is>
          <t>5056Z US</t>
        </is>
      </c>
      <c r="D35" s="7" t="n">
        <v>45978</v>
      </c>
      <c r="E35" s="3" t="n">
        <v>10199.74</v>
      </c>
      <c r="F35" s="4" t="inlineStr">
        <is>
          <t>Cash</t>
        </is>
      </c>
      <c r="G35" s="3" t="n">
        <v>10.06</v>
      </c>
      <c r="H35" s="4" t="inlineStr">
        <is>
          <t>Materials</t>
        </is>
      </c>
      <c r="I35" s="4" t="inlineStr">
        <is>
          <t>Materials</t>
        </is>
      </c>
      <c r="J35" s="4" t="inlineStr">
        <is>
          <t>Containers &amp; Packaging</t>
        </is>
      </c>
      <c r="K35" s="4" t="n"/>
      <c r="L35" s="4" t="n"/>
      <c r="M35" s="3" t="n">
        <v>17.04</v>
      </c>
      <c r="N35" s="3" t="n">
        <v>6201.24</v>
      </c>
      <c r="O35" s="4" t="inlineStr">
        <is>
          <t>United States</t>
        </is>
      </c>
      <c r="P35" s="4" t="inlineStr">
        <is>
          <t>United States</t>
        </is>
      </c>
      <c r="Q35" s="4" t="inlineStr">
        <is>
          <t>Friendly</t>
        </is>
      </c>
      <c r="R35" s="3" t="n">
        <v>5359.8</v>
      </c>
      <c r="S35" s="3" t="n">
        <v>13.5397</v>
      </c>
      <c r="T35" s="4" t="inlineStr">
        <is>
          <t>PE Buyout, Private Equity, Company Takeover, Going Private</t>
        </is>
      </c>
      <c r="U35" s="2" t="inlineStr">
        <is>
          <t>No</t>
        </is>
      </c>
      <c r="V35" s="2" t="inlineStr">
        <is>
          <t>No</t>
        </is>
      </c>
      <c r="W35" s="2" t="inlineStr">
        <is>
          <t>No</t>
        </is>
      </c>
      <c r="X35" s="2" t="inlineStr">
        <is>
          <t>Yes</t>
        </is>
      </c>
      <c r="Y35" s="2" t="inlineStr">
        <is>
          <t>Yes</t>
        </is>
      </c>
      <c r="Z35" s="2" t="inlineStr">
        <is>
          <t>No</t>
        </is>
      </c>
      <c r="AA35" s="6" t="n">
        <v>4.008589101</v>
      </c>
      <c r="AB35" s="6" t="n">
        <v>3.729148584</v>
      </c>
      <c r="AC35" s="6" t="n">
        <v>3.79247854</v>
      </c>
      <c r="AD35">
        <f t="array" ref="AD35">IF(SUMPRODUCT(--($AM$2:$AM$112=TRIM(LEFT($B35,IFERROR(FIND(" ",$B35)-1,LEN($B35))))))&gt;0,1,0)</f>
        <v/>
      </c>
      <c r="AE35">
        <f t="array" ref="AE35">IF(SUMPRODUCT(--($AO$2:$AO$145=TRIM(LEFT($B35,IFERROR(FIND(" ",$B35)-1,LEN($B35))))))&gt;0,1,0)</f>
        <v/>
      </c>
      <c r="AF35">
        <f t="array" ref="AF35">IF(SUMPRODUCT(--($AQ$2:$AQ$71=TRIM(LEFT($B35,IFERROR(FIND(" ",$B35)-1,LEN($B35))))))&gt;0,1,0)</f>
        <v/>
      </c>
      <c r="AL35" t="inlineStr">
        <is>
          <t>RADI / EQT A</t>
        </is>
      </c>
      <c r="AM35">
        <f>TRIM(LEFT(AL35,FIND("/",AL35)-1))</f>
        <v/>
      </c>
      <c r="AN35" t="inlineStr">
        <is>
          <t>ARNC / Apoll</t>
        </is>
      </c>
      <c r="AO35">
        <f>TRIM(LEFT(AN35,FIND("/",AN35)-1))</f>
        <v/>
      </c>
      <c r="AP35" t="inlineStr">
        <is>
          <t>COUP / Thoma</t>
        </is>
      </c>
      <c r="AQ35">
        <f>TRIM(LEFT(AP35,FIND("/",AP35)-1))</f>
        <v/>
      </c>
    </row>
    <row r="36" ht="105.75" customHeight="1" thickBot="1">
      <c r="A36" s="13" t="n">
        <v>122</v>
      </c>
      <c r="B36" s="4" t="inlineStr">
        <is>
          <t>HOLX US</t>
        </is>
      </c>
      <c r="C36" s="2" t="n"/>
      <c r="D36" s="7" t="n">
        <v>45951</v>
      </c>
      <c r="E36" s="3" t="n">
        <v>17547.27</v>
      </c>
      <c r="F36" s="4" t="inlineStr">
        <is>
          <t>Cash</t>
        </is>
      </c>
      <c r="G36" s="3" t="n">
        <v>16.75</v>
      </c>
      <c r="H36" s="4" t="inlineStr">
        <is>
          <t>Health Care</t>
        </is>
      </c>
      <c r="I36" s="4" t="inlineStr">
        <is>
          <t>Health Care</t>
        </is>
      </c>
      <c r="J36" s="4" t="inlineStr">
        <is>
          <t>Medical Equipment &amp; Devices</t>
        </is>
      </c>
      <c r="K36" s="3" t="n">
        <v>900</v>
      </c>
      <c r="L36" s="3" t="n">
        <v>540</v>
      </c>
      <c r="M36" s="3" t="n">
        <v>12.32</v>
      </c>
      <c r="N36" s="3" t="n">
        <v>16903.87</v>
      </c>
      <c r="O36" s="4" t="inlineStr">
        <is>
          <t>United States</t>
        </is>
      </c>
      <c r="P36" s="4" t="inlineStr">
        <is>
          <t>United States</t>
        </is>
      </c>
      <c r="Q36" s="4" t="inlineStr">
        <is>
          <t>Friendly</t>
        </is>
      </c>
      <c r="R36" s="3" t="n">
        <v>4100.5</v>
      </c>
      <c r="S36" s="3" t="n">
        <v>17.4874</v>
      </c>
      <c r="T36" s="4" t="inlineStr">
        <is>
          <t>Private Equity, Company Takeover, PE Buyout</t>
        </is>
      </c>
      <c r="U36" s="2" t="inlineStr">
        <is>
          <t>No</t>
        </is>
      </c>
      <c r="V36" s="2" t="inlineStr">
        <is>
          <t>No</t>
        </is>
      </c>
      <c r="W36" s="2" t="inlineStr">
        <is>
          <t>No</t>
        </is>
      </c>
      <c r="X36" s="2" t="inlineStr">
        <is>
          <t>No</t>
        </is>
      </c>
      <c r="Y36" s="2" t="inlineStr">
        <is>
          <t>Yes</t>
        </is>
      </c>
      <c r="Z36" s="2" t="inlineStr">
        <is>
          <t>No</t>
        </is>
      </c>
      <c r="AA36" s="6" t="n">
        <v>4.244209559</v>
      </c>
      <c r="AB36" s="6" t="n">
        <v>3.612836816</v>
      </c>
      <c r="AC36" s="6" t="n">
        <v>4.227986144</v>
      </c>
      <c r="AD36">
        <f t="array" ref="AD36">IF(SUMPRODUCT(--($AM$2:$AM$112=TRIM(LEFT($B36,IFERROR(FIND(" ",$B36)-1,LEN($B36))))))&gt;0,1,0)</f>
        <v/>
      </c>
      <c r="AE36">
        <f t="array" ref="AE36">IF(SUMPRODUCT(--($AO$2:$AO$145=TRIM(LEFT($B36,IFERROR(FIND(" ",$B36)-1,LEN($B36))))))&gt;0,1,0)</f>
        <v/>
      </c>
      <c r="AF36">
        <f t="array" ref="AF36">IF(SUMPRODUCT(--($AQ$2:$AQ$71=TRIM(LEFT($B36,IFERROR(FIND(" ",$B36)-1,LEN($B36))))))&gt;0,1,0)</f>
        <v/>
      </c>
      <c r="AL36" t="inlineStr">
        <is>
          <t>AQUA / Xylem</t>
        </is>
      </c>
      <c r="AM36">
        <f>TRIM(LEFT(AL36,FIND("/",AL36)-1))</f>
        <v/>
      </c>
      <c r="AN36" t="inlineStr">
        <is>
          <t>NATI / Emers</t>
        </is>
      </c>
      <c r="AO36">
        <f>TRIM(LEFT(AN36,FIND("/",AN36)-1))</f>
        <v/>
      </c>
      <c r="AP36" t="inlineStr">
        <is>
          <t>OPNT / Indiv</t>
        </is>
      </c>
      <c r="AQ36">
        <f>TRIM(LEFT(AP36,FIND("/",AP36)-1))</f>
        <v/>
      </c>
    </row>
    <row r="37" ht="135.75" customHeight="1" thickBot="1">
      <c r="A37" s="13" t="n">
        <v>157</v>
      </c>
      <c r="B37" s="4" t="inlineStr">
        <is>
          <t>AL US</t>
        </is>
      </c>
      <c r="C37" s="2" t="n"/>
      <c r="D37" s="7" t="n">
        <v>45902</v>
      </c>
      <c r="E37" s="3" t="n">
        <v>7264.73</v>
      </c>
      <c r="F37" s="4" t="inlineStr">
        <is>
          <t>Cash</t>
        </is>
      </c>
      <c r="G37" s="3" t="n">
        <v>2.89</v>
      </c>
      <c r="H37" s="4" t="inlineStr">
        <is>
          <t>Financials</t>
        </is>
      </c>
      <c r="I37" s="4" t="inlineStr">
        <is>
          <t>Financial Services</t>
        </is>
      </c>
      <c r="J37" s="4" t="inlineStr">
        <is>
          <t>Specialty Finance</t>
        </is>
      </c>
      <c r="K37" s="4" t="n"/>
      <c r="L37" s="4" t="n"/>
      <c r="M37" s="3" t="n">
        <v>12.37</v>
      </c>
      <c r="N37" s="3" t="n">
        <v>7264.73</v>
      </c>
      <c r="O37" s="4" t="inlineStr">
        <is>
          <t>United States</t>
        </is>
      </c>
      <c r="P37" s="4" t="inlineStr">
        <is>
          <t>Japan</t>
        </is>
      </c>
      <c r="Q37" s="4" t="inlineStr">
        <is>
          <t>Friendly</t>
        </is>
      </c>
      <c r="R37" s="3" t="n">
        <v>3015.75</v>
      </c>
      <c r="S37" s="3" t="n">
        <v>63.983</v>
      </c>
      <c r="T37" s="4" t="inlineStr">
        <is>
          <t>Company Takeover, Private Equity, Cross Border, PE Buyout</t>
        </is>
      </c>
      <c r="U37" s="2" t="inlineStr">
        <is>
          <t>No</t>
        </is>
      </c>
      <c r="V37" s="2" t="inlineStr">
        <is>
          <t>No</t>
        </is>
      </c>
      <c r="W37" s="2" t="inlineStr">
        <is>
          <t>Yes</t>
        </is>
      </c>
      <c r="X37" s="2" t="inlineStr">
        <is>
          <t>No</t>
        </is>
      </c>
      <c r="Y37" s="2" t="inlineStr">
        <is>
          <t>Yes</t>
        </is>
      </c>
      <c r="Z37" s="2" t="inlineStr">
        <is>
          <t>No</t>
        </is>
      </c>
      <c r="AA37" s="6" t="n">
        <v>3.861219478</v>
      </c>
      <c r="AB37" s="6" t="n">
        <v>3.479395336</v>
      </c>
      <c r="AC37" s="6" t="n">
        <v>3.861219478</v>
      </c>
      <c r="AD37">
        <f t="array" ref="AD37">IF(SUMPRODUCT(--($AM$2:$AM$112=TRIM(LEFT($B37,IFERROR(FIND(" ",$B37)-1,LEN($B37))))))&gt;0,1,0)</f>
        <v/>
      </c>
      <c r="AE37">
        <f t="array" ref="AE37">IF(SUMPRODUCT(--($AO$2:$AO$145=TRIM(LEFT($B37,IFERROR(FIND(" ",$B37)-1,LEN($B37))))))&gt;0,1,0)</f>
        <v/>
      </c>
      <c r="AF37">
        <f t="array" ref="AF37">IF(SUMPRODUCT(--($AQ$2:$AQ$71=TRIM(LEFT($B37,IFERROR(FIND(" ",$B37)-1,LEN($B37))))))&gt;0,1,0)</f>
        <v/>
      </c>
      <c r="AL37" t="inlineStr">
        <is>
          <t>ATCO / Fairf</t>
        </is>
      </c>
      <c r="AM37">
        <f>TRIM(LEFT(AL37,FIND("/",AL37)-1))</f>
        <v/>
      </c>
      <c r="AN37" t="inlineStr">
        <is>
          <t>TRTN / Brook</t>
        </is>
      </c>
      <c r="AO37">
        <f>TRIM(LEFT(AN37,FIND("/",AN37)-1))</f>
        <v/>
      </c>
      <c r="AP37" t="inlineStr">
        <is>
          <t>AVEO / LG Ch</t>
        </is>
      </c>
      <c r="AQ37">
        <f>TRIM(LEFT(AP37,FIND("/",AP37)-1))</f>
        <v/>
      </c>
    </row>
    <row r="38" ht="165.75" customHeight="1" thickBot="1">
      <c r="A38" s="13" t="n">
        <v>63</v>
      </c>
      <c r="B38" s="4" t="inlineStr">
        <is>
          <t>OS US</t>
        </is>
      </c>
      <c r="C38" s="2" t="n"/>
      <c r="D38" s="7" t="n">
        <v>46028</v>
      </c>
      <c r="E38" s="3" t="n">
        <v>6400</v>
      </c>
      <c r="F38" s="4" t="inlineStr">
        <is>
          <t>Cash</t>
        </is>
      </c>
      <c r="G38" s="4" t="n"/>
      <c r="H38" s="4" t="inlineStr">
        <is>
          <t>Technology</t>
        </is>
      </c>
      <c r="I38" s="4" t="inlineStr">
        <is>
          <t>Software &amp; Tech Services</t>
        </is>
      </c>
      <c r="J38" s="4" t="inlineStr">
        <is>
          <t>Software</t>
        </is>
      </c>
      <c r="K38" s="4" t="n"/>
      <c r="L38" s="4" t="n"/>
      <c r="M38" s="4" t="n"/>
      <c r="N38" s="3" t="n">
        <v>7036.15</v>
      </c>
      <c r="O38" s="4" t="inlineStr">
        <is>
          <t>United States</t>
        </is>
      </c>
      <c r="P38" s="4" t="inlineStr">
        <is>
          <t>United Kingdom</t>
        </is>
      </c>
      <c r="Q38" s="4" t="inlineStr">
        <is>
          <t>Friendly</t>
        </is>
      </c>
      <c r="R38" s="3" t="n">
        <v>601.934</v>
      </c>
      <c r="S38" s="3" t="n">
        <v>-15.7492</v>
      </c>
      <c r="T38" s="4" t="inlineStr">
        <is>
          <t>Company Takeover, Cross Border, Private Equity, PE Buyout, Going Private</t>
        </is>
      </c>
      <c r="U38" s="2" t="inlineStr">
        <is>
          <t>No</t>
        </is>
      </c>
      <c r="V38" s="2" t="inlineStr">
        <is>
          <t>No</t>
        </is>
      </c>
      <c r="W38" s="2" t="inlineStr">
        <is>
          <t>Yes</t>
        </is>
      </c>
      <c r="X38" s="2" t="inlineStr">
        <is>
          <t>Yes</t>
        </is>
      </c>
      <c r="Y38" s="2" t="inlineStr">
        <is>
          <t>Yes</t>
        </is>
      </c>
      <c r="Z38" s="2" t="inlineStr">
        <is>
          <t>No</t>
        </is>
      </c>
      <c r="AA38" s="6" t="n">
        <v>3.806179974</v>
      </c>
      <c r="AB38" s="6" t="n">
        <v>2.779548875</v>
      </c>
      <c r="AC38" s="6" t="n">
        <v>3.847335089</v>
      </c>
      <c r="AD38">
        <f t="array" ref="AD38">IF(SUMPRODUCT(--($AM$2:$AM$112=TRIM(LEFT($B38,IFERROR(FIND(" ",$B38)-1,LEN($B38))))))&gt;0,1,0)</f>
        <v/>
      </c>
      <c r="AE38">
        <f t="array" ref="AE38">IF(SUMPRODUCT(--($AO$2:$AO$145=TRIM(LEFT($B38,IFERROR(FIND(" ",$B38)-1,LEN($B38))))))&gt;0,1,0)</f>
        <v/>
      </c>
      <c r="AF38">
        <f t="array" ref="AF38">IF(SUMPRODUCT(--($AQ$2:$AQ$71=TRIM(LEFT($B38,IFERROR(FIND(" ",$B38)-1,LEN($B38))))))&gt;0,1,0)</f>
        <v/>
      </c>
      <c r="AL38" t="inlineStr">
        <is>
          <t>AIMC / Regal</t>
        </is>
      </c>
      <c r="AM38">
        <f>TRIM(LEFT(AL38,FIND("/",AL38)-1))</f>
        <v/>
      </c>
      <c r="AN38" t="inlineStr">
        <is>
          <t>UNVR / Apoll</t>
        </is>
      </c>
      <c r="AO38">
        <f>TRIM(LEFT(AN38,FIND("/",AN38)-1))</f>
        <v/>
      </c>
      <c r="AP38" t="inlineStr">
        <is>
          <t xml:space="preserve">STOR / GIC </t>
        </is>
      </c>
      <c r="AQ38">
        <f>TRIM(LEFT(AP38,FIND("/",AP38)-1))</f>
        <v/>
      </c>
    </row>
    <row r="39" ht="105.75" customHeight="1" thickBot="1">
      <c r="A39" s="13" t="n">
        <v>37</v>
      </c>
      <c r="B39" s="4" t="inlineStr">
        <is>
          <t>GLDD US</t>
        </is>
      </c>
      <c r="C39" s="4" t="inlineStr">
        <is>
          <t>685748Z US</t>
        </is>
      </c>
      <c r="D39" s="7" t="n">
        <v>46064</v>
      </c>
      <c r="E39" s="3" t="n">
        <v>1628.07</v>
      </c>
      <c r="F39" s="4" t="inlineStr">
        <is>
          <t>Cash</t>
        </is>
      </c>
      <c r="G39" s="3" t="n">
        <v>7.34</v>
      </c>
      <c r="H39" s="4" t="inlineStr">
        <is>
          <t>Industrials</t>
        </is>
      </c>
      <c r="I39" s="4" t="inlineStr">
        <is>
          <t>Industrial Services</t>
        </is>
      </c>
      <c r="J39" s="4" t="inlineStr">
        <is>
          <t>Engineering &amp; Construction</t>
        </is>
      </c>
      <c r="K39" s="4" t="n"/>
      <c r="L39" s="4" t="n"/>
      <c r="M39" s="3" t="n">
        <v>12.47</v>
      </c>
      <c r="N39" s="3" t="n">
        <v>1155.99</v>
      </c>
      <c r="O39" s="4" t="inlineStr">
        <is>
          <t>United States</t>
        </is>
      </c>
      <c r="P39" s="4" t="inlineStr">
        <is>
          <t>United States</t>
        </is>
      </c>
      <c r="Q39" s="4" t="inlineStr">
        <is>
          <t>Friendly</t>
        </is>
      </c>
      <c r="R39" s="3" t="n">
        <v>888.277</v>
      </c>
      <c r="S39" s="3" t="n">
        <v>14.3861</v>
      </c>
      <c r="T39" s="4" t="inlineStr">
        <is>
          <t>Tender Offer, Going Private, Company Takeover</t>
        </is>
      </c>
      <c r="U39" s="2" t="inlineStr">
        <is>
          <t>No</t>
        </is>
      </c>
      <c r="V39" s="2" t="inlineStr">
        <is>
          <t>No</t>
        </is>
      </c>
      <c r="W39" s="2" t="inlineStr">
        <is>
          <t>No</t>
        </is>
      </c>
      <c r="X39" s="2" t="inlineStr">
        <is>
          <t>Yes</t>
        </is>
      </c>
      <c r="Y39" s="2" t="inlineStr">
        <is>
          <t>No</t>
        </is>
      </c>
      <c r="Z39" s="2" t="inlineStr">
        <is>
          <t>Yes</t>
        </is>
      </c>
      <c r="AA39" s="6" t="n">
        <v>3.211673074</v>
      </c>
      <c r="AB39" s="6" t="n">
        <v>2.948548417</v>
      </c>
      <c r="AC39" s="6" t="n">
        <v>3.062954077</v>
      </c>
      <c r="AD39">
        <f t="array" ref="AD39">IF(SUMPRODUCT(--($AM$2:$AM$112=TRIM(LEFT($B39,IFERROR(FIND(" ",$B39)-1,LEN($B39))))))&gt;0,1,0)</f>
        <v/>
      </c>
      <c r="AE39">
        <f t="array" ref="AE39">IF(SUMPRODUCT(--($AO$2:$AO$145=TRIM(LEFT($B39,IFERROR(FIND(" ",$B39)-1,LEN($B39))))))&gt;0,1,0)</f>
        <v/>
      </c>
      <c r="AF39">
        <f t="array" ref="AF39">IF(SUMPRODUCT(--($AQ$2:$AQ$71=TRIM(LEFT($B39,IFERROR(FIND(" ",$B39)-1,LEN($B39))))))&gt;0,1,0)</f>
        <v/>
      </c>
      <c r="AL39" t="inlineStr">
        <is>
          <t>AAWW / Apoll</t>
        </is>
      </c>
      <c r="AM39">
        <f>TRIM(LEFT(AL39,FIND("/",AL39)-1))</f>
        <v/>
      </c>
      <c r="AN39" t="inlineStr">
        <is>
          <t>SGEN / Pfize</t>
        </is>
      </c>
      <c r="AO39">
        <f>TRIM(LEFT(AN39,FIND("/",AN39)-1))</f>
        <v/>
      </c>
      <c r="AP39" t="inlineStr">
        <is>
          <t>VIVO / SD Bi</t>
        </is>
      </c>
      <c r="AQ39">
        <f>TRIM(LEFT(AP39,FIND("/",AP39)-1))</f>
        <v/>
      </c>
    </row>
    <row r="40" ht="45.75" customHeight="1" thickBot="1">
      <c r="A40" s="13" t="n">
        <v>113</v>
      </c>
      <c r="B40" s="4" t="inlineStr">
        <is>
          <t>FFWM US</t>
        </is>
      </c>
      <c r="C40" s="4" t="inlineStr">
        <is>
          <t>FSUN US</t>
        </is>
      </c>
      <c r="D40" s="7" t="n">
        <v>45957</v>
      </c>
      <c r="E40" s="3" t="n">
        <v>526.27</v>
      </c>
      <c r="F40" s="4" t="inlineStr">
        <is>
          <t>Stock</t>
        </is>
      </c>
      <c r="G40" s="4" t="n"/>
      <c r="H40" s="4" t="inlineStr">
        <is>
          <t>Financials</t>
        </is>
      </c>
      <c r="I40" s="4" t="inlineStr">
        <is>
          <t>Banking</t>
        </is>
      </c>
      <c r="J40" s="4" t="inlineStr">
        <is>
          <t>Banking</t>
        </is>
      </c>
      <c r="K40" s="4" t="n"/>
      <c r="L40" s="4" t="n"/>
      <c r="M40" s="3" t="n">
        <v>13.67</v>
      </c>
      <c r="N40" s="3" t="n">
        <v>526.27</v>
      </c>
      <c r="O40" s="4" t="inlineStr">
        <is>
          <t>United States</t>
        </is>
      </c>
      <c r="P40" s="4" t="inlineStr">
        <is>
          <t>United States</t>
        </is>
      </c>
      <c r="Q40" s="4" t="inlineStr">
        <is>
          <t>Friendly</t>
        </is>
      </c>
      <c r="R40" s="3" t="n">
        <v>588.3630000000001</v>
      </c>
      <c r="S40" s="3" t="n">
        <v>-30.4737</v>
      </c>
      <c r="T40" s="4" t="inlineStr">
        <is>
          <t>Company Takeover</t>
        </is>
      </c>
      <c r="U40" s="2" t="inlineStr">
        <is>
          <t>No</t>
        </is>
      </c>
      <c r="V40" s="2" t="inlineStr">
        <is>
          <t>No</t>
        </is>
      </c>
      <c r="W40" s="2" t="inlineStr">
        <is>
          <t>No</t>
        </is>
      </c>
      <c r="X40" s="2" t="inlineStr">
        <is>
          <t>No</t>
        </is>
      </c>
      <c r="Y40" s="2" t="inlineStr">
        <is>
          <t>No</t>
        </is>
      </c>
      <c r="Z40" s="2" t="inlineStr">
        <is>
          <t>No</t>
        </is>
      </c>
      <c r="AA40" s="6" t="n">
        <v>2.721208614</v>
      </c>
      <c r="AB40" s="6" t="n">
        <v>2.769645354</v>
      </c>
      <c r="AC40" s="6" t="n">
        <v>2.721208614</v>
      </c>
      <c r="AD40">
        <f t="array" ref="AD40">IF(SUMPRODUCT(--($AM$2:$AM$112=TRIM(LEFT($B40,IFERROR(FIND(" ",$B40)-1,LEN($B40))))))&gt;0,1,0)</f>
        <v/>
      </c>
      <c r="AE40">
        <f t="array" ref="AE40">IF(SUMPRODUCT(--($AO$2:$AO$145=TRIM(LEFT($B40,IFERROR(FIND(" ",$B40)-1,LEN($B40))))))&gt;0,1,0)</f>
        <v/>
      </c>
      <c r="AF40">
        <f t="array" ref="AF40">IF(SUMPRODUCT(--($AQ$2:$AQ$71=TRIM(LEFT($B40,IFERROR(FIND(" ",$B40)-1,LEN($B40))))))&gt;0,1,0)</f>
        <v/>
      </c>
      <c r="AL40" t="inlineStr">
        <is>
          <t>ZEN / Hellm</t>
        </is>
      </c>
      <c r="AM40">
        <f>TRIM(LEFT(AL40,FIND("/",AL40)-1))</f>
        <v/>
      </c>
      <c r="AN40" t="inlineStr">
        <is>
          <t>DSEY / Solen</t>
        </is>
      </c>
      <c r="AO40">
        <f>TRIM(LEFT(AN40,FIND("/",AN40)-1))</f>
        <v/>
      </c>
      <c r="AP40" t="inlineStr">
        <is>
          <t>USAK / DB Sc</t>
        </is>
      </c>
      <c r="AQ40">
        <f>TRIM(LEFT(AP40,FIND("/",AP40)-1))</f>
        <v/>
      </c>
    </row>
    <row r="41" ht="75.75" customHeight="1" thickBot="1">
      <c r="A41" s="13" t="n">
        <v>150</v>
      </c>
      <c r="B41" s="4" t="inlineStr">
        <is>
          <t>GCG/A CN</t>
        </is>
      </c>
      <c r="C41" s="4" t="inlineStr">
        <is>
          <t>1407Z CN</t>
        </is>
      </c>
      <c r="D41" s="7" t="n">
        <v>45897</v>
      </c>
      <c r="E41" s="3" t="n">
        <v>1079.61</v>
      </c>
      <c r="F41" s="4" t="inlineStr">
        <is>
          <t>Cash</t>
        </is>
      </c>
      <c r="G41" s="3" t="n">
        <v>10.29</v>
      </c>
      <c r="H41" s="4" t="inlineStr">
        <is>
          <t>Financials</t>
        </is>
      </c>
      <c r="I41" s="4" t="inlineStr">
        <is>
          <t>Financial Services</t>
        </is>
      </c>
      <c r="J41" s="4" t="inlineStr">
        <is>
          <t>Asset Management</t>
        </is>
      </c>
      <c r="K41" s="4" t="n"/>
      <c r="L41" s="4" t="n"/>
      <c r="M41" s="3" t="n">
        <v>65.53</v>
      </c>
      <c r="N41" s="3" t="n">
        <v>1079.61</v>
      </c>
      <c r="O41" s="4" t="inlineStr">
        <is>
          <t>Canada</t>
        </is>
      </c>
      <c r="P41" s="4" t="inlineStr">
        <is>
          <t>Canada</t>
        </is>
      </c>
      <c r="Q41" s="4" t="inlineStr">
        <is>
          <t>Friendly</t>
        </is>
      </c>
      <c r="R41" s="3" t="n">
        <v>292.633</v>
      </c>
      <c r="S41" s="3" t="n">
        <v>36.9856</v>
      </c>
      <c r="T41" s="4" t="inlineStr">
        <is>
          <t>Company Takeover, Going Private</t>
        </is>
      </c>
      <c r="U41" s="2" t="inlineStr">
        <is>
          <t>No</t>
        </is>
      </c>
      <c r="V41" s="2" t="inlineStr">
        <is>
          <t>No</t>
        </is>
      </c>
      <c r="W41" s="2" t="inlineStr">
        <is>
          <t>No</t>
        </is>
      </c>
      <c r="X41" s="2" t="inlineStr">
        <is>
          <t>Yes</t>
        </is>
      </c>
      <c r="Y41" s="2" t="inlineStr">
        <is>
          <t>No</t>
        </is>
      </c>
      <c r="Z41" s="2" t="inlineStr">
        <is>
          <t>No</t>
        </is>
      </c>
      <c r="AA41" s="6" t="n">
        <v>3.033266899</v>
      </c>
      <c r="AB41" s="6" t="n">
        <v>2.4663233</v>
      </c>
      <c r="AC41" s="6" t="n">
        <v>3.033266899</v>
      </c>
      <c r="AD41">
        <f t="array" ref="AD41">IF(SUMPRODUCT(--($AM$2:$AM$112=TRIM(LEFT($B41,IFERROR(FIND(" ",$B41)-1,LEN($B41))))))&gt;0,1,0)</f>
        <v/>
      </c>
      <c r="AE41">
        <f t="array" ref="AE41">IF(SUMPRODUCT(--($AO$2:$AO$145=TRIM(LEFT($B41,IFERROR(FIND(" ",$B41)-1,LEN($B41))))))&gt;0,1,0)</f>
        <v/>
      </c>
      <c r="AF41">
        <f t="array" ref="AF41">IF(SUMPRODUCT(--($AQ$2:$AQ$71=TRIM(LEFT($B41,IFERROR(FIND(" ",$B41)-1,LEN($B41))))))&gt;0,1,0)</f>
        <v/>
      </c>
      <c r="AL41" t="inlineStr">
        <is>
          <t>VMW / Broad</t>
        </is>
      </c>
      <c r="AM41">
        <f>TRIM(LEFT(AL41,FIND("/",AL41)-1))</f>
        <v/>
      </c>
      <c r="AN41" t="inlineStr">
        <is>
          <t>RADI / EQT A</t>
        </is>
      </c>
      <c r="AO41">
        <f>TRIM(LEFT(AN41,FIND("/",AN41)-1))</f>
        <v/>
      </c>
      <c r="AP41" t="inlineStr">
        <is>
          <t>ZEN / Hellm</t>
        </is>
      </c>
      <c r="AQ41">
        <f>TRIM(LEFT(AP41,FIND("/",AP41)-1))</f>
        <v/>
      </c>
    </row>
    <row r="42" ht="75.75" customHeight="1" thickBot="1">
      <c r="A42" s="13" t="n">
        <v>89</v>
      </c>
      <c r="B42" s="4" t="inlineStr">
        <is>
          <t>EXAS US</t>
        </is>
      </c>
      <c r="C42" s="4" t="inlineStr">
        <is>
          <t>ABT US</t>
        </is>
      </c>
      <c r="D42" s="7" t="n">
        <v>45981</v>
      </c>
      <c r="E42" s="3" t="n">
        <v>21428.17</v>
      </c>
      <c r="F42" s="4" t="inlineStr">
        <is>
          <t>Cash</t>
        </is>
      </c>
      <c r="G42" s="4" t="n"/>
      <c r="H42" s="4" t="inlineStr">
        <is>
          <t>Health Care</t>
        </is>
      </c>
      <c r="I42" s="4" t="inlineStr">
        <is>
          <t>Health Care</t>
        </is>
      </c>
      <c r="J42" s="4" t="inlineStr">
        <is>
          <t>Medical Equipment &amp; Devices</t>
        </is>
      </c>
      <c r="K42" s="4" t="n"/>
      <c r="L42" s="3" t="n">
        <v>628.694</v>
      </c>
      <c r="M42" s="3" t="n">
        <v>55.93</v>
      </c>
      <c r="N42" s="3" t="n">
        <v>19894.49</v>
      </c>
      <c r="O42" s="4" t="inlineStr">
        <is>
          <t>United States</t>
        </is>
      </c>
      <c r="P42" s="4" t="inlineStr">
        <is>
          <t>United States</t>
        </is>
      </c>
      <c r="Q42" s="4" t="inlineStr">
        <is>
          <t>Friendly</t>
        </is>
      </c>
      <c r="R42" s="3" t="n">
        <v>3246.99</v>
      </c>
      <c r="S42" s="3" t="n">
        <v>-6.35352</v>
      </c>
      <c r="T42" s="4" t="inlineStr">
        <is>
          <t>Company Takeover, Going Private</t>
        </is>
      </c>
      <c r="U42" s="2" t="inlineStr">
        <is>
          <t>No</t>
        </is>
      </c>
      <c r="V42" s="2" t="inlineStr">
        <is>
          <t>No</t>
        </is>
      </c>
      <c r="W42" s="2" t="inlineStr">
        <is>
          <t>No</t>
        </is>
      </c>
      <c r="X42" s="2" t="inlineStr">
        <is>
          <t>Yes</t>
        </is>
      </c>
      <c r="Y42" s="2" t="inlineStr">
        <is>
          <t>No</t>
        </is>
      </c>
      <c r="Z42" s="2" t="inlineStr">
        <is>
          <t>No</t>
        </is>
      </c>
      <c r="AA42" s="6" t="n">
        <v>4.330985083</v>
      </c>
      <c r="AB42" s="6" t="n">
        <v>3.511480951</v>
      </c>
      <c r="AC42" s="6" t="n">
        <v>4.29873281</v>
      </c>
      <c r="AD42">
        <f t="array" ref="AD42">IF(SUMPRODUCT(--($AM$2:$AM$112=TRIM(LEFT($B42,IFERROR(FIND(" ",$B42)-1,LEN($B42))))))&gt;0,1,0)</f>
        <v/>
      </c>
      <c r="AE42">
        <f t="array" ref="AE42">IF(SUMPRODUCT(--($AO$2:$AO$145=TRIM(LEFT($B42,IFERROR(FIND(" ",$B42)-1,LEN($B42))))))&gt;0,1,0)</f>
        <v/>
      </c>
      <c r="AF42">
        <f t="array" ref="AF42">IF(SUMPRODUCT(--($AQ$2:$AQ$71=TRIM(LEFT($B42,IFERROR(FIND(" ",$B42)-1,LEN($B42))))))&gt;0,1,0)</f>
        <v/>
      </c>
      <c r="AL42" t="inlineStr">
        <is>
          <t>CVET / Clayt</t>
        </is>
      </c>
      <c r="AM42">
        <f>TRIM(LEFT(AL42,FIND("/",AL42)-1))</f>
        <v/>
      </c>
      <c r="AN42" t="inlineStr">
        <is>
          <t>FOCS / Clayt</t>
        </is>
      </c>
      <c r="AO42">
        <f>TRIM(LEFT(AN42,FIND("/",AN42)-1))</f>
        <v/>
      </c>
      <c r="AP42" t="inlineStr">
        <is>
          <t xml:space="preserve">FSTX / Sino </t>
        </is>
      </c>
      <c r="AQ42">
        <f>TRIM(LEFT(AP42,FIND("/",AP42)-1))</f>
        <v/>
      </c>
    </row>
    <row r="43" ht="105.75" customHeight="1" thickBot="1">
      <c r="A43" s="13" t="n">
        <v>102</v>
      </c>
      <c r="B43" s="4" t="inlineStr">
        <is>
          <t>NGD CN</t>
        </is>
      </c>
      <c r="C43" s="4" t="inlineStr">
        <is>
          <t>CDE US</t>
        </is>
      </c>
      <c r="D43" s="7" t="n">
        <v>45964</v>
      </c>
      <c r="E43" s="3" t="n">
        <v>7997.6</v>
      </c>
      <c r="F43" s="4" t="inlineStr">
        <is>
          <t>Stock</t>
        </is>
      </c>
      <c r="G43" s="3" t="n">
        <v>18.58</v>
      </c>
      <c r="H43" s="4" t="inlineStr">
        <is>
          <t>Materials</t>
        </is>
      </c>
      <c r="I43" s="4" t="inlineStr">
        <is>
          <t>Materials</t>
        </is>
      </c>
      <c r="J43" s="4" t="inlineStr">
        <is>
          <t>Metals &amp; Mining</t>
        </is>
      </c>
      <c r="K43" s="4" t="n"/>
      <c r="L43" s="4" t="n"/>
      <c r="M43" s="3" t="n">
        <v>40.67</v>
      </c>
      <c r="N43" s="3" t="n">
        <v>7726.2</v>
      </c>
      <c r="O43" s="4" t="inlineStr">
        <is>
          <t>Canada</t>
        </is>
      </c>
      <c r="P43" s="4" t="inlineStr">
        <is>
          <t>United States</t>
        </is>
      </c>
      <c r="Q43" s="4" t="inlineStr">
        <is>
          <t>Friendly</t>
        </is>
      </c>
      <c r="R43" s="3" t="n">
        <v>1476.1</v>
      </c>
      <c r="S43" s="3" t="n">
        <v>77.92829999999999</v>
      </c>
      <c r="T43" s="4" t="inlineStr">
        <is>
          <t>Company Takeover, Cross Border, Reverse Merger</t>
        </is>
      </c>
      <c r="U43" s="2" t="inlineStr">
        <is>
          <t>No</t>
        </is>
      </c>
      <c r="V43" s="2" t="inlineStr">
        <is>
          <t>No</t>
        </is>
      </c>
      <c r="W43" s="2" t="inlineStr">
        <is>
          <t>Yes</t>
        </is>
      </c>
      <c r="X43" s="2" t="inlineStr">
        <is>
          <t>No</t>
        </is>
      </c>
      <c r="Y43" s="2" t="inlineStr">
        <is>
          <t>No</t>
        </is>
      </c>
      <c r="Z43" s="2" t="inlineStr">
        <is>
          <t>No</t>
        </is>
      </c>
      <c r="AA43" s="6" t="n">
        <v>3.902959679</v>
      </c>
      <c r="AB43" s="6" t="n">
        <v>3.16911578</v>
      </c>
      <c r="AC43" s="6" t="n">
        <v>3.887965946</v>
      </c>
      <c r="AD43">
        <f t="array" ref="AD43">IF(SUMPRODUCT(--($AM$2:$AM$112=TRIM(LEFT($B43,IFERROR(FIND(" ",$B43)-1,LEN($B43))))))&gt;0,1,0)</f>
        <v/>
      </c>
      <c r="AE43">
        <f t="array" ref="AE43">IF(SUMPRODUCT(--($AO$2:$AO$145=TRIM(LEFT($B43,IFERROR(FIND(" ",$B43)-1,LEN($B43))))))&gt;0,1,0)</f>
        <v/>
      </c>
      <c r="AF43">
        <f t="array" ref="AF43">IF(SUMPRODUCT(--($AQ$2:$AQ$71=TRIM(LEFT($B43,IFERROR(FIND(" ",$B43)-1,LEN($B43))))))&gt;0,1,0)</f>
        <v/>
      </c>
      <c r="AL43" t="inlineStr">
        <is>
          <t>POLY / HP In</t>
        </is>
      </c>
      <c r="AM43">
        <f>TRIM(LEFT(AL43,FIND("/",AL43)-1))</f>
        <v/>
      </c>
      <c r="AN43" t="inlineStr">
        <is>
          <t>INDT / Cente</t>
        </is>
      </c>
      <c r="AO43">
        <f>TRIM(LEFT(AN43,FIND("/",AN43)-1))</f>
        <v/>
      </c>
      <c r="AP43" t="inlineStr">
        <is>
          <t>SWCH / Digit</t>
        </is>
      </c>
      <c r="AQ43">
        <f>TRIM(LEFT(AP43,FIND("/",AP43)-1))</f>
        <v/>
      </c>
    </row>
    <row r="44" ht="45.75" customHeight="1" thickBot="1">
      <c r="A44" s="13" t="n">
        <v>154</v>
      </c>
      <c r="B44" s="4" t="inlineStr">
        <is>
          <t>TGNA US</t>
        </is>
      </c>
      <c r="C44" s="4" t="inlineStr">
        <is>
          <t>NXST US</t>
        </is>
      </c>
      <c r="D44" s="7" t="n">
        <v>45888</v>
      </c>
      <c r="E44" s="3" t="n">
        <v>5359.57</v>
      </c>
      <c r="F44" s="4" t="inlineStr">
        <is>
          <t>Cash</t>
        </is>
      </c>
      <c r="G44" s="3" t="n">
        <v>5.86</v>
      </c>
      <c r="H44" s="4" t="inlineStr">
        <is>
          <t>Communications</t>
        </is>
      </c>
      <c r="I44" s="4" t="inlineStr">
        <is>
          <t>Media</t>
        </is>
      </c>
      <c r="J44" s="4" t="inlineStr">
        <is>
          <t>Entertainment Content</t>
        </is>
      </c>
      <c r="K44" s="4" t="n"/>
      <c r="L44" s="4" t="n"/>
      <c r="M44" s="3" t="n">
        <v>24.51</v>
      </c>
      <c r="N44" s="3" t="n">
        <v>3539.3</v>
      </c>
      <c r="O44" s="4" t="inlineStr">
        <is>
          <t>United States</t>
        </is>
      </c>
      <c r="P44" s="4" t="inlineStr">
        <is>
          <t>United States</t>
        </is>
      </c>
      <c r="Q44" s="4" t="inlineStr">
        <is>
          <t>Friendly</t>
        </is>
      </c>
      <c r="R44" s="3" t="n">
        <v>2712</v>
      </c>
      <c r="S44" s="3" t="n">
        <v>16.3337</v>
      </c>
      <c r="T44" s="4" t="inlineStr">
        <is>
          <t>Company Takeover</t>
        </is>
      </c>
      <c r="U44" s="2" t="inlineStr">
        <is>
          <t>No</t>
        </is>
      </c>
      <c r="V44" s="2" t="inlineStr">
        <is>
          <t>No</t>
        </is>
      </c>
      <c r="W44" s="2" t="inlineStr">
        <is>
          <t>No</t>
        </is>
      </c>
      <c r="X44" s="2" t="inlineStr">
        <is>
          <t>No</t>
        </is>
      </c>
      <c r="Y44" s="2" t="inlineStr">
        <is>
          <t>No</t>
        </is>
      </c>
      <c r="Z44" s="2" t="inlineStr">
        <is>
          <t>No</t>
        </is>
      </c>
      <c r="AA44" s="6" t="n">
        <v>3.729129948</v>
      </c>
      <c r="AB44" s="6" t="n">
        <v>3.433289685</v>
      </c>
      <c r="AC44" s="6" t="n">
        <v>3.548917376</v>
      </c>
      <c r="AD44">
        <f t="array" ref="AD44">IF(SUMPRODUCT(--($AM$2:$AM$112=TRIM(LEFT($B44,IFERROR(FIND(" ",$B44)-1,LEN($B44))))))&gt;0,1,0)</f>
        <v/>
      </c>
      <c r="AE44">
        <f t="array" ref="AE44">IF(SUMPRODUCT(--($AO$2:$AO$145=TRIM(LEFT($B44,IFERROR(FIND(" ",$B44)-1,LEN($B44))))))&gt;0,1,0)</f>
        <v/>
      </c>
      <c r="AF44">
        <f t="array" ref="AF44">IF(SUMPRODUCT(--($AQ$2:$AQ$71=TRIM(LEFT($B44,IFERROR(FIND(" ",$B44)-1,LEN($B44))))))&gt;0,1,0)</f>
        <v/>
      </c>
      <c r="AL44" t="inlineStr">
        <is>
          <t>TEN / Apoll</t>
        </is>
      </c>
      <c r="AM44">
        <f>TRIM(LEFT(AL44,FIND("/",AL44)-1))</f>
        <v/>
      </c>
      <c r="AN44" t="inlineStr">
        <is>
          <t>ATCO / Fairf</t>
        </is>
      </c>
      <c r="AO44">
        <f>TRIM(LEFT(AN44,FIND("/",AN44)-1))</f>
        <v/>
      </c>
      <c r="AP44" t="inlineStr">
        <is>
          <t>MIME / Permi</t>
        </is>
      </c>
      <c r="AQ44">
        <f>TRIM(LEFT(AP44,FIND("/",AP44)-1))</f>
        <v/>
      </c>
    </row>
    <row r="45" ht="105.75" customHeight="1" thickBot="1">
      <c r="A45" s="13" t="n">
        <v>73</v>
      </c>
      <c r="B45" s="4" t="inlineStr">
        <is>
          <t>CFLT US</t>
        </is>
      </c>
      <c r="C45" s="4" t="inlineStr">
        <is>
          <t>IBM US</t>
        </is>
      </c>
      <c r="D45" s="7" t="n">
        <v>45999</v>
      </c>
      <c r="E45" s="3" t="n">
        <v>10898.34</v>
      </c>
      <c r="F45" s="4" t="inlineStr">
        <is>
          <t>Cash</t>
        </is>
      </c>
      <c r="G45" s="4" t="n"/>
      <c r="H45" s="4" t="inlineStr">
        <is>
          <t>Technology</t>
        </is>
      </c>
      <c r="I45" s="4" t="inlineStr">
        <is>
          <t>Software &amp; Tech Services</t>
        </is>
      </c>
      <c r="J45" s="4" t="inlineStr">
        <is>
          <t>Software</t>
        </is>
      </c>
      <c r="K45" s="4" t="n"/>
      <c r="L45" s="3" t="n">
        <v>453.6</v>
      </c>
      <c r="M45" s="3" t="n">
        <v>36.58</v>
      </c>
      <c r="N45" s="3" t="n">
        <v>10898.34</v>
      </c>
      <c r="O45" s="4" t="inlineStr">
        <is>
          <t>United States</t>
        </is>
      </c>
      <c r="P45" s="4" t="inlineStr">
        <is>
          <t>United States</t>
        </is>
      </c>
      <c r="Q45" s="4" t="inlineStr">
        <is>
          <t>Friendly</t>
        </is>
      </c>
      <c r="R45" s="3" t="n">
        <v>1166.75</v>
      </c>
      <c r="S45" s="3" t="n">
        <v>-32.5779</v>
      </c>
      <c r="T45" s="4" t="inlineStr">
        <is>
          <t>Company Takeover, PE Buyout, Private Equity</t>
        </is>
      </c>
      <c r="U45" s="2" t="inlineStr">
        <is>
          <t>No</t>
        </is>
      </c>
      <c r="V45" s="2" t="inlineStr">
        <is>
          <t>No</t>
        </is>
      </c>
      <c r="W45" s="2" t="inlineStr">
        <is>
          <t>No</t>
        </is>
      </c>
      <c r="X45" s="2" t="inlineStr">
        <is>
          <t>No</t>
        </is>
      </c>
      <c r="Y45" s="2" t="inlineStr">
        <is>
          <t>Yes</t>
        </is>
      </c>
      <c r="Z45" s="2" t="inlineStr">
        <is>
          <t>No</t>
        </is>
      </c>
      <c r="AA45" s="6" t="n">
        <v>4.037360353</v>
      </c>
      <c r="AB45" s="6" t="n">
        <v>3.06697781</v>
      </c>
      <c r="AC45" s="6" t="n">
        <v>4.037360353</v>
      </c>
      <c r="AD45">
        <f t="array" ref="AD45">IF(SUMPRODUCT(--($AM$2:$AM$112=TRIM(LEFT($B45,IFERROR(FIND(" ",$B45)-1,LEN($B45))))))&gt;0,1,0)</f>
        <v/>
      </c>
      <c r="AE45">
        <f t="array" ref="AE45">IF(SUMPRODUCT(--($AO$2:$AO$145=TRIM(LEFT($B45,IFERROR(FIND(" ",$B45)-1,LEN($B45))))))&gt;0,1,0)</f>
        <v/>
      </c>
      <c r="AF45">
        <f t="array" ref="AF45">IF(SUMPRODUCT(--($AQ$2:$AQ$71=TRIM(LEFT($B45,IFERROR(FIND(" ",$B45)-1,LEN($B45))))))&gt;0,1,0)</f>
        <v/>
      </c>
      <c r="AL45" t="inlineStr">
        <is>
          <t>MTOR / Cummi</t>
        </is>
      </c>
      <c r="AM45">
        <f>TRIM(LEFT(AL45,FIND("/",AL45)-1))</f>
        <v/>
      </c>
      <c r="AN45" t="inlineStr">
        <is>
          <t>AIMC / Regal</t>
        </is>
      </c>
      <c r="AO45">
        <f>TRIM(LEFT(AN45,FIND("/",AN45)-1))</f>
        <v/>
      </c>
      <c r="AP45" t="inlineStr">
        <is>
          <t>VG / Erics</t>
        </is>
      </c>
      <c r="AQ45">
        <f>TRIM(LEFT(AP45,FIND("/",AP45)-1))</f>
        <v/>
      </c>
    </row>
    <row r="46" ht="45.75" customHeight="1" thickBot="1">
      <c r="A46" s="13" t="n">
        <v>94</v>
      </c>
      <c r="B46" s="4" t="inlineStr">
        <is>
          <t>CHTH US</t>
        </is>
      </c>
      <c r="C46" s="4" t="inlineStr">
        <is>
          <t>SNDA US</t>
        </is>
      </c>
      <c r="D46" s="7" t="n">
        <v>45966</v>
      </c>
      <c r="E46" s="3" t="n">
        <v>1010.7</v>
      </c>
      <c r="F46" s="4" t="inlineStr">
        <is>
          <t>Cash and Stock</t>
        </is>
      </c>
      <c r="G46" s="3" t="n">
        <v>12.39</v>
      </c>
      <c r="H46" s="4" t="inlineStr">
        <is>
          <t>Real Estate</t>
        </is>
      </c>
      <c r="I46" s="4" t="inlineStr">
        <is>
          <t>Real Estate</t>
        </is>
      </c>
      <c r="J46" s="4" t="inlineStr">
        <is>
          <t>REIT</t>
        </is>
      </c>
      <c r="K46" s="4" t="n"/>
      <c r="L46" s="4" t="n"/>
      <c r="M46" s="3" t="n">
        <v>76.56</v>
      </c>
      <c r="N46" s="3" t="n">
        <v>1010.7</v>
      </c>
      <c r="O46" s="4" t="inlineStr">
        <is>
          <t>United States</t>
        </is>
      </c>
      <c r="P46" s="4" t="inlineStr">
        <is>
          <t>United States</t>
        </is>
      </c>
      <c r="Q46" s="4" t="inlineStr">
        <is>
          <t>Friendly</t>
        </is>
      </c>
      <c r="R46" s="3" t="n">
        <v>365.96</v>
      </c>
      <c r="S46" s="3" t="n">
        <v>8.778320000000001</v>
      </c>
      <c r="T46" s="4" t="inlineStr">
        <is>
          <t>Company Takeover</t>
        </is>
      </c>
      <c r="U46" s="2" t="inlineStr">
        <is>
          <t>No</t>
        </is>
      </c>
      <c r="V46" s="2" t="inlineStr">
        <is>
          <t>No</t>
        </is>
      </c>
      <c r="W46" s="2" t="inlineStr">
        <is>
          <t>No</t>
        </is>
      </c>
      <c r="X46" s="2" t="inlineStr">
        <is>
          <t>No</t>
        </is>
      </c>
      <c r="Y46" s="2" t="inlineStr">
        <is>
          <t>No</t>
        </is>
      </c>
      <c r="Z46" s="2" t="inlineStr">
        <is>
          <t>No</t>
        </is>
      </c>
      <c r="AA46" s="6" t="n">
        <v>3.004622266</v>
      </c>
      <c r="AB46" s="6" t="n">
        <v>2.563433619</v>
      </c>
      <c r="AC46" s="6" t="n">
        <v>3.004622266</v>
      </c>
      <c r="AD46">
        <f t="array" ref="AD46">IF(SUMPRODUCT(--($AM$2:$AM$112=TRIM(LEFT($B46,IFERROR(FIND(" ",$B46)-1,LEN($B46))))))&gt;0,1,0)</f>
        <v/>
      </c>
      <c r="AE46">
        <f t="array" ref="AE46">IF(SUMPRODUCT(--($AO$2:$AO$145=TRIM(LEFT($B46,IFERROR(FIND(" ",$B46)-1,LEN($B46))))))&gt;0,1,0)</f>
        <v/>
      </c>
      <c r="AF46">
        <f t="array" ref="AF46">IF(SUMPRODUCT(--($AQ$2:$AQ$71=TRIM(LEFT($B46,IFERROR(FIND(" ",$B46)-1,LEN($B46))))))&gt;0,1,0)</f>
        <v/>
      </c>
      <c r="AL46" t="inlineStr">
        <is>
          <t>ATVI / Micro</t>
        </is>
      </c>
      <c r="AM46">
        <f>TRIM(LEFT(AL46,FIND("/",AL46)-1))</f>
        <v/>
      </c>
      <c r="AN46" t="inlineStr">
        <is>
          <t>IRBT / Amazo</t>
        </is>
      </c>
      <c r="AO46">
        <f>TRIM(LEFT(AN46,FIND("/",AN46)-1))</f>
        <v/>
      </c>
      <c r="AP46" t="inlineStr">
        <is>
          <t>MCFE / Adven</t>
        </is>
      </c>
      <c r="AQ46">
        <f>TRIM(LEFT(AP46,FIND("/",AP46)-1))</f>
        <v/>
      </c>
    </row>
    <row r="47" ht="105.75" customHeight="1" thickBot="1">
      <c r="A47" s="13" t="n">
        <v>70</v>
      </c>
      <c r="B47" s="4" t="inlineStr">
        <is>
          <t>ALEX US</t>
        </is>
      </c>
      <c r="C47" s="2" t="n"/>
      <c r="D47" s="7" t="n">
        <v>45999</v>
      </c>
      <c r="E47" s="3" t="n">
        <v>2300</v>
      </c>
      <c r="F47" s="4" t="inlineStr">
        <is>
          <t>Cash</t>
        </is>
      </c>
      <c r="G47" s="3" t="n">
        <v>19.81</v>
      </c>
      <c r="H47" s="4" t="inlineStr">
        <is>
          <t>Real Estate</t>
        </is>
      </c>
      <c r="I47" s="4" t="inlineStr">
        <is>
          <t>Real Estate</t>
        </is>
      </c>
      <c r="J47" s="4" t="inlineStr">
        <is>
          <t>REIT</t>
        </is>
      </c>
      <c r="K47" s="3" t="n">
        <v>155.3</v>
      </c>
      <c r="L47" s="3" t="n">
        <v>50.5</v>
      </c>
      <c r="M47" s="4" t="n"/>
      <c r="N47" s="3" t="n">
        <v>2300</v>
      </c>
      <c r="O47" s="4" t="inlineStr">
        <is>
          <t>United States</t>
        </is>
      </c>
      <c r="P47" s="4" t="inlineStr">
        <is>
          <t>United States</t>
        </is>
      </c>
      <c r="Q47" s="4" t="inlineStr">
        <is>
          <t>Friendly</t>
        </is>
      </c>
      <c r="R47" s="3" t="n">
        <v>206.673</v>
      </c>
      <c r="S47" s="3" t="n">
        <v>38.7177</v>
      </c>
      <c r="T47" s="4" t="inlineStr">
        <is>
          <t>Going Private, Company Takeover, Private Equity</t>
        </is>
      </c>
      <c r="U47" s="2" t="inlineStr">
        <is>
          <t>No</t>
        </is>
      </c>
      <c r="V47" s="2" t="inlineStr">
        <is>
          <t>No</t>
        </is>
      </c>
      <c r="W47" s="2" t="inlineStr">
        <is>
          <t>No</t>
        </is>
      </c>
      <c r="X47" s="2" t="inlineStr">
        <is>
          <t>Yes</t>
        </is>
      </c>
      <c r="Y47" s="2" t="inlineStr">
        <is>
          <t>No</t>
        </is>
      </c>
      <c r="Z47" s="2" t="inlineStr">
        <is>
          <t>No</t>
        </is>
      </c>
      <c r="AA47" s="6" t="n">
        <v>3.361727836</v>
      </c>
      <c r="AB47" s="6" t="n">
        <v>2.315283744</v>
      </c>
      <c r="AC47" s="6" t="n">
        <v>3.361727836</v>
      </c>
      <c r="AD47">
        <f t="array" ref="AD47">IF(SUMPRODUCT(--($AM$2:$AM$112=TRIM(LEFT($B47,IFERROR(FIND(" ",$B47)-1,LEN($B47))))))&gt;0,1,0)</f>
        <v/>
      </c>
      <c r="AE47">
        <f t="array" ref="AE47">IF(SUMPRODUCT(--($AO$2:$AO$145=TRIM(LEFT($B47,IFERROR(FIND(" ",$B47)-1,LEN($B47))))))&gt;0,1,0)</f>
        <v/>
      </c>
      <c r="AF47">
        <f t="array" ref="AF47">IF(SUMPRODUCT(--($AQ$2:$AQ$71=TRIM(LEFT($B47,IFERROR(FIND(" ",$B47)-1,LEN($B47))))))&gt;0,1,0)</f>
        <v/>
      </c>
      <c r="AL47" t="inlineStr">
        <is>
          <t>CCMP / Enteg</t>
        </is>
      </c>
      <c r="AM47">
        <f>TRIM(LEFT(AL47,FIND("/",AL47)-1))</f>
        <v/>
      </c>
      <c r="AN47" t="inlineStr">
        <is>
          <t>AAWW / Apoll</t>
        </is>
      </c>
      <c r="AO47">
        <f>TRIM(LEFT(AN47,FIND("/",AN47)-1))</f>
        <v/>
      </c>
      <c r="AP47" t="inlineStr">
        <is>
          <t xml:space="preserve">ZIXI / Open </t>
        </is>
      </c>
      <c r="AQ47">
        <f>TRIM(LEFT(AP47,FIND("/",AP47)-1))</f>
        <v/>
      </c>
    </row>
    <row r="48" ht="45.75" customHeight="1" thickBot="1">
      <c r="A48" s="13" t="n">
        <v>42</v>
      </c>
      <c r="B48" s="4" t="inlineStr">
        <is>
          <t>VTYX US</t>
        </is>
      </c>
      <c r="C48" s="4" t="inlineStr">
        <is>
          <t>LLY US</t>
        </is>
      </c>
      <c r="D48" s="7" t="n">
        <v>46029</v>
      </c>
      <c r="E48" s="3" t="n">
        <v>816.41</v>
      </c>
      <c r="F48" s="4" t="inlineStr">
        <is>
          <t>Cash</t>
        </is>
      </c>
      <c r="G48" s="4" t="n"/>
      <c r="H48" s="4" t="inlineStr">
        <is>
          <t>Health Care</t>
        </is>
      </c>
      <c r="I48" s="4" t="inlineStr">
        <is>
          <t>Health Care</t>
        </is>
      </c>
      <c r="J48" s="4" t="inlineStr">
        <is>
          <t>Biotech &amp; Pharma</t>
        </is>
      </c>
      <c r="K48" s="4" t="n"/>
      <c r="L48" s="3" t="n">
        <v>44</v>
      </c>
      <c r="M48" s="3" t="n">
        <v>61.49</v>
      </c>
      <c r="N48" s="3" t="n">
        <v>999.02</v>
      </c>
      <c r="O48" s="4" t="inlineStr">
        <is>
          <t>United States</t>
        </is>
      </c>
      <c r="P48" s="4" t="inlineStr">
        <is>
          <t>United States</t>
        </is>
      </c>
      <c r="Q48" s="4" t="inlineStr">
        <is>
          <t>Friendly</t>
        </is>
      </c>
      <c r="R48" s="2" t="n"/>
      <c r="S48" s="2" t="n"/>
      <c r="T48" s="4" t="inlineStr">
        <is>
          <t>Company Takeover</t>
        </is>
      </c>
      <c r="U48" s="2" t="inlineStr">
        <is>
          <t>No</t>
        </is>
      </c>
      <c r="V48" s="2" t="inlineStr">
        <is>
          <t>No</t>
        </is>
      </c>
      <c r="W48" s="2" t="inlineStr">
        <is>
          <t>No</t>
        </is>
      </c>
      <c r="X48" s="2" t="inlineStr">
        <is>
          <t>No</t>
        </is>
      </c>
      <c r="Y48" s="2" t="inlineStr">
        <is>
          <t>No</t>
        </is>
      </c>
      <c r="Z48" s="2" t="inlineStr">
        <is>
          <t>No</t>
        </is>
      </c>
      <c r="AA48" s="6" t="n">
        <v>2.911908316</v>
      </c>
      <c r="AB48" s="2" t="n"/>
      <c r="AC48" s="6" t="n">
        <v>2.999574183</v>
      </c>
      <c r="AD48">
        <f t="array" ref="AD48">IF(SUMPRODUCT(--($AM$2:$AM$112=TRIM(LEFT($B48,IFERROR(FIND(" ",$B48)-1,LEN($B48))))))&gt;0,1,0)</f>
        <v/>
      </c>
      <c r="AE48">
        <f t="array" ref="AE48">IF(SUMPRODUCT(--($AO$2:$AO$145=TRIM(LEFT($B48,IFERROR(FIND(" ",$B48)-1,LEN($B48))))))&gt;0,1,0)</f>
        <v/>
      </c>
      <c r="AF48">
        <f t="array" ref="AF48">IF(SUMPRODUCT(--($AQ$2:$AQ$71=TRIM(LEFT($B48,IFERROR(FIND(" ",$B48)-1,LEN($B48))))))&gt;0,1,0)</f>
        <v/>
      </c>
      <c r="AL48" t="inlineStr">
        <is>
          <t xml:space="preserve">FLOW / Lone </t>
        </is>
      </c>
      <c r="AM48">
        <f>TRIM(LEFT(AL48,FIND("/",AL48)-1))</f>
        <v/>
      </c>
      <c r="AN48" t="inlineStr">
        <is>
          <t>ZEN / Hellm</t>
        </is>
      </c>
      <c r="AO48">
        <f>TRIM(LEFT(AN48,FIND("/",AN48)-1))</f>
        <v/>
      </c>
      <c r="AP48" t="inlineStr">
        <is>
          <t>KRA / DL Ch</t>
        </is>
      </c>
      <c r="AQ48">
        <f>TRIM(LEFT(AP48,FIND("/",AP48)-1))</f>
        <v/>
      </c>
    </row>
    <row r="49" ht="75.75" customHeight="1" thickBot="1">
      <c r="A49" s="13" t="n">
        <v>32</v>
      </c>
      <c r="B49" s="4" t="inlineStr">
        <is>
          <t>RAPT US</t>
        </is>
      </c>
      <c r="C49" s="4" t="inlineStr">
        <is>
          <t>GSK LN</t>
        </is>
      </c>
      <c r="D49" s="7" t="n">
        <v>46042</v>
      </c>
      <c r="E49" s="3" t="n">
        <v>1452.48</v>
      </c>
      <c r="F49" s="4" t="inlineStr">
        <is>
          <t>Cash</t>
        </is>
      </c>
      <c r="G49" s="4" t="n"/>
      <c r="H49" s="4" t="inlineStr">
        <is>
          <t>Health Care</t>
        </is>
      </c>
      <c r="I49" s="4" t="inlineStr">
        <is>
          <t>Health Care</t>
        </is>
      </c>
      <c r="J49" s="4" t="inlineStr">
        <is>
          <t>Biotech &amp; Pharma</t>
        </is>
      </c>
      <c r="K49" s="4" t="n"/>
      <c r="L49" s="3" t="n">
        <v>78.40000000000001</v>
      </c>
      <c r="M49" s="3" t="n">
        <v>72.03</v>
      </c>
      <c r="N49" s="3" t="n">
        <v>1607.23</v>
      </c>
      <c r="O49" s="4" t="inlineStr">
        <is>
          <t>United States</t>
        </is>
      </c>
      <c r="P49" s="4" t="inlineStr">
        <is>
          <t>United States</t>
        </is>
      </c>
      <c r="Q49" s="4" t="inlineStr">
        <is>
          <t>Friendly</t>
        </is>
      </c>
      <c r="R49" s="2" t="n"/>
      <c r="S49" s="2" t="n"/>
      <c r="T49" s="4" t="inlineStr">
        <is>
          <t>Company Takeover, Tender Offer</t>
        </is>
      </c>
      <c r="U49" s="2" t="inlineStr">
        <is>
          <t>No</t>
        </is>
      </c>
      <c r="V49" s="2" t="inlineStr">
        <is>
          <t>No</t>
        </is>
      </c>
      <c r="W49" s="2" t="inlineStr">
        <is>
          <t>No</t>
        </is>
      </c>
      <c r="X49" s="2" t="inlineStr">
        <is>
          <t>No</t>
        </is>
      </c>
      <c r="Y49" s="2" t="inlineStr">
        <is>
          <t>No</t>
        </is>
      </c>
      <c r="Z49" s="2" t="inlineStr">
        <is>
          <t>Yes</t>
        </is>
      </c>
      <c r="AA49" s="6" t="n">
        <v>3.162110161</v>
      </c>
      <c r="AB49" s="2" t="n"/>
      <c r="AC49" s="6" t="n">
        <v>3.20607803</v>
      </c>
      <c r="AD49">
        <f t="array" ref="AD49">IF(SUMPRODUCT(--($AM$2:$AM$112=TRIM(LEFT($B49,IFERROR(FIND(" ",$B49)-1,LEN($B49))))))&gt;0,1,0)</f>
        <v/>
      </c>
      <c r="AE49">
        <f t="array" ref="AE49">IF(SUMPRODUCT(--($AO$2:$AO$145=TRIM(LEFT($B49,IFERROR(FIND(" ",$B49)-1,LEN($B49))))))&gt;0,1,0)</f>
        <v/>
      </c>
      <c r="AF49">
        <f t="array" ref="AF49">IF(SUMPRODUCT(--($AQ$2:$AQ$71=TRIM(LEFT($B49,IFERROR(FIND(" ",$B49)-1,LEN($B49))))))&gt;0,1,0)</f>
        <v/>
      </c>
      <c r="AL49" t="inlineStr">
        <is>
          <t>CONE / Globa</t>
        </is>
      </c>
      <c r="AM49">
        <f>TRIM(LEFT(AL49,FIND("/",AL49)-1))</f>
        <v/>
      </c>
      <c r="AN49" t="inlineStr">
        <is>
          <t>VMW / Broad</t>
        </is>
      </c>
      <c r="AO49">
        <f>TRIM(LEFT(AN49,FIND("/",AN49)-1))</f>
        <v/>
      </c>
      <c r="AP49" t="inlineStr">
        <is>
          <t>INOV / Nordi</t>
        </is>
      </c>
      <c r="AQ49">
        <f>TRIM(LEFT(AP49,FIND("/",AP49)-1))</f>
        <v/>
      </c>
    </row>
    <row r="50" ht="135.75" customHeight="1" thickBot="1">
      <c r="A50" s="13" t="n">
        <v>52</v>
      </c>
      <c r="B50" s="4" t="inlineStr">
        <is>
          <t>GDI CN</t>
        </is>
      </c>
      <c r="C50" s="2" t="n"/>
      <c r="D50" s="7" t="n">
        <v>46014</v>
      </c>
      <c r="E50" s="3" t="n">
        <v>633.3099999999999</v>
      </c>
      <c r="F50" s="4" t="inlineStr">
        <is>
          <t>Cash</t>
        </is>
      </c>
      <c r="G50" s="3" t="n">
        <v>7</v>
      </c>
      <c r="H50" s="4" t="inlineStr">
        <is>
          <t>Industrials</t>
        </is>
      </c>
      <c r="I50" s="4" t="inlineStr">
        <is>
          <t>Industrial Services</t>
        </is>
      </c>
      <c r="J50" s="4" t="inlineStr">
        <is>
          <t>Commercial Support Services</t>
        </is>
      </c>
      <c r="K50" s="3" t="n">
        <v>30</v>
      </c>
      <c r="L50" s="3" t="n">
        <v>20</v>
      </c>
      <c r="M50" s="3" t="n">
        <v>29.65</v>
      </c>
      <c r="N50" s="3" t="n">
        <v>394.79</v>
      </c>
      <c r="O50" s="4" t="inlineStr">
        <is>
          <t>Canada</t>
        </is>
      </c>
      <c r="P50" s="4" t="inlineStr">
        <is>
          <t>Canada</t>
        </is>
      </c>
      <c r="Q50" s="4" t="inlineStr">
        <is>
          <t>Friendly</t>
        </is>
      </c>
      <c r="R50" s="3" t="n">
        <v>1865.24</v>
      </c>
      <c r="S50" s="3" t="n">
        <v>2.22402</v>
      </c>
      <c r="T50" s="4" t="inlineStr">
        <is>
          <t>Going Private, PE Buyout, Private Equity, Company Takeover</t>
        </is>
      </c>
      <c r="U50" s="2" t="inlineStr">
        <is>
          <t>No</t>
        </is>
      </c>
      <c r="V50" s="2" t="inlineStr">
        <is>
          <t>No</t>
        </is>
      </c>
      <c r="W50" s="2" t="inlineStr">
        <is>
          <t>No</t>
        </is>
      </c>
      <c r="X50" s="2" t="inlineStr">
        <is>
          <t>Yes</t>
        </is>
      </c>
      <c r="Y50" s="2" t="inlineStr">
        <is>
          <t>Yes</t>
        </is>
      </c>
      <c r="Z50" s="2" t="inlineStr">
        <is>
          <t>No</t>
        </is>
      </c>
      <c r="AA50" s="6" t="n">
        <v>2.801616346</v>
      </c>
      <c r="AB50" s="6" t="n">
        <v>3.27073472</v>
      </c>
      <c r="AC50" s="6" t="n">
        <v>2.596366143</v>
      </c>
      <c r="AD50">
        <f t="array" ref="AD50">IF(SUMPRODUCT(--($AM$2:$AM$112=TRIM(LEFT($B50,IFERROR(FIND(" ",$B50)-1,LEN($B50))))))&gt;0,1,0)</f>
        <v/>
      </c>
      <c r="AE50">
        <f t="array" ref="AE50">IF(SUMPRODUCT(--($AO$2:$AO$145=TRIM(LEFT($B50,IFERROR(FIND(" ",$B50)-1,LEN($B50))))))&gt;0,1,0)</f>
        <v/>
      </c>
      <c r="AF50">
        <f t="array" ref="AF50">IF(SUMPRODUCT(--($AQ$2:$AQ$71=TRIM(LEFT($B50,IFERROR(FIND(" ",$B50)-1,LEN($B50))))))&gt;0,1,0)</f>
        <v/>
      </c>
      <c r="AL50" t="inlineStr">
        <is>
          <t>MCFE / Adven</t>
        </is>
      </c>
      <c r="AM50">
        <f>TRIM(LEFT(AL50,FIND("/",AL50)-1))</f>
        <v/>
      </c>
      <c r="AN50" t="inlineStr">
        <is>
          <t>CVET / Clayt</t>
        </is>
      </c>
      <c r="AO50">
        <f>TRIM(LEFT(AN50,FIND("/",AN50)-1))</f>
        <v/>
      </c>
      <c r="AP50" t="inlineStr">
        <is>
          <t>GPX / Learn</t>
        </is>
      </c>
      <c r="AQ50">
        <f>TRIM(LEFT(AP50,FIND("/",AP50)-1))</f>
        <v/>
      </c>
    </row>
    <row r="51" ht="45.75" customHeight="1" thickBot="1">
      <c r="A51" s="13" t="n">
        <v>91</v>
      </c>
      <c r="B51" s="4" t="inlineStr">
        <is>
          <t>RNAM US</t>
        </is>
      </c>
      <c r="C51" s="4" t="inlineStr">
        <is>
          <t>NOVN SW</t>
        </is>
      </c>
      <c r="D51" s="7" t="n">
        <v>45956</v>
      </c>
      <c r="E51" s="3" t="n">
        <v>8760.43</v>
      </c>
      <c r="F51" s="4" t="inlineStr">
        <is>
          <t>Cash</t>
        </is>
      </c>
      <c r="G51" s="4" t="n"/>
      <c r="H51" s="4" t="inlineStr">
        <is>
          <t>Health Care</t>
        </is>
      </c>
      <c r="I51" s="4" t="inlineStr">
        <is>
          <t>Health Care</t>
        </is>
      </c>
      <c r="J51" s="4" t="inlineStr">
        <is>
          <t>Biotech &amp; Pharma</t>
        </is>
      </c>
      <c r="K51" s="4" t="n"/>
      <c r="L51" s="3" t="n">
        <v>450</v>
      </c>
      <c r="M51" s="3" t="n">
        <v>51.71</v>
      </c>
      <c r="N51" s="3" t="n">
        <v>9938.440000000001</v>
      </c>
      <c r="O51" s="4" t="inlineStr">
        <is>
          <t>United States</t>
        </is>
      </c>
      <c r="P51" s="4" t="inlineStr">
        <is>
          <t>United States</t>
        </is>
      </c>
      <c r="Q51" s="4" t="inlineStr">
        <is>
          <t>Friendly</t>
        </is>
      </c>
      <c r="R51" s="3" t="n">
        <v>18.755</v>
      </c>
      <c r="S51" s="3" t="n">
        <v>-3977.3</v>
      </c>
      <c r="T51" s="4" t="inlineStr">
        <is>
          <t>Company Takeover</t>
        </is>
      </c>
      <c r="U51" s="2" t="inlineStr">
        <is>
          <t>No</t>
        </is>
      </c>
      <c r="V51" s="2" t="inlineStr">
        <is>
          <t>No</t>
        </is>
      </c>
      <c r="W51" s="2" t="inlineStr">
        <is>
          <t>No</t>
        </is>
      </c>
      <c r="X51" s="2" t="inlineStr">
        <is>
          <t>No</t>
        </is>
      </c>
      <c r="Y51" s="2" t="inlineStr">
        <is>
          <t>No</t>
        </is>
      </c>
      <c r="Z51" s="2" t="inlineStr">
        <is>
          <t>No</t>
        </is>
      </c>
      <c r="AA51" s="6" t="n">
        <v>3.942525424</v>
      </c>
      <c r="AB51" s="6" t="n">
        <v>1.273117068</v>
      </c>
      <c r="AC51" s="6" t="n">
        <v>3.99731822</v>
      </c>
      <c r="AD51">
        <f t="array" ref="AD51">IF(SUMPRODUCT(--($AM$2:$AM$112=TRIM(LEFT($B51,IFERROR(FIND(" ",$B51)-1,LEN($B51))))))&gt;0,1,0)</f>
        <v/>
      </c>
      <c r="AE51">
        <f t="array" ref="AE51">IF(SUMPRODUCT(--($AO$2:$AO$145=TRIM(LEFT($B51,IFERROR(FIND(" ",$B51)-1,LEN($B51))))))&gt;0,1,0)</f>
        <v/>
      </c>
      <c r="AF51">
        <f t="array" ref="AF51">IF(SUMPRODUCT(--($AQ$2:$AQ$71=TRIM(LEFT($B51,IFERROR(FIND(" ",$B51)-1,LEN($B51))))))&gt;0,1,0)</f>
        <v/>
      </c>
      <c r="AL51" t="inlineStr">
        <is>
          <t>NPTN / Lumen</t>
        </is>
      </c>
      <c r="AM51">
        <f>TRIM(LEFT(AL51,FIND("/",AL51)-1))</f>
        <v/>
      </c>
      <c r="AN51" t="inlineStr">
        <is>
          <t>NTUS / Archi</t>
        </is>
      </c>
      <c r="AO51">
        <f>TRIM(LEFT(AN51,FIND("/",AN51)-1))</f>
        <v/>
      </c>
      <c r="AP51" t="inlineStr">
        <is>
          <t>CVA / EQT I</t>
        </is>
      </c>
      <c r="AQ51">
        <f>TRIM(LEFT(AP51,FIND("/",AP51)-1))</f>
        <v/>
      </c>
    </row>
    <row r="52" ht="60.75" customHeight="1" thickBot="1">
      <c r="A52" s="13" t="n">
        <v>83</v>
      </c>
      <c r="B52" s="4" t="inlineStr">
        <is>
          <t>FRGE US</t>
        </is>
      </c>
      <c r="C52" s="4" t="inlineStr">
        <is>
          <t>SCHW US</t>
        </is>
      </c>
      <c r="D52" s="7" t="n">
        <v>45967</v>
      </c>
      <c r="E52" s="3" t="n">
        <v>612.0599999999999</v>
      </c>
      <c r="F52" s="4" t="inlineStr">
        <is>
          <t>Cash</t>
        </is>
      </c>
      <c r="G52" s="4" t="n"/>
      <c r="H52" s="4" t="inlineStr">
        <is>
          <t>Financials</t>
        </is>
      </c>
      <c r="I52" s="4" t="inlineStr">
        <is>
          <t>Financial Services</t>
        </is>
      </c>
      <c r="J52" s="4" t="inlineStr">
        <is>
          <t>Institutional Financial Svcs</t>
        </is>
      </c>
      <c r="K52" s="4" t="n"/>
      <c r="L52" s="4" t="n"/>
      <c r="M52" s="3" t="n">
        <v>136.67</v>
      </c>
      <c r="N52" s="3" t="n">
        <v>612.0599999999999</v>
      </c>
      <c r="O52" s="4" t="inlineStr">
        <is>
          <t>United States</t>
        </is>
      </c>
      <c r="P52" s="4" t="inlineStr">
        <is>
          <t>United States</t>
        </is>
      </c>
      <c r="Q52" s="4" t="inlineStr">
        <is>
          <t>Friendly</t>
        </is>
      </c>
      <c r="R52" s="3" t="n">
        <v>79.32899999999999</v>
      </c>
      <c r="S52" s="3" t="n">
        <v>-73.8039</v>
      </c>
      <c r="T52" s="4" t="inlineStr">
        <is>
          <t>Company Takeover</t>
        </is>
      </c>
      <c r="U52" s="2" t="inlineStr">
        <is>
          <t>No</t>
        </is>
      </c>
      <c r="V52" s="2" t="inlineStr">
        <is>
          <t>No</t>
        </is>
      </c>
      <c r="W52" s="2" t="inlineStr">
        <is>
          <t>No</t>
        </is>
      </c>
      <c r="X52" s="2" t="inlineStr">
        <is>
          <t>No</t>
        </is>
      </c>
      <c r="Y52" s="2" t="inlineStr">
        <is>
          <t>No</t>
        </is>
      </c>
      <c r="Z52" s="2" t="inlineStr">
        <is>
          <t>No</t>
        </is>
      </c>
      <c r="AA52" s="6" t="n">
        <v>2.786793998</v>
      </c>
      <c r="AB52" s="6" t="n">
        <v>1.89943198</v>
      </c>
      <c r="AC52" s="6" t="n">
        <v>2.786793998</v>
      </c>
      <c r="AD52">
        <f t="array" ref="AD52">IF(SUMPRODUCT(--($AM$2:$AM$112=TRIM(LEFT($B52,IFERROR(FIND(" ",$B52)-1,LEN($B52))))))&gt;0,1,0)</f>
        <v/>
      </c>
      <c r="AE52">
        <f t="array" ref="AE52">IF(SUMPRODUCT(--($AO$2:$AO$145=TRIM(LEFT($B52,IFERROR(FIND(" ",$B52)-1,LEN($B52))))))&gt;0,1,0)</f>
        <v/>
      </c>
      <c r="AF52">
        <f t="array" ref="AF52">IF(SUMPRODUCT(--($AQ$2:$AQ$71=TRIM(LEFT($B52,IFERROR(FIND(" ",$B52)-1,LEN($B52))))))&gt;0,1,0)</f>
        <v/>
      </c>
      <c r="AL52" t="inlineStr">
        <is>
          <t>RRD / Atlas</t>
        </is>
      </c>
      <c r="AM52">
        <f>TRIM(LEFT(AL52,FIND("/",AL52)-1))</f>
        <v/>
      </c>
      <c r="AN52" t="inlineStr">
        <is>
          <t>NLSN / Ellio</t>
        </is>
      </c>
      <c r="AO52">
        <f>TRIM(LEFT(AN52,FIND("/",AN52)-1))</f>
        <v/>
      </c>
      <c r="AP52" t="inlineStr">
        <is>
          <t>RAVN / CNH I</t>
        </is>
      </c>
      <c r="AQ52">
        <f>TRIM(LEFT(AP52,FIND("/",AP52)-1))</f>
        <v/>
      </c>
    </row>
    <row r="53" ht="75.75" customHeight="1" thickBot="1">
      <c r="A53" s="13" t="n">
        <v>130</v>
      </c>
      <c r="B53" s="4" t="inlineStr">
        <is>
          <t>AHL US</t>
        </is>
      </c>
      <c r="C53" s="4" t="inlineStr">
        <is>
          <t>8630 JP</t>
        </is>
      </c>
      <c r="D53" s="7" t="n">
        <v>45896</v>
      </c>
      <c r="E53" s="3" t="n">
        <v>3443.94</v>
      </c>
      <c r="F53" s="4" t="inlineStr">
        <is>
          <t>Cash</t>
        </is>
      </c>
      <c r="G53" s="4" t="n"/>
      <c r="H53" s="4" t="inlineStr">
        <is>
          <t>Financials</t>
        </is>
      </c>
      <c r="I53" s="4" t="inlineStr">
        <is>
          <t>Insurance</t>
        </is>
      </c>
      <c r="J53" s="4" t="inlineStr">
        <is>
          <t>Insurance</t>
        </is>
      </c>
      <c r="K53" s="4" t="n"/>
      <c r="L53" s="4" t="n"/>
      <c r="M53" s="3" t="n">
        <v>22.92</v>
      </c>
      <c r="N53" s="3" t="n">
        <v>3443.94</v>
      </c>
      <c r="O53" s="4" t="inlineStr">
        <is>
          <t>Bermuda</t>
        </is>
      </c>
      <c r="P53" s="4" t="inlineStr">
        <is>
          <t>Japan</t>
        </is>
      </c>
      <c r="Q53" s="4" t="inlineStr">
        <is>
          <t>Friendly</t>
        </is>
      </c>
      <c r="R53" s="3" t="n">
        <v>3219.6</v>
      </c>
      <c r="S53" s="2" t="n"/>
      <c r="T53" s="4" t="inlineStr">
        <is>
          <t>Cross Border, Company Takeover</t>
        </is>
      </c>
      <c r="U53" s="2" t="inlineStr">
        <is>
          <t>No</t>
        </is>
      </c>
      <c r="V53" s="2" t="inlineStr">
        <is>
          <t>No</t>
        </is>
      </c>
      <c r="W53" s="2" t="inlineStr">
        <is>
          <t>Yes</t>
        </is>
      </c>
      <c r="X53" s="2" t="inlineStr">
        <is>
          <t>No</t>
        </is>
      </c>
      <c r="Y53" s="2" t="inlineStr">
        <is>
          <t>No</t>
        </is>
      </c>
      <c r="Z53" s="2" t="inlineStr">
        <is>
          <t>No</t>
        </is>
      </c>
      <c r="AA53" s="6" t="n">
        <v>3.537055577</v>
      </c>
      <c r="AB53" s="6" t="n">
        <v>3.507801919</v>
      </c>
      <c r="AC53" s="6" t="n">
        <v>3.537055577</v>
      </c>
      <c r="AD53">
        <f t="array" ref="AD53">IF(SUMPRODUCT(--($AM$2:$AM$112=TRIM(LEFT($B53,IFERROR(FIND(" ",$B53)-1,LEN($B53))))))&gt;0,1,0)</f>
        <v/>
      </c>
      <c r="AE53">
        <f t="array" ref="AE53">IF(SUMPRODUCT(--($AO$2:$AO$145=TRIM(LEFT($B53,IFERROR(FIND(" ",$B53)-1,LEN($B53))))))&gt;0,1,0)</f>
        <v/>
      </c>
      <c r="AF53">
        <f t="array" ref="AF53">IF(SUMPRODUCT(--($AQ$2:$AQ$71=TRIM(LEFT($B53,IFERROR(FIND(" ",$B53)-1,LEN($B53))))))&gt;0,1,0)</f>
        <v/>
      </c>
      <c r="AL53" t="inlineStr">
        <is>
          <t>ROG / DuPon</t>
        </is>
      </c>
      <c r="AM53">
        <f>TRIM(LEFT(AL53,FIND("/",AL53)-1))</f>
        <v/>
      </c>
      <c r="AN53" t="inlineStr">
        <is>
          <t>POLY / HP In</t>
        </is>
      </c>
      <c r="AO53">
        <f>TRIM(LEFT(AN53,FIND("/",AN53)-1))</f>
        <v/>
      </c>
      <c r="AP53" t="inlineStr">
        <is>
          <t>MIC / Argo</t>
        </is>
      </c>
      <c r="AQ53">
        <f>TRIM(LEFT(AP53,FIND("/",AP53)-1))</f>
        <v/>
      </c>
    </row>
    <row r="54" ht="45.75" customHeight="1" thickBot="1">
      <c r="A54" s="13" t="n">
        <v>84</v>
      </c>
      <c r="B54" s="4" t="inlineStr">
        <is>
          <t>MOFG US</t>
        </is>
      </c>
      <c r="C54" s="4" t="inlineStr">
        <is>
          <t>NIC US</t>
        </is>
      </c>
      <c r="D54" s="7" t="n">
        <v>45953</v>
      </c>
      <c r="E54" s="3" t="n">
        <v>863.37</v>
      </c>
      <c r="F54" s="4" t="inlineStr">
        <is>
          <t>Stock</t>
        </is>
      </c>
      <c r="G54" s="4" t="n"/>
      <c r="H54" s="4" t="inlineStr">
        <is>
          <t>Financials</t>
        </is>
      </c>
      <c r="I54" s="4" t="inlineStr">
        <is>
          <t>Banking</t>
        </is>
      </c>
      <c r="J54" s="4" t="inlineStr">
        <is>
          <t>Banking</t>
        </is>
      </c>
      <c r="K54" s="4" t="n"/>
      <c r="L54" s="4" t="n"/>
      <c r="M54" s="3" t="n">
        <v>46.19</v>
      </c>
      <c r="N54" s="3" t="n">
        <v>863.37</v>
      </c>
      <c r="O54" s="4" t="inlineStr">
        <is>
          <t>United States</t>
        </is>
      </c>
      <c r="P54" s="4" t="inlineStr">
        <is>
          <t>United States</t>
        </is>
      </c>
      <c r="Q54" s="4" t="inlineStr">
        <is>
          <t>Friendly</t>
        </is>
      </c>
      <c r="R54" s="3" t="n">
        <v>206.027</v>
      </c>
      <c r="S54" s="3" t="n">
        <v>31.3069</v>
      </c>
      <c r="T54" s="4" t="inlineStr">
        <is>
          <t>Company Takeover</t>
        </is>
      </c>
      <c r="U54" s="2" t="inlineStr">
        <is>
          <t>No</t>
        </is>
      </c>
      <c r="V54" s="2" t="inlineStr">
        <is>
          <t>No</t>
        </is>
      </c>
      <c r="W54" s="2" t="inlineStr">
        <is>
          <t>No</t>
        </is>
      </c>
      <c r="X54" s="2" t="inlineStr">
        <is>
          <t>No</t>
        </is>
      </c>
      <c r="Y54" s="2" t="inlineStr">
        <is>
          <t>No</t>
        </is>
      </c>
      <c r="Z54" s="2" t="inlineStr">
        <is>
          <t>No</t>
        </is>
      </c>
      <c r="AA54" s="6" t="n">
        <v>2.936196954</v>
      </c>
      <c r="AB54" s="6" t="n">
        <v>2.313924139</v>
      </c>
      <c r="AC54" s="6" t="n">
        <v>2.936196954</v>
      </c>
      <c r="AD54">
        <f t="array" ref="AD54">IF(SUMPRODUCT(--($AM$2:$AM$112=TRIM(LEFT($B54,IFERROR(FIND(" ",$B54)-1,LEN($B54))))))&gt;0,1,0)</f>
        <v/>
      </c>
      <c r="AE54">
        <f t="array" ref="AE54">IF(SUMPRODUCT(--($AO$2:$AO$145=TRIM(LEFT($B54,IFERROR(FIND(" ",$B54)-1,LEN($B54))))))&gt;0,1,0)</f>
        <v/>
      </c>
      <c r="AF54">
        <f t="array" ref="AF54">IF(SUMPRODUCT(--($AQ$2:$AQ$71=TRIM(LEFT($B54,IFERROR(FIND(" ",$B54)-1,LEN($B54))))))&gt;0,1,0)</f>
        <v/>
      </c>
      <c r="AL54" t="inlineStr">
        <is>
          <t>KRA / DL Ch</t>
        </is>
      </c>
      <c r="AM54">
        <f>TRIM(LEFT(AL54,FIND("/",AL54)-1))</f>
        <v/>
      </c>
      <c r="AN54" t="inlineStr">
        <is>
          <t>Y / Berks</t>
        </is>
      </c>
      <c r="AO54">
        <f>TRIM(LEFT(AN54,FIND("/",AN54)-1))</f>
        <v/>
      </c>
      <c r="AP54" t="inlineStr">
        <is>
          <t>KSU / Canad</t>
        </is>
      </c>
      <c r="AQ54">
        <f>TRIM(LEFT(AP54,FIND("/",AP54)-1))</f>
        <v/>
      </c>
    </row>
    <row r="55" ht="45.75" customHeight="1" thickBot="1">
      <c r="A55" s="13" t="n">
        <v>81</v>
      </c>
      <c r="B55" s="4" t="inlineStr">
        <is>
          <t>ZEUS US</t>
        </is>
      </c>
      <c r="C55" s="4" t="inlineStr">
        <is>
          <t>RYZ US</t>
        </is>
      </c>
      <c r="D55" s="7" t="n">
        <v>45958</v>
      </c>
      <c r="E55" s="3" t="n">
        <v>705.33</v>
      </c>
      <c r="F55" s="4" t="inlineStr">
        <is>
          <t>Stock</t>
        </is>
      </c>
      <c r="G55" s="3" t="n">
        <v>8.119999999999999</v>
      </c>
      <c r="H55" s="4" t="inlineStr">
        <is>
          <t>Materials</t>
        </is>
      </c>
      <c r="I55" s="4" t="inlineStr">
        <is>
          <t>Materials</t>
        </is>
      </c>
      <c r="J55" s="4" t="inlineStr">
        <is>
          <t>Steel</t>
        </is>
      </c>
      <c r="K55" s="3" t="n">
        <v>15</v>
      </c>
      <c r="L55" s="3" t="n">
        <v>15</v>
      </c>
      <c r="M55" s="3" t="n">
        <v>36.32</v>
      </c>
      <c r="N55" s="3" t="n">
        <v>442.82</v>
      </c>
      <c r="O55" s="4" t="inlineStr">
        <is>
          <t>United States</t>
        </is>
      </c>
      <c r="P55" s="4" t="inlineStr">
        <is>
          <t>United States</t>
        </is>
      </c>
      <c r="Q55" s="4" t="inlineStr">
        <is>
          <t>Friendly</t>
        </is>
      </c>
      <c r="R55" s="3" t="n">
        <v>1941.67</v>
      </c>
      <c r="S55" s="3" t="n">
        <v>1.86596</v>
      </c>
      <c r="T55" s="4" t="inlineStr">
        <is>
          <t>Company Takeover</t>
        </is>
      </c>
      <c r="U55" s="2" t="inlineStr">
        <is>
          <t>No</t>
        </is>
      </c>
      <c r="V55" s="2" t="inlineStr">
        <is>
          <t>No</t>
        </is>
      </c>
      <c r="W55" s="2" t="inlineStr">
        <is>
          <t>No</t>
        </is>
      </c>
      <c r="X55" s="2" t="inlineStr">
        <is>
          <t>No</t>
        </is>
      </c>
      <c r="Y55" s="2" t="inlineStr">
        <is>
          <t>No</t>
        </is>
      </c>
      <c r="Z55" s="2" t="inlineStr">
        <is>
          <t>No</t>
        </is>
      </c>
      <c r="AA55" s="6" t="n">
        <v>2.848392356</v>
      </c>
      <c r="AB55" s="6" t="n">
        <v>3.288175421</v>
      </c>
      <c r="AC55" s="6" t="n">
        <v>2.646227228</v>
      </c>
      <c r="AD55">
        <f t="array" ref="AD55">IF(SUMPRODUCT(--($AM$2:$AM$112=TRIM(LEFT($B55,IFERROR(FIND(" ",$B55)-1,LEN($B55))))))&gt;0,1,0)</f>
        <v/>
      </c>
      <c r="AE55">
        <f t="array" ref="AE55">IF(SUMPRODUCT(--($AO$2:$AO$145=TRIM(LEFT($B55,IFERROR(FIND(" ",$B55)-1,LEN($B55))))))&gt;0,1,0)</f>
        <v/>
      </c>
      <c r="AF55">
        <f t="array" ref="AF55">IF(SUMPRODUCT(--($AQ$2:$AQ$71=TRIM(LEFT($B55,IFERROR(FIND(" ",$B55)-1,LEN($B55))))))&gt;0,1,0)</f>
        <v/>
      </c>
      <c r="AL55" t="inlineStr">
        <is>
          <t>HRC / Baxte</t>
        </is>
      </c>
      <c r="AM55">
        <f>TRIM(LEFT(AL55,FIND("/",AL55)-1))</f>
        <v/>
      </c>
      <c r="AN55" t="inlineStr">
        <is>
          <t>REGI / Chevr</t>
        </is>
      </c>
      <c r="AO55">
        <f>TRIM(LEFT(AN55,FIND("/",AN55)-1))</f>
        <v/>
      </c>
      <c r="AP55" t="inlineStr">
        <is>
          <t>LMNX / DiaSo</t>
        </is>
      </c>
      <c r="AQ55">
        <f>TRIM(LEFT(AP55,FIND("/",AP55)-1))</f>
        <v/>
      </c>
    </row>
    <row r="56" ht="90.75" customHeight="1" thickBot="1">
      <c r="A56" s="13" t="n">
        <v>83</v>
      </c>
      <c r="B56" s="4" t="inlineStr">
        <is>
          <t>AVDL US</t>
        </is>
      </c>
      <c r="C56" s="4" t="inlineStr">
        <is>
          <t>ALKS US</t>
        </is>
      </c>
      <c r="D56" s="7" t="n">
        <v>45952</v>
      </c>
      <c r="E56" s="3" t="n">
        <v>2039.05</v>
      </c>
      <c r="F56" s="4" t="inlineStr">
        <is>
          <t>Cash</t>
        </is>
      </c>
      <c r="G56" s="4" t="n"/>
      <c r="H56" s="4" t="inlineStr">
        <is>
          <t>Health Care</t>
        </is>
      </c>
      <c r="I56" s="4" t="inlineStr">
        <is>
          <t>Health Care</t>
        </is>
      </c>
      <c r="J56" s="4" t="inlineStr">
        <is>
          <t>Biotech &amp; Pharma</t>
        </is>
      </c>
      <c r="K56" s="4" t="n"/>
      <c r="L56" s="4" t="n"/>
      <c r="M56" s="3" t="n">
        <v>9.380000000000001</v>
      </c>
      <c r="N56" s="3" t="n">
        <v>2039.05</v>
      </c>
      <c r="O56" s="4" t="inlineStr">
        <is>
          <t>United States</t>
        </is>
      </c>
      <c r="P56" s="4" t="inlineStr">
        <is>
          <t>United States</t>
        </is>
      </c>
      <c r="Q56" s="4" t="inlineStr">
        <is>
          <t>Friendly</t>
        </is>
      </c>
      <c r="R56" s="3" t="n">
        <v>169.117</v>
      </c>
      <c r="S56" s="3" t="n">
        <v>1.82</v>
      </c>
      <c r="T56" s="4" t="inlineStr">
        <is>
          <t>Company Takeover, Competing Bid</t>
        </is>
      </c>
      <c r="U56" s="2" t="inlineStr">
        <is>
          <t>No</t>
        </is>
      </c>
      <c r="V56" s="2" t="inlineStr">
        <is>
          <t>Yes</t>
        </is>
      </c>
      <c r="W56" s="2" t="inlineStr">
        <is>
          <t>No</t>
        </is>
      </c>
      <c r="X56" s="2" t="inlineStr">
        <is>
          <t>No</t>
        </is>
      </c>
      <c r="Y56" s="2" t="inlineStr">
        <is>
          <t>No</t>
        </is>
      </c>
      <c r="Z56" s="2" t="inlineStr">
        <is>
          <t>No</t>
        </is>
      </c>
      <c r="AA56" s="6" t="n">
        <v>3.309427875</v>
      </c>
      <c r="AB56" s="6" t="n">
        <v>2.228187266</v>
      </c>
      <c r="AC56" s="6" t="n">
        <v>3.309427875</v>
      </c>
      <c r="AD56">
        <f t="array" ref="AD56">IF(SUMPRODUCT(--($AM$2:$AM$112=TRIM(LEFT($B56,IFERROR(FIND(" ",$B56)-1,LEN($B56))))))&gt;0,1,0)</f>
        <v/>
      </c>
      <c r="AE56">
        <f t="array" ref="AE56">IF(SUMPRODUCT(--($AO$2:$AO$145=TRIM(LEFT($B56,IFERROR(FIND(" ",$B56)-1,LEN($B56))))))&gt;0,1,0)</f>
        <v/>
      </c>
      <c r="AF56">
        <f t="array" ref="AF56">IF(SUMPRODUCT(--($AQ$2:$AQ$71=TRIM(LEFT($B56,IFERROR(FIND(" ",$B56)-1,LEN($B56))))))&gt;0,1,0)</f>
        <v/>
      </c>
      <c r="AL56" t="inlineStr">
        <is>
          <t>SAFM / Cargi</t>
        </is>
      </c>
      <c r="AM56">
        <f>TRIM(LEFT(AL56,FIND("/",AL56)-1))</f>
        <v/>
      </c>
      <c r="AN56" t="inlineStr">
        <is>
          <t>TEN / Apoll</t>
        </is>
      </c>
      <c r="AO56">
        <f>TRIM(LEFT(AN56,FIND("/",AN56)-1))</f>
        <v/>
      </c>
      <c r="AP56" t="inlineStr">
        <is>
          <t>ORBC / GI Pa</t>
        </is>
      </c>
      <c r="AQ56">
        <f>TRIM(LEFT(AP56,FIND("/",AP56)-1))</f>
        <v/>
      </c>
    </row>
    <row r="57" ht="45.75" customHeight="1" thickBot="1">
      <c r="A57" s="13" t="n">
        <v>142</v>
      </c>
      <c r="B57" s="4" t="inlineStr">
        <is>
          <t>CYBR US</t>
        </is>
      </c>
      <c r="C57" s="4" t="inlineStr">
        <is>
          <t>PANW US</t>
        </is>
      </c>
      <c r="D57" s="7" t="n">
        <v>45868</v>
      </c>
      <c r="E57" s="3" t="n">
        <v>22963.38</v>
      </c>
      <c r="F57" s="4" t="inlineStr">
        <is>
          <t>Cash and Stock</t>
        </is>
      </c>
      <c r="G57" s="4" t="n"/>
      <c r="H57" s="4" t="inlineStr">
        <is>
          <t>Technology</t>
        </is>
      </c>
      <c r="I57" s="4" t="inlineStr">
        <is>
          <t>Software &amp; Tech Services</t>
        </is>
      </c>
      <c r="J57" s="4" t="inlineStr">
        <is>
          <t>Software</t>
        </is>
      </c>
      <c r="K57" s="3" t="n">
        <v>1000</v>
      </c>
      <c r="L57" s="3" t="n">
        <v>750</v>
      </c>
      <c r="M57" s="3" t="n">
        <v>23.94</v>
      </c>
      <c r="N57" s="3" t="n">
        <v>23739.49</v>
      </c>
      <c r="O57" s="4" t="inlineStr">
        <is>
          <t>United States</t>
        </is>
      </c>
      <c r="P57" s="4" t="inlineStr">
        <is>
          <t>United States</t>
        </is>
      </c>
      <c r="Q57" s="4" t="inlineStr">
        <is>
          <t>Friendly</t>
        </is>
      </c>
      <c r="R57" s="3" t="n">
        <v>1361.12</v>
      </c>
      <c r="S57" s="3" t="n">
        <v>-9.63664</v>
      </c>
      <c r="T57" s="4" t="inlineStr">
        <is>
          <t>Company Takeover</t>
        </is>
      </c>
      <c r="U57" s="2" t="inlineStr">
        <is>
          <t>No</t>
        </is>
      </c>
      <c r="V57" s="2" t="inlineStr">
        <is>
          <t>No</t>
        </is>
      </c>
      <c r="W57" s="2" t="inlineStr">
        <is>
          <t>No</t>
        </is>
      </c>
      <c r="X57" s="2" t="inlineStr">
        <is>
          <t>No</t>
        </is>
      </c>
      <c r="Y57" s="2" t="inlineStr">
        <is>
          <t>No</t>
        </is>
      </c>
      <c r="Z57" s="2" t="inlineStr">
        <is>
          <t>No</t>
        </is>
      </c>
      <c r="AA57" s="6" t="n">
        <v>4.361035813</v>
      </c>
      <c r="AB57" s="6" t="n">
        <v>3.133896415</v>
      </c>
      <c r="AC57" s="6" t="n">
        <v>4.375471385</v>
      </c>
      <c r="AD57">
        <f t="array" ref="AD57">IF(SUMPRODUCT(--($AM$2:$AM$112=TRIM(LEFT($B57,IFERROR(FIND(" ",$B57)-1,LEN($B57))))))&gt;0,1,0)</f>
        <v/>
      </c>
      <c r="AE57">
        <f t="array" ref="AE57">IF(SUMPRODUCT(--($AO$2:$AO$145=TRIM(LEFT($B57,IFERROR(FIND(" ",$B57)-1,LEN($B57))))))&gt;0,1,0)</f>
        <v/>
      </c>
      <c r="AF57">
        <f t="array" ref="AF57">IF(SUMPRODUCT(--($AQ$2:$AQ$71=TRIM(LEFT($B57,IFERROR(FIND(" ",$B57)-1,LEN($B57))))))&gt;0,1,0)</f>
        <v/>
      </c>
      <c r="AL57" t="inlineStr">
        <is>
          <t>VNE / Magna</t>
        </is>
      </c>
      <c r="AM57">
        <f>TRIM(LEFT(AL57,FIND("/",AL57)-1))</f>
        <v/>
      </c>
      <c r="AN57" t="inlineStr">
        <is>
          <t>MTOR / Cummi</t>
        </is>
      </c>
      <c r="AO57">
        <f>TRIM(LEFT(AN57,FIND("/",AN57)-1))</f>
        <v/>
      </c>
      <c r="AP57" t="inlineStr">
        <is>
          <t xml:space="preserve">MX / Wise </t>
        </is>
      </c>
      <c r="AQ57">
        <f>TRIM(LEFT(AP57,FIND("/",AP57)-1))</f>
        <v/>
      </c>
    </row>
    <row r="58" ht="135.75" customHeight="1" thickBot="1">
      <c r="A58" s="13" t="n">
        <v>68</v>
      </c>
      <c r="B58" s="4" t="inlineStr">
        <is>
          <t>THS US</t>
        </is>
      </c>
      <c r="C58" s="4" t="inlineStr">
        <is>
          <t>300808Z IM</t>
        </is>
      </c>
      <c r="D58" s="7" t="n">
        <v>45971</v>
      </c>
      <c r="E58" s="3" t="n">
        <v>2766.55</v>
      </c>
      <c r="F58" s="4" t="inlineStr">
        <is>
          <t>Cash</t>
        </is>
      </c>
      <c r="G58" s="3" t="n">
        <v>9.33</v>
      </c>
      <c r="H58" s="4" t="inlineStr">
        <is>
          <t>Consumer Staples</t>
        </is>
      </c>
      <c r="I58" s="4" t="inlineStr">
        <is>
          <t>Consumer Staple Products</t>
        </is>
      </c>
      <c r="J58" s="4" t="inlineStr">
        <is>
          <t>Food</t>
        </is>
      </c>
      <c r="K58" s="4" t="n"/>
      <c r="L58" s="4" t="n"/>
      <c r="M58" s="3" t="n">
        <v>18.55</v>
      </c>
      <c r="N58" s="3" t="n">
        <v>1136.25</v>
      </c>
      <c r="O58" s="4" t="inlineStr">
        <is>
          <t>United States</t>
        </is>
      </c>
      <c r="P58" s="4" t="inlineStr">
        <is>
          <t>Italy</t>
        </is>
      </c>
      <c r="Q58" s="4" t="inlineStr">
        <is>
          <t>Friendly</t>
        </is>
      </c>
      <c r="R58" s="3" t="n">
        <v>3354</v>
      </c>
      <c r="S58" s="3" t="n">
        <v>-4.55036</v>
      </c>
      <c r="T58" s="4" t="inlineStr">
        <is>
          <t>Company Takeover, Going Private, PE Buyout, Private Equity</t>
        </is>
      </c>
      <c r="U58" s="2" t="inlineStr">
        <is>
          <t>No</t>
        </is>
      </c>
      <c r="V58" s="2" t="inlineStr">
        <is>
          <t>No</t>
        </is>
      </c>
      <c r="W58" s="2" t="inlineStr">
        <is>
          <t>No</t>
        </is>
      </c>
      <c r="X58" s="2" t="inlineStr">
        <is>
          <t>Yes</t>
        </is>
      </c>
      <c r="Y58" s="2" t="inlineStr">
        <is>
          <t>Yes</t>
        </is>
      </c>
      <c r="Z58" s="2" t="inlineStr">
        <is>
          <t>No</t>
        </is>
      </c>
      <c r="AA58" s="6" t="n">
        <v>3.441938524</v>
      </c>
      <c r="AB58" s="6" t="n">
        <v>3.525563058</v>
      </c>
      <c r="AC58" s="6" t="n">
        <v>3.055473896</v>
      </c>
      <c r="AD58">
        <f t="array" ref="AD58">IF(SUMPRODUCT(--($AM$2:$AM$112=TRIM(LEFT($B58,IFERROR(FIND(" ",$B58)-1,LEN($B58))))))&gt;0,1,0)</f>
        <v/>
      </c>
      <c r="AE58">
        <f t="array" ref="AE58">IF(SUMPRODUCT(--($AO$2:$AO$145=TRIM(LEFT($B58,IFERROR(FIND(" ",$B58)-1,LEN($B58))))))&gt;0,1,0)</f>
        <v/>
      </c>
      <c r="AF58">
        <f t="array" ref="AF58">IF(SUMPRODUCT(--($AQ$2:$AQ$71=TRIM(LEFT($B58,IFERROR(FIND(" ",$B58)-1,LEN($B58))))))&gt;0,1,0)</f>
        <v/>
      </c>
      <c r="AL58" t="inlineStr">
        <is>
          <t>ATC / MKS I</t>
        </is>
      </c>
      <c r="AM58">
        <f>TRIM(LEFT(AL58,FIND("/",AL58)-1))</f>
        <v/>
      </c>
      <c r="AN58" t="inlineStr">
        <is>
          <t>CTXS / Vista</t>
        </is>
      </c>
      <c r="AO58">
        <f>TRIM(LEFT(AN58,FIND("/",AN58)-1))</f>
        <v/>
      </c>
      <c r="AP58" t="inlineStr">
        <is>
          <t>PROS / Tower</t>
        </is>
      </c>
      <c r="AQ58">
        <f>TRIM(LEFT(AP58,FIND("/",AP58)-1))</f>
        <v/>
      </c>
    </row>
    <row r="59" ht="75.75" customHeight="1" thickBot="1">
      <c r="A59" s="13" t="n">
        <v>36</v>
      </c>
      <c r="B59" s="4" t="inlineStr">
        <is>
          <t>DVAX US</t>
        </is>
      </c>
      <c r="C59" s="4" t="inlineStr">
        <is>
          <t>SAN FP</t>
        </is>
      </c>
      <c r="D59" s="7" t="n">
        <v>46015</v>
      </c>
      <c r="E59" s="3" t="n">
        <v>1820.13</v>
      </c>
      <c r="F59" s="4" t="inlineStr">
        <is>
          <t>Cash</t>
        </is>
      </c>
      <c r="G59" s="3" t="n">
        <v>293.24</v>
      </c>
      <c r="H59" s="4" t="inlineStr">
        <is>
          <t>Health Care</t>
        </is>
      </c>
      <c r="I59" s="4" t="inlineStr">
        <is>
          <t>Health Care</t>
        </is>
      </c>
      <c r="J59" s="4" t="inlineStr">
        <is>
          <t>Biotech &amp; Pharma</t>
        </is>
      </c>
      <c r="K59" s="3" t="n">
        <v>116.774</v>
      </c>
      <c r="L59" s="3" t="n">
        <v>77.84950000000001</v>
      </c>
      <c r="M59" s="3" t="n">
        <v>41.2</v>
      </c>
      <c r="N59" s="3" t="n">
        <v>1820.13</v>
      </c>
      <c r="O59" s="4" t="inlineStr">
        <is>
          <t>United States</t>
        </is>
      </c>
      <c r="P59" s="4" t="inlineStr">
        <is>
          <t>United States</t>
        </is>
      </c>
      <c r="Q59" s="4" t="inlineStr">
        <is>
          <t>Friendly</t>
        </is>
      </c>
      <c r="R59" s="3" t="n">
        <v>277.246</v>
      </c>
      <c r="S59" s="3" t="n">
        <v>3.15811</v>
      </c>
      <c r="T59" s="4" t="inlineStr">
        <is>
          <t>Company Takeover, Tender Offer</t>
        </is>
      </c>
      <c r="U59" s="2" t="inlineStr">
        <is>
          <t>No</t>
        </is>
      </c>
      <c r="V59" s="2" t="inlineStr">
        <is>
          <t>No</t>
        </is>
      </c>
      <c r="W59" s="2" t="inlineStr">
        <is>
          <t>No</t>
        </is>
      </c>
      <c r="X59" s="2" t="inlineStr">
        <is>
          <t>No</t>
        </is>
      </c>
      <c r="Y59" s="2" t="inlineStr">
        <is>
          <t>No</t>
        </is>
      </c>
      <c r="Z59" s="2" t="inlineStr">
        <is>
          <t>Yes</t>
        </is>
      </c>
      <c r="AA59" s="6" t="n">
        <v>3.260102408</v>
      </c>
      <c r="AB59" s="6" t="n">
        <v>2.442865289</v>
      </c>
      <c r="AC59" s="6" t="n">
        <v>3.260102408</v>
      </c>
      <c r="AD59">
        <f t="array" ref="AD59">IF(SUMPRODUCT(--($AM$2:$AM$112=TRIM(LEFT($B59,IFERROR(FIND(" ",$B59)-1,LEN($B59))))))&gt;0,1,0)</f>
        <v/>
      </c>
      <c r="AE59">
        <f t="array" ref="AE59">IF(SUMPRODUCT(--($AO$2:$AO$145=TRIM(LEFT($B59,IFERROR(FIND(" ",$B59)-1,LEN($B59))))))&gt;0,1,0)</f>
        <v/>
      </c>
      <c r="AF59">
        <f t="array" ref="AF59">IF(SUMPRODUCT(--($AQ$2:$AQ$71=TRIM(LEFT($B59,IFERROR(FIND(" ",$B59)-1,LEN($B59))))))&gt;0,1,0)</f>
        <v/>
      </c>
      <c r="AL59" t="inlineStr">
        <is>
          <t>CLDR / Clayt</t>
        </is>
      </c>
      <c r="AM59">
        <f>TRIM(LEFT(AL59,FIND("/",AL59)-1))</f>
        <v/>
      </c>
      <c r="AN59" t="inlineStr">
        <is>
          <t>ATVI / Micro</t>
        </is>
      </c>
      <c r="AO59">
        <f>TRIM(LEFT(AN59,FIND("/",AN59)-1))</f>
        <v/>
      </c>
      <c r="AP59" t="inlineStr">
        <is>
          <t>BEAT / Konin</t>
        </is>
      </c>
      <c r="AQ59">
        <f>TRIM(LEFT(AP59,FIND("/",AP59)-1))</f>
        <v/>
      </c>
    </row>
    <row r="60" ht="135.75" customHeight="1" thickBot="1">
      <c r="A60" s="13" t="n">
        <v>85</v>
      </c>
      <c r="B60" s="4" t="inlineStr">
        <is>
          <t>HI US</t>
        </is>
      </c>
      <c r="C60" s="4" t="inlineStr">
        <is>
          <t>71194Z US</t>
        </is>
      </c>
      <c r="D60" s="7" t="n">
        <v>45945</v>
      </c>
      <c r="E60" s="3" t="n">
        <v>3866.33</v>
      </c>
      <c r="F60" s="4" t="inlineStr">
        <is>
          <t>Cash</t>
        </is>
      </c>
      <c r="G60" s="3" t="n">
        <v>14.51</v>
      </c>
      <c r="H60" s="4" t="inlineStr">
        <is>
          <t>Industrials</t>
        </is>
      </c>
      <c r="I60" s="4" t="inlineStr">
        <is>
          <t>Industrial Products</t>
        </is>
      </c>
      <c r="J60" s="4" t="inlineStr">
        <is>
          <t>Machinery</t>
        </is>
      </c>
      <c r="K60" s="3" t="n">
        <v>138</v>
      </c>
      <c r="L60" s="3" t="n">
        <v>69</v>
      </c>
      <c r="M60" s="3" t="n">
        <v>24.75</v>
      </c>
      <c r="N60" s="3" t="n">
        <v>2255.43</v>
      </c>
      <c r="O60" s="4" t="inlineStr">
        <is>
          <t>United States</t>
        </is>
      </c>
      <c r="P60" s="4" t="inlineStr">
        <is>
          <t>United States</t>
        </is>
      </c>
      <c r="Q60" s="4" t="inlineStr">
        <is>
          <t>Friendly</t>
        </is>
      </c>
      <c r="R60" s="3" t="n">
        <v>2673.8</v>
      </c>
      <c r="S60" s="3" t="n">
        <v>2.3837</v>
      </c>
      <c r="T60" s="4" t="inlineStr">
        <is>
          <t>Company Takeover, Private Equity, PE Buyout, Going Private</t>
        </is>
      </c>
      <c r="U60" s="2" t="inlineStr">
        <is>
          <t>No</t>
        </is>
      </c>
      <c r="V60" s="2" t="inlineStr">
        <is>
          <t>No</t>
        </is>
      </c>
      <c r="W60" s="2" t="inlineStr">
        <is>
          <t>No</t>
        </is>
      </c>
      <c r="X60" s="2" t="inlineStr">
        <is>
          <t>Yes</t>
        </is>
      </c>
      <c r="Y60" s="2" t="inlineStr">
        <is>
          <t>Yes</t>
        </is>
      </c>
      <c r="Z60" s="2" t="inlineStr">
        <is>
          <t>No</t>
        </is>
      </c>
      <c r="AA60" s="6" t="n">
        <v>3.587298919</v>
      </c>
      <c r="AB60" s="6" t="n">
        <v>3.427128919</v>
      </c>
      <c r="AC60" s="6" t="n">
        <v>3.353229353</v>
      </c>
      <c r="AD60">
        <f t="array" ref="AD60">IF(SUMPRODUCT(--($AM$2:$AM$112=TRIM(LEFT($B60,IFERROR(FIND(" ",$B60)-1,LEN($B60))))))&gt;0,1,0)</f>
        <v/>
      </c>
      <c r="AE60">
        <f t="array" ref="AE60">IF(SUMPRODUCT(--($AO$2:$AO$145=TRIM(LEFT($B60,IFERROR(FIND(" ",$B60)-1,LEN($B60))))))&gt;0,1,0)</f>
        <v/>
      </c>
      <c r="AF60">
        <f t="array" ref="AF60">IF(SUMPRODUCT(--($AQ$2:$AQ$71=TRIM(LEFT($B60,IFERROR(FIND(" ",$B60)-1,LEN($B60))))))&gt;0,1,0)</f>
        <v/>
      </c>
      <c r="AL60" t="inlineStr">
        <is>
          <t>UFS / Paper</t>
        </is>
      </c>
      <c r="AM60">
        <f>TRIM(LEFT(AL60,FIND("/",AL60)-1))</f>
        <v/>
      </c>
      <c r="AN60" t="inlineStr">
        <is>
          <t>CERN / Oracl</t>
        </is>
      </c>
      <c r="AO60">
        <f>TRIM(LEFT(AN60,FIND("/",AN60)-1))</f>
        <v/>
      </c>
      <c r="AP60" t="inlineStr">
        <is>
          <t>TCP / TC En</t>
        </is>
      </c>
      <c r="AQ60">
        <f>TRIM(LEFT(AP60,FIND("/",AP60)-1))</f>
        <v/>
      </c>
    </row>
    <row r="61" ht="150.75" customHeight="1" thickBot="1">
      <c r="A61" s="13" t="n">
        <v>68</v>
      </c>
      <c r="B61" s="4" t="inlineStr">
        <is>
          <t>NVA CN</t>
        </is>
      </c>
      <c r="C61" s="4" t="inlineStr">
        <is>
          <t>OVV US</t>
        </is>
      </c>
      <c r="D61" s="7" t="n">
        <v>45965</v>
      </c>
      <c r="E61" s="3" t="n">
        <v>2512.32</v>
      </c>
      <c r="F61" s="4" t="inlineStr">
        <is>
          <t>Cash or Stock</t>
        </is>
      </c>
      <c r="G61" s="3" t="n">
        <v>6.64</v>
      </c>
      <c r="H61" s="4" t="inlineStr">
        <is>
          <t>Energy</t>
        </is>
      </c>
      <c r="I61" s="4" t="inlineStr">
        <is>
          <t>Oil &amp; Gas</t>
        </is>
      </c>
      <c r="J61" s="4" t="inlineStr">
        <is>
          <t>Oil &amp; Gas Supply Chain</t>
        </is>
      </c>
      <c r="K61" s="4" t="n"/>
      <c r="L61" s="4" t="n"/>
      <c r="M61" s="3" t="n">
        <v>11</v>
      </c>
      <c r="N61" s="3" t="n">
        <v>2238.74</v>
      </c>
      <c r="O61" s="4" t="inlineStr">
        <is>
          <t>Canada</t>
        </is>
      </c>
      <c r="P61" s="4" t="inlineStr">
        <is>
          <t>United States</t>
        </is>
      </c>
      <c r="Q61" s="4" t="inlineStr">
        <is>
          <t>Friendly</t>
        </is>
      </c>
      <c r="R61" s="3" t="n">
        <v>810.798</v>
      </c>
      <c r="S61" s="3" t="n">
        <v>33.1425</v>
      </c>
      <c r="T61" s="4" t="inlineStr">
        <is>
          <t>Cross Border, Company Takeover, Additional Stake Purchase</t>
        </is>
      </c>
      <c r="U61" s="2" t="inlineStr">
        <is>
          <t>Yes</t>
        </is>
      </c>
      <c r="V61" s="2" t="inlineStr">
        <is>
          <t>No</t>
        </is>
      </c>
      <c r="W61" s="2" t="inlineStr">
        <is>
          <t>Yes</t>
        </is>
      </c>
      <c r="X61" s="2" t="inlineStr">
        <is>
          <t>No</t>
        </is>
      </c>
      <c r="Y61" s="2" t="inlineStr">
        <is>
          <t>No</t>
        </is>
      </c>
      <c r="Z61" s="2" t="inlineStr">
        <is>
          <t>No</t>
        </is>
      </c>
      <c r="AA61" s="6" t="n">
        <v>3.400074956</v>
      </c>
      <c r="AB61" s="6" t="n">
        <v>2.908912669</v>
      </c>
      <c r="AC61" s="6" t="n">
        <v>3.350003659</v>
      </c>
      <c r="AD61">
        <f t="array" ref="AD61">IF(SUMPRODUCT(--($AM$2:$AM$112=TRIM(LEFT($B61,IFERROR(FIND(" ",$B61)-1,LEN($B61))))))&gt;0,1,0)</f>
        <v/>
      </c>
      <c r="AE61">
        <f t="array" ref="AE61">IF(SUMPRODUCT(--($AO$2:$AO$145=TRIM(LEFT($B61,IFERROR(FIND(" ",$B61)-1,LEN($B61))))))&gt;0,1,0)</f>
        <v/>
      </c>
      <c r="AF61">
        <f t="array" ref="AF61">IF(SUMPRODUCT(--($AQ$2:$AQ$71=TRIM(LEFT($B61,IFERROR(FIND(" ",$B61)-1,LEN($B61))))))&gt;0,1,0)</f>
        <v/>
      </c>
      <c r="AL61" t="inlineStr">
        <is>
          <t>FOE / Ameri</t>
        </is>
      </c>
      <c r="AM61">
        <f>TRIM(LEFT(AL61,FIND("/",AL61)-1))</f>
        <v/>
      </c>
      <c r="AN61" t="inlineStr">
        <is>
          <t xml:space="preserve">FLOW / Lone </t>
        </is>
      </c>
      <c r="AO61">
        <f>TRIM(LEFT(AN61,FIND("/",AN61)-1))</f>
        <v/>
      </c>
      <c r="AP61" t="inlineStr">
        <is>
          <t>WDR / Macqu</t>
        </is>
      </c>
      <c r="AQ61">
        <f>TRIM(LEFT(AP61,FIND("/",AP61)-1))</f>
        <v/>
      </c>
    </row>
    <row r="62" ht="135.75" customHeight="1" thickBot="1">
      <c r="A62" s="13" t="n">
        <v>120</v>
      </c>
      <c r="B62" s="4" t="inlineStr">
        <is>
          <t>DAY US</t>
        </is>
      </c>
      <c r="C62" s="4" t="inlineStr">
        <is>
          <t>129626Z US</t>
        </is>
      </c>
      <c r="D62" s="7" t="n">
        <v>45890</v>
      </c>
      <c r="E62" s="3" t="n">
        <v>11237.21</v>
      </c>
      <c r="F62" s="4" t="inlineStr">
        <is>
          <t>Cash</t>
        </is>
      </c>
      <c r="G62" s="3" t="n">
        <v>35.07</v>
      </c>
      <c r="H62" s="4" t="inlineStr">
        <is>
          <t>Technology</t>
        </is>
      </c>
      <c r="I62" s="4" t="inlineStr">
        <is>
          <t>Software &amp; Tech Services</t>
        </is>
      </c>
      <c r="J62" s="4" t="inlineStr">
        <is>
          <t>Software</t>
        </is>
      </c>
      <c r="K62" s="4" t="n"/>
      <c r="L62" s="4" t="n"/>
      <c r="M62" s="3" t="n">
        <v>23.22</v>
      </c>
      <c r="N62" s="3" t="n">
        <v>11237.21</v>
      </c>
      <c r="O62" s="4" t="inlineStr">
        <is>
          <t>United States</t>
        </is>
      </c>
      <c r="P62" s="4" t="inlineStr">
        <is>
          <t>United States</t>
        </is>
      </c>
      <c r="Q62" s="4" t="inlineStr">
        <is>
          <t>Friendly</t>
        </is>
      </c>
      <c r="R62" s="3" t="n">
        <v>1760</v>
      </c>
      <c r="S62" s="3" t="n">
        <v>6.9878</v>
      </c>
      <c r="T62" s="4" t="inlineStr">
        <is>
          <t>PE Buyout, Private Equity, Company Takeover, Going Private</t>
        </is>
      </c>
      <c r="U62" s="2" t="inlineStr">
        <is>
          <t>No</t>
        </is>
      </c>
      <c r="V62" s="2" t="inlineStr">
        <is>
          <t>No</t>
        </is>
      </c>
      <c r="W62" s="2" t="inlineStr">
        <is>
          <t>No</t>
        </is>
      </c>
      <c r="X62" s="2" t="inlineStr">
        <is>
          <t>Yes</t>
        </is>
      </c>
      <c r="Y62" s="2" t="inlineStr">
        <is>
          <t>Yes</t>
        </is>
      </c>
      <c r="Z62" s="2" t="inlineStr">
        <is>
          <t>No</t>
        </is>
      </c>
      <c r="AA62" s="6" t="n">
        <v>4.050658497</v>
      </c>
      <c r="AB62" s="6" t="n">
        <v>3.245512668</v>
      </c>
      <c r="AC62" s="6" t="n">
        <v>4.050658497</v>
      </c>
      <c r="AD62">
        <f t="array" ref="AD62">IF(SUMPRODUCT(--($AM$2:$AM$112=TRIM(LEFT($B62,IFERROR(FIND(" ",$B62)-1,LEN($B62))))))&gt;0,1,0)</f>
        <v/>
      </c>
      <c r="AE62">
        <f t="array" ref="AE62">IF(SUMPRODUCT(--($AO$2:$AO$145=TRIM(LEFT($B62,IFERROR(FIND(" ",$B62)-1,LEN($B62))))))&gt;0,1,0)</f>
        <v/>
      </c>
      <c r="AF62">
        <f t="array" ref="AF62">IF(SUMPRODUCT(--($AQ$2:$AQ$71=TRIM(LEFT($B62,IFERROR(FIND(" ",$B62)-1,LEN($B62))))))&gt;0,1,0)</f>
        <v/>
      </c>
      <c r="AL62" t="inlineStr">
        <is>
          <t>TEDU / Mr. S</t>
        </is>
      </c>
      <c r="AM62">
        <f>TRIM(LEFT(AL62,FIND("/",AL62)-1))</f>
        <v/>
      </c>
      <c r="AN62" t="inlineStr">
        <is>
          <t>CONE / Globa</t>
        </is>
      </c>
      <c r="AO62">
        <f>TRIM(LEFT(AN62,FIND("/",AN62)-1))</f>
        <v/>
      </c>
      <c r="AP62" t="inlineStr">
        <is>
          <t>NAV / TRATO</t>
        </is>
      </c>
      <c r="AQ62">
        <f>TRIM(LEFT(AP62,FIND("/",AP62)-1))</f>
        <v/>
      </c>
    </row>
    <row r="63" ht="45.75" customHeight="1" thickBot="1">
      <c r="A63" s="13" t="n">
        <v>81</v>
      </c>
      <c r="B63" s="4" t="inlineStr">
        <is>
          <t>PCH US</t>
        </is>
      </c>
      <c r="C63" s="4" t="inlineStr">
        <is>
          <t>RYN US</t>
        </is>
      </c>
      <c r="D63" s="7" t="n">
        <v>45944</v>
      </c>
      <c r="E63" s="3" t="n">
        <v>3731.38</v>
      </c>
      <c r="F63" s="4" t="inlineStr">
        <is>
          <t>Cash and Stock</t>
        </is>
      </c>
      <c r="G63" s="3" t="n">
        <v>24.91</v>
      </c>
      <c r="H63" s="4" t="inlineStr">
        <is>
          <t>Real Estate</t>
        </is>
      </c>
      <c r="I63" s="4" t="inlineStr">
        <is>
          <t>Real Estate</t>
        </is>
      </c>
      <c r="J63" s="4" t="inlineStr">
        <is>
          <t>REIT</t>
        </is>
      </c>
      <c r="K63" s="3" t="n">
        <v>159</v>
      </c>
      <c r="L63" s="3" t="n">
        <v>138</v>
      </c>
      <c r="M63" s="3" t="n">
        <v>17.82</v>
      </c>
      <c r="N63" s="3" t="n">
        <v>3731.38</v>
      </c>
      <c r="O63" s="4" t="inlineStr">
        <is>
          <t>United States</t>
        </is>
      </c>
      <c r="P63" s="4" t="inlineStr">
        <is>
          <t>United States</t>
        </is>
      </c>
      <c r="Q63" s="4" t="inlineStr">
        <is>
          <t>Friendly</t>
        </is>
      </c>
      <c r="R63" s="3" t="n">
        <v>1062.08</v>
      </c>
      <c r="S63" s="3" t="n">
        <v>8.045030000000001</v>
      </c>
      <c r="T63" s="4" t="inlineStr">
        <is>
          <t>Company Takeover</t>
        </is>
      </c>
      <c r="U63" s="2" t="inlineStr">
        <is>
          <t>No</t>
        </is>
      </c>
      <c r="V63" s="2" t="inlineStr">
        <is>
          <t>No</t>
        </is>
      </c>
      <c r="W63" s="2" t="inlineStr">
        <is>
          <t>No</t>
        </is>
      </c>
      <c r="X63" s="2" t="inlineStr">
        <is>
          <t>No</t>
        </is>
      </c>
      <c r="Y63" s="2" t="inlineStr">
        <is>
          <t>No</t>
        </is>
      </c>
      <c r="Z63" s="2" t="inlineStr">
        <is>
          <t>No</t>
        </is>
      </c>
      <c r="AA63" s="6" t="n">
        <v>3.571869479</v>
      </c>
      <c r="AB63" s="6" t="n">
        <v>3.026157231</v>
      </c>
      <c r="AC63" s="6" t="n">
        <v>3.571869479</v>
      </c>
      <c r="AD63">
        <f t="array" ref="AD63">IF(SUMPRODUCT(--($AM$2:$AM$112=TRIM(LEFT($B63,IFERROR(FIND(" ",$B63)-1,LEN($B63))))))&gt;0,1,0)</f>
        <v/>
      </c>
      <c r="AE63">
        <f t="array" ref="AE63">IF(SUMPRODUCT(--($AO$2:$AO$145=TRIM(LEFT($B63,IFERROR(FIND(" ",$B63)-1,LEN($B63))))))&gt;0,1,0)</f>
        <v/>
      </c>
      <c r="AF63">
        <f t="array" ref="AF63">IF(SUMPRODUCT(--($AQ$2:$AQ$71=TRIM(LEFT($B63,IFERROR(FIND(" ",$B63)-1,LEN($B63))))))&gt;0,1,0)</f>
        <v/>
      </c>
      <c r="AL63" t="inlineStr">
        <is>
          <t xml:space="preserve">MX / Wise </t>
        </is>
      </c>
      <c r="AM63">
        <f>TRIM(LEFT(AL63,FIND("/",AL63)-1))</f>
        <v/>
      </c>
      <c r="AN63" t="inlineStr">
        <is>
          <t>MCFE / Adven</t>
        </is>
      </c>
      <c r="AO63">
        <f>TRIM(LEFT(AN63,FIND("/",AN63)-1))</f>
        <v/>
      </c>
      <c r="AP63" t="inlineStr">
        <is>
          <t>ALSK / Macqu</t>
        </is>
      </c>
      <c r="AQ63">
        <f>TRIM(LEFT(AP63,FIND("/",AP63)-1))</f>
        <v/>
      </c>
    </row>
    <row r="64" ht="45.75" customHeight="1" thickBot="1">
      <c r="A64" s="13" t="n">
        <v>86</v>
      </c>
      <c r="B64" s="4" t="inlineStr">
        <is>
          <t>CMA US</t>
        </is>
      </c>
      <c r="C64" s="4" t="inlineStr">
        <is>
          <t>FITB US</t>
        </is>
      </c>
      <c r="D64" s="7" t="n">
        <v>45936</v>
      </c>
      <c r="E64" s="3" t="n">
        <v>10851.35</v>
      </c>
      <c r="F64" s="4" t="inlineStr">
        <is>
          <t>Stock</t>
        </is>
      </c>
      <c r="G64" s="4" t="n"/>
      <c r="H64" s="4" t="inlineStr">
        <is>
          <t>Financials</t>
        </is>
      </c>
      <c r="I64" s="4" t="inlineStr">
        <is>
          <t>Banking</t>
        </is>
      </c>
      <c r="J64" s="4" t="inlineStr">
        <is>
          <t>Banking</t>
        </is>
      </c>
      <c r="K64" s="3" t="n">
        <v>500</v>
      </c>
      <c r="L64" s="3" t="n">
        <v>500</v>
      </c>
      <c r="M64" s="3" t="n">
        <v>21.86</v>
      </c>
      <c r="N64" s="3" t="n">
        <v>10851.35</v>
      </c>
      <c r="O64" s="4" t="inlineStr">
        <is>
          <t>United States</t>
        </is>
      </c>
      <c r="P64" s="4" t="inlineStr">
        <is>
          <t>United States</t>
        </is>
      </c>
      <c r="Q64" s="4" t="inlineStr">
        <is>
          <t>Friendly</t>
        </is>
      </c>
      <c r="R64" s="3" t="n">
        <v>4798</v>
      </c>
      <c r="S64" s="3" t="n">
        <v>27.1836</v>
      </c>
      <c r="T64" s="4" t="inlineStr">
        <is>
          <t>Company Takeover</t>
        </is>
      </c>
      <c r="U64" s="2" t="inlineStr">
        <is>
          <t>No</t>
        </is>
      </c>
      <c r="V64" s="2" t="inlineStr">
        <is>
          <t>No</t>
        </is>
      </c>
      <c r="W64" s="2" t="inlineStr">
        <is>
          <t>No</t>
        </is>
      </c>
      <c r="X64" s="2" t="inlineStr">
        <is>
          <t>No</t>
        </is>
      </c>
      <c r="Y64" s="2" t="inlineStr">
        <is>
          <t>No</t>
        </is>
      </c>
      <c r="Z64" s="2" t="inlineStr">
        <is>
          <t>No</t>
        </is>
      </c>
      <c r="AA64" s="6" t="n">
        <v>4.035483771</v>
      </c>
      <c r="AB64" s="6" t="n">
        <v>3.681060244</v>
      </c>
      <c r="AC64" s="6" t="n">
        <v>4.035483771</v>
      </c>
      <c r="AD64">
        <f t="array" ref="AD64">IF(SUMPRODUCT(--($AM$2:$AM$112=TRIM(LEFT($B64,IFERROR(FIND(" ",$B64)-1,LEN($B64))))))&gt;0,1,0)</f>
        <v/>
      </c>
      <c r="AE64">
        <f t="array" ref="AE64">IF(SUMPRODUCT(--($AO$2:$AO$145=TRIM(LEFT($B64,IFERROR(FIND(" ",$B64)-1,LEN($B64))))))&gt;0,1,0)</f>
        <v/>
      </c>
      <c r="AF64">
        <f t="array" ref="AF64">IF(SUMPRODUCT(--($AQ$2:$AQ$71=TRIM(LEFT($B64,IFERROR(FIND(" ",$B64)-1,LEN($B64))))))&gt;0,1,0)</f>
        <v/>
      </c>
      <c r="AL64" t="inlineStr">
        <is>
          <t>COHR / II-VI</t>
        </is>
      </c>
      <c r="AM64">
        <f>TRIM(LEFT(AL64,FIND("/",AL64)-1))</f>
        <v/>
      </c>
      <c r="AN64" t="inlineStr">
        <is>
          <t>HRC / Baxte</t>
        </is>
      </c>
      <c r="AO64">
        <f>TRIM(LEFT(AN64,FIND("/",AN64)-1))</f>
        <v/>
      </c>
      <c r="AP64" t="inlineStr">
        <is>
          <t>PNM / Avang</t>
        </is>
      </c>
      <c r="AQ64">
        <f>TRIM(LEFT(AP64,FIND("/",AP64)-1))</f>
        <v/>
      </c>
    </row>
    <row r="65" ht="45.75" customHeight="1" thickBot="1">
      <c r="A65" s="13" t="n">
        <v>71</v>
      </c>
      <c r="B65" s="4" t="inlineStr">
        <is>
          <t>CADE US</t>
        </is>
      </c>
      <c r="C65" s="4" t="inlineStr">
        <is>
          <t>HBAN US</t>
        </is>
      </c>
      <c r="D65" s="7" t="n">
        <v>45957</v>
      </c>
      <c r="E65" s="3" t="n">
        <v>7416.59</v>
      </c>
      <c r="F65" s="4" t="inlineStr">
        <is>
          <t>Stock</t>
        </is>
      </c>
      <c r="G65" s="4" t="n"/>
      <c r="H65" s="4" t="inlineStr">
        <is>
          <t>Financials</t>
        </is>
      </c>
      <c r="I65" s="4" t="inlineStr">
        <is>
          <t>Banking</t>
        </is>
      </c>
      <c r="J65" s="4" t="inlineStr">
        <is>
          <t>Banking</t>
        </is>
      </c>
      <c r="K65" s="3" t="n">
        <v>296</v>
      </c>
      <c r="L65" s="3" t="n">
        <v>296</v>
      </c>
      <c r="M65" s="3" t="n">
        <v>7.45</v>
      </c>
      <c r="N65" s="3" t="n">
        <v>7416.59</v>
      </c>
      <c r="O65" s="4" t="inlineStr">
        <is>
          <t>United States</t>
        </is>
      </c>
      <c r="P65" s="4" t="inlineStr">
        <is>
          <t>United States</t>
        </is>
      </c>
      <c r="Q65" s="4" t="inlineStr">
        <is>
          <t>Friendly</t>
        </is>
      </c>
      <c r="R65" s="3" t="n">
        <v>3005.02</v>
      </c>
      <c r="S65" s="3" t="n">
        <v>35.3065</v>
      </c>
      <c r="T65" s="4" t="inlineStr">
        <is>
          <t>Company Takeover</t>
        </is>
      </c>
      <c r="U65" s="2" t="inlineStr">
        <is>
          <t>No</t>
        </is>
      </c>
      <c r="V65" s="2" t="inlineStr">
        <is>
          <t>No</t>
        </is>
      </c>
      <c r="W65" s="2" t="inlineStr">
        <is>
          <t>No</t>
        </is>
      </c>
      <c r="X65" s="2" t="inlineStr">
        <is>
          <t>No</t>
        </is>
      </c>
      <c r="Y65" s="2" t="inlineStr">
        <is>
          <t>No</t>
        </is>
      </c>
      <c r="Z65" s="2" t="inlineStr">
        <is>
          <t>No</t>
        </is>
      </c>
      <c r="AA65" s="6" t="n">
        <v>3.870204271</v>
      </c>
      <c r="AB65" s="6" t="n">
        <v>3.477847367</v>
      </c>
      <c r="AC65" s="6" t="n">
        <v>3.870204271</v>
      </c>
      <c r="AD65">
        <f t="array" ref="AD65">IF(SUMPRODUCT(--($AM$2:$AM$112=TRIM(LEFT($B65,IFERROR(FIND(" ",$B65)-1,LEN($B65))))))&gt;0,1,0)</f>
        <v/>
      </c>
      <c r="AE65">
        <f t="array" ref="AE65">IF(SUMPRODUCT(--($AO$2:$AO$145=TRIM(LEFT($B65,IFERROR(FIND(" ",$B65)-1,LEN($B65))))))&gt;0,1,0)</f>
        <v/>
      </c>
      <c r="AF65">
        <f t="array" ref="AF65">IF(SUMPRODUCT(--($AQ$2:$AQ$71=TRIM(LEFT($B65,IFERROR(FIND(" ",$B65)-1,LEN($B65))))))&gt;0,1,0)</f>
        <v/>
      </c>
      <c r="AL65" t="inlineStr">
        <is>
          <t>CTB / The G</t>
        </is>
      </c>
      <c r="AM65">
        <f>TRIM(LEFT(AL65,FIND("/",AL65)-1))</f>
        <v/>
      </c>
      <c r="AN65" t="inlineStr">
        <is>
          <t>VNE / Magna</t>
        </is>
      </c>
      <c r="AO65">
        <f>TRIM(LEFT(AN65,FIND("/",AN65)-1))</f>
        <v/>
      </c>
      <c r="AP65" t="inlineStr">
        <is>
          <t>PRCP / Atlas</t>
        </is>
      </c>
      <c r="AQ65">
        <f>TRIM(LEFT(AP65,FIND("/",AP65)-1))</f>
        <v/>
      </c>
    </row>
    <row r="66" ht="60.75" customHeight="1" thickBot="1">
      <c r="A66" s="13" t="n">
        <v>68</v>
      </c>
      <c r="B66" s="4" t="inlineStr">
        <is>
          <t>REVG US</t>
        </is>
      </c>
      <c r="C66" s="4" t="inlineStr">
        <is>
          <t>TEX US</t>
        </is>
      </c>
      <c r="D66" s="7" t="n">
        <v>45960</v>
      </c>
      <c r="E66" s="3" t="n">
        <v>3102.05</v>
      </c>
      <c r="F66" s="4" t="inlineStr">
        <is>
          <t>Cash and Stock</t>
        </is>
      </c>
      <c r="G66" s="3" t="n">
        <v>26.79</v>
      </c>
      <c r="H66" s="4" t="inlineStr">
        <is>
          <t>Industrials</t>
        </is>
      </c>
      <c r="I66" s="4" t="inlineStr">
        <is>
          <t>Industrial Products</t>
        </is>
      </c>
      <c r="J66" s="4" t="inlineStr">
        <is>
          <t>Transportation Equipment</t>
        </is>
      </c>
      <c r="K66" s="3" t="n">
        <v>128</v>
      </c>
      <c r="L66" s="3" t="n">
        <v>128</v>
      </c>
      <c r="M66" s="3" t="n">
        <v>7.99</v>
      </c>
      <c r="N66" s="3" t="n">
        <v>3024.65</v>
      </c>
      <c r="O66" s="4" t="inlineStr">
        <is>
          <t>United States</t>
        </is>
      </c>
      <c r="P66" s="4" t="inlineStr">
        <is>
          <t>United States</t>
        </is>
      </c>
      <c r="Q66" s="4" t="inlineStr">
        <is>
          <t>Friendly</t>
        </is>
      </c>
      <c r="R66" s="3" t="n">
        <v>2463.5</v>
      </c>
      <c r="S66" s="3" t="n">
        <v>7.39598</v>
      </c>
      <c r="T66" s="4" t="inlineStr">
        <is>
          <t>Company Takeover</t>
        </is>
      </c>
      <c r="U66" s="2" t="inlineStr">
        <is>
          <t>No</t>
        </is>
      </c>
      <c r="V66" s="2" t="inlineStr">
        <is>
          <t>No</t>
        </is>
      </c>
      <c r="W66" s="2" t="inlineStr">
        <is>
          <t>No</t>
        </is>
      </c>
      <c r="X66" s="2" t="inlineStr">
        <is>
          <t>No</t>
        </is>
      </c>
      <c r="Y66" s="2" t="inlineStr">
        <is>
          <t>No</t>
        </is>
      </c>
      <c r="Z66" s="2" t="inlineStr">
        <is>
          <t>No</t>
        </is>
      </c>
      <c r="AA66" s="6" t="n">
        <v>3.491648794</v>
      </c>
      <c r="AB66" s="6" t="n">
        <v>3.391552567</v>
      </c>
      <c r="AC66" s="6" t="n">
        <v>3.480675127</v>
      </c>
      <c r="AD66">
        <f t="array" ref="AD66">IF(SUMPRODUCT(--($AM$2:$AM$112=TRIM(LEFT($B66,IFERROR(FIND(" ",$B66)-1,LEN($B66))))))&gt;0,1,0)</f>
        <v/>
      </c>
      <c r="AE66">
        <f t="array" ref="AE66">IF(SUMPRODUCT(--($AO$2:$AO$145=TRIM(LEFT($B66,IFERROR(FIND(" ",$B66)-1,LEN($B66))))))&gt;0,1,0)</f>
        <v/>
      </c>
      <c r="AF66">
        <f t="array" ref="AF66">IF(SUMPRODUCT(--($AQ$2:$AQ$71=TRIM(LEFT($B66,IFERROR(FIND(" ",$B66)-1,LEN($B66))))))&gt;0,1,0)</f>
        <v/>
      </c>
      <c r="AL66" t="inlineStr">
        <is>
          <t>COHR / Lumen</t>
        </is>
      </c>
      <c r="AM66">
        <f>TRIM(LEFT(AL66,FIND("/",AL66)-1))</f>
        <v/>
      </c>
      <c r="AN66" t="inlineStr">
        <is>
          <t>WBT / Ali H</t>
        </is>
      </c>
      <c r="AO66">
        <f>TRIM(LEFT(AN66,FIND("/",AN66)-1))</f>
        <v/>
      </c>
      <c r="AP66" t="inlineStr">
        <is>
          <t>VRTU / Barin</t>
        </is>
      </c>
      <c r="AQ66">
        <f>TRIM(LEFT(AP66,FIND("/",AP66)-1))</f>
        <v/>
      </c>
    </row>
    <row r="67" ht="135.75" customHeight="1" thickBot="1">
      <c r="A67" s="13" t="n">
        <v>69</v>
      </c>
      <c r="B67" s="4" t="inlineStr">
        <is>
          <t>JAMF US</t>
        </is>
      </c>
      <c r="C67" s="4" t="inlineStr">
        <is>
          <t>20635Z US</t>
        </is>
      </c>
      <c r="D67" s="7" t="n">
        <v>45959</v>
      </c>
      <c r="E67" s="3" t="n">
        <v>1645.02</v>
      </c>
      <c r="F67" s="4" t="inlineStr">
        <is>
          <t>Cash</t>
        </is>
      </c>
      <c r="G67" s="4" t="n"/>
      <c r="H67" s="4" t="inlineStr">
        <is>
          <t>Technology</t>
        </is>
      </c>
      <c r="I67" s="4" t="inlineStr">
        <is>
          <t>Software &amp; Tech Services</t>
        </is>
      </c>
      <c r="J67" s="4" t="inlineStr">
        <is>
          <t>Software</t>
        </is>
      </c>
      <c r="K67" s="4" t="n"/>
      <c r="L67" s="4" t="n"/>
      <c r="M67" s="3" t="n">
        <v>25.72</v>
      </c>
      <c r="N67" s="3" t="n">
        <v>1733.52</v>
      </c>
      <c r="O67" s="4" t="inlineStr">
        <is>
          <t>United States</t>
        </is>
      </c>
      <c r="P67" s="4" t="inlineStr">
        <is>
          <t>United States</t>
        </is>
      </c>
      <c r="Q67" s="4" t="inlineStr">
        <is>
          <t>Friendly</t>
        </is>
      </c>
      <c r="R67" s="3" t="n">
        <v>627.399</v>
      </c>
      <c r="S67" s="3" t="n">
        <v>-5.02643</v>
      </c>
      <c r="T67" s="4" t="inlineStr">
        <is>
          <t>Company Takeover, Going Private, Private Equity, PE Buyout</t>
        </is>
      </c>
      <c r="U67" s="2" t="inlineStr">
        <is>
          <t>No</t>
        </is>
      </c>
      <c r="V67" s="2" t="inlineStr">
        <is>
          <t>No</t>
        </is>
      </c>
      <c r="W67" s="2" t="inlineStr">
        <is>
          <t>No</t>
        </is>
      </c>
      <c r="X67" s="2" t="inlineStr">
        <is>
          <t>Yes</t>
        </is>
      </c>
      <c r="Y67" s="2" t="inlineStr">
        <is>
          <t>Yes</t>
        </is>
      </c>
      <c r="Z67" s="2" t="inlineStr">
        <is>
          <t>No</t>
        </is>
      </c>
      <c r="AA67" s="6" t="n">
        <v>3.216171182</v>
      </c>
      <c r="AB67" s="6" t="n">
        <v>2.797543822</v>
      </c>
      <c r="AC67" s="6" t="n">
        <v>3.238928857</v>
      </c>
      <c r="AD67">
        <f t="array" ref="AD67">IF(SUMPRODUCT(--($AM$2:$AM$112=TRIM(LEFT($B67,IFERROR(FIND(" ",$B67)-1,LEN($B67))))))&gt;0,1,0)</f>
        <v/>
      </c>
      <c r="AE67">
        <f t="array" ref="AE67">IF(SUMPRODUCT(--($AO$2:$AO$145=TRIM(LEFT($B67,IFERROR(FIND(" ",$B67)-1,LEN($B67))))))&gt;0,1,0)</f>
        <v/>
      </c>
      <c r="AF67">
        <f t="array" ref="AF67">IF(SUMPRODUCT(--($AQ$2:$AQ$71=TRIM(LEFT($B67,IFERROR(FIND(" ",$B67)-1,LEN($B67))))))&gt;0,1,0)</f>
        <v/>
      </c>
      <c r="AL67" t="inlineStr">
        <is>
          <t>FLIR / Teled</t>
        </is>
      </c>
      <c r="AM67">
        <f>TRIM(LEFT(AL67,FIND("/",AL67)-1))</f>
        <v/>
      </c>
      <c r="AN67" t="inlineStr">
        <is>
          <t>CLDR / Clayt</t>
        </is>
      </c>
      <c r="AO67">
        <f>TRIM(LEFT(AN67,FIND("/",AN67)-1))</f>
        <v/>
      </c>
      <c r="AP67" t="inlineStr">
        <is>
          <t>CBMG / Mr. B</t>
        </is>
      </c>
      <c r="AQ67">
        <f>TRIM(LEFT(AP67,FIND("/",AP67)-1))</f>
        <v/>
      </c>
    </row>
    <row r="68" ht="75.75" customHeight="1" thickBot="1">
      <c r="A68" s="13" t="n">
        <v>65</v>
      </c>
      <c r="B68" s="4" t="inlineStr">
        <is>
          <t>CIVI US</t>
        </is>
      </c>
      <c r="C68" s="4" t="inlineStr">
        <is>
          <t>SM US</t>
        </is>
      </c>
      <c r="D68" s="7" t="n">
        <v>45964</v>
      </c>
      <c r="E68" s="3" t="n">
        <v>8289.030000000001</v>
      </c>
      <c r="F68" s="4" t="inlineStr">
        <is>
          <t>Stock</t>
        </is>
      </c>
      <c r="G68" s="3" t="n">
        <v>2.31</v>
      </c>
      <c r="H68" s="4" t="inlineStr">
        <is>
          <t>Energy</t>
        </is>
      </c>
      <c r="I68" s="4" t="inlineStr">
        <is>
          <t>Oil &amp; Gas</t>
        </is>
      </c>
      <c r="J68" s="4" t="inlineStr">
        <is>
          <t>Oil &amp; Gas Supply Chain</t>
        </is>
      </c>
      <c r="K68" s="4" t="n"/>
      <c r="L68" s="4" t="n"/>
      <c r="M68" s="3" t="n">
        <v>8.289999999999999</v>
      </c>
      <c r="N68" s="3" t="n">
        <v>2970.03</v>
      </c>
      <c r="O68" s="4" t="inlineStr">
        <is>
          <t>United States</t>
        </is>
      </c>
      <c r="P68" s="4" t="inlineStr">
        <is>
          <t>United States</t>
        </is>
      </c>
      <c r="Q68" s="4" t="inlineStr">
        <is>
          <t>Friendly</t>
        </is>
      </c>
      <c r="R68" s="3" t="n">
        <v>5206.81</v>
      </c>
      <c r="S68" s="3" t="n">
        <v>22.8592</v>
      </c>
      <c r="T68" s="4" t="inlineStr">
        <is>
          <t>Company Takeover, Reverse Merger</t>
        </is>
      </c>
      <c r="U68" s="2" t="inlineStr">
        <is>
          <t>No</t>
        </is>
      </c>
      <c r="V68" s="2" t="inlineStr">
        <is>
          <t>No</t>
        </is>
      </c>
      <c r="W68" s="2" t="inlineStr">
        <is>
          <t>No</t>
        </is>
      </c>
      <c r="X68" s="2" t="inlineStr">
        <is>
          <t>No</t>
        </is>
      </c>
      <c r="Y68" s="2" t="inlineStr">
        <is>
          <t>No</t>
        </is>
      </c>
      <c r="Z68" s="2" t="inlineStr">
        <is>
          <t>No</t>
        </is>
      </c>
      <c r="AA68" s="6" t="n">
        <v>3.918503711</v>
      </c>
      <c r="AB68" s="6" t="n">
        <v>3.71657173</v>
      </c>
      <c r="AC68" s="6" t="n">
        <v>3.472760836</v>
      </c>
      <c r="AD68">
        <f t="array" ref="AD68">IF(SUMPRODUCT(--($AM$2:$AM$112=TRIM(LEFT($B68,IFERROR(FIND(" ",$B68)-1,LEN($B68))))))&gt;0,1,0)</f>
        <v/>
      </c>
      <c r="AE68">
        <f t="array" ref="AE68">IF(SUMPRODUCT(--($AO$2:$AO$145=TRIM(LEFT($B68,IFERROR(FIND(" ",$B68)-1,LEN($B68))))))&gt;0,1,0)</f>
        <v/>
      </c>
      <c r="AF68">
        <f t="array" ref="AF68">IF(SUMPRODUCT(--($AQ$2:$AQ$71=TRIM(LEFT($B68,IFERROR(FIND(" ",$B68)-1,LEN($B68))))))&gt;0,1,0)</f>
        <v/>
      </c>
      <c r="AL68" t="inlineStr">
        <is>
          <t>MTSC / Ampho</t>
        </is>
      </c>
      <c r="AM68">
        <f>TRIM(LEFT(AL68,FIND("/",AL68)-1))</f>
        <v/>
      </c>
      <c r="AN68" t="inlineStr">
        <is>
          <t>T / Disco</t>
        </is>
      </c>
      <c r="AO68">
        <f>TRIM(LEFT(AN68,FIND("/",AN68)-1))</f>
        <v/>
      </c>
      <c r="AP68" t="inlineStr">
        <is>
          <t>VAR / Sieme</t>
        </is>
      </c>
      <c r="AQ68">
        <f>TRIM(LEFT(AP68,FIND("/",AP68)-1))</f>
        <v/>
      </c>
    </row>
    <row r="69" ht="45.75" customHeight="1" thickBot="1">
      <c r="A69" s="13" t="n">
        <v>69</v>
      </c>
      <c r="B69" s="4" t="inlineStr">
        <is>
          <t>PLYM US</t>
        </is>
      </c>
      <c r="C69" s="2" t="n"/>
      <c r="D69" s="7" t="n">
        <v>45954</v>
      </c>
      <c r="E69" s="3" t="n">
        <v>980.1799999999999</v>
      </c>
      <c r="F69" s="4" t="inlineStr">
        <is>
          <t>Cash</t>
        </is>
      </c>
      <c r="G69" s="3" t="n">
        <v>8.119999999999999</v>
      </c>
      <c r="H69" s="4" t="inlineStr">
        <is>
          <t>Real Estate</t>
        </is>
      </c>
      <c r="I69" s="4" t="inlineStr">
        <is>
          <t>Real Estate</t>
        </is>
      </c>
      <c r="J69" s="4" t="inlineStr">
        <is>
          <t>REIT</t>
        </is>
      </c>
      <c r="K69" s="3" t="n">
        <v>70.2</v>
      </c>
      <c r="L69" s="3" t="n">
        <v>40.1</v>
      </c>
      <c r="M69" s="3" t="n">
        <v>0.3</v>
      </c>
      <c r="N69" s="3" t="n">
        <v>980.1799999999999</v>
      </c>
      <c r="O69" s="4" t="inlineStr">
        <is>
          <t>United States</t>
        </is>
      </c>
      <c r="P69" s="4" t="inlineStr">
        <is>
          <t>United States</t>
        </is>
      </c>
      <c r="Q69" s="4" t="inlineStr">
        <is>
          <t>Friendly</t>
        </is>
      </c>
      <c r="R69" s="3" t="n">
        <v>198.355</v>
      </c>
      <c r="S69" s="3" t="n">
        <v>17.2662</v>
      </c>
      <c r="T69" s="4" t="inlineStr">
        <is>
          <t>Company Takeover</t>
        </is>
      </c>
      <c r="U69" s="2" t="inlineStr">
        <is>
          <t>No</t>
        </is>
      </c>
      <c r="V69" s="2" t="inlineStr">
        <is>
          <t>No</t>
        </is>
      </c>
      <c r="W69" s="2" t="inlineStr">
        <is>
          <t>No</t>
        </is>
      </c>
      <c r="X69" s="2" t="inlineStr">
        <is>
          <t>No</t>
        </is>
      </c>
      <c r="Y69" s="2" t="inlineStr">
        <is>
          <t>No</t>
        </is>
      </c>
      <c r="Z69" s="2" t="inlineStr">
        <is>
          <t>No</t>
        </is>
      </c>
      <c r="AA69" s="6" t="n">
        <v>2.991305837</v>
      </c>
      <c r="AB69" s="6" t="n">
        <v>2.297443152</v>
      </c>
      <c r="AC69" s="6" t="n">
        <v>2.991305837</v>
      </c>
      <c r="AD69">
        <f t="array" ref="AD69">IF(SUMPRODUCT(--($AM$2:$AM$112=TRIM(LEFT($B69,IFERROR(FIND(" ",$B69)-1,LEN($B69))))))&gt;0,1,0)</f>
        <v/>
      </c>
      <c r="AE69">
        <f t="array" ref="AE69">IF(SUMPRODUCT(--($AO$2:$AO$145=TRIM(LEFT($B69,IFERROR(FIND(" ",$B69)-1,LEN($B69))))))&gt;0,1,0)</f>
        <v/>
      </c>
      <c r="AF69">
        <f t="array" ref="AF69">IF(SUMPRODUCT(--($AQ$2:$AQ$71=TRIM(LEFT($B69,IFERROR(FIND(" ",$B69)-1,LEN($B69))))))&gt;0,1,0)</f>
        <v/>
      </c>
      <c r="AL69" t="inlineStr">
        <is>
          <t>IPHI / Marve</t>
        </is>
      </c>
      <c r="AM69">
        <f>TRIM(LEFT(AL69,FIND("/",AL69)-1))</f>
        <v/>
      </c>
      <c r="AN69" t="inlineStr">
        <is>
          <t>FOE / Ameri</t>
        </is>
      </c>
      <c r="AO69">
        <f>TRIM(LEFT(AN69,FIND("/",AN69)-1))</f>
        <v/>
      </c>
      <c r="AP69" t="inlineStr">
        <is>
          <t xml:space="preserve">GRUB / Just </t>
        </is>
      </c>
      <c r="AQ69">
        <f>TRIM(LEFT(AP69,FIND("/",AP69)-1))</f>
        <v/>
      </c>
    </row>
    <row r="70" ht="75.75" customHeight="1" thickBot="1">
      <c r="A70" s="13" t="n">
        <v>113</v>
      </c>
      <c r="B70" s="4" t="inlineStr">
        <is>
          <t>GES US</t>
        </is>
      </c>
      <c r="C70" s="4" t="inlineStr">
        <is>
          <t>AUTH US</t>
        </is>
      </c>
      <c r="D70" s="7" t="n">
        <v>45889</v>
      </c>
      <c r="E70" s="3" t="n">
        <v>2288.12</v>
      </c>
      <c r="F70" s="4" t="inlineStr">
        <is>
          <t>Cash</t>
        </is>
      </c>
      <c r="G70" s="3" t="n">
        <v>4.77</v>
      </c>
      <c r="H70" s="4" t="inlineStr">
        <is>
          <t>Consumer Discretionary</t>
        </is>
      </c>
      <c r="I70" s="4" t="inlineStr">
        <is>
          <t>Retail &amp; Whsle - Discretionary</t>
        </is>
      </c>
      <c r="J70" s="4" t="inlineStr">
        <is>
          <t>Retail - Discretionary</t>
        </is>
      </c>
      <c r="K70" s="4" t="n"/>
      <c r="L70" s="3" t="n">
        <v>23.2979</v>
      </c>
      <c r="M70" s="3" t="n">
        <v>25.62</v>
      </c>
      <c r="N70" s="3" t="n">
        <v>871.28</v>
      </c>
      <c r="O70" s="4" t="inlineStr">
        <is>
          <t>United States</t>
        </is>
      </c>
      <c r="P70" s="4" t="inlineStr">
        <is>
          <t>United States</t>
        </is>
      </c>
      <c r="Q70" s="4" t="inlineStr">
        <is>
          <t>Friendly</t>
        </is>
      </c>
      <c r="R70" s="3" t="n">
        <v>2995.27</v>
      </c>
      <c r="S70" s="3" t="n">
        <v>3.54947</v>
      </c>
      <c r="T70" s="4" t="inlineStr">
        <is>
          <t>Company Takeover, Going Private</t>
        </is>
      </c>
      <c r="U70" s="2" t="inlineStr">
        <is>
          <t>No</t>
        </is>
      </c>
      <c r="V70" s="2" t="inlineStr">
        <is>
          <t>No</t>
        </is>
      </c>
      <c r="W70" s="2" t="inlineStr">
        <is>
          <t>No</t>
        </is>
      </c>
      <c r="X70" s="2" t="inlineStr">
        <is>
          <t>Yes</t>
        </is>
      </c>
      <c r="Y70" s="2" t="inlineStr">
        <is>
          <t>No</t>
        </is>
      </c>
      <c r="Z70" s="2" t="inlineStr">
        <is>
          <t>No</t>
        </is>
      </c>
      <c r="AA70" s="6" t="n">
        <v>3.359478797</v>
      </c>
      <c r="AB70" s="6" t="n">
        <v>3.476435977</v>
      </c>
      <c r="AC70" s="6" t="n">
        <v>2.940157745</v>
      </c>
      <c r="AD70">
        <f t="array" ref="AD70">IF(SUMPRODUCT(--($AM$2:$AM$112=TRIM(LEFT($B70,IFERROR(FIND(" ",$B70)-1,LEN($B70))))))&gt;0,1,0)</f>
        <v/>
      </c>
      <c r="AE70">
        <f t="array" ref="AE70">IF(SUMPRODUCT(--($AO$2:$AO$145=TRIM(LEFT($B70,IFERROR(FIND(" ",$B70)-1,LEN($B70))))))&gt;0,1,0)</f>
        <v/>
      </c>
      <c r="AF70">
        <f t="array" ref="AF70">IF(SUMPRODUCT(--($AQ$2:$AQ$71=TRIM(LEFT($B70,IFERROR(FIND(" ",$B70)-1,LEN($B70))))))&gt;0,1,0)</f>
        <v/>
      </c>
      <c r="AL70" t="inlineStr">
        <is>
          <t>XLNX / Advan</t>
        </is>
      </c>
      <c r="AM70">
        <f>TRIM(LEFT(AL70,FIND("/",AL70)-1))</f>
        <v/>
      </c>
      <c r="AN70" t="inlineStr">
        <is>
          <t>GRA / Stand</t>
        </is>
      </c>
      <c r="AO70">
        <f>TRIM(LEFT(AN70,FIND("/",AN70)-1))</f>
        <v/>
      </c>
      <c r="AP70" t="inlineStr">
        <is>
          <t>CBB / Macqu</t>
        </is>
      </c>
      <c r="AQ70">
        <f>TRIM(LEFT(AP70,FIND("/",AP70)-1))</f>
        <v/>
      </c>
    </row>
    <row r="71" ht="45.75" customHeight="1" thickBot="1">
      <c r="A71" s="13" t="n">
        <v>360</v>
      </c>
      <c r="B71" s="4" t="inlineStr">
        <is>
          <t>FYBR US</t>
        </is>
      </c>
      <c r="C71" s="4" t="inlineStr">
        <is>
          <t>VZ US</t>
        </is>
      </c>
      <c r="D71" s="7" t="n">
        <v>45540</v>
      </c>
      <c r="E71" s="3" t="n">
        <v>19637.73</v>
      </c>
      <c r="F71" s="4" t="inlineStr">
        <is>
          <t>Cash</t>
        </is>
      </c>
      <c r="G71" s="3" t="n">
        <v>10.3</v>
      </c>
      <c r="H71" s="4" t="inlineStr">
        <is>
          <t>Communications</t>
        </is>
      </c>
      <c r="I71" s="4" t="inlineStr">
        <is>
          <t>Telecommunications</t>
        </is>
      </c>
      <c r="J71" s="4" t="inlineStr">
        <is>
          <t>Telecommunications</t>
        </is>
      </c>
      <c r="K71" s="3" t="n">
        <v>590</v>
      </c>
      <c r="L71" s="3" t="n">
        <v>320</v>
      </c>
      <c r="M71" s="3" t="n">
        <v>33.35</v>
      </c>
      <c r="N71" s="3" t="n">
        <v>9585.73</v>
      </c>
      <c r="O71" s="4" t="inlineStr">
        <is>
          <t>United States</t>
        </is>
      </c>
      <c r="P71" s="4" t="inlineStr">
        <is>
          <t>United States</t>
        </is>
      </c>
      <c r="Q71" s="4" t="inlineStr">
        <is>
          <t>Friendly</t>
        </is>
      </c>
      <c r="R71" s="3" t="n">
        <v>5937</v>
      </c>
      <c r="S71" s="3" t="n">
        <v>5.28988</v>
      </c>
      <c r="T71" s="4" t="inlineStr">
        <is>
          <t>Company Takeover</t>
        </is>
      </c>
      <c r="U71" s="2" t="inlineStr">
        <is>
          <t>No</t>
        </is>
      </c>
      <c r="V71" s="2" t="inlineStr">
        <is>
          <t>No</t>
        </is>
      </c>
      <c r="W71" s="2" t="inlineStr">
        <is>
          <t>No</t>
        </is>
      </c>
      <c r="X71" s="2" t="inlineStr">
        <is>
          <t>No</t>
        </is>
      </c>
      <c r="Y71" s="2" t="inlineStr">
        <is>
          <t>No</t>
        </is>
      </c>
      <c r="Z71" s="2" t="inlineStr">
        <is>
          <t>No</t>
        </is>
      </c>
      <c r="AA71" s="6" t="n">
        <v>4.293091285</v>
      </c>
      <c r="AB71" s="6" t="n">
        <v>3.773567049</v>
      </c>
      <c r="AC71" s="6" t="n">
        <v>3.981625192</v>
      </c>
      <c r="AD71">
        <f t="array" ref="AD71">IF(SUMPRODUCT(--($AM$2:$AM$112=TRIM(LEFT($B71,IFERROR(FIND(" ",$B71)-1,LEN($B71))))))&gt;0,1,0)</f>
        <v/>
      </c>
      <c r="AE71">
        <f t="array" ref="AE71">IF(SUMPRODUCT(--($AO$2:$AO$145=TRIM(LEFT($B71,IFERROR(FIND(" ",$B71)-1,LEN($B71))))))&gt;0,1,0)</f>
        <v/>
      </c>
      <c r="AF71">
        <f t="array" ref="AF71">IF(SUMPRODUCT(--($AQ$2:$AQ$71=TRIM(LEFT($B71,IFERROR(FIND(" ",$B71)-1,LEN($B71))))))&gt;0,1,0)</f>
        <v/>
      </c>
      <c r="AL71" t="inlineStr">
        <is>
          <t xml:space="preserve">DOYU / HUYA </t>
        </is>
      </c>
      <c r="AM71">
        <f>TRIM(LEFT(AL71,FIND("/",AL71)-1))</f>
        <v/>
      </c>
      <c r="AN71" t="inlineStr">
        <is>
          <t>PPD / Therm</t>
        </is>
      </c>
      <c r="AO71">
        <f>TRIM(LEFT(AN71,FIND("/",AN71)-1))</f>
        <v/>
      </c>
      <c r="AP71" t="inlineStr">
        <is>
          <t>WLT</t>
        </is>
      </c>
      <c r="AQ71">
        <f>TRIM(IFERROR(LEFT(AP71,FIND("/",AP71)-1),AP71))</f>
        <v/>
      </c>
    </row>
    <row r="72" ht="60.75" customHeight="1" thickBot="1">
      <c r="A72" s="13" t="n">
        <v>87</v>
      </c>
      <c r="B72" s="4" t="inlineStr">
        <is>
          <t>SMLR US</t>
        </is>
      </c>
      <c r="C72" s="4" t="inlineStr">
        <is>
          <t>ASST US</t>
        </is>
      </c>
      <c r="D72" s="7" t="n">
        <v>45922</v>
      </c>
      <c r="E72" s="3" t="n">
        <v>1892.81</v>
      </c>
      <c r="F72" s="4" t="inlineStr">
        <is>
          <t>Stock</t>
        </is>
      </c>
      <c r="G72" s="3" t="n">
        <v>87.98999999999999</v>
      </c>
      <c r="H72" s="4" t="inlineStr">
        <is>
          <t>Health Care</t>
        </is>
      </c>
      <c r="I72" s="4" t="inlineStr">
        <is>
          <t>Health Care</t>
        </is>
      </c>
      <c r="J72" s="4" t="inlineStr">
        <is>
          <t>Medical Equipment &amp; Devices</t>
        </is>
      </c>
      <c r="K72" s="4" t="n"/>
      <c r="L72" s="3" t="n">
        <v>49</v>
      </c>
      <c r="M72" s="4" t="n"/>
      <c r="N72" s="3" t="n">
        <v>1810.31</v>
      </c>
      <c r="O72" s="4" t="inlineStr">
        <is>
          <t>United States</t>
        </is>
      </c>
      <c r="P72" s="4" t="inlineStr">
        <is>
          <t>United States</t>
        </is>
      </c>
      <c r="Q72" s="4" t="inlineStr">
        <is>
          <t>Friendly</t>
        </is>
      </c>
      <c r="R72" s="3" t="n">
        <v>56.294</v>
      </c>
      <c r="S72" s="3" t="n">
        <v>-94.71259999999999</v>
      </c>
      <c r="T72" s="4" t="inlineStr">
        <is>
          <t>Company Takeover</t>
        </is>
      </c>
      <c r="U72" s="2" t="inlineStr">
        <is>
          <t>No</t>
        </is>
      </c>
      <c r="V72" s="2" t="inlineStr">
        <is>
          <t>No</t>
        </is>
      </c>
      <c r="W72" s="2" t="inlineStr">
        <is>
          <t>No</t>
        </is>
      </c>
      <c r="X72" s="2" t="inlineStr">
        <is>
          <t>No</t>
        </is>
      </c>
      <c r="Y72" s="2" t="inlineStr">
        <is>
          <t>No</t>
        </is>
      </c>
      <c r="Z72" s="2" t="inlineStr">
        <is>
          <t>No</t>
        </is>
      </c>
      <c r="AA72" s="6" t="n">
        <v>3.277107022</v>
      </c>
      <c r="AB72" s="6" t="n">
        <v>1.750462109</v>
      </c>
      <c r="AC72" s="6" t="n">
        <v>3.25775295</v>
      </c>
      <c r="AD72">
        <f t="array" ref="AD72">IF(SUMPRODUCT(--($AM$2:$AM$112=TRIM(LEFT($B72,IFERROR(FIND(" ",$B72)-1,LEN($B72))))))&gt;0,1,0)</f>
        <v/>
      </c>
      <c r="AE72">
        <f t="array" ref="AE72">IF(SUMPRODUCT(--($AO$2:$AO$145=TRIM(LEFT($B72,IFERROR(FIND(" ",$B72)-1,LEN($B72))))))&gt;0,1,0)</f>
        <v/>
      </c>
      <c r="AF72">
        <f t="array" ref="AF72">IF(SUMPRODUCT(--($AQ$2:$AQ$71=TRIM(LEFT($B72,IFERROR(FIND(" ",$B72)-1,LEN($B72))))))&gt;0,1,0)</f>
        <v/>
      </c>
      <c r="AL72" t="inlineStr">
        <is>
          <t>SOGO / Tence</t>
        </is>
      </c>
      <c r="AM72">
        <f>TRIM(LEFT(AL72,FIND("/",AL72)-1))</f>
        <v/>
      </c>
      <c r="AN72" t="inlineStr">
        <is>
          <t>NUAN / Micro</t>
        </is>
      </c>
      <c r="AO72">
        <f>TRIM(LEFT(AN72,FIND("/",AN72)-1))</f>
        <v/>
      </c>
    </row>
    <row r="73" ht="135.75" customHeight="1" thickBot="1">
      <c r="A73" s="13" t="n">
        <v>56</v>
      </c>
      <c r="B73" s="4" t="inlineStr">
        <is>
          <t>DENN US</t>
        </is>
      </c>
      <c r="C73" s="2" t="n"/>
      <c r="D73" s="7" t="n">
        <v>45965</v>
      </c>
      <c r="E73" s="3" t="n">
        <v>738.12</v>
      </c>
      <c r="F73" s="4" t="inlineStr">
        <is>
          <t>Cash</t>
        </is>
      </c>
      <c r="G73" s="3" t="n">
        <v>12.3</v>
      </c>
      <c r="H73" s="4" t="inlineStr">
        <is>
          <t>Consumer Discretionary</t>
        </is>
      </c>
      <c r="I73" s="4" t="inlineStr">
        <is>
          <t>Consumer Discretionary Services</t>
        </is>
      </c>
      <c r="J73" s="4" t="inlineStr">
        <is>
          <t>Leisure Facilities &amp; Services</t>
        </is>
      </c>
      <c r="K73" s="4" t="n"/>
      <c r="L73" s="4" t="n"/>
      <c r="M73" s="3" t="n">
        <v>31.36</v>
      </c>
      <c r="N73" s="3" t="n">
        <v>321.87</v>
      </c>
      <c r="O73" s="4" t="inlineStr">
        <is>
          <t>United States</t>
        </is>
      </c>
      <c r="P73" s="4" t="inlineStr">
        <is>
          <t>United States</t>
        </is>
      </c>
      <c r="Q73" s="4" t="inlineStr">
        <is>
          <t>Friendly</t>
        </is>
      </c>
      <c r="R73" s="3" t="n">
        <v>452.334</v>
      </c>
      <c r="S73" s="3" t="n">
        <v>8.44903</v>
      </c>
      <c r="T73" s="4" t="inlineStr">
        <is>
          <t>Private Equity, Going Private, Company Takeover, PE Buyout</t>
        </is>
      </c>
      <c r="U73" s="2" t="inlineStr">
        <is>
          <t>No</t>
        </is>
      </c>
      <c r="V73" s="2" t="inlineStr">
        <is>
          <t>No</t>
        </is>
      </c>
      <c r="W73" s="2" t="inlineStr">
        <is>
          <t>No</t>
        </is>
      </c>
      <c r="X73" s="2" t="inlineStr">
        <is>
          <t>Yes</t>
        </is>
      </c>
      <c r="Y73" s="2" t="inlineStr">
        <is>
          <t>Yes</t>
        </is>
      </c>
      <c r="Z73" s="2" t="inlineStr">
        <is>
          <t>No</t>
        </is>
      </c>
      <c r="AA73" s="6" t="n">
        <v>2.868126973</v>
      </c>
      <c r="AB73" s="6" t="n">
        <v>2.655459233</v>
      </c>
      <c r="AC73" s="6" t="n">
        <v>2.5076805</v>
      </c>
      <c r="AD73">
        <f t="array" ref="AD73">IF(SUMPRODUCT(--($AM$2:$AM$112=TRIM(LEFT($B73,IFERROR(FIND(" ",$B73)-1,LEN($B73))))))&gt;0,1,0)</f>
        <v/>
      </c>
      <c r="AE73">
        <f t="array" ref="AE73">IF(SUMPRODUCT(--($AO$2:$AO$145=TRIM(LEFT($B73,IFERROR(FIND(" ",$B73)-1,LEN($B73))))))&gt;0,1,0)</f>
        <v/>
      </c>
      <c r="AF73">
        <f t="array" ref="AF73">IF(SUMPRODUCT(--($AQ$2:$AQ$71=TRIM(LEFT($B73,IFERROR(FIND(" ",$B73)-1,LEN($B73))))))&gt;0,1,0)</f>
        <v/>
      </c>
      <c r="AL73" t="inlineStr">
        <is>
          <t>VAR / Sieme</t>
        </is>
      </c>
      <c r="AM73">
        <f>TRIM(LEFT(AL73,FIND("/",AL73)-1))</f>
        <v/>
      </c>
      <c r="AN73" t="inlineStr">
        <is>
          <t>CATM / Apoll</t>
        </is>
      </c>
      <c r="AO73">
        <f>TRIM(LEFT(AN73,FIND("/",AN73)-1))</f>
        <v/>
      </c>
    </row>
    <row r="74" ht="165.75" customHeight="1" thickBot="1">
      <c r="A74" s="13" t="n">
        <v>82</v>
      </c>
      <c r="B74" s="4" t="inlineStr">
        <is>
          <t>DNTL CN</t>
        </is>
      </c>
      <c r="C74" s="4" t="inlineStr">
        <is>
          <t>26026Z US</t>
        </is>
      </c>
      <c r="D74" s="7" t="n">
        <v>45926</v>
      </c>
      <c r="E74" s="3" t="n">
        <v>2528.55</v>
      </c>
      <c r="F74" s="4" t="inlineStr">
        <is>
          <t>Cash</t>
        </is>
      </c>
      <c r="G74" s="3" t="n">
        <v>13.69</v>
      </c>
      <c r="H74" s="4" t="inlineStr">
        <is>
          <t>Health Care</t>
        </is>
      </c>
      <c r="I74" s="4" t="inlineStr">
        <is>
          <t>Health Care</t>
        </is>
      </c>
      <c r="J74" s="4" t="inlineStr">
        <is>
          <t>Health Care Facilities &amp; Svcs</t>
        </is>
      </c>
      <c r="K74" s="4" t="n"/>
      <c r="L74" s="4" t="n"/>
      <c r="M74" s="3" t="n">
        <v>33.79</v>
      </c>
      <c r="N74" s="3" t="n">
        <v>1578.87</v>
      </c>
      <c r="O74" s="4" t="inlineStr">
        <is>
          <t>Canada</t>
        </is>
      </c>
      <c r="P74" s="4" t="inlineStr">
        <is>
          <t>United States</t>
        </is>
      </c>
      <c r="Q74" s="4" t="inlineStr">
        <is>
          <t>Friendly</t>
        </is>
      </c>
      <c r="R74" s="3" t="n">
        <v>1127.98</v>
      </c>
      <c r="S74" s="3" t="n">
        <v>5.11972</v>
      </c>
      <c r="T74" s="4" t="inlineStr">
        <is>
          <t>PE Buyout, Cross Border, Private Equity, Company Takeover, Going Private</t>
        </is>
      </c>
      <c r="U74" s="2" t="inlineStr">
        <is>
          <t>No</t>
        </is>
      </c>
      <c r="V74" s="2" t="inlineStr">
        <is>
          <t>No</t>
        </is>
      </c>
      <c r="W74" s="2" t="inlineStr">
        <is>
          <t>Yes</t>
        </is>
      </c>
      <c r="X74" s="2" t="inlineStr">
        <is>
          <t>Yes</t>
        </is>
      </c>
      <c r="Y74" s="2" t="inlineStr">
        <is>
          <t>Yes</t>
        </is>
      </c>
      <c r="Z74" s="2" t="inlineStr">
        <is>
          <t>No</t>
        </is>
      </c>
      <c r="AA74" s="6" t="n">
        <v>3.402871546</v>
      </c>
      <c r="AB74" s="6" t="n">
        <v>3.052301399</v>
      </c>
      <c r="AC74" s="6" t="n">
        <v>3.198346373</v>
      </c>
      <c r="AD74">
        <f t="array" ref="AD74">IF(SUMPRODUCT(--($AM$2:$AM$112=TRIM(LEFT($B74,IFERROR(FIND(" ",$B74)-1,LEN($B74))))))&gt;0,1,0)</f>
        <v/>
      </c>
      <c r="AE74">
        <f t="array" ref="AE74">IF(SUMPRODUCT(--($AO$2:$AO$145=TRIM(LEFT($B74,IFERROR(FIND(" ",$B74)-1,LEN($B74))))))&gt;0,1,0)</f>
        <v/>
      </c>
      <c r="AF74">
        <f t="array" ref="AF74">IF(SUMPRODUCT(--($AQ$2:$AQ$71=TRIM(LEFT($B74,IFERROR(FIND(" ",$B74)-1,LEN($B74))))))&gt;0,1,0)</f>
        <v/>
      </c>
      <c r="AL74" t="inlineStr">
        <is>
          <t>MXIM / Analo</t>
        </is>
      </c>
      <c r="AM74">
        <f>TRIM(LEFT(AL74,FIND("/",AL74)-1))</f>
        <v/>
      </c>
      <c r="AN74" t="inlineStr">
        <is>
          <t>ALXN / Astra</t>
        </is>
      </c>
      <c r="AO74">
        <f>TRIM(LEFT(AN74,FIND("/",AN74)-1))</f>
        <v/>
      </c>
    </row>
    <row r="75" ht="45.75" customHeight="1" thickBot="1">
      <c r="A75" s="13" t="n">
        <v>80</v>
      </c>
      <c r="B75" s="4" t="inlineStr">
        <is>
          <t>HOUS US</t>
        </is>
      </c>
      <c r="C75" s="4" t="inlineStr">
        <is>
          <t>COMP US</t>
        </is>
      </c>
      <c r="D75" s="7" t="n">
        <v>45922</v>
      </c>
      <c r="E75" s="3" t="n">
        <v>4578.62</v>
      </c>
      <c r="F75" s="4" t="inlineStr">
        <is>
          <t>Stock</t>
        </is>
      </c>
      <c r="G75" s="3" t="n">
        <v>13.96</v>
      </c>
      <c r="H75" s="4" t="inlineStr">
        <is>
          <t>Real Estate</t>
        </is>
      </c>
      <c r="I75" s="4" t="inlineStr">
        <is>
          <t>Real Estate</t>
        </is>
      </c>
      <c r="J75" s="4" t="inlineStr">
        <is>
          <t>Real Estate Services</t>
        </is>
      </c>
      <c r="K75" s="4" t="n"/>
      <c r="L75" s="4" t="n"/>
      <c r="M75" s="3" t="n">
        <v>105.45</v>
      </c>
      <c r="N75" s="3" t="n">
        <v>1496.62</v>
      </c>
      <c r="O75" s="4" t="inlineStr">
        <is>
          <t>United States</t>
        </is>
      </c>
      <c r="P75" s="4" t="inlineStr">
        <is>
          <t>United States</t>
        </is>
      </c>
      <c r="Q75" s="4" t="inlineStr">
        <is>
          <t>Friendly</t>
        </is>
      </c>
      <c r="R75" s="3" t="n">
        <v>5692</v>
      </c>
      <c r="S75" s="3" t="n">
        <v>0.221314</v>
      </c>
      <c r="T75" s="4" t="inlineStr">
        <is>
          <t>Company Takeover</t>
        </is>
      </c>
      <c r="U75" s="2" t="inlineStr">
        <is>
          <t>No</t>
        </is>
      </c>
      <c r="V75" s="2" t="inlineStr">
        <is>
          <t>No</t>
        </is>
      </c>
      <c r="W75" s="2" t="inlineStr">
        <is>
          <t>No</t>
        </is>
      </c>
      <c r="X75" s="2" t="inlineStr">
        <is>
          <t>No</t>
        </is>
      </c>
      <c r="Y75" s="2" t="inlineStr">
        <is>
          <t>No</t>
        </is>
      </c>
      <c r="Z75" s="2" t="inlineStr">
        <is>
          <t>No</t>
        </is>
      </c>
      <c r="AA75" s="6" t="n">
        <v>3.660734601</v>
      </c>
      <c r="AB75" s="6" t="n">
        <v>3.755264891</v>
      </c>
      <c r="AC75" s="6" t="n">
        <v>3.175111545</v>
      </c>
      <c r="AD75">
        <f t="array" ref="AD75">IF(SUMPRODUCT(--($AM$2:$AM$112=TRIM(LEFT($B75,IFERROR(FIND(" ",$B75)-1,LEN($B75))))))&gt;0,1,0)</f>
        <v/>
      </c>
      <c r="AE75">
        <f t="array" ref="AE75">IF(SUMPRODUCT(--($AO$2:$AO$145=TRIM(LEFT($B75,IFERROR(FIND(" ",$B75)-1,LEN($B75))))))&gt;0,1,0)</f>
        <v/>
      </c>
      <c r="AF75">
        <f t="array" ref="AF75">IF(SUMPRODUCT(--($AQ$2:$AQ$71=TRIM(LEFT($B75,IFERROR(FIND(" ",$B75)-1,LEN($B75))))))&gt;0,1,0)</f>
        <v/>
      </c>
      <c r="AL75" t="inlineStr">
        <is>
          <t>BITA / Tence</t>
        </is>
      </c>
      <c r="AM75">
        <f>TRIM(LEFT(AL75,FIND("/",AL75)-1))</f>
        <v/>
      </c>
      <c r="AN75" t="inlineStr">
        <is>
          <t xml:space="preserve">INFO / S&amp;P </t>
        </is>
      </c>
      <c r="AO75">
        <f>TRIM(LEFT(AN75,FIND("/",AN75)-1))</f>
        <v/>
      </c>
    </row>
    <row r="76" ht="105.75" customHeight="1" thickBot="1">
      <c r="A76" s="13" t="n">
        <v>40</v>
      </c>
      <c r="B76" s="4" t="inlineStr">
        <is>
          <t>CDTX US</t>
        </is>
      </c>
      <c r="C76" s="4" t="inlineStr">
        <is>
          <t>MRK US</t>
        </is>
      </c>
      <c r="D76" s="7" t="n">
        <v>45975</v>
      </c>
      <c r="E76" s="3" t="n">
        <v>6672.15</v>
      </c>
      <c r="F76" s="4" t="inlineStr">
        <is>
          <t>Cash</t>
        </is>
      </c>
      <c r="G76" s="4" t="n"/>
      <c r="H76" s="4" t="inlineStr">
        <is>
          <t>Health Care</t>
        </is>
      </c>
      <c r="I76" s="4" t="inlineStr">
        <is>
          <t>Health Care</t>
        </is>
      </c>
      <c r="J76" s="4" t="inlineStr">
        <is>
          <t>Biotech &amp; Pharma</t>
        </is>
      </c>
      <c r="K76" s="4" t="n"/>
      <c r="L76" s="4" t="n"/>
      <c r="M76" s="3" t="n">
        <v>116.01</v>
      </c>
      <c r="N76" s="3" t="n">
        <v>6963.82</v>
      </c>
      <c r="O76" s="4" t="inlineStr">
        <is>
          <t>United States</t>
        </is>
      </c>
      <c r="P76" s="4" t="inlineStr">
        <is>
          <t>United States</t>
        </is>
      </c>
      <c r="Q76" s="4" t="inlineStr">
        <is>
          <t>Friendly</t>
        </is>
      </c>
      <c r="R76" s="3" t="n">
        <v>1.275</v>
      </c>
      <c r="S76" s="2" t="n"/>
      <c r="T76" s="4" t="inlineStr">
        <is>
          <t>Company Takeover, Tender Offer, Squeeze out</t>
        </is>
      </c>
      <c r="U76" s="2" t="inlineStr">
        <is>
          <t>No</t>
        </is>
      </c>
      <c r="V76" s="2" t="inlineStr">
        <is>
          <t>No</t>
        </is>
      </c>
      <c r="W76" s="2" t="inlineStr">
        <is>
          <t>No</t>
        </is>
      </c>
      <c r="X76" s="2" t="inlineStr">
        <is>
          <t>No</t>
        </is>
      </c>
      <c r="Y76" s="2" t="inlineStr">
        <is>
          <t>No</t>
        </is>
      </c>
      <c r="Z76" s="2" t="inlineStr">
        <is>
          <t>Yes</t>
        </is>
      </c>
      <c r="AA76" s="6" t="n">
        <v>3.824265801</v>
      </c>
      <c r="AB76" s="6" t="n">
        <v>0.1055101848</v>
      </c>
      <c r="AC76" s="6" t="n">
        <v>3.842847537</v>
      </c>
      <c r="AD76">
        <f t="array" ref="AD76">IF(SUMPRODUCT(--($AM$2:$AM$112=TRIM(LEFT($B76,IFERROR(FIND(" ",$B76)-1,LEN($B76))))))&gt;0,1,0)</f>
        <v/>
      </c>
      <c r="AE76">
        <f t="array" ref="AE76">IF(SUMPRODUCT(--($AO$2:$AO$145=TRIM(LEFT($B76,IFERROR(FIND(" ",$B76)-1,LEN($B76))))))&gt;0,1,0)</f>
        <v/>
      </c>
      <c r="AF76">
        <f t="array" ref="AF76">IF(SUMPRODUCT(--($AQ$2:$AQ$71=TRIM(LEFT($B76,IFERROR(FIND(" ",$B76)-1,LEN($B76))))))&gt;0,1,0)</f>
        <v/>
      </c>
      <c r="AL76" t="inlineStr">
        <is>
          <t>WLTW / Aon P</t>
        </is>
      </c>
      <c r="AM76">
        <f>TRIM(LEFT(AL76,FIND("/",AL76)-1))</f>
        <v/>
      </c>
      <c r="AN76" t="inlineStr">
        <is>
          <t>DII.B / Cerbe</t>
        </is>
      </c>
      <c r="AO76">
        <f>TRIM(LEFT(AN76,FIND("/",AN76)-1))</f>
        <v/>
      </c>
    </row>
    <row r="77" ht="45.75" customHeight="1" thickBot="1">
      <c r="A77" s="13" t="n">
        <v>117</v>
      </c>
      <c r="B77" s="4" t="inlineStr">
        <is>
          <t>SNV US</t>
        </is>
      </c>
      <c r="C77" s="4" t="inlineStr">
        <is>
          <t>PNFP US</t>
        </is>
      </c>
      <c r="D77" s="7" t="n">
        <v>45862</v>
      </c>
      <c r="E77" s="3" t="n">
        <v>8368.200000000001</v>
      </c>
      <c r="F77" s="4" t="inlineStr">
        <is>
          <t>Stock</t>
        </is>
      </c>
      <c r="G77" s="4" t="n"/>
      <c r="H77" s="4" t="inlineStr">
        <is>
          <t>Financials</t>
        </is>
      </c>
      <c r="I77" s="4" t="inlineStr">
        <is>
          <t>Banking</t>
        </is>
      </c>
      <c r="J77" s="4" t="inlineStr">
        <is>
          <t>Banking</t>
        </is>
      </c>
      <c r="K77" s="4" t="n"/>
      <c r="L77" s="4" t="n"/>
      <c r="M77" s="3" t="n">
        <v>10.9</v>
      </c>
      <c r="N77" s="3" t="n">
        <v>8368.200000000001</v>
      </c>
      <c r="O77" s="4" t="inlineStr">
        <is>
          <t>United States</t>
        </is>
      </c>
      <c r="P77" s="4" t="inlineStr">
        <is>
          <t>United States</t>
        </is>
      </c>
      <c r="Q77" s="4" t="inlineStr">
        <is>
          <t>Friendly</t>
        </is>
      </c>
      <c r="R77" s="3" t="n">
        <v>3433.19</v>
      </c>
      <c r="S77" s="3" t="n">
        <v>42.7881</v>
      </c>
      <c r="T77" s="4" t="inlineStr">
        <is>
          <t>Company Takeover</t>
        </is>
      </c>
      <c r="U77" s="2" t="inlineStr">
        <is>
          <t>No</t>
        </is>
      </c>
      <c r="V77" s="2" t="inlineStr">
        <is>
          <t>No</t>
        </is>
      </c>
      <c r="W77" s="2" t="inlineStr">
        <is>
          <t>No</t>
        </is>
      </c>
      <c r="X77" s="2" t="inlineStr">
        <is>
          <t>No</t>
        </is>
      </c>
      <c r="Y77" s="2" t="inlineStr">
        <is>
          <t>No</t>
        </is>
      </c>
      <c r="Z77" s="2" t="inlineStr">
        <is>
          <t>No</t>
        </is>
      </c>
      <c r="AA77" s="6" t="n">
        <v>3.922632051</v>
      </c>
      <c r="AB77" s="6" t="n">
        <v>3.535697839</v>
      </c>
      <c r="AC77" s="6" t="n">
        <v>3.922632051</v>
      </c>
      <c r="AD77">
        <f t="array" ref="AD77">IF(SUMPRODUCT(--($AM$2:$AM$112=TRIM(LEFT($B77,IFERROR(FIND(" ",$B77)-1,LEN($B77))))))&gt;0,1,0)</f>
        <v/>
      </c>
      <c r="AE77">
        <f t="array" ref="AE77">IF(SUMPRODUCT(--($AO$2:$AO$145=TRIM(LEFT($B77,IFERROR(FIND(" ",$B77)-1,LEN($B77))))))&gt;0,1,0)</f>
        <v/>
      </c>
      <c r="AF77">
        <f t="array" ref="AF77">IF(SUMPRODUCT(--($AQ$2:$AQ$71=TRIM(LEFT($B77,IFERROR(FIND(" ",$B77)-1,LEN($B77))))))&gt;0,1,0)</f>
        <v/>
      </c>
      <c r="AL77" t="inlineStr">
        <is>
          <t>DLPH / BorgW</t>
        </is>
      </c>
      <c r="AM77">
        <f>TRIM(LEFT(AL77,FIND("/",AL77)-1))</f>
        <v/>
      </c>
      <c r="AN77" t="inlineStr">
        <is>
          <t>EIGI / Clear</t>
        </is>
      </c>
      <c r="AO77">
        <f>TRIM(LEFT(AN77,FIND("/",AN77)-1))</f>
        <v/>
      </c>
    </row>
    <row r="78" ht="180.75" customHeight="1" thickBot="1">
      <c r="A78" s="13" t="n">
        <v>103</v>
      </c>
      <c r="B78" s="4" t="inlineStr">
        <is>
          <t>WOW US</t>
        </is>
      </c>
      <c r="C78" s="2" t="n"/>
      <c r="D78" s="7" t="n">
        <v>45880</v>
      </c>
      <c r="E78" s="3" t="n">
        <v>1302.27</v>
      </c>
      <c r="F78" s="4" t="inlineStr">
        <is>
          <t>Cash</t>
        </is>
      </c>
      <c r="G78" s="3" t="n">
        <v>6.59</v>
      </c>
      <c r="H78" s="4" t="inlineStr">
        <is>
          <t>Communications</t>
        </is>
      </c>
      <c r="I78" s="4" t="inlineStr">
        <is>
          <t>Media</t>
        </is>
      </c>
      <c r="J78" s="4" t="inlineStr">
        <is>
          <t>Cable &amp; Satellite</t>
        </is>
      </c>
      <c r="K78" s="4" t="n"/>
      <c r="L78" s="4" t="n"/>
      <c r="M78" s="3" t="n">
        <v>45.03</v>
      </c>
      <c r="N78" s="3" t="n">
        <v>275.57</v>
      </c>
      <c r="O78" s="4" t="inlineStr">
        <is>
          <t>United States</t>
        </is>
      </c>
      <c r="P78" s="4" t="inlineStr">
        <is>
          <t>United States</t>
        </is>
      </c>
      <c r="Q78" s="4" t="inlineStr">
        <is>
          <t>Friendly</t>
        </is>
      </c>
      <c r="R78" s="3" t="n">
        <v>630.9</v>
      </c>
      <c r="S78" s="3" t="n">
        <v>1.21869</v>
      </c>
      <c r="T78" s="4" t="inlineStr">
        <is>
          <t>Company Takeover, Private Equity, PE Buyout, Additional Stake Purchase, Going Private</t>
        </is>
      </c>
      <c r="U78" s="2" t="inlineStr">
        <is>
          <t>Yes</t>
        </is>
      </c>
      <c r="V78" s="2" t="inlineStr">
        <is>
          <t>No</t>
        </is>
      </c>
      <c r="W78" s="2" t="inlineStr">
        <is>
          <t>No</t>
        </is>
      </c>
      <c r="X78" s="2" t="inlineStr">
        <is>
          <t>Yes</t>
        </is>
      </c>
      <c r="Y78" s="2" t="inlineStr">
        <is>
          <t>Yes</t>
        </is>
      </c>
      <c r="Z78" s="2" t="inlineStr">
        <is>
          <t>No</t>
        </is>
      </c>
      <c r="AA78" s="6" t="n">
        <v>3.114701036</v>
      </c>
      <c r="AB78" s="6" t="n">
        <v>2.799960527</v>
      </c>
      <c r="AC78" s="6" t="n">
        <v>2.440231936</v>
      </c>
      <c r="AD78">
        <f t="array" ref="AD78">IF(SUMPRODUCT(--($AM$2:$AM$112=TRIM(LEFT($B78,IFERROR(FIND(" ",$B78)-1,LEN($B78))))))&gt;0,1,0)</f>
        <v/>
      </c>
      <c r="AE78">
        <f t="array" ref="AE78">IF(SUMPRODUCT(--($AO$2:$AO$145=TRIM(LEFT($B78,IFERROR(FIND(" ",$B78)-1,LEN($B78))))))&gt;0,1,0)</f>
        <v/>
      </c>
      <c r="AF78">
        <f t="array" ref="AF78">IF(SUMPRODUCT(--($AQ$2:$AQ$71=TRIM(LEFT($B78,IFERROR(FIND(" ",$B78)-1,LEN($B78))))))&gt;0,1,0)</f>
        <v/>
      </c>
      <c r="AL78" t="inlineStr">
        <is>
          <t>HXL / Woodw</t>
        </is>
      </c>
      <c r="AM78">
        <f>TRIM(LEFT(AL78,FIND("/",AL78)-1))</f>
        <v/>
      </c>
      <c r="AN78" t="inlineStr">
        <is>
          <t>XLNX / Advan</t>
        </is>
      </c>
      <c r="AO78">
        <f>TRIM(LEFT(AN78,FIND("/",AN78)-1))</f>
        <v/>
      </c>
    </row>
    <row r="79" ht="165.75" customHeight="1" thickBot="1">
      <c r="A79" s="13" t="n">
        <v>66</v>
      </c>
      <c r="B79" s="4" t="inlineStr">
        <is>
          <t>IAS US</t>
        </is>
      </c>
      <c r="C79" s="4" t="inlineStr">
        <is>
          <t>893791Z CN</t>
        </is>
      </c>
      <c r="D79" s="7" t="n">
        <v>45924</v>
      </c>
      <c r="E79" s="3" t="n">
        <v>1648.6</v>
      </c>
      <c r="F79" s="4" t="inlineStr">
        <is>
          <t>Cash</t>
        </is>
      </c>
      <c r="G79" s="3" t="n">
        <v>12.21</v>
      </c>
      <c r="H79" s="4" t="inlineStr">
        <is>
          <t>Technology</t>
        </is>
      </c>
      <c r="I79" s="4" t="inlineStr">
        <is>
          <t>Software &amp; Tech Services</t>
        </is>
      </c>
      <c r="J79" s="4" t="inlineStr">
        <is>
          <t>IT Services</t>
        </is>
      </c>
      <c r="K79" s="3" t="n">
        <v>100</v>
      </c>
      <c r="L79" s="3" t="n">
        <v>52.5</v>
      </c>
      <c r="M79" s="3" t="n">
        <v>18.8</v>
      </c>
      <c r="N79" s="3" t="n">
        <v>1711.48</v>
      </c>
      <c r="O79" s="4" t="inlineStr">
        <is>
          <t>United States</t>
        </is>
      </c>
      <c r="P79" s="4" t="inlineStr">
        <is>
          <t>Canada</t>
        </is>
      </c>
      <c r="Q79" s="4" t="inlineStr">
        <is>
          <t>Friendly</t>
        </is>
      </c>
      <c r="R79" s="3" t="n">
        <v>530.101</v>
      </c>
      <c r="S79" s="3" t="n">
        <v>10.5576</v>
      </c>
      <c r="T79" s="4" t="inlineStr">
        <is>
          <t>Company Takeover, Private Equity, PE Buyout, Going Private, Cross Border</t>
        </is>
      </c>
      <c r="U79" s="2" t="inlineStr">
        <is>
          <t>No</t>
        </is>
      </c>
      <c r="V79" s="2" t="inlineStr">
        <is>
          <t>No</t>
        </is>
      </c>
      <c r="W79" s="2" t="inlineStr">
        <is>
          <t>Yes</t>
        </is>
      </c>
      <c r="X79" s="2" t="inlineStr">
        <is>
          <t>Yes</t>
        </is>
      </c>
      <c r="Y79" s="2" t="inlineStr">
        <is>
          <t>Yes</t>
        </is>
      </c>
      <c r="Z79" s="2" t="inlineStr">
        <is>
          <t>No</t>
        </is>
      </c>
      <c r="AA79" s="6" t="n">
        <v>3.217115296</v>
      </c>
      <c r="AB79" s="6" t="n">
        <v>2.724358623</v>
      </c>
      <c r="AC79" s="6" t="n">
        <v>3.233371828</v>
      </c>
      <c r="AD79">
        <f t="array" ref="AD79">IF(SUMPRODUCT(--($AM$2:$AM$112=TRIM(LEFT($B79,IFERROR(FIND(" ",$B79)-1,LEN($B79))))))&gt;0,1,0)</f>
        <v/>
      </c>
      <c r="AE79">
        <f t="array" ref="AE79">IF(SUMPRODUCT(--($AO$2:$AO$145=TRIM(LEFT($B79,IFERROR(FIND(" ",$B79)-1,LEN($B79))))))&gt;0,1,0)</f>
        <v/>
      </c>
      <c r="AF79">
        <f t="array" ref="AF79">IF(SUMPRODUCT(--($AQ$2:$AQ$71=TRIM(LEFT($B79,IFERROR(FIND(" ",$B79)-1,LEN($B79))))))&gt;0,1,0)</f>
        <v/>
      </c>
      <c r="AL79" t="inlineStr">
        <is>
          <t>IFF / DuPon</t>
        </is>
      </c>
      <c r="AM79">
        <f>TRIM(LEFT(AL79,FIND("/",AL79)-1))</f>
        <v/>
      </c>
      <c r="AN79" t="inlineStr">
        <is>
          <t xml:space="preserve">WTRE / Arch </t>
        </is>
      </c>
      <c r="AO79">
        <f>TRIM(LEFT(AN79,FIND("/",AN79)-1))</f>
        <v/>
      </c>
    </row>
    <row r="80" ht="45.75" customHeight="1" thickBot="1">
      <c r="A80" s="13" t="n">
        <v>40</v>
      </c>
      <c r="B80" s="4" t="inlineStr">
        <is>
          <t>KEC CN</t>
        </is>
      </c>
      <c r="C80" s="4" t="inlineStr">
        <is>
          <t>2305707D CN</t>
        </is>
      </c>
      <c r="D80" s="7" t="n">
        <v>45958</v>
      </c>
      <c r="E80" s="3" t="n">
        <v>948.37</v>
      </c>
      <c r="F80" s="4" t="inlineStr">
        <is>
          <t>Cash</t>
        </is>
      </c>
      <c r="G80" s="3" t="n">
        <v>6.78</v>
      </c>
      <c r="H80" s="4" t="inlineStr">
        <is>
          <t>Energy</t>
        </is>
      </c>
      <c r="I80" s="4" t="inlineStr">
        <is>
          <t>Renewable Energy</t>
        </is>
      </c>
      <c r="J80" s="4" t="inlineStr">
        <is>
          <t>Renewable Energy</t>
        </is>
      </c>
      <c r="K80" s="4" t="n"/>
      <c r="L80" s="4" t="n"/>
      <c r="M80" s="3" t="n">
        <v>9.800000000000001</v>
      </c>
      <c r="N80" s="3" t="n">
        <v>777.89</v>
      </c>
      <c r="O80" s="4" t="inlineStr">
        <is>
          <t>Canada</t>
        </is>
      </c>
      <c r="P80" s="4" t="inlineStr">
        <is>
          <t>Canada</t>
        </is>
      </c>
      <c r="Q80" s="4" t="inlineStr">
        <is>
          <t>Friendly</t>
        </is>
      </c>
      <c r="R80" s="3" t="n">
        <v>347.084</v>
      </c>
      <c r="S80" s="3" t="n">
        <v>22.4741</v>
      </c>
      <c r="T80" s="4" t="inlineStr">
        <is>
          <t>Company Takeover</t>
        </is>
      </c>
      <c r="U80" s="2" t="inlineStr">
        <is>
          <t>No</t>
        </is>
      </c>
      <c r="V80" s="2" t="inlineStr">
        <is>
          <t>No</t>
        </is>
      </c>
      <c r="W80" s="2" t="inlineStr">
        <is>
          <t>No</t>
        </is>
      </c>
      <c r="X80" s="2" t="inlineStr">
        <is>
          <t>No</t>
        </is>
      </c>
      <c r="Y80" s="2" t="inlineStr">
        <is>
          <t>No</t>
        </is>
      </c>
      <c r="Z80" s="2" t="inlineStr">
        <is>
          <t>No</t>
        </is>
      </c>
      <c r="AA80" s="6" t="n">
        <v>2.976977807</v>
      </c>
      <c r="AB80" s="6" t="n">
        <v>2.540434594</v>
      </c>
      <c r="AC80" s="6" t="n">
        <v>2.890918189</v>
      </c>
      <c r="AD80">
        <f t="array" ref="AD80">IF(SUMPRODUCT(--($AM$2:$AM$112=TRIM(LEFT($B80,IFERROR(FIND(" ",$B80)-1,LEN($B80))))))&gt;0,1,0)</f>
        <v/>
      </c>
      <c r="AE80">
        <f t="array" ref="AE80">IF(SUMPRODUCT(--($AO$2:$AO$145=TRIM(LEFT($B80,IFERROR(FIND(" ",$B80)-1,LEN($B80))))))&gt;0,1,0)</f>
        <v/>
      </c>
      <c r="AF80">
        <f t="array" ref="AF80">IF(SUMPRODUCT(--($AQ$2:$AQ$71=TRIM(LEFT($B80,IFERROR(FIND(" ",$B80)-1,LEN($B80))))))&gt;0,1,0)</f>
        <v/>
      </c>
      <c r="AL80" t="inlineStr">
        <is>
          <t xml:space="preserve">TIF / LVMH </t>
        </is>
      </c>
      <c r="AM80">
        <f>TRIM(LEFT(AL80,FIND("/",AL80)-1))</f>
        <v/>
      </c>
      <c r="AN80" t="inlineStr">
        <is>
          <t>MVC / Barin</t>
        </is>
      </c>
      <c r="AO80">
        <f>TRIM(LEFT(AN80,FIND("/",AN80)-1))</f>
        <v/>
      </c>
    </row>
    <row r="81" ht="45.75" customHeight="1" thickBot="1">
      <c r="A81" s="13" t="n">
        <v>68</v>
      </c>
      <c r="B81" s="4" t="inlineStr">
        <is>
          <t>PGRE US</t>
        </is>
      </c>
      <c r="C81" s="4" t="inlineStr">
        <is>
          <t>RITM US</t>
        </is>
      </c>
      <c r="D81" s="7" t="n">
        <v>45917</v>
      </c>
      <c r="E81" s="3" t="n">
        <v>1454.59</v>
      </c>
      <c r="F81" s="4" t="inlineStr">
        <is>
          <t>Cash</t>
        </is>
      </c>
      <c r="G81" s="3" t="n">
        <v>3.76</v>
      </c>
      <c r="H81" s="4" t="inlineStr">
        <is>
          <t>Real Estate</t>
        </is>
      </c>
      <c r="I81" s="4" t="inlineStr">
        <is>
          <t>Real Estate</t>
        </is>
      </c>
      <c r="J81" s="4" t="inlineStr">
        <is>
          <t>REIT</t>
        </is>
      </c>
      <c r="K81" s="4" t="n"/>
      <c r="L81" s="3" t="n">
        <v>59.7</v>
      </c>
      <c r="M81" s="3" t="n">
        <v>-6.92</v>
      </c>
      <c r="N81" s="3" t="n">
        <v>1454.59</v>
      </c>
      <c r="O81" s="4" t="inlineStr">
        <is>
          <t>United States</t>
        </is>
      </c>
      <c r="P81" s="4" t="inlineStr">
        <is>
          <t>United States</t>
        </is>
      </c>
      <c r="Q81" s="4" t="inlineStr">
        <is>
          <t>Friendly</t>
        </is>
      </c>
      <c r="R81" s="3" t="n">
        <v>757.451</v>
      </c>
      <c r="S81" s="3" t="n">
        <v>13.159</v>
      </c>
      <c r="T81" s="4" t="inlineStr">
        <is>
          <t>Company Takeover</t>
        </is>
      </c>
      <c r="U81" s="2" t="inlineStr">
        <is>
          <t>No</t>
        </is>
      </c>
      <c r="V81" s="2" t="inlineStr">
        <is>
          <t>No</t>
        </is>
      </c>
      <c r="W81" s="2" t="inlineStr">
        <is>
          <t>No</t>
        </is>
      </c>
      <c r="X81" s="2" t="inlineStr">
        <is>
          <t>No</t>
        </is>
      </c>
      <c r="Y81" s="2" t="inlineStr">
        <is>
          <t>No</t>
        </is>
      </c>
      <c r="Z81" s="2" t="inlineStr">
        <is>
          <t>No</t>
        </is>
      </c>
      <c r="AA81" s="6" t="n">
        <v>3.162740598</v>
      </c>
      <c r="AB81" s="6" t="n">
        <v>2.879354543</v>
      </c>
      <c r="AC81" s="6" t="n">
        <v>3.162740598</v>
      </c>
      <c r="AD81">
        <f t="array" ref="AD81">IF(SUMPRODUCT(--($AM$2:$AM$112=TRIM(LEFT($B81,IFERROR(FIND(" ",$B81)-1,LEN($B81))))))&gt;0,1,0)</f>
        <v/>
      </c>
      <c r="AE81">
        <f t="array" ref="AE81">IF(SUMPRODUCT(--($AO$2:$AO$145=TRIM(LEFT($B81,IFERROR(FIND(" ",$B81)-1,LEN($B81))))))&gt;0,1,0)</f>
        <v/>
      </c>
      <c r="AF81">
        <f t="array" ref="AF81">IF(SUMPRODUCT(--($AQ$2:$AQ$71=TRIM(LEFT($B81,IFERROR(FIND(" ",$B81)-1,LEN($B81))))))&gt;0,1,0)</f>
        <v/>
      </c>
      <c r="AL81" t="inlineStr">
        <is>
          <t>KEM / Yageo</t>
        </is>
      </c>
      <c r="AM81">
        <f>TRIM(LEFT(AL81,FIND("/",AL81)-1))</f>
        <v/>
      </c>
      <c r="AN81" t="inlineStr">
        <is>
          <t>VAR / Sieme</t>
        </is>
      </c>
      <c r="AO81">
        <f>TRIM(LEFT(AN81,FIND("/",AN81)-1))</f>
        <v/>
      </c>
    </row>
    <row r="82" ht="45.75" customHeight="1" thickBot="1">
      <c r="A82" s="13" t="n">
        <v>70</v>
      </c>
      <c r="B82" s="4" t="inlineStr">
        <is>
          <t>BRY US</t>
        </is>
      </c>
      <c r="C82" s="4" t="inlineStr">
        <is>
          <t>CRC US</t>
        </is>
      </c>
      <c r="D82" s="7" t="n">
        <v>45915</v>
      </c>
      <c r="E82" s="3" t="n">
        <v>622.62</v>
      </c>
      <c r="F82" s="4" t="inlineStr">
        <is>
          <t>Stock</t>
        </is>
      </c>
      <c r="G82" s="3" t="n">
        <v>2.6</v>
      </c>
      <c r="H82" s="4" t="inlineStr">
        <is>
          <t>Energy</t>
        </is>
      </c>
      <c r="I82" s="4" t="inlineStr">
        <is>
          <t>Oil &amp; Gas</t>
        </is>
      </c>
      <c r="J82" s="4" t="inlineStr">
        <is>
          <t>Oil &amp; Gas Supply Chain</t>
        </is>
      </c>
      <c r="K82" s="4" t="n"/>
      <c r="L82" s="4" t="n"/>
      <c r="M82" s="3" t="n">
        <v>14.59</v>
      </c>
      <c r="N82" s="3" t="n">
        <v>277.75</v>
      </c>
      <c r="O82" s="4" t="inlineStr">
        <is>
          <t>United States</t>
        </is>
      </c>
      <c r="P82" s="4" t="inlineStr">
        <is>
          <t>United States</t>
        </is>
      </c>
      <c r="Q82" s="4" t="inlineStr">
        <is>
          <t>Friendly</t>
        </is>
      </c>
      <c r="R82" s="3" t="n">
        <v>776.501</v>
      </c>
      <c r="S82" s="3" t="n">
        <v>-9.098100000000001</v>
      </c>
      <c r="T82" s="4" t="inlineStr">
        <is>
          <t>Company Takeover</t>
        </is>
      </c>
      <c r="U82" s="2" t="inlineStr">
        <is>
          <t>No</t>
        </is>
      </c>
      <c r="V82" s="2" t="inlineStr">
        <is>
          <t>No</t>
        </is>
      </c>
      <c r="W82" s="2" t="inlineStr">
        <is>
          <t>No</t>
        </is>
      </c>
      <c r="X82" s="2" t="inlineStr">
        <is>
          <t>No</t>
        </is>
      </c>
      <c r="Y82" s="2" t="inlineStr">
        <is>
          <t>No</t>
        </is>
      </c>
      <c r="Z82" s="2" t="inlineStr">
        <is>
          <t>No</t>
        </is>
      </c>
      <c r="AA82" s="6" t="n">
        <v>2.794223067</v>
      </c>
      <c r="AB82" s="6" t="n">
        <v>2.890142019</v>
      </c>
      <c r="AC82" s="6" t="n">
        <v>2.443654068</v>
      </c>
      <c r="AD82">
        <f t="array" ref="AD82">IF(SUMPRODUCT(--($AM$2:$AM$112=TRIM(LEFT($B82,IFERROR(FIND(" ",$B82)-1,LEN($B82))))))&gt;0,1,0)</f>
        <v/>
      </c>
      <c r="AE82">
        <f t="array" ref="AE82">IF(SUMPRODUCT(--($AO$2:$AO$145=TRIM(LEFT($B82,IFERROR(FIND(" ",$B82)-1,LEN($B82))))))&gt;0,1,0)</f>
        <v/>
      </c>
      <c r="AF82">
        <f t="array" ref="AF82">IF(SUMPRODUCT(--($AQ$2:$AQ$71=TRIM(LEFT($B82,IFERROR(FIND(" ",$B82)-1,LEN($B82))))))&gt;0,1,0)</f>
        <v/>
      </c>
      <c r="AL82" t="inlineStr">
        <is>
          <t>MYL / Pfize</t>
        </is>
      </c>
      <c r="AM82">
        <f>TRIM(LEFT(AL82,FIND("/",AL82)-1))</f>
        <v/>
      </c>
      <c r="AN82" t="inlineStr">
        <is>
          <t>MXIM / Analo</t>
        </is>
      </c>
      <c r="AO82">
        <f>TRIM(LEFT(AN82,FIND("/",AN82)-1))</f>
        <v/>
      </c>
    </row>
    <row r="83" ht="165.75" customHeight="1" thickBot="1">
      <c r="A83" s="13" t="n">
        <v>421</v>
      </c>
      <c r="B83" s="4" t="inlineStr">
        <is>
          <t>ALE US</t>
        </is>
      </c>
      <c r="C83" s="2" t="n"/>
      <c r="D83" s="7" t="n">
        <v>45418</v>
      </c>
      <c r="E83" s="3" t="n">
        <v>5597.78</v>
      </c>
      <c r="F83" s="4" t="inlineStr">
        <is>
          <t>Cash</t>
        </is>
      </c>
      <c r="G83" s="3" t="n">
        <v>12.58</v>
      </c>
      <c r="H83" s="4" t="inlineStr">
        <is>
          <t>Utilities</t>
        </is>
      </c>
      <c r="I83" s="4" t="inlineStr">
        <is>
          <t>Utilities</t>
        </is>
      </c>
      <c r="J83" s="4" t="inlineStr">
        <is>
          <t>Electric Utilities</t>
        </is>
      </c>
      <c r="K83" s="4" t="n"/>
      <c r="L83" s="4" t="n"/>
      <c r="M83" s="3" t="n">
        <v>12.52</v>
      </c>
      <c r="N83" s="3" t="n">
        <v>3863.58</v>
      </c>
      <c r="O83" s="4" t="inlineStr">
        <is>
          <t>United States</t>
        </is>
      </c>
      <c r="P83" s="4" t="inlineStr">
        <is>
          <t>Canada</t>
        </is>
      </c>
      <c r="Q83" s="4" t="inlineStr">
        <is>
          <t>Friendly</t>
        </is>
      </c>
      <c r="R83" s="3" t="n">
        <v>1529.8</v>
      </c>
      <c r="S83" s="3" t="n">
        <v>9.244820000000001</v>
      </c>
      <c r="T83" s="4" t="inlineStr">
        <is>
          <t>Cross Border, Company Takeover, Going Private, PE Buyout, Private Equity</t>
        </is>
      </c>
      <c r="U83" s="2" t="inlineStr">
        <is>
          <t>No</t>
        </is>
      </c>
      <c r="V83" s="2" t="inlineStr">
        <is>
          <t>No</t>
        </is>
      </c>
      <c r="W83" s="2" t="inlineStr">
        <is>
          <t>Yes</t>
        </is>
      </c>
      <c r="X83" s="2" t="inlineStr">
        <is>
          <t>Yes</t>
        </is>
      </c>
      <c r="Y83" s="2" t="inlineStr">
        <is>
          <t>Yes</t>
        </is>
      </c>
      <c r="Z83" s="2" t="inlineStr">
        <is>
          <t>No</t>
        </is>
      </c>
      <c r="AA83" s="6" t="n">
        <v>3.748015826</v>
      </c>
      <c r="AB83" s="6" t="n">
        <v>3.184634657</v>
      </c>
      <c r="AC83" s="6" t="n">
        <v>3.586989909</v>
      </c>
      <c r="AD83">
        <f t="array" ref="AD83">IF(SUMPRODUCT(--($AM$2:$AM$112=TRIM(LEFT($B83,IFERROR(FIND(" ",$B83)-1,LEN($B83))))))&gt;0,1,0)</f>
        <v/>
      </c>
      <c r="AE83">
        <f t="array" ref="AE83">IF(SUMPRODUCT(--($AO$2:$AO$145=TRIM(LEFT($B83,IFERROR(FIND(" ",$B83)-1,LEN($B83))))))&gt;0,1,0)</f>
        <v/>
      </c>
      <c r="AF83">
        <f t="array" ref="AF83">IF(SUMPRODUCT(--($AQ$2:$AQ$71=TRIM(LEFT($B83,IFERROR(FIND(" ",$B83)-1,LEN($B83))))))&gt;0,1,0)</f>
        <v/>
      </c>
      <c r="AL83" t="inlineStr">
        <is>
          <t>MCRN / Hille</t>
        </is>
      </c>
      <c r="AM83">
        <f>TRIM(LEFT(AL83,FIND("/",AL83)-1))</f>
        <v/>
      </c>
      <c r="AN83" t="inlineStr">
        <is>
          <t>WLTW / Aon P</t>
        </is>
      </c>
      <c r="AO83">
        <f>TRIM(LEFT(AN83,FIND("/",AN83)-1))</f>
        <v/>
      </c>
    </row>
    <row r="84" ht="45.75" customHeight="1" thickBot="1">
      <c r="A84" s="13" t="n">
        <v>81</v>
      </c>
      <c r="B84" s="4" t="inlineStr">
        <is>
          <t>VTLE US</t>
        </is>
      </c>
      <c r="C84" s="4" t="inlineStr">
        <is>
          <t>CRGY US</t>
        </is>
      </c>
      <c r="D84" s="7" t="n">
        <v>45894</v>
      </c>
      <c r="E84" s="3" t="n">
        <v>3053.93</v>
      </c>
      <c r="F84" s="4" t="inlineStr">
        <is>
          <t>Stock</t>
        </is>
      </c>
      <c r="G84" s="3" t="n">
        <v>3.75</v>
      </c>
      <c r="H84" s="4" t="inlineStr">
        <is>
          <t>Energy</t>
        </is>
      </c>
      <c r="I84" s="4" t="inlineStr">
        <is>
          <t>Oil &amp; Gas</t>
        </is>
      </c>
      <c r="J84" s="4" t="inlineStr">
        <is>
          <t>Oil &amp; Gas Supply Chain</t>
        </is>
      </c>
      <c r="K84" s="3" t="n">
        <v>76.90000000000001</v>
      </c>
      <c r="L84" s="3" t="n">
        <v>22.5</v>
      </c>
      <c r="M84" s="3" t="n">
        <v>9.609999999999999</v>
      </c>
      <c r="N84" s="3" t="n">
        <v>689.11</v>
      </c>
      <c r="O84" s="4" t="inlineStr">
        <is>
          <t>United States</t>
        </is>
      </c>
      <c r="P84" s="4" t="inlineStr">
        <is>
          <t>United States</t>
        </is>
      </c>
      <c r="Q84" s="4" t="inlineStr">
        <is>
          <t>Friendly</t>
        </is>
      </c>
      <c r="R84" s="3" t="n">
        <v>1952.31</v>
      </c>
      <c r="S84" s="3" t="n">
        <v>-58.2799</v>
      </c>
      <c r="T84" s="4" t="inlineStr">
        <is>
          <t>Company Takeover</t>
        </is>
      </c>
      <c r="U84" s="2" t="inlineStr">
        <is>
          <t>No</t>
        </is>
      </c>
      <c r="V84" s="2" t="inlineStr">
        <is>
          <t>No</t>
        </is>
      </c>
      <c r="W84" s="2" t="inlineStr">
        <is>
          <t>No</t>
        </is>
      </c>
      <c r="X84" s="2" t="inlineStr">
        <is>
          <t>No</t>
        </is>
      </c>
      <c r="Y84" s="2" t="inlineStr">
        <is>
          <t>No</t>
        </is>
      </c>
      <c r="Z84" s="2" t="inlineStr">
        <is>
          <t>No</t>
        </is>
      </c>
      <c r="AA84" s="6" t="n">
        <v>3.484859078</v>
      </c>
      <c r="AB84" s="6" t="n">
        <v>3.290548779</v>
      </c>
      <c r="AC84" s="6" t="n">
        <v>2.838288552</v>
      </c>
      <c r="AD84">
        <f t="array" ref="AD84">IF(SUMPRODUCT(--($AM$2:$AM$112=TRIM(LEFT($B84,IFERROR(FIND(" ",$B84)-1,LEN($B84))))))&gt;0,1,0)</f>
        <v/>
      </c>
      <c r="AE84">
        <f t="array" ref="AE84">IF(SUMPRODUCT(--($AO$2:$AO$145=TRIM(LEFT($B84,IFERROR(FIND(" ",$B84)-1,LEN($B84))))))&gt;0,1,0)</f>
        <v/>
      </c>
      <c r="AF84">
        <f t="array" ref="AF84">IF(SUMPRODUCT(--($AQ$2:$AQ$71=TRIM(LEFT($B84,IFERROR(FIND(" ",$B84)-1,LEN($B84))))))&gt;0,1,0)</f>
        <v/>
      </c>
      <c r="AL84" t="inlineStr">
        <is>
          <t>ACIA / Cisco</t>
        </is>
      </c>
      <c r="AM84">
        <f>TRIM(LEFT(AL84,FIND("/",AL84)-1))</f>
        <v/>
      </c>
      <c r="AN84" t="inlineStr">
        <is>
          <t>LM / Frank</t>
        </is>
      </c>
      <c r="AO84">
        <f>TRIM(LEFT(AN84,FIND("/",AN84)-1))</f>
        <v/>
      </c>
    </row>
    <row r="85" ht="75.75" customHeight="1" thickBot="1">
      <c r="A85" s="13" t="n">
        <v>347</v>
      </c>
      <c r="B85" s="4" t="inlineStr">
        <is>
          <t>K US</t>
        </is>
      </c>
      <c r="C85" s="4" t="inlineStr">
        <is>
          <t>4614Z US</t>
        </is>
      </c>
      <c r="D85" s="7" t="n">
        <v>45518</v>
      </c>
      <c r="E85" s="3" t="n">
        <v>35478.03</v>
      </c>
      <c r="F85" s="4" t="inlineStr">
        <is>
          <t>Cash</t>
        </is>
      </c>
      <c r="G85" s="3" t="n">
        <v>17.21</v>
      </c>
      <c r="H85" s="4" t="inlineStr">
        <is>
          <t>Consumer Staples</t>
        </is>
      </c>
      <c r="I85" s="4" t="inlineStr">
        <is>
          <t>Consumer Staple Products</t>
        </is>
      </c>
      <c r="J85" s="4" t="inlineStr">
        <is>
          <t>Food</t>
        </is>
      </c>
      <c r="K85" s="3" t="n">
        <v>1250</v>
      </c>
      <c r="L85" s="3" t="n">
        <v>800</v>
      </c>
      <c r="M85" s="4" t="n"/>
      <c r="N85" s="3" t="n">
        <v>29249.03</v>
      </c>
      <c r="O85" s="4" t="inlineStr">
        <is>
          <t>United States</t>
        </is>
      </c>
      <c r="P85" s="4" t="inlineStr">
        <is>
          <t>United States</t>
        </is>
      </c>
      <c r="Q85" s="4" t="inlineStr">
        <is>
          <t>Friendly</t>
        </is>
      </c>
      <c r="R85" s="3" t="n">
        <v>12749</v>
      </c>
      <c r="S85" s="3" t="n">
        <v>14.6172</v>
      </c>
      <c r="T85" s="4" t="inlineStr">
        <is>
          <t>Going Private, Company Takeover</t>
        </is>
      </c>
      <c r="U85" s="2" t="inlineStr">
        <is>
          <t>No</t>
        </is>
      </c>
      <c r="V85" s="2" t="inlineStr">
        <is>
          <t>No</t>
        </is>
      </c>
      <c r="W85" s="2" t="inlineStr">
        <is>
          <t>No</t>
        </is>
      </c>
      <c r="X85" s="2" t="inlineStr">
        <is>
          <t>Yes</t>
        </is>
      </c>
      <c r="Y85" s="2" t="inlineStr">
        <is>
          <t>No</t>
        </is>
      </c>
      <c r="Z85" s="2" t="inlineStr">
        <is>
          <t>No</t>
        </is>
      </c>
      <c r="AA85" s="6" t="n">
        <v>4.549959497</v>
      </c>
      <c r="AB85" s="6" t="n">
        <v>4.105476121</v>
      </c>
      <c r="AC85" s="6" t="n">
        <v>4.466111468</v>
      </c>
      <c r="AD85">
        <f t="array" ref="AD85">IF(SUMPRODUCT(--($AM$2:$AM$112=TRIM(LEFT($B85,IFERROR(FIND(" ",$B85)-1,LEN($B85))))))&gt;0,1,0)</f>
        <v/>
      </c>
      <c r="AE85">
        <f t="array" ref="AE85">IF(SUMPRODUCT(--($AO$2:$AO$145=TRIM(LEFT($B85,IFERROR(FIND(" ",$B85)-1,LEN($B85))))))&gt;0,1,0)</f>
        <v/>
      </c>
      <c r="AF85">
        <f t="array" ref="AF85">IF(SUMPRODUCT(--($AQ$2:$AQ$71=TRIM(LEFT($B85,IFERROR(FIND(" ",$B85)-1,LEN($B85))))))&gt;0,1,0)</f>
        <v/>
      </c>
      <c r="AL85" t="inlineStr">
        <is>
          <t>AGN / AbbVi</t>
        </is>
      </c>
      <c r="AM85">
        <f>TRIM(LEFT(AL85,FIND("/",AL85)-1))</f>
        <v/>
      </c>
      <c r="AN85" t="inlineStr">
        <is>
          <t>DLPH / BorgW</t>
        </is>
      </c>
      <c r="AO85">
        <f>TRIM(LEFT(AN85,FIND("/",AN85)-1))</f>
        <v/>
      </c>
    </row>
    <row r="86" ht="135.75" customHeight="1" thickBot="1">
      <c r="A86" s="13" t="n">
        <v>59</v>
      </c>
      <c r="B86" s="4" t="inlineStr">
        <is>
          <t>ODP US</t>
        </is>
      </c>
      <c r="C86" s="4" t="inlineStr">
        <is>
          <t>743428Z US</t>
        </is>
      </c>
      <c r="D86" s="7" t="n">
        <v>45922</v>
      </c>
      <c r="E86" s="3" t="n">
        <v>1603.35</v>
      </c>
      <c r="F86" s="4" t="inlineStr">
        <is>
          <t>Cash</t>
        </is>
      </c>
      <c r="G86" s="3" t="n">
        <v>2.82</v>
      </c>
      <c r="H86" s="4" t="inlineStr">
        <is>
          <t>Consumer Discretionary</t>
        </is>
      </c>
      <c r="I86" s="4" t="inlineStr">
        <is>
          <t>Retail &amp; Whsle - Discretionary</t>
        </is>
      </c>
      <c r="J86" s="4" t="inlineStr">
        <is>
          <t>Retail - Discretionary</t>
        </is>
      </c>
      <c r="K86" s="4" t="n"/>
      <c r="L86" s="4" t="n"/>
      <c r="M86" s="3" t="n">
        <v>33.3</v>
      </c>
      <c r="N86" s="3" t="n">
        <v>842.35</v>
      </c>
      <c r="O86" s="4" t="inlineStr">
        <is>
          <t>United States</t>
        </is>
      </c>
      <c r="P86" s="4" t="inlineStr">
        <is>
          <t>United States</t>
        </is>
      </c>
      <c r="Q86" s="4" t="inlineStr">
        <is>
          <t>Friendly</t>
        </is>
      </c>
      <c r="R86" s="3" t="n">
        <v>6990</v>
      </c>
      <c r="S86" s="3" t="n">
        <v>0.474441</v>
      </c>
      <c r="T86" s="4" t="inlineStr">
        <is>
          <t>Company Takeover, Private Equity, PE Buyout, Going Private</t>
        </is>
      </c>
      <c r="U86" s="2" t="inlineStr">
        <is>
          <t>No</t>
        </is>
      </c>
      <c r="V86" s="2" t="inlineStr">
        <is>
          <t>No</t>
        </is>
      </c>
      <c r="W86" s="2" t="inlineStr">
        <is>
          <t>No</t>
        </is>
      </c>
      <c r="X86" s="2" t="inlineStr">
        <is>
          <t>Yes</t>
        </is>
      </c>
      <c r="Y86" s="2" t="inlineStr">
        <is>
          <t>Yes</t>
        </is>
      </c>
      <c r="Z86" s="2" t="inlineStr">
        <is>
          <t>No</t>
        </is>
      </c>
      <c r="AA86" s="6" t="n">
        <v>3.205028336</v>
      </c>
      <c r="AB86" s="6" t="n">
        <v>3.844477176</v>
      </c>
      <c r="AC86" s="6" t="n">
        <v>2.92549258</v>
      </c>
      <c r="AD86">
        <f t="array" ref="AD86">IF(SUMPRODUCT(--($AM$2:$AM$112=TRIM(LEFT($B86,IFERROR(FIND(" ",$B86)-1,LEN($B86))))))&gt;0,1,0)</f>
        <v/>
      </c>
      <c r="AE86">
        <f t="array" ref="AE86">IF(SUMPRODUCT(--($AO$2:$AO$145=TRIM(LEFT($B86,IFERROR(FIND(" ",$B86)-1,LEN($B86))))))&gt;0,1,0)</f>
        <v/>
      </c>
      <c r="AF86">
        <f t="array" ref="AF86">IF(SUMPRODUCT(--($AQ$2:$AQ$71=TRIM(LEFT($B86,IFERROR(FIND(" ",$B86)-1,LEN($B86))))))&gt;0,1,0)</f>
        <v/>
      </c>
      <c r="AL86" t="inlineStr">
        <is>
          <t>CY / Infin</t>
        </is>
      </c>
      <c r="AM86">
        <f>TRIM(LEFT(AL86,FIND("/",AL86)-1))</f>
        <v/>
      </c>
      <c r="AN86" t="inlineStr">
        <is>
          <t>HXL / Woodw</t>
        </is>
      </c>
      <c r="AO86">
        <f>TRIM(LEFT(AN86,FIND("/",AN86)-1))</f>
        <v/>
      </c>
    </row>
    <row r="87" ht="135.75" customHeight="1" thickBot="1">
      <c r="A87" s="13" t="n">
        <v>49</v>
      </c>
      <c r="B87" s="4" t="inlineStr">
        <is>
          <t>HSII US</t>
        </is>
      </c>
      <c r="C87" s="2" t="n"/>
      <c r="D87" s="7" t="n">
        <v>45936</v>
      </c>
      <c r="E87" s="3" t="n">
        <v>929.05</v>
      </c>
      <c r="F87" s="4" t="inlineStr">
        <is>
          <t>Cash</t>
        </is>
      </c>
      <c r="G87" s="3" t="n">
        <v>18.87</v>
      </c>
      <c r="H87" s="4" t="inlineStr">
        <is>
          <t>Industrials</t>
        </is>
      </c>
      <c r="I87" s="4" t="inlineStr">
        <is>
          <t>Industrial Services</t>
        </is>
      </c>
      <c r="J87" s="4" t="inlineStr">
        <is>
          <t>Commercial Support Services</t>
        </is>
      </c>
      <c r="K87" s="4" t="n"/>
      <c r="L87" s="3" t="n">
        <v>38.9</v>
      </c>
      <c r="M87" s="3" t="n">
        <v>18.57</v>
      </c>
      <c r="N87" s="3" t="n">
        <v>1223.44</v>
      </c>
      <c r="O87" s="4" t="inlineStr">
        <is>
          <t>United States</t>
        </is>
      </c>
      <c r="P87" s="4" t="inlineStr">
        <is>
          <t>United States</t>
        </is>
      </c>
      <c r="Q87" s="4" t="inlineStr">
        <is>
          <t>Friendly</t>
        </is>
      </c>
      <c r="R87" s="3" t="n">
        <v>1115.68</v>
      </c>
      <c r="S87" s="3" t="n">
        <v>3.0353</v>
      </c>
      <c r="T87" s="4" t="inlineStr">
        <is>
          <t>Company Takeover, Private Equity, PE Buyout, Going Private</t>
        </is>
      </c>
      <c r="U87" s="2" t="inlineStr">
        <is>
          <t>No</t>
        </is>
      </c>
      <c r="V87" s="2" t="inlineStr">
        <is>
          <t>No</t>
        </is>
      </c>
      <c r="W87" s="2" t="inlineStr">
        <is>
          <t>No</t>
        </is>
      </c>
      <c r="X87" s="2" t="inlineStr">
        <is>
          <t>Yes</t>
        </is>
      </c>
      <c r="Y87" s="2" t="inlineStr">
        <is>
          <t>Yes</t>
        </is>
      </c>
      <c r="Z87" s="2" t="inlineStr">
        <is>
          <t>No</t>
        </is>
      </c>
      <c r="AA87" s="6" t="n">
        <v>2.968039088</v>
      </c>
      <c r="AB87" s="6" t="n">
        <v>3.047539648</v>
      </c>
      <c r="AC87" s="6" t="n">
        <v>3.087582676</v>
      </c>
      <c r="AD87">
        <f t="array" ref="AD87">IF(SUMPRODUCT(--($AM$2:$AM$112=TRIM(LEFT($B87,IFERROR(FIND(" ",$B87)-1,LEN($B87))))))&gt;0,1,0)</f>
        <v/>
      </c>
      <c r="AE87">
        <f t="array" ref="AE87">IF(SUMPRODUCT(--($AO$2:$AO$145=TRIM(LEFT($B87,IFERROR(FIND(" ",$B87)-1,LEN($B87))))))&gt;0,1,0)</f>
        <v/>
      </c>
      <c r="AF87">
        <f t="array" ref="AF87">IF(SUMPRODUCT(--($AQ$2:$AQ$71=TRIM(LEFT($B87,IFERROR(FIND(" ",$B87)-1,LEN($B87))))))&gt;0,1,0)</f>
        <v/>
      </c>
      <c r="AL87" t="inlineStr">
        <is>
          <t>IR / Gardn</t>
        </is>
      </c>
      <c r="AM87">
        <f>TRIM(LEFT(AL87,FIND("/",AL87)-1))</f>
        <v/>
      </c>
      <c r="AN87" t="inlineStr">
        <is>
          <t>IFF / DuPon</t>
        </is>
      </c>
      <c r="AO87">
        <f>TRIM(LEFT(AN87,FIND("/",AN87)-1))</f>
        <v/>
      </c>
    </row>
    <row r="88" ht="75.75" customHeight="1" thickBot="1">
      <c r="A88" s="13" t="n">
        <v>45</v>
      </c>
      <c r="B88" s="4" t="inlineStr">
        <is>
          <t>AKRO US</t>
        </is>
      </c>
      <c r="C88" s="4" t="inlineStr">
        <is>
          <t>NOVOB DC</t>
        </is>
      </c>
      <c r="D88" s="7" t="n">
        <v>45939</v>
      </c>
      <c r="E88" s="3" t="n">
        <v>4457.46</v>
      </c>
      <c r="F88" s="4" t="inlineStr">
        <is>
          <t>Cash</t>
        </is>
      </c>
      <c r="G88" s="4" t="n"/>
      <c r="H88" s="4" t="inlineStr">
        <is>
          <t>Health Care</t>
        </is>
      </c>
      <c r="I88" s="4" t="inlineStr">
        <is>
          <t>Health Care</t>
        </is>
      </c>
      <c r="J88" s="4" t="inlineStr">
        <is>
          <t>Biotech &amp; Pharma</t>
        </is>
      </c>
      <c r="K88" s="4" t="n"/>
      <c r="L88" s="4" t="n"/>
      <c r="M88" s="3" t="n">
        <v>17.93</v>
      </c>
      <c r="N88" s="3" t="n">
        <v>4457.46</v>
      </c>
      <c r="O88" s="4" t="inlineStr">
        <is>
          <t>United States</t>
        </is>
      </c>
      <c r="P88" s="4" t="inlineStr">
        <is>
          <t>Denmark</t>
        </is>
      </c>
      <c r="Q88" s="4" t="inlineStr">
        <is>
          <t>Friendly</t>
        </is>
      </c>
      <c r="R88" s="2" t="n"/>
      <c r="S88" s="2" t="n"/>
      <c r="T88" s="4" t="inlineStr">
        <is>
          <t>Company Takeover, Cross Border</t>
        </is>
      </c>
      <c r="U88" s="2" t="inlineStr">
        <is>
          <t>No</t>
        </is>
      </c>
      <c r="V88" s="2" t="inlineStr">
        <is>
          <t>No</t>
        </is>
      </c>
      <c r="W88" s="2" t="inlineStr">
        <is>
          <t>Yes</t>
        </is>
      </c>
      <c r="X88" s="2" t="inlineStr">
        <is>
          <t>No</t>
        </is>
      </c>
      <c r="Y88" s="2" t="inlineStr">
        <is>
          <t>No</t>
        </is>
      </c>
      <c r="Z88" s="2" t="inlineStr">
        <is>
          <t>No</t>
        </is>
      </c>
      <c r="AA88" s="6" t="n">
        <v>3.649087455</v>
      </c>
      <c r="AB88" s="2" t="n"/>
      <c r="AC88" s="6" t="n">
        <v>3.649087455</v>
      </c>
      <c r="AD88">
        <f t="array" ref="AD88">IF(SUMPRODUCT(--($AM$2:$AM$112=TRIM(LEFT($B88,IFERROR(FIND(" ",$B88)-1,LEN($B88))))))&gt;0,1,0)</f>
        <v/>
      </c>
      <c r="AE88">
        <f t="array" ref="AE88">IF(SUMPRODUCT(--($AO$2:$AO$145=TRIM(LEFT($B88,IFERROR(FIND(" ",$B88)-1,LEN($B88))))))&gt;0,1,0)</f>
        <v/>
      </c>
      <c r="AF88">
        <f t="array" ref="AF88">IF(SUMPRODUCT(--($AQ$2:$AQ$71=TRIM(LEFT($B88,IFERROR(FIND(" ",$B88)-1,LEN($B88))))))&gt;0,1,0)</f>
        <v/>
      </c>
      <c r="AL88" t="inlineStr">
        <is>
          <t>VSM / Merck</t>
        </is>
      </c>
      <c r="AM88">
        <f>TRIM(LEFT(AL88,FIND("/",AL88)-1))</f>
        <v/>
      </c>
      <c r="AN88" t="inlineStr">
        <is>
          <t xml:space="preserve">TIF / LVMH </t>
        </is>
      </c>
      <c r="AO88">
        <f>TRIM(LEFT(AN88,FIND("/",AN88)-1))</f>
        <v/>
      </c>
    </row>
    <row r="89" ht="75.75" customHeight="1" thickBot="1">
      <c r="A89" s="13" t="n">
        <v>93</v>
      </c>
      <c r="B89" s="4" t="inlineStr">
        <is>
          <t>SCS US</t>
        </is>
      </c>
      <c r="C89" s="4" t="inlineStr">
        <is>
          <t>HNI US</t>
        </is>
      </c>
      <c r="D89" s="7" t="n">
        <v>45873</v>
      </c>
      <c r="E89" s="3" t="n">
        <v>2147.57</v>
      </c>
      <c r="F89" s="4" t="inlineStr">
        <is>
          <t>Cash and Stock</t>
        </is>
      </c>
      <c r="G89" s="3" t="n">
        <v>7.56</v>
      </c>
      <c r="H89" s="4" t="inlineStr">
        <is>
          <t>Consumer Discretionary</t>
        </is>
      </c>
      <c r="I89" s="4" t="inlineStr">
        <is>
          <t>Consumer Discretionary Products</t>
        </is>
      </c>
      <c r="J89" s="4" t="inlineStr">
        <is>
          <t>Home &amp; Office Products</t>
        </is>
      </c>
      <c r="K89" s="3" t="n">
        <v>134</v>
      </c>
      <c r="L89" s="3" t="n">
        <v>67</v>
      </c>
      <c r="M89" s="3" t="n">
        <v>76.40000000000001</v>
      </c>
      <c r="N89" s="3" t="n">
        <v>1771.67</v>
      </c>
      <c r="O89" s="4" t="inlineStr">
        <is>
          <t>United States</t>
        </is>
      </c>
      <c r="P89" s="4" t="inlineStr">
        <is>
          <t>United States</t>
        </is>
      </c>
      <c r="Q89" s="4" t="inlineStr">
        <is>
          <t>Friendly</t>
        </is>
      </c>
      <c r="R89" s="3" t="n">
        <v>3166</v>
      </c>
      <c r="S89" s="3" t="n">
        <v>3.96134</v>
      </c>
      <c r="T89" s="4" t="inlineStr">
        <is>
          <t>Company Takeover</t>
        </is>
      </c>
      <c r="U89" s="2" t="inlineStr">
        <is>
          <t>No</t>
        </is>
      </c>
      <c r="V89" s="2" t="inlineStr">
        <is>
          <t>No</t>
        </is>
      </c>
      <c r="W89" s="2" t="inlineStr">
        <is>
          <t>No</t>
        </is>
      </c>
      <c r="X89" s="2" t="inlineStr">
        <is>
          <t>No</t>
        </is>
      </c>
      <c r="Y89" s="2" t="inlineStr">
        <is>
          <t>No</t>
        </is>
      </c>
      <c r="Z89" s="2" t="inlineStr">
        <is>
          <t>No</t>
        </is>
      </c>
      <c r="AA89" s="6" t="n">
        <v>3.331947329</v>
      </c>
      <c r="AB89" s="6" t="n">
        <v>3.500510911</v>
      </c>
      <c r="AC89" s="6" t="n">
        <v>3.248382831</v>
      </c>
      <c r="AD89">
        <f t="array" ref="AD89">IF(SUMPRODUCT(--($AM$2:$AM$112=TRIM(LEFT($B89,IFERROR(FIND(" ",$B89)-1,LEN($B89))))))&gt;0,1,0)</f>
        <v/>
      </c>
      <c r="AE89">
        <f t="array" ref="AE89">IF(SUMPRODUCT(--($AO$2:$AO$145=TRIM(LEFT($B89,IFERROR(FIND(" ",$B89)-1,LEN($B89))))))&gt;0,1,0)</f>
        <v/>
      </c>
      <c r="AF89">
        <f t="array" ref="AF89">IF(SUMPRODUCT(--($AQ$2:$AQ$71=TRIM(LEFT($B89,IFERROR(FIND(" ",$B89)-1,LEN($B89))))))&gt;0,1,0)</f>
        <v/>
      </c>
      <c r="AL89" t="inlineStr">
        <is>
          <t>WBC / ZF Fr</t>
        </is>
      </c>
      <c r="AM89">
        <f>TRIM(LEFT(AL89,FIND("/",AL89)-1))</f>
        <v/>
      </c>
      <c r="AN89" t="inlineStr">
        <is>
          <t>TECD / Apoll</t>
        </is>
      </c>
      <c r="AO89">
        <f>TRIM(LEFT(AN89,FIND("/",AN89)-1))</f>
        <v/>
      </c>
    </row>
    <row r="90" ht="135.75" customHeight="1" thickBot="1">
      <c r="A90" s="13" t="n">
        <v>112</v>
      </c>
      <c r="B90" s="4" t="inlineStr">
        <is>
          <t>SSUP US</t>
        </is>
      </c>
      <c r="C90" s="2" t="n"/>
      <c r="D90" s="7" t="n">
        <v>45846</v>
      </c>
      <c r="E90" s="3" t="n">
        <v>998.8099999999999</v>
      </c>
      <c r="F90" s="4" t="inlineStr">
        <is>
          <t>Cash and Debt</t>
        </is>
      </c>
      <c r="G90" s="3" t="n">
        <v>8.4</v>
      </c>
      <c r="H90" s="4" t="inlineStr">
        <is>
          <t>Consumer Discretionary</t>
        </is>
      </c>
      <c r="I90" s="4" t="inlineStr">
        <is>
          <t>Consumer Discretionary Products</t>
        </is>
      </c>
      <c r="J90" s="4" t="inlineStr">
        <is>
          <t>Automotive</t>
        </is>
      </c>
      <c r="K90" s="4" t="n"/>
      <c r="L90" s="4" t="n"/>
      <c r="M90" s="4" t="n"/>
      <c r="N90" s="3" t="n">
        <v>559.3</v>
      </c>
      <c r="O90" s="4" t="inlineStr">
        <is>
          <t>United States</t>
        </is>
      </c>
      <c r="P90" s="4" t="inlineStr">
        <is>
          <t>United States</t>
        </is>
      </c>
      <c r="Q90" s="4" t="inlineStr">
        <is>
          <t>Friendly</t>
        </is>
      </c>
      <c r="R90" s="3" t="n">
        <v>1267.34</v>
      </c>
      <c r="S90" s="3" t="n">
        <v>-15.1409</v>
      </c>
      <c r="T90" s="4" t="inlineStr">
        <is>
          <t>Private Equity, Company Takeover, Going Private, PE Buyout</t>
        </is>
      </c>
      <c r="U90" s="2" t="inlineStr">
        <is>
          <t>No</t>
        </is>
      </c>
      <c r="V90" s="2" t="inlineStr">
        <is>
          <t>No</t>
        </is>
      </c>
      <c r="W90" s="2" t="inlineStr">
        <is>
          <t>No</t>
        </is>
      </c>
      <c r="X90" s="2" t="inlineStr">
        <is>
          <t>Yes</t>
        </is>
      </c>
      <c r="Y90" s="2" t="inlineStr">
        <is>
          <t>Yes</t>
        </is>
      </c>
      <c r="Z90" s="2" t="inlineStr">
        <is>
          <t>No</t>
        </is>
      </c>
      <c r="AA90" s="6" t="n">
        <v>2.999482882</v>
      </c>
      <c r="AB90" s="6" t="n">
        <v>3.102893142</v>
      </c>
      <c r="AC90" s="6" t="n">
        <v>2.747644819</v>
      </c>
      <c r="AD90">
        <f t="array" ref="AD90">IF(SUMPRODUCT(--($AM$2:$AM$112=TRIM(LEFT($B90,IFERROR(FIND(" ",$B90)-1,LEN($B90))))))&gt;0,1,0)</f>
        <v/>
      </c>
      <c r="AE90">
        <f t="array" ref="AE90">IF(SUMPRODUCT(--($AO$2:$AO$145=TRIM(LEFT($B90,IFERROR(FIND(" ",$B90)-1,LEN($B90))))))&gt;0,1,0)</f>
        <v/>
      </c>
      <c r="AF90">
        <f t="array" ref="AF90">IF(SUMPRODUCT(--($AQ$2:$AQ$71=TRIM(LEFT($B90,IFERROR(FIND(" ",$B90)-1,LEN($B90))))))&gt;0,1,0)</f>
        <v/>
      </c>
      <c r="AL90" t="inlineStr">
        <is>
          <t>QTNA / ON Se</t>
        </is>
      </c>
      <c r="AM90">
        <f>TRIM(LEFT(AL90,FIND("/",AL90)-1))</f>
        <v/>
      </c>
      <c r="AN90" t="inlineStr">
        <is>
          <t>FIT / Alpha</t>
        </is>
      </c>
      <c r="AO90">
        <f>TRIM(LEFT(AN90,FIND("/",AN90)-1))</f>
        <v/>
      </c>
    </row>
    <row r="91" ht="165.75" customHeight="1" thickBot="1">
      <c r="A91" s="13" t="n">
        <v>57</v>
      </c>
      <c r="B91" s="4" t="inlineStr">
        <is>
          <t>PRO US</t>
        </is>
      </c>
      <c r="C91" s="4" t="inlineStr">
        <is>
          <t>129626Z US</t>
        </is>
      </c>
      <c r="D91" s="7" t="n">
        <v>45922</v>
      </c>
      <c r="E91" s="3" t="n">
        <v>1283.49</v>
      </c>
      <c r="F91" s="4" t="inlineStr">
        <is>
          <t>Cash</t>
        </is>
      </c>
      <c r="G91" s="4" t="n"/>
      <c r="H91" s="4" t="inlineStr">
        <is>
          <t>Technology</t>
        </is>
      </c>
      <c r="I91" s="4" t="inlineStr">
        <is>
          <t>Software &amp; Tech Services</t>
        </is>
      </c>
      <c r="J91" s="4" t="inlineStr">
        <is>
          <t>Software</t>
        </is>
      </c>
      <c r="K91" s="4" t="n"/>
      <c r="L91" s="4" t="n"/>
      <c r="M91" s="3" t="n">
        <v>50.73</v>
      </c>
      <c r="N91" s="3" t="n">
        <v>1118.48</v>
      </c>
      <c r="O91" s="4" t="inlineStr">
        <is>
          <t>United States</t>
        </is>
      </c>
      <c r="P91" s="4" t="inlineStr">
        <is>
          <t>United States</t>
        </is>
      </c>
      <c r="Q91" s="4" t="inlineStr">
        <is>
          <t>Friendly</t>
        </is>
      </c>
      <c r="R91" s="3" t="n">
        <v>330.372</v>
      </c>
      <c r="S91" s="3" t="n">
        <v>-4.5089</v>
      </c>
      <c r="T91" s="4" t="inlineStr">
        <is>
          <t>Private Equity, Company Takeover, Going Private, Secondary Transaction</t>
        </is>
      </c>
      <c r="U91" s="2" t="inlineStr">
        <is>
          <t>No</t>
        </is>
      </c>
      <c r="V91" s="2" t="inlineStr">
        <is>
          <t>No</t>
        </is>
      </c>
      <c r="W91" s="2" t="inlineStr">
        <is>
          <t>No</t>
        </is>
      </c>
      <c r="X91" s="2" t="inlineStr">
        <is>
          <t>Yes</t>
        </is>
      </c>
      <c r="Y91" s="2" t="inlineStr">
        <is>
          <t>No</t>
        </is>
      </c>
      <c r="Z91" s="2" t="inlineStr">
        <is>
          <t>No</t>
        </is>
      </c>
      <c r="AA91" s="6" t="n">
        <v>3.108392489</v>
      </c>
      <c r="AB91" s="6" t="n">
        <v>2.519003232</v>
      </c>
      <c r="AC91" s="6" t="n">
        <v>3.048628223</v>
      </c>
      <c r="AD91">
        <f t="array" ref="AD91">IF(SUMPRODUCT(--($AM$2:$AM$112=TRIM(LEFT($B91,IFERROR(FIND(" ",$B91)-1,LEN($B91))))))&gt;0,1,0)</f>
        <v/>
      </c>
      <c r="AE91">
        <f t="array" ref="AE91">IF(SUMPRODUCT(--($AO$2:$AO$145=TRIM(LEFT($B91,IFERROR(FIND(" ",$B91)-1,LEN($B91))))))&gt;0,1,0)</f>
        <v/>
      </c>
      <c r="AF91">
        <f t="array" ref="AF91">IF(SUMPRODUCT(--($AQ$2:$AQ$71=TRIM(LEFT($B91,IFERROR(FIND(" ",$B91)-1,LEN($B91))))))&gt;0,1,0)</f>
        <v/>
      </c>
      <c r="AL91" t="inlineStr">
        <is>
          <t>OAK / Brook</t>
        </is>
      </c>
      <c r="AM91">
        <f>TRIM(LEFT(AL91,FIND("/",AL91)-1))</f>
        <v/>
      </c>
      <c r="AN91" t="inlineStr">
        <is>
          <t>AXE / Clayt</t>
        </is>
      </c>
      <c r="AO91">
        <f>TRIM(LEFT(AN91,FIND("/",AN91)-1))</f>
        <v/>
      </c>
    </row>
    <row r="92" ht="45.75" customHeight="1" thickBot="1">
      <c r="A92" s="13" t="n">
        <v>376</v>
      </c>
      <c r="B92" s="4" t="inlineStr">
        <is>
          <t>SPR US</t>
        </is>
      </c>
      <c r="C92" s="4" t="inlineStr">
        <is>
          <t>BA US</t>
        </is>
      </c>
      <c r="D92" s="7" t="n">
        <v>45474</v>
      </c>
      <c r="E92" s="3" t="n">
        <v>7962.46</v>
      </c>
      <c r="F92" s="4" t="inlineStr">
        <is>
          <t>Stock</t>
        </is>
      </c>
      <c r="G92" s="3" t="n">
        <v>40.62</v>
      </c>
      <c r="H92" s="4" t="inlineStr">
        <is>
          <t>Industrials</t>
        </is>
      </c>
      <c r="I92" s="4" t="inlineStr">
        <is>
          <t>Industrial Products</t>
        </is>
      </c>
      <c r="J92" s="4" t="inlineStr">
        <is>
          <t>Aerospace &amp; Defense</t>
        </is>
      </c>
      <c r="K92" s="3" t="n">
        <v>300</v>
      </c>
      <c r="L92" s="3" t="n">
        <v>150</v>
      </c>
      <c r="M92" s="3" t="n">
        <v>14.48</v>
      </c>
      <c r="N92" s="3" t="n">
        <v>4149.36</v>
      </c>
      <c r="O92" s="4" t="inlineStr">
        <is>
          <t>United States</t>
        </is>
      </c>
      <c r="P92" s="4" t="inlineStr">
        <is>
          <t>United States</t>
        </is>
      </c>
      <c r="Q92" s="4" t="inlineStr">
        <is>
          <t>Friendly</t>
        </is>
      </c>
      <c r="R92" s="3" t="n">
        <v>6316.6</v>
      </c>
      <c r="S92" s="3" t="n">
        <v>-34.2749</v>
      </c>
      <c r="T92" s="4" t="inlineStr">
        <is>
          <t>Company Takeover</t>
        </is>
      </c>
      <c r="U92" s="2" t="inlineStr">
        <is>
          <t>No</t>
        </is>
      </c>
      <c r="V92" s="2" t="inlineStr">
        <is>
          <t>No</t>
        </is>
      </c>
      <c r="W92" s="2" t="inlineStr">
        <is>
          <t>No</t>
        </is>
      </c>
      <c r="X92" s="2" t="inlineStr">
        <is>
          <t>No</t>
        </is>
      </c>
      <c r="Y92" s="2" t="inlineStr">
        <is>
          <t>No</t>
        </is>
      </c>
      <c r="Z92" s="2" t="inlineStr">
        <is>
          <t>No</t>
        </is>
      </c>
      <c r="AA92" s="6" t="n">
        <v>3.901047264</v>
      </c>
      <c r="AB92" s="6" t="n">
        <v>3.800483376</v>
      </c>
      <c r="AC92" s="6" t="n">
        <v>3.617981116</v>
      </c>
      <c r="AD92">
        <f t="array" ref="AD92">IF(SUMPRODUCT(--($AM$2:$AM$112=TRIM(LEFT($B92,IFERROR(FIND(" ",$B92)-1,LEN($B92))))))&gt;0,1,0)</f>
        <v/>
      </c>
      <c r="AE92">
        <f t="array" ref="AE92">IF(SUMPRODUCT(--($AO$2:$AO$145=TRIM(LEFT($B92,IFERROR(FIND(" ",$B92)-1,LEN($B92))))))&gt;0,1,0)</f>
        <v/>
      </c>
      <c r="AF92">
        <f t="array" ref="AF92">IF(SUMPRODUCT(--($AQ$2:$AQ$71=TRIM(LEFT($B92,IFERROR(FIND(" ",$B92)-1,LEN($B92))))))&gt;0,1,0)</f>
        <v/>
      </c>
      <c r="AL92" t="inlineStr">
        <is>
          <t>VSM / Enteg</t>
        </is>
      </c>
      <c r="AM92">
        <f>TRIM(LEFT(AL92,FIND("/",AL92)-1))</f>
        <v/>
      </c>
      <c r="AN92" t="inlineStr">
        <is>
          <t>CETV / PPF G</t>
        </is>
      </c>
      <c r="AO92">
        <f>TRIM(LEFT(AN92,FIND("/",AN92)-1))</f>
        <v/>
      </c>
    </row>
    <row r="93" ht="75.75" customHeight="1" thickBot="1">
      <c r="A93" s="13" t="n">
        <v>79</v>
      </c>
      <c r="B93" s="4" t="inlineStr">
        <is>
          <t>HBI US</t>
        </is>
      </c>
      <c r="C93" s="4" t="inlineStr">
        <is>
          <t>GIL CN</t>
        </is>
      </c>
      <c r="D93" s="7" t="n">
        <v>45882</v>
      </c>
      <c r="E93" s="3" t="n">
        <v>4518.07</v>
      </c>
      <c r="F93" s="4" t="inlineStr">
        <is>
          <t>Cash and Stock</t>
        </is>
      </c>
      <c r="G93" s="3" t="n">
        <v>16.87</v>
      </c>
      <c r="H93" s="4" t="inlineStr">
        <is>
          <t>Consumer Discretionary</t>
        </is>
      </c>
      <c r="I93" s="4" t="inlineStr">
        <is>
          <t>Consumer Discretionary Products</t>
        </is>
      </c>
      <c r="J93" s="4" t="inlineStr">
        <is>
          <t>Apparel &amp; Textile Products</t>
        </is>
      </c>
      <c r="K93" s="4" t="n"/>
      <c r="L93" s="4" t="n"/>
      <c r="M93" s="3" t="n">
        <v>34.26</v>
      </c>
      <c r="N93" s="3" t="n">
        <v>2152.75</v>
      </c>
      <c r="O93" s="4" t="inlineStr">
        <is>
          <t>United States</t>
        </is>
      </c>
      <c r="P93" s="4" t="inlineStr">
        <is>
          <t>Canada</t>
        </is>
      </c>
      <c r="Q93" s="4" t="inlineStr">
        <is>
          <t>Friendly</t>
        </is>
      </c>
      <c r="R93" s="3" t="n">
        <v>3507.44</v>
      </c>
      <c r="S93" s="3" t="n">
        <v>13.076</v>
      </c>
      <c r="T93" s="4" t="inlineStr">
        <is>
          <t>Company Takeover, Cross Border</t>
        </is>
      </c>
      <c r="U93" s="2" t="inlineStr">
        <is>
          <t>No</t>
        </is>
      </c>
      <c r="V93" s="2" t="inlineStr">
        <is>
          <t>No</t>
        </is>
      </c>
      <c r="W93" s="2" t="inlineStr">
        <is>
          <t>Yes</t>
        </is>
      </c>
      <c r="X93" s="2" t="inlineStr">
        <is>
          <t>No</t>
        </is>
      </c>
      <c r="Y93" s="2" t="inlineStr">
        <is>
          <t>No</t>
        </is>
      </c>
      <c r="Z93" s="2" t="inlineStr">
        <is>
          <t>No</t>
        </is>
      </c>
      <c r="AA93" s="6" t="n">
        <v>3.654952955</v>
      </c>
      <c r="AB93" s="6" t="n">
        <v>3.544990251</v>
      </c>
      <c r="AC93" s="6" t="n">
        <v>3.332993598</v>
      </c>
      <c r="AD93">
        <f t="array" ref="AD93">IF(SUMPRODUCT(--($AM$2:$AM$112=TRIM(LEFT($B93,IFERROR(FIND(" ",$B93)-1,LEN($B93))))))&gt;0,1,0)</f>
        <v/>
      </c>
      <c r="AE93">
        <f t="array" ref="AE93">IF(SUMPRODUCT(--($AO$2:$AO$145=TRIM(LEFT($B93,IFERROR(FIND(" ",$B93)-1,LEN($B93))))))&gt;0,1,0)</f>
        <v/>
      </c>
      <c r="AF93">
        <f t="array" ref="AF93">IF(SUMPRODUCT(--($AQ$2:$AQ$71=TRIM(LEFT($B93,IFERROR(FIND(" ",$B93)-1,LEN($B93))))))&gt;0,1,0)</f>
        <v/>
      </c>
      <c r="AL93" t="inlineStr">
        <is>
          <t>FNSR / II-VI</t>
        </is>
      </c>
      <c r="AM93">
        <f>TRIM(LEFT(AL93,FIND("/",AL93)-1))</f>
        <v/>
      </c>
      <c r="AN93" t="inlineStr">
        <is>
          <t>CISN / Plati</t>
        </is>
      </c>
      <c r="AO93">
        <f>TRIM(LEFT(AN93,FIND("/",AN93)-1))</f>
        <v/>
      </c>
    </row>
    <row r="94" ht="60.75" customHeight="1" thickBot="1">
      <c r="A94" s="13" t="n">
        <v>255</v>
      </c>
      <c r="B94" s="4" t="inlineStr">
        <is>
          <t>IPG US</t>
        </is>
      </c>
      <c r="C94" s="4" t="inlineStr">
        <is>
          <t>OMC US</t>
        </is>
      </c>
      <c r="D94" s="7" t="n">
        <v>45635</v>
      </c>
      <c r="E94" s="3" t="n">
        <v>15915.52</v>
      </c>
      <c r="F94" s="4" t="inlineStr">
        <is>
          <t>Stock</t>
        </is>
      </c>
      <c r="G94" s="3" t="n">
        <v>8</v>
      </c>
      <c r="H94" s="4" t="inlineStr">
        <is>
          <t>Communications</t>
        </is>
      </c>
      <c r="I94" s="4" t="inlineStr">
        <is>
          <t>Media</t>
        </is>
      </c>
      <c r="J94" s="4" t="inlineStr">
        <is>
          <t>Advertising &amp; Marketing</t>
        </is>
      </c>
      <c r="K94" s="3" t="n">
        <v>676</v>
      </c>
      <c r="L94" s="3" t="n">
        <v>439</v>
      </c>
      <c r="M94" s="3" t="n">
        <v>20.38</v>
      </c>
      <c r="N94" s="3" t="n">
        <v>13165.02</v>
      </c>
      <c r="O94" s="4" t="inlineStr">
        <is>
          <t>United States</t>
        </is>
      </c>
      <c r="P94" s="4" t="inlineStr">
        <is>
          <t>United States</t>
        </is>
      </c>
      <c r="Q94" s="4" t="inlineStr">
        <is>
          <t>Friendly</t>
        </is>
      </c>
      <c r="R94" s="3" t="n">
        <v>10691.7</v>
      </c>
      <c r="S94" s="3" t="n">
        <v>9.68228</v>
      </c>
      <c r="T94" s="4" t="inlineStr">
        <is>
          <t>Company Takeover</t>
        </is>
      </c>
      <c r="U94" s="2" t="inlineStr">
        <is>
          <t>No</t>
        </is>
      </c>
      <c r="V94" s="2" t="inlineStr">
        <is>
          <t>No</t>
        </is>
      </c>
      <c r="W94" s="2" t="inlineStr">
        <is>
          <t>No</t>
        </is>
      </c>
      <c r="X94" s="2" t="inlineStr">
        <is>
          <t>No</t>
        </is>
      </c>
      <c r="Y94" s="2" t="inlineStr">
        <is>
          <t>No</t>
        </is>
      </c>
      <c r="Z94" s="2" t="inlineStr">
        <is>
          <t>No</t>
        </is>
      </c>
      <c r="AA94" s="6" t="n">
        <v>4.201820833</v>
      </c>
      <c r="AB94" s="6" t="n">
        <v>4.029046764</v>
      </c>
      <c r="AC94" s="6" t="n">
        <v>4.119421523</v>
      </c>
      <c r="AD94">
        <f t="array" ref="AD94">IF(SUMPRODUCT(--($AM$2:$AM$112=TRIM(LEFT($B94,IFERROR(FIND(" ",$B94)-1,LEN($B94))))))&gt;0,1,0)</f>
        <v/>
      </c>
      <c r="AE94">
        <f t="array" ref="AE94">IF(SUMPRODUCT(--($AO$2:$AO$145=TRIM(LEFT($B94,IFERROR(FIND(" ",$B94)-1,LEN($B94))))))&gt;0,1,0)</f>
        <v/>
      </c>
      <c r="AF94">
        <f t="array" ref="AF94">IF(SUMPRODUCT(--($AQ$2:$AQ$71=TRIM(LEFT($B94,IFERROR(FIND(" ",$B94)-1,LEN($B94))))))&gt;0,1,0)</f>
        <v/>
      </c>
      <c r="AL94" t="inlineStr">
        <is>
          <t>ESIO / MKS I</t>
        </is>
      </c>
      <c r="AM94">
        <f>TRIM(LEFT(AL94,FIND("/",AL94)-1))</f>
        <v/>
      </c>
      <c r="AN94" t="inlineStr">
        <is>
          <t>DRG / Black</t>
        </is>
      </c>
      <c r="AO94">
        <f>TRIM(LEFT(AN94,FIND("/",AN94)-1))</f>
        <v/>
      </c>
    </row>
    <row r="95" ht="135.75" customHeight="1" thickBot="1">
      <c r="A95" s="13" t="n">
        <v>70</v>
      </c>
      <c r="B95" s="4" t="inlineStr">
        <is>
          <t>VRNT US</t>
        </is>
      </c>
      <c r="C95" s="4" t="inlineStr">
        <is>
          <t>129626Z US</t>
        </is>
      </c>
      <c r="D95" s="7" t="n">
        <v>45894</v>
      </c>
      <c r="E95" s="3" t="n">
        <v>1494.05</v>
      </c>
      <c r="F95" s="4" t="inlineStr">
        <is>
          <t>Cash</t>
        </is>
      </c>
      <c r="G95" s="3" t="n">
        <v>9.24</v>
      </c>
      <c r="H95" s="4" t="inlineStr">
        <is>
          <t>Technology</t>
        </is>
      </c>
      <c r="I95" s="4" t="inlineStr">
        <is>
          <t>Software &amp; Tech Services</t>
        </is>
      </c>
      <c r="J95" s="4" t="inlineStr">
        <is>
          <t>Software</t>
        </is>
      </c>
      <c r="K95" s="4" t="n"/>
      <c r="L95" s="4" t="n"/>
      <c r="M95" s="3" t="n">
        <v>0.35</v>
      </c>
      <c r="N95" s="3" t="n">
        <v>1233.29</v>
      </c>
      <c r="O95" s="4" t="inlineStr">
        <is>
          <t>United States</t>
        </is>
      </c>
      <c r="P95" s="4" t="inlineStr">
        <is>
          <t>United States</t>
        </is>
      </c>
      <c r="Q95" s="4" t="inlineStr">
        <is>
          <t>Friendly</t>
        </is>
      </c>
      <c r="R95" s="3" t="n">
        <v>909.186</v>
      </c>
      <c r="S95" s="3" t="n">
        <v>8.55777</v>
      </c>
      <c r="T95" s="4" t="inlineStr">
        <is>
          <t>PE Buyout, Company Takeover, Private Equity, Going Private</t>
        </is>
      </c>
      <c r="U95" s="2" t="inlineStr">
        <is>
          <t>No</t>
        </is>
      </c>
      <c r="V95" s="2" t="inlineStr">
        <is>
          <t>No</t>
        </is>
      </c>
      <c r="W95" s="2" t="inlineStr">
        <is>
          <t>No</t>
        </is>
      </c>
      <c r="X95" s="2" t="inlineStr">
        <is>
          <t>Yes</t>
        </is>
      </c>
      <c r="Y95" s="2" t="inlineStr">
        <is>
          <t>Yes</t>
        </is>
      </c>
      <c r="Z95" s="2" t="inlineStr">
        <is>
          <t>No</t>
        </is>
      </c>
      <c r="AA95" s="6" t="n">
        <v>3.174365132</v>
      </c>
      <c r="AB95" s="6" t="n">
        <v>2.95865274</v>
      </c>
      <c r="AC95" s="6" t="n">
        <v>3.09106521</v>
      </c>
      <c r="AD95">
        <f t="array" ref="AD95">IF(SUMPRODUCT(--($AM$2:$AM$112=TRIM(LEFT($B95,IFERROR(FIND(" ",$B95)-1,LEN($B95))))))&gt;0,1,0)</f>
        <v/>
      </c>
      <c r="AE95">
        <f t="array" ref="AE95">IF(SUMPRODUCT(--($AO$2:$AO$145=TRIM(LEFT($B95,IFERROR(FIND(" ",$B95)-1,LEN($B95))))))&gt;0,1,0)</f>
        <v/>
      </c>
      <c r="AF95">
        <f t="array" ref="AF95">IF(SUMPRODUCT(--($AQ$2:$AQ$71=TRIM(LEFT($B95,IFERROR(FIND(" ",$B95)-1,LEN($B95))))))&gt;0,1,0)</f>
        <v/>
      </c>
      <c r="AL95" t="inlineStr">
        <is>
          <t>MPMQ / SJL P</t>
        </is>
      </c>
      <c r="AM95">
        <f>TRIM(LEFT(AL95,FIND("/",AL95)-1))</f>
        <v/>
      </c>
      <c r="AN95" t="inlineStr">
        <is>
          <t>CBM / Permi</t>
        </is>
      </c>
      <c r="AO95">
        <f>TRIM(LEFT(AN95,FIND("/",AN95)-1))</f>
        <v/>
      </c>
    </row>
    <row r="96" ht="135.75" customHeight="1" thickBot="1">
      <c r="A96" s="13" t="n">
        <v>48</v>
      </c>
      <c r="B96" s="4" t="inlineStr">
        <is>
          <t>PINC US</t>
        </is>
      </c>
      <c r="C96" s="4" t="inlineStr">
        <is>
          <t>1822748D US</t>
        </is>
      </c>
      <c r="D96" s="7" t="n">
        <v>45922</v>
      </c>
      <c r="E96" s="3" t="n">
        <v>2539.68</v>
      </c>
      <c r="F96" s="4" t="inlineStr">
        <is>
          <t>Cash</t>
        </is>
      </c>
      <c r="G96" s="3" t="n">
        <v>20.12</v>
      </c>
      <c r="H96" s="4" t="inlineStr">
        <is>
          <t>Health Care</t>
        </is>
      </c>
      <c r="I96" s="4" t="inlineStr">
        <is>
          <t>Health Care</t>
        </is>
      </c>
      <c r="J96" s="4" t="inlineStr">
        <is>
          <t>Health Care Facilities &amp; Svcs</t>
        </is>
      </c>
      <c r="K96" s="4" t="n"/>
      <c r="L96" s="4" t="n"/>
      <c r="M96" s="3" t="n">
        <v>7.66</v>
      </c>
      <c r="N96" s="3" t="n">
        <v>2332.03</v>
      </c>
      <c r="O96" s="4" t="inlineStr">
        <is>
          <t>United States</t>
        </is>
      </c>
      <c r="P96" s="4" t="inlineStr">
        <is>
          <t>United States</t>
        </is>
      </c>
      <c r="Q96" s="4" t="inlineStr">
        <is>
          <t>Friendly</t>
        </is>
      </c>
      <c r="R96" s="2" t="n"/>
      <c r="S96" s="2" t="n"/>
      <c r="T96" s="4" t="inlineStr">
        <is>
          <t>Company Takeover, Private Equity, PE Buyout, Going Private</t>
        </is>
      </c>
      <c r="U96" s="2" t="inlineStr">
        <is>
          <t>No</t>
        </is>
      </c>
      <c r="V96" s="2" t="inlineStr">
        <is>
          <t>No</t>
        </is>
      </c>
      <c r="W96" s="2" t="inlineStr">
        <is>
          <t>No</t>
        </is>
      </c>
      <c r="X96" s="2" t="inlineStr">
        <is>
          <t>Yes</t>
        </is>
      </c>
      <c r="Y96" s="2" t="inlineStr">
        <is>
          <t>Yes</t>
        </is>
      </c>
      <c r="Z96" s="2" t="inlineStr">
        <is>
          <t>No</t>
        </is>
      </c>
      <c r="AA96" s="6" t="n">
        <v>3.404778999</v>
      </c>
      <c r="AB96" s="2" t="n"/>
      <c r="AC96" s="6" t="n">
        <v>3.367734133</v>
      </c>
      <c r="AD96">
        <f t="array" ref="AD96">IF(SUMPRODUCT(--($AM$2:$AM$112=TRIM(LEFT($B96,IFERROR(FIND(" ",$B96)-1,LEN($B96))))))&gt;0,1,0)</f>
        <v/>
      </c>
      <c r="AE96">
        <f t="array" ref="AE96">IF(SUMPRODUCT(--($AO$2:$AO$145=TRIM(LEFT($B96,IFERROR(FIND(" ",$B96)-1,LEN($B96))))))&gt;0,1,0)</f>
        <v/>
      </c>
      <c r="AF96">
        <f t="array" ref="AF96">IF(SUMPRODUCT(--($AQ$2:$AQ$71=TRIM(LEFT($B96,IFERROR(FIND(" ",$B96)-1,LEN($B96))))))&gt;0,1,0)</f>
        <v/>
      </c>
      <c r="AL96" t="inlineStr">
        <is>
          <t>IDTI / Renes</t>
        </is>
      </c>
      <c r="AM96">
        <f>TRIM(LEFT(AL96,FIND("/",AL96)-1))</f>
        <v/>
      </c>
      <c r="AN96" t="inlineStr">
        <is>
          <t>GCI / New M</t>
        </is>
      </c>
      <c r="AO96">
        <f>TRIM(LEFT(AN96,FIND("/",AN96)-1))</f>
        <v/>
      </c>
    </row>
    <row r="97" ht="105.75" customHeight="1" thickBot="1">
      <c r="A97" s="13" t="n">
        <v>55</v>
      </c>
      <c r="B97" s="4" t="inlineStr">
        <is>
          <t>VMEO US</t>
        </is>
      </c>
      <c r="C97" s="2" t="n"/>
      <c r="D97" s="7" t="n">
        <v>45910</v>
      </c>
      <c r="E97" s="3" t="n">
        <v>1227.04</v>
      </c>
      <c r="F97" s="4" t="inlineStr">
        <is>
          <t>Cash</t>
        </is>
      </c>
      <c r="G97" s="3" t="n">
        <v>60.06</v>
      </c>
      <c r="H97" s="4" t="inlineStr">
        <is>
          <t>Technology</t>
        </is>
      </c>
      <c r="I97" s="4" t="inlineStr">
        <is>
          <t>Software &amp; Tech Services</t>
        </is>
      </c>
      <c r="J97" s="4" t="inlineStr">
        <is>
          <t>Software</t>
        </is>
      </c>
      <c r="K97" s="3" t="n">
        <v>40.1</v>
      </c>
      <c r="L97" s="4" t="n"/>
      <c r="M97" s="3" t="n">
        <v>87.84</v>
      </c>
      <c r="N97" s="3" t="n">
        <v>1227.04</v>
      </c>
      <c r="O97" s="4" t="inlineStr">
        <is>
          <t>United States</t>
        </is>
      </c>
      <c r="P97" s="4" t="inlineStr">
        <is>
          <t>Italy</t>
        </is>
      </c>
      <c r="Q97" s="4" t="inlineStr">
        <is>
          <t>Friendly</t>
        </is>
      </c>
      <c r="R97" s="3" t="n">
        <v>417.006</v>
      </c>
      <c r="S97" s="3" t="n">
        <v>-1.36607</v>
      </c>
      <c r="T97" s="4" t="inlineStr">
        <is>
          <t>Company Takeover, Cross Border, Going Private</t>
        </is>
      </c>
      <c r="U97" s="2" t="inlineStr">
        <is>
          <t>No</t>
        </is>
      </c>
      <c r="V97" s="2" t="inlineStr">
        <is>
          <t>No</t>
        </is>
      </c>
      <c r="W97" s="2" t="inlineStr">
        <is>
          <t>Yes</t>
        </is>
      </c>
      <c r="X97" s="2" t="inlineStr">
        <is>
          <t>Yes</t>
        </is>
      </c>
      <c r="Y97" s="2" t="inlineStr">
        <is>
          <t>No</t>
        </is>
      </c>
      <c r="Z97" s="2" t="inlineStr">
        <is>
          <t>No</t>
        </is>
      </c>
      <c r="AA97" s="6" t="n">
        <v>3.08885872</v>
      </c>
      <c r="AB97" s="6" t="n">
        <v>2.620142304</v>
      </c>
      <c r="AC97" s="6" t="n">
        <v>3.08885872</v>
      </c>
      <c r="AD97">
        <f t="array" ref="AD97">IF(SUMPRODUCT(--($AM$2:$AM$112=TRIM(LEFT($B97,IFERROR(FIND(" ",$B97)-1,LEN($B97))))))&gt;0,1,0)</f>
        <v/>
      </c>
      <c r="AE97">
        <f t="array" ref="AE97">IF(SUMPRODUCT(--($AO$2:$AO$145=TRIM(LEFT($B97,IFERROR(FIND(" ",$B97)-1,LEN($B97))))))&gt;0,1,0)</f>
        <v/>
      </c>
      <c r="AF97">
        <f t="array" ref="AF97">IF(SUMPRODUCT(--($AQ$2:$AQ$71=TRIM(LEFT($B97,IFERROR(FIND(" ",$B97)-1,LEN($B97))))))&gt;0,1,0)</f>
        <v/>
      </c>
      <c r="AL97" t="inlineStr">
        <is>
          <t>BMS / Amcor</t>
        </is>
      </c>
      <c r="AM97">
        <f>TRIM(LEFT(AL97,FIND("/",AL97)-1))</f>
        <v/>
      </c>
      <c r="AN97" t="inlineStr">
        <is>
          <t>MYL / Pfize</t>
        </is>
      </c>
      <c r="AO97">
        <f>TRIM(LEFT(AN97,FIND("/",AN97)-1))</f>
        <v/>
      </c>
    </row>
    <row r="98" ht="135.75" customHeight="1" thickBot="1">
      <c r="A98" s="13" t="n">
        <v>387</v>
      </c>
      <c r="B98" s="4" t="inlineStr">
        <is>
          <t>SRDX US</t>
        </is>
      </c>
      <c r="C98" s="4" t="inlineStr">
        <is>
          <t>26026Z US</t>
        </is>
      </c>
      <c r="D98" s="7" t="n">
        <v>45441</v>
      </c>
      <c r="E98" s="3" t="n">
        <v>607.73</v>
      </c>
      <c r="F98" s="4" t="inlineStr">
        <is>
          <t>Cash</t>
        </is>
      </c>
      <c r="G98" s="3" t="n">
        <v>40.32</v>
      </c>
      <c r="H98" s="4" t="inlineStr">
        <is>
          <t>Health Care</t>
        </is>
      </c>
      <c r="I98" s="4" t="inlineStr">
        <is>
          <t>Health Care</t>
        </is>
      </c>
      <c r="J98" s="4" t="inlineStr">
        <is>
          <t>Medical Equipment &amp; Devices</t>
        </is>
      </c>
      <c r="K98" s="4" t="n"/>
      <c r="L98" s="4" t="n"/>
      <c r="M98" s="3" t="n">
        <v>29.69</v>
      </c>
      <c r="N98" s="3" t="n">
        <v>615.01</v>
      </c>
      <c r="O98" s="4" t="inlineStr">
        <is>
          <t>United States</t>
        </is>
      </c>
      <c r="P98" s="4" t="inlineStr">
        <is>
          <t>United States</t>
        </is>
      </c>
      <c r="Q98" s="4" t="inlineStr">
        <is>
          <t>Friendly</t>
        </is>
      </c>
      <c r="R98" s="3" t="n">
        <v>126.078</v>
      </c>
      <c r="S98" s="3" t="n">
        <v>-10.2201</v>
      </c>
      <c r="T98" s="4" t="inlineStr">
        <is>
          <t>Private Equity, PE Buyout, Company Takeover, Going Private</t>
        </is>
      </c>
      <c r="U98" s="2" t="inlineStr">
        <is>
          <t>No</t>
        </is>
      </c>
      <c r="V98" s="2" t="inlineStr">
        <is>
          <t>No</t>
        </is>
      </c>
      <c r="W98" s="2" t="inlineStr">
        <is>
          <t>No</t>
        </is>
      </c>
      <c r="X98" s="2" t="inlineStr">
        <is>
          <t>Yes</t>
        </is>
      </c>
      <c r="Y98" s="2" t="inlineStr">
        <is>
          <t>Yes</t>
        </is>
      </c>
      <c r="Z98" s="2" t="inlineStr">
        <is>
          <t>No</t>
        </is>
      </c>
      <c r="AA98" s="6" t="n">
        <v>2.783710675</v>
      </c>
      <c r="AB98" s="6" t="n">
        <v>2.100639311</v>
      </c>
      <c r="AC98" s="6" t="n">
        <v>2.788882177</v>
      </c>
      <c r="AD98">
        <f t="array" ref="AD98">IF(SUMPRODUCT(--($AM$2:$AM$112=TRIM(LEFT($B98,IFERROR(FIND(" ",$B98)-1,LEN($B98))))))&gt;0,1,0)</f>
        <v/>
      </c>
      <c r="AE98">
        <f t="array" ref="AE98">IF(SUMPRODUCT(--($AO$2:$AO$145=TRIM(LEFT($B98,IFERROR(FIND(" ",$B98)-1,LEN($B98))))))&gt;0,1,0)</f>
        <v/>
      </c>
      <c r="AF98">
        <f t="array" ref="AF98">IF(SUMPRODUCT(--($AQ$2:$AQ$71=TRIM(LEFT($B98,IFERROR(FIND(" ",$B98)-1,LEN($B98))))))&gt;0,1,0)</f>
        <v/>
      </c>
      <c r="AL98" t="inlineStr">
        <is>
          <t>USG / Gebr.</t>
        </is>
      </c>
      <c r="AM98">
        <f>TRIM(LEFT(AL98,FIND("/",AL98)-1))</f>
        <v/>
      </c>
      <c r="AN98" t="inlineStr">
        <is>
          <t>OMN / Synth</t>
        </is>
      </c>
      <c r="AO98">
        <f>TRIM(LEFT(AN98,FIND("/",AN98)-1))</f>
        <v/>
      </c>
    </row>
    <row r="99" ht="120.75" customHeight="1" thickBot="1">
      <c r="A99" s="13" t="n">
        <v>126</v>
      </c>
      <c r="B99" s="4" t="inlineStr">
        <is>
          <t>INFA US</t>
        </is>
      </c>
      <c r="C99" s="4" t="inlineStr">
        <is>
          <t>CRM US</t>
        </is>
      </c>
      <c r="D99" s="7" t="n">
        <v>45804</v>
      </c>
      <c r="E99" s="3" t="n">
        <v>8148.22</v>
      </c>
      <c r="F99" s="4" t="inlineStr">
        <is>
          <t>Cash</t>
        </is>
      </c>
      <c r="G99" s="3" t="n">
        <v>57.96</v>
      </c>
      <c r="H99" s="4" t="inlineStr">
        <is>
          <t>Technology</t>
        </is>
      </c>
      <c r="I99" s="4" t="inlineStr">
        <is>
          <t>Software &amp; Tech Services</t>
        </is>
      </c>
      <c r="J99" s="4" t="inlineStr">
        <is>
          <t>Software</t>
        </is>
      </c>
      <c r="K99" s="4" t="n"/>
      <c r="L99" s="4" t="n"/>
      <c r="M99" s="3" t="n">
        <v>29.41</v>
      </c>
      <c r="N99" s="3" t="n">
        <v>7543.1</v>
      </c>
      <c r="O99" s="4" t="inlineStr">
        <is>
          <t>United States</t>
        </is>
      </c>
      <c r="P99" s="4" t="inlineStr">
        <is>
          <t>United States</t>
        </is>
      </c>
      <c r="Q99" s="4" t="inlineStr">
        <is>
          <t>Friendly</t>
        </is>
      </c>
      <c r="R99" s="3" t="n">
        <v>1640.02</v>
      </c>
      <c r="S99" s="3" t="n">
        <v>9.413790000000001</v>
      </c>
      <c r="T99" s="4" t="inlineStr">
        <is>
          <t>Company Takeover, Additional Stake Purchase</t>
        </is>
      </c>
      <c r="U99" s="2" t="inlineStr">
        <is>
          <t>Yes</t>
        </is>
      </c>
      <c r="V99" s="2" t="inlineStr">
        <is>
          <t>No</t>
        </is>
      </c>
      <c r="W99" s="2" t="inlineStr">
        <is>
          <t>No</t>
        </is>
      </c>
      <c r="X99" s="2" t="inlineStr">
        <is>
          <t>No</t>
        </is>
      </c>
      <c r="Y99" s="2" t="inlineStr">
        <is>
          <t>No</t>
        </is>
      </c>
      <c r="Z99" s="2" t="inlineStr">
        <is>
          <t>No</t>
        </is>
      </c>
      <c r="AA99" s="6" t="n">
        <v>3.911062746</v>
      </c>
      <c r="AB99" s="6" t="n">
        <v>3.214849144</v>
      </c>
      <c r="AC99" s="6" t="n">
        <v>3.877549865</v>
      </c>
      <c r="AD99">
        <f t="array" ref="AD99">IF(SUMPRODUCT(--($AM$2:$AM$112=TRIM(LEFT($B99,IFERROR(FIND(" ",$B99)-1,LEN($B99))))))&gt;0,1,0)</f>
        <v/>
      </c>
      <c r="AE99">
        <f t="array" ref="AE99">IF(SUMPRODUCT(--($AO$2:$AO$145=TRIM(LEFT($B99,IFERROR(FIND(" ",$B99)-1,LEN($B99))))))&gt;0,1,0)</f>
        <v/>
      </c>
      <c r="AF99">
        <f t="array" ref="AF99">IF(SUMPRODUCT(--($AQ$2:$AQ$71=TRIM(LEFT($B99,IFERROR(FIND(" ",$B99)-1,LEN($B99))))))&gt;0,1,0)</f>
        <v/>
      </c>
      <c r="AL99" t="inlineStr">
        <is>
          <t>ORBK / KLA-T</t>
        </is>
      </c>
      <c r="AM99">
        <f>TRIM(LEFT(AL99,FIND("/",AL99)-1))</f>
        <v/>
      </c>
      <c r="AN99" t="inlineStr">
        <is>
          <t>GWR / Brook</t>
        </is>
      </c>
      <c r="AO99">
        <f>TRIM(LEFT(AN99,FIND("/",AN99)-1))</f>
        <v/>
      </c>
    </row>
    <row r="100" ht="45.75" customHeight="1" thickBot="1">
      <c r="A100" s="13" t="n">
        <v>62</v>
      </c>
      <c r="B100" s="4" t="inlineStr">
        <is>
          <t>MEG CN</t>
        </is>
      </c>
      <c r="C100" s="4" t="inlineStr">
        <is>
          <t>CVE CN</t>
        </is>
      </c>
      <c r="D100" s="7" t="n">
        <v>45891</v>
      </c>
      <c r="E100" s="3" t="n">
        <v>6145.19</v>
      </c>
      <c r="F100" s="4" t="inlineStr">
        <is>
          <t>Cash or Stock</t>
        </is>
      </c>
      <c r="G100" s="3" t="n">
        <v>5.68</v>
      </c>
      <c r="H100" s="4" t="inlineStr">
        <is>
          <t>Energy</t>
        </is>
      </c>
      <c r="I100" s="4" t="inlineStr">
        <is>
          <t>Oil &amp; Gas</t>
        </is>
      </c>
      <c r="J100" s="4" t="inlineStr">
        <is>
          <t>Oil &amp; Gas Supply Chain</t>
        </is>
      </c>
      <c r="K100" s="4" t="n"/>
      <c r="L100" s="4" t="n"/>
      <c r="M100" s="3" t="n">
        <v>3.65</v>
      </c>
      <c r="N100" s="3" t="n">
        <v>5527.74</v>
      </c>
      <c r="O100" s="4" t="inlineStr">
        <is>
          <t>Canada</t>
        </is>
      </c>
      <c r="P100" s="4" t="inlineStr">
        <is>
          <t>Canada</t>
        </is>
      </c>
      <c r="Q100" s="4" t="inlineStr">
        <is>
          <t>Friendly</t>
        </is>
      </c>
      <c r="R100" s="3" t="n">
        <v>3758.96</v>
      </c>
      <c r="S100" s="3" t="n">
        <v>19.9199</v>
      </c>
      <c r="T100" s="4" t="inlineStr">
        <is>
          <t>Company Takeover</t>
        </is>
      </c>
      <c r="U100" s="2" t="inlineStr">
        <is>
          <t>No</t>
        </is>
      </c>
      <c r="V100" s="2" t="inlineStr">
        <is>
          <t>No</t>
        </is>
      </c>
      <c r="W100" s="2" t="inlineStr">
        <is>
          <t>No</t>
        </is>
      </c>
      <c r="X100" s="2" t="inlineStr">
        <is>
          <t>No</t>
        </is>
      </c>
      <c r="Y100" s="2" t="inlineStr">
        <is>
          <t>No</t>
        </is>
      </c>
      <c r="Z100" s="2" t="inlineStr">
        <is>
          <t>No</t>
        </is>
      </c>
      <c r="AA100" s="6" t="n">
        <v>3.788535315</v>
      </c>
      <c r="AB100" s="6" t="n">
        <v>3.575067704</v>
      </c>
      <c r="AC100" s="6" t="n">
        <v>3.742547608</v>
      </c>
      <c r="AD100">
        <f t="array" ref="AD100">IF(SUMPRODUCT(--($AM$2:$AM$112=TRIM(LEFT($B100,IFERROR(FIND(" ",$B100)-1,LEN($B100))))))&gt;0,1,0)</f>
        <v/>
      </c>
      <c r="AE100">
        <f t="array" ref="AE100">IF(SUMPRODUCT(--($AO$2:$AO$145=TRIM(LEFT($B100,IFERROR(FIND(" ",$B100)-1,LEN($B100))))))&gt;0,1,0)</f>
        <v/>
      </c>
      <c r="AF100">
        <f t="array" ref="AF100">IF(SUMPRODUCT(--($AQ$2:$AQ$71=TRIM(LEFT($B100,IFERROR(FIND(" ",$B100)-1,LEN($B100))))))&gt;0,1,0)</f>
        <v/>
      </c>
      <c r="AL100" t="inlineStr">
        <is>
          <t>OCLR / Lumen</t>
        </is>
      </c>
      <c r="AM100">
        <f>TRIM(LEFT(AL100,FIND("/",AL100)-1))</f>
        <v/>
      </c>
      <c r="AN100" t="inlineStr">
        <is>
          <t>TRZ / Air C</t>
        </is>
      </c>
      <c r="AO100">
        <f>TRIM(LEFT(AN100,FIND("/",AN100)-1))</f>
        <v/>
      </c>
    </row>
    <row r="101" ht="90.75" customHeight="1" thickBot="1">
      <c r="A101" s="13" t="n">
        <v>40</v>
      </c>
      <c r="B101" s="4" t="inlineStr">
        <is>
          <t>MTSR US</t>
        </is>
      </c>
      <c r="C101" s="4" t="inlineStr">
        <is>
          <t>PFE US</t>
        </is>
      </c>
      <c r="D101" s="7" t="n">
        <v>45922</v>
      </c>
      <c r="E101" s="3" t="n">
        <v>6539.2</v>
      </c>
      <c r="F101" s="4" t="inlineStr">
        <is>
          <t>Cash</t>
        </is>
      </c>
      <c r="G101" s="4" t="n"/>
      <c r="H101" s="4" t="inlineStr">
        <is>
          <t>Health Care</t>
        </is>
      </c>
      <c r="I101" s="4" t="inlineStr">
        <is>
          <t>Health Care</t>
        </is>
      </c>
      <c r="J101" s="4" t="inlineStr">
        <is>
          <t>Biotech &amp; Pharma</t>
        </is>
      </c>
      <c r="K101" s="4" t="n"/>
      <c r="L101" s="3" t="n">
        <v>265</v>
      </c>
      <c r="M101" s="3" t="n">
        <v>13.97</v>
      </c>
      <c r="N101" s="3" t="n">
        <v>6891.64</v>
      </c>
      <c r="O101" s="4" t="inlineStr">
        <is>
          <t>United States</t>
        </is>
      </c>
      <c r="P101" s="4" t="inlineStr">
        <is>
          <t>United States</t>
        </is>
      </c>
      <c r="Q101" s="4" t="inlineStr">
        <is>
          <t>Friendly</t>
        </is>
      </c>
      <c r="R101" s="2" t="n"/>
      <c r="S101" s="2" t="n"/>
      <c r="T101" s="4" t="inlineStr">
        <is>
          <t>Company Takeover, Competing Bid</t>
        </is>
      </c>
      <c r="U101" s="2" t="inlineStr">
        <is>
          <t>No</t>
        </is>
      </c>
      <c r="V101" s="2" t="inlineStr">
        <is>
          <t>Yes</t>
        </is>
      </c>
      <c r="W101" s="2" t="inlineStr">
        <is>
          <t>No</t>
        </is>
      </c>
      <c r="X101" s="2" t="inlineStr">
        <is>
          <t>No</t>
        </is>
      </c>
      <c r="Y101" s="2" t="inlineStr">
        <is>
          <t>No</t>
        </is>
      </c>
      <c r="Z101" s="2" t="inlineStr">
        <is>
          <t>No</t>
        </is>
      </c>
      <c r="AA101" s="6" t="n">
        <v>3.81552462</v>
      </c>
      <c r="AB101" s="2" t="n"/>
      <c r="AC101" s="6" t="n">
        <v>3.838322583</v>
      </c>
      <c r="AD101">
        <f t="array" ref="AD101">IF(SUMPRODUCT(--($AM$2:$AM$112=TRIM(LEFT($B101,IFERROR(FIND(" ",$B101)-1,LEN($B101))))))&gt;0,1,0)</f>
        <v/>
      </c>
      <c r="AE101">
        <f t="array" ref="AE101">IF(SUMPRODUCT(--($AO$2:$AO$145=TRIM(LEFT($B101,IFERROR(FIND(" ",$B101)-1,LEN($B101))))))&gt;0,1,0)</f>
        <v/>
      </c>
      <c r="AF101">
        <f t="array" ref="AF101">IF(SUMPRODUCT(--($AQ$2:$AQ$71=TRIM(LEFT($B101,IFERROR(FIND(" ",$B101)-1,LEN($B101))))))&gt;0,1,0)</f>
        <v/>
      </c>
      <c r="AL101" t="inlineStr">
        <is>
          <t>MSCC / Micro</t>
        </is>
      </c>
      <c r="AM101">
        <f>TRIM(LEFT(AL101,FIND("/",AL101)-1))</f>
        <v/>
      </c>
      <c r="AN101" t="inlineStr">
        <is>
          <t>AGN / AbbVi</t>
        </is>
      </c>
      <c r="AO101">
        <f>TRIM(LEFT(AN101,FIND("/",AN101)-1))</f>
        <v/>
      </c>
    </row>
    <row r="102" ht="45.75" customHeight="1" thickBot="1">
      <c r="A102" s="13" t="n">
        <v>96</v>
      </c>
      <c r="B102" s="4" t="inlineStr">
        <is>
          <t>MRC US</t>
        </is>
      </c>
      <c r="C102" s="4" t="inlineStr">
        <is>
          <t>DNOW US</t>
        </is>
      </c>
      <c r="D102" s="7" t="n">
        <v>45834</v>
      </c>
      <c r="E102" s="3" t="n">
        <v>1707.25</v>
      </c>
      <c r="F102" s="4" t="inlineStr">
        <is>
          <t>Stock</t>
        </is>
      </c>
      <c r="G102" s="3" t="n">
        <v>7.73</v>
      </c>
      <c r="H102" s="4" t="inlineStr">
        <is>
          <t>Industrials</t>
        </is>
      </c>
      <c r="I102" s="4" t="inlineStr">
        <is>
          <t>Industrial Services</t>
        </is>
      </c>
      <c r="J102" s="4" t="inlineStr">
        <is>
          <t>Industrial Support Services</t>
        </is>
      </c>
      <c r="K102" s="4" t="n"/>
      <c r="L102" s="4" t="n"/>
      <c r="M102" s="3" t="n">
        <v>10.55</v>
      </c>
      <c r="N102" s="3" t="n">
        <v>1214.25</v>
      </c>
      <c r="O102" s="4" t="inlineStr">
        <is>
          <t>United States</t>
        </is>
      </c>
      <c r="P102" s="4" t="inlineStr">
        <is>
          <t>United States</t>
        </is>
      </c>
      <c r="Q102" s="4" t="inlineStr">
        <is>
          <t>Friendly</t>
        </is>
      </c>
      <c r="R102" s="3" t="n">
        <v>3011</v>
      </c>
      <c r="S102" s="3" t="n">
        <v>1.68303</v>
      </c>
      <c r="T102" s="4" t="inlineStr">
        <is>
          <t>Company Takeover</t>
        </is>
      </c>
      <c r="U102" s="2" t="inlineStr">
        <is>
          <t>No</t>
        </is>
      </c>
      <c r="V102" s="2" t="inlineStr">
        <is>
          <t>No</t>
        </is>
      </c>
      <c r="W102" s="2" t="inlineStr">
        <is>
          <t>No</t>
        </is>
      </c>
      <c r="X102" s="2" t="inlineStr">
        <is>
          <t>No</t>
        </is>
      </c>
      <c r="Y102" s="2" t="inlineStr">
        <is>
          <t>No</t>
        </is>
      </c>
      <c r="Z102" s="2" t="inlineStr">
        <is>
          <t>No</t>
        </is>
      </c>
      <c r="AA102" s="6" t="n">
        <v>3.232297121</v>
      </c>
      <c r="AB102" s="6" t="n">
        <v>3.478710756</v>
      </c>
      <c r="AC102" s="6" t="n">
        <v>3.084308112</v>
      </c>
      <c r="AD102">
        <f t="array" ref="AD102">IF(SUMPRODUCT(--($AM$2:$AM$112=TRIM(LEFT($B102,IFERROR(FIND(" ",$B102)-1,LEN($B102))))))&gt;0,1,0)</f>
        <v/>
      </c>
      <c r="AE102">
        <f t="array" ref="AE102">IF(SUMPRODUCT(--($AO$2:$AO$145=TRIM(LEFT($B102,IFERROR(FIND(" ",$B102)-1,LEN($B102))))))&gt;0,1,0)</f>
        <v/>
      </c>
      <c r="AF102">
        <f t="array" ref="AF102">IF(SUMPRODUCT(--($AQ$2:$AQ$71=TRIM(LEFT($B102,IFERROR(FIND(" ",$B102)-1,LEN($B102))))))&gt;0,1,0)</f>
        <v/>
      </c>
      <c r="AL102" t="inlineStr">
        <is>
          <t>SHLM / Lyond</t>
        </is>
      </c>
      <c r="AM102">
        <f>TRIM(LEFT(AL102,FIND("/",AL102)-1))</f>
        <v/>
      </c>
      <c r="AN102" t="inlineStr">
        <is>
          <t>BID / BidFa</t>
        </is>
      </c>
      <c r="AO102">
        <f>TRIM(LEFT(AN102,FIND("/",AN102)-1))</f>
        <v/>
      </c>
    </row>
    <row r="103" ht="75.75" customHeight="1" thickBot="1">
      <c r="A103" s="13" t="n">
        <v>140</v>
      </c>
      <c r="B103" s="4" t="inlineStr">
        <is>
          <t>AND CN</t>
        </is>
      </c>
      <c r="C103" s="4" t="inlineStr">
        <is>
          <t>UPS US</t>
        </is>
      </c>
      <c r="D103" s="7" t="n">
        <v>45771</v>
      </c>
      <c r="E103" s="3" t="n">
        <v>1520.73</v>
      </c>
      <c r="F103" s="4" t="inlineStr">
        <is>
          <t>Cash</t>
        </is>
      </c>
      <c r="G103" s="3" t="n">
        <v>12.8</v>
      </c>
      <c r="H103" s="4" t="inlineStr">
        <is>
          <t>Industrials</t>
        </is>
      </c>
      <c r="I103" s="4" t="inlineStr">
        <is>
          <t>Industrial Services</t>
        </is>
      </c>
      <c r="J103" s="4" t="inlineStr">
        <is>
          <t>Transportation &amp; Logistics</t>
        </is>
      </c>
      <c r="K103" s="4" t="n"/>
      <c r="L103" s="4" t="n"/>
      <c r="M103" s="3" t="n">
        <v>36.34</v>
      </c>
      <c r="N103" s="3" t="n">
        <v>1458.89</v>
      </c>
      <c r="O103" s="4" t="inlineStr">
        <is>
          <t>Canada</t>
        </is>
      </c>
      <c r="P103" s="4" t="inlineStr">
        <is>
          <t>United States</t>
        </is>
      </c>
      <c r="Q103" s="4" t="inlineStr">
        <is>
          <t>Friendly</t>
        </is>
      </c>
      <c r="R103" s="3" t="n">
        <v>474.872</v>
      </c>
      <c r="S103" s="3" t="n">
        <v>13.9856</v>
      </c>
      <c r="T103" s="4" t="inlineStr">
        <is>
          <t>Cross Border, Company Takeover</t>
        </is>
      </c>
      <c r="U103" s="2" t="inlineStr">
        <is>
          <t>No</t>
        </is>
      </c>
      <c r="V103" s="2" t="inlineStr">
        <is>
          <t>No</t>
        </is>
      </c>
      <c r="W103" s="2" t="inlineStr">
        <is>
          <t>Yes</t>
        </is>
      </c>
      <c r="X103" s="2" t="inlineStr">
        <is>
          <t>No</t>
        </is>
      </c>
      <c r="Y103" s="2" t="inlineStr">
        <is>
          <t>No</t>
        </is>
      </c>
      <c r="Z103" s="2" t="inlineStr">
        <is>
          <t>No</t>
        </is>
      </c>
      <c r="AA103" s="6" t="n">
        <v>3.182052114</v>
      </c>
      <c r="AB103" s="6" t="n">
        <v>2.676576563</v>
      </c>
      <c r="AC103" s="6" t="n">
        <v>3.164022547</v>
      </c>
      <c r="AD103">
        <f t="array" ref="AD103">IF(SUMPRODUCT(--($AM$2:$AM$112=TRIM(LEFT($B103,IFERROR(FIND(" ",$B103)-1,LEN($B103))))))&gt;0,1,0)</f>
        <v/>
      </c>
      <c r="AE103">
        <f t="array" ref="AE103">IF(SUMPRODUCT(--($AO$2:$AO$145=TRIM(LEFT($B103,IFERROR(FIND(" ",$B103)-1,LEN($B103))))))&gt;0,1,0)</f>
        <v/>
      </c>
      <c r="AF103">
        <f t="array" ref="AF103">IF(SUMPRODUCT(--($AQ$2:$AQ$71=TRIM(LEFT($B103,IFERROR(FIND(" ",$B103)-1,LEN($B103))))))&gt;0,1,0)</f>
        <v/>
      </c>
      <c r="AL103" t="inlineStr">
        <is>
          <t xml:space="preserve">FOX / Walt </t>
        </is>
      </c>
      <c r="AM103">
        <f>TRIM(LEFT(AL103,FIND("/",AL103)-1))</f>
        <v/>
      </c>
      <c r="AN103" t="inlineStr">
        <is>
          <t>RTN / Unite</t>
        </is>
      </c>
      <c r="AO103">
        <f>TRIM(LEFT(AN103,FIND("/",AN103)-1))</f>
        <v/>
      </c>
    </row>
    <row r="104" ht="150.75" customHeight="1" thickBot="1">
      <c r="A104" s="13" t="n">
        <v>46</v>
      </c>
      <c r="B104" s="4" t="inlineStr">
        <is>
          <t>TIXT CN</t>
        </is>
      </c>
      <c r="C104" s="4" t="inlineStr">
        <is>
          <t>T CN</t>
        </is>
      </c>
      <c r="D104" s="7" t="n">
        <v>45902</v>
      </c>
      <c r="E104" s="3" t="n">
        <v>1888.39</v>
      </c>
      <c r="F104" s="4" t="inlineStr">
        <is>
          <t>Cash or Stock</t>
        </is>
      </c>
      <c r="G104" s="3" t="n">
        <v>5.1</v>
      </c>
      <c r="H104" s="4" t="inlineStr">
        <is>
          <t>Technology</t>
        </is>
      </c>
      <c r="I104" s="4" t="inlineStr">
        <is>
          <t>Software &amp; Tech Services</t>
        </is>
      </c>
      <c r="J104" s="4" t="inlineStr">
        <is>
          <t>IT Services</t>
        </is>
      </c>
      <c r="K104" s="4" t="n"/>
      <c r="L104" s="4" t="n"/>
      <c r="M104" s="4" t="n"/>
      <c r="N104" s="3" t="n">
        <v>479.39</v>
      </c>
      <c r="O104" s="4" t="inlineStr">
        <is>
          <t>United States</t>
        </is>
      </c>
      <c r="P104" s="4" t="inlineStr">
        <is>
          <t>Canada</t>
        </is>
      </c>
      <c r="Q104" s="4" t="inlineStr">
        <is>
          <t>Friendly</t>
        </is>
      </c>
      <c r="R104" s="3" t="n">
        <v>2658</v>
      </c>
      <c r="S104" s="3" t="n">
        <v>-9.565860000000001</v>
      </c>
      <c r="T104" s="4" t="inlineStr">
        <is>
          <t>Cross Border, Company Takeover, Additional Stake Purchase</t>
        </is>
      </c>
      <c r="U104" s="2" t="inlineStr">
        <is>
          <t>Yes</t>
        </is>
      </c>
      <c r="V104" s="2" t="inlineStr">
        <is>
          <t>No</t>
        </is>
      </c>
      <c r="W104" s="2" t="inlineStr">
        <is>
          <t>Yes</t>
        </is>
      </c>
      <c r="X104" s="2" t="inlineStr">
        <is>
          <t>No</t>
        </is>
      </c>
      <c r="Y104" s="2" t="inlineStr">
        <is>
          <t>No</t>
        </is>
      </c>
      <c r="Z104" s="2" t="inlineStr">
        <is>
          <t>No</t>
        </is>
      </c>
      <c r="AA104" s="6" t="n">
        <v>3.276091692</v>
      </c>
      <c r="AB104" s="6" t="n">
        <v>3.424554977</v>
      </c>
      <c r="AC104" s="6" t="n">
        <v>2.68068897</v>
      </c>
      <c r="AD104">
        <f t="array" ref="AD104">IF(SUMPRODUCT(--($AM$2:$AM$112=TRIM(LEFT($B104,IFERROR(FIND(" ",$B104)-1,LEN($B104))))))&gt;0,1,0)</f>
        <v/>
      </c>
      <c r="AE104">
        <f t="array" ref="AE104">IF(SUMPRODUCT(--($AO$2:$AO$145=TRIM(LEFT($B104,IFERROR(FIND(" ",$B104)-1,LEN($B104))))))&gt;0,1,0)</f>
        <v/>
      </c>
      <c r="AF104">
        <f t="array" ref="AF104">IF(SUMPRODUCT(--($AQ$2:$AQ$71=TRIM(LEFT($B104,IFERROR(FIND(" ",$B104)-1,LEN($B104))))))&gt;0,1,0)</f>
        <v/>
      </c>
      <c r="AL104" t="inlineStr">
        <is>
          <t>CAVM / Marve</t>
        </is>
      </c>
      <c r="AM104">
        <f>TRIM(LEFT(AL104,FIND("/",AL104)-1))</f>
        <v/>
      </c>
      <c r="AN104" t="inlineStr">
        <is>
          <t>CY / Infin</t>
        </is>
      </c>
      <c r="AO104">
        <f>TRIM(LEFT(AN104,FIND("/",AN104)-1))</f>
        <v/>
      </c>
    </row>
    <row r="105" ht="45.75" customHeight="1" thickBot="1">
      <c r="A105" s="13" t="n">
        <v>138</v>
      </c>
      <c r="B105" s="4" t="inlineStr">
        <is>
          <t>HONE US</t>
        </is>
      </c>
      <c r="C105" s="4" t="inlineStr">
        <is>
          <t>EBC US</t>
        </is>
      </c>
      <c r="D105" s="7" t="n">
        <v>45771</v>
      </c>
      <c r="E105" s="3" t="n">
        <v>507.31</v>
      </c>
      <c r="F105" s="4" t="inlineStr">
        <is>
          <t>Cash or Stock</t>
        </is>
      </c>
      <c r="G105" s="4" t="n"/>
      <c r="H105" s="4" t="inlineStr">
        <is>
          <t>Financials</t>
        </is>
      </c>
      <c r="I105" s="4" t="inlineStr">
        <is>
          <t>Banking</t>
        </is>
      </c>
      <c r="J105" s="4" t="inlineStr">
        <is>
          <t>Banking</t>
        </is>
      </c>
      <c r="K105" s="4" t="n"/>
      <c r="L105" s="4" t="n"/>
      <c r="M105" s="3" t="n">
        <v>19.68</v>
      </c>
      <c r="N105" s="3" t="n">
        <v>507.31</v>
      </c>
      <c r="O105" s="4" t="inlineStr">
        <is>
          <t>United States</t>
        </is>
      </c>
      <c r="P105" s="4" t="inlineStr">
        <is>
          <t>United States</t>
        </is>
      </c>
      <c r="Q105" s="4" t="inlineStr">
        <is>
          <t>Friendly</t>
        </is>
      </c>
      <c r="R105" s="3" t="n">
        <v>318.325</v>
      </c>
      <c r="S105" s="3" t="n">
        <v>18.7432</v>
      </c>
      <c r="T105" s="4" t="inlineStr">
        <is>
          <t>Company Takeover</t>
        </is>
      </c>
      <c r="U105" s="2" t="inlineStr">
        <is>
          <t>No</t>
        </is>
      </c>
      <c r="V105" s="2" t="inlineStr">
        <is>
          <t>No</t>
        </is>
      </c>
      <c r="W105" s="2" t="inlineStr">
        <is>
          <t>No</t>
        </is>
      </c>
      <c r="X105" s="2" t="inlineStr">
        <is>
          <t>No</t>
        </is>
      </c>
      <c r="Y105" s="2" t="inlineStr">
        <is>
          <t>No</t>
        </is>
      </c>
      <c r="Z105" s="2" t="inlineStr">
        <is>
          <t>No</t>
        </is>
      </c>
      <c r="AA105" s="6" t="n">
        <v>2.705273423</v>
      </c>
      <c r="AB105" s="6" t="n">
        <v>2.502870748</v>
      </c>
      <c r="AC105" s="6" t="n">
        <v>2.705273423</v>
      </c>
      <c r="AD105">
        <f t="array" ref="AD105">IF(SUMPRODUCT(--($AM$2:$AM$112=TRIM(LEFT($B105,IFERROR(FIND(" ",$B105)-1,LEN($B105))))))&gt;0,1,0)</f>
        <v/>
      </c>
      <c r="AE105">
        <f t="array" ref="AE105">IF(SUMPRODUCT(--($AO$2:$AO$145=TRIM(LEFT($B105,IFERROR(FIND(" ",$B105)-1,LEN($B105))))))&gt;0,1,0)</f>
        <v/>
      </c>
      <c r="AF105">
        <f t="array" ref="AF105">IF(SUMPRODUCT(--($AQ$2:$AQ$71=TRIM(LEFT($B105,IFERROR(FIND(" ",$B105)-1,LEN($B105))))))&gt;0,1,0)</f>
        <v/>
      </c>
      <c r="AL105" t="inlineStr">
        <is>
          <t>JASO / Mr. B</t>
        </is>
      </c>
      <c r="AM105">
        <f>TRIM(LEFT(AL105,FIND("/",AL105)-1))</f>
        <v/>
      </c>
      <c r="AN105" t="inlineStr">
        <is>
          <t>TSS / Globa</t>
        </is>
      </c>
      <c r="AO105">
        <f>TRIM(LEFT(AN105,FIND("/",AN105)-1))</f>
        <v/>
      </c>
    </row>
    <row r="106" ht="75.75" customHeight="1" thickBot="1">
      <c r="A106" s="13" t="n">
        <v>33</v>
      </c>
      <c r="B106" s="4" t="inlineStr">
        <is>
          <t>ETNB US</t>
        </is>
      </c>
      <c r="C106" s="4" t="inlineStr">
        <is>
          <t>ROP SW</t>
        </is>
      </c>
      <c r="D106" s="7" t="n">
        <v>45917</v>
      </c>
      <c r="E106" s="3" t="n">
        <v>1626.92</v>
      </c>
      <c r="F106" s="4" t="inlineStr">
        <is>
          <t>Cash</t>
        </is>
      </c>
      <c r="G106" s="4" t="n"/>
      <c r="H106" s="4" t="inlineStr">
        <is>
          <t>Health Care</t>
        </is>
      </c>
      <c r="I106" s="4" t="inlineStr">
        <is>
          <t>Health Care</t>
        </is>
      </c>
      <c r="J106" s="4" t="inlineStr">
        <is>
          <t>Biotech &amp; Pharma</t>
        </is>
      </c>
      <c r="K106" s="3" t="n">
        <v>79.90000000000001</v>
      </c>
      <c r="L106" s="3" t="n">
        <v>79.90000000000001</v>
      </c>
      <c r="M106" s="3" t="n">
        <v>63.56</v>
      </c>
      <c r="N106" s="3" t="n">
        <v>2150.47</v>
      </c>
      <c r="O106" s="4" t="inlineStr">
        <is>
          <t>United States</t>
        </is>
      </c>
      <c r="P106" s="4" t="inlineStr">
        <is>
          <t>United States</t>
        </is>
      </c>
      <c r="Q106" s="4" t="inlineStr">
        <is>
          <t>Friendly</t>
        </is>
      </c>
      <c r="R106" s="2" t="n"/>
      <c r="S106" s="2" t="n"/>
      <c r="T106" s="4" t="inlineStr">
        <is>
          <t>Company Takeover, Tender Offer</t>
        </is>
      </c>
      <c r="U106" s="2" t="inlineStr">
        <is>
          <t>No</t>
        </is>
      </c>
      <c r="V106" s="2" t="inlineStr">
        <is>
          <t>No</t>
        </is>
      </c>
      <c r="W106" s="2" t="inlineStr">
        <is>
          <t>No</t>
        </is>
      </c>
      <c r="X106" s="2" t="inlineStr">
        <is>
          <t>No</t>
        </is>
      </c>
      <c r="Y106" s="2" t="inlineStr">
        <is>
          <t>No</t>
        </is>
      </c>
      <c r="Z106" s="2" t="inlineStr">
        <is>
          <t>Yes</t>
        </is>
      </c>
      <c r="AA106" s="6" t="n">
        <v>3.211366198</v>
      </c>
      <c r="AB106" s="2" t="n"/>
      <c r="AC106" s="6" t="n">
        <v>3.332533388</v>
      </c>
      <c r="AD106">
        <f t="array" ref="AD106">IF(SUMPRODUCT(--($AM$2:$AM$112=TRIM(LEFT($B106,IFERROR(FIND(" ",$B106)-1,LEN($B106))))))&gt;0,1,0)</f>
        <v/>
      </c>
      <c r="AE106">
        <f t="array" ref="AE106">IF(SUMPRODUCT(--($AO$2:$AO$145=TRIM(LEFT($B106,IFERROR(FIND(" ",$B106)-1,LEN($B106))))))&gt;0,1,0)</f>
        <v/>
      </c>
      <c r="AF106">
        <f t="array" ref="AF106">IF(SUMPRODUCT(--($AQ$2:$AQ$71=TRIM(LEFT($B106,IFERROR(FIND(" ",$B106)-1,LEN($B106))))))&gt;0,1,0)</f>
        <v/>
      </c>
      <c r="AL106" t="inlineStr">
        <is>
          <t>COL / Unite</t>
        </is>
      </c>
      <c r="AM106">
        <f>TRIM(LEFT(AL106,FIND("/",AL106)-1))</f>
        <v/>
      </c>
      <c r="AN106" t="inlineStr">
        <is>
          <t>AVP / Natur</t>
        </is>
      </c>
      <c r="AO106">
        <f>TRIM(LEFT(AN106,FIND("/",AN106)-1))</f>
        <v/>
      </c>
    </row>
    <row r="107" ht="75.75" customHeight="1" thickBot="1">
      <c r="A107" s="13" t="n">
        <v>37</v>
      </c>
      <c r="B107" s="4" t="inlineStr">
        <is>
          <t>TRML US</t>
        </is>
      </c>
      <c r="C107" s="4" t="inlineStr">
        <is>
          <t>NOVN SW</t>
        </is>
      </c>
      <c r="D107" s="7" t="n">
        <v>45909</v>
      </c>
      <c r="E107" s="3" t="n">
        <v>1038.98</v>
      </c>
      <c r="F107" s="4" t="inlineStr">
        <is>
          <t>Cash</t>
        </is>
      </c>
      <c r="G107" s="4" t="n"/>
      <c r="H107" s="4" t="inlineStr">
        <is>
          <t>Health Care</t>
        </is>
      </c>
      <c r="I107" s="4" t="inlineStr">
        <is>
          <t>Health Care</t>
        </is>
      </c>
      <c r="J107" s="4" t="inlineStr">
        <is>
          <t>Biotech &amp; Pharma</t>
        </is>
      </c>
      <c r="K107" s="4" t="n"/>
      <c r="L107" s="4" t="n"/>
      <c r="M107" s="3" t="n">
        <v>104.32</v>
      </c>
      <c r="N107" s="3" t="n">
        <v>1278.07</v>
      </c>
      <c r="O107" s="4" t="inlineStr">
        <is>
          <t>United States</t>
        </is>
      </c>
      <c r="P107" s="4" t="inlineStr">
        <is>
          <t>United States</t>
        </is>
      </c>
      <c r="Q107" s="4" t="inlineStr">
        <is>
          <t>Friendly</t>
        </is>
      </c>
      <c r="R107" s="2" t="n"/>
      <c r="S107" s="2" t="n"/>
      <c r="T107" s="4" t="inlineStr">
        <is>
          <t>Tender Offer, Company Takeover</t>
        </is>
      </c>
      <c r="U107" s="2" t="inlineStr">
        <is>
          <t>No</t>
        </is>
      </c>
      <c r="V107" s="2" t="inlineStr">
        <is>
          <t>No</t>
        </is>
      </c>
      <c r="W107" s="2" t="inlineStr">
        <is>
          <t>No</t>
        </is>
      </c>
      <c r="X107" s="2" t="inlineStr">
        <is>
          <t>No</t>
        </is>
      </c>
      <c r="Y107" s="2" t="inlineStr">
        <is>
          <t>No</t>
        </is>
      </c>
      <c r="Z107" s="2" t="inlineStr">
        <is>
          <t>Yes</t>
        </is>
      </c>
      <c r="AA107" s="6" t="n">
        <v>3.016607188</v>
      </c>
      <c r="AB107" s="2" t="n"/>
      <c r="AC107" s="6" t="n">
        <v>3.106554641</v>
      </c>
      <c r="AD107">
        <f t="array" ref="AD107">IF(SUMPRODUCT(--($AM$2:$AM$112=TRIM(LEFT($B107,IFERROR(FIND(" ",$B107)-1,LEN($B107))))))&gt;0,1,0)</f>
        <v/>
      </c>
      <c r="AE107">
        <f t="array" ref="AE107">IF(SUMPRODUCT(--($AO$2:$AO$145=TRIM(LEFT($B107,IFERROR(FIND(" ",$B107)-1,LEN($B107))))))&gt;0,1,0)</f>
        <v/>
      </c>
      <c r="AF107">
        <f t="array" ref="AF107">IF(SUMPRODUCT(--($AQ$2:$AQ$71=TRIM(LEFT($B107,IFERROR(FIND(" ",$B107)-1,LEN($B107))))))&gt;0,1,0)</f>
        <v/>
      </c>
      <c r="AL107" t="inlineStr">
        <is>
          <t>PMC / KKR &amp;</t>
        </is>
      </c>
      <c r="AM107">
        <f>TRIM(LEFT(AL107,FIND("/",AL107)-1))</f>
        <v/>
      </c>
      <c r="AN107" t="inlineStr">
        <is>
          <t>ZAYO / Digit</t>
        </is>
      </c>
      <c r="AO107">
        <f>TRIM(LEFT(AN107,FIND("/",AN107)-1))</f>
        <v/>
      </c>
    </row>
    <row r="108" ht="135.75" customHeight="1" thickBot="1">
      <c r="A108" s="13" t="n">
        <v>65</v>
      </c>
      <c r="B108" s="4" t="inlineStr">
        <is>
          <t>FN CN</t>
        </is>
      </c>
      <c r="C108" s="2" t="n"/>
      <c r="D108" s="7" t="n">
        <v>45866</v>
      </c>
      <c r="E108" s="3" t="n">
        <v>2098.09</v>
      </c>
      <c r="F108" s="4" t="inlineStr">
        <is>
          <t>Cash</t>
        </is>
      </c>
      <c r="G108" s="3" t="n">
        <v>1.58</v>
      </c>
      <c r="H108" s="4" t="inlineStr">
        <is>
          <t>Financials</t>
        </is>
      </c>
      <c r="I108" s="4" t="inlineStr">
        <is>
          <t>Financial Services</t>
        </is>
      </c>
      <c r="J108" s="4" t="inlineStr">
        <is>
          <t>Specialty Finance</t>
        </is>
      </c>
      <c r="K108" s="3" t="n">
        <v>75</v>
      </c>
      <c r="L108" s="3" t="n">
        <v>50</v>
      </c>
      <c r="M108" s="3" t="n">
        <v>13.55</v>
      </c>
      <c r="N108" s="3" t="n">
        <v>2098.09</v>
      </c>
      <c r="O108" s="4" t="inlineStr">
        <is>
          <t>Canada</t>
        </is>
      </c>
      <c r="P108" s="4" t="inlineStr">
        <is>
          <t>Canada</t>
        </is>
      </c>
      <c r="Q108" s="4" t="inlineStr">
        <is>
          <t>Friendly</t>
        </is>
      </c>
      <c r="R108" s="3" t="n">
        <v>1685.97</v>
      </c>
      <c r="S108" s="3" t="n">
        <v>6.12912</v>
      </c>
      <c r="T108" s="4" t="inlineStr">
        <is>
          <t>PE Buyout, Private Equity, Company Takeover, Going Private</t>
        </is>
      </c>
      <c r="U108" s="2" t="inlineStr">
        <is>
          <t>No</t>
        </is>
      </c>
      <c r="V108" s="2" t="inlineStr">
        <is>
          <t>No</t>
        </is>
      </c>
      <c r="W108" s="2" t="inlineStr">
        <is>
          <t>No</t>
        </is>
      </c>
      <c r="X108" s="2" t="inlineStr">
        <is>
          <t>Yes</t>
        </is>
      </c>
      <c r="Y108" s="2" t="inlineStr">
        <is>
          <t>Yes</t>
        </is>
      </c>
      <c r="Z108" s="2" t="inlineStr">
        <is>
          <t>No</t>
        </is>
      </c>
      <c r="AA108" s="6" t="n">
        <v>3.321824114</v>
      </c>
      <c r="AB108" s="6" t="n">
        <v>3.226849843</v>
      </c>
      <c r="AC108" s="6" t="n">
        <v>3.321824114</v>
      </c>
      <c r="AD108">
        <f t="array" ref="AD108">IF(SUMPRODUCT(--($AM$2:$AM$112=TRIM(LEFT($B108,IFERROR(FIND(" ",$B108)-1,LEN($B108))))))&gt;0,1,0)</f>
        <v/>
      </c>
      <c r="AE108">
        <f t="array" ref="AE108">IF(SUMPRODUCT(--($AO$2:$AO$145=TRIM(LEFT($B108,IFERROR(FIND(" ",$B108)-1,LEN($B108))))))&gt;0,1,0)</f>
        <v/>
      </c>
      <c r="AF108">
        <f t="array" ref="AF108">IF(SUMPRODUCT(--($AQ$2:$AQ$71=TRIM(LEFT($B108,IFERROR(FIND(" ",$B108)-1,LEN($B108))))))&gt;0,1,0)</f>
        <v/>
      </c>
      <c r="AL108" t="inlineStr">
        <is>
          <t>GSOL / Black</t>
        </is>
      </c>
      <c r="AM108">
        <f>TRIM(LEFT(AL108,FIND("/",AL108)-1))</f>
        <v/>
      </c>
      <c r="AN108" t="inlineStr">
        <is>
          <t>IR / Gardn</t>
        </is>
      </c>
      <c r="AO108">
        <f>TRIM(LEFT(AN108,FIND("/",AN108)-1))</f>
        <v/>
      </c>
    </row>
    <row r="109" ht="135.75" customHeight="1" thickBot="1">
      <c r="A109" s="13" t="n">
        <v>55</v>
      </c>
      <c r="B109" s="4" t="inlineStr">
        <is>
          <t>MLNK US</t>
        </is>
      </c>
      <c r="C109" s="4" t="inlineStr">
        <is>
          <t>804856Z US</t>
        </is>
      </c>
      <c r="D109" s="7" t="n">
        <v>45880</v>
      </c>
      <c r="E109" s="3" t="n">
        <v>1905.89</v>
      </c>
      <c r="F109" s="4" t="inlineStr">
        <is>
          <t>Cash</t>
        </is>
      </c>
      <c r="G109" s="3" t="n">
        <v>30.31</v>
      </c>
      <c r="H109" s="4" t="inlineStr">
        <is>
          <t>Technology</t>
        </is>
      </c>
      <c r="I109" s="4" t="inlineStr">
        <is>
          <t>Software &amp; Tech Services</t>
        </is>
      </c>
      <c r="J109" s="4" t="inlineStr">
        <is>
          <t>Software</t>
        </is>
      </c>
      <c r="K109" s="3" t="n">
        <v>98.59999999999999</v>
      </c>
      <c r="L109" s="3" t="n">
        <v>47.7</v>
      </c>
      <c r="M109" s="3" t="n">
        <v>22.96</v>
      </c>
      <c r="N109" s="3" t="n">
        <v>1567.12</v>
      </c>
      <c r="O109" s="4" t="inlineStr">
        <is>
          <t>United States</t>
        </is>
      </c>
      <c r="P109" s="4" t="inlineStr">
        <is>
          <t>United States</t>
        </is>
      </c>
      <c r="Q109" s="4" t="inlineStr">
        <is>
          <t>Friendly</t>
        </is>
      </c>
      <c r="R109" s="3" t="n">
        <v>316.298</v>
      </c>
      <c r="S109" s="3" t="n">
        <v>3.422</v>
      </c>
      <c r="T109" s="4" t="inlineStr">
        <is>
          <t>PE Buyout, Private Equity, Company Takeover, Going Private</t>
        </is>
      </c>
      <c r="U109" s="2" t="inlineStr">
        <is>
          <t>No</t>
        </is>
      </c>
      <c r="V109" s="2" t="inlineStr">
        <is>
          <t>No</t>
        </is>
      </c>
      <c r="W109" s="2" t="inlineStr">
        <is>
          <t>No</t>
        </is>
      </c>
      <c r="X109" s="2" t="inlineStr">
        <is>
          <t>Yes</t>
        </is>
      </c>
      <c r="Y109" s="2" t="inlineStr">
        <is>
          <t>Yes</t>
        </is>
      </c>
      <c r="Z109" s="2" t="inlineStr">
        <is>
          <t>No</t>
        </is>
      </c>
      <c r="AA109" s="6" t="n">
        <v>3.280097831</v>
      </c>
      <c r="AB109" s="6" t="n">
        <v>2.500096446</v>
      </c>
      <c r="AC109" s="6" t="n">
        <v>3.195102253</v>
      </c>
      <c r="AD109">
        <f t="array" ref="AD109">IF(SUMPRODUCT(--($AM$2:$AM$112=TRIM(LEFT($B109,IFERROR(FIND(" ",$B109)-1,LEN($B109))))))&gt;0,1,0)</f>
        <v/>
      </c>
      <c r="AE109">
        <f t="array" ref="AE109">IF(SUMPRODUCT(--($AO$2:$AO$145=TRIM(LEFT($B109,IFERROR(FIND(" ",$B109)-1,LEN($B109))))))&gt;0,1,0)</f>
        <v/>
      </c>
      <c r="AF109">
        <f t="array" ref="AF109">IF(SUMPRODUCT(--($AQ$2:$AQ$71=TRIM(LEFT($B109,IFERROR(FIND(" ",$B109)-1,LEN($B109))))))&gt;0,1,0)</f>
        <v/>
      </c>
      <c r="AL109" t="inlineStr">
        <is>
          <t>HUN / Clari</t>
        </is>
      </c>
      <c r="AM109">
        <f>TRIM(LEFT(AL109,FIND("/",AL109)-1))</f>
        <v/>
      </c>
      <c r="AN109" t="inlineStr">
        <is>
          <t>WBC / ZF Fr</t>
        </is>
      </c>
      <c r="AO109">
        <f>TRIM(LEFT(AN109,FIND("/",AN109)-1))</f>
        <v/>
      </c>
    </row>
    <row r="110" ht="75.75" customHeight="1" thickBot="1">
      <c r="A110" s="13" t="n">
        <v>33</v>
      </c>
      <c r="B110" s="4" t="inlineStr">
        <is>
          <t>PBPB US</t>
        </is>
      </c>
      <c r="C110" s="4" t="inlineStr">
        <is>
          <t>1039759Z US</t>
        </is>
      </c>
      <c r="D110" s="7" t="n">
        <v>45910</v>
      </c>
      <c r="E110" s="3" t="n">
        <v>649.54</v>
      </c>
      <c r="F110" s="4" t="inlineStr">
        <is>
          <t>Cash</t>
        </is>
      </c>
      <c r="G110" s="3" t="n">
        <v>10.46</v>
      </c>
      <c r="H110" s="4" t="inlineStr">
        <is>
          <t>Consumer Discretionary</t>
        </is>
      </c>
      <c r="I110" s="4" t="inlineStr">
        <is>
          <t>Consumer Discretionary Services</t>
        </is>
      </c>
      <c r="J110" s="4" t="inlineStr">
        <is>
          <t>Leisure Facilities &amp; Services</t>
        </is>
      </c>
      <c r="K110" s="4" t="n"/>
      <c r="L110" s="3" t="n">
        <v>19.8</v>
      </c>
      <c r="M110" s="3" t="n">
        <v>35.28</v>
      </c>
      <c r="N110" s="3" t="n">
        <v>518.0599999999999</v>
      </c>
      <c r="O110" s="4" t="inlineStr">
        <is>
          <t>United States</t>
        </is>
      </c>
      <c r="P110" s="4" t="inlineStr">
        <is>
          <t>United States</t>
        </is>
      </c>
      <c r="Q110" s="4" t="inlineStr">
        <is>
          <t>Friendly</t>
        </is>
      </c>
      <c r="R110" s="3" t="n">
        <v>462.598</v>
      </c>
      <c r="S110" s="3" t="n">
        <v>2.28227</v>
      </c>
      <c r="T110" s="4" t="inlineStr">
        <is>
          <t>Tender Offer, Company Takeover</t>
        </is>
      </c>
      <c r="U110" s="2" t="inlineStr">
        <is>
          <t>No</t>
        </is>
      </c>
      <c r="V110" s="2" t="inlineStr">
        <is>
          <t>No</t>
        </is>
      </c>
      <c r="W110" s="2" t="inlineStr">
        <is>
          <t>No</t>
        </is>
      </c>
      <c r="X110" s="2" t="inlineStr">
        <is>
          <t>No</t>
        </is>
      </c>
      <c r="Y110" s="2" t="inlineStr">
        <is>
          <t>No</t>
        </is>
      </c>
      <c r="Z110" s="2" t="inlineStr">
        <is>
          <t>Yes</t>
        </is>
      </c>
      <c r="AA110" s="6" t="n">
        <v>2.812605901</v>
      </c>
      <c r="AB110" s="6" t="n">
        <v>2.665203751</v>
      </c>
      <c r="AC110" s="6" t="n">
        <v>2.714380061</v>
      </c>
      <c r="AD110">
        <f t="array" ref="AD110">IF(SUMPRODUCT(--($AM$2:$AM$112=TRIM(LEFT($B110,IFERROR(FIND(" ",$B110)-1,LEN($B110))))))&gt;0,1,0)</f>
        <v/>
      </c>
      <c r="AE110">
        <f t="array" ref="AE110">IF(SUMPRODUCT(--($AO$2:$AO$145=TRIM(LEFT($B110,IFERROR(FIND(" ",$B110)-1,LEN($B110))))))&gt;0,1,0)</f>
        <v/>
      </c>
      <c r="AF110">
        <f t="array" ref="AF110">IF(SUMPRODUCT(--($AQ$2:$AQ$71=TRIM(LEFT($B110,IFERROR(FIND(" ",$B110)-1,LEN($B110))))))&gt;0,1,0)</f>
        <v/>
      </c>
      <c r="AL110" t="inlineStr">
        <is>
          <t>BCR / Becto</t>
        </is>
      </c>
      <c r="AM110">
        <f>TRIM(LEFT(AL110,FIND("/",AL110)-1))</f>
        <v/>
      </c>
      <c r="AN110" t="inlineStr">
        <is>
          <t>WP / Fidel</t>
        </is>
      </c>
      <c r="AO110">
        <f>TRIM(LEFT(AN110,FIND("/",AN110)-1))</f>
        <v/>
      </c>
    </row>
    <row r="111" ht="75.75" customHeight="1" thickBot="1">
      <c r="A111" s="13" t="n">
        <v>78</v>
      </c>
      <c r="B111" s="4" t="inlineStr">
        <is>
          <t>SSL CN</t>
        </is>
      </c>
      <c r="C111" s="4" t="inlineStr">
        <is>
          <t>RGLD US</t>
        </is>
      </c>
      <c r="D111" s="7" t="n">
        <v>45845</v>
      </c>
      <c r="E111" s="3" t="n">
        <v>3576.52</v>
      </c>
      <c r="F111" s="4" t="inlineStr">
        <is>
          <t>Stock</t>
        </is>
      </c>
      <c r="G111" s="3" t="n">
        <v>26.82</v>
      </c>
      <c r="H111" s="4" t="inlineStr">
        <is>
          <t>Materials</t>
        </is>
      </c>
      <c r="I111" s="4" t="inlineStr">
        <is>
          <t>Materials</t>
        </is>
      </c>
      <c r="J111" s="4" t="inlineStr">
        <is>
          <t>Metals &amp; Mining</t>
        </is>
      </c>
      <c r="K111" s="4" t="n"/>
      <c r="L111" s="4" t="n"/>
      <c r="M111" s="3" t="n">
        <v>20.03</v>
      </c>
      <c r="N111" s="3" t="n">
        <v>3250.43</v>
      </c>
      <c r="O111" s="4" t="inlineStr">
        <is>
          <t>Canada</t>
        </is>
      </c>
      <c r="P111" s="4" t="inlineStr">
        <is>
          <t>United States</t>
        </is>
      </c>
      <c r="Q111" s="4" t="inlineStr">
        <is>
          <t>Friendly</t>
        </is>
      </c>
      <c r="R111" s="3" t="n">
        <v>176.283</v>
      </c>
      <c r="S111" s="3" t="n">
        <v>46.5661</v>
      </c>
      <c r="T111" s="4" t="inlineStr">
        <is>
          <t>Cross Border, Company Takeover</t>
        </is>
      </c>
      <c r="U111" s="2" t="inlineStr">
        <is>
          <t>No</t>
        </is>
      </c>
      <c r="V111" s="2" t="inlineStr">
        <is>
          <t>No</t>
        </is>
      </c>
      <c r="W111" s="2" t="inlineStr">
        <is>
          <t>Yes</t>
        </is>
      </c>
      <c r="X111" s="2" t="inlineStr">
        <is>
          <t>No</t>
        </is>
      </c>
      <c r="Y111" s="2" t="inlineStr">
        <is>
          <t>No</t>
        </is>
      </c>
      <c r="Z111" s="2" t="inlineStr">
        <is>
          <t>No</t>
        </is>
      </c>
      <c r="AA111" s="6" t="n">
        <v>3.553460658</v>
      </c>
      <c r="AB111" s="6" t="n">
        <v>2.246210433</v>
      </c>
      <c r="AC111" s="6" t="n">
        <v>3.511940818</v>
      </c>
      <c r="AD111">
        <f t="array" ref="AD111">IF(SUMPRODUCT(--($AM$2:$AM$112=TRIM(LEFT($B111,IFERROR(FIND(" ",$B111)-1,LEN($B111))))))&gt;0,1,0)</f>
        <v/>
      </c>
      <c r="AE111">
        <f t="array" ref="AE111">IF(SUMPRODUCT(--($AO$2:$AO$145=TRIM(LEFT($B111,IFERROR(FIND(" ",$B111)-1,LEN($B111))))))&gt;0,1,0)</f>
        <v/>
      </c>
      <c r="AF111">
        <f t="array" ref="AF111">IF(SUMPRODUCT(--($AQ$2:$AQ$71=TRIM(LEFT($B111,IFERROR(FIND(" ",$B111)-1,LEN($B111))))))&gt;0,1,0)</f>
        <v/>
      </c>
      <c r="AL111" t="inlineStr">
        <is>
          <t xml:space="preserve">XCRA / Sino </t>
        </is>
      </c>
      <c r="AM111">
        <f>TRIM(LEFT(AL111,FIND("/",AL111)-1))</f>
        <v/>
      </c>
      <c r="AN111" t="inlineStr">
        <is>
          <t>OAK / Brook</t>
        </is>
      </c>
      <c r="AO111">
        <f>TRIM(LEFT(AN111,FIND("/",AN111)-1))</f>
        <v/>
      </c>
    </row>
    <row r="112" ht="60.75" customHeight="1" thickBot="1">
      <c r="A112" s="13" t="n">
        <v>59</v>
      </c>
      <c r="B112" s="4" t="inlineStr">
        <is>
          <t>PHLT US</t>
        </is>
      </c>
      <c r="C112" s="4" t="inlineStr">
        <is>
          <t>1659431D US</t>
        </is>
      </c>
      <c r="D112" s="7" t="n">
        <v>45870</v>
      </c>
      <c r="E112" s="3" t="n">
        <v>605.86</v>
      </c>
      <c r="F112" s="4" t="inlineStr">
        <is>
          <t>Cash</t>
        </is>
      </c>
      <c r="G112" s="4" t="n"/>
      <c r="H112" s="4" t="inlineStr">
        <is>
          <t>Industrials</t>
        </is>
      </c>
      <c r="I112" s="4" t="inlineStr">
        <is>
          <t>Industrial Services</t>
        </is>
      </c>
      <c r="J112" s="4" t="inlineStr">
        <is>
          <t>Commercial Support Services</t>
        </is>
      </c>
      <c r="K112" s="4" t="n"/>
      <c r="L112" s="4" t="n"/>
      <c r="M112" s="3" t="n">
        <v>98.62</v>
      </c>
      <c r="N112" s="3" t="n">
        <v>606.95</v>
      </c>
      <c r="O112" s="4" t="inlineStr">
        <is>
          <t>United States</t>
        </is>
      </c>
      <c r="P112" s="4" t="inlineStr">
        <is>
          <t>United States</t>
        </is>
      </c>
      <c r="Q112" s="4" t="inlineStr">
        <is>
          <t>Friendly</t>
        </is>
      </c>
      <c r="R112" s="3" t="n">
        <v>122.981</v>
      </c>
      <c r="S112" s="3" t="n">
        <v>-0.0349454</v>
      </c>
      <c r="T112" s="4" t="inlineStr">
        <is>
          <t>Company Takeover</t>
        </is>
      </c>
      <c r="U112" s="2" t="inlineStr">
        <is>
          <t>No</t>
        </is>
      </c>
      <c r="V112" s="2" t="inlineStr">
        <is>
          <t>No</t>
        </is>
      </c>
      <c r="W112" s="2" t="inlineStr">
        <is>
          <t>No</t>
        </is>
      </c>
      <c r="X112" s="2" t="inlineStr">
        <is>
          <t>No</t>
        </is>
      </c>
      <c r="Y112" s="2" t="inlineStr">
        <is>
          <t>No</t>
        </is>
      </c>
      <c r="Z112" s="2" t="inlineStr">
        <is>
          <t>No</t>
        </is>
      </c>
      <c r="AA112" s="6" t="n">
        <v>2.782372281</v>
      </c>
      <c r="AB112" s="6" t="n">
        <v>2.08983802</v>
      </c>
      <c r="AC112" s="6" t="n">
        <v>2.783152916</v>
      </c>
      <c r="AD112">
        <f t="array" ref="AD112">IF(SUMPRODUCT(--($AM$2:$AM$112=TRIM(LEFT($B112,IFERROR(FIND(" ",$B112)-1,LEN($B112))))))&gt;0,1,0)</f>
        <v/>
      </c>
      <c r="AE112">
        <f t="array" ref="AE112">IF(SUMPRODUCT(--($AO$2:$AO$145=TRIM(LEFT($B112,IFERROR(FIND(" ",$B112)-1,LEN($B112))))))&gt;0,1,0)</f>
        <v/>
      </c>
      <c r="AF112">
        <f t="array" ref="AF112">IF(SUMPRODUCT(--($AQ$2:$AQ$71=TRIM(LEFT($B112,IFERROR(FIND(" ",$B112)-1,LEN($B112))))))&gt;0,1,0)</f>
        <v/>
      </c>
      <c r="AL112" t="inlineStr">
        <is>
          <t>MJN / Recki</t>
        </is>
      </c>
      <c r="AM112">
        <f>TRIM(LEFT(AL112,FIND("/",AL112)-1))</f>
        <v/>
      </c>
      <c r="AN112" t="inlineStr">
        <is>
          <t>LABL / Plati</t>
        </is>
      </c>
      <c r="AO112">
        <f>TRIM(LEFT(AN112,FIND("/",AN112)-1))</f>
        <v/>
      </c>
    </row>
    <row r="113" ht="45.75" customHeight="1" thickBot="1">
      <c r="A113" s="13" t="n">
        <v>72</v>
      </c>
      <c r="B113" s="4" t="inlineStr">
        <is>
          <t>VBTX US</t>
        </is>
      </c>
      <c r="C113" s="4" t="inlineStr">
        <is>
          <t>HBAN US</t>
        </is>
      </c>
      <c r="D113" s="7" t="n">
        <v>45852</v>
      </c>
      <c r="E113" s="3" t="n">
        <v>1758.57</v>
      </c>
      <c r="F113" s="4" t="inlineStr">
        <is>
          <t>Stock</t>
        </is>
      </c>
      <c r="G113" s="4" t="n"/>
      <c r="H113" s="4" t="inlineStr">
        <is>
          <t>Financials</t>
        </is>
      </c>
      <c r="I113" s="4" t="inlineStr">
        <is>
          <t>Banking</t>
        </is>
      </c>
      <c r="J113" s="4" t="inlineStr">
        <is>
          <t>Banking</t>
        </is>
      </c>
      <c r="K113" s="4" t="n"/>
      <c r="L113" s="3" t="n">
        <v>56</v>
      </c>
      <c r="M113" s="3" t="n">
        <v>24.52</v>
      </c>
      <c r="N113" s="3" t="n">
        <v>1758.57</v>
      </c>
      <c r="O113" s="4" t="inlineStr">
        <is>
          <t>United States</t>
        </is>
      </c>
      <c r="P113" s="4" t="inlineStr">
        <is>
          <t>United States</t>
        </is>
      </c>
      <c r="Q113" s="4" t="inlineStr">
        <is>
          <t>Friendly</t>
        </is>
      </c>
      <c r="R113" s="3" t="n">
        <v>797.6180000000001</v>
      </c>
      <c r="S113" s="3" t="n">
        <v>33.9896</v>
      </c>
      <c r="T113" s="4" t="inlineStr">
        <is>
          <t>Company Takeover</t>
        </is>
      </c>
      <c r="U113" s="2" t="inlineStr">
        <is>
          <t>No</t>
        </is>
      </c>
      <c r="V113" s="2" t="inlineStr">
        <is>
          <t>No</t>
        </is>
      </c>
      <c r="W113" s="2" t="inlineStr">
        <is>
          <t>No</t>
        </is>
      </c>
      <c r="X113" s="2" t="inlineStr">
        <is>
          <t>No</t>
        </is>
      </c>
      <c r="Y113" s="2" t="inlineStr">
        <is>
          <t>No</t>
        </is>
      </c>
      <c r="Z113" s="2" t="inlineStr">
        <is>
          <t>No</t>
        </is>
      </c>
      <c r="AA113" s="6" t="n">
        <v>3.24515966</v>
      </c>
      <c r="AB113" s="6" t="n">
        <v>2.901794946</v>
      </c>
      <c r="AC113" s="6" t="n">
        <v>3.24515966</v>
      </c>
      <c r="AD113">
        <f t="array" ref="AD113">IF(SUMPRODUCT(--($AM$2:$AM$112=TRIM(LEFT($B113,IFERROR(FIND(" ",$B113)-1,LEN($B113))))))&gt;0,1,0)</f>
        <v/>
      </c>
      <c r="AE113">
        <f t="array" ref="AE113">IF(SUMPRODUCT(--($AO$2:$AO$145=TRIM(LEFT($B113,IFERROR(FIND(" ",$B113)-1,LEN($B113))))))&gt;0,1,0)</f>
        <v/>
      </c>
      <c r="AF113">
        <f t="array" ref="AF113">IF(SUMPRODUCT(--($AQ$2:$AQ$71=TRIM(LEFT($B113,IFERROR(FIND(" ",$B113)-1,LEN($B113))))))&gt;0,1,0)</f>
        <v/>
      </c>
      <c r="AN113" t="inlineStr">
        <is>
          <t>LXFT / DXC T</t>
        </is>
      </c>
      <c r="AO113">
        <f>TRIM(LEFT(AN113,FIND("/",AN113)-1))</f>
        <v/>
      </c>
    </row>
    <row r="114" ht="105.75" customHeight="1" thickBot="1">
      <c r="A114" s="13" t="n">
        <v>67</v>
      </c>
      <c r="B114" s="4" t="inlineStr">
        <is>
          <t>ZIMV US</t>
        </is>
      </c>
      <c r="C114" s="4" t="inlineStr">
        <is>
          <t>1011231D FP</t>
        </is>
      </c>
      <c r="D114" s="7" t="n">
        <v>45859</v>
      </c>
      <c r="E114" s="3" t="n">
        <v>692.61</v>
      </c>
      <c r="F114" s="4" t="inlineStr">
        <is>
          <t>Cash</t>
        </is>
      </c>
      <c r="G114" s="3" t="n">
        <v>50.75</v>
      </c>
      <c r="H114" s="4" t="inlineStr">
        <is>
          <t>Health Care</t>
        </is>
      </c>
      <c r="I114" s="4" t="inlineStr">
        <is>
          <t>Health Care</t>
        </is>
      </c>
      <c r="J114" s="4" t="inlineStr">
        <is>
          <t>Medical Equipment &amp; Devices</t>
        </is>
      </c>
      <c r="K114" s="4" t="n"/>
      <c r="L114" s="4" t="n"/>
      <c r="M114" s="3" t="n">
        <v>107.07</v>
      </c>
      <c r="N114" s="3" t="n">
        <v>530.51</v>
      </c>
      <c r="O114" s="4" t="inlineStr">
        <is>
          <t>United States</t>
        </is>
      </c>
      <c r="P114" s="4" t="inlineStr">
        <is>
          <t>France</t>
        </is>
      </c>
      <c r="Q114" s="4" t="inlineStr">
        <is>
          <t>Friendly</t>
        </is>
      </c>
      <c r="R114" s="3" t="n">
        <v>449.749</v>
      </c>
      <c r="S114" s="3" t="n">
        <v>-2.05141</v>
      </c>
      <c r="T114" s="4" t="inlineStr">
        <is>
          <t>Company Takeover, Going Private, Cross Border</t>
        </is>
      </c>
      <c r="U114" s="2" t="inlineStr">
        <is>
          <t>No</t>
        </is>
      </c>
      <c r="V114" s="2" t="inlineStr">
        <is>
          <t>No</t>
        </is>
      </c>
      <c r="W114" s="2" t="inlineStr">
        <is>
          <t>Yes</t>
        </is>
      </c>
      <c r="X114" s="2" t="inlineStr">
        <is>
          <t>Yes</t>
        </is>
      </c>
      <c r="Y114" s="2" t="inlineStr">
        <is>
          <t>No</t>
        </is>
      </c>
      <c r="Z114" s="2" t="inlineStr">
        <is>
          <t>No</t>
        </is>
      </c>
      <c r="AA114" s="6" t="n">
        <v>2.840488758</v>
      </c>
      <c r="AB114" s="6" t="n">
        <v>2.652970206</v>
      </c>
      <c r="AC114" s="6" t="n">
        <v>2.724693575</v>
      </c>
      <c r="AD114">
        <f t="array" ref="AD114">IF(SUMPRODUCT(--($AM$2:$AM$112=TRIM(LEFT($B114,IFERROR(FIND(" ",$B114)-1,LEN($B114))))))&gt;0,1,0)</f>
        <v/>
      </c>
      <c r="AE114">
        <f t="array" ref="AE114">IF(SUMPRODUCT(--($AO$2:$AO$145=TRIM(LEFT($B114,IFERROR(FIND(" ",$B114)-1,LEN($B114))))))&gt;0,1,0)</f>
        <v/>
      </c>
      <c r="AF114">
        <f t="array" ref="AF114">IF(SUMPRODUCT(--($AQ$2:$AQ$71=TRIM(LEFT($B114,IFERROR(FIND(" ",$B114)-1,LEN($B114))))))&gt;0,1,0)</f>
        <v/>
      </c>
      <c r="AN114" t="inlineStr">
        <is>
          <t>CELG / Brist</t>
        </is>
      </c>
      <c r="AO114">
        <f>TRIM(LEFT(AN114,FIND("/",AN114)-1))</f>
        <v/>
      </c>
    </row>
    <row r="115" ht="135.75" customHeight="1" thickBot="1">
      <c r="A115" s="13" t="n">
        <v>118</v>
      </c>
      <c r="B115" s="4" t="inlineStr">
        <is>
          <t>AVDX US</t>
        </is>
      </c>
      <c r="C115" s="2" t="n"/>
      <c r="D115" s="7" t="n">
        <v>45783</v>
      </c>
      <c r="E115" s="3" t="n">
        <v>1754.75</v>
      </c>
      <c r="F115" s="4" t="inlineStr">
        <is>
          <t>Cash</t>
        </is>
      </c>
      <c r="G115" s="3" t="n">
        <v>49.72</v>
      </c>
      <c r="H115" s="4" t="inlineStr">
        <is>
          <t>Technology</t>
        </is>
      </c>
      <c r="I115" s="4" t="inlineStr">
        <is>
          <t>Software &amp; Tech Services</t>
        </is>
      </c>
      <c r="J115" s="4" t="inlineStr">
        <is>
          <t>Software</t>
        </is>
      </c>
      <c r="K115" s="3" t="n">
        <v>133</v>
      </c>
      <c r="L115" s="3" t="n">
        <v>78</v>
      </c>
      <c r="M115" s="3" t="n">
        <v>27.8</v>
      </c>
      <c r="N115" s="3" t="n">
        <v>2068.65</v>
      </c>
      <c r="O115" s="4" t="inlineStr">
        <is>
          <t>United States</t>
        </is>
      </c>
      <c r="P115" s="4" t="inlineStr">
        <is>
          <t>United States</t>
        </is>
      </c>
      <c r="Q115" s="4" t="inlineStr">
        <is>
          <t>Friendly</t>
        </is>
      </c>
      <c r="R115" s="3" t="n">
        <v>438.94</v>
      </c>
      <c r="S115" s="3" t="n">
        <v>-3.8355</v>
      </c>
      <c r="T115" s="4" t="inlineStr">
        <is>
          <t>Company Takeover, Going Private, PE Buyout, Private Equity</t>
        </is>
      </c>
      <c r="U115" s="2" t="inlineStr">
        <is>
          <t>No</t>
        </is>
      </c>
      <c r="V115" s="2" t="inlineStr">
        <is>
          <t>No</t>
        </is>
      </c>
      <c r="W115" s="2" t="inlineStr">
        <is>
          <t>No</t>
        </is>
      </c>
      <c r="X115" s="2" t="inlineStr">
        <is>
          <t>Yes</t>
        </is>
      </c>
      <c r="Y115" s="2" t="inlineStr">
        <is>
          <t>Yes</t>
        </is>
      </c>
      <c r="Z115" s="2" t="inlineStr">
        <is>
          <t>No</t>
        </is>
      </c>
      <c r="AA115" s="6" t="n">
        <v>3.244215251</v>
      </c>
      <c r="AB115" s="6" t="n">
        <v>2.642405159</v>
      </c>
      <c r="AC115" s="6" t="n">
        <v>3.315687018</v>
      </c>
      <c r="AD115">
        <f t="array" ref="AD115">IF(SUMPRODUCT(--($AM$2:$AM$112=TRIM(LEFT($B115,IFERROR(FIND(" ",$B115)-1,LEN($B115))))))&gt;0,1,0)</f>
        <v/>
      </c>
      <c r="AE115">
        <f t="array" ref="AE115">IF(SUMPRODUCT(--($AO$2:$AO$145=TRIM(LEFT($B115,IFERROR(FIND(" ",$B115)-1,LEN($B115))))))&gt;0,1,0)</f>
        <v/>
      </c>
      <c r="AF115">
        <f t="array" ref="AF115">IF(SUMPRODUCT(--($AQ$2:$AQ$71=TRIM(LEFT($B115,IFERROR(FIND(" ",$B115)-1,LEN($B115))))))&gt;0,1,0)</f>
        <v/>
      </c>
      <c r="AN115" t="inlineStr">
        <is>
          <t xml:space="preserve">BEL / LVMH </t>
        </is>
      </c>
      <c r="AO115">
        <f>TRIM(LEFT(AN115,FIND("/",AN115)-1))</f>
        <v/>
      </c>
    </row>
    <row r="116" ht="45.75" customHeight="1" thickBot="1">
      <c r="A116" s="13" t="n">
        <v>51</v>
      </c>
      <c r="B116" s="4" t="inlineStr">
        <is>
          <t>ARIS US</t>
        </is>
      </c>
      <c r="C116" s="4" t="inlineStr">
        <is>
          <t>WES US</t>
        </is>
      </c>
      <c r="D116" s="7" t="n">
        <v>45875</v>
      </c>
      <c r="E116" s="3" t="n">
        <v>1915.77</v>
      </c>
      <c r="F116" s="4" t="inlineStr">
        <is>
          <t>Cash or Stock</t>
        </is>
      </c>
      <c r="G116" s="3" t="n">
        <v>10.3</v>
      </c>
      <c r="H116" s="4" t="inlineStr">
        <is>
          <t>Energy</t>
        </is>
      </c>
      <c r="I116" s="4" t="inlineStr">
        <is>
          <t>Oil &amp; Gas</t>
        </is>
      </c>
      <c r="J116" s="4" t="inlineStr">
        <is>
          <t>Oil &amp; Gas Services &amp; Equip</t>
        </is>
      </c>
      <c r="K116" s="4" t="n"/>
      <c r="L116" s="4" t="n"/>
      <c r="M116" s="3" t="n">
        <v>16.17</v>
      </c>
      <c r="N116" s="3" t="n">
        <v>1482.61</v>
      </c>
      <c r="O116" s="4" t="inlineStr">
        <is>
          <t>United States</t>
        </is>
      </c>
      <c r="P116" s="4" t="inlineStr">
        <is>
          <t>United States</t>
        </is>
      </c>
      <c r="Q116" s="4" t="inlineStr">
        <is>
          <t>Friendly</t>
        </is>
      </c>
      <c r="R116" s="3" t="n">
        <v>927.664</v>
      </c>
      <c r="S116" s="3" t="n">
        <v>42.6089</v>
      </c>
      <c r="T116" s="4" t="inlineStr">
        <is>
          <t>Company Takeover</t>
        </is>
      </c>
      <c r="U116" s="2" t="inlineStr">
        <is>
          <t>No</t>
        </is>
      </c>
      <c r="V116" s="2" t="inlineStr">
        <is>
          <t>No</t>
        </is>
      </c>
      <c r="W116" s="2" t="inlineStr">
        <is>
          <t>No</t>
        </is>
      </c>
      <c r="X116" s="2" t="inlineStr">
        <is>
          <t>No</t>
        </is>
      </c>
      <c r="Y116" s="2" t="inlineStr">
        <is>
          <t>No</t>
        </is>
      </c>
      <c r="Z116" s="2" t="inlineStr">
        <is>
          <t>No</t>
        </is>
      </c>
      <c r="AA116" s="6" t="n">
        <v>3.282343368</v>
      </c>
      <c r="AB116" s="6" t="n">
        <v>2.967390703</v>
      </c>
      <c r="AC116" s="6" t="n">
        <v>3.171026925</v>
      </c>
      <c r="AD116">
        <f t="array" ref="AD116">IF(SUMPRODUCT(--($AM$2:$AM$112=TRIM(LEFT($B116,IFERROR(FIND(" ",$B116)-1,LEN($B116))))))&gt;0,1,0)</f>
        <v/>
      </c>
      <c r="AE116">
        <f t="array" ref="AE116">IF(SUMPRODUCT(--($AO$2:$AO$145=TRIM(LEFT($B116,IFERROR(FIND(" ",$B116)-1,LEN($B116))))))&gt;0,1,0)</f>
        <v/>
      </c>
      <c r="AF116">
        <f t="array" ref="AF116">IF(SUMPRODUCT(--($AQ$2:$AQ$71=TRIM(LEFT($B116,IFERROR(FIND(" ",$B116)-1,LEN($B116))))))&gt;0,1,0)</f>
        <v/>
      </c>
      <c r="AN116" t="inlineStr">
        <is>
          <t>ARRS / Comms</t>
        </is>
      </c>
      <c r="AO116">
        <f>TRIM(LEFT(AN116,FIND("/",AN116)-1))</f>
        <v/>
      </c>
    </row>
    <row r="117" ht="45.75" customHeight="1" thickBot="1">
      <c r="A117" s="13" t="n">
        <v>134</v>
      </c>
      <c r="B117" s="4" t="inlineStr">
        <is>
          <t>COOP US</t>
        </is>
      </c>
      <c r="C117" s="4" t="inlineStr">
        <is>
          <t>RKT US</t>
        </is>
      </c>
      <c r="D117" s="7" t="n">
        <v>45747</v>
      </c>
      <c r="E117" s="3" t="n">
        <v>9935.58</v>
      </c>
      <c r="F117" s="4" t="inlineStr">
        <is>
          <t>Stock</t>
        </is>
      </c>
      <c r="G117" s="3" t="n">
        <v>5.6</v>
      </c>
      <c r="H117" s="4" t="inlineStr">
        <is>
          <t>Financials</t>
        </is>
      </c>
      <c r="I117" s="4" t="inlineStr">
        <is>
          <t>Financial Services</t>
        </is>
      </c>
      <c r="J117" s="4" t="inlineStr">
        <is>
          <t>Specialty Finance</t>
        </is>
      </c>
      <c r="K117" s="3" t="n">
        <v>500</v>
      </c>
      <c r="L117" s="3" t="n">
        <v>306.924</v>
      </c>
      <c r="M117" s="3" t="n">
        <v>49.04</v>
      </c>
      <c r="N117" s="3" t="n">
        <v>9935.58</v>
      </c>
      <c r="O117" s="4" t="inlineStr">
        <is>
          <t>United States</t>
        </is>
      </c>
      <c r="P117" s="4" t="inlineStr">
        <is>
          <t>United States</t>
        </is>
      </c>
      <c r="Q117" s="4" t="inlineStr">
        <is>
          <t>Friendly</t>
        </is>
      </c>
      <c r="R117" s="3" t="n">
        <v>3015</v>
      </c>
      <c r="S117" s="3" t="n">
        <v>25.3312</v>
      </c>
      <c r="T117" s="4" t="inlineStr">
        <is>
          <t>Company Takeover</t>
        </is>
      </c>
      <c r="U117" s="2" t="inlineStr">
        <is>
          <t>No</t>
        </is>
      </c>
      <c r="V117" s="2" t="inlineStr">
        <is>
          <t>No</t>
        </is>
      </c>
      <c r="W117" s="2" t="inlineStr">
        <is>
          <t>No</t>
        </is>
      </c>
      <c r="X117" s="2" t="inlineStr">
        <is>
          <t>No</t>
        </is>
      </c>
      <c r="Y117" s="2" t="inlineStr">
        <is>
          <t>No</t>
        </is>
      </c>
      <c r="Z117" s="2" t="inlineStr">
        <is>
          <t>No</t>
        </is>
      </c>
      <c r="AA117" s="6" t="n">
        <v>3.997193225</v>
      </c>
      <c r="AB117" s="6" t="n">
        <v>3.479287316</v>
      </c>
      <c r="AC117" s="6" t="n">
        <v>3.997193225</v>
      </c>
      <c r="AD117">
        <f t="array" ref="AD117">IF(SUMPRODUCT(--($AM$2:$AM$112=TRIM(LEFT($B117,IFERROR(FIND(" ",$B117)-1,LEN($B117))))))&gt;0,1,0)</f>
        <v/>
      </c>
      <c r="AE117">
        <f t="array" ref="AE117">IF(SUMPRODUCT(--($AO$2:$AO$145=TRIM(LEFT($B117,IFERROR(FIND(" ",$B117)-1,LEN($B117))))))&gt;0,1,0)</f>
        <v/>
      </c>
      <c r="AF117">
        <f t="array" ref="AF117">IF(SUMPRODUCT(--($AQ$2:$AQ$71=TRIM(LEFT($B117,IFERROR(FIND(" ",$B117)-1,LEN($B117))))))&gt;0,1,0)</f>
        <v/>
      </c>
      <c r="AN117" t="inlineStr">
        <is>
          <t>RHT / Inter</t>
        </is>
      </c>
      <c r="AO117">
        <f>TRIM(LEFT(AN117,FIND("/",AN117)-1))</f>
        <v/>
      </c>
    </row>
    <row r="118" ht="75.75" customHeight="1" thickBot="1">
      <c r="A118" s="13" t="n">
        <v>57</v>
      </c>
      <c r="B118" s="4" t="inlineStr">
        <is>
          <t>KLG US</t>
        </is>
      </c>
      <c r="C118" s="4" t="inlineStr">
        <is>
          <t>0852591D LX</t>
        </is>
      </c>
      <c r="D118" s="7" t="n">
        <v>45848</v>
      </c>
      <c r="E118" s="3" t="n">
        <v>2656.46</v>
      </c>
      <c r="F118" s="4" t="inlineStr">
        <is>
          <t>Cash</t>
        </is>
      </c>
      <c r="G118" s="3" t="n">
        <v>14.21</v>
      </c>
      <c r="H118" s="4" t="inlineStr">
        <is>
          <t>Consumer Staples</t>
        </is>
      </c>
      <c r="I118" s="4" t="inlineStr">
        <is>
          <t>Consumer Staple Products</t>
        </is>
      </c>
      <c r="J118" s="4" t="inlineStr">
        <is>
          <t>Food</t>
        </is>
      </c>
      <c r="K118" s="3" t="n">
        <v>105.062</v>
      </c>
      <c r="L118" s="3" t="n">
        <v>73.54340000000001</v>
      </c>
      <c r="M118" s="3" t="n">
        <v>41.88</v>
      </c>
      <c r="N118" s="3" t="n">
        <v>1987.46</v>
      </c>
      <c r="O118" s="4" t="inlineStr">
        <is>
          <t>United States</t>
        </is>
      </c>
      <c r="P118" s="4" t="inlineStr">
        <is>
          <t>Luxembourg</t>
        </is>
      </c>
      <c r="Q118" s="4" t="inlineStr">
        <is>
          <t>Friendly</t>
        </is>
      </c>
      <c r="R118" s="3" t="n">
        <v>2708</v>
      </c>
      <c r="S118" s="3" t="n">
        <v>1.76583</v>
      </c>
      <c r="T118" s="4" t="inlineStr">
        <is>
          <t>Company Takeover, Going Private</t>
        </is>
      </c>
      <c r="U118" s="2" t="inlineStr">
        <is>
          <t>No</t>
        </is>
      </c>
      <c r="V118" s="2" t="inlineStr">
        <is>
          <t>No</t>
        </is>
      </c>
      <c r="W118" s="2" t="inlineStr">
        <is>
          <t>No</t>
        </is>
      </c>
      <c r="X118" s="2" t="inlineStr">
        <is>
          <t>Yes</t>
        </is>
      </c>
      <c r="Y118" s="2" t="inlineStr">
        <is>
          <t>No</t>
        </is>
      </c>
      <c r="Z118" s="2" t="inlineStr">
        <is>
          <t>No</t>
        </is>
      </c>
      <c r="AA118" s="6" t="n">
        <v>3.424303281</v>
      </c>
      <c r="AB118" s="6" t="n">
        <v>3.43264866</v>
      </c>
      <c r="AC118" s="6" t="n">
        <v>3.298298397</v>
      </c>
      <c r="AD118">
        <f t="array" ref="AD118">IF(SUMPRODUCT(--($AM$2:$AM$112=TRIM(LEFT($B118,IFERROR(FIND(" ",$B118)-1,LEN($B118))))))&gt;0,1,0)</f>
        <v/>
      </c>
      <c r="AE118">
        <f t="array" ref="AE118">IF(SUMPRODUCT(--($AO$2:$AO$145=TRIM(LEFT($B118,IFERROR(FIND(" ",$B118)-1,LEN($B118))))))&gt;0,1,0)</f>
        <v/>
      </c>
      <c r="AF118">
        <f t="array" ref="AF118">IF(SUMPRODUCT(--($AQ$2:$AQ$71=TRIM(LEFT($B118,IFERROR(FIND(" ",$B118)-1,LEN($B118))))))&gt;0,1,0)</f>
        <v/>
      </c>
      <c r="AN118" t="inlineStr">
        <is>
          <t>LLL / Harri</t>
        </is>
      </c>
      <c r="AO118">
        <f>TRIM(LEFT(AN118,FIND("/",AN118)-1))</f>
        <v/>
      </c>
    </row>
    <row r="119" ht="135.75" customHeight="1" thickBot="1">
      <c r="A119" s="13" t="n">
        <v>70</v>
      </c>
      <c r="B119" s="4" t="inlineStr">
        <is>
          <t>BASE US</t>
        </is>
      </c>
      <c r="C119" s="4" t="inlineStr">
        <is>
          <t>1992552D US</t>
        </is>
      </c>
      <c r="D119" s="7" t="n">
        <v>45828</v>
      </c>
      <c r="E119" s="3" t="n">
        <v>1186.99</v>
      </c>
      <c r="F119" s="4" t="inlineStr">
        <is>
          <t>Cash</t>
        </is>
      </c>
      <c r="G119" s="4" t="n"/>
      <c r="H119" s="4" t="inlineStr">
        <is>
          <t>Technology</t>
        </is>
      </c>
      <c r="I119" s="4" t="inlineStr">
        <is>
          <t>Software &amp; Tech Services</t>
        </is>
      </c>
      <c r="J119" s="4" t="inlineStr">
        <is>
          <t>Software</t>
        </is>
      </c>
      <c r="K119" s="3" t="n">
        <v>82.5</v>
      </c>
      <c r="L119" s="3" t="n">
        <v>42</v>
      </c>
      <c r="M119" s="3" t="n">
        <v>29.93</v>
      </c>
      <c r="N119" s="3" t="n">
        <v>1325.07</v>
      </c>
      <c r="O119" s="4" t="inlineStr">
        <is>
          <t>United States</t>
        </is>
      </c>
      <c r="P119" s="4" t="inlineStr">
        <is>
          <t>United States</t>
        </is>
      </c>
      <c r="Q119" s="4" t="inlineStr">
        <is>
          <t>Friendly</t>
        </is>
      </c>
      <c r="R119" s="3" t="n">
        <v>209.466</v>
      </c>
      <c r="S119" s="3" t="n">
        <v>-35.9474</v>
      </c>
      <c r="T119" s="4" t="inlineStr">
        <is>
          <t>Company Takeover, Going Private, Private Equity, PE Buyout</t>
        </is>
      </c>
      <c r="U119" s="2" t="inlineStr">
        <is>
          <t>No</t>
        </is>
      </c>
      <c r="V119" s="2" t="inlineStr">
        <is>
          <t>No</t>
        </is>
      </c>
      <c r="W119" s="2" t="inlineStr">
        <is>
          <t>No</t>
        </is>
      </c>
      <c r="X119" s="2" t="inlineStr">
        <is>
          <t>Yes</t>
        </is>
      </c>
      <c r="Y119" s="2" t="inlineStr">
        <is>
          <t>Yes</t>
        </is>
      </c>
      <c r="Z119" s="2" t="inlineStr">
        <is>
          <t>No</t>
        </is>
      </c>
      <c r="AA119" s="6" t="n">
        <v>3.07444706</v>
      </c>
      <c r="AB119" s="6" t="n">
        <v>2.321113539</v>
      </c>
      <c r="AC119" s="6" t="n">
        <v>3.122238822</v>
      </c>
      <c r="AD119">
        <f t="array" ref="AD119">IF(SUMPRODUCT(--($AM$2:$AM$112=TRIM(LEFT($B119,IFERROR(FIND(" ",$B119)-1,LEN($B119))))))&gt;0,1,0)</f>
        <v/>
      </c>
      <c r="AE119">
        <f t="array" ref="AE119">IF(SUMPRODUCT(--($AO$2:$AO$145=TRIM(LEFT($B119,IFERROR(FIND(" ",$B119)-1,LEN($B119))))))&gt;0,1,0)</f>
        <v/>
      </c>
      <c r="AF119">
        <f t="array" ref="AF119">IF(SUMPRODUCT(--($AQ$2:$AQ$71=TRIM(LEFT($B119,IFERROR(FIND(" ",$B119)-1,LEN($B119))))))&gt;0,1,0)</f>
        <v/>
      </c>
      <c r="AN119" t="inlineStr">
        <is>
          <t>ESL / Trans</t>
        </is>
      </c>
      <c r="AO119">
        <f>TRIM(LEFT(AN119,FIND("/",AN119)-1))</f>
        <v/>
      </c>
    </row>
    <row r="120" ht="60.75" customHeight="1" thickBot="1">
      <c r="A120" s="13" t="n">
        <v>66</v>
      </c>
      <c r="B120" s="4" t="inlineStr">
        <is>
          <t>SPTN US</t>
        </is>
      </c>
      <c r="C120" s="4" t="inlineStr">
        <is>
          <t>22983Z US</t>
        </is>
      </c>
      <c r="D120" s="7" t="n">
        <v>45831</v>
      </c>
      <c r="E120" s="3" t="n">
        <v>2005.49</v>
      </c>
      <c r="F120" s="4" t="inlineStr">
        <is>
          <t>Cash</t>
        </is>
      </c>
      <c r="G120" s="3" t="n">
        <v>9.220000000000001</v>
      </c>
      <c r="H120" s="4" t="inlineStr">
        <is>
          <t>Consumer Staples</t>
        </is>
      </c>
      <c r="I120" s="4" t="inlineStr">
        <is>
          <t>Retail &amp; Wholesale - Staples</t>
        </is>
      </c>
      <c r="J120" s="4" t="inlineStr">
        <is>
          <t>Retail - Consumer Staples</t>
        </is>
      </c>
      <c r="K120" s="4" t="n"/>
      <c r="L120" s="4" t="n"/>
      <c r="M120" s="3" t="n">
        <v>44.03</v>
      </c>
      <c r="N120" s="3" t="n">
        <v>910.5599999999999</v>
      </c>
      <c r="O120" s="4" t="inlineStr">
        <is>
          <t>United States</t>
        </is>
      </c>
      <c r="P120" s="4" t="inlineStr">
        <is>
          <t>United States</t>
        </is>
      </c>
      <c r="Q120" s="4" t="inlineStr">
        <is>
          <t>Friendly</t>
        </is>
      </c>
      <c r="R120" s="3" t="n">
        <v>9549.32</v>
      </c>
      <c r="S120" s="3" t="n">
        <v>0.353902</v>
      </c>
      <c r="T120" s="4" t="inlineStr">
        <is>
          <t>Company Takeover</t>
        </is>
      </c>
      <c r="U120" s="2" t="inlineStr">
        <is>
          <t>No</t>
        </is>
      </c>
      <c r="V120" s="2" t="inlineStr">
        <is>
          <t>No</t>
        </is>
      </c>
      <c r="W120" s="2" t="inlineStr">
        <is>
          <t>No</t>
        </is>
      </c>
      <c r="X120" s="2" t="inlineStr">
        <is>
          <t>No</t>
        </is>
      </c>
      <c r="Y120" s="2" t="inlineStr">
        <is>
          <t>No</t>
        </is>
      </c>
      <c r="Z120" s="2" t="inlineStr">
        <is>
          <t>No</t>
        </is>
      </c>
      <c r="AA120" s="6" t="n">
        <v>3.302220501</v>
      </c>
      <c r="AB120" s="6" t="n">
        <v>3.979972447</v>
      </c>
      <c r="AC120" s="6" t="n">
        <v>2.959308568</v>
      </c>
      <c r="AD120">
        <f t="array" ref="AD120">IF(SUMPRODUCT(--($AM$2:$AM$112=TRIM(LEFT($B120,IFERROR(FIND(" ",$B120)-1,LEN($B120))))))&gt;0,1,0)</f>
        <v/>
      </c>
      <c r="AE120">
        <f t="array" ref="AE120">IF(SUMPRODUCT(--($AO$2:$AO$145=TRIM(LEFT($B120,IFERROR(FIND(" ",$B120)-1,LEN($B120))))))&gt;0,1,0)</f>
        <v/>
      </c>
      <c r="AF120">
        <f t="array" ref="AF120">IF(SUMPRODUCT(--($AQ$2:$AQ$71=TRIM(LEFT($B120,IFERROR(FIND(" ",$B120)-1,LEN($B120))))))&gt;0,1,0)</f>
        <v/>
      </c>
      <c r="AN120" t="inlineStr">
        <is>
          <t>NXEO / Univa</t>
        </is>
      </c>
      <c r="AO120">
        <f>TRIM(LEFT(AN120,FIND("/",AN120)-1))</f>
        <v/>
      </c>
    </row>
    <row r="121" ht="135.75" customHeight="1" thickBot="1">
      <c r="A121" s="13" t="n">
        <v>95</v>
      </c>
      <c r="B121" s="4" t="inlineStr">
        <is>
          <t>SKX US</t>
        </is>
      </c>
      <c r="C121" s="4" t="inlineStr">
        <is>
          <t>4071428Z US</t>
        </is>
      </c>
      <c r="D121" s="7" t="n">
        <v>45782</v>
      </c>
      <c r="E121" s="3" t="n">
        <v>10479.16</v>
      </c>
      <c r="F121" s="4" t="inlineStr">
        <is>
          <t>Cash or Stock</t>
        </is>
      </c>
      <c r="G121" s="3" t="n">
        <v>6.87</v>
      </c>
      <c r="H121" s="4" t="inlineStr">
        <is>
          <t>Consumer Discretionary</t>
        </is>
      </c>
      <c r="I121" s="4" t="inlineStr">
        <is>
          <t>Consumer Discretionary Products</t>
        </is>
      </c>
      <c r="J121" s="4" t="inlineStr">
        <is>
          <t>Apparel &amp; Textile Products</t>
        </is>
      </c>
      <c r="K121" s="4" t="n"/>
      <c r="L121" s="4" t="n"/>
      <c r="M121" s="3" t="n">
        <v>30.11</v>
      </c>
      <c r="N121" s="3" t="n">
        <v>9432.98</v>
      </c>
      <c r="O121" s="4" t="inlineStr">
        <is>
          <t>United States</t>
        </is>
      </c>
      <c r="P121" s="4" t="inlineStr">
        <is>
          <t>United States</t>
        </is>
      </c>
      <c r="Q121" s="4" t="inlineStr">
        <is>
          <t>Friendly</t>
        </is>
      </c>
      <c r="R121" s="3" t="n">
        <v>8969.35</v>
      </c>
      <c r="S121" s="3" t="n">
        <v>8.89461</v>
      </c>
      <c r="T121" s="4" t="inlineStr">
        <is>
          <t>Company Takeover, PE Buyout, Private Equity, Going Private</t>
        </is>
      </c>
      <c r="U121" s="2" t="inlineStr">
        <is>
          <t>No</t>
        </is>
      </c>
      <c r="V121" s="2" t="inlineStr">
        <is>
          <t>No</t>
        </is>
      </c>
      <c r="W121" s="2" t="inlineStr">
        <is>
          <t>No</t>
        </is>
      </c>
      <c r="X121" s="2" t="inlineStr">
        <is>
          <t>Yes</t>
        </is>
      </c>
      <c r="Y121" s="2" t="inlineStr">
        <is>
          <t>Yes</t>
        </is>
      </c>
      <c r="Z121" s="2" t="inlineStr">
        <is>
          <t>No</t>
        </is>
      </c>
      <c r="AA121" s="6" t="n">
        <v>4.020326471</v>
      </c>
      <c r="AB121" s="6" t="n">
        <v>3.952760971</v>
      </c>
      <c r="AC121" s="6" t="n">
        <v>3.974648914</v>
      </c>
      <c r="AD121">
        <f t="array" ref="AD121">IF(SUMPRODUCT(--($AM$2:$AM$112=TRIM(LEFT($B121,IFERROR(FIND(" ",$B121)-1,LEN($B121))))))&gt;0,1,0)</f>
        <v/>
      </c>
      <c r="AE121">
        <f t="array" ref="AE121">IF(SUMPRODUCT(--($AO$2:$AO$145=TRIM(LEFT($B121,IFERROR(FIND(" ",$B121)-1,LEN($B121))))))&gt;0,1,0)</f>
        <v/>
      </c>
      <c r="AF121">
        <f t="array" ref="AF121">IF(SUMPRODUCT(--($AQ$2:$AQ$71=TRIM(LEFT($B121,IFERROR(FIND(" ",$B121)-1,LEN($B121))))))&gt;0,1,0)</f>
        <v/>
      </c>
      <c r="AN121" t="inlineStr">
        <is>
          <t>AHL / Apoll</t>
        </is>
      </c>
      <c r="AO121">
        <f>TRIM(LEFT(AN121,FIND("/",AN121)-1))</f>
        <v/>
      </c>
    </row>
    <row r="122" ht="105.75" customHeight="1" thickBot="1">
      <c r="A122" s="13" t="n">
        <v>52</v>
      </c>
      <c r="B122" s="4" t="inlineStr">
        <is>
          <t>OLO US</t>
        </is>
      </c>
      <c r="C122" s="4" t="inlineStr">
        <is>
          <t>129626Z US</t>
        </is>
      </c>
      <c r="D122" s="7" t="n">
        <v>45841</v>
      </c>
      <c r="E122" s="3" t="n">
        <v>1482.42</v>
      </c>
      <c r="F122" s="4" t="inlineStr">
        <is>
          <t>Cash</t>
        </is>
      </c>
      <c r="G122" s="4" t="n"/>
      <c r="H122" s="4" t="inlineStr">
        <is>
          <t>Technology</t>
        </is>
      </c>
      <c r="I122" s="4" t="inlineStr">
        <is>
          <t>Software &amp; Tech Services</t>
        </is>
      </c>
      <c r="J122" s="4" t="inlineStr">
        <is>
          <t>Software</t>
        </is>
      </c>
      <c r="K122" s="4" t="n"/>
      <c r="L122" s="4" t="n"/>
      <c r="M122" s="3" t="n">
        <v>18.08</v>
      </c>
      <c r="N122" s="3" t="n">
        <v>1827.63</v>
      </c>
      <c r="O122" s="4" t="inlineStr">
        <is>
          <t>United States</t>
        </is>
      </c>
      <c r="P122" s="4" t="inlineStr">
        <is>
          <t>United States</t>
        </is>
      </c>
      <c r="Q122" s="4" t="inlineStr">
        <is>
          <t>Friendly</t>
        </is>
      </c>
      <c r="R122" s="3" t="n">
        <v>284.938</v>
      </c>
      <c r="S122" s="3" t="n">
        <v>-5.75134</v>
      </c>
      <c r="T122" s="4" t="inlineStr">
        <is>
          <t>Company Takeover, Private Equity, PE Buyout</t>
        </is>
      </c>
      <c r="U122" s="2" t="inlineStr">
        <is>
          <t>No</t>
        </is>
      </c>
      <c r="V122" s="2" t="inlineStr">
        <is>
          <t>No</t>
        </is>
      </c>
      <c r="W122" s="2" t="inlineStr">
        <is>
          <t>No</t>
        </is>
      </c>
      <c r="X122" s="2" t="inlineStr">
        <is>
          <t>No</t>
        </is>
      </c>
      <c r="Y122" s="2" t="inlineStr">
        <is>
          <t>Yes</t>
        </is>
      </c>
      <c r="Z122" s="2" t="inlineStr">
        <is>
          <t>No</t>
        </is>
      </c>
      <c r="AA122" s="6" t="n">
        <v>3.170971266</v>
      </c>
      <c r="AB122" s="6" t="n">
        <v>2.454750372</v>
      </c>
      <c r="AC122" s="6" t="n">
        <v>3.261888278</v>
      </c>
      <c r="AD122">
        <f t="array" ref="AD122">IF(SUMPRODUCT(--($AM$2:$AM$112=TRIM(LEFT($B122,IFERROR(FIND(" ",$B122)-1,LEN($B122))))))&gt;0,1,0)</f>
        <v/>
      </c>
      <c r="AE122">
        <f t="array" ref="AE122">IF(SUMPRODUCT(--($AO$2:$AO$145=TRIM(LEFT($B122,IFERROR(FIND(" ",$B122)-1,LEN($B122))))))&gt;0,1,0)</f>
        <v/>
      </c>
      <c r="AF122">
        <f t="array" ref="AF122">IF(SUMPRODUCT(--($AQ$2:$AQ$71=TRIM(LEFT($B122,IFERROR(FIND(" ",$B122)-1,LEN($B122))))))&gt;0,1,0)</f>
        <v/>
      </c>
      <c r="AN122" t="inlineStr">
        <is>
          <t>BMS / Amcor</t>
        </is>
      </c>
      <c r="AO122">
        <f>TRIM(LEFT(AN122,FIND("/",AN122)-1))</f>
        <v/>
      </c>
    </row>
    <row r="123" ht="60.75" customHeight="1" thickBot="1">
      <c r="A123" s="13" t="n">
        <v>83</v>
      </c>
      <c r="B123" s="4" t="inlineStr">
        <is>
          <t>FL US</t>
        </is>
      </c>
      <c r="C123" s="4" t="inlineStr">
        <is>
          <t>DKS US</t>
        </is>
      </c>
      <c r="D123" s="7" t="n">
        <v>45792</v>
      </c>
      <c r="E123" s="3" t="n">
        <v>4661.9</v>
      </c>
      <c r="F123" s="4" t="inlineStr">
        <is>
          <t>Cash or Stock</t>
        </is>
      </c>
      <c r="G123" s="3" t="n">
        <v>4.92</v>
      </c>
      <c r="H123" s="4" t="inlineStr">
        <is>
          <t>Consumer Discretionary</t>
        </is>
      </c>
      <c r="I123" s="4" t="inlineStr">
        <is>
          <t>Retail &amp; Whsle - Discretionary</t>
        </is>
      </c>
      <c r="J123" s="4" t="inlineStr">
        <is>
          <t>Retail - Discretionary</t>
        </is>
      </c>
      <c r="K123" s="3" t="n">
        <v>95.5</v>
      </c>
      <c r="L123" s="3" t="n">
        <v>59.5</v>
      </c>
      <c r="M123" s="3" t="n">
        <v>96.62</v>
      </c>
      <c r="N123" s="3" t="n">
        <v>2278.91</v>
      </c>
      <c r="O123" s="4" t="inlineStr">
        <is>
          <t>United States</t>
        </is>
      </c>
      <c r="P123" s="4" t="inlineStr">
        <is>
          <t>United States</t>
        </is>
      </c>
      <c r="Q123" s="4" t="inlineStr">
        <is>
          <t>Friendly</t>
        </is>
      </c>
      <c r="R123" s="3" t="n">
        <v>7988</v>
      </c>
      <c r="S123" s="3" t="n">
        <v>-2.5827</v>
      </c>
      <c r="T123" s="4" t="inlineStr">
        <is>
          <t>Company Takeover</t>
        </is>
      </c>
      <c r="U123" s="2" t="inlineStr">
        <is>
          <t>No</t>
        </is>
      </c>
      <c r="V123" s="2" t="inlineStr">
        <is>
          <t>No</t>
        </is>
      </c>
      <c r="W123" s="2" t="inlineStr">
        <is>
          <t>No</t>
        </is>
      </c>
      <c r="X123" s="2" t="inlineStr">
        <is>
          <t>No</t>
        </is>
      </c>
      <c r="Y123" s="2" t="inlineStr">
        <is>
          <t>No</t>
        </is>
      </c>
      <c r="Z123" s="2" t="inlineStr">
        <is>
          <t>No</t>
        </is>
      </c>
      <c r="AA123" s="6" t="n">
        <v>3.668562953</v>
      </c>
      <c r="AB123" s="6" t="n">
        <v>3.902438056</v>
      </c>
      <c r="AC123" s="6" t="n">
        <v>3.357727174</v>
      </c>
      <c r="AD123">
        <f t="array" ref="AD123">IF(SUMPRODUCT(--($AM$2:$AM$112=TRIM(LEFT($B123,IFERROR(FIND(" ",$B123)-1,LEN($B123))))))&gt;0,1,0)</f>
        <v/>
      </c>
      <c r="AE123">
        <f t="array" ref="AE123">IF(SUMPRODUCT(--($AO$2:$AO$145=TRIM(LEFT($B123,IFERROR(FIND(" ",$B123)-1,LEN($B123))))))&gt;0,1,0)</f>
        <v/>
      </c>
      <c r="AF123">
        <f t="array" ref="AF123">IF(SUMPRODUCT(--($AQ$2:$AQ$71=TRIM(LEFT($B123,IFERROR(FIND(" ",$B123)-1,LEN($B123))))))&gt;0,1,0)</f>
        <v/>
      </c>
      <c r="AN123" t="inlineStr">
        <is>
          <t>CA / Broad</t>
        </is>
      </c>
      <c r="AO123">
        <f>TRIM(LEFT(AN123,FIND("/",AN123)-1))</f>
        <v/>
      </c>
    </row>
    <row r="124" ht="45.75" customHeight="1" thickBot="1">
      <c r="A124" s="13" t="n">
        <v>86</v>
      </c>
      <c r="B124" s="4" t="inlineStr">
        <is>
          <t>MAG CN</t>
        </is>
      </c>
      <c r="C124" s="4" t="inlineStr">
        <is>
          <t>PAAS CN</t>
        </is>
      </c>
      <c r="D124" s="7" t="n">
        <v>45789</v>
      </c>
      <c r="E124" s="3" t="n">
        <v>1842.74</v>
      </c>
      <c r="F124" s="4" t="inlineStr">
        <is>
          <t>Cash or Stock</t>
        </is>
      </c>
      <c r="G124" s="4" t="n"/>
      <c r="H124" s="4" t="inlineStr">
        <is>
          <t>Materials</t>
        </is>
      </c>
      <c r="I124" s="4" t="inlineStr">
        <is>
          <t>Materials</t>
        </is>
      </c>
      <c r="J124" s="4" t="inlineStr">
        <is>
          <t>Metals &amp; Mining</t>
        </is>
      </c>
      <c r="K124" s="4" t="n"/>
      <c r="L124" s="4" t="n"/>
      <c r="M124" s="3" t="n">
        <v>25.7</v>
      </c>
      <c r="N124" s="3" t="n">
        <v>2002.85</v>
      </c>
      <c r="O124" s="4" t="inlineStr">
        <is>
          <t>Canada</t>
        </is>
      </c>
      <c r="P124" s="4" t="inlineStr">
        <is>
          <t>Canada</t>
        </is>
      </c>
      <c r="Q124" s="4" t="inlineStr">
        <is>
          <t>Friendly</t>
        </is>
      </c>
      <c r="R124" s="2" t="n"/>
      <c r="S124" s="2" t="n"/>
      <c r="T124" s="4" t="inlineStr">
        <is>
          <t>Company Takeover</t>
        </is>
      </c>
      <c r="U124" s="2" t="inlineStr">
        <is>
          <t>No</t>
        </is>
      </c>
      <c r="V124" s="2" t="inlineStr">
        <is>
          <t>No</t>
        </is>
      </c>
      <c r="W124" s="2" t="inlineStr">
        <is>
          <t>No</t>
        </is>
      </c>
      <c r="X124" s="2" t="inlineStr">
        <is>
          <t>No</t>
        </is>
      </c>
      <c r="Y124" s="2" t="inlineStr">
        <is>
          <t>No</t>
        </is>
      </c>
      <c r="Z124" s="2" t="inlineStr">
        <is>
          <t>No</t>
        </is>
      </c>
      <c r="AA124" s="6" t="n">
        <v>3.265464063</v>
      </c>
      <c r="AB124" s="2" t="n"/>
      <c r="AC124" s="6" t="n">
        <v>3.301648425</v>
      </c>
      <c r="AD124">
        <f t="array" ref="AD124">IF(SUMPRODUCT(--($AM$2:$AM$112=TRIM(LEFT($B124,IFERROR(FIND(" ",$B124)-1,LEN($B124))))))&gt;0,1,0)</f>
        <v/>
      </c>
      <c r="AE124">
        <f t="array" ref="AE124">IF(SUMPRODUCT(--($AO$2:$AO$145=TRIM(LEFT($B124,IFERROR(FIND(" ",$B124)-1,LEN($B124))))))&gt;0,1,0)</f>
        <v/>
      </c>
      <c r="AF124">
        <f t="array" ref="AF124">IF(SUMPRODUCT(--($AQ$2:$AQ$71=TRIM(LEFT($B124,IFERROR(FIND(" ",$B124)-1,LEN($B124))))))&gt;0,1,0)</f>
        <v/>
      </c>
      <c r="AN124" t="inlineStr">
        <is>
          <t>CVG / SYNNE</t>
        </is>
      </c>
      <c r="AO124">
        <f>TRIM(LEFT(AN124,FIND("/",AN124)-1))</f>
        <v/>
      </c>
    </row>
    <row r="125" ht="120.75" customHeight="1" thickBot="1">
      <c r="A125" s="13" t="n">
        <v>49</v>
      </c>
      <c r="B125" s="4" t="inlineStr">
        <is>
          <t>GMS US</t>
        </is>
      </c>
      <c r="C125" s="4" t="inlineStr">
        <is>
          <t>HD US</t>
        </is>
      </c>
      <c r="D125" s="7" t="n">
        <v>45838</v>
      </c>
      <c r="E125" s="3" t="n">
        <v>4234.24</v>
      </c>
      <c r="F125" s="4" t="inlineStr">
        <is>
          <t>Cash</t>
        </is>
      </c>
      <c r="G125" s="3" t="n">
        <v>8.390000000000001</v>
      </c>
      <c r="H125" s="4" t="inlineStr">
        <is>
          <t>Consumer Discretionary</t>
        </is>
      </c>
      <c r="I125" s="4" t="inlineStr">
        <is>
          <t>Retail &amp; Whsle - Discretionary</t>
        </is>
      </c>
      <c r="J125" s="4" t="inlineStr">
        <is>
          <t>Retail - Discretionary</t>
        </is>
      </c>
      <c r="K125" s="3" t="n">
        <v>230</v>
      </c>
      <c r="L125" s="3" t="n">
        <v>14.75</v>
      </c>
      <c r="M125" s="3" t="n">
        <v>31.3</v>
      </c>
      <c r="N125" s="3" t="n">
        <v>4234.24</v>
      </c>
      <c r="O125" s="4" t="inlineStr">
        <is>
          <t>United States</t>
        </is>
      </c>
      <c r="P125" s="4" t="inlineStr">
        <is>
          <t>United States</t>
        </is>
      </c>
      <c r="Q125" s="4" t="inlineStr">
        <is>
          <t>Friendly</t>
        </is>
      </c>
      <c r="R125" s="3" t="n">
        <v>5513.74</v>
      </c>
      <c r="S125" s="3" t="n">
        <v>4.38735</v>
      </c>
      <c r="T125" s="4" t="inlineStr">
        <is>
          <t>Company Takeover, Competing Bid, Tender Offer</t>
        </is>
      </c>
      <c r="U125" s="2" t="inlineStr">
        <is>
          <t>No</t>
        </is>
      </c>
      <c r="V125" s="2" t="inlineStr">
        <is>
          <t>Yes</t>
        </is>
      </c>
      <c r="W125" s="2" t="inlineStr">
        <is>
          <t>No</t>
        </is>
      </c>
      <c r="X125" s="2" t="inlineStr">
        <is>
          <t>No</t>
        </is>
      </c>
      <c r="Y125" s="2" t="inlineStr">
        <is>
          <t>No</t>
        </is>
      </c>
      <c r="Z125" s="2" t="inlineStr">
        <is>
          <t>Yes</t>
        </is>
      </c>
      <c r="AA125" s="6" t="n">
        <v>3.626775471</v>
      </c>
      <c r="AB125" s="6" t="n">
        <v>3.741446283</v>
      </c>
      <c r="AC125" s="6" t="n">
        <v>3.626775471</v>
      </c>
      <c r="AD125">
        <f t="array" ref="AD125">IF(SUMPRODUCT(--($AM$2:$AM$112=TRIM(LEFT($B125,IFERROR(FIND(" ",$B125)-1,LEN($B125))))))&gt;0,1,0)</f>
        <v/>
      </c>
      <c r="AE125">
        <f t="array" ref="AE125">IF(SUMPRODUCT(--($AO$2:$AO$145=TRIM(LEFT($B125,IFERROR(FIND(" ",$B125)-1,LEN($B125))))))&gt;0,1,0)</f>
        <v/>
      </c>
      <c r="AF125">
        <f t="array" ref="AF125">IF(SUMPRODUCT(--($AQ$2:$AQ$71=TRIM(LEFT($B125,IFERROR(FIND(" ",$B125)-1,LEN($B125))))))&gt;0,1,0)</f>
        <v/>
      </c>
      <c r="AN125" t="inlineStr">
        <is>
          <t>FRUT / Inter</t>
        </is>
      </c>
      <c r="AO125">
        <f>TRIM(LEFT(AN125,FIND("/",AN125)-1))</f>
        <v/>
      </c>
    </row>
    <row r="126" ht="45.75" customHeight="1" thickBot="1">
      <c r="A126" s="13" t="n">
        <v>96</v>
      </c>
      <c r="B126" s="4" t="inlineStr">
        <is>
          <t>PPBI US</t>
        </is>
      </c>
      <c r="C126" s="4" t="inlineStr">
        <is>
          <t>COLB US</t>
        </is>
      </c>
      <c r="D126" s="7" t="n">
        <v>45770</v>
      </c>
      <c r="E126" s="3" t="n">
        <v>2027.45</v>
      </c>
      <c r="F126" s="4" t="inlineStr">
        <is>
          <t>Stock</t>
        </is>
      </c>
      <c r="G126" s="4" t="n"/>
      <c r="H126" s="4" t="inlineStr">
        <is>
          <t>Financials</t>
        </is>
      </c>
      <c r="I126" s="4" t="inlineStr">
        <is>
          <t>Banking</t>
        </is>
      </c>
      <c r="J126" s="4" t="inlineStr">
        <is>
          <t>Banking</t>
        </is>
      </c>
      <c r="K126" s="4" t="n"/>
      <c r="L126" s="4" t="n"/>
      <c r="M126" s="3" t="n">
        <v>4.32</v>
      </c>
      <c r="N126" s="3" t="n">
        <v>2027.45</v>
      </c>
      <c r="O126" s="4" t="inlineStr">
        <is>
          <t>United States</t>
        </is>
      </c>
      <c r="P126" s="4" t="inlineStr">
        <is>
          <t>United States</t>
        </is>
      </c>
      <c r="Q126" s="4" t="inlineStr">
        <is>
          <t>Friendly</t>
        </is>
      </c>
      <c r="R126" s="3" t="n">
        <v>905.4059999999999</v>
      </c>
      <c r="S126" s="3" t="n">
        <v>31.2893</v>
      </c>
      <c r="T126" s="4" t="inlineStr">
        <is>
          <t>Company Takeover</t>
        </is>
      </c>
      <c r="U126" s="2" t="inlineStr">
        <is>
          <t>No</t>
        </is>
      </c>
      <c r="V126" s="2" t="inlineStr">
        <is>
          <t>No</t>
        </is>
      </c>
      <c r="W126" s="2" t="inlineStr">
        <is>
          <t>No</t>
        </is>
      </c>
      <c r="X126" s="2" t="inlineStr">
        <is>
          <t>No</t>
        </is>
      </c>
      <c r="Y126" s="2" t="inlineStr">
        <is>
          <t>No</t>
        </is>
      </c>
      <c r="Z126" s="2" t="inlineStr">
        <is>
          <t>No</t>
        </is>
      </c>
      <c r="AA126" s="6" t="n">
        <v>3.306950153</v>
      </c>
      <c r="AB126" s="6" t="n">
        <v>2.956843368</v>
      </c>
      <c r="AC126" s="6" t="n">
        <v>3.306950153</v>
      </c>
      <c r="AD126">
        <f t="array" ref="AD126">IF(SUMPRODUCT(--($AM$2:$AM$112=TRIM(LEFT($B126,IFERROR(FIND(" ",$B126)-1,LEN($B126))))))&gt;0,1,0)</f>
        <v/>
      </c>
      <c r="AE126">
        <f t="array" ref="AE126">IF(SUMPRODUCT(--($AO$2:$AO$145=TRIM(LEFT($B126,IFERROR(FIND(" ",$B126)-1,LEN($B126))))))&gt;0,1,0)</f>
        <v/>
      </c>
      <c r="AF126">
        <f t="array" ref="AF126">IF(SUMPRODUCT(--($AQ$2:$AQ$71=TRIM(LEFT($B126,IFERROR(FIND(" ",$B126)-1,LEN($B126))))))&gt;0,1,0)</f>
        <v/>
      </c>
      <c r="AN126" t="inlineStr">
        <is>
          <t>KLXI / Boein</t>
        </is>
      </c>
      <c r="AO126">
        <f>TRIM(LEFT(AN126,FIND("/",AN126)-1))</f>
        <v/>
      </c>
    </row>
    <row r="127" ht="45.75" customHeight="1" thickBot="1">
      <c r="A127" s="13" t="n">
        <v>188</v>
      </c>
      <c r="B127" s="4" t="inlineStr">
        <is>
          <t>BRKL US</t>
        </is>
      </c>
      <c r="C127" s="4" t="inlineStr">
        <is>
          <t>BBT US</t>
        </is>
      </c>
      <c r="D127" s="7" t="n">
        <v>45642</v>
      </c>
      <c r="E127" s="3" t="n">
        <v>1142.83</v>
      </c>
      <c r="F127" s="4" t="inlineStr">
        <is>
          <t>Stock</t>
        </is>
      </c>
      <c r="G127" s="4" t="n"/>
      <c r="H127" s="4" t="inlineStr">
        <is>
          <t>Financials</t>
        </is>
      </c>
      <c r="I127" s="4" t="inlineStr">
        <is>
          <t>Banking</t>
        </is>
      </c>
      <c r="J127" s="4" t="inlineStr">
        <is>
          <t>Banking</t>
        </is>
      </c>
      <c r="K127" s="4" t="n"/>
      <c r="L127" s="4" t="n"/>
      <c r="M127" s="3" t="n">
        <v>2.33</v>
      </c>
      <c r="N127" s="3" t="n">
        <v>1142.83</v>
      </c>
      <c r="O127" s="4" t="inlineStr">
        <is>
          <t>United States</t>
        </is>
      </c>
      <c r="P127" s="4" t="inlineStr">
        <is>
          <t>United States</t>
        </is>
      </c>
      <c r="Q127" s="4" t="inlineStr">
        <is>
          <t>Friendly</t>
        </is>
      </c>
      <c r="R127" s="2" t="n"/>
      <c r="S127" s="2" t="n"/>
      <c r="T127" s="4" t="inlineStr">
        <is>
          <t>Company Takeover</t>
        </is>
      </c>
      <c r="U127" s="2" t="inlineStr">
        <is>
          <t>No</t>
        </is>
      </c>
      <c r="V127" s="2" t="inlineStr">
        <is>
          <t>No</t>
        </is>
      </c>
      <c r="W127" s="2" t="inlineStr">
        <is>
          <t>No</t>
        </is>
      </c>
      <c r="X127" s="2" t="inlineStr">
        <is>
          <t>No</t>
        </is>
      </c>
      <c r="Y127" s="2" t="inlineStr">
        <is>
          <t>No</t>
        </is>
      </c>
      <c r="Z127" s="2" t="inlineStr">
        <is>
          <t>No</t>
        </is>
      </c>
      <c r="AA127" s="6" t="n">
        <v>3.057981632</v>
      </c>
      <c r="AB127" s="2" t="n"/>
      <c r="AC127" s="6" t="n">
        <v>3.057981632</v>
      </c>
      <c r="AD127">
        <f t="array" ref="AD127">IF(SUMPRODUCT(--($AM$2:$AM$112=TRIM(LEFT($B127,IFERROR(FIND(" ",$B127)-1,LEN($B127))))))&gt;0,1,0)</f>
        <v/>
      </c>
      <c r="AE127">
        <f t="array" ref="AE127">IF(SUMPRODUCT(--($AO$2:$AO$145=TRIM(LEFT($B127,IFERROR(FIND(" ",$B127)-1,LEN($B127))))))&gt;0,1,0)</f>
        <v/>
      </c>
      <c r="AF127">
        <f t="array" ref="AF127">IF(SUMPRODUCT(--($AQ$2:$AQ$71=TRIM(LEFT($B127,IFERROR(FIND(" ",$B127)-1,LEN($B127))))))&gt;0,1,0)</f>
        <v/>
      </c>
      <c r="AN127" t="inlineStr">
        <is>
          <t>PAY / Franc</t>
        </is>
      </c>
      <c r="AO127">
        <f>TRIM(LEFT(AN127,FIND("/",AN127)-1))</f>
        <v/>
      </c>
    </row>
    <row r="128" ht="45.75" customHeight="1" thickBot="1">
      <c r="A128" s="13" t="n">
        <v>137</v>
      </c>
      <c r="B128" s="4" t="inlineStr">
        <is>
          <t>BRDG US</t>
        </is>
      </c>
      <c r="C128" s="4" t="inlineStr">
        <is>
          <t>APO US</t>
        </is>
      </c>
      <c r="D128" s="7" t="n">
        <v>45712</v>
      </c>
      <c r="E128" s="3" t="n">
        <v>1526.68</v>
      </c>
      <c r="F128" s="4" t="inlineStr">
        <is>
          <t>Stock</t>
        </is>
      </c>
      <c r="G128" s="3" t="n">
        <v>30.78</v>
      </c>
      <c r="H128" s="4" t="inlineStr">
        <is>
          <t>Financials</t>
        </is>
      </c>
      <c r="I128" s="4" t="inlineStr">
        <is>
          <t>Financial Services</t>
        </is>
      </c>
      <c r="J128" s="4" t="inlineStr">
        <is>
          <t>Asset Management</t>
        </is>
      </c>
      <c r="K128" s="4" t="n"/>
      <c r="L128" s="4" t="n"/>
      <c r="M128" s="4" t="n"/>
      <c r="N128" s="3" t="n">
        <v>1526.68</v>
      </c>
      <c r="O128" s="4" t="inlineStr">
        <is>
          <t>United States</t>
        </is>
      </c>
      <c r="P128" s="4" t="inlineStr">
        <is>
          <t>United States</t>
        </is>
      </c>
      <c r="Q128" s="4" t="inlineStr">
        <is>
          <t>Friendly</t>
        </is>
      </c>
      <c r="R128" s="3" t="n">
        <v>412.432</v>
      </c>
      <c r="S128" s="3" t="n">
        <v>-3.37779</v>
      </c>
      <c r="T128" s="4" t="inlineStr">
        <is>
          <t>Company Takeover</t>
        </is>
      </c>
      <c r="U128" s="2" t="inlineStr">
        <is>
          <t>No</t>
        </is>
      </c>
      <c r="V128" s="2" t="inlineStr">
        <is>
          <t>No</t>
        </is>
      </c>
      <c r="W128" s="2" t="inlineStr">
        <is>
          <t>No</t>
        </is>
      </c>
      <c r="X128" s="2" t="inlineStr">
        <is>
          <t>No</t>
        </is>
      </c>
      <c r="Y128" s="2" t="inlineStr">
        <is>
          <t>No</t>
        </is>
      </c>
      <c r="Z128" s="2" t="inlineStr">
        <is>
          <t>No</t>
        </is>
      </c>
      <c r="AA128" s="6" t="n">
        <v>3.183748016</v>
      </c>
      <c r="AB128" s="6" t="n">
        <v>2.615352354</v>
      </c>
      <c r="AC128" s="6" t="n">
        <v>3.183748016</v>
      </c>
      <c r="AD128">
        <f t="array" ref="AD128">IF(SUMPRODUCT(--($AM$2:$AM$112=TRIM(LEFT($B128,IFERROR(FIND(" ",$B128)-1,LEN($B128))))))&gt;0,1,0)</f>
        <v/>
      </c>
      <c r="AE128">
        <f t="array" ref="AE128">IF(SUMPRODUCT(--($AO$2:$AO$145=TRIM(LEFT($B128,IFERROR(FIND(" ",$B128)-1,LEN($B128))))))&gt;0,1,0)</f>
        <v/>
      </c>
      <c r="AF128">
        <f t="array" ref="AF128">IF(SUMPRODUCT(--($AQ$2:$AQ$71=TRIM(LEFT($B128,IFERROR(FIND(" ",$B128)-1,LEN($B128))))))&gt;0,1,0)</f>
        <v/>
      </c>
      <c r="AN128" t="inlineStr">
        <is>
          <t>XL / AXA G</t>
        </is>
      </c>
      <c r="AO128">
        <f>TRIM(LEFT(AN128,FIND("/",AN128)-1))</f>
        <v/>
      </c>
    </row>
    <row r="129" ht="75.75" customHeight="1" thickBot="1">
      <c r="A129" s="13" t="n">
        <v>112</v>
      </c>
      <c r="B129" s="4" t="inlineStr">
        <is>
          <t>9996201D US</t>
        </is>
      </c>
      <c r="C129" s="4" t="inlineStr">
        <is>
          <t>MCHB US</t>
        </is>
      </c>
      <c r="D129" s="7" t="n">
        <v>45747</v>
      </c>
      <c r="E129" s="3" t="n">
        <v>584.11</v>
      </c>
      <c r="F129" s="4" t="inlineStr">
        <is>
          <t>Stock</t>
        </is>
      </c>
      <c r="G129" s="4" t="n"/>
      <c r="H129" s="4" t="inlineStr">
        <is>
          <t>Financials</t>
        </is>
      </c>
      <c r="I129" s="4" t="inlineStr">
        <is>
          <t>Banking</t>
        </is>
      </c>
      <c r="J129" s="4" t="inlineStr">
        <is>
          <t>Banking</t>
        </is>
      </c>
      <c r="K129" s="4" t="n"/>
      <c r="L129" s="4" t="n"/>
      <c r="M129" s="4" t="n"/>
      <c r="N129" s="3" t="n">
        <v>584.11</v>
      </c>
      <c r="O129" s="4" t="inlineStr">
        <is>
          <t>United States</t>
        </is>
      </c>
      <c r="P129" s="4" t="inlineStr">
        <is>
          <t>United States</t>
        </is>
      </c>
      <c r="Q129" s="4" t="inlineStr">
        <is>
          <t>Friendly</t>
        </is>
      </c>
      <c r="R129" s="3" t="n">
        <v>159.558</v>
      </c>
      <c r="S129" s="2" t="n"/>
      <c r="T129" s="4" t="inlineStr">
        <is>
          <t>Reverse Merger, Company Takeover</t>
        </is>
      </c>
      <c r="U129" s="2" t="inlineStr">
        <is>
          <t>No</t>
        </is>
      </c>
      <c r="V129" s="2" t="inlineStr">
        <is>
          <t>No</t>
        </is>
      </c>
      <c r="W129" s="2" t="inlineStr">
        <is>
          <t>No</t>
        </is>
      </c>
      <c r="X129" s="2" t="inlineStr">
        <is>
          <t>No</t>
        </is>
      </c>
      <c r="Y129" s="2" t="inlineStr">
        <is>
          <t>No</t>
        </is>
      </c>
      <c r="Z129" s="2" t="inlineStr">
        <is>
          <t>No</t>
        </is>
      </c>
      <c r="AA129" s="6" t="n">
        <v>2.766494641</v>
      </c>
      <c r="AB129" s="6" t="n">
        <v>2.202918584</v>
      </c>
      <c r="AC129" s="6" t="n">
        <v>2.766494641</v>
      </c>
      <c r="AD129">
        <f t="array" ref="AD129">IF(SUMPRODUCT(--($AM$2:$AM$112=TRIM(LEFT($B129,IFERROR(FIND(" ",$B129)-1,LEN($B129))))))&gt;0,1,0)</f>
        <v/>
      </c>
      <c r="AE129">
        <f t="array" ref="AE129">IF(SUMPRODUCT(--($AO$2:$AO$145=TRIM(LEFT($B129,IFERROR(FIND(" ",$B129)-1,LEN($B129))))))&gt;0,1,0)</f>
        <v/>
      </c>
      <c r="AF129">
        <f t="array" ref="AF129">IF(SUMPRODUCT(--($AQ$2:$AQ$71=TRIM(LEFT($B129,IFERROR(FIND(" ",$B129)-1,LEN($B129))))))&gt;0,1,0)</f>
        <v/>
      </c>
      <c r="AN129" t="inlineStr">
        <is>
          <t>SHLM / Lyond</t>
        </is>
      </c>
      <c r="AO129">
        <f>TRIM(LEFT(AN129,FIND("/",AN129)-1))</f>
        <v/>
      </c>
    </row>
    <row r="130" ht="135.75" customHeight="1" thickBot="1">
      <c r="A130" s="13" t="n">
        <v>126</v>
      </c>
      <c r="B130" s="4" t="inlineStr">
        <is>
          <t>WBA US</t>
        </is>
      </c>
      <c r="C130" s="4" t="inlineStr">
        <is>
          <t>9875574Z US</t>
        </is>
      </c>
      <c r="D130" s="7" t="n">
        <v>45723</v>
      </c>
      <c r="E130" s="3" t="n">
        <v>39411.56</v>
      </c>
      <c r="F130" s="4" t="inlineStr">
        <is>
          <t>Cash</t>
        </is>
      </c>
      <c r="G130" s="4" t="n"/>
      <c r="H130" s="4" t="inlineStr">
        <is>
          <t>Consumer Staples</t>
        </is>
      </c>
      <c r="I130" s="4" t="inlineStr">
        <is>
          <t>Retail &amp; Wholesale - Staples</t>
        </is>
      </c>
      <c r="J130" s="4" t="inlineStr">
        <is>
          <t>Retail - Consumer Staples</t>
        </is>
      </c>
      <c r="K130" s="3" t="n">
        <v>560</v>
      </c>
      <c r="L130" s="3" t="n">
        <v>158</v>
      </c>
      <c r="M130" s="3" t="n">
        <v>9.81</v>
      </c>
      <c r="N130" s="3" t="n">
        <v>9894.559999999999</v>
      </c>
      <c r="O130" s="4" t="inlineStr">
        <is>
          <t>United States</t>
        </is>
      </c>
      <c r="P130" s="4" t="inlineStr">
        <is>
          <t>United States</t>
        </is>
      </c>
      <c r="Q130" s="4" t="inlineStr">
        <is>
          <t>Friendly</t>
        </is>
      </c>
      <c r="R130" s="3" t="n">
        <v>147658</v>
      </c>
      <c r="S130" s="3" t="n">
        <v>-4.43718</v>
      </c>
      <c r="T130" s="4" t="inlineStr">
        <is>
          <t>Company Takeover, Private Equity, PE Buyout, Going Private</t>
        </is>
      </c>
      <c r="U130" s="2" t="inlineStr">
        <is>
          <t>No</t>
        </is>
      </c>
      <c r="V130" s="2" t="inlineStr">
        <is>
          <t>No</t>
        </is>
      </c>
      <c r="W130" s="2" t="inlineStr">
        <is>
          <t>No</t>
        </is>
      </c>
      <c r="X130" s="2" t="inlineStr">
        <is>
          <t>Yes</t>
        </is>
      </c>
      <c r="Y130" s="2" t="inlineStr">
        <is>
          <t>Yes</t>
        </is>
      </c>
      <c r="Z130" s="2" t="inlineStr">
        <is>
          <t>No</t>
        </is>
      </c>
      <c r="AA130" s="6" t="n">
        <v>4.595623626</v>
      </c>
      <c r="AB130" s="6" t="n">
        <v>5.169256982</v>
      </c>
      <c r="AC130" s="6" t="n">
        <v>3.995396486</v>
      </c>
      <c r="AD130">
        <f t="array" ref="AD130">IF(SUMPRODUCT(--($AM$2:$AM$112=TRIM(LEFT($B130,IFERROR(FIND(" ",$B130)-1,LEN($B130))))))&gt;0,1,0)</f>
        <v/>
      </c>
      <c r="AE130">
        <f t="array" ref="AE130">IF(SUMPRODUCT(--($AO$2:$AO$145=TRIM(LEFT($B130,IFERROR(FIND(" ",$B130)-1,LEN($B130))))))&gt;0,1,0)</f>
        <v/>
      </c>
      <c r="AF130">
        <f t="array" ref="AF130">IF(SUMPRODUCT(--($AQ$2:$AQ$71=TRIM(LEFT($B130,IFERROR(FIND(" ",$B130)-1,LEN($B130))))))&gt;0,1,0)</f>
        <v/>
      </c>
      <c r="AN130" t="inlineStr">
        <is>
          <t>VR / Ameri</t>
        </is>
      </c>
      <c r="AO130">
        <f>TRIM(LEFT(AN130,FIND("/",AN130)-1))</f>
        <v/>
      </c>
    </row>
    <row r="131" ht="135.75" customHeight="1" thickBot="1">
      <c r="A131" s="13" t="n">
        <v>112</v>
      </c>
      <c r="B131" s="4" t="inlineStr">
        <is>
          <t>DNB US</t>
        </is>
      </c>
      <c r="C131" s="4" t="inlineStr">
        <is>
          <t>8376046Z US</t>
        </is>
      </c>
      <c r="D131" s="7" t="n">
        <v>45740</v>
      </c>
      <c r="E131" s="3" t="n">
        <v>4039.87</v>
      </c>
      <c r="F131" s="4" t="inlineStr">
        <is>
          <t>Cash</t>
        </is>
      </c>
      <c r="G131" s="3" t="n">
        <v>5.16</v>
      </c>
      <c r="H131" s="4" t="inlineStr">
        <is>
          <t>Financials</t>
        </is>
      </c>
      <c r="I131" s="4" t="inlineStr">
        <is>
          <t>Financial Services</t>
        </is>
      </c>
      <c r="J131" s="4" t="inlineStr">
        <is>
          <t>Specialty Finance</t>
        </is>
      </c>
      <c r="K131" s="4" t="n"/>
      <c r="L131" s="4" t="n"/>
      <c r="M131" s="3" t="n">
        <v>6.17</v>
      </c>
      <c r="N131" s="3" t="n">
        <v>4039.87</v>
      </c>
      <c r="O131" s="4" t="inlineStr">
        <is>
          <t>United States</t>
        </is>
      </c>
      <c r="P131" s="4" t="inlineStr">
        <is>
          <t>United States</t>
        </is>
      </c>
      <c r="Q131" s="4" t="inlineStr">
        <is>
          <t>Friendly</t>
        </is>
      </c>
      <c r="R131" s="3" t="n">
        <v>2381.7</v>
      </c>
      <c r="S131" s="3" t="n">
        <v>7.86367</v>
      </c>
      <c r="T131" s="4" t="inlineStr">
        <is>
          <t>Company Takeover, Going Private, Private Equity, PE Buyout</t>
        </is>
      </c>
      <c r="U131" s="2" t="inlineStr">
        <is>
          <t>No</t>
        </is>
      </c>
      <c r="V131" s="2" t="inlineStr">
        <is>
          <t>No</t>
        </is>
      </c>
      <c r="W131" s="2" t="inlineStr">
        <is>
          <t>No</t>
        </is>
      </c>
      <c r="X131" s="2" t="inlineStr">
        <is>
          <t>Yes</t>
        </is>
      </c>
      <c r="Y131" s="2" t="inlineStr">
        <is>
          <t>Yes</t>
        </is>
      </c>
      <c r="Z131" s="2" t="inlineStr">
        <is>
          <t>No</t>
        </is>
      </c>
      <c r="AA131" s="6" t="n">
        <v>3.60636739</v>
      </c>
      <c r="AB131" s="6" t="n">
        <v>3.376887057</v>
      </c>
      <c r="AC131" s="6" t="n">
        <v>3.60636739</v>
      </c>
      <c r="AD131">
        <f t="array" ref="AD131">IF(SUMPRODUCT(--($AM$2:$AM$112=TRIM(LEFT($B131,IFERROR(FIND(" ",$B131)-1,LEN($B131))))))&gt;0,1,0)</f>
        <v/>
      </c>
      <c r="AE131">
        <f t="array" ref="AE131">IF(SUMPRODUCT(--($AO$2:$AO$145=TRIM(LEFT($B131,IFERROR(FIND(" ",$B131)-1,LEN($B131))))))&gt;0,1,0)</f>
        <v/>
      </c>
      <c r="AF131">
        <f t="array" ref="AF131">IF(SUMPRODUCT(--($AQ$2:$AQ$71=TRIM(LEFT($B131,IFERROR(FIND(" ",$B131)-1,LEN($B131))))))&gt;0,1,0)</f>
        <v/>
      </c>
      <c r="AN131" t="inlineStr">
        <is>
          <t xml:space="preserve">FOX / Walt </t>
        </is>
      </c>
      <c r="AO131">
        <f>TRIM(LEFT(AN131,FIND("/",AN131)-1))</f>
        <v/>
      </c>
    </row>
    <row r="132" ht="45.75" customHeight="1" thickBot="1">
      <c r="A132" s="13" t="n">
        <v>56</v>
      </c>
      <c r="B132" s="4" t="inlineStr">
        <is>
          <t>STR US</t>
        </is>
      </c>
      <c r="C132" s="4" t="inlineStr">
        <is>
          <t>VNOM US</t>
        </is>
      </c>
      <c r="D132" s="7" t="n">
        <v>45811</v>
      </c>
      <c r="E132" s="3" t="n">
        <v>2617.3</v>
      </c>
      <c r="F132" s="4" t="inlineStr">
        <is>
          <t>Stock</t>
        </is>
      </c>
      <c r="G132" s="3" t="n">
        <v>5</v>
      </c>
      <c r="H132" s="4" t="inlineStr">
        <is>
          <t>Energy</t>
        </is>
      </c>
      <c r="I132" s="4" t="inlineStr">
        <is>
          <t>Oil &amp; Gas</t>
        </is>
      </c>
      <c r="J132" s="4" t="inlineStr">
        <is>
          <t>Oil &amp; Gas Supply Chain</t>
        </is>
      </c>
      <c r="K132" s="4" t="n"/>
      <c r="L132" s="4" t="n"/>
      <c r="M132" s="3" t="n">
        <v>12.18</v>
      </c>
      <c r="N132" s="3" t="n">
        <v>1535.09</v>
      </c>
      <c r="O132" s="4" t="inlineStr">
        <is>
          <t>United States</t>
        </is>
      </c>
      <c r="P132" s="4" t="inlineStr">
        <is>
          <t>United States</t>
        </is>
      </c>
      <c r="Q132" s="4" t="inlineStr">
        <is>
          <t>Friendly</t>
        </is>
      </c>
      <c r="R132" s="3" t="n">
        <v>624.414</v>
      </c>
      <c r="S132" s="3" t="n">
        <v>31.0106</v>
      </c>
      <c r="T132" s="4" t="inlineStr">
        <is>
          <t>Company Takeover</t>
        </is>
      </c>
      <c r="U132" s="2" t="inlineStr">
        <is>
          <t>No</t>
        </is>
      </c>
      <c r="V132" s="2" t="inlineStr">
        <is>
          <t>No</t>
        </is>
      </c>
      <c r="W132" s="2" t="inlineStr">
        <is>
          <t>No</t>
        </is>
      </c>
      <c r="X132" s="2" t="inlineStr">
        <is>
          <t>No</t>
        </is>
      </c>
      <c r="Y132" s="2" t="inlineStr">
        <is>
          <t>No</t>
        </is>
      </c>
      <c r="Z132" s="2" t="inlineStr">
        <is>
          <t>No</t>
        </is>
      </c>
      <c r="AA132" s="6" t="n">
        <v>3.417853505</v>
      </c>
      <c r="AB132" s="6" t="n">
        <v>2.795472632</v>
      </c>
      <c r="AC132" s="6" t="n">
        <v>3.186133843</v>
      </c>
      <c r="AD132">
        <f t="array" ref="AD132">IF(SUMPRODUCT(--($AM$2:$AM$112=TRIM(LEFT($B132,IFERROR(FIND(" ",$B132)-1,LEN($B132))))))&gt;0,1,0)</f>
        <v/>
      </c>
      <c r="AE132">
        <f t="array" ref="AE132">IF(SUMPRODUCT(--($AO$2:$AO$145=TRIM(LEFT($B132,IFERROR(FIND(" ",$B132)-1,LEN($B132))))))&gt;0,1,0)</f>
        <v/>
      </c>
      <c r="AF132">
        <f t="array" ref="AF132">IF(SUMPRODUCT(--($AQ$2:$AQ$71=TRIM(LEFT($B132,IFERROR(FIND(" ",$B132)-1,LEN($B132))))))&gt;0,1,0)</f>
        <v/>
      </c>
      <c r="AN132" t="inlineStr">
        <is>
          <t>BGC / Prysm</t>
        </is>
      </c>
      <c r="AO132">
        <f>TRIM(LEFT(AN132,FIND("/",AN132)-1))</f>
        <v/>
      </c>
    </row>
    <row r="133" ht="105.75" customHeight="1" thickBot="1">
      <c r="A133" s="13" t="n">
        <v>190</v>
      </c>
      <c r="B133" s="4" t="inlineStr">
        <is>
          <t>CIX CN</t>
        </is>
      </c>
      <c r="C133" s="4" t="inlineStr">
        <is>
          <t>1448162D UH</t>
        </is>
      </c>
      <c r="D133" s="7" t="n">
        <v>45621</v>
      </c>
      <c r="E133" s="3" t="n">
        <v>6186.43</v>
      </c>
      <c r="F133" s="4" t="inlineStr">
        <is>
          <t>Cash</t>
        </is>
      </c>
      <c r="G133" s="3" t="n">
        <v>11.34</v>
      </c>
      <c r="H133" s="4" t="inlineStr">
        <is>
          <t>Financials</t>
        </is>
      </c>
      <c r="I133" s="4" t="inlineStr">
        <is>
          <t>Financial Services</t>
        </is>
      </c>
      <c r="J133" s="4" t="inlineStr">
        <is>
          <t>Asset Management</t>
        </is>
      </c>
      <c r="K133" s="4" t="n"/>
      <c r="L133" s="4" t="n"/>
      <c r="M133" s="3" t="n">
        <v>35.94</v>
      </c>
      <c r="N133" s="3" t="n">
        <v>3373.9</v>
      </c>
      <c r="O133" s="4" t="inlineStr">
        <is>
          <t>Canada</t>
        </is>
      </c>
      <c r="P133" s="4" t="inlineStr">
        <is>
          <t>United Arab Emirates</t>
        </is>
      </c>
      <c r="Q133" s="4" t="inlineStr">
        <is>
          <t>Friendly</t>
        </is>
      </c>
      <c r="R133" s="3" t="n">
        <v>824.169</v>
      </c>
      <c r="S133" s="3" t="n">
        <v>0.00443137</v>
      </c>
      <c r="T133" s="4" t="inlineStr">
        <is>
          <t>Going Private, Company Takeover, Cross Border</t>
        </is>
      </c>
      <c r="U133" s="2" t="inlineStr">
        <is>
          <t>No</t>
        </is>
      </c>
      <c r="V133" s="2" t="inlineStr">
        <is>
          <t>No</t>
        </is>
      </c>
      <c r="W133" s="2" t="inlineStr">
        <is>
          <t>Yes</t>
        </is>
      </c>
      <c r="X133" s="2" t="inlineStr">
        <is>
          <t>Yes</t>
        </is>
      </c>
      <c r="Y133" s="2" t="inlineStr">
        <is>
          <t>No</t>
        </is>
      </c>
      <c r="Z133" s="2" t="inlineStr">
        <is>
          <t>No</t>
        </is>
      </c>
      <c r="AA133" s="6" t="n">
        <v>3.791440103</v>
      </c>
      <c r="AB133" s="6" t="n">
        <v>2.916016275</v>
      </c>
      <c r="AC133" s="6" t="n">
        <v>3.528132206</v>
      </c>
      <c r="AD133">
        <f t="array" ref="AD133">IF(SUMPRODUCT(--($AM$2:$AM$112=TRIM(LEFT($B133,IFERROR(FIND(" ",$B133)-1,LEN($B133))))))&gt;0,1,0)</f>
        <v/>
      </c>
      <c r="AE133">
        <f t="array" ref="AE133">IF(SUMPRODUCT(--($AO$2:$AO$145=TRIM(LEFT($B133,IFERROR(FIND(" ",$B133)-1,LEN($B133))))))&gt;0,1,0)</f>
        <v/>
      </c>
      <c r="AF133">
        <f t="array" ref="AF133">IF(SUMPRODUCT(--($AQ$2:$AQ$71=TRIM(LEFT($B133,IFERROR(FIND(" ",$B133)-1,LEN($B133))))))&gt;0,1,0)</f>
        <v/>
      </c>
      <c r="AN133" t="inlineStr">
        <is>
          <t>OA / North</t>
        </is>
      </c>
      <c r="AO133">
        <f>TRIM(LEFT(AN133,FIND("/",AN133)-1))</f>
        <v/>
      </c>
    </row>
    <row r="134" ht="90.75" customHeight="1" thickBot="1">
      <c r="A134" s="13" t="n">
        <v>560</v>
      </c>
      <c r="B134" s="4" t="inlineStr">
        <is>
          <t>AMED US</t>
        </is>
      </c>
      <c r="C134" s="4" t="inlineStr">
        <is>
          <t>UNH US</t>
        </is>
      </c>
      <c r="D134" s="7" t="n">
        <v>45103</v>
      </c>
      <c r="E134" s="3" t="n">
        <v>3727.07</v>
      </c>
      <c r="F134" s="4" t="inlineStr">
        <is>
          <t>Cash</t>
        </is>
      </c>
      <c r="G134" s="3" t="n">
        <v>14.81</v>
      </c>
      <c r="H134" s="4" t="inlineStr">
        <is>
          <t>Health Care</t>
        </is>
      </c>
      <c r="I134" s="4" t="inlineStr">
        <is>
          <t>Health Care</t>
        </is>
      </c>
      <c r="J134" s="4" t="inlineStr">
        <is>
          <t>Health Care Facilities &amp; Svcs</t>
        </is>
      </c>
      <c r="K134" s="3" t="n">
        <v>106</v>
      </c>
      <c r="L134" s="3" t="n">
        <v>106</v>
      </c>
      <c r="M134" s="3" t="n">
        <v>15.79</v>
      </c>
      <c r="N134" s="3" t="n">
        <v>3291.07</v>
      </c>
      <c r="O134" s="4" t="inlineStr">
        <is>
          <t>United States</t>
        </is>
      </c>
      <c r="P134" s="4" t="inlineStr">
        <is>
          <t>United States</t>
        </is>
      </c>
      <c r="Q134" s="4" t="inlineStr">
        <is>
          <t>Unsolicited to Friendly</t>
        </is>
      </c>
      <c r="R134" s="3" t="n">
        <v>2348.32</v>
      </c>
      <c r="S134" s="3" t="n">
        <v>4.14766</v>
      </c>
      <c r="T134" s="4" t="inlineStr">
        <is>
          <t>Company Takeover, Competing Bid</t>
        </is>
      </c>
      <c r="U134" s="2" t="inlineStr">
        <is>
          <t>No</t>
        </is>
      </c>
      <c r="V134" s="2" t="inlineStr">
        <is>
          <t>Yes</t>
        </is>
      </c>
      <c r="W134" s="2" t="inlineStr">
        <is>
          <t>No</t>
        </is>
      </c>
      <c r="X134" s="2" t="inlineStr">
        <is>
          <t>No</t>
        </is>
      </c>
      <c r="Y134" s="2" t="inlineStr">
        <is>
          <t>No</t>
        </is>
      </c>
      <c r="Z134" s="2" t="inlineStr">
        <is>
          <t>No</t>
        </is>
      </c>
      <c r="AA134" s="6" t="n">
        <v>3.57136755</v>
      </c>
      <c r="AB134" s="6" t="n">
        <v>3.370757277</v>
      </c>
      <c r="AC134" s="6" t="n">
        <v>3.51733712</v>
      </c>
      <c r="AD134">
        <f t="array" ref="AD134">IF(SUMPRODUCT(--($AM$2:$AM$112=TRIM(LEFT($B134,IFERROR(FIND(" ",$B134)-1,LEN($B134))))))&gt;0,1,0)</f>
        <v/>
      </c>
      <c r="AE134">
        <f t="array" ref="AE134">IF(SUMPRODUCT(--($AO$2:$AO$145=TRIM(LEFT($B134,IFERROR(FIND(" ",$B134)-1,LEN($B134))))))&gt;0,1,0)</f>
        <v/>
      </c>
      <c r="AF134">
        <f t="array" ref="AF134">IF(SUMPRODUCT(--($AQ$2:$AQ$71=TRIM(LEFT($B134,IFERROR(FIND(" ",$B134)-1,LEN($B134))))))&gt;0,1,0)</f>
        <v/>
      </c>
      <c r="AN134" t="inlineStr">
        <is>
          <t>COL / Unite</t>
        </is>
      </c>
      <c r="AO134">
        <f>TRIM(LEFT(AN134,FIND("/",AN134)-1))</f>
        <v/>
      </c>
    </row>
    <row r="135" ht="45.75" customHeight="1" thickBot="1">
      <c r="A135" s="13" t="n">
        <v>1078</v>
      </c>
      <c r="B135" s="4" t="inlineStr">
        <is>
          <t>GRAH US</t>
        </is>
      </c>
      <c r="C135" s="4" t="inlineStr">
        <is>
          <t>AHR US</t>
        </is>
      </c>
      <c r="D135" s="7" t="n">
        <v>44372</v>
      </c>
      <c r="E135" s="3" t="n">
        <v>1821.86</v>
      </c>
      <c r="F135" s="4" t="inlineStr">
        <is>
          <t>Stock</t>
        </is>
      </c>
      <c r="G135" s="3" t="n">
        <v>9.539999999999999</v>
      </c>
      <c r="H135" s="4" t="inlineStr">
        <is>
          <t>Real Estate</t>
        </is>
      </c>
      <c r="I135" s="4" t="inlineStr">
        <is>
          <t>Real Estate</t>
        </is>
      </c>
      <c r="J135" s="4" t="inlineStr">
        <is>
          <t>REIT</t>
        </is>
      </c>
      <c r="K135" s="4" t="n"/>
      <c r="L135" s="4" t="n"/>
      <c r="M135" s="4" t="n"/>
      <c r="N135" s="2" t="n"/>
      <c r="O135" s="4" t="inlineStr">
        <is>
          <t>United States</t>
        </is>
      </c>
      <c r="P135" s="4" t="inlineStr">
        <is>
          <t>United States</t>
        </is>
      </c>
      <c r="Q135" s="4" t="inlineStr">
        <is>
          <t>Friendly</t>
        </is>
      </c>
      <c r="R135" s="3" t="n">
        <v>1244.3</v>
      </c>
      <c r="S135" s="2" t="n"/>
      <c r="T135" s="4" t="inlineStr">
        <is>
          <t>Company Takeover</t>
        </is>
      </c>
      <c r="U135" s="2" t="inlineStr">
        <is>
          <t>No</t>
        </is>
      </c>
      <c r="V135" s="2" t="inlineStr">
        <is>
          <t>No</t>
        </is>
      </c>
      <c r="W135" s="2" t="inlineStr">
        <is>
          <t>No</t>
        </is>
      </c>
      <c r="X135" s="2" t="inlineStr">
        <is>
          <t>No</t>
        </is>
      </c>
      <c r="Y135" s="2" t="inlineStr">
        <is>
          <t>No</t>
        </is>
      </c>
      <c r="Z135" s="2" t="inlineStr">
        <is>
          <t>No</t>
        </is>
      </c>
      <c r="AA135" s="6" t="n">
        <v>3.260515001</v>
      </c>
      <c r="AB135" s="6" t="n">
        <v>3.094925101</v>
      </c>
      <c r="AC135" s="2" t="n"/>
      <c r="AD135">
        <f t="array" ref="AD135">IF(SUMPRODUCT(--($AM$2:$AM$112=TRIM(LEFT($B135,IFERROR(FIND(" ",$B135)-1,LEN($B135))))))&gt;0,1,0)</f>
        <v/>
      </c>
      <c r="AE135">
        <f t="array" ref="AE135">IF(SUMPRODUCT(--($AO$2:$AO$145=TRIM(LEFT($B135,IFERROR(FIND(" ",$B135)-1,LEN($B135))))))&gt;0,1,0)</f>
        <v/>
      </c>
      <c r="AF135">
        <f t="array" ref="AF135">IF(SUMPRODUCT(--($AQ$2:$AQ$71=TRIM(LEFT($B135,IFERROR(FIND(" ",$B135)-1,LEN($B135))))))&gt;0,1,0)</f>
        <v/>
      </c>
      <c r="AN135" t="inlineStr">
        <is>
          <t>PMC / KKR &amp;</t>
        </is>
      </c>
      <c r="AO135">
        <f>TRIM(LEFT(AN135,FIND("/",AN135)-1))</f>
        <v/>
      </c>
    </row>
    <row r="136" ht="45.75" customHeight="1" thickBot="1">
      <c r="A136" s="13" t="n">
        <v>285</v>
      </c>
      <c r="B136" s="4" t="inlineStr">
        <is>
          <t>PARA US</t>
        </is>
      </c>
      <c r="C136" s="4" t="inlineStr">
        <is>
          <t>1400604D US</t>
        </is>
      </c>
      <c r="D136" s="7" t="n">
        <v>45480</v>
      </c>
      <c r="E136" s="3" t="n">
        <v>20257.47</v>
      </c>
      <c r="F136" s="4" t="inlineStr">
        <is>
          <t>Cash or Stock</t>
        </is>
      </c>
      <c r="G136" s="3" t="n">
        <v>69.37</v>
      </c>
      <c r="H136" s="4" t="inlineStr">
        <is>
          <t>Communications</t>
        </is>
      </c>
      <c r="I136" s="4" t="inlineStr">
        <is>
          <t>Media</t>
        </is>
      </c>
      <c r="J136" s="4" t="inlineStr">
        <is>
          <t>Entertainment Content</t>
        </is>
      </c>
      <c r="K136" s="4" t="n"/>
      <c r="L136" s="3" t="n">
        <v>400</v>
      </c>
      <c r="M136" s="4" t="n"/>
      <c r="N136" s="3" t="n">
        <v>6831.47</v>
      </c>
      <c r="O136" s="4" t="inlineStr">
        <is>
          <t>United States</t>
        </is>
      </c>
      <c r="P136" s="4" t="inlineStr">
        <is>
          <t>United States</t>
        </is>
      </c>
      <c r="Q136" s="4" t="inlineStr">
        <is>
          <t>Friendly</t>
        </is>
      </c>
      <c r="R136" s="3" t="n">
        <v>29213</v>
      </c>
      <c r="S136" s="3" t="n">
        <v>4.92071</v>
      </c>
      <c r="T136" s="4" t="inlineStr">
        <is>
          <t>Company Takeover</t>
        </is>
      </c>
      <c r="U136" s="2" t="inlineStr">
        <is>
          <t>No</t>
        </is>
      </c>
      <c r="V136" s="2" t="inlineStr">
        <is>
          <t>No</t>
        </is>
      </c>
      <c r="W136" s="2" t="inlineStr">
        <is>
          <t>No</t>
        </is>
      </c>
      <c r="X136" s="2" t="inlineStr">
        <is>
          <t>No</t>
        </is>
      </c>
      <c r="Y136" s="2" t="inlineStr">
        <is>
          <t>No</t>
        </is>
      </c>
      <c r="Z136" s="2" t="inlineStr">
        <is>
          <t>No</t>
        </is>
      </c>
      <c r="AA136" s="6" t="n">
        <v>4.306585204</v>
      </c>
      <c r="AB136" s="6" t="n">
        <v>4.465576159</v>
      </c>
      <c r="AC136" s="6" t="n">
        <v>3.834514165</v>
      </c>
      <c r="AD136">
        <f t="array" ref="AD136">IF(SUMPRODUCT(--($AM$2:$AM$112=TRIM(LEFT($B136,IFERROR(FIND(" ",$B136)-1,LEN($B136))))))&gt;0,1,0)</f>
        <v/>
      </c>
      <c r="AE136">
        <f t="array" ref="AE136">IF(SUMPRODUCT(--($AO$2:$AO$145=TRIM(LEFT($B136,IFERROR(FIND(" ",$B136)-1,LEN($B136))))))&gt;0,1,0)</f>
        <v/>
      </c>
      <c r="AF136">
        <f t="array" ref="AF136">IF(SUMPRODUCT(--($AQ$2:$AQ$71=TRIM(LEFT($B136,IFERROR(FIND(" ",$B136)-1,LEN($B136))))))&gt;0,1,0)</f>
        <v/>
      </c>
      <c r="AN136" t="inlineStr">
        <is>
          <t>SNI / Disco</t>
        </is>
      </c>
      <c r="AO136">
        <f>TRIM(LEFT(AN136,FIND("/",AN136)-1))</f>
        <v/>
      </c>
    </row>
    <row r="137" ht="60.75" customHeight="1" thickBot="1">
      <c r="A137" s="13" t="n">
        <v>59</v>
      </c>
      <c r="B137" s="4" t="inlineStr">
        <is>
          <t>NVEE US</t>
        </is>
      </c>
      <c r="C137" s="4" t="inlineStr">
        <is>
          <t>TIC US</t>
        </is>
      </c>
      <c r="D137" s="7" t="n">
        <v>45792</v>
      </c>
      <c r="E137" s="3" t="n">
        <v>1633.98</v>
      </c>
      <c r="F137" s="4" t="inlineStr">
        <is>
          <t>Cash and Stock</t>
        </is>
      </c>
      <c r="G137" s="3" t="n">
        <v>12.98</v>
      </c>
      <c r="H137" s="4" t="inlineStr">
        <is>
          <t>Industrials</t>
        </is>
      </c>
      <c r="I137" s="4" t="inlineStr">
        <is>
          <t>Industrial Services</t>
        </is>
      </c>
      <c r="J137" s="4" t="inlineStr">
        <is>
          <t>Engineering &amp; Construction</t>
        </is>
      </c>
      <c r="K137" s="4" t="n"/>
      <c r="L137" s="4" t="n"/>
      <c r="M137" s="3" t="n">
        <v>22.04</v>
      </c>
      <c r="N137" s="3" t="n">
        <v>1415.64</v>
      </c>
      <c r="O137" s="4" t="inlineStr">
        <is>
          <t>United States</t>
        </is>
      </c>
      <c r="P137" s="4" t="inlineStr">
        <is>
          <t>British Virgin Islands</t>
        </is>
      </c>
      <c r="Q137" s="4" t="inlineStr">
        <is>
          <t>Friendly</t>
        </is>
      </c>
      <c r="R137" s="3" t="n">
        <v>941.265</v>
      </c>
      <c r="S137" s="3" t="n">
        <v>4.05703</v>
      </c>
      <c r="T137" s="4" t="inlineStr">
        <is>
          <t>Company Takeover</t>
        </is>
      </c>
      <c r="U137" s="2" t="inlineStr">
        <is>
          <t>No</t>
        </is>
      </c>
      <c r="V137" s="2" t="inlineStr">
        <is>
          <t>No</t>
        </is>
      </c>
      <c r="W137" s="2" t="inlineStr">
        <is>
          <t>No</t>
        </is>
      </c>
      <c r="X137" s="2" t="inlineStr">
        <is>
          <t>No</t>
        </is>
      </c>
      <c r="Y137" s="2" t="inlineStr">
        <is>
          <t>No</t>
        </is>
      </c>
      <c r="Z137" s="2" t="inlineStr">
        <is>
          <t>No</t>
        </is>
      </c>
      <c r="AA137" s="6" t="n">
        <v>3.213246736</v>
      </c>
      <c r="AB137" s="6" t="n">
        <v>2.97371191</v>
      </c>
      <c r="AC137" s="6" t="n">
        <v>3.150952825</v>
      </c>
      <c r="AD137">
        <f t="array" ref="AD137">IF(SUMPRODUCT(--($AM$2:$AM$112=TRIM(LEFT($B137,IFERROR(FIND(" ",$B137)-1,LEN($B137))))))&gt;0,1,0)</f>
        <v/>
      </c>
      <c r="AE137">
        <f t="array" ref="AE137">IF(SUMPRODUCT(--($AO$2:$AO$145=TRIM(LEFT($B137,IFERROR(FIND(" ",$B137)-1,LEN($B137))))))&gt;0,1,0)</f>
        <v/>
      </c>
      <c r="AF137">
        <f t="array" ref="AF137">IF(SUMPRODUCT(--($AQ$2:$AQ$71=TRIM(LEFT($B137,IFERROR(FIND(" ",$B137)-1,LEN($B137))))))&gt;0,1,0)</f>
        <v/>
      </c>
      <c r="AN137" t="inlineStr">
        <is>
          <t>PRXL / Pampl</t>
        </is>
      </c>
      <c r="AO137">
        <f>TRIM(LEFT(AN137,FIND("/",AN137)-1))</f>
        <v/>
      </c>
    </row>
    <row r="138" ht="75.75" customHeight="1" thickBot="1">
      <c r="A138" s="13" t="n">
        <v>51</v>
      </c>
      <c r="B138" s="4" t="inlineStr">
        <is>
          <t>ETWO US</t>
        </is>
      </c>
      <c r="C138" s="4" t="inlineStr">
        <is>
          <t>WTC AU</t>
        </is>
      </c>
      <c r="D138" s="7" t="n">
        <v>45802</v>
      </c>
      <c r="E138" s="3" t="n">
        <v>1890.95</v>
      </c>
      <c r="F138" s="4" t="inlineStr">
        <is>
          <t>Cash</t>
        </is>
      </c>
      <c r="G138" s="4" t="n"/>
      <c r="H138" s="4" t="inlineStr">
        <is>
          <t>Technology</t>
        </is>
      </c>
      <c r="I138" s="4" t="inlineStr">
        <is>
          <t>Software &amp; Tech Services</t>
        </is>
      </c>
      <c r="J138" s="4" t="inlineStr">
        <is>
          <t>Software</t>
        </is>
      </c>
      <c r="K138" s="4" t="n"/>
      <c r="L138" s="4" t="n"/>
      <c r="M138" s="3" t="n">
        <v>32.48</v>
      </c>
      <c r="N138" s="3" t="n">
        <v>1023.55</v>
      </c>
      <c r="O138" s="4" t="inlineStr">
        <is>
          <t>United States</t>
        </is>
      </c>
      <c r="P138" s="4" t="inlineStr">
        <is>
          <t>Australia</t>
        </is>
      </c>
      <c r="Q138" s="4" t="inlineStr">
        <is>
          <t>Friendly</t>
        </is>
      </c>
      <c r="R138" s="3" t="n">
        <v>607.688</v>
      </c>
      <c r="S138" s="3" t="n">
        <v>-104.735</v>
      </c>
      <c r="T138" s="4" t="inlineStr">
        <is>
          <t>Company Takeover, Cross Border</t>
        </is>
      </c>
      <c r="U138" s="2" t="inlineStr">
        <is>
          <t>No</t>
        </is>
      </c>
      <c r="V138" s="2" t="inlineStr">
        <is>
          <t>No</t>
        </is>
      </c>
      <c r="W138" s="2" t="inlineStr">
        <is>
          <t>Yes</t>
        </is>
      </c>
      <c r="X138" s="2" t="inlineStr">
        <is>
          <t>No</t>
        </is>
      </c>
      <c r="Y138" s="2" t="inlineStr">
        <is>
          <t>No</t>
        </is>
      </c>
      <c r="Z138" s="2" t="inlineStr">
        <is>
          <t>No</t>
        </is>
      </c>
      <c r="AA138" s="6" t="n">
        <v>3.276680045</v>
      </c>
      <c r="AB138" s="6" t="n">
        <v>2.78368066</v>
      </c>
      <c r="AC138" s="6" t="n">
        <v>3.010109063</v>
      </c>
      <c r="AD138">
        <f t="array" ref="AD138">IF(SUMPRODUCT(--($AM$2:$AM$112=TRIM(LEFT($B138,IFERROR(FIND(" ",$B138)-1,LEN($B138))))))&gt;0,1,0)</f>
        <v/>
      </c>
      <c r="AE138">
        <f t="array" ref="AE138">IF(SUMPRODUCT(--($AO$2:$AO$145=TRIM(LEFT($B138,IFERROR(FIND(" ",$B138)-1,LEN($B138))))))&gt;0,1,0)</f>
        <v/>
      </c>
      <c r="AF138">
        <f t="array" ref="AF138">IF(SUMPRODUCT(--($AQ$2:$AQ$71=TRIM(LEFT($B138,IFERROR(FIND(" ",$B138)-1,LEN($B138))))))&gt;0,1,0)</f>
        <v/>
      </c>
      <c r="AN138" t="inlineStr">
        <is>
          <t>AMRI / Carly</t>
        </is>
      </c>
      <c r="AO138">
        <f>TRIM(LEFT(AN138,FIND("/",AN138)-1))</f>
        <v/>
      </c>
    </row>
    <row r="139" ht="45.75" customHeight="1" thickBot="1">
      <c r="A139" s="13" t="n">
        <v>102</v>
      </c>
      <c r="B139" s="4" t="inlineStr">
        <is>
          <t>NDOI US</t>
        </is>
      </c>
      <c r="C139" s="4" t="inlineStr">
        <is>
          <t>MNKTQ US</t>
        </is>
      </c>
      <c r="D139" s="7" t="n">
        <v>45729</v>
      </c>
      <c r="E139" s="3" t="n">
        <v>2192.49</v>
      </c>
      <c r="F139" s="4" t="inlineStr">
        <is>
          <t>Cash and Stock</t>
        </is>
      </c>
      <c r="G139" s="3" t="n">
        <v>0.38</v>
      </c>
      <c r="H139" s="4" t="inlineStr">
        <is>
          <t>Health Care</t>
        </is>
      </c>
      <c r="I139" s="4" t="inlineStr">
        <is>
          <t>Health Care</t>
        </is>
      </c>
      <c r="J139" s="4" t="inlineStr">
        <is>
          <t>Biotech &amp; Pharma</t>
        </is>
      </c>
      <c r="K139" s="3" t="n">
        <v>80.2</v>
      </c>
      <c r="L139" s="3" t="n">
        <v>83</v>
      </c>
      <c r="M139" s="3" t="n">
        <v>-95.40000000000001</v>
      </c>
      <c r="N139" s="3" t="n">
        <v>99.84</v>
      </c>
      <c r="O139" s="4" t="inlineStr">
        <is>
          <t>United States</t>
        </is>
      </c>
      <c r="P139" s="4" t="inlineStr">
        <is>
          <t>United States</t>
        </is>
      </c>
      <c r="Q139" s="4" t="inlineStr">
        <is>
          <t>Friendly</t>
        </is>
      </c>
      <c r="R139" s="3" t="n">
        <v>1760.14</v>
      </c>
      <c r="S139" s="3" t="n">
        <v>323.036</v>
      </c>
      <c r="T139" s="4" t="inlineStr">
        <is>
          <t>Company Takeover</t>
        </is>
      </c>
      <c r="U139" s="2" t="inlineStr">
        <is>
          <t>No</t>
        </is>
      </c>
      <c r="V139" s="2" t="inlineStr">
        <is>
          <t>No</t>
        </is>
      </c>
      <c r="W139" s="2" t="inlineStr">
        <is>
          <t>No</t>
        </is>
      </c>
      <c r="X139" s="2" t="inlineStr">
        <is>
          <t>No</t>
        </is>
      </c>
      <c r="Y139" s="2" t="inlineStr">
        <is>
          <t>No</t>
        </is>
      </c>
      <c r="Z139" s="2" t="inlineStr">
        <is>
          <t>No</t>
        </is>
      </c>
      <c r="AA139" s="6" t="n">
        <v>3.340937621</v>
      </c>
      <c r="AB139" s="6" t="n">
        <v>3.245547213</v>
      </c>
      <c r="AC139" s="6" t="n">
        <v>1.999304572</v>
      </c>
      <c r="AD139">
        <f t="array" ref="AD139">IF(SUMPRODUCT(--($AM$2:$AM$112=TRIM(LEFT($B139,IFERROR(FIND(" ",$B139)-1,LEN($B139))))))&gt;0,1,0)</f>
        <v/>
      </c>
      <c r="AE139">
        <f t="array" ref="AE139">IF(SUMPRODUCT(--($AO$2:$AO$145=TRIM(LEFT($B139,IFERROR(FIND(" ",$B139)-1,LEN($B139))))))&gt;0,1,0)</f>
        <v/>
      </c>
      <c r="AF139">
        <f t="array" ref="AF139">IF(SUMPRODUCT(--($AQ$2:$AQ$71=TRIM(LEFT($B139,IFERROR(FIND(" ",$B139)-1,LEN($B139))))))&gt;0,1,0)</f>
        <v/>
      </c>
      <c r="AN139" t="inlineStr">
        <is>
          <t>HUN / Clari</t>
        </is>
      </c>
      <c r="AO139">
        <f>TRIM(LEFT(AN139,FIND("/",AN139)-1))</f>
        <v/>
      </c>
    </row>
    <row r="140" ht="75.75" customHeight="1" thickBot="1">
      <c r="A140" s="13" t="n">
        <v>30</v>
      </c>
      <c r="B140" s="4" t="inlineStr">
        <is>
          <t>VERV US</t>
        </is>
      </c>
      <c r="C140" s="4" t="inlineStr">
        <is>
          <t>LLY US</t>
        </is>
      </c>
      <c r="D140" s="7" t="n">
        <v>45825</v>
      </c>
      <c r="E140" s="3" t="n">
        <v>507.56</v>
      </c>
      <c r="F140" s="4" t="inlineStr">
        <is>
          <t>Cash</t>
        </is>
      </c>
      <c r="G140" s="4" t="n"/>
      <c r="H140" s="4" t="inlineStr">
        <is>
          <t>Health Care</t>
        </is>
      </c>
      <c r="I140" s="4" t="inlineStr">
        <is>
          <t>Health Care</t>
        </is>
      </c>
      <c r="J140" s="4" t="inlineStr">
        <is>
          <t>Biotech &amp; Pharma</t>
        </is>
      </c>
      <c r="K140" s="4" t="n"/>
      <c r="L140" s="4" t="n"/>
      <c r="M140" s="3" t="n">
        <v>101.91</v>
      </c>
      <c r="N140" s="3" t="n">
        <v>936</v>
      </c>
      <c r="O140" s="4" t="inlineStr">
        <is>
          <t>United States</t>
        </is>
      </c>
      <c r="P140" s="4" t="inlineStr">
        <is>
          <t>United States</t>
        </is>
      </c>
      <c r="Q140" s="4" t="inlineStr">
        <is>
          <t>Friendly</t>
        </is>
      </c>
      <c r="R140" s="3" t="n">
        <v>32.332</v>
      </c>
      <c r="S140" s="3" t="n">
        <v>-349.675</v>
      </c>
      <c r="T140" s="4" t="inlineStr">
        <is>
          <t>Company Takeover, Tender Offer</t>
        </is>
      </c>
      <c r="U140" s="2" t="inlineStr">
        <is>
          <t>No</t>
        </is>
      </c>
      <c r="V140" s="2" t="inlineStr">
        <is>
          <t>No</t>
        </is>
      </c>
      <c r="W140" s="2" t="inlineStr">
        <is>
          <t>No</t>
        </is>
      </c>
      <c r="X140" s="2" t="inlineStr">
        <is>
          <t>No</t>
        </is>
      </c>
      <c r="Y140" s="2" t="inlineStr">
        <is>
          <t>No</t>
        </is>
      </c>
      <c r="Z140" s="2" t="inlineStr">
        <is>
          <t>Yes</t>
        </is>
      </c>
      <c r="AA140" s="6" t="n">
        <v>2.705487389</v>
      </c>
      <c r="AB140" s="6" t="n">
        <v>1.50963257</v>
      </c>
      <c r="AC140" s="6" t="n">
        <v>2.971275849</v>
      </c>
      <c r="AD140">
        <f t="array" ref="AD140">IF(SUMPRODUCT(--($AM$2:$AM$112=TRIM(LEFT($B140,IFERROR(FIND(" ",$B140)-1,LEN($B140))))))&gt;0,1,0)</f>
        <v/>
      </c>
      <c r="AE140">
        <f t="array" ref="AE140">IF(SUMPRODUCT(--($AO$2:$AO$145=TRIM(LEFT($B140,IFERROR(FIND(" ",$B140)-1,LEN($B140))))))&gt;0,1,0)</f>
        <v/>
      </c>
      <c r="AF140">
        <f t="array" ref="AF140">IF(SUMPRODUCT(--($AQ$2:$AQ$71=TRIM(LEFT($B140,IFERROR(FIND(" ",$B140)-1,LEN($B140))))))&gt;0,1,0)</f>
        <v/>
      </c>
      <c r="AN140" t="inlineStr">
        <is>
          <t>PTHN / Therm</t>
        </is>
      </c>
      <c r="AO140">
        <f>TRIM(LEFT(AN140,FIND("/",AN140)-1))</f>
        <v/>
      </c>
    </row>
    <row r="141" ht="135.75" customHeight="1" thickBot="1">
      <c r="A141" s="13" t="n">
        <v>125</v>
      </c>
      <c r="B141" s="4" t="inlineStr">
        <is>
          <t>TGI US</t>
        </is>
      </c>
      <c r="C141" s="2" t="n"/>
      <c r="D141" s="7" t="n">
        <v>45691</v>
      </c>
      <c r="E141" s="3" t="n">
        <v>2871.96</v>
      </c>
      <c r="F141" s="4" t="inlineStr">
        <is>
          <t>Cash</t>
        </is>
      </c>
      <c r="G141" s="3" t="n">
        <v>22.82</v>
      </c>
      <c r="H141" s="4" t="inlineStr">
        <is>
          <t>Industrials</t>
        </is>
      </c>
      <c r="I141" s="4" t="inlineStr">
        <is>
          <t>Industrial Products</t>
        </is>
      </c>
      <c r="J141" s="4" t="inlineStr">
        <is>
          <t>Aerospace &amp; Defense</t>
        </is>
      </c>
      <c r="K141" s="3" t="n">
        <v>135</v>
      </c>
      <c r="L141" s="3" t="n">
        <v>80</v>
      </c>
      <c r="M141" s="3" t="n">
        <v>38.33</v>
      </c>
      <c r="N141" s="3" t="n">
        <v>2011.11</v>
      </c>
      <c r="O141" s="4" t="inlineStr">
        <is>
          <t>United States</t>
        </is>
      </c>
      <c r="P141" s="4" t="inlineStr">
        <is>
          <t>United States</t>
        </is>
      </c>
      <c r="Q141" s="4" t="inlineStr">
        <is>
          <t>Friendly</t>
        </is>
      </c>
      <c r="R141" s="3" t="n">
        <v>1261.96</v>
      </c>
      <c r="S141" s="3" t="n">
        <v>11.0483</v>
      </c>
      <c r="T141" s="4" t="inlineStr">
        <is>
          <t>Company Takeover, Private Equity, PE Buyout, Going Private</t>
        </is>
      </c>
      <c r="U141" s="2" t="inlineStr">
        <is>
          <t>No</t>
        </is>
      </c>
      <c r="V141" s="2" t="inlineStr">
        <is>
          <t>No</t>
        </is>
      </c>
      <c r="W141" s="2" t="inlineStr">
        <is>
          <t>No</t>
        </is>
      </c>
      <c r="X141" s="2" t="inlineStr">
        <is>
          <t>Yes</t>
        </is>
      </c>
      <c r="Y141" s="2" t="inlineStr">
        <is>
          <t>Yes</t>
        </is>
      </c>
      <c r="Z141" s="2" t="inlineStr">
        <is>
          <t>No</t>
        </is>
      </c>
      <c r="AA141" s="6" t="n">
        <v>3.458178387</v>
      </c>
      <c r="AB141" s="6" t="n">
        <v>3.101045589</v>
      </c>
      <c r="AC141" s="6" t="n">
        <v>3.303435825</v>
      </c>
      <c r="AD141">
        <f t="array" ref="AD141">IF(SUMPRODUCT(--($AM$2:$AM$112=TRIM(LEFT($B141,IFERROR(FIND(" ",$B141)-1,LEN($B141))))))&gt;0,1,0)</f>
        <v/>
      </c>
      <c r="AE141">
        <f t="array" ref="AE141">IF(SUMPRODUCT(--($AO$2:$AO$145=TRIM(LEFT($B141,IFERROR(FIND(" ",$B141)-1,LEN($B141))))))&gt;0,1,0)</f>
        <v/>
      </c>
      <c r="AF141">
        <f t="array" ref="AF141">IF(SUMPRODUCT(--($AQ$2:$AQ$71=TRIM(LEFT($B141,IFERROR(FIND(" ",$B141)-1,LEN($B141))))))&gt;0,1,0)</f>
        <v/>
      </c>
      <c r="AN141" t="inlineStr">
        <is>
          <t>VWR / Avant</t>
        </is>
      </c>
      <c r="AO141">
        <f>TRIM(LEFT(AN141,FIND("/",AN141)-1))</f>
        <v/>
      </c>
    </row>
    <row r="142" ht="135.75" customHeight="1" thickBot="1">
      <c r="A142" s="13" t="n">
        <v>107</v>
      </c>
      <c r="B142" s="4" t="inlineStr">
        <is>
          <t>INE CN</t>
        </is>
      </c>
      <c r="C142" s="4" t="inlineStr">
        <is>
          <t>1118Z CN</t>
        </is>
      </c>
      <c r="D142" s="7" t="n">
        <v>45713</v>
      </c>
      <c r="E142" s="3" t="n">
        <v>6444.67</v>
      </c>
      <c r="F142" s="4" t="inlineStr">
        <is>
          <t>Cash</t>
        </is>
      </c>
      <c r="G142" s="3" t="n">
        <v>14.08</v>
      </c>
      <c r="H142" s="4" t="inlineStr">
        <is>
          <t>Utilities</t>
        </is>
      </c>
      <c r="I142" s="4" t="inlineStr">
        <is>
          <t>Utilities</t>
        </is>
      </c>
      <c r="J142" s="4" t="inlineStr">
        <is>
          <t>Electric Utilities</t>
        </is>
      </c>
      <c r="K142" s="4" t="n"/>
      <c r="L142" s="4" t="n"/>
      <c r="M142" s="3" t="n">
        <v>83.47</v>
      </c>
      <c r="N142" s="3" t="n">
        <v>1953.96</v>
      </c>
      <c r="O142" s="4" t="inlineStr">
        <is>
          <t>Canada</t>
        </is>
      </c>
      <c r="P142" s="4" t="inlineStr">
        <is>
          <t>Canada</t>
        </is>
      </c>
      <c r="Q142" s="4" t="inlineStr">
        <is>
          <t>Friendly</t>
        </is>
      </c>
      <c r="R142" s="3" t="n">
        <v>764.478</v>
      </c>
      <c r="S142" s="3" t="n">
        <v>26.4753</v>
      </c>
      <c r="T142" s="4" t="inlineStr">
        <is>
          <t>Company Takeover, Going Private, PE Buyout, Private Equity</t>
        </is>
      </c>
      <c r="U142" s="2" t="inlineStr">
        <is>
          <t>No</t>
        </is>
      </c>
      <c r="V142" s="2" t="inlineStr">
        <is>
          <t>No</t>
        </is>
      </c>
      <c r="W142" s="2" t="inlineStr">
        <is>
          <t>No</t>
        </is>
      </c>
      <c r="X142" s="2" t="inlineStr">
        <is>
          <t>Yes</t>
        </is>
      </c>
      <c r="Y142" s="2" t="inlineStr">
        <is>
          <t>Yes</t>
        </is>
      </c>
      <c r="Z142" s="2" t="inlineStr">
        <is>
          <t>No</t>
        </is>
      </c>
      <c r="AA142" s="6" t="n">
        <v>3.809200684</v>
      </c>
      <c r="AB142" s="6" t="n">
        <v>2.883364992</v>
      </c>
      <c r="AC142" s="6" t="n">
        <v>3.290915669</v>
      </c>
      <c r="AD142">
        <f t="array" ref="AD142">IF(SUMPRODUCT(--($AM$2:$AM$112=TRIM(LEFT($B142,IFERROR(FIND(" ",$B142)-1,LEN($B142))))))&gt;0,1,0)</f>
        <v/>
      </c>
      <c r="AE142">
        <f t="array" ref="AE142">IF(SUMPRODUCT(--($AO$2:$AO$145=TRIM(LEFT($B142,IFERROR(FIND(" ",$B142)-1,LEN($B142))))))&gt;0,1,0)</f>
        <v/>
      </c>
      <c r="AF142">
        <f t="array" ref="AF142">IF(SUMPRODUCT(--($AQ$2:$AQ$71=TRIM(LEFT($B142,IFERROR(FIND(" ",$B142)-1,LEN($B142))))))&gt;0,1,0)</f>
        <v/>
      </c>
      <c r="AN142" t="inlineStr">
        <is>
          <t>NORD / Canad</t>
        </is>
      </c>
      <c r="AO142">
        <f>TRIM(LEFT(AN142,FIND("/",AN142)-1))</f>
        <v/>
      </c>
    </row>
    <row r="143" ht="45.75" customHeight="1" thickBot="1">
      <c r="A143" s="13" t="n">
        <v>56</v>
      </c>
      <c r="B143" s="4" t="inlineStr">
        <is>
          <t>FARO US</t>
        </is>
      </c>
      <c r="C143" s="4" t="inlineStr">
        <is>
          <t>AME US</t>
        </is>
      </c>
      <c r="D143" s="7" t="n">
        <v>45783</v>
      </c>
      <c r="E143" s="3" t="n">
        <v>765.01</v>
      </c>
      <c r="F143" s="4" t="inlineStr">
        <is>
          <t>Cash</t>
        </is>
      </c>
      <c r="G143" s="3" t="n">
        <v>30.59</v>
      </c>
      <c r="H143" s="4" t="inlineStr">
        <is>
          <t>Industrials</t>
        </is>
      </c>
      <c r="I143" s="4" t="inlineStr">
        <is>
          <t>Industrial Products</t>
        </is>
      </c>
      <c r="J143" s="4" t="inlineStr">
        <is>
          <t>Electrical Equipment</t>
        </is>
      </c>
      <c r="K143" s="4" t="n"/>
      <c r="L143" s="4" t="n"/>
      <c r="M143" s="3" t="n">
        <v>62.48</v>
      </c>
      <c r="N143" s="3" t="n">
        <v>845.95</v>
      </c>
      <c r="O143" s="4" t="inlineStr">
        <is>
          <t>United States</t>
        </is>
      </c>
      <c r="P143" s="4" t="inlineStr">
        <is>
          <t>United States</t>
        </is>
      </c>
      <c r="Q143" s="4" t="inlineStr">
        <is>
          <t>Friendly</t>
        </is>
      </c>
      <c r="R143" s="3" t="n">
        <v>342.427</v>
      </c>
      <c r="S143" s="3" t="n">
        <v>3.65141</v>
      </c>
      <c r="T143" s="4" t="inlineStr">
        <is>
          <t>Company Takeover</t>
        </is>
      </c>
      <c r="U143" s="2" t="inlineStr">
        <is>
          <t>No</t>
        </is>
      </c>
      <c r="V143" s="2" t="inlineStr">
        <is>
          <t>No</t>
        </is>
      </c>
      <c r="W143" s="2" t="inlineStr">
        <is>
          <t>No</t>
        </is>
      </c>
      <c r="X143" s="2" t="inlineStr">
        <is>
          <t>No</t>
        </is>
      </c>
      <c r="Y143" s="2" t="inlineStr">
        <is>
          <t>No</t>
        </is>
      </c>
      <c r="Z143" s="2" t="inlineStr">
        <is>
          <t>No</t>
        </is>
      </c>
      <c r="AA143" s="6" t="n">
        <v>2.883667112</v>
      </c>
      <c r="AB143" s="6" t="n">
        <v>2.534568001</v>
      </c>
      <c r="AC143" s="6" t="n">
        <v>2.927344695</v>
      </c>
      <c r="AD143">
        <f t="array" ref="AD143">IF(SUMPRODUCT(--($AM$2:$AM$112=TRIM(LEFT($B143,IFERROR(FIND(" ",$B143)-1,LEN($B143))))))&gt;0,1,0)</f>
        <v/>
      </c>
      <c r="AE143">
        <f t="array" ref="AE143">IF(SUMPRODUCT(--($AO$2:$AO$145=TRIM(LEFT($B143,IFERROR(FIND(" ",$B143)-1,LEN($B143))))))&gt;0,1,0)</f>
        <v/>
      </c>
      <c r="AF143">
        <f t="array" ref="AF143">IF(SUMPRODUCT(--($AQ$2:$AQ$71=TRIM(LEFT($B143,IFERROR(FIND(" ",$B143)-1,LEN($B143))))))&gt;0,1,0)</f>
        <v/>
      </c>
      <c r="AN143" t="inlineStr">
        <is>
          <t>BCR / Becto</t>
        </is>
      </c>
      <c r="AO143">
        <f>TRIM(LEFT(AN143,FIND("/",AN143)-1))</f>
        <v/>
      </c>
    </row>
    <row r="144" ht="105.75" customHeight="1" thickBot="1">
      <c r="A144" s="13" t="n">
        <v>36</v>
      </c>
      <c r="B144" s="4" t="inlineStr">
        <is>
          <t>BPMC US</t>
        </is>
      </c>
      <c r="C144" s="4" t="inlineStr">
        <is>
          <t>SAN FP</t>
        </is>
      </c>
      <c r="D144" s="7" t="n">
        <v>45810</v>
      </c>
      <c r="E144" s="3" t="n">
        <v>8335.34</v>
      </c>
      <c r="F144" s="4" t="inlineStr">
        <is>
          <t>Cash</t>
        </is>
      </c>
      <c r="G144" s="4" t="n"/>
      <c r="H144" s="4" t="inlineStr">
        <is>
          <t>Health Care</t>
        </is>
      </c>
      <c r="I144" s="4" t="inlineStr">
        <is>
          <t>Health Care</t>
        </is>
      </c>
      <c r="J144" s="4" t="inlineStr">
        <is>
          <t>Biotech &amp; Pharma</t>
        </is>
      </c>
      <c r="K144" s="4" t="n"/>
      <c r="L144" s="4" t="n"/>
      <c r="M144" s="3" t="n">
        <v>28.54</v>
      </c>
      <c r="N144" s="3" t="n">
        <v>8589.709999999999</v>
      </c>
      <c r="O144" s="4" t="inlineStr">
        <is>
          <t>United States</t>
        </is>
      </c>
      <c r="P144" s="4" t="inlineStr">
        <is>
          <t>United States</t>
        </is>
      </c>
      <c r="Q144" s="4" t="inlineStr">
        <is>
          <t>Friendly</t>
        </is>
      </c>
      <c r="R144" s="3" t="n">
        <v>508.824</v>
      </c>
      <c r="S144" s="3" t="n">
        <v>-22.1072</v>
      </c>
      <c r="T144" s="4" t="inlineStr">
        <is>
          <t>Tender Offer, Company Takeover, Squeeze out</t>
        </is>
      </c>
      <c r="U144" s="2" t="inlineStr">
        <is>
          <t>No</t>
        </is>
      </c>
      <c r="V144" s="2" t="inlineStr">
        <is>
          <t>No</t>
        </is>
      </c>
      <c r="W144" s="2" t="inlineStr">
        <is>
          <t>No</t>
        </is>
      </c>
      <c r="X144" s="2" t="inlineStr">
        <is>
          <t>No</t>
        </is>
      </c>
      <c r="Y144" s="2" t="inlineStr">
        <is>
          <t>No</t>
        </is>
      </c>
      <c r="Z144" s="2" t="inlineStr">
        <is>
          <t>Yes</t>
        </is>
      </c>
      <c r="AA144" s="6" t="n">
        <v>3.920923319</v>
      </c>
      <c r="AB144" s="6" t="n">
        <v>2.706567588</v>
      </c>
      <c r="AC144" s="6" t="n">
        <v>3.933978502</v>
      </c>
      <c r="AD144">
        <f t="array" ref="AD144">IF(SUMPRODUCT(--($AM$2:$AM$112=TRIM(LEFT($B144,IFERROR(FIND(" ",$B144)-1,LEN($B144))))))&gt;0,1,0)</f>
        <v/>
      </c>
      <c r="AE144">
        <f t="array" ref="AE144">IF(SUMPRODUCT(--($AO$2:$AO$145=TRIM(LEFT($B144,IFERROR(FIND(" ",$B144)-1,LEN($B144))))))&gt;0,1,0)</f>
        <v/>
      </c>
      <c r="AF144">
        <f t="array" ref="AF144">IF(SUMPRODUCT(--($AQ$2:$AQ$71=TRIM(LEFT($B144,IFERROR(FIND(" ",$B144)-1,LEN($B144))))))&gt;0,1,0)</f>
        <v/>
      </c>
      <c r="AN144" t="inlineStr">
        <is>
          <t>FIG / SoftB</t>
        </is>
      </c>
      <c r="AO144">
        <f>TRIM(LEFT(AN144,FIND("/",AN144)-1))</f>
        <v/>
      </c>
    </row>
    <row r="145" ht="45.75" customHeight="1" thickBot="1">
      <c r="A145" s="13" t="n">
        <v>455</v>
      </c>
      <c r="B145" s="4" t="inlineStr">
        <is>
          <t>HES US</t>
        </is>
      </c>
      <c r="C145" s="4" t="inlineStr">
        <is>
          <t>CVX US</t>
        </is>
      </c>
      <c r="D145" s="7" t="n">
        <v>45222</v>
      </c>
      <c r="E145" s="3" t="n">
        <v>53800.13</v>
      </c>
      <c r="F145" s="4" t="inlineStr">
        <is>
          <t>Stock</t>
        </is>
      </c>
      <c r="G145" s="3" t="n">
        <v>9.449999999999999</v>
      </c>
      <c r="H145" s="4" t="inlineStr">
        <is>
          <t>Energy</t>
        </is>
      </c>
      <c r="I145" s="4" t="inlineStr">
        <is>
          <t>Oil &amp; Gas</t>
        </is>
      </c>
      <c r="J145" s="4" t="inlineStr">
        <is>
          <t>Oil &amp; Gas Supply Chain</t>
        </is>
      </c>
      <c r="K145" s="4" t="n"/>
      <c r="L145" s="4" t="n"/>
      <c r="M145" s="3" t="n">
        <v>5.14</v>
      </c>
      <c r="N145" s="3" t="n">
        <v>46762.13</v>
      </c>
      <c r="O145" s="4" t="inlineStr">
        <is>
          <t>United States</t>
        </is>
      </c>
      <c r="P145" s="4" t="inlineStr">
        <is>
          <t>United States</t>
        </is>
      </c>
      <c r="Q145" s="4" t="inlineStr">
        <is>
          <t>Friendly</t>
        </is>
      </c>
      <c r="R145" s="3" t="n">
        <v>12896</v>
      </c>
      <c r="S145" s="3" t="n">
        <v>31.9706</v>
      </c>
      <c r="T145" s="4" t="inlineStr">
        <is>
          <t>Company Takeover</t>
        </is>
      </c>
      <c r="U145" s="2" t="inlineStr">
        <is>
          <t>No</t>
        </is>
      </c>
      <c r="V145" s="2" t="inlineStr">
        <is>
          <t>No</t>
        </is>
      </c>
      <c r="W145" s="2" t="inlineStr">
        <is>
          <t>No</t>
        </is>
      </c>
      <c r="X145" s="2" t="inlineStr">
        <is>
          <t>No</t>
        </is>
      </c>
      <c r="Y145" s="2" t="inlineStr">
        <is>
          <t>No</t>
        </is>
      </c>
      <c r="Z145" s="2" t="inlineStr">
        <is>
          <t>No</t>
        </is>
      </c>
      <c r="AA145" s="6" t="n">
        <v>4.730783325</v>
      </c>
      <c r="AB145" s="6" t="n">
        <v>4.110455024</v>
      </c>
      <c r="AC145" s="6" t="n">
        <v>4.669894285</v>
      </c>
      <c r="AD145">
        <f t="array" ref="AD145">IF(SUMPRODUCT(--($AM$2:$AM$112=TRIM(LEFT($B145,IFERROR(FIND(" ",$B145)-1,LEN($B145))))))&gt;0,1,0)</f>
        <v/>
      </c>
      <c r="AE145">
        <f t="array" ref="AE145">IF(SUMPRODUCT(--($AO$2:$AO$145=TRIM(LEFT($B145,IFERROR(FIND(" ",$B145)-1,LEN($B145))))))&gt;0,1,0)</f>
        <v/>
      </c>
      <c r="AF145">
        <f t="array" ref="AF145">IF(SUMPRODUCT(--($AQ$2:$AQ$71=TRIM(LEFT($B145,IFERROR(FIND(" ",$B145)-1,LEN($B145))))))&gt;0,1,0)</f>
        <v/>
      </c>
      <c r="AN145" t="inlineStr">
        <is>
          <t>MPSX / WestR</t>
        </is>
      </c>
      <c r="AO145">
        <f>TRIM(LEFT(AN145,FIND("/",AN145)-1))</f>
        <v/>
      </c>
    </row>
    <row r="146" ht="45.75" customHeight="1" thickBot="1">
      <c r="A146" s="13" t="n">
        <v>395</v>
      </c>
      <c r="B146" s="4" t="inlineStr">
        <is>
          <t>ANSS US</t>
        </is>
      </c>
      <c r="C146" s="4" t="inlineStr">
        <is>
          <t>SNPS US</t>
        </is>
      </c>
      <c r="D146" s="7" t="n">
        <v>45306</v>
      </c>
      <c r="E146" s="3" t="n">
        <v>32790.94</v>
      </c>
      <c r="F146" s="4" t="inlineStr">
        <is>
          <t>Cash and Stock</t>
        </is>
      </c>
      <c r="G146" s="3" t="n">
        <v>41.66</v>
      </c>
      <c r="H146" s="4" t="inlineStr">
        <is>
          <t>Technology</t>
        </is>
      </c>
      <c r="I146" s="4" t="inlineStr">
        <is>
          <t>Software &amp; Tech Services</t>
        </is>
      </c>
      <c r="J146" s="4" t="inlineStr">
        <is>
          <t>Software</t>
        </is>
      </c>
      <c r="K146" s="3" t="n">
        <v>1500</v>
      </c>
      <c r="L146" s="3" t="n">
        <v>950</v>
      </c>
      <c r="M146" s="3" t="n">
        <v>5.62</v>
      </c>
      <c r="N146" s="3" t="n">
        <v>32773.63</v>
      </c>
      <c r="O146" s="4" t="inlineStr">
        <is>
          <t>United States</t>
        </is>
      </c>
      <c r="P146" s="4" t="inlineStr">
        <is>
          <t>United States</t>
        </is>
      </c>
      <c r="Q146" s="4" t="inlineStr">
        <is>
          <t>Friendly</t>
        </is>
      </c>
      <c r="R146" s="3" t="n">
        <v>2544.81</v>
      </c>
      <c r="S146" s="3" t="n">
        <v>28.3939</v>
      </c>
      <c r="T146" s="4" t="inlineStr">
        <is>
          <t>Company Takeover</t>
        </is>
      </c>
      <c r="U146" s="2" t="inlineStr">
        <is>
          <t>No</t>
        </is>
      </c>
      <c r="V146" s="2" t="inlineStr">
        <is>
          <t>No</t>
        </is>
      </c>
      <c r="W146" s="2" t="inlineStr">
        <is>
          <t>No</t>
        </is>
      </c>
      <c r="X146" s="2" t="inlineStr">
        <is>
          <t>No</t>
        </is>
      </c>
      <c r="Y146" s="2" t="inlineStr">
        <is>
          <t>No</t>
        </is>
      </c>
      <c r="Z146" s="2" t="inlineStr">
        <is>
          <t>No</t>
        </is>
      </c>
      <c r="AA146" s="6" t="n">
        <v>4.515753867</v>
      </c>
      <c r="AB146" s="6" t="n">
        <v>3.405655363</v>
      </c>
      <c r="AC146" s="6" t="n">
        <v>4.515524546</v>
      </c>
      <c r="AD146">
        <f t="array" ref="AD146">IF(SUMPRODUCT(--($AM$2:$AM$112=TRIM(LEFT($B146,IFERROR(FIND(" ",$B146)-1,LEN($B146))))))&gt;0,1,0)</f>
        <v/>
      </c>
      <c r="AE146">
        <f t="array" ref="AE146">IF(SUMPRODUCT(--($AO$2:$AO$145=TRIM(LEFT($B146,IFERROR(FIND(" ",$B146)-1,LEN($B146))))))&gt;0,1,0)</f>
        <v/>
      </c>
      <c r="AF146">
        <f t="array" ref="AF146">IF(SUMPRODUCT(--($AQ$2:$AQ$71=TRIM(LEFT($B146,IFERROR(FIND(" ",$B146)-1,LEN($B146))))))&gt;0,1,0)</f>
        <v/>
      </c>
    </row>
    <row r="147" ht="45.75" customHeight="1" thickBot="1">
      <c r="A147" s="13" t="n">
        <v>338</v>
      </c>
      <c r="B147" s="4" t="inlineStr">
        <is>
          <t>CHX US</t>
        </is>
      </c>
      <c r="C147" s="4" t="inlineStr">
        <is>
          <t>SLB US</t>
        </is>
      </c>
      <c r="D147" s="7" t="n">
        <v>45384</v>
      </c>
      <c r="E147" s="3" t="n">
        <v>7730.54</v>
      </c>
      <c r="F147" s="4" t="inlineStr">
        <is>
          <t>Stock</t>
        </is>
      </c>
      <c r="G147" s="3" t="n">
        <v>10.11</v>
      </c>
      <c r="H147" s="4" t="inlineStr">
        <is>
          <t>Energy</t>
        </is>
      </c>
      <c r="I147" s="4" t="inlineStr">
        <is>
          <t>Oil &amp; Gas</t>
        </is>
      </c>
      <c r="J147" s="4" t="inlineStr">
        <is>
          <t>Oil &amp; Gas Services &amp; Equip</t>
        </is>
      </c>
      <c r="K147" s="4" t="n"/>
      <c r="L147" s="4" t="n"/>
      <c r="M147" s="3" t="n">
        <v>16.83</v>
      </c>
      <c r="N147" s="3" t="n">
        <v>7416.98</v>
      </c>
      <c r="O147" s="4" t="inlineStr">
        <is>
          <t>United States</t>
        </is>
      </c>
      <c r="P147" s="4" t="inlineStr">
        <is>
          <t>United States</t>
        </is>
      </c>
      <c r="Q147" s="4" t="inlineStr">
        <is>
          <t>Friendly</t>
        </is>
      </c>
      <c r="R147" s="3" t="n">
        <v>3633.98</v>
      </c>
      <c r="S147" s="3" t="n">
        <v>12.7423</v>
      </c>
      <c r="T147" s="4" t="inlineStr">
        <is>
          <t>Company Takeover</t>
        </is>
      </c>
      <c r="U147" s="2" t="inlineStr">
        <is>
          <t>No</t>
        </is>
      </c>
      <c r="V147" s="2" t="inlineStr">
        <is>
          <t>No</t>
        </is>
      </c>
      <c r="W147" s="2" t="inlineStr">
        <is>
          <t>No</t>
        </is>
      </c>
      <c r="X147" s="2" t="inlineStr">
        <is>
          <t>No</t>
        </is>
      </c>
      <c r="Y147" s="2" t="inlineStr">
        <is>
          <t>No</t>
        </is>
      </c>
      <c r="Z147" s="2" t="inlineStr">
        <is>
          <t>No</t>
        </is>
      </c>
      <c r="AA147" s="6" t="n">
        <v>3.888209832</v>
      </c>
      <c r="AB147" s="6" t="n">
        <v>3.560382533</v>
      </c>
      <c r="AC147" s="6" t="n">
        <v>3.870227108</v>
      </c>
      <c r="AD147">
        <f t="array" ref="AD147">IF(SUMPRODUCT(--($AM$2:$AM$112=TRIM(LEFT($B147,IFERROR(FIND(" ",$B147)-1,LEN($B147))))))&gt;0,1,0)</f>
        <v/>
      </c>
      <c r="AE147">
        <f t="array" ref="AE147">IF(SUMPRODUCT(--($AO$2:$AO$145=TRIM(LEFT($B147,IFERROR(FIND(" ",$B147)-1,LEN($B147))))))&gt;0,1,0)</f>
        <v/>
      </c>
      <c r="AF147">
        <f t="array" ref="AF147">IF(SUMPRODUCT(--($AQ$2:$AQ$71=TRIM(LEFT($B147,IFERROR(FIND(" ",$B147)-1,LEN($B147))))))&gt;0,1,0)</f>
        <v/>
      </c>
    </row>
    <row r="148" ht="75.75" customHeight="1" thickBot="1">
      <c r="A148" s="13" t="n">
        <v>87</v>
      </c>
      <c r="B148" s="4" t="inlineStr">
        <is>
          <t>RDUS US</t>
        </is>
      </c>
      <c r="C148" s="4" t="inlineStr">
        <is>
          <t>8015 JP</t>
        </is>
      </c>
      <c r="D148" s="7" t="n">
        <v>45729</v>
      </c>
      <c r="E148" s="3" t="n">
        <v>1404.97</v>
      </c>
      <c r="F148" s="4" t="inlineStr">
        <is>
          <t>Cash</t>
        </is>
      </c>
      <c r="G148" s="4" t="n"/>
      <c r="H148" s="4" t="inlineStr">
        <is>
          <t>Industrials</t>
        </is>
      </c>
      <c r="I148" s="4" t="inlineStr">
        <is>
          <t>Industrial Services</t>
        </is>
      </c>
      <c r="J148" s="4" t="inlineStr">
        <is>
          <t>Commercial Support Services</t>
        </is>
      </c>
      <c r="K148" s="4" t="n"/>
      <c r="L148" s="4" t="n"/>
      <c r="M148" s="3" t="n">
        <v>125.86</v>
      </c>
      <c r="N148" s="3" t="n">
        <v>838.66</v>
      </c>
      <c r="O148" s="4" t="inlineStr">
        <is>
          <t>United States</t>
        </is>
      </c>
      <c r="P148" s="4" t="inlineStr">
        <is>
          <t>Japan</t>
        </is>
      </c>
      <c r="Q148" s="4" t="inlineStr">
        <is>
          <t>Friendly</t>
        </is>
      </c>
      <c r="R148" s="3" t="n">
        <v>2738.69</v>
      </c>
      <c r="S148" s="3" t="n">
        <v>-2.50399</v>
      </c>
      <c r="T148" s="4" t="inlineStr">
        <is>
          <t>Cross Border, Company Takeover</t>
        </is>
      </c>
      <c r="U148" s="2" t="inlineStr">
        <is>
          <t>No</t>
        </is>
      </c>
      <c r="V148" s="2" t="inlineStr">
        <is>
          <t>No</t>
        </is>
      </c>
      <c r="W148" s="2" t="inlineStr">
        <is>
          <t>Yes</t>
        </is>
      </c>
      <c r="X148" s="2" t="inlineStr">
        <is>
          <t>No</t>
        </is>
      </c>
      <c r="Y148" s="2" t="inlineStr">
        <is>
          <t>No</t>
        </is>
      </c>
      <c r="Z148" s="2" t="inlineStr">
        <is>
          <t>No</t>
        </is>
      </c>
      <c r="AA148" s="6" t="n">
        <v>3.147667051</v>
      </c>
      <c r="AB148" s="6" t="n">
        <v>3.437542876</v>
      </c>
      <c r="AC148" s="6" t="n">
        <v>2.92358593</v>
      </c>
      <c r="AD148">
        <f t="array" ref="AD148">IF(SUMPRODUCT(--($AM$2:$AM$112=TRIM(LEFT($B148,IFERROR(FIND(" ",$B148)-1,LEN($B148))))))&gt;0,1,0)</f>
        <v/>
      </c>
      <c r="AE148">
        <f t="array" ref="AE148">IF(SUMPRODUCT(--($AO$2:$AO$145=TRIM(LEFT($B148,IFERROR(FIND(" ",$B148)-1,LEN($B148))))))&gt;0,1,0)</f>
        <v/>
      </c>
      <c r="AF148">
        <f t="array" ref="AF148">IF(SUMPRODUCT(--($AQ$2:$AQ$71=TRIM(LEFT($B148,IFERROR(FIND(" ",$B148)-1,LEN($B148))))))&gt;0,1,0)</f>
        <v/>
      </c>
    </row>
    <row r="149" ht="180.75" customHeight="1" thickBot="1">
      <c r="A149" s="13" t="n">
        <v>244</v>
      </c>
      <c r="B149" s="4" t="inlineStr">
        <is>
          <t>ESGR US</t>
        </is>
      </c>
      <c r="C149" s="2" t="n"/>
      <c r="D149" s="7" t="n">
        <v>45502</v>
      </c>
      <c r="E149" s="3" t="n">
        <v>4905.59</v>
      </c>
      <c r="F149" s="4" t="inlineStr">
        <is>
          <t>Cash</t>
        </is>
      </c>
      <c r="G149" s="4" t="n"/>
      <c r="H149" s="4" t="inlineStr">
        <is>
          <t>Financials</t>
        </is>
      </c>
      <c r="I149" s="4" t="inlineStr">
        <is>
          <t>Insurance</t>
        </is>
      </c>
      <c r="J149" s="4" t="inlineStr">
        <is>
          <t>Insurance</t>
        </is>
      </c>
      <c r="K149" s="4" t="n"/>
      <c r="L149" s="4" t="n"/>
      <c r="M149" s="3" t="n">
        <v>3.27</v>
      </c>
      <c r="N149" s="3" t="n">
        <v>4905.59</v>
      </c>
      <c r="O149" s="4" t="inlineStr">
        <is>
          <t>United States</t>
        </is>
      </c>
      <c r="P149" s="4" t="inlineStr">
        <is>
          <t>United States</t>
        </is>
      </c>
      <c r="Q149" s="4" t="inlineStr">
        <is>
          <t>Friendly</t>
        </is>
      </c>
      <c r="R149" s="3" t="n">
        <v>1229</v>
      </c>
      <c r="S149" s="3" t="n">
        <v>57.6359</v>
      </c>
      <c r="T149" s="4" t="inlineStr">
        <is>
          <t>Additional Stake Purchase, PE Buyout, Private Equity, Company Takeover, Going Private</t>
        </is>
      </c>
      <c r="U149" s="2" t="inlineStr">
        <is>
          <t>Yes</t>
        </is>
      </c>
      <c r="V149" s="2" t="inlineStr">
        <is>
          <t>No</t>
        </is>
      </c>
      <c r="W149" s="2" t="inlineStr">
        <is>
          <t>No</t>
        </is>
      </c>
      <c r="X149" s="2" t="inlineStr">
        <is>
          <t>Yes</t>
        </is>
      </c>
      <c r="Y149" s="2" t="inlineStr">
        <is>
          <t>Yes</t>
        </is>
      </c>
      <c r="Z149" s="2" t="inlineStr">
        <is>
          <t>No</t>
        </is>
      </c>
      <c r="AA149" s="6" t="n">
        <v>3.690691248</v>
      </c>
      <c r="AB149" s="6" t="n">
        <v>3.089551883</v>
      </c>
      <c r="AC149" s="6" t="n">
        <v>3.690691248</v>
      </c>
      <c r="AD149">
        <f t="array" ref="AD149">IF(SUMPRODUCT(--($AM$2:$AM$112=TRIM(LEFT($B149,IFERROR(FIND(" ",$B149)-1,LEN($B149))))))&gt;0,1,0)</f>
        <v/>
      </c>
      <c r="AE149">
        <f t="array" ref="AE149">IF(SUMPRODUCT(--($AO$2:$AO$145=TRIM(LEFT($B149,IFERROR(FIND(" ",$B149)-1,LEN($B149))))))&gt;0,1,0)</f>
        <v/>
      </c>
      <c r="AF149">
        <f t="array" ref="AF149">IF(SUMPRODUCT(--($AQ$2:$AQ$71=TRIM(LEFT($B149,IFERROR(FIND(" ",$B149)-1,LEN($B149))))))&gt;0,1,0)</f>
        <v/>
      </c>
    </row>
    <row r="150" ht="75.75" customHeight="1" thickBot="1">
      <c r="A150" s="13" t="n">
        <v>386</v>
      </c>
      <c r="B150" s="4" t="inlineStr">
        <is>
          <t>JNPR US</t>
        </is>
      </c>
      <c r="C150" s="4" t="inlineStr">
        <is>
          <t>HPE US</t>
        </is>
      </c>
      <c r="D150" s="7" t="n">
        <v>45301</v>
      </c>
      <c r="E150" s="3" t="n">
        <v>13293.34</v>
      </c>
      <c r="F150" s="4" t="inlineStr">
        <is>
          <t>Cash</t>
        </is>
      </c>
      <c r="G150" s="3" t="n">
        <v>18.69</v>
      </c>
      <c r="H150" s="4" t="inlineStr">
        <is>
          <t>Technology</t>
        </is>
      </c>
      <c r="I150" s="4" t="inlineStr">
        <is>
          <t>Tech Hardware &amp; Semiconductors</t>
        </is>
      </c>
      <c r="J150" s="4" t="inlineStr">
        <is>
          <t>Technology Hardware</t>
        </is>
      </c>
      <c r="K150" s="3" t="n">
        <v>815</v>
      </c>
      <c r="L150" s="3" t="n">
        <v>407.5</v>
      </c>
      <c r="M150" s="3" t="n">
        <v>33.89</v>
      </c>
      <c r="N150" s="3" t="n">
        <v>12754.74</v>
      </c>
      <c r="O150" s="4" t="inlineStr">
        <is>
          <t>United States</t>
        </is>
      </c>
      <c r="P150" s="4" t="inlineStr">
        <is>
          <t>United States</t>
        </is>
      </c>
      <c r="Q150" s="4" t="inlineStr">
        <is>
          <t>Friendly</t>
        </is>
      </c>
      <c r="R150" s="3" t="n">
        <v>5073.6</v>
      </c>
      <c r="S150" s="3" t="n">
        <v>7.59669</v>
      </c>
      <c r="T150" s="4" t="inlineStr">
        <is>
          <t>Company Takeover</t>
        </is>
      </c>
      <c r="U150" s="2" t="inlineStr">
        <is>
          <t>No</t>
        </is>
      </c>
      <c r="V150" s="2" t="inlineStr">
        <is>
          <t>No</t>
        </is>
      </c>
      <c r="W150" s="2" t="inlineStr">
        <is>
          <t>No</t>
        </is>
      </c>
      <c r="X150" s="2" t="inlineStr">
        <is>
          <t>No</t>
        </is>
      </c>
      <c r="Y150" s="2" t="inlineStr">
        <is>
          <t>No</t>
        </is>
      </c>
      <c r="Z150" s="2" t="inlineStr">
        <is>
          <t>No</t>
        </is>
      </c>
      <c r="AA150" s="6" t="n">
        <v>4.123634113</v>
      </c>
      <c r="AB150" s="6" t="n">
        <v>3.705316225</v>
      </c>
      <c r="AC150" s="6" t="n">
        <v>4.10567161</v>
      </c>
      <c r="AD150">
        <f t="array" ref="AD150">IF(SUMPRODUCT(--($AM$2:$AM$112=TRIM(LEFT($B150,IFERROR(FIND(" ",$B150)-1,LEN($B150))))))&gt;0,1,0)</f>
        <v/>
      </c>
      <c r="AE150">
        <f t="array" ref="AE150">IF(SUMPRODUCT(--($AO$2:$AO$145=TRIM(LEFT($B150,IFERROR(FIND(" ",$B150)-1,LEN($B150))))))&gt;0,1,0)</f>
        <v/>
      </c>
      <c r="AF150">
        <f t="array" ref="AF150">IF(SUMPRODUCT(--($AQ$2:$AQ$71=TRIM(LEFT($B150,IFERROR(FIND(" ",$B150)-1,LEN($B150))))))&gt;0,1,0)</f>
        <v/>
      </c>
    </row>
    <row r="151" ht="105.75" customHeight="1" thickBot="1">
      <c r="A151" s="13" t="n">
        <v>126</v>
      </c>
      <c r="B151" s="4" t="inlineStr">
        <is>
          <t>YERB/U CN</t>
        </is>
      </c>
      <c r="C151" s="4" t="inlineStr">
        <is>
          <t>BNKK US</t>
        </is>
      </c>
      <c r="D151" s="7" t="n">
        <v>45665</v>
      </c>
      <c r="E151" s="3" t="n">
        <v>4100</v>
      </c>
      <c r="F151" s="4" t="inlineStr">
        <is>
          <t>Stock</t>
        </is>
      </c>
      <c r="G151" s="4" t="n"/>
      <c r="H151" s="4" t="inlineStr">
        <is>
          <t>Consumer Staples</t>
        </is>
      </c>
      <c r="I151" s="4" t="inlineStr">
        <is>
          <t>Consumer Staple Products</t>
        </is>
      </c>
      <c r="J151" s="4" t="inlineStr">
        <is>
          <t>Beverages</t>
        </is>
      </c>
      <c r="K151" s="3" t="n">
        <v>0.5</v>
      </c>
      <c r="L151" s="3" t="n">
        <v>1.75</v>
      </c>
      <c r="M151" s="4" t="n"/>
      <c r="N151" s="3" t="n">
        <v>4096.78</v>
      </c>
      <c r="O151" s="4" t="inlineStr">
        <is>
          <t>Canada</t>
        </is>
      </c>
      <c r="P151" s="4" t="inlineStr">
        <is>
          <t>United States</t>
        </is>
      </c>
      <c r="Q151" s="4" t="inlineStr">
        <is>
          <t>Friendly</t>
        </is>
      </c>
      <c r="R151" s="3" t="n">
        <v>5.90554</v>
      </c>
      <c r="S151" s="2" t="n"/>
      <c r="T151" s="4" t="inlineStr">
        <is>
          <t>Company Takeover, Cross Border, Going Private</t>
        </is>
      </c>
      <c r="U151" s="2" t="inlineStr">
        <is>
          <t>No</t>
        </is>
      </c>
      <c r="V151" s="2" t="inlineStr">
        <is>
          <t>No</t>
        </is>
      </c>
      <c r="W151" s="2" t="inlineStr">
        <is>
          <t>Yes</t>
        </is>
      </c>
      <c r="X151" s="2" t="inlineStr">
        <is>
          <t>Yes</t>
        </is>
      </c>
      <c r="Y151" s="2" t="inlineStr">
        <is>
          <t>No</t>
        </is>
      </c>
      <c r="Z151" s="2" t="inlineStr">
        <is>
          <t>No</t>
        </is>
      </c>
      <c r="AA151" s="6" t="n">
        <v>3.612783857</v>
      </c>
      <c r="AB151" s="6" t="n">
        <v>0.7712596155</v>
      </c>
      <c r="AC151" s="6" t="n">
        <v>3.612442643</v>
      </c>
      <c r="AD151">
        <f t="array" ref="AD151">IF(SUMPRODUCT(--($AM$2:$AM$112=TRIM(LEFT($B151,IFERROR(FIND(" ",$B151)-1,LEN($B151))))))&gt;0,1,0)</f>
        <v/>
      </c>
      <c r="AE151">
        <f t="array" ref="AE151">IF(SUMPRODUCT(--($AO$2:$AO$145=TRIM(LEFT($B151,IFERROR(FIND(" ",$B151)-1,LEN($B151))))))&gt;0,1,0)</f>
        <v/>
      </c>
      <c r="AF151">
        <f t="array" ref="AF151">IF(SUMPRODUCT(--($AQ$2:$AQ$71=TRIM(LEFT($B151,IFERROR(FIND(" ",$B151)-1,LEN($B151))))))&gt;0,1,0)</f>
        <v/>
      </c>
    </row>
    <row r="152" ht="75.75" customHeight="1" thickBot="1">
      <c r="A152" s="13" t="n">
        <v>48</v>
      </c>
      <c r="B152" s="4" t="inlineStr">
        <is>
          <t>SWTX US</t>
        </is>
      </c>
      <c r="C152" s="4" t="inlineStr">
        <is>
          <t>MRK GR</t>
        </is>
      </c>
      <c r="D152" s="7" t="n">
        <v>45775</v>
      </c>
      <c r="E152" s="3" t="n">
        <v>3070.26</v>
      </c>
      <c r="F152" s="4" t="inlineStr">
        <is>
          <t>Cash</t>
        </is>
      </c>
      <c r="G152" s="4" t="n"/>
      <c r="H152" s="4" t="inlineStr">
        <is>
          <t>Health Care</t>
        </is>
      </c>
      <c r="I152" s="4" t="inlineStr">
        <is>
          <t>Health Care</t>
        </is>
      </c>
      <c r="J152" s="4" t="inlineStr">
        <is>
          <t>Biotech &amp; Pharma</t>
        </is>
      </c>
      <c r="K152" s="4" t="n"/>
      <c r="L152" s="4" t="n"/>
      <c r="M152" s="3" t="n">
        <v>17.21</v>
      </c>
      <c r="N152" s="3" t="n">
        <v>3524.26</v>
      </c>
      <c r="O152" s="4" t="inlineStr">
        <is>
          <t>United States</t>
        </is>
      </c>
      <c r="P152" s="4" t="inlineStr">
        <is>
          <t>Germany</t>
        </is>
      </c>
      <c r="Q152" s="4" t="inlineStr">
        <is>
          <t>Friendly</t>
        </is>
      </c>
      <c r="R152" s="3" t="n">
        <v>191.589</v>
      </c>
      <c r="S152" s="3" t="n">
        <v>-120.515</v>
      </c>
      <c r="T152" s="4" t="inlineStr">
        <is>
          <t>Company Takeover, Cross Border</t>
        </is>
      </c>
      <c r="U152" s="2" t="inlineStr">
        <is>
          <t>No</t>
        </is>
      </c>
      <c r="V152" s="2" t="inlineStr">
        <is>
          <t>No</t>
        </is>
      </c>
      <c r="W152" s="2" t="inlineStr">
        <is>
          <t>Yes</t>
        </is>
      </c>
      <c r="X152" s="2" t="inlineStr">
        <is>
          <t>No</t>
        </is>
      </c>
      <c r="Y152" s="2" t="inlineStr">
        <is>
          <t>No</t>
        </is>
      </c>
      <c r="Z152" s="2" t="inlineStr">
        <is>
          <t>No</t>
        </is>
      </c>
      <c r="AA152" s="6" t="n">
        <v>3.487175155</v>
      </c>
      <c r="AB152" s="6" t="n">
        <v>2.282370571</v>
      </c>
      <c r="AC152" s="6" t="n">
        <v>3.547067941</v>
      </c>
      <c r="AD152">
        <f t="array" ref="AD152">IF(SUMPRODUCT(--($AM$2:$AM$112=TRIM(LEFT($B152,IFERROR(FIND(" ",$B152)-1,LEN($B152))))))&gt;0,1,0)</f>
        <v/>
      </c>
      <c r="AE152">
        <f t="array" ref="AE152">IF(SUMPRODUCT(--($AO$2:$AO$145=TRIM(LEFT($B152,IFERROR(FIND(" ",$B152)-1,LEN($B152))))))&gt;0,1,0)</f>
        <v/>
      </c>
      <c r="AF152">
        <f t="array" ref="AF152">IF(SUMPRODUCT(--($AQ$2:$AQ$71=TRIM(LEFT($B152,IFERROR(FIND(" ",$B152)-1,LEN($B152))))))&gt;0,1,0)</f>
        <v/>
      </c>
    </row>
    <row r="153" ht="45.75" customHeight="1" thickBot="1">
      <c r="A153" s="13" t="n">
        <v>83</v>
      </c>
      <c r="B153" s="4" t="inlineStr">
        <is>
          <t>RDFN US</t>
        </is>
      </c>
      <c r="C153" s="4" t="inlineStr">
        <is>
          <t>RKT US</t>
        </is>
      </c>
      <c r="D153" s="7" t="n">
        <v>45726</v>
      </c>
      <c r="E153" s="3" t="n">
        <v>2215.77</v>
      </c>
      <c r="F153" s="4" t="inlineStr">
        <is>
          <t>Stock</t>
        </is>
      </c>
      <c r="G153" s="4" t="n"/>
      <c r="H153" s="4" t="inlineStr">
        <is>
          <t>Real Estate</t>
        </is>
      </c>
      <c r="I153" s="4" t="inlineStr">
        <is>
          <t>Real Estate</t>
        </is>
      </c>
      <c r="J153" s="4" t="inlineStr">
        <is>
          <t>Real Estate Services</t>
        </is>
      </c>
      <c r="K153" s="4" t="n"/>
      <c r="L153" s="4" t="n"/>
      <c r="M153" s="3" t="n">
        <v>37.82</v>
      </c>
      <c r="N153" s="3" t="n">
        <v>1345.62</v>
      </c>
      <c r="O153" s="4" t="inlineStr">
        <is>
          <t>United States</t>
        </is>
      </c>
      <c r="P153" s="4" t="inlineStr">
        <is>
          <t>United States</t>
        </is>
      </c>
      <c r="Q153" s="4" t="inlineStr">
        <is>
          <t>Friendly</t>
        </is>
      </c>
      <c r="R153" s="3" t="n">
        <v>1042.98</v>
      </c>
      <c r="S153" s="3" t="n">
        <v>-16.5149</v>
      </c>
      <c r="T153" s="4" t="inlineStr">
        <is>
          <t>Company Takeover</t>
        </is>
      </c>
      <c r="U153" s="2" t="inlineStr">
        <is>
          <t>No</t>
        </is>
      </c>
      <c r="V153" s="2" t="inlineStr">
        <is>
          <t>No</t>
        </is>
      </c>
      <c r="W153" s="2" t="inlineStr">
        <is>
          <t>No</t>
        </is>
      </c>
      <c r="X153" s="2" t="inlineStr">
        <is>
          <t>No</t>
        </is>
      </c>
      <c r="Y153" s="2" t="inlineStr">
        <is>
          <t>No</t>
        </is>
      </c>
      <c r="Z153" s="2" t="inlineStr">
        <is>
          <t>No</t>
        </is>
      </c>
      <c r="AA153" s="6" t="n">
        <v>3.345524678</v>
      </c>
      <c r="AB153" s="6" t="n">
        <v>3.018275981</v>
      </c>
      <c r="AC153" s="6" t="n">
        <v>3.128922433</v>
      </c>
      <c r="AD153">
        <f t="array" ref="AD153">IF(SUMPRODUCT(--($AM$2:$AM$112=TRIM(LEFT($B153,IFERROR(FIND(" ",$B153)-1,LEN($B153))))))&gt;0,1,0)</f>
        <v/>
      </c>
      <c r="AE153">
        <f t="array" ref="AE153">IF(SUMPRODUCT(--($AO$2:$AO$145=TRIM(LEFT($B153,IFERROR(FIND(" ",$B153)-1,LEN($B153))))))&gt;0,1,0)</f>
        <v/>
      </c>
      <c r="AF153">
        <f t="array" ref="AF153">IF(SUMPRODUCT(--($AQ$2:$AQ$71=TRIM(LEFT($B153,IFERROR(FIND(" ",$B153)-1,LEN($B153))))))&gt;0,1,0)</f>
        <v/>
      </c>
    </row>
    <row r="154" ht="45.75" customHeight="1" thickBot="1">
      <c r="A154" s="13" t="n">
        <v>148</v>
      </c>
      <c r="B154" s="4" t="inlineStr">
        <is>
          <t>EBTC US</t>
        </is>
      </c>
      <c r="C154" s="4" t="inlineStr">
        <is>
          <t>INDB US</t>
        </is>
      </c>
      <c r="D154" s="7" t="n">
        <v>45635</v>
      </c>
      <c r="E154" s="3" t="n">
        <v>565.4299999999999</v>
      </c>
      <c r="F154" s="4" t="inlineStr">
        <is>
          <t>Cash and Stock</t>
        </is>
      </c>
      <c r="G154" s="4" t="n"/>
      <c r="H154" s="4" t="inlineStr">
        <is>
          <t>Financials</t>
        </is>
      </c>
      <c r="I154" s="4" t="inlineStr">
        <is>
          <t>Banking</t>
        </is>
      </c>
      <c r="J154" s="4" t="inlineStr">
        <is>
          <t>Banking</t>
        </is>
      </c>
      <c r="K154" s="4" t="n"/>
      <c r="L154" s="3" t="n">
        <v>22.488</v>
      </c>
      <c r="M154" s="3" t="n">
        <v>23.85</v>
      </c>
      <c r="N154" s="3" t="n">
        <v>565.4299999999999</v>
      </c>
      <c r="O154" s="4" t="inlineStr">
        <is>
          <t>United States</t>
        </is>
      </c>
      <c r="P154" s="4" t="inlineStr">
        <is>
          <t>United States</t>
        </is>
      </c>
      <c r="Q154" s="4" t="inlineStr">
        <is>
          <t>Friendly</t>
        </is>
      </c>
      <c r="R154" s="3" t="n">
        <v>253.149</v>
      </c>
      <c r="S154" s="3" t="n">
        <v>31.0856</v>
      </c>
      <c r="T154" s="4" t="inlineStr">
        <is>
          <t>Company Takeover</t>
        </is>
      </c>
      <c r="U154" s="2" t="inlineStr">
        <is>
          <t>No</t>
        </is>
      </c>
      <c r="V154" s="2" t="inlineStr">
        <is>
          <t>No</t>
        </is>
      </c>
      <c r="W154" s="2" t="inlineStr">
        <is>
          <t>No</t>
        </is>
      </c>
      <c r="X154" s="2" t="inlineStr">
        <is>
          <t>No</t>
        </is>
      </c>
      <c r="Y154" s="2" t="inlineStr">
        <is>
          <t>No</t>
        </is>
      </c>
      <c r="Z154" s="2" t="inlineStr">
        <is>
          <t>No</t>
        </is>
      </c>
      <c r="AA154" s="6" t="n">
        <v>2.752378847</v>
      </c>
      <c r="AB154" s="6" t="n">
        <v>2.403376216</v>
      </c>
      <c r="AC154" s="6" t="n">
        <v>2.752378847</v>
      </c>
      <c r="AD154">
        <f t="array" ref="AD154">IF(SUMPRODUCT(--($AM$2:$AM$112=TRIM(LEFT($B154,IFERROR(FIND(" ",$B154)-1,LEN($B154))))))&gt;0,1,0)</f>
        <v/>
      </c>
      <c r="AE154">
        <f t="array" ref="AE154">IF(SUMPRODUCT(--($AO$2:$AO$145=TRIM(LEFT($B154,IFERROR(FIND(" ",$B154)-1,LEN($B154))))))&gt;0,1,0)</f>
        <v/>
      </c>
      <c r="AF154">
        <f t="array" ref="AF154">IF(SUMPRODUCT(--($AQ$2:$AQ$71=TRIM(LEFT($B154,IFERROR(FIND(" ",$B154)-1,LEN($B154))))))&gt;0,1,0)</f>
        <v/>
      </c>
    </row>
    <row r="155" ht="75.75" customHeight="1" thickBot="1">
      <c r="A155" s="13" t="n">
        <v>72</v>
      </c>
      <c r="B155" s="4" t="inlineStr">
        <is>
          <t>AZEK US</t>
        </is>
      </c>
      <c r="C155" s="4" t="inlineStr">
        <is>
          <t>JHX AU</t>
        </is>
      </c>
      <c r="D155" s="7" t="n">
        <v>45740</v>
      </c>
      <c r="E155" s="3" t="n">
        <v>8770.57</v>
      </c>
      <c r="F155" s="4" t="inlineStr">
        <is>
          <t>Cash and Stock</t>
        </is>
      </c>
      <c r="G155" s="3" t="n">
        <v>25.27</v>
      </c>
      <c r="H155" s="4" t="inlineStr">
        <is>
          <t>Consumer Discretionary</t>
        </is>
      </c>
      <c r="I155" s="4" t="inlineStr">
        <is>
          <t>Consumer Discretionary Products</t>
        </is>
      </c>
      <c r="J155" s="4" t="inlineStr">
        <is>
          <t>Home Construction</t>
        </is>
      </c>
      <c r="K155" s="4" t="n"/>
      <c r="L155" s="3" t="n">
        <v>272</v>
      </c>
      <c r="M155" s="3" t="n">
        <v>36.15</v>
      </c>
      <c r="N155" s="3" t="n">
        <v>8458.690000000001</v>
      </c>
      <c r="O155" s="4" t="inlineStr">
        <is>
          <t>United States</t>
        </is>
      </c>
      <c r="P155" s="4" t="inlineStr">
        <is>
          <t>United States</t>
        </is>
      </c>
      <c r="Q155" s="4" t="inlineStr">
        <is>
          <t>Friendly</t>
        </is>
      </c>
      <c r="R155" s="3" t="n">
        <v>1441.45</v>
      </c>
      <c r="S155" s="3" t="n">
        <v>15.3627</v>
      </c>
      <c r="T155" s="4" t="inlineStr">
        <is>
          <t>Company Takeover</t>
        </is>
      </c>
      <c r="U155" s="2" t="inlineStr">
        <is>
          <t>No</t>
        </is>
      </c>
      <c r="V155" s="2" t="inlineStr">
        <is>
          <t>No</t>
        </is>
      </c>
      <c r="W155" s="2" t="inlineStr">
        <is>
          <t>No</t>
        </is>
      </c>
      <c r="X155" s="2" t="inlineStr">
        <is>
          <t>No</t>
        </is>
      </c>
      <c r="Y155" s="2" t="inlineStr">
        <is>
          <t>No</t>
        </is>
      </c>
      <c r="Z155" s="2" t="inlineStr">
        <is>
          <t>No</t>
        </is>
      </c>
      <c r="AA155" s="6" t="n">
        <v>3.943027819</v>
      </c>
      <c r="AB155" s="6" t="n">
        <v>3.158799582</v>
      </c>
      <c r="AC155" s="6" t="n">
        <v>3.927303109</v>
      </c>
      <c r="AD155">
        <f t="array" ref="AD155">IF(SUMPRODUCT(--($AM$2:$AM$112=TRIM(LEFT($B155,IFERROR(FIND(" ",$B155)-1,LEN($B155))))))&gt;0,1,0)</f>
        <v/>
      </c>
      <c r="AE155">
        <f t="array" ref="AE155">IF(SUMPRODUCT(--($AO$2:$AO$145=TRIM(LEFT($B155,IFERROR(FIND(" ",$B155)-1,LEN($B155))))))&gt;0,1,0)</f>
        <v/>
      </c>
      <c r="AF155">
        <f t="array" ref="AF155">IF(SUMPRODUCT(--($AQ$2:$AQ$71=TRIM(LEFT($B155,IFERROR(FIND(" ",$B155)-1,LEN($B155))))))&gt;0,1,0)</f>
        <v/>
      </c>
    </row>
    <row r="156" ht="105.75" customHeight="1" thickBot="1">
      <c r="A156" s="13" t="n">
        <v>243</v>
      </c>
      <c r="B156" s="4" t="inlineStr">
        <is>
          <t>EVRI US</t>
        </is>
      </c>
      <c r="C156" s="4" t="inlineStr">
        <is>
          <t>2462742D US</t>
        </is>
      </c>
      <c r="D156" s="7" t="n">
        <v>45499</v>
      </c>
      <c r="E156" s="3" t="n">
        <v>1931.88</v>
      </c>
      <c r="F156" s="4" t="inlineStr">
        <is>
          <t>Cash</t>
        </is>
      </c>
      <c r="G156" s="3" t="n">
        <v>5.95</v>
      </c>
      <c r="H156" s="4" t="inlineStr">
        <is>
          <t>Consumer Discretionary</t>
        </is>
      </c>
      <c r="I156" s="4" t="inlineStr">
        <is>
          <t>Consumer Discretionary Services</t>
        </is>
      </c>
      <c r="J156" s="4" t="inlineStr">
        <is>
          <t>Leisure Facilities &amp; Services</t>
        </is>
      </c>
      <c r="K156" s="4" t="n"/>
      <c r="L156" s="4" t="n"/>
      <c r="M156" s="3" t="n">
        <v>65.65000000000001</v>
      </c>
      <c r="N156" s="3" t="n">
        <v>1198.08</v>
      </c>
      <c r="O156" s="4" t="inlineStr">
        <is>
          <t>United States</t>
        </is>
      </c>
      <c r="P156" s="4" t="inlineStr">
        <is>
          <t>United States</t>
        </is>
      </c>
      <c r="Q156" s="4" t="inlineStr">
        <is>
          <t>Friendly</t>
        </is>
      </c>
      <c r="R156" s="3" t="n">
        <v>757.903</v>
      </c>
      <c r="S156" s="3" t="n">
        <v>11.2586</v>
      </c>
      <c r="T156" s="4" t="inlineStr">
        <is>
          <t>PE Buyout, Private Equity, Company Takeover</t>
        </is>
      </c>
      <c r="U156" s="2" t="inlineStr">
        <is>
          <t>No</t>
        </is>
      </c>
      <c r="V156" s="2" t="inlineStr">
        <is>
          <t>No</t>
        </is>
      </c>
      <c r="W156" s="2" t="inlineStr">
        <is>
          <t>No</t>
        </is>
      </c>
      <c r="X156" s="2" t="inlineStr">
        <is>
          <t>No</t>
        </is>
      </c>
      <c r="Y156" s="2" t="inlineStr">
        <is>
          <t>Yes</t>
        </is>
      </c>
      <c r="Z156" s="2" t="inlineStr">
        <is>
          <t>No</t>
        </is>
      </c>
      <c r="AA156" s="6" t="n">
        <v>3.285980146</v>
      </c>
      <c r="AB156" s="6" t="n">
        <v>2.879613626</v>
      </c>
      <c r="AC156" s="6" t="n">
        <v>3.078485818</v>
      </c>
      <c r="AD156">
        <f t="array" ref="AD156">IF(SUMPRODUCT(--($AM$2:$AM$112=TRIM(LEFT($B156,IFERROR(FIND(" ",$B156)-1,LEN($B156))))))&gt;0,1,0)</f>
        <v/>
      </c>
      <c r="AE156">
        <f t="array" ref="AE156">IF(SUMPRODUCT(--($AO$2:$AO$145=TRIM(LEFT($B156,IFERROR(FIND(" ",$B156)-1,LEN($B156))))))&gt;0,1,0)</f>
        <v/>
      </c>
      <c r="AF156">
        <f t="array" ref="AF156">IF(SUMPRODUCT(--($AQ$2:$AQ$71=TRIM(LEFT($B156,IFERROR(FIND(" ",$B156)-1,LEN($B156))))))&gt;0,1,0)</f>
        <v/>
      </c>
    </row>
    <row r="157" ht="135.75" customHeight="1" thickBot="1">
      <c r="A157" s="13" t="n">
        <v>299</v>
      </c>
      <c r="B157" s="4" t="inlineStr">
        <is>
          <t>AGS US</t>
        </is>
      </c>
      <c r="C157" s="4" t="inlineStr">
        <is>
          <t>1372344D US</t>
        </is>
      </c>
      <c r="D157" s="7" t="n">
        <v>45421</v>
      </c>
      <c r="E157" s="3" t="n">
        <v>1018.47</v>
      </c>
      <c r="F157" s="4" t="inlineStr">
        <is>
          <t>Cash</t>
        </is>
      </c>
      <c r="G157" s="3" t="n">
        <v>7.42</v>
      </c>
      <c r="H157" s="4" t="inlineStr">
        <is>
          <t>Technology</t>
        </is>
      </c>
      <c r="I157" s="4" t="inlineStr">
        <is>
          <t>Tech Hardware &amp; Semiconductors</t>
        </is>
      </c>
      <c r="J157" s="4" t="inlineStr">
        <is>
          <t>Technology Hardware</t>
        </is>
      </c>
      <c r="K157" s="4" t="n"/>
      <c r="L157" s="4" t="n"/>
      <c r="M157" s="3" t="n">
        <v>43.16</v>
      </c>
      <c r="N157" s="3" t="n">
        <v>502.61</v>
      </c>
      <c r="O157" s="4" t="inlineStr">
        <is>
          <t>United States</t>
        </is>
      </c>
      <c r="P157" s="4" t="inlineStr">
        <is>
          <t>United States</t>
        </is>
      </c>
      <c r="Q157" s="4" t="inlineStr">
        <is>
          <t>Friendly</t>
        </is>
      </c>
      <c r="R157" s="3" t="n">
        <v>394.865</v>
      </c>
      <c r="S157" s="3" t="n">
        <v>17.5733</v>
      </c>
      <c r="T157" s="4" t="inlineStr">
        <is>
          <t>PE Buyout, Going Private, Company Takeover, Private Equity</t>
        </is>
      </c>
      <c r="U157" s="2" t="inlineStr">
        <is>
          <t>No</t>
        </is>
      </c>
      <c r="V157" s="2" t="inlineStr">
        <is>
          <t>No</t>
        </is>
      </c>
      <c r="W157" s="2" t="inlineStr">
        <is>
          <t>No</t>
        </is>
      </c>
      <c r="X157" s="2" t="inlineStr">
        <is>
          <t>Yes</t>
        </is>
      </c>
      <c r="Y157" s="2" t="inlineStr">
        <is>
          <t>Yes</t>
        </is>
      </c>
      <c r="Z157" s="2" t="inlineStr">
        <is>
          <t>No</t>
        </is>
      </c>
      <c r="AA157" s="6" t="n">
        <v>3.007948241</v>
      </c>
      <c r="AB157" s="6" t="n">
        <v>2.59644864</v>
      </c>
      <c r="AC157" s="6" t="n">
        <v>2.701231125</v>
      </c>
      <c r="AD157">
        <f t="array" ref="AD157">IF(SUMPRODUCT(--($AM$2:$AM$112=TRIM(LEFT($B157,IFERROR(FIND(" ",$B157)-1,LEN($B157))))))&gt;0,1,0)</f>
        <v/>
      </c>
      <c r="AE157">
        <f t="array" ref="AE157">IF(SUMPRODUCT(--($AO$2:$AO$145=TRIM(LEFT($B157,IFERROR(FIND(" ",$B157)-1,LEN($B157))))))&gt;0,1,0)</f>
        <v/>
      </c>
      <c r="AF157">
        <f t="array" ref="AF157">IF(SUMPRODUCT(--($AQ$2:$AQ$71=TRIM(LEFT($B157,IFERROR(FIND(" ",$B157)-1,LEN($B157))))))&gt;0,1,0)</f>
        <v/>
      </c>
    </row>
    <row r="158" ht="75.75" customHeight="1" thickBot="1">
      <c r="A158" s="13" t="n">
        <v>42</v>
      </c>
      <c r="B158" s="4" t="inlineStr">
        <is>
          <t>RGLS US</t>
        </is>
      </c>
      <c r="C158" s="4" t="inlineStr">
        <is>
          <t>NOVN SW</t>
        </is>
      </c>
      <c r="D158" s="7" t="n">
        <v>45777</v>
      </c>
      <c r="E158" s="3" t="n">
        <v>800</v>
      </c>
      <c r="F158" s="4" t="inlineStr">
        <is>
          <t>Cash</t>
        </is>
      </c>
      <c r="G158" s="4" t="n"/>
      <c r="H158" s="4" t="inlineStr">
        <is>
          <t>Health Care</t>
        </is>
      </c>
      <c r="I158" s="4" t="inlineStr">
        <is>
          <t>Health Care</t>
        </is>
      </c>
      <c r="J158" s="4" t="inlineStr">
        <is>
          <t>Biotech &amp; Pharma</t>
        </is>
      </c>
      <c r="K158" s="4" t="n"/>
      <c r="L158" s="4" t="n"/>
      <c r="M158" s="4" t="n"/>
      <c r="N158" s="3" t="n">
        <v>800</v>
      </c>
      <c r="O158" s="4" t="inlineStr">
        <is>
          <t>United States</t>
        </is>
      </c>
      <c r="P158" s="4" t="inlineStr">
        <is>
          <t>United States</t>
        </is>
      </c>
      <c r="Q158" s="4" t="inlineStr">
        <is>
          <t>Friendly</t>
        </is>
      </c>
      <c r="R158" s="2" t="n"/>
      <c r="S158" s="2" t="n"/>
      <c r="T158" s="4" t="inlineStr">
        <is>
          <t>Company Takeover, Tender Offer</t>
        </is>
      </c>
      <c r="U158" s="2" t="inlineStr">
        <is>
          <t>No</t>
        </is>
      </c>
      <c r="V158" s="2" t="inlineStr">
        <is>
          <t>No</t>
        </is>
      </c>
      <c r="W158" s="2" t="inlineStr">
        <is>
          <t>No</t>
        </is>
      </c>
      <c r="X158" s="2" t="inlineStr">
        <is>
          <t>No</t>
        </is>
      </c>
      <c r="Y158" s="2" t="inlineStr">
        <is>
          <t>No</t>
        </is>
      </c>
      <c r="Z158" s="2" t="inlineStr">
        <is>
          <t>Yes</t>
        </is>
      </c>
      <c r="AA158" s="6" t="n">
        <v>2.903089987</v>
      </c>
      <c r="AB158" s="2" t="n"/>
      <c r="AC158" s="6" t="n">
        <v>2.903089987</v>
      </c>
      <c r="AD158">
        <f t="array" ref="AD158">IF(SUMPRODUCT(--($AM$2:$AM$112=TRIM(LEFT($B158,IFERROR(FIND(" ",$B158)-1,LEN($B158))))))&gt;0,1,0)</f>
        <v/>
      </c>
      <c r="AE158">
        <f t="array" ref="AE158">IF(SUMPRODUCT(--($AO$2:$AO$145=TRIM(LEFT($B158,IFERROR(FIND(" ",$B158)-1,LEN($B158))))))&gt;0,1,0)</f>
        <v/>
      </c>
      <c r="AF158">
        <f t="array" ref="AF158">IF(SUMPRODUCT(--($AQ$2:$AQ$71=TRIM(LEFT($B158,IFERROR(FIND(" ",$B158)-1,LEN($B158))))))&gt;0,1,0)</f>
        <v/>
      </c>
    </row>
    <row r="159" ht="105.75" customHeight="1" thickBot="1">
      <c r="A159" s="13" t="n">
        <v>34</v>
      </c>
      <c r="B159" s="4" t="inlineStr">
        <is>
          <t>LSEA US</t>
        </is>
      </c>
      <c r="C159" s="4" t="inlineStr">
        <is>
          <t>NWHM US</t>
        </is>
      </c>
      <c r="D159" s="7" t="n">
        <v>45789</v>
      </c>
      <c r="E159" s="3" t="n">
        <v>548.98</v>
      </c>
      <c r="F159" s="4" t="inlineStr">
        <is>
          <t>Cash</t>
        </is>
      </c>
      <c r="G159" s="3" t="n">
        <v>15.76</v>
      </c>
      <c r="H159" s="4" t="inlineStr">
        <is>
          <t>Consumer Discretionary</t>
        </is>
      </c>
      <c r="I159" s="4" t="inlineStr">
        <is>
          <t>Consumer Discretionary Products</t>
        </is>
      </c>
      <c r="J159" s="4" t="inlineStr">
        <is>
          <t>Home Construction</t>
        </is>
      </c>
      <c r="K159" s="4" t="n"/>
      <c r="L159" s="4" t="n"/>
      <c r="M159" s="3" t="n">
        <v>87.37</v>
      </c>
      <c r="N159" s="3" t="n">
        <v>411.79</v>
      </c>
      <c r="O159" s="4" t="inlineStr">
        <is>
          <t>United States</t>
        </is>
      </c>
      <c r="P159" s="4" t="inlineStr">
        <is>
          <t>United States</t>
        </is>
      </c>
      <c r="Q159" s="4" t="inlineStr">
        <is>
          <t>Friendly</t>
        </is>
      </c>
      <c r="R159" s="3" t="n">
        <v>1550.34</v>
      </c>
      <c r="S159" s="3" t="n">
        <v>1.10848</v>
      </c>
      <c r="T159" s="4" t="inlineStr">
        <is>
          <t>Company Takeover, Going Private, Tender Offer</t>
        </is>
      </c>
      <c r="U159" s="2" t="inlineStr">
        <is>
          <t>No</t>
        </is>
      </c>
      <c r="V159" s="2" t="inlineStr">
        <is>
          <t>No</t>
        </is>
      </c>
      <c r="W159" s="2" t="inlineStr">
        <is>
          <t>No</t>
        </is>
      </c>
      <c r="X159" s="2" t="inlineStr">
        <is>
          <t>Yes</t>
        </is>
      </c>
      <c r="Y159" s="2" t="inlineStr">
        <is>
          <t>No</t>
        </is>
      </c>
      <c r="Z159" s="2" t="inlineStr">
        <is>
          <t>Yes</t>
        </is>
      </c>
      <c r="AA159" s="6" t="n">
        <v>2.739556523</v>
      </c>
      <c r="AB159" s="6" t="n">
        <v>3.190426952</v>
      </c>
      <c r="AC159" s="6" t="n">
        <v>2.614675796</v>
      </c>
      <c r="AD159">
        <f t="array" ref="AD159">IF(SUMPRODUCT(--($AM$2:$AM$112=TRIM(LEFT($B159,IFERROR(FIND(" ",$B159)-1,LEN($B159))))))&gt;0,1,0)</f>
        <v/>
      </c>
      <c r="AE159">
        <f t="array" ref="AE159">IF(SUMPRODUCT(--($AO$2:$AO$145=TRIM(LEFT($B159,IFERROR(FIND(" ",$B159)-1,LEN($B159))))))&gt;0,1,0)</f>
        <v/>
      </c>
      <c r="AF159">
        <f t="array" ref="AF159">IF(SUMPRODUCT(--($AQ$2:$AQ$71=TRIM(LEFT($B159,IFERROR(FIND(" ",$B159)-1,LEN($B159))))))&gt;0,1,0)</f>
        <v/>
      </c>
    </row>
    <row r="160" ht="45.75" customHeight="1" thickBot="1">
      <c r="A160" s="13" t="n">
        <v>84</v>
      </c>
      <c r="B160" s="4" t="inlineStr">
        <is>
          <t>CXB CN</t>
        </is>
      </c>
      <c r="C160" s="4" t="inlineStr">
        <is>
          <t>EQX CN</t>
        </is>
      </c>
      <c r="D160" s="7" t="n">
        <v>45711</v>
      </c>
      <c r="E160" s="3" t="n">
        <v>2142.94</v>
      </c>
      <c r="F160" s="4" t="inlineStr">
        <is>
          <t>Stock</t>
        </is>
      </c>
      <c r="G160" s="3" t="n">
        <v>9.710000000000001</v>
      </c>
      <c r="H160" s="4" t="inlineStr">
        <is>
          <t>Materials</t>
        </is>
      </c>
      <c r="I160" s="4" t="inlineStr">
        <is>
          <t>Materials</t>
        </is>
      </c>
      <c r="J160" s="4" t="inlineStr">
        <is>
          <t>Metals &amp; Mining</t>
        </is>
      </c>
      <c r="K160" s="4" t="n"/>
      <c r="L160" s="4" t="n"/>
      <c r="M160" s="3" t="n">
        <v>5.3</v>
      </c>
      <c r="N160" s="3" t="n">
        <v>1937.83</v>
      </c>
      <c r="O160" s="4" t="inlineStr">
        <is>
          <t>Canada</t>
        </is>
      </c>
      <c r="P160" s="4" t="inlineStr">
        <is>
          <t>Canada</t>
        </is>
      </c>
      <c r="Q160" s="4" t="inlineStr">
        <is>
          <t>Friendly</t>
        </is>
      </c>
      <c r="R160" s="3" t="n">
        <v>585.8630000000001</v>
      </c>
      <c r="S160" s="3" t="n">
        <v>22.7153</v>
      </c>
      <c r="T160" s="4" t="inlineStr">
        <is>
          <t>Company Takeover</t>
        </is>
      </c>
      <c r="U160" s="2" t="inlineStr">
        <is>
          <t>No</t>
        </is>
      </c>
      <c r="V160" s="2" t="inlineStr">
        <is>
          <t>No</t>
        </is>
      </c>
      <c r="W160" s="2" t="inlineStr">
        <is>
          <t>No</t>
        </is>
      </c>
      <c r="X160" s="2" t="inlineStr">
        <is>
          <t>No</t>
        </is>
      </c>
      <c r="Y160" s="2" t="inlineStr">
        <is>
          <t>No</t>
        </is>
      </c>
      <c r="Z160" s="2" t="inlineStr">
        <is>
          <t>No</t>
        </is>
      </c>
      <c r="AA160" s="6" t="n">
        <v>3.331010011</v>
      </c>
      <c r="AB160" s="6" t="n">
        <v>2.767796071</v>
      </c>
      <c r="AC160" s="6" t="n">
        <v>3.287315675</v>
      </c>
      <c r="AD160">
        <f t="array" ref="AD160">IF(SUMPRODUCT(--($AM$2:$AM$112=TRIM(LEFT($B160,IFERROR(FIND(" ",$B160)-1,LEN($B160))))))&gt;0,1,0)</f>
        <v/>
      </c>
      <c r="AE160">
        <f t="array" ref="AE160">IF(SUMPRODUCT(--($AO$2:$AO$145=TRIM(LEFT($B160,IFERROR(FIND(" ",$B160)-1,LEN($B160))))))&gt;0,1,0)</f>
        <v/>
      </c>
      <c r="AF160">
        <f t="array" ref="AF160">IF(SUMPRODUCT(--($AQ$2:$AQ$71=TRIM(LEFT($B160,IFERROR(FIND(" ",$B160)-1,LEN($B160))))))&gt;0,1,0)</f>
        <v/>
      </c>
    </row>
    <row r="161" ht="75.75" customHeight="1" thickBot="1">
      <c r="A161" s="13" t="n">
        <v>393</v>
      </c>
      <c r="B161" s="4" t="inlineStr">
        <is>
          <t>X US</t>
        </is>
      </c>
      <c r="C161" s="4" t="inlineStr">
        <is>
          <t>5401 JP</t>
        </is>
      </c>
      <c r="D161" s="7" t="n">
        <v>45278</v>
      </c>
      <c r="E161" s="3" t="n">
        <v>13396.12</v>
      </c>
      <c r="F161" s="4" t="inlineStr">
        <is>
          <t>Cash</t>
        </is>
      </c>
      <c r="G161" s="3" t="n">
        <v>3.32</v>
      </c>
      <c r="H161" s="4" t="inlineStr">
        <is>
          <t>Materials</t>
        </is>
      </c>
      <c r="I161" s="4" t="inlineStr">
        <is>
          <t>Materials</t>
        </is>
      </c>
      <c r="J161" s="4" t="inlineStr">
        <is>
          <t>Steel</t>
        </is>
      </c>
      <c r="K161" s="3" t="n">
        <v>565</v>
      </c>
      <c r="L161" s="3" t="n">
        <v>565</v>
      </c>
      <c r="M161" s="3" t="n">
        <v>52.82</v>
      </c>
      <c r="N161" s="3" t="n">
        <v>12267.12</v>
      </c>
      <c r="O161" s="4" t="inlineStr">
        <is>
          <t>United States</t>
        </is>
      </c>
      <c r="P161" s="4" t="inlineStr">
        <is>
          <t>Japan</t>
        </is>
      </c>
      <c r="Q161" s="4" t="inlineStr">
        <is>
          <t>Friendly</t>
        </is>
      </c>
      <c r="R161" s="3" t="n">
        <v>16512</v>
      </c>
      <c r="S161" s="3" t="n">
        <v>0.0112391</v>
      </c>
      <c r="T161" s="4" t="inlineStr">
        <is>
          <t>Company Takeover, Cross Border</t>
        </is>
      </c>
      <c r="U161" s="2" t="inlineStr">
        <is>
          <t>No</t>
        </is>
      </c>
      <c r="V161" s="2" t="inlineStr">
        <is>
          <t>No</t>
        </is>
      </c>
      <c r="W161" s="2" t="inlineStr">
        <is>
          <t>Yes</t>
        </is>
      </c>
      <c r="X161" s="2" t="inlineStr">
        <is>
          <t>No</t>
        </is>
      </c>
      <c r="Y161" s="2" t="inlineStr">
        <is>
          <t>No</t>
        </is>
      </c>
      <c r="Z161" s="2" t="inlineStr">
        <is>
          <t>No</t>
        </is>
      </c>
      <c r="AA161" s="6" t="n">
        <v>4.126979029</v>
      </c>
      <c r="AB161" s="6" t="n">
        <v>4.21779968</v>
      </c>
      <c r="AC161" s="6" t="n">
        <v>4.088742614</v>
      </c>
      <c r="AD161">
        <f t="array" ref="AD161">IF(SUMPRODUCT(--($AM$2:$AM$112=TRIM(LEFT($B161,IFERROR(FIND(" ",$B161)-1,LEN($B161))))))&gt;0,1,0)</f>
        <v/>
      </c>
      <c r="AE161">
        <f t="array" ref="AE161">IF(SUMPRODUCT(--($AO$2:$AO$145=TRIM(LEFT($B161,IFERROR(FIND(" ",$B161)-1,LEN($B161))))))&gt;0,1,0)</f>
        <v/>
      </c>
      <c r="AF161">
        <f t="array" ref="AF161">IF(SUMPRODUCT(--($AQ$2:$AQ$71=TRIM(LEFT($B161,IFERROR(FIND(" ",$B161)-1,LEN($B161))))))&gt;0,1,0)</f>
        <v/>
      </c>
    </row>
    <row r="162" ht="135.75" customHeight="1" thickBot="1">
      <c r="A162" s="13" t="n">
        <v>91</v>
      </c>
      <c r="B162" s="4" t="inlineStr">
        <is>
          <t>PLYA US</t>
        </is>
      </c>
      <c r="C162" s="4" t="inlineStr">
        <is>
          <t>H US</t>
        </is>
      </c>
      <c r="D162" s="7" t="n">
        <v>45698</v>
      </c>
      <c r="E162" s="3" t="n">
        <v>2352.75</v>
      </c>
      <c r="F162" s="4" t="inlineStr">
        <is>
          <t>Cash</t>
        </is>
      </c>
      <c r="G162" s="3" t="n">
        <v>3.33</v>
      </c>
      <c r="H162" s="4" t="inlineStr">
        <is>
          <t>Consumer Discretionary</t>
        </is>
      </c>
      <c r="I162" s="4" t="inlineStr">
        <is>
          <t>Consumer Discretionary Services</t>
        </is>
      </c>
      <c r="J162" s="4" t="inlineStr">
        <is>
          <t>Leisure Facilities &amp; Services</t>
        </is>
      </c>
      <c r="K162" s="4" t="n"/>
      <c r="L162" s="4" t="n"/>
      <c r="M162" s="3" t="n">
        <v>7.97</v>
      </c>
      <c r="N162" s="3" t="n">
        <v>1486.73</v>
      </c>
      <c r="O162" s="4" t="inlineStr">
        <is>
          <t>United States</t>
        </is>
      </c>
      <c r="P162" s="4" t="inlineStr">
        <is>
          <t>United States</t>
        </is>
      </c>
      <c r="Q162" s="4" t="inlineStr">
        <is>
          <t>Friendly</t>
        </is>
      </c>
      <c r="R162" s="3" t="n">
        <v>938.569</v>
      </c>
      <c r="S162" s="3" t="n">
        <v>16.4833</v>
      </c>
      <c r="T162" s="4" t="inlineStr">
        <is>
          <t>Company Takeover, Additional Stake Purchase, Tender Offer</t>
        </is>
      </c>
      <c r="U162" s="2" t="inlineStr">
        <is>
          <t>Yes</t>
        </is>
      </c>
      <c r="V162" s="2" t="inlineStr">
        <is>
          <t>No</t>
        </is>
      </c>
      <c r="W162" s="2" t="inlineStr">
        <is>
          <t>No</t>
        </is>
      </c>
      <c r="X162" s="2" t="inlineStr">
        <is>
          <t>No</t>
        </is>
      </c>
      <c r="Y162" s="2" t="inlineStr">
        <is>
          <t>No</t>
        </is>
      </c>
      <c r="Z162" s="2" t="inlineStr">
        <is>
          <t>Yes</t>
        </is>
      </c>
      <c r="AA162" s="6" t="n">
        <v>3.371575782</v>
      </c>
      <c r="AB162" s="6" t="n">
        <v>2.972466206</v>
      </c>
      <c r="AC162" s="6" t="n">
        <v>3.172232105</v>
      </c>
      <c r="AD162">
        <f t="array" ref="AD162">IF(SUMPRODUCT(--($AM$2:$AM$112=TRIM(LEFT($B162,IFERROR(FIND(" ",$B162)-1,LEN($B162))))))&gt;0,1,0)</f>
        <v/>
      </c>
      <c r="AE162">
        <f t="array" ref="AE162">IF(SUMPRODUCT(--($AO$2:$AO$145=TRIM(LEFT($B162,IFERROR(FIND(" ",$B162)-1,LEN($B162))))))&gt;0,1,0)</f>
        <v/>
      </c>
      <c r="AF162">
        <f t="array" ref="AF162">IF(SUMPRODUCT(--($AQ$2:$AQ$71=TRIM(LEFT($B162,IFERROR(FIND(" ",$B162)-1,LEN($B162))))))&gt;0,1,0)</f>
        <v/>
      </c>
    </row>
    <row r="163" ht="150.75" customHeight="1" thickBot="1">
      <c r="A163" s="13" t="n">
        <v>75</v>
      </c>
      <c r="B163" s="4" t="inlineStr">
        <is>
          <t>HEES US</t>
        </is>
      </c>
      <c r="C163" s="4" t="inlineStr">
        <is>
          <t>HRI US</t>
        </is>
      </c>
      <c r="D163" s="7" t="n">
        <v>45707</v>
      </c>
      <c r="E163" s="3" t="n">
        <v>5590.69</v>
      </c>
      <c r="F163" s="4" t="inlineStr">
        <is>
          <t>Cash and Stock</t>
        </is>
      </c>
      <c r="G163" s="3" t="n">
        <v>8.01</v>
      </c>
      <c r="H163" s="4" t="inlineStr">
        <is>
          <t>Industrials</t>
        </is>
      </c>
      <c r="I163" s="4" t="inlineStr">
        <is>
          <t>Industrial Services</t>
        </is>
      </c>
      <c r="J163" s="4" t="inlineStr">
        <is>
          <t>Industrial Support Services</t>
        </is>
      </c>
      <c r="K163" s="4" t="n"/>
      <c r="L163" s="3" t="n">
        <v>208.366</v>
      </c>
      <c r="M163" s="3" t="n">
        <v>18.32</v>
      </c>
      <c r="N163" s="3" t="n">
        <v>3841.8</v>
      </c>
      <c r="O163" s="4" t="inlineStr">
        <is>
          <t>United States</t>
        </is>
      </c>
      <c r="P163" s="4" t="inlineStr">
        <is>
          <t>United States</t>
        </is>
      </c>
      <c r="Q163" s="4" t="inlineStr">
        <is>
          <t>Friendly</t>
        </is>
      </c>
      <c r="R163" s="3" t="n">
        <v>1516.58</v>
      </c>
      <c r="S163" s="3" t="n">
        <v>12.5035</v>
      </c>
      <c r="T163" s="4" t="inlineStr">
        <is>
          <t>Company Takeover, Competing Bid, Tender Offer, Squeeze out</t>
        </is>
      </c>
      <c r="U163" s="2" t="inlineStr">
        <is>
          <t>No</t>
        </is>
      </c>
      <c r="V163" s="2" t="inlineStr">
        <is>
          <t>Yes</t>
        </is>
      </c>
      <c r="W163" s="2" t="inlineStr">
        <is>
          <t>No</t>
        </is>
      </c>
      <c r="X163" s="2" t="inlineStr">
        <is>
          <t>No</t>
        </is>
      </c>
      <c r="Y163" s="2" t="inlineStr">
        <is>
          <t>No</t>
        </is>
      </c>
      <c r="Z163" s="2" t="inlineStr">
        <is>
          <t>Yes</t>
        </is>
      </c>
      <c r="AA163" s="6" t="n">
        <v>3.747465412</v>
      </c>
      <c r="AB163" s="6" t="n">
        <v>3.180865324</v>
      </c>
      <c r="AC163" s="6" t="n">
        <v>3.584534752</v>
      </c>
      <c r="AD163">
        <f t="array" ref="AD163">IF(SUMPRODUCT(--($AM$2:$AM$112=TRIM(LEFT($B163,IFERROR(FIND(" ",$B163)-1,LEN($B163))))))&gt;0,1,0)</f>
        <v/>
      </c>
      <c r="AE163">
        <f t="array" ref="AE163">IF(SUMPRODUCT(--($AO$2:$AO$145=TRIM(LEFT($B163,IFERROR(FIND(" ",$B163)-1,LEN($B163))))))&gt;0,1,0)</f>
        <v/>
      </c>
      <c r="AF163">
        <f t="array" ref="AF163">IF(SUMPRODUCT(--($AQ$2:$AQ$71=TRIM(LEFT($B163,IFERROR(FIND(" ",$B163)-1,LEN($B163))))))&gt;0,1,0)</f>
        <v/>
      </c>
    </row>
    <row r="164" ht="120.75" customHeight="1" thickBot="1">
      <c r="A164" s="13" t="n">
        <v>108</v>
      </c>
      <c r="B164" s="4" t="inlineStr">
        <is>
          <t>JWN US</t>
        </is>
      </c>
      <c r="C164" s="2" t="n"/>
      <c r="D164" s="7" t="n">
        <v>45649</v>
      </c>
      <c r="E164" s="3" t="n">
        <v>6216.93</v>
      </c>
      <c r="F164" s="4" t="inlineStr">
        <is>
          <t>Cash</t>
        </is>
      </c>
      <c r="G164" s="4" t="n"/>
      <c r="H164" s="4" t="inlineStr">
        <is>
          <t>Consumer Discretionary</t>
        </is>
      </c>
      <c r="I164" s="4" t="inlineStr">
        <is>
          <t>Retail &amp; Whsle - Discretionary</t>
        </is>
      </c>
      <c r="J164" s="4" t="inlineStr">
        <is>
          <t>Retail - Discretionary</t>
        </is>
      </c>
      <c r="K164" s="3" t="n">
        <v>170</v>
      </c>
      <c r="L164" s="3" t="n">
        <v>85</v>
      </c>
      <c r="M164" s="3" t="n">
        <v>4.81</v>
      </c>
      <c r="N164" s="3" t="n">
        <v>2302.93</v>
      </c>
      <c r="O164" s="4" t="inlineStr">
        <is>
          <t>United States</t>
        </is>
      </c>
      <c r="P164" s="4" t="inlineStr">
        <is>
          <t>Mexico</t>
        </is>
      </c>
      <c r="Q164" s="4" t="inlineStr">
        <is>
          <t>Friendly</t>
        </is>
      </c>
      <c r="R164" s="3" t="n">
        <v>15016</v>
      </c>
      <c r="S164" s="3" t="n">
        <v>3.28982</v>
      </c>
      <c r="T164" s="4" t="inlineStr">
        <is>
          <t>Additional Stake Purchase, Going Private, Company Takeover</t>
        </is>
      </c>
      <c r="U164" s="2" t="inlineStr">
        <is>
          <t>Yes</t>
        </is>
      </c>
      <c r="V164" s="2" t="inlineStr">
        <is>
          <t>No</t>
        </is>
      </c>
      <c r="W164" s="2" t="inlineStr">
        <is>
          <t>No</t>
        </is>
      </c>
      <c r="X164" s="2" t="inlineStr">
        <is>
          <t>Yes</t>
        </is>
      </c>
      <c r="Y164" s="2" t="inlineStr">
        <is>
          <t>No</t>
        </is>
      </c>
      <c r="Z164" s="2" t="inlineStr">
        <is>
          <t>No</t>
        </is>
      </c>
      <c r="AA164" s="6" t="n">
        <v>3.793575977</v>
      </c>
      <c r="AB164" s="6" t="n">
        <v>4.17655426</v>
      </c>
      <c r="AC164" s="6" t="n">
        <v>3.362280737</v>
      </c>
      <c r="AD164">
        <f t="array" ref="AD164">IF(SUMPRODUCT(--($AM$2:$AM$112=TRIM(LEFT($B164,IFERROR(FIND(" ",$B164)-1,LEN($B164))))))&gt;0,1,0)</f>
        <v/>
      </c>
      <c r="AE164">
        <f t="array" ref="AE164">IF(SUMPRODUCT(--($AO$2:$AO$145=TRIM(LEFT($B164,IFERROR(FIND(" ",$B164)-1,LEN($B164))))))&gt;0,1,0)</f>
        <v/>
      </c>
      <c r="AF164">
        <f t="array" ref="AF164">IF(SUMPRODUCT(--($AQ$2:$AQ$71=TRIM(LEFT($B164,IFERROR(FIND(" ",$B164)-1,LEN($B164))))))&gt;0,1,0)</f>
        <v/>
      </c>
    </row>
    <row r="165" ht="45.75" customHeight="1" thickBot="1">
      <c r="A165" s="13" t="n">
        <v>325</v>
      </c>
      <c r="B165" s="4" t="inlineStr">
        <is>
          <t>DFS US</t>
        </is>
      </c>
      <c r="C165" s="4" t="inlineStr">
        <is>
          <t>COF US</t>
        </is>
      </c>
      <c r="D165" s="7" t="n">
        <v>45342</v>
      </c>
      <c r="E165" s="3" t="n">
        <v>34394.12</v>
      </c>
      <c r="F165" s="4" t="inlineStr">
        <is>
          <t>Stock</t>
        </is>
      </c>
      <c r="G165" s="4" t="n"/>
      <c r="H165" s="4" t="inlineStr">
        <is>
          <t>Financials</t>
        </is>
      </c>
      <c r="I165" s="4" t="inlineStr">
        <is>
          <t>Financial Services</t>
        </is>
      </c>
      <c r="J165" s="4" t="inlineStr">
        <is>
          <t>Specialty Finance</t>
        </is>
      </c>
      <c r="K165" s="3" t="n">
        <v>1380</v>
      </c>
      <c r="L165" s="3" t="n">
        <v>1380</v>
      </c>
      <c r="M165" s="3" t="n">
        <v>29.08</v>
      </c>
      <c r="N165" s="3" t="n">
        <v>34394.12</v>
      </c>
      <c r="O165" s="4" t="inlineStr">
        <is>
          <t>United States</t>
        </is>
      </c>
      <c r="P165" s="4" t="inlineStr">
        <is>
          <t>United States</t>
        </is>
      </c>
      <c r="Q165" s="4" t="inlineStr">
        <is>
          <t>Friendly</t>
        </is>
      </c>
      <c r="R165" s="3" t="n">
        <v>23634</v>
      </c>
      <c r="S165" s="3" t="n">
        <v>27.2217</v>
      </c>
      <c r="T165" s="4" t="inlineStr">
        <is>
          <t>Company Takeover</t>
        </is>
      </c>
      <c r="U165" s="2" t="inlineStr">
        <is>
          <t>No</t>
        </is>
      </c>
      <c r="V165" s="2" t="inlineStr">
        <is>
          <t>No</t>
        </is>
      </c>
      <c r="W165" s="2" t="inlineStr">
        <is>
          <t>No</t>
        </is>
      </c>
      <c r="X165" s="2" t="inlineStr">
        <is>
          <t>No</t>
        </is>
      </c>
      <c r="Y165" s="2" t="inlineStr">
        <is>
          <t>No</t>
        </is>
      </c>
      <c r="Z165" s="2" t="inlineStr">
        <is>
          <t>No</t>
        </is>
      </c>
      <c r="AA165" s="6" t="n">
        <v>4.536484202</v>
      </c>
      <c r="AB165" s="6" t="n">
        <v>4.373537231</v>
      </c>
      <c r="AC165" s="6" t="n">
        <v>4.536484202</v>
      </c>
      <c r="AD165">
        <f t="array" ref="AD165">IF(SUMPRODUCT(--($AM$2:$AM$112=TRIM(LEFT($B165,IFERROR(FIND(" ",$B165)-1,LEN($B165))))))&gt;0,1,0)</f>
        <v/>
      </c>
      <c r="AE165">
        <f t="array" ref="AE165">IF(SUMPRODUCT(--($AO$2:$AO$145=TRIM(LEFT($B165,IFERROR(FIND(" ",$B165)-1,LEN($B165))))))&gt;0,1,0)</f>
        <v/>
      </c>
      <c r="AF165">
        <f t="array" ref="AF165">IF(SUMPRODUCT(--($AQ$2:$AQ$71=TRIM(LEFT($B165,IFERROR(FIND(" ",$B165)-1,LEN($B165))))))&gt;0,1,0)</f>
        <v/>
      </c>
    </row>
    <row r="166" ht="75.75" customHeight="1" thickBot="1">
      <c r="A166" s="13" t="n">
        <v>48</v>
      </c>
      <c r="B166" s="4" t="inlineStr">
        <is>
          <t>VRN CN</t>
        </is>
      </c>
      <c r="C166" s="4" t="inlineStr">
        <is>
          <t>WCP CN</t>
        </is>
      </c>
      <c r="D166" s="7" t="n">
        <v>45726</v>
      </c>
      <c r="E166" s="3" t="n">
        <v>6423.07</v>
      </c>
      <c r="F166" s="4" t="inlineStr">
        <is>
          <t>Stock</t>
        </is>
      </c>
      <c r="G166" s="3" t="n">
        <v>1.58</v>
      </c>
      <c r="H166" s="4" t="inlineStr">
        <is>
          <t>Energy</t>
        </is>
      </c>
      <c r="I166" s="4" t="inlineStr">
        <is>
          <t>Oil &amp; Gas</t>
        </is>
      </c>
      <c r="J166" s="4" t="inlineStr">
        <is>
          <t>Oil &amp; Gas Supply Chain</t>
        </is>
      </c>
      <c r="K166" s="4" t="n"/>
      <c r="L166" s="4" t="n"/>
      <c r="M166" s="3" t="n">
        <v>39.25</v>
      </c>
      <c r="N166" s="3" t="n">
        <v>4312.9</v>
      </c>
      <c r="O166" s="4" t="inlineStr">
        <is>
          <t>Canada</t>
        </is>
      </c>
      <c r="P166" s="4" t="inlineStr">
        <is>
          <t>Canada</t>
        </is>
      </c>
      <c r="Q166" s="4" t="inlineStr">
        <is>
          <t>Friendly</t>
        </is>
      </c>
      <c r="R166" s="3" t="n">
        <v>2899.85</v>
      </c>
      <c r="S166" s="3" t="n">
        <v>14.9741</v>
      </c>
      <c r="T166" s="4" t="inlineStr">
        <is>
          <t>Company Takeover, Reverse Merger</t>
        </is>
      </c>
      <c r="U166" s="2" t="inlineStr">
        <is>
          <t>No</t>
        </is>
      </c>
      <c r="V166" s="2" t="inlineStr">
        <is>
          <t>No</t>
        </is>
      </c>
      <c r="W166" s="2" t="inlineStr">
        <is>
          <t>No</t>
        </is>
      </c>
      <c r="X166" s="2" t="inlineStr">
        <is>
          <t>No</t>
        </is>
      </c>
      <c r="Y166" s="2" t="inlineStr">
        <is>
          <t>No</t>
        </is>
      </c>
      <c r="Z166" s="2" t="inlineStr">
        <is>
          <t>No</t>
        </is>
      </c>
      <c r="AA166" s="6" t="n">
        <v>3.807742655</v>
      </c>
      <c r="AB166" s="6" t="n">
        <v>3.462375534</v>
      </c>
      <c r="AC166" s="6" t="n">
        <v>3.634769389</v>
      </c>
      <c r="AD166">
        <f t="array" ref="AD166">IF(SUMPRODUCT(--($AM$2:$AM$112=TRIM(LEFT($B166,IFERROR(FIND(" ",$B166)-1,LEN($B166))))))&gt;0,1,0)</f>
        <v/>
      </c>
      <c r="AE166">
        <f t="array" ref="AE166">IF(SUMPRODUCT(--($AO$2:$AO$145=TRIM(LEFT($B166,IFERROR(FIND(" ",$B166)-1,LEN($B166))))))&gt;0,1,0)</f>
        <v/>
      </c>
      <c r="AF166">
        <f t="array" ref="AF166">IF(SUMPRODUCT(--($AQ$2:$AQ$71=TRIM(LEFT($B166,IFERROR(FIND(" ",$B166)-1,LEN($B166))))))&gt;0,1,0)</f>
        <v/>
      </c>
    </row>
    <row r="167" ht="60.75" customHeight="1" thickBot="1">
      <c r="A167" s="13" t="n">
        <v>117</v>
      </c>
      <c r="B167" s="4" t="inlineStr">
        <is>
          <t>BERY US</t>
        </is>
      </c>
      <c r="C167" s="4" t="inlineStr">
        <is>
          <t>AMCR US</t>
        </is>
      </c>
      <c r="D167" s="7" t="n">
        <v>45615</v>
      </c>
      <c r="E167" s="3" t="n">
        <v>17589.57</v>
      </c>
      <c r="F167" s="4" t="inlineStr">
        <is>
          <t>Stock</t>
        </is>
      </c>
      <c r="G167" s="3" t="n">
        <v>9.06</v>
      </c>
      <c r="H167" s="4" t="inlineStr">
        <is>
          <t>Materials</t>
        </is>
      </c>
      <c r="I167" s="4" t="inlineStr">
        <is>
          <t>Materials</t>
        </is>
      </c>
      <c r="J167" s="4" t="inlineStr">
        <is>
          <t>Containers &amp; Packaging</t>
        </is>
      </c>
      <c r="K167" s="4" t="n"/>
      <c r="L167" s="4" t="n"/>
      <c r="M167" s="3" t="n">
        <v>11.93</v>
      </c>
      <c r="N167" s="3" t="n">
        <v>8757.57</v>
      </c>
      <c r="O167" s="4" t="inlineStr">
        <is>
          <t>United States</t>
        </is>
      </c>
      <c r="P167" s="4" t="inlineStr">
        <is>
          <t>United States</t>
        </is>
      </c>
      <c r="Q167" s="4" t="inlineStr">
        <is>
          <t>Friendly</t>
        </is>
      </c>
      <c r="R167" s="3" t="n">
        <v>12258</v>
      </c>
      <c r="S167" s="3" t="n">
        <v>9.925230000000001</v>
      </c>
      <c r="T167" s="4" t="inlineStr">
        <is>
          <t>Company Takeover</t>
        </is>
      </c>
      <c r="U167" s="2" t="inlineStr">
        <is>
          <t>No</t>
        </is>
      </c>
      <c r="V167" s="2" t="inlineStr">
        <is>
          <t>No</t>
        </is>
      </c>
      <c r="W167" s="2" t="inlineStr">
        <is>
          <t>No</t>
        </is>
      </c>
      <c r="X167" s="2" t="inlineStr">
        <is>
          <t>No</t>
        </is>
      </c>
      <c r="Y167" s="2" t="inlineStr">
        <is>
          <t>No</t>
        </is>
      </c>
      <c r="Z167" s="2" t="inlineStr">
        <is>
          <t>No</t>
        </is>
      </c>
      <c r="AA167" s="6" t="n">
        <v>4.245255223</v>
      </c>
      <c r="AB167" s="6" t="n">
        <v>4.088419617</v>
      </c>
      <c r="AC167" s="6" t="n">
        <v>3.942383617</v>
      </c>
      <c r="AD167">
        <f t="array" ref="AD167">IF(SUMPRODUCT(--($AM$2:$AM$112=TRIM(LEFT($B167,IFERROR(FIND(" ",$B167)-1,LEN($B167))))))&gt;0,1,0)</f>
        <v/>
      </c>
      <c r="AE167">
        <f t="array" ref="AE167">IF(SUMPRODUCT(--($AO$2:$AO$145=TRIM(LEFT($B167,IFERROR(FIND(" ",$B167)-1,LEN($B167))))))&gt;0,1,0)</f>
        <v/>
      </c>
      <c r="AF167">
        <f t="array" ref="AF167">IF(SUMPRODUCT(--($AQ$2:$AQ$71=TRIM(LEFT($B167,IFERROR(FIND(" ",$B167)-1,LEN($B167))))))&gt;0,1,0)</f>
        <v/>
      </c>
    </row>
    <row r="168" ht="105.75" customHeight="1" thickBot="1">
      <c r="A168" s="13" t="n">
        <v>68</v>
      </c>
      <c r="B168" s="4" t="inlineStr">
        <is>
          <t>BECN US</t>
        </is>
      </c>
      <c r="C168" s="4" t="inlineStr">
        <is>
          <t>QXO US</t>
        </is>
      </c>
      <c r="D168" s="7" t="n">
        <v>45684</v>
      </c>
      <c r="E168" s="3" t="n">
        <v>11394.08</v>
      </c>
      <c r="F168" s="4" t="inlineStr">
        <is>
          <t>Cash</t>
        </is>
      </c>
      <c r="G168" s="3" t="n">
        <v>11.24</v>
      </c>
      <c r="H168" s="4" t="inlineStr">
        <is>
          <t>Consumer Discretionary</t>
        </is>
      </c>
      <c r="I168" s="4" t="inlineStr">
        <is>
          <t>Retail &amp; Whsle - Discretionary</t>
        </is>
      </c>
      <c r="J168" s="4" t="inlineStr">
        <is>
          <t>Retail - Discretionary</t>
        </is>
      </c>
      <c r="K168" s="4" t="n"/>
      <c r="L168" s="4" t="n"/>
      <c r="M168" s="3" t="n">
        <v>3.85</v>
      </c>
      <c r="N168" s="3" t="n">
        <v>7755.28</v>
      </c>
      <c r="O168" s="4" t="inlineStr">
        <is>
          <t>United States</t>
        </is>
      </c>
      <c r="P168" s="4" t="inlineStr">
        <is>
          <t>United States</t>
        </is>
      </c>
      <c r="Q168" s="4" t="inlineStr">
        <is>
          <t>Hostile to Friendly</t>
        </is>
      </c>
      <c r="R168" s="3" t="n">
        <v>9763.200000000001</v>
      </c>
      <c r="S168" s="3" t="n">
        <v>6.11666</v>
      </c>
      <c r="T168" s="4" t="inlineStr">
        <is>
          <t>Company Takeover, Tender Offer, Squeeze out</t>
        </is>
      </c>
      <c r="U168" s="2" t="inlineStr">
        <is>
          <t>No</t>
        </is>
      </c>
      <c r="V168" s="2" t="inlineStr">
        <is>
          <t>No</t>
        </is>
      </c>
      <c r="W168" s="2" t="inlineStr">
        <is>
          <t>No</t>
        </is>
      </c>
      <c r="X168" s="2" t="inlineStr">
        <is>
          <t>No</t>
        </is>
      </c>
      <c r="Y168" s="2" t="inlineStr">
        <is>
          <t>No</t>
        </is>
      </c>
      <c r="Z168" s="2" t="inlineStr">
        <is>
          <t>Yes</t>
        </is>
      </c>
      <c r="AA168" s="6" t="n">
        <v>4.056679264</v>
      </c>
      <c r="AB168" s="6" t="n">
        <v>3.989592186</v>
      </c>
      <c r="AC168" s="6" t="n">
        <v>3.889597482</v>
      </c>
      <c r="AD168">
        <f t="array" ref="AD168">IF(SUMPRODUCT(--($AM$2:$AM$112=TRIM(LEFT($B168,IFERROR(FIND(" ",$B168)-1,LEN($B168))))))&gt;0,1,0)</f>
        <v/>
      </c>
      <c r="AE168">
        <f t="array" ref="AE168">IF(SUMPRODUCT(--($AO$2:$AO$145=TRIM(LEFT($B168,IFERROR(FIND(" ",$B168)-1,LEN($B168))))))&gt;0,1,0)</f>
        <v/>
      </c>
      <c r="AF168">
        <f t="array" ref="AF168">IF(SUMPRODUCT(--($AQ$2:$AQ$71=TRIM(LEFT($B168,IFERROR(FIND(" ",$B168)-1,LEN($B168))))))&gt;0,1,0)</f>
        <v/>
      </c>
    </row>
    <row r="169" ht="165.75" customHeight="1" thickBot="1">
      <c r="A169" s="13" t="n">
        <v>55</v>
      </c>
      <c r="B169" s="4" t="inlineStr">
        <is>
          <t>CTS CN</t>
        </is>
      </c>
      <c r="C169" s="4" t="inlineStr">
        <is>
          <t>61128Z US</t>
        </is>
      </c>
      <c r="D169" s="7" t="n">
        <v>45695</v>
      </c>
      <c r="E169" s="3" t="n">
        <v>881.16</v>
      </c>
      <c r="F169" s="4" t="inlineStr">
        <is>
          <t>Cash</t>
        </is>
      </c>
      <c r="G169" s="3" t="n">
        <v>8.43</v>
      </c>
      <c r="H169" s="4" t="inlineStr">
        <is>
          <t>Technology</t>
        </is>
      </c>
      <c r="I169" s="4" t="inlineStr">
        <is>
          <t>Software &amp; Tech Services</t>
        </is>
      </c>
      <c r="J169" s="4" t="inlineStr">
        <is>
          <t>IT Services</t>
        </is>
      </c>
      <c r="K169" s="4" t="n"/>
      <c r="L169" s="3" t="n">
        <v>34.4</v>
      </c>
      <c r="M169" s="3" t="n">
        <v>69.66</v>
      </c>
      <c r="N169" s="3" t="n">
        <v>791.7</v>
      </c>
      <c r="O169" s="4" t="inlineStr">
        <is>
          <t>Canada</t>
        </is>
      </c>
      <c r="P169" s="4" t="inlineStr">
        <is>
          <t>United States</t>
        </is>
      </c>
      <c r="Q169" s="4" t="inlineStr">
        <is>
          <t>Friendly</t>
        </is>
      </c>
      <c r="R169" s="3" t="n">
        <v>1892.32</v>
      </c>
      <c r="S169" s="3" t="n">
        <v>-5.48791</v>
      </c>
      <c r="T169" s="4" t="inlineStr">
        <is>
          <t>Company Takeover, Cross Border, Going Private, PE Buyout, Private Equity</t>
        </is>
      </c>
      <c r="U169" s="2" t="inlineStr">
        <is>
          <t>No</t>
        </is>
      </c>
      <c r="V169" s="2" t="inlineStr">
        <is>
          <t>No</t>
        </is>
      </c>
      <c r="W169" s="2" t="inlineStr">
        <is>
          <t>Yes</t>
        </is>
      </c>
      <c r="X169" s="2" t="inlineStr">
        <is>
          <t>Yes</t>
        </is>
      </c>
      <c r="Y169" s="2" t="inlineStr">
        <is>
          <t>Yes</t>
        </is>
      </c>
      <c r="Z169" s="2" t="inlineStr">
        <is>
          <t>No</t>
        </is>
      </c>
      <c r="AA169" s="6" t="n">
        <v>2.945054774</v>
      </c>
      <c r="AB169" s="6" t="n">
        <v>3.276994579</v>
      </c>
      <c r="AC169" s="6" t="n">
        <v>2.898560645</v>
      </c>
      <c r="AD169">
        <f t="array" ref="AD169">IF(SUMPRODUCT(--($AM$2:$AM$112=TRIM(LEFT($B169,IFERROR(FIND(" ",$B169)-1,LEN($B169))))))&gt;0,1,0)</f>
        <v/>
      </c>
      <c r="AE169">
        <f t="array" ref="AE169">IF(SUMPRODUCT(--($AO$2:$AO$145=TRIM(LEFT($B169,IFERROR(FIND(" ",$B169)-1,LEN($B169))))))&gt;0,1,0)</f>
        <v/>
      </c>
      <c r="AF169">
        <f t="array" ref="AF169">IF(SUMPRODUCT(--($AQ$2:$AQ$71=TRIM(LEFT($B169,IFERROR(FIND(" ",$B169)-1,LEN($B169))))))&gt;0,1,0)</f>
        <v/>
      </c>
    </row>
    <row r="170" ht="75.75" customHeight="1" thickBot="1">
      <c r="A170" s="13" t="n">
        <v>35</v>
      </c>
      <c r="B170" s="4" t="inlineStr">
        <is>
          <t>CMRX US</t>
        </is>
      </c>
      <c r="C170" s="4" t="inlineStr">
        <is>
          <t>JAZZ US</t>
        </is>
      </c>
      <c r="D170" s="7" t="n">
        <v>45721</v>
      </c>
      <c r="E170" s="3" t="n">
        <v>634.0700000000001</v>
      </c>
      <c r="F170" s="4" t="inlineStr">
        <is>
          <t>Cash</t>
        </is>
      </c>
      <c r="G170" s="4" t="n"/>
      <c r="H170" s="4" t="inlineStr">
        <is>
          <t>Health Care</t>
        </is>
      </c>
      <c r="I170" s="4" t="inlineStr">
        <is>
          <t>Health Care</t>
        </is>
      </c>
      <c r="J170" s="4" t="inlineStr">
        <is>
          <t>Biotech &amp; Pharma</t>
        </is>
      </c>
      <c r="K170" s="4" t="n"/>
      <c r="L170" s="4" t="n"/>
      <c r="M170" s="3" t="n">
        <v>85.31</v>
      </c>
      <c r="N170" s="3" t="n">
        <v>768.95</v>
      </c>
      <c r="O170" s="4" t="inlineStr">
        <is>
          <t>United States</t>
        </is>
      </c>
      <c r="P170" s="4" t="inlineStr">
        <is>
          <t>United States</t>
        </is>
      </c>
      <c r="Q170" s="4" t="inlineStr">
        <is>
          <t>Friendly</t>
        </is>
      </c>
      <c r="R170" s="3" t="n">
        <v>0.212</v>
      </c>
      <c r="S170" s="3" t="n">
        <v>-45550.5</v>
      </c>
      <c r="T170" s="4" t="inlineStr">
        <is>
          <t>Company Takeover, Tender Offer</t>
        </is>
      </c>
      <c r="U170" s="2" t="inlineStr">
        <is>
          <t>No</t>
        </is>
      </c>
      <c r="V170" s="2" t="inlineStr">
        <is>
          <t>No</t>
        </is>
      </c>
      <c r="W170" s="2" t="inlineStr">
        <is>
          <t>No</t>
        </is>
      </c>
      <c r="X170" s="2" t="inlineStr">
        <is>
          <t>No</t>
        </is>
      </c>
      <c r="Y170" s="2" t="inlineStr">
        <is>
          <t>No</t>
        </is>
      </c>
      <c r="Z170" s="2" t="inlineStr">
        <is>
          <t>Yes</t>
        </is>
      </c>
      <c r="AA170" s="6" t="n">
        <v>2.802137206</v>
      </c>
      <c r="AB170" s="6" t="n">
        <v>-0.6736641391</v>
      </c>
      <c r="AC170" s="6" t="n">
        <v>2.885898101</v>
      </c>
      <c r="AD170">
        <f t="array" ref="AD170">IF(SUMPRODUCT(--($AM$2:$AM$112=TRIM(LEFT($B170,IFERROR(FIND(" ",$B170)-1,LEN($B170))))))&gt;0,1,0)</f>
        <v/>
      </c>
      <c r="AE170">
        <f t="array" ref="AE170">IF(SUMPRODUCT(--($AO$2:$AO$145=TRIM(LEFT($B170,IFERROR(FIND(" ",$B170)-1,LEN($B170))))))&gt;0,1,0)</f>
        <v/>
      </c>
      <c r="AF170">
        <f t="array" ref="AF170">IF(SUMPRODUCT(--($AQ$2:$AQ$71=TRIM(LEFT($B170,IFERROR(FIND(" ",$B170)-1,LEN($B170))))))&gt;0,1,0)</f>
        <v/>
      </c>
    </row>
    <row r="171" ht="75.75" customHeight="1" thickBot="1">
      <c r="A171" s="13" t="n">
        <v>94</v>
      </c>
      <c r="B171" s="4" t="inlineStr">
        <is>
          <t>PDCO US</t>
        </is>
      </c>
      <c r="C171" s="4" t="inlineStr">
        <is>
          <t>2560713D US</t>
        </is>
      </c>
      <c r="D171" s="7" t="n">
        <v>45637</v>
      </c>
      <c r="E171" s="3" t="n">
        <v>3423.33</v>
      </c>
      <c r="F171" s="4" t="inlineStr">
        <is>
          <t>Cash</t>
        </is>
      </c>
      <c r="G171" s="3" t="n">
        <v>9.02</v>
      </c>
      <c r="H171" s="4" t="inlineStr">
        <is>
          <t>Health Care</t>
        </is>
      </c>
      <c r="I171" s="4" t="inlineStr">
        <is>
          <t>Health Care</t>
        </is>
      </c>
      <c r="J171" s="4" t="inlineStr">
        <is>
          <t>Health Care Facilities &amp; Svcs</t>
        </is>
      </c>
      <c r="K171" s="4" t="n"/>
      <c r="L171" s="4" t="n"/>
      <c r="M171" s="3" t="n">
        <v>47.36</v>
      </c>
      <c r="N171" s="3" t="n">
        <v>2768.71</v>
      </c>
      <c r="O171" s="4" t="inlineStr">
        <is>
          <t>United States</t>
        </is>
      </c>
      <c r="P171" s="4" t="inlineStr">
        <is>
          <t>United States</t>
        </is>
      </c>
      <c r="Q171" s="4" t="inlineStr">
        <is>
          <t>Friendly</t>
        </is>
      </c>
      <c r="R171" s="3" t="n">
        <v>6568.27</v>
      </c>
      <c r="S171" s="3" t="n">
        <v>3.07521</v>
      </c>
      <c r="T171" s="4" t="inlineStr">
        <is>
          <t>Going Private, Company Takeover</t>
        </is>
      </c>
      <c r="U171" s="2" t="inlineStr">
        <is>
          <t>No</t>
        </is>
      </c>
      <c r="V171" s="2" t="inlineStr">
        <is>
          <t>No</t>
        </is>
      </c>
      <c r="W171" s="2" t="inlineStr">
        <is>
          <t>No</t>
        </is>
      </c>
      <c r="X171" s="2" t="inlineStr">
        <is>
          <t>Yes</t>
        </is>
      </c>
      <c r="Y171" s="2" t="inlineStr">
        <is>
          <t>No</t>
        </is>
      </c>
      <c r="Z171" s="2" t="inlineStr">
        <is>
          <t>No</t>
        </is>
      </c>
      <c r="AA171" s="6" t="n">
        <v>3.534448766</v>
      </c>
      <c r="AB171" s="6" t="n">
        <v>3.817450997</v>
      </c>
      <c r="AC171" s="6" t="n">
        <v>3.442277469</v>
      </c>
      <c r="AD171">
        <f t="array" ref="AD171">IF(SUMPRODUCT(--($AM$2:$AM$112=TRIM(LEFT($B171,IFERROR(FIND(" ",$B171)-1,LEN($B171))))))&gt;0,1,0)</f>
        <v/>
      </c>
      <c r="AE171">
        <f t="array" ref="AE171">IF(SUMPRODUCT(--($AO$2:$AO$145=TRIM(LEFT($B171,IFERROR(FIND(" ",$B171)-1,LEN($B171))))))&gt;0,1,0)</f>
        <v/>
      </c>
      <c r="AF171">
        <f t="array" ref="AF171">IF(SUMPRODUCT(--($AQ$2:$AQ$71=TRIM(LEFT($B171,IFERROR(FIND(" ",$B171)-1,LEN($B171))))))&gt;0,1,0)</f>
        <v/>
      </c>
    </row>
    <row r="172" ht="60.75" customHeight="1" thickBot="1">
      <c r="A172" s="13" t="n">
        <v>60</v>
      </c>
      <c r="B172" s="4" t="inlineStr">
        <is>
          <t>FNA US</t>
        </is>
      </c>
      <c r="C172" s="4" t="inlineStr">
        <is>
          <t>ZBH US</t>
        </is>
      </c>
      <c r="D172" s="7" t="n">
        <v>45685</v>
      </c>
      <c r="E172" s="3" t="n">
        <v>1175.59</v>
      </c>
      <c r="F172" s="4" t="inlineStr">
        <is>
          <t>Cash</t>
        </is>
      </c>
      <c r="G172" s="4" t="n"/>
      <c r="H172" s="4" t="inlineStr">
        <is>
          <t>Health Care</t>
        </is>
      </c>
      <c r="I172" s="4" t="inlineStr">
        <is>
          <t>Health Care</t>
        </is>
      </c>
      <c r="J172" s="4" t="inlineStr">
        <is>
          <t>Medical Equipment &amp; Devices</t>
        </is>
      </c>
      <c r="K172" s="4" t="n"/>
      <c r="L172" s="3" t="n">
        <v>40</v>
      </c>
      <c r="M172" s="3" t="n">
        <v>20.49</v>
      </c>
      <c r="N172" s="3" t="n">
        <v>1103.12</v>
      </c>
      <c r="O172" s="4" t="inlineStr">
        <is>
          <t>United States</t>
        </is>
      </c>
      <c r="P172" s="4" t="inlineStr">
        <is>
          <t>United States</t>
        </is>
      </c>
      <c r="Q172" s="4" t="inlineStr">
        <is>
          <t>Friendly</t>
        </is>
      </c>
      <c r="R172" s="3" t="n">
        <v>256.182</v>
      </c>
      <c r="S172" s="3" t="n">
        <v>-15.9176</v>
      </c>
      <c r="T172" s="4" t="inlineStr">
        <is>
          <t>Company Takeover</t>
        </is>
      </c>
      <c r="U172" s="2" t="inlineStr">
        <is>
          <t>No</t>
        </is>
      </c>
      <c r="V172" s="2" t="inlineStr">
        <is>
          <t>No</t>
        </is>
      </c>
      <c r="W172" s="2" t="inlineStr">
        <is>
          <t>No</t>
        </is>
      </c>
      <c r="X172" s="2" t="inlineStr">
        <is>
          <t>No</t>
        </is>
      </c>
      <c r="Y172" s="2" t="inlineStr">
        <is>
          <t>No</t>
        </is>
      </c>
      <c r="Z172" s="2" t="inlineStr">
        <is>
          <t>No</t>
        </is>
      </c>
      <c r="AA172" s="6" t="n">
        <v>3.070255883</v>
      </c>
      <c r="AB172" s="6" t="n">
        <v>2.408548612</v>
      </c>
      <c r="AC172" s="6" t="n">
        <v>3.042622759</v>
      </c>
      <c r="AD172">
        <f t="array" ref="AD172">IF(SUMPRODUCT(--($AM$2:$AM$112=TRIM(LEFT($B172,IFERROR(FIND(" ",$B172)-1,LEN($B172))))))&gt;0,1,0)</f>
        <v/>
      </c>
      <c r="AE172">
        <f t="array" ref="AE172">IF(SUMPRODUCT(--($AO$2:$AO$145=TRIM(LEFT($B172,IFERROR(FIND(" ",$B172)-1,LEN($B172))))))&gt;0,1,0)</f>
        <v/>
      </c>
      <c r="AF172">
        <f t="array" ref="AF172">IF(SUMPRODUCT(--($AQ$2:$AQ$71=TRIM(LEFT($B172,IFERROR(FIND(" ",$B172)-1,LEN($B172))))))&gt;0,1,0)</f>
        <v/>
      </c>
    </row>
    <row r="173" ht="45.75" customHeight="1" thickBot="1">
      <c r="A173" s="13" t="n">
        <v>71</v>
      </c>
      <c r="B173" s="4" t="inlineStr">
        <is>
          <t>ENFN US</t>
        </is>
      </c>
      <c r="C173" s="4" t="inlineStr">
        <is>
          <t>CWAN US</t>
        </is>
      </c>
      <c r="D173" s="7" t="n">
        <v>45670</v>
      </c>
      <c r="E173" s="3" t="n">
        <v>998.65</v>
      </c>
      <c r="F173" s="4" t="inlineStr">
        <is>
          <t>Cash or Stock</t>
        </is>
      </c>
      <c r="G173" s="4" t="n"/>
      <c r="H173" s="4" t="inlineStr">
        <is>
          <t>Technology</t>
        </is>
      </c>
      <c r="I173" s="4" t="inlineStr">
        <is>
          <t>Software &amp; Tech Services</t>
        </is>
      </c>
      <c r="J173" s="4" t="inlineStr">
        <is>
          <t>Software</t>
        </is>
      </c>
      <c r="K173" s="4" t="n"/>
      <c r="L173" s="4" t="n"/>
      <c r="M173" s="3" t="n">
        <v>4.15</v>
      </c>
      <c r="N173" s="3" t="n">
        <v>1025.82</v>
      </c>
      <c r="O173" s="4" t="inlineStr">
        <is>
          <t>United States</t>
        </is>
      </c>
      <c r="P173" s="4" t="inlineStr">
        <is>
          <t>United States</t>
        </is>
      </c>
      <c r="Q173" s="4" t="inlineStr">
        <is>
          <t>Friendly</t>
        </is>
      </c>
      <c r="R173" s="3" t="n">
        <v>201.611</v>
      </c>
      <c r="S173" s="3" t="n">
        <v>3.05291</v>
      </c>
      <c r="T173" s="4" t="inlineStr">
        <is>
          <t>Company Takeover</t>
        </is>
      </c>
      <c r="U173" s="2" t="inlineStr">
        <is>
          <t>No</t>
        </is>
      </c>
      <c r="V173" s="2" t="inlineStr">
        <is>
          <t>No</t>
        </is>
      </c>
      <c r="W173" s="2" t="inlineStr">
        <is>
          <t>No</t>
        </is>
      </c>
      <c r="X173" s="2" t="inlineStr">
        <is>
          <t>No</t>
        </is>
      </c>
      <c r="Y173" s="2" t="inlineStr">
        <is>
          <t>No</t>
        </is>
      </c>
      <c r="Z173" s="2" t="inlineStr">
        <is>
          <t>No</t>
        </is>
      </c>
      <c r="AA173" s="6" t="n">
        <v>2.999413306</v>
      </c>
      <c r="AB173" s="6" t="n">
        <v>2.304514224</v>
      </c>
      <c r="AC173" s="6" t="n">
        <v>3.011071162</v>
      </c>
      <c r="AD173">
        <f t="array" ref="AD173">IF(SUMPRODUCT(--($AM$2:$AM$112=TRIM(LEFT($B173,IFERROR(FIND(" ",$B173)-1,LEN($B173))))))&gt;0,1,0)</f>
        <v/>
      </c>
      <c r="AE173">
        <f t="array" ref="AE173">IF(SUMPRODUCT(--($AO$2:$AO$145=TRIM(LEFT($B173,IFERROR(FIND(" ",$B173)-1,LEN($B173))))))&gt;0,1,0)</f>
        <v/>
      </c>
      <c r="AF173">
        <f t="array" ref="AF173">IF(SUMPRODUCT(--($AQ$2:$AQ$71=TRIM(LEFT($B173,IFERROR(FIND(" ",$B173)-1,LEN($B173))))))&gt;0,1,0)</f>
        <v/>
      </c>
    </row>
    <row r="174" ht="75.75" customHeight="1" thickBot="1">
      <c r="A174" s="13" t="n">
        <v>93</v>
      </c>
      <c r="B174" s="4" t="inlineStr">
        <is>
          <t>ML US</t>
        </is>
      </c>
      <c r="C174" s="4" t="inlineStr">
        <is>
          <t>GEN US</t>
        </is>
      </c>
      <c r="D174" s="7" t="n">
        <v>45636</v>
      </c>
      <c r="E174" s="3" t="n">
        <v>954.28</v>
      </c>
      <c r="F174" s="4" t="inlineStr">
        <is>
          <t>Cash</t>
        </is>
      </c>
      <c r="G174" s="3" t="n">
        <v>48.99</v>
      </c>
      <c r="H174" s="4" t="inlineStr">
        <is>
          <t>Financials</t>
        </is>
      </c>
      <c r="I174" s="4" t="inlineStr">
        <is>
          <t>Financial Services</t>
        </is>
      </c>
      <c r="J174" s="4" t="inlineStr">
        <is>
          <t>Specialty Finance</t>
        </is>
      </c>
      <c r="K174" s="4" t="n"/>
      <c r="L174" s="3" t="n">
        <v>41.0231</v>
      </c>
      <c r="M174" s="3" t="n">
        <v>-2.63</v>
      </c>
      <c r="N174" s="3" t="n">
        <v>954.28</v>
      </c>
      <c r="O174" s="4" t="inlineStr">
        <is>
          <t>United States</t>
        </is>
      </c>
      <c r="P174" s="4" t="inlineStr">
        <is>
          <t>United States</t>
        </is>
      </c>
      <c r="Q174" s="4" t="inlineStr">
        <is>
          <t>Friendly</t>
        </is>
      </c>
      <c r="R174" s="3" t="n">
        <v>545.905</v>
      </c>
      <c r="S174" s="3" t="n">
        <v>4.8818</v>
      </c>
      <c r="T174" s="4" t="inlineStr">
        <is>
          <t>Company Takeover, Going Private</t>
        </is>
      </c>
      <c r="U174" s="2" t="inlineStr">
        <is>
          <t>No</t>
        </is>
      </c>
      <c r="V174" s="2" t="inlineStr">
        <is>
          <t>No</t>
        </is>
      </c>
      <c r="W174" s="2" t="inlineStr">
        <is>
          <t>No</t>
        </is>
      </c>
      <c r="X174" s="2" t="inlineStr">
        <is>
          <t>Yes</t>
        </is>
      </c>
      <c r="Y174" s="2" t="inlineStr">
        <is>
          <t>No</t>
        </is>
      </c>
      <c r="Z174" s="2" t="inlineStr">
        <is>
          <t>No</t>
        </is>
      </c>
      <c r="AA174" s="6" t="n">
        <v>2.979675822</v>
      </c>
      <c r="AB174" s="6" t="n">
        <v>2.737117072</v>
      </c>
      <c r="AC174" s="6" t="n">
        <v>2.979675822</v>
      </c>
      <c r="AD174">
        <f t="array" ref="AD174">IF(SUMPRODUCT(--($AM$2:$AM$112=TRIM(LEFT($B174,IFERROR(FIND(" ",$B174)-1,LEN($B174))))))&gt;0,1,0)</f>
        <v/>
      </c>
      <c r="AE174">
        <f t="array" ref="AE174">IF(SUMPRODUCT(--($AO$2:$AO$145=TRIM(LEFT($B174,IFERROR(FIND(" ",$B174)-1,LEN($B174))))))&gt;0,1,0)</f>
        <v/>
      </c>
      <c r="AF174">
        <f t="array" ref="AF174">IF(SUMPRODUCT(--($AQ$2:$AQ$71=TRIM(LEFT($B174,IFERROR(FIND(" ",$B174)-1,LEN($B174))))))&gt;0,1,0)</f>
        <v/>
      </c>
    </row>
    <row r="175" ht="135.75" customHeight="1" thickBot="1">
      <c r="A175" s="13" t="n">
        <v>49</v>
      </c>
      <c r="B175" s="4" t="inlineStr">
        <is>
          <t>SWI US</t>
        </is>
      </c>
      <c r="C175" s="4" t="inlineStr">
        <is>
          <t>0212567D US</t>
        </is>
      </c>
      <c r="D175" s="7" t="n">
        <v>45695</v>
      </c>
      <c r="E175" s="3" t="n">
        <v>4217.81</v>
      </c>
      <c r="F175" s="4" t="inlineStr">
        <is>
          <t>Cash</t>
        </is>
      </c>
      <c r="G175" s="4" t="n"/>
      <c r="H175" s="4" t="inlineStr">
        <is>
          <t>Technology</t>
        </is>
      </c>
      <c r="I175" s="4" t="inlineStr">
        <is>
          <t>Software &amp; Tech Services</t>
        </is>
      </c>
      <c r="J175" s="4" t="inlineStr">
        <is>
          <t>Software</t>
        </is>
      </c>
      <c r="K175" s="4" t="n"/>
      <c r="L175" s="4" t="n"/>
      <c r="M175" s="3" t="n">
        <v>27.62</v>
      </c>
      <c r="N175" s="3" t="n">
        <v>3157.77</v>
      </c>
      <c r="O175" s="4" t="inlineStr">
        <is>
          <t>United States</t>
        </is>
      </c>
      <c r="P175" s="4" t="inlineStr">
        <is>
          <t>United States</t>
        </is>
      </c>
      <c r="Q175" s="4" t="inlineStr">
        <is>
          <t>Friendly</t>
        </is>
      </c>
      <c r="R175" s="3" t="n">
        <v>796.895</v>
      </c>
      <c r="S175" s="3" t="n">
        <v>26.1539</v>
      </c>
      <c r="T175" s="4" t="inlineStr">
        <is>
          <t>Company Takeover, Going Private, Private Equity, PE Buyout</t>
        </is>
      </c>
      <c r="U175" s="2" t="inlineStr">
        <is>
          <t>No</t>
        </is>
      </c>
      <c r="V175" s="2" t="inlineStr">
        <is>
          <t>No</t>
        </is>
      </c>
      <c r="W175" s="2" t="inlineStr">
        <is>
          <t>No</t>
        </is>
      </c>
      <c r="X175" s="2" t="inlineStr">
        <is>
          <t>Yes</t>
        </is>
      </c>
      <c r="Y175" s="2" t="inlineStr">
        <is>
          <t>Yes</t>
        </is>
      </c>
      <c r="Z175" s="2" t="inlineStr">
        <is>
          <t>No</t>
        </is>
      </c>
      <c r="AA175" s="6" t="n">
        <v>3.625087012</v>
      </c>
      <c r="AB175" s="6" t="n">
        <v>2.901401102</v>
      </c>
      <c r="AC175" s="6" t="n">
        <v>3.499380494</v>
      </c>
      <c r="AD175">
        <f t="array" ref="AD175">IF(SUMPRODUCT(--($AM$2:$AM$112=TRIM(LEFT($B175,IFERROR(FIND(" ",$B175)-1,LEN($B175))))))&gt;0,1,0)</f>
        <v/>
      </c>
      <c r="AE175">
        <f t="array" ref="AE175">IF(SUMPRODUCT(--($AO$2:$AO$145=TRIM(LEFT($B175,IFERROR(FIND(" ",$B175)-1,LEN($B175))))))&gt;0,1,0)</f>
        <v/>
      </c>
      <c r="AF175">
        <f t="array" ref="AF175">IF(SUMPRODUCT(--($AQ$2:$AQ$71=TRIM(LEFT($B175,IFERROR(FIND(" ",$B175)-1,LEN($B175))))))&gt;0,1,0)</f>
        <v/>
      </c>
    </row>
    <row r="176" ht="75.75" customHeight="1" thickBot="1">
      <c r="A176" s="13" t="n">
        <v>99</v>
      </c>
      <c r="B176" s="4" t="inlineStr">
        <is>
          <t>TIFS LN</t>
        </is>
      </c>
      <c r="C176" s="4" t="inlineStr">
        <is>
          <t>ABCT CN</t>
        </is>
      </c>
      <c r="D176" s="7" t="n">
        <v>45625</v>
      </c>
      <c r="E176" s="3" t="n">
        <v>2164.67</v>
      </c>
      <c r="F176" s="4" t="inlineStr">
        <is>
          <t>Cash</t>
        </is>
      </c>
      <c r="G176" s="3" t="n">
        <v>5.46</v>
      </c>
      <c r="H176" s="4" t="inlineStr">
        <is>
          <t>Consumer Discretionary</t>
        </is>
      </c>
      <c r="I176" s="4" t="inlineStr">
        <is>
          <t>Consumer Discretionary Products</t>
        </is>
      </c>
      <c r="J176" s="4" t="inlineStr">
        <is>
          <t>Automotive</t>
        </is>
      </c>
      <c r="K176" s="4" t="n"/>
      <c r="L176" s="4" t="n"/>
      <c r="M176" s="3" t="n">
        <v>14.07</v>
      </c>
      <c r="N176" s="3" t="n">
        <v>1262.77</v>
      </c>
      <c r="O176" s="4" t="inlineStr">
        <is>
          <t>United States</t>
        </is>
      </c>
      <c r="P176" s="4" t="inlineStr">
        <is>
          <t>Canada</t>
        </is>
      </c>
      <c r="Q176" s="4" t="inlineStr">
        <is>
          <t>Unsolicited</t>
        </is>
      </c>
      <c r="R176" s="3" t="n">
        <v>3635.11</v>
      </c>
      <c r="S176" s="3" t="n">
        <v>4.0175</v>
      </c>
      <c r="T176" s="4" t="inlineStr">
        <is>
          <t>Company Takeover, Cross Border</t>
        </is>
      </c>
      <c r="U176" s="2" t="inlineStr">
        <is>
          <t>No</t>
        </is>
      </c>
      <c r="V176" s="2" t="inlineStr">
        <is>
          <t>No</t>
        </is>
      </c>
      <c r="W176" s="2" t="inlineStr">
        <is>
          <t>Yes</t>
        </is>
      </c>
      <c r="X176" s="2" t="inlineStr">
        <is>
          <t>No</t>
        </is>
      </c>
      <c r="Y176" s="2" t="inlineStr">
        <is>
          <t>No</t>
        </is>
      </c>
      <c r="Z176" s="2" t="inlineStr">
        <is>
          <t>No</t>
        </is>
      </c>
      <c r="AA176" s="6" t="n">
        <v>3.335391698</v>
      </c>
      <c r="AB176" s="6" t="n">
        <v>3.560517557</v>
      </c>
      <c r="AC176" s="6" t="n">
        <v>3.101324256</v>
      </c>
      <c r="AD176">
        <f t="array" ref="AD176">IF(SUMPRODUCT(--($AM$2:$AM$112=TRIM(LEFT($B176,IFERROR(FIND(" ",$B176)-1,LEN($B176))))))&gt;0,1,0)</f>
        <v/>
      </c>
      <c r="AE176">
        <f t="array" ref="AE176">IF(SUMPRODUCT(--($AO$2:$AO$145=TRIM(LEFT($B176,IFERROR(FIND(" ",$B176)-1,LEN($B176))))))&gt;0,1,0)</f>
        <v/>
      </c>
      <c r="AF176">
        <f t="array" ref="AF176">IF(SUMPRODUCT(--($AQ$2:$AQ$71=TRIM(LEFT($B176,IFERROR(FIND(" ",$B176)-1,LEN($B176))))))&gt;0,1,0)</f>
        <v/>
      </c>
    </row>
    <row r="177" ht="135.75" customHeight="1" thickBot="1">
      <c r="A177" s="13" t="n">
        <v>50</v>
      </c>
      <c r="B177" s="4" t="inlineStr">
        <is>
          <t>AMPS US</t>
        </is>
      </c>
      <c r="C177" s="4" t="inlineStr">
        <is>
          <t>3561950Z US</t>
        </is>
      </c>
      <c r="D177" s="7" t="n">
        <v>45694</v>
      </c>
      <c r="E177" s="3" t="n">
        <v>803.98</v>
      </c>
      <c r="F177" s="4" t="inlineStr">
        <is>
          <t>Cash</t>
        </is>
      </c>
      <c r="G177" s="3" t="n">
        <v>17.52</v>
      </c>
      <c r="H177" s="4" t="inlineStr">
        <is>
          <t>Utilities</t>
        </is>
      </c>
      <c r="I177" s="4" t="inlineStr">
        <is>
          <t>Utilities</t>
        </is>
      </c>
      <c r="J177" s="4" t="inlineStr">
        <is>
          <t>Electric Utilities</t>
        </is>
      </c>
      <c r="K177" s="3" t="n">
        <v>70</v>
      </c>
      <c r="L177" s="3" t="n">
        <v>60</v>
      </c>
      <c r="M177" s="3" t="n">
        <v>29.05</v>
      </c>
      <c r="N177" s="3" t="n">
        <v>803.98</v>
      </c>
      <c r="O177" s="4" t="inlineStr">
        <is>
          <t>United States</t>
        </is>
      </c>
      <c r="P177" s="4" t="inlineStr">
        <is>
          <t>United States</t>
        </is>
      </c>
      <c r="Q177" s="4" t="inlineStr">
        <is>
          <t>Friendly</t>
        </is>
      </c>
      <c r="R177" s="3" t="n">
        <v>196.265</v>
      </c>
      <c r="S177" s="3" t="n">
        <v>15.0608</v>
      </c>
      <c r="T177" s="4" t="inlineStr">
        <is>
          <t>Company Takeover, PE Buyout, Private Equity, Going Private</t>
        </is>
      </c>
      <c r="U177" s="2" t="inlineStr">
        <is>
          <t>No</t>
        </is>
      </c>
      <c r="V177" s="2" t="inlineStr">
        <is>
          <t>No</t>
        </is>
      </c>
      <c r="W177" s="2" t="inlineStr">
        <is>
          <t>No</t>
        </is>
      </c>
      <c r="X177" s="2" t="inlineStr">
        <is>
          <t>Yes</t>
        </is>
      </c>
      <c r="Y177" s="2" t="inlineStr">
        <is>
          <t>Yes</t>
        </is>
      </c>
      <c r="Z177" s="2" t="inlineStr">
        <is>
          <t>No</t>
        </is>
      </c>
      <c r="AA177" s="6" t="n">
        <v>2.905245245</v>
      </c>
      <c r="AB177" s="6" t="n">
        <v>2.292842859</v>
      </c>
      <c r="AC177" s="6" t="n">
        <v>2.905245245</v>
      </c>
      <c r="AD177">
        <f t="array" ref="AD177">IF(SUMPRODUCT(--($AM$2:$AM$112=TRIM(LEFT($B177,IFERROR(FIND(" ",$B177)-1,LEN($B177))))))&gt;0,1,0)</f>
        <v/>
      </c>
      <c r="AE177">
        <f t="array" ref="AE177">IF(SUMPRODUCT(--($AO$2:$AO$145=TRIM(LEFT($B177,IFERROR(FIND(" ",$B177)-1,LEN($B177))))))&gt;0,1,0)</f>
        <v/>
      </c>
      <c r="AF177">
        <f t="array" ref="AF177">IF(SUMPRODUCT(--($AQ$2:$AQ$71=TRIM(LEFT($B177,IFERROR(FIND(" ",$B177)-1,LEN($B177))))))&gt;0,1,0)</f>
        <v/>
      </c>
    </row>
    <row r="178" ht="45.75" customHeight="1" thickBot="1">
      <c r="A178" s="13" t="n">
        <v>71</v>
      </c>
      <c r="B178" s="4" t="inlineStr">
        <is>
          <t>PYCR US</t>
        </is>
      </c>
      <c r="C178" s="4" t="inlineStr">
        <is>
          <t>PAYX US</t>
        </is>
      </c>
      <c r="D178" s="7" t="n">
        <v>45664</v>
      </c>
      <c r="E178" s="3" t="n">
        <v>3957.36</v>
      </c>
      <c r="F178" s="4" t="inlineStr">
        <is>
          <t>Cash</t>
        </is>
      </c>
      <c r="G178" s="4" t="n"/>
      <c r="H178" s="4" t="inlineStr">
        <is>
          <t>Technology</t>
        </is>
      </c>
      <c r="I178" s="4" t="inlineStr">
        <is>
          <t>Software &amp; Tech Services</t>
        </is>
      </c>
      <c r="J178" s="4" t="inlineStr">
        <is>
          <t>Software</t>
        </is>
      </c>
      <c r="K178" s="4" t="n"/>
      <c r="L178" s="4" t="n"/>
      <c r="M178" s="3" t="n">
        <v>15.39</v>
      </c>
      <c r="N178" s="3" t="n">
        <v>4042.32</v>
      </c>
      <c r="O178" s="4" t="inlineStr">
        <is>
          <t>United States</t>
        </is>
      </c>
      <c r="P178" s="4" t="inlineStr">
        <is>
          <t>United States</t>
        </is>
      </c>
      <c r="Q178" s="4" t="inlineStr">
        <is>
          <t>Friendly</t>
        </is>
      </c>
      <c r="R178" s="3" t="n">
        <v>654.948</v>
      </c>
      <c r="S178" s="3" t="n">
        <v>-2.71046</v>
      </c>
      <c r="T178" s="4" t="inlineStr">
        <is>
          <t>Company Takeover</t>
        </is>
      </c>
      <c r="U178" s="2" t="inlineStr">
        <is>
          <t>No</t>
        </is>
      </c>
      <c r="V178" s="2" t="inlineStr">
        <is>
          <t>No</t>
        </is>
      </c>
      <c r="W178" s="2" t="inlineStr">
        <is>
          <t>No</t>
        </is>
      </c>
      <c r="X178" s="2" t="inlineStr">
        <is>
          <t>No</t>
        </is>
      </c>
      <c r="Y178" s="2" t="inlineStr">
        <is>
          <t>No</t>
        </is>
      </c>
      <c r="Z178" s="2" t="inlineStr">
        <is>
          <t>No</t>
        </is>
      </c>
      <c r="AA178" s="6" t="n">
        <v>3.59740556</v>
      </c>
      <c r="AB178" s="6" t="n">
        <v>2.81620682</v>
      </c>
      <c r="AC178" s="6" t="n">
        <v>3.60663069</v>
      </c>
      <c r="AD178">
        <f t="array" ref="AD178">IF(SUMPRODUCT(--($AM$2:$AM$112=TRIM(LEFT($B178,IFERROR(FIND(" ",$B178)-1,LEN($B178))))))&gt;0,1,0)</f>
        <v/>
      </c>
      <c r="AE178">
        <f t="array" ref="AE178">IF(SUMPRODUCT(--($AO$2:$AO$145=TRIM(LEFT($B178,IFERROR(FIND(" ",$B178)-1,LEN($B178))))))&gt;0,1,0)</f>
        <v/>
      </c>
      <c r="AF178">
        <f t="array" ref="AF178">IF(SUMPRODUCT(--($AQ$2:$AQ$71=TRIM(LEFT($B178,IFERROR(FIND(" ",$B178)-1,LEN($B178))))))&gt;0,1,0)</f>
        <v/>
      </c>
    </row>
    <row r="179" ht="135.75" customHeight="1" thickBot="1">
      <c r="A179" s="13" t="n">
        <v>116</v>
      </c>
      <c r="B179" s="4" t="inlineStr">
        <is>
          <t>ATSG US</t>
        </is>
      </c>
      <c r="C179" s="4" t="inlineStr">
        <is>
          <t>0599141D US</t>
        </is>
      </c>
      <c r="D179" s="7" t="n">
        <v>45599</v>
      </c>
      <c r="E179" s="3" t="n">
        <v>3167.19</v>
      </c>
      <c r="F179" s="4" t="inlineStr">
        <is>
          <t>Cash</t>
        </is>
      </c>
      <c r="G179" s="3" t="n">
        <v>5.5</v>
      </c>
      <c r="H179" s="4" t="inlineStr">
        <is>
          <t>Industrials</t>
        </is>
      </c>
      <c r="I179" s="4" t="inlineStr">
        <is>
          <t>Industrial Services</t>
        </is>
      </c>
      <c r="J179" s="4" t="inlineStr">
        <is>
          <t>Transportation &amp; Logistics</t>
        </is>
      </c>
      <c r="K179" s="4" t="n"/>
      <c r="L179" s="4" t="n"/>
      <c r="M179" s="3" t="n">
        <v>37.91</v>
      </c>
      <c r="N179" s="3" t="n">
        <v>1479.61</v>
      </c>
      <c r="O179" s="4" t="inlineStr">
        <is>
          <t>United States</t>
        </is>
      </c>
      <c r="P179" s="4" t="inlineStr">
        <is>
          <t>United States</t>
        </is>
      </c>
      <c r="Q179" s="4" t="inlineStr">
        <is>
          <t>Friendly</t>
        </is>
      </c>
      <c r="R179" s="3" t="n">
        <v>1961.97</v>
      </c>
      <c r="S179" s="3" t="n">
        <v>6.51401</v>
      </c>
      <c r="T179" s="4" t="inlineStr">
        <is>
          <t>Going Private, PE Buyout, Company Takeover, Private Equity</t>
        </is>
      </c>
      <c r="U179" s="2" t="inlineStr">
        <is>
          <t>No</t>
        </is>
      </c>
      <c r="V179" s="2" t="inlineStr">
        <is>
          <t>No</t>
        </is>
      </c>
      <c r="W179" s="2" t="inlineStr">
        <is>
          <t>No</t>
        </is>
      </c>
      <c r="X179" s="2" t="inlineStr">
        <is>
          <t>Yes</t>
        </is>
      </c>
      <c r="Y179" s="2" t="inlineStr">
        <is>
          <t>Yes</t>
        </is>
      </c>
      <c r="Z179" s="2" t="inlineStr">
        <is>
          <t>No</t>
        </is>
      </c>
      <c r="AA179" s="6" t="n">
        <v>3.500674118</v>
      </c>
      <c r="AB179" s="6" t="n">
        <v>3.292692362</v>
      </c>
      <c r="AC179" s="6" t="n">
        <v>3.170147258</v>
      </c>
      <c r="AD179">
        <f t="array" ref="AD179">IF(SUMPRODUCT(--($AM$2:$AM$112=TRIM(LEFT($B179,IFERROR(FIND(" ",$B179)-1,LEN($B179))))))&gt;0,1,0)</f>
        <v/>
      </c>
      <c r="AE179">
        <f t="array" ref="AE179">IF(SUMPRODUCT(--($AO$2:$AO$145=TRIM(LEFT($B179,IFERROR(FIND(" ",$B179)-1,LEN($B179))))))&gt;0,1,0)</f>
        <v/>
      </c>
      <c r="AF179">
        <f t="array" ref="AF179">IF(SUMPRODUCT(--($AQ$2:$AQ$71=TRIM(LEFT($B179,IFERROR(FIND(" ",$B179)-1,LEN($B179))))))&gt;0,1,0)</f>
        <v/>
      </c>
    </row>
    <row r="180" ht="75.75" customHeight="1" thickBot="1">
      <c r="A180" s="13" t="n">
        <v>66</v>
      </c>
      <c r="B180" s="4" t="inlineStr">
        <is>
          <t>ACCD US</t>
        </is>
      </c>
      <c r="C180" s="4" t="inlineStr">
        <is>
          <t>2540719D US</t>
        </is>
      </c>
      <c r="D180" s="7" t="n">
        <v>45665</v>
      </c>
      <c r="E180" s="3" t="n">
        <v>570.63</v>
      </c>
      <c r="F180" s="4" t="inlineStr">
        <is>
          <t>Cash</t>
        </is>
      </c>
      <c r="G180" s="4" t="n"/>
      <c r="H180" s="4" t="inlineStr">
        <is>
          <t>Health Care</t>
        </is>
      </c>
      <c r="I180" s="4" t="inlineStr">
        <is>
          <t>Health Care</t>
        </is>
      </c>
      <c r="J180" s="4" t="inlineStr">
        <is>
          <t>Health Care Facilities &amp; Svcs</t>
        </is>
      </c>
      <c r="K180" s="3" t="n">
        <v>29.95</v>
      </c>
      <c r="L180" s="3" t="n">
        <v>19.8</v>
      </c>
      <c r="M180" s="3" t="n">
        <v>102.65</v>
      </c>
      <c r="N180" s="3" t="n">
        <v>566.1799999999999</v>
      </c>
      <c r="O180" s="4" t="inlineStr">
        <is>
          <t>United States</t>
        </is>
      </c>
      <c r="P180" s="4" t="inlineStr">
        <is>
          <t>United States</t>
        </is>
      </c>
      <c r="Q180" s="4" t="inlineStr">
        <is>
          <t>Friendly</t>
        </is>
      </c>
      <c r="R180" s="3" t="n">
        <v>414.292</v>
      </c>
      <c r="S180" s="3" t="n">
        <v>-41.2797</v>
      </c>
      <c r="T180" s="4" t="inlineStr">
        <is>
          <t>Company Takeover, Going Private</t>
        </is>
      </c>
      <c r="U180" s="2" t="inlineStr">
        <is>
          <t>No</t>
        </is>
      </c>
      <c r="V180" s="2" t="inlineStr">
        <is>
          <t>No</t>
        </is>
      </c>
      <c r="W180" s="2" t="inlineStr">
        <is>
          <t>No</t>
        </is>
      </c>
      <c r="X180" s="2" t="inlineStr">
        <is>
          <t>Yes</t>
        </is>
      </c>
      <c r="Y180" s="2" t="inlineStr">
        <is>
          <t>No</t>
        </is>
      </c>
      <c r="Z180" s="2" t="inlineStr">
        <is>
          <t>No</t>
        </is>
      </c>
      <c r="AA180" s="6" t="n">
        <v>2.7563546</v>
      </c>
      <c r="AB180" s="6" t="n">
        <v>2.617306547</v>
      </c>
      <c r="AC180" s="6" t="n">
        <v>2.752954524</v>
      </c>
      <c r="AD180">
        <f t="array" ref="AD180">IF(SUMPRODUCT(--($AM$2:$AM$112=TRIM(LEFT($B180,IFERROR(FIND(" ",$B180)-1,LEN($B180))))))&gt;0,1,0)</f>
        <v/>
      </c>
      <c r="AE180">
        <f t="array" ref="AE180">IF(SUMPRODUCT(--($AO$2:$AO$145=TRIM(LEFT($B180,IFERROR(FIND(" ",$B180)-1,LEN($B180))))))&gt;0,1,0)</f>
        <v/>
      </c>
      <c r="AF180">
        <f t="array" ref="AF180">IF(SUMPRODUCT(--($AQ$2:$AQ$71=TRIM(LEFT($B180,IFERROR(FIND(" ",$B180)-1,LEN($B180))))))&gt;0,1,0)</f>
        <v/>
      </c>
    </row>
    <row r="181" ht="45.75" customHeight="1" thickBot="1">
      <c r="A181" s="13" t="n">
        <v>59</v>
      </c>
      <c r="B181" s="4" t="inlineStr">
        <is>
          <t>ITCI US</t>
        </is>
      </c>
      <c r="C181" s="4" t="inlineStr">
        <is>
          <t>JNJ US</t>
        </is>
      </c>
      <c r="D181" s="7" t="n">
        <v>45670</v>
      </c>
      <c r="E181" s="3" t="n">
        <v>14278.69</v>
      </c>
      <c r="F181" s="4" t="inlineStr">
        <is>
          <t>Cash</t>
        </is>
      </c>
      <c r="G181" s="4" t="n"/>
      <c r="H181" s="4" t="inlineStr">
        <is>
          <t>Health Care</t>
        </is>
      </c>
      <c r="I181" s="4" t="inlineStr">
        <is>
          <t>Health Care</t>
        </is>
      </c>
      <c r="J181" s="4" t="inlineStr">
        <is>
          <t>Biotech &amp; Pharma</t>
        </is>
      </c>
      <c r="K181" s="4" t="n"/>
      <c r="L181" s="4" t="n"/>
      <c r="M181" s="3" t="n">
        <v>55.83</v>
      </c>
      <c r="N181" s="3" t="n">
        <v>14278.69</v>
      </c>
      <c r="O181" s="4" t="inlineStr">
        <is>
          <t>United States</t>
        </is>
      </c>
      <c r="P181" s="4" t="inlineStr">
        <is>
          <t>United States</t>
        </is>
      </c>
      <c r="Q181" s="4" t="inlineStr">
        <is>
          <t>Friendly</t>
        </is>
      </c>
      <c r="R181" s="3" t="n">
        <v>680.852</v>
      </c>
      <c r="S181" s="3" t="n">
        <v>-17.1434</v>
      </c>
      <c r="T181" s="4" t="inlineStr">
        <is>
          <t>Company Takeover</t>
        </is>
      </c>
      <c r="U181" s="2" t="inlineStr">
        <is>
          <t>No</t>
        </is>
      </c>
      <c r="V181" s="2" t="inlineStr">
        <is>
          <t>No</t>
        </is>
      </c>
      <c r="W181" s="2" t="inlineStr">
        <is>
          <t>No</t>
        </is>
      </c>
      <c r="X181" s="2" t="inlineStr">
        <is>
          <t>No</t>
        </is>
      </c>
      <c r="Y181" s="2" t="inlineStr">
        <is>
          <t>No</t>
        </is>
      </c>
      <c r="Z181" s="2" t="inlineStr">
        <is>
          <t>No</t>
        </is>
      </c>
      <c r="AA181" s="6" t="n">
        <v>4.154688365</v>
      </c>
      <c r="AB181" s="6" t="n">
        <v>2.833052718</v>
      </c>
      <c r="AC181" s="6" t="n">
        <v>4.154688365</v>
      </c>
      <c r="AD181">
        <f t="array" ref="AD181">IF(SUMPRODUCT(--($AM$2:$AM$112=TRIM(LEFT($B181,IFERROR(FIND(" ",$B181)-1,LEN($B181))))))&gt;0,1,0)</f>
        <v/>
      </c>
      <c r="AE181">
        <f t="array" ref="AE181">IF(SUMPRODUCT(--($AO$2:$AO$145=TRIM(LEFT($B181,IFERROR(FIND(" ",$B181)-1,LEN($B181))))))&gt;0,1,0)</f>
        <v/>
      </c>
      <c r="AF181">
        <f t="array" ref="AF181">IF(SUMPRODUCT(--($AQ$2:$AQ$71=TRIM(LEFT($B181,IFERROR(FIND(" ",$B181)-1,LEN($B181))))))&gt;0,1,0)</f>
        <v/>
      </c>
    </row>
    <row r="182" ht="75.75" customHeight="1" thickBot="1">
      <c r="A182" s="13" t="n">
        <v>83</v>
      </c>
      <c r="B182" s="4" t="inlineStr">
        <is>
          <t>PTVE US</t>
        </is>
      </c>
      <c r="C182" s="4" t="inlineStr">
        <is>
          <t>1158424D US</t>
        </is>
      </c>
      <c r="D182" s="7" t="n">
        <v>45635</v>
      </c>
      <c r="E182" s="3" t="n">
        <v>6859.32</v>
      </c>
      <c r="F182" s="4" t="inlineStr">
        <is>
          <t>Cash</t>
        </is>
      </c>
      <c r="G182" s="3" t="n">
        <v>5.1</v>
      </c>
      <c r="H182" s="4" t="inlineStr">
        <is>
          <t>Materials</t>
        </is>
      </c>
      <c r="I182" s="4" t="inlineStr">
        <is>
          <t>Materials</t>
        </is>
      </c>
      <c r="J182" s="4" t="inlineStr">
        <is>
          <t>Containers &amp; Packaging</t>
        </is>
      </c>
      <c r="K182" s="4" t="n"/>
      <c r="L182" s="4" t="n"/>
      <c r="M182" s="3" t="n">
        <v>37.15</v>
      </c>
      <c r="N182" s="3" t="n">
        <v>3248.32</v>
      </c>
      <c r="O182" s="4" t="inlineStr">
        <is>
          <t>United States</t>
        </is>
      </c>
      <c r="P182" s="4" t="inlineStr">
        <is>
          <t>United States</t>
        </is>
      </c>
      <c r="Q182" s="4" t="inlineStr">
        <is>
          <t>Friendly</t>
        </is>
      </c>
      <c r="R182" s="3" t="n">
        <v>5148</v>
      </c>
      <c r="S182" s="3" t="n">
        <v>2.13675</v>
      </c>
      <c r="T182" s="4" t="inlineStr">
        <is>
          <t>Company Takeover, Going Private</t>
        </is>
      </c>
      <c r="U182" s="2" t="inlineStr">
        <is>
          <t>No</t>
        </is>
      </c>
      <c r="V182" s="2" t="inlineStr">
        <is>
          <t>No</t>
        </is>
      </c>
      <c r="W182" s="2" t="inlineStr">
        <is>
          <t>No</t>
        </is>
      </c>
      <c r="X182" s="2" t="inlineStr">
        <is>
          <t>Yes</t>
        </is>
      </c>
      <c r="Y182" s="2" t="inlineStr">
        <is>
          <t>No</t>
        </is>
      </c>
      <c r="Z182" s="2" t="inlineStr">
        <is>
          <t>No</t>
        </is>
      </c>
      <c r="AA182" s="6" t="n">
        <v>3.836281064</v>
      </c>
      <c r="AB182" s="6" t="n">
        <v>3.711638538</v>
      </c>
      <c r="AC182" s="6" t="n">
        <v>3.511658806</v>
      </c>
      <c r="AD182">
        <f t="array" ref="AD182">IF(SUMPRODUCT(--($AM$2:$AM$112=TRIM(LEFT($B182,IFERROR(FIND(" ",$B182)-1,LEN($B182))))))&gt;0,1,0)</f>
        <v/>
      </c>
      <c r="AE182">
        <f t="array" ref="AE182">IF(SUMPRODUCT(--($AO$2:$AO$145=TRIM(LEFT($B182,IFERROR(FIND(" ",$B182)-1,LEN($B182))))))&gt;0,1,0)</f>
        <v/>
      </c>
      <c r="AF182">
        <f t="array" ref="AF182">IF(SUMPRODUCT(--($AQ$2:$AQ$71=TRIM(LEFT($B182,IFERROR(FIND(" ",$B182)-1,LEN($B182))))))&gt;0,1,0)</f>
        <v/>
      </c>
    </row>
    <row r="183" ht="45.75" customHeight="1" thickBot="1">
      <c r="A183" s="13" t="n">
        <v>117</v>
      </c>
      <c r="B183" s="4" t="inlineStr">
        <is>
          <t>SASR US</t>
        </is>
      </c>
      <c r="C183" s="4" t="inlineStr">
        <is>
          <t>AUB US</t>
        </is>
      </c>
      <c r="D183" s="7" t="n">
        <v>45586</v>
      </c>
      <c r="E183" s="3" t="n">
        <v>1522.23</v>
      </c>
      <c r="F183" s="4" t="inlineStr">
        <is>
          <t>Stock</t>
        </is>
      </c>
      <c r="G183" s="4" t="n"/>
      <c r="H183" s="4" t="inlineStr">
        <is>
          <t>Financials</t>
        </is>
      </c>
      <c r="I183" s="4" t="inlineStr">
        <is>
          <t>Banking</t>
        </is>
      </c>
      <c r="J183" s="4" t="inlineStr">
        <is>
          <t>Banking</t>
        </is>
      </c>
      <c r="K183" s="3" t="n">
        <v>56</v>
      </c>
      <c r="L183" s="3" t="n">
        <v>56</v>
      </c>
      <c r="M183" s="3" t="n">
        <v>6.44</v>
      </c>
      <c r="N183" s="3" t="n">
        <v>1522.23</v>
      </c>
      <c r="O183" s="4" t="inlineStr">
        <is>
          <t>United States</t>
        </is>
      </c>
      <c r="P183" s="4" t="inlineStr">
        <is>
          <t>United States</t>
        </is>
      </c>
      <c r="Q183" s="4" t="inlineStr">
        <is>
          <t>Friendly</t>
        </is>
      </c>
      <c r="R183" s="3" t="n">
        <v>751.587</v>
      </c>
      <c r="S183" s="3" t="n">
        <v>12.0463</v>
      </c>
      <c r="T183" s="4" t="inlineStr">
        <is>
          <t>Company Takeover</t>
        </is>
      </c>
      <c r="U183" s="2" t="inlineStr">
        <is>
          <t>No</t>
        </is>
      </c>
      <c r="V183" s="2" t="inlineStr">
        <is>
          <t>No</t>
        </is>
      </c>
      <c r="W183" s="2" t="inlineStr">
        <is>
          <t>No</t>
        </is>
      </c>
      <c r="X183" s="2" t="inlineStr">
        <is>
          <t>No</t>
        </is>
      </c>
      <c r="Y183" s="2" t="inlineStr">
        <is>
          <t>No</t>
        </is>
      </c>
      <c r="Z183" s="2" t="inlineStr">
        <is>
          <t>No</t>
        </is>
      </c>
      <c r="AA183" s="6" t="n">
        <v>3.182480277</v>
      </c>
      <c r="AB183" s="6" t="n">
        <v>2.87597926</v>
      </c>
      <c r="AC183" s="6" t="n">
        <v>3.182480277</v>
      </c>
      <c r="AD183">
        <f t="array" ref="AD183">IF(SUMPRODUCT(--($AM$2:$AM$112=TRIM(LEFT($B183,IFERROR(FIND(" ",$B183)-1,LEN($B183))))))&gt;0,1,0)</f>
        <v/>
      </c>
      <c r="AE183">
        <f t="array" ref="AE183">IF(SUMPRODUCT(--($AO$2:$AO$145=TRIM(LEFT($B183,IFERROR(FIND(" ",$B183)-1,LEN($B183))))))&gt;0,1,0)</f>
        <v/>
      </c>
      <c r="AF183">
        <f t="array" ref="AF183">IF(SUMPRODUCT(--($AQ$2:$AQ$71=TRIM(LEFT($B183,IFERROR(FIND(" ",$B183)-1,LEN($B183))))))&gt;0,1,0)</f>
        <v/>
      </c>
    </row>
    <row r="184" ht="45.75" customHeight="1" thickBot="1">
      <c r="A184" s="13" t="n">
        <v>177</v>
      </c>
      <c r="B184" s="4" t="inlineStr">
        <is>
          <t>FBMS US</t>
        </is>
      </c>
      <c r="C184" s="4" t="inlineStr">
        <is>
          <t>RNST US</t>
        </is>
      </c>
      <c r="D184" s="7" t="n">
        <v>45502</v>
      </c>
      <c r="E184" s="3" t="n">
        <v>1038.9</v>
      </c>
      <c r="F184" s="4" t="inlineStr">
        <is>
          <t>Stock</t>
        </is>
      </c>
      <c r="G184" s="4" t="n"/>
      <c r="H184" s="4" t="inlineStr">
        <is>
          <t>Financials</t>
        </is>
      </c>
      <c r="I184" s="4" t="inlineStr">
        <is>
          <t>Banking</t>
        </is>
      </c>
      <c r="J184" s="4" t="inlineStr">
        <is>
          <t>Banking</t>
        </is>
      </c>
      <c r="K184" s="4" t="n"/>
      <c r="L184" s="4" t="n"/>
      <c r="M184" s="3" t="n">
        <v>20.02</v>
      </c>
      <c r="N184" s="3" t="n">
        <v>1038.9</v>
      </c>
      <c r="O184" s="4" t="inlineStr">
        <is>
          <t>United States</t>
        </is>
      </c>
      <c r="P184" s="4" t="inlineStr">
        <is>
          <t>United States</t>
        </is>
      </c>
      <c r="Q184" s="4" t="inlineStr">
        <is>
          <t>Friendly</t>
        </is>
      </c>
      <c r="R184" s="3" t="n">
        <v>419.597</v>
      </c>
      <c r="S184" s="3" t="n">
        <v>34.491</v>
      </c>
      <c r="T184" s="4" t="inlineStr">
        <is>
          <t>Company Takeover</t>
        </is>
      </c>
      <c r="U184" s="2" t="inlineStr">
        <is>
          <t>No</t>
        </is>
      </c>
      <c r="V184" s="2" t="inlineStr">
        <is>
          <t>No</t>
        </is>
      </c>
      <c r="W184" s="2" t="inlineStr">
        <is>
          <t>No</t>
        </is>
      </c>
      <c r="X184" s="2" t="inlineStr">
        <is>
          <t>No</t>
        </is>
      </c>
      <c r="Y184" s="2" t="inlineStr">
        <is>
          <t>No</t>
        </is>
      </c>
      <c r="Z184" s="2" t="inlineStr">
        <is>
          <t>No</t>
        </is>
      </c>
      <c r="AA184" s="6" t="n">
        <v>3.016573746</v>
      </c>
      <c r="AB184" s="6" t="n">
        <v>2.622832374</v>
      </c>
      <c r="AC184" s="6" t="n">
        <v>3.016573746</v>
      </c>
      <c r="AD184">
        <f t="array" ref="AD184">IF(SUMPRODUCT(--($AM$2:$AM$112=TRIM(LEFT($B184,IFERROR(FIND(" ",$B184)-1,LEN($B184))))))&gt;0,1,0)</f>
        <v/>
      </c>
      <c r="AE184">
        <f t="array" ref="AE184">IF(SUMPRODUCT(--($AO$2:$AO$145=TRIM(LEFT($B184,IFERROR(FIND(" ",$B184)-1,LEN($B184))))))&gt;0,1,0)</f>
        <v/>
      </c>
      <c r="AF184">
        <f t="array" ref="AF184">IF(SUMPRODUCT(--($AQ$2:$AQ$71=TRIM(LEFT($B184,IFERROR(FIND(" ",$B184)-1,LEN($B184))))))&gt;0,1,0)</f>
        <v/>
      </c>
    </row>
    <row r="185" ht="45.75" customHeight="1" thickBot="1">
      <c r="A185" s="13" t="n">
        <v>106</v>
      </c>
      <c r="B185" s="4" t="inlineStr">
        <is>
          <t>ALTR US</t>
        </is>
      </c>
      <c r="C185" s="4" t="inlineStr">
        <is>
          <t>SIE GR</t>
        </is>
      </c>
      <c r="D185" s="7" t="n">
        <v>45596</v>
      </c>
      <c r="E185" s="3" t="n">
        <v>9541.030000000001</v>
      </c>
      <c r="F185" s="4" t="inlineStr">
        <is>
          <t>Cash</t>
        </is>
      </c>
      <c r="G185" s="4" t="n"/>
      <c r="H185" s="4" t="inlineStr">
        <is>
          <t>Technology</t>
        </is>
      </c>
      <c r="I185" s="4" t="inlineStr">
        <is>
          <t>Software &amp; Tech Services</t>
        </is>
      </c>
      <c r="J185" s="4" t="inlineStr">
        <is>
          <t>Software</t>
        </is>
      </c>
      <c r="K185" s="3" t="n">
        <v>638</v>
      </c>
      <c r="L185" s="3" t="n">
        <v>372</v>
      </c>
      <c r="M185" s="3" t="n">
        <v>14.53</v>
      </c>
      <c r="N185" s="3" t="n">
        <v>9788.889999999999</v>
      </c>
      <c r="O185" s="4" t="inlineStr">
        <is>
          <t>United States</t>
        </is>
      </c>
      <c r="P185" s="4" t="inlineStr">
        <is>
          <t>Germany</t>
        </is>
      </c>
      <c r="Q185" s="4" t="inlineStr">
        <is>
          <t>Friendly</t>
        </is>
      </c>
      <c r="R185" s="3" t="n">
        <v>665.788</v>
      </c>
      <c r="S185" s="3" t="n">
        <v>2.65625</v>
      </c>
      <c r="T185" s="4" t="inlineStr">
        <is>
          <t>Company Takeover</t>
        </is>
      </c>
      <c r="U185" s="2" t="inlineStr">
        <is>
          <t>No</t>
        </is>
      </c>
      <c r="V185" s="2" t="inlineStr">
        <is>
          <t>No</t>
        </is>
      </c>
      <c r="W185" s="2" t="inlineStr">
        <is>
          <t>No</t>
        </is>
      </c>
      <c r="X185" s="2" t="inlineStr">
        <is>
          <t>No</t>
        </is>
      </c>
      <c r="Y185" s="2" t="inlineStr">
        <is>
          <t>No</t>
        </is>
      </c>
      <c r="Z185" s="2" t="inlineStr">
        <is>
          <t>No</t>
        </is>
      </c>
      <c r="AA185" s="6" t="n">
        <v>3.979595261</v>
      </c>
      <c r="AB185" s="6" t="n">
        <v>2.823335963</v>
      </c>
      <c r="AC185" s="6" t="n">
        <v>3.990733448</v>
      </c>
      <c r="AD185">
        <f t="array" ref="AD185">IF(SUMPRODUCT(--($AM$2:$AM$112=TRIM(LEFT($B185,IFERROR(FIND(" ",$B185)-1,LEN($B185))))))&gt;0,1,0)</f>
        <v/>
      </c>
      <c r="AE185">
        <f t="array" ref="AE185">IF(SUMPRODUCT(--($AO$2:$AO$145=TRIM(LEFT($B185,IFERROR(FIND(" ",$B185)-1,LEN($B185))))))&gt;0,1,0)</f>
        <v/>
      </c>
      <c r="AF185">
        <f t="array" ref="AF185">IF(SUMPRODUCT(--($AQ$2:$AQ$71=TRIM(LEFT($B185,IFERROR(FIND(" ",$B185)-1,LEN($B185))))))&gt;0,1,0)</f>
        <v/>
      </c>
    </row>
    <row r="186" ht="135.75" customHeight="1" thickBot="1">
      <c r="A186" s="13" t="n">
        <v>255</v>
      </c>
      <c r="B186" s="4" t="inlineStr">
        <is>
          <t>EDR US</t>
        </is>
      </c>
      <c r="C186" s="4" t="inlineStr">
        <is>
          <t>17155Z US</t>
        </is>
      </c>
      <c r="D186" s="7" t="n">
        <v>45384</v>
      </c>
      <c r="E186" s="3" t="n">
        <v>9962.68</v>
      </c>
      <c r="F186" s="4" t="inlineStr">
        <is>
          <t>Cash</t>
        </is>
      </c>
      <c r="G186" s="4" t="n"/>
      <c r="H186" s="4" t="inlineStr">
        <is>
          <t>Communications</t>
        </is>
      </c>
      <c r="I186" s="4" t="inlineStr">
        <is>
          <t>Media</t>
        </is>
      </c>
      <c r="J186" s="4" t="inlineStr">
        <is>
          <t>Entertainment Content</t>
        </is>
      </c>
      <c r="K186" s="4" t="n"/>
      <c r="L186" s="4" t="n"/>
      <c r="M186" s="3" t="n">
        <v>9.98</v>
      </c>
      <c r="N186" s="3" t="n">
        <v>5728.96</v>
      </c>
      <c r="O186" s="4" t="inlineStr">
        <is>
          <t>United States</t>
        </is>
      </c>
      <c r="P186" s="4" t="inlineStr">
        <is>
          <t>United States</t>
        </is>
      </c>
      <c r="Q186" s="4" t="inlineStr">
        <is>
          <t>Friendly</t>
        </is>
      </c>
      <c r="R186" s="3" t="n">
        <v>7110.98</v>
      </c>
      <c r="S186" s="3" t="n">
        <v>-3.39486</v>
      </c>
      <c r="T186" s="4" t="inlineStr">
        <is>
          <t>Private Equity, PE Buyout, Company Takeover, Going Private</t>
        </is>
      </c>
      <c r="U186" s="2" t="inlineStr">
        <is>
          <t>No</t>
        </is>
      </c>
      <c r="V186" s="2" t="inlineStr">
        <is>
          <t>No</t>
        </is>
      </c>
      <c r="W186" s="2" t="inlineStr">
        <is>
          <t>No</t>
        </is>
      </c>
      <c r="X186" s="2" t="inlineStr">
        <is>
          <t>Yes</t>
        </is>
      </c>
      <c r="Y186" s="2" t="inlineStr">
        <is>
          <t>Yes</t>
        </is>
      </c>
      <c r="Z186" s="2" t="inlineStr">
        <is>
          <t>No</t>
        </is>
      </c>
      <c r="AA186" s="6" t="n">
        <v>3.998376181</v>
      </c>
      <c r="AB186" s="6" t="n">
        <v>3.851929457</v>
      </c>
      <c r="AC186" s="6" t="n">
        <v>3.75807579</v>
      </c>
      <c r="AD186">
        <f t="array" ref="AD186">IF(SUMPRODUCT(--($AM$2:$AM$112=TRIM(LEFT($B186,IFERROR(FIND(" ",$B186)-1,LEN($B186))))))&gt;0,1,0)</f>
        <v/>
      </c>
      <c r="AE186">
        <f t="array" ref="AE186">IF(SUMPRODUCT(--($AO$2:$AO$145=TRIM(LEFT($B186,IFERROR(FIND(" ",$B186)-1,LEN($B186))))))&gt;0,1,0)</f>
        <v/>
      </c>
      <c r="AF186">
        <f t="array" ref="AF186">IF(SUMPRODUCT(--($AQ$2:$AQ$71=TRIM(LEFT($B186,IFERROR(FIND(" ",$B186)-1,LEN($B186))))))&gt;0,1,0)</f>
        <v/>
      </c>
    </row>
    <row r="187" ht="105.75" customHeight="1" thickBot="1">
      <c r="A187" s="13" t="n">
        <v>55</v>
      </c>
      <c r="B187" s="4" t="inlineStr">
        <is>
          <t>SFTC CN</t>
        </is>
      </c>
      <c r="C187" s="4" t="inlineStr">
        <is>
          <t>1653126D US</t>
        </is>
      </c>
      <c r="D187" s="7" t="n">
        <v>45657</v>
      </c>
      <c r="E187" s="3" t="n">
        <v>1027.15</v>
      </c>
      <c r="F187" s="4" t="inlineStr">
        <is>
          <t>Cash</t>
        </is>
      </c>
      <c r="G187" s="3" t="n">
        <v>12.15</v>
      </c>
      <c r="H187" s="4" t="inlineStr">
        <is>
          <t>Technology</t>
        </is>
      </c>
      <c r="I187" s="4" t="inlineStr">
        <is>
          <t>Software &amp; Tech Services</t>
        </is>
      </c>
      <c r="J187" s="4" t="inlineStr">
        <is>
          <t>IT Services</t>
        </is>
      </c>
      <c r="K187" s="4" t="n"/>
      <c r="L187" s="3" t="n">
        <v>49</v>
      </c>
      <c r="M187" s="3" t="n">
        <v>7.14</v>
      </c>
      <c r="N187" s="3" t="n">
        <v>1027.15</v>
      </c>
      <c r="O187" s="4" t="inlineStr">
        <is>
          <t>Canada</t>
        </is>
      </c>
      <c r="P187" s="4" t="inlineStr">
        <is>
          <t>United States</t>
        </is>
      </c>
      <c r="Q187" s="4" t="inlineStr">
        <is>
          <t>Friendly</t>
        </is>
      </c>
      <c r="R187" s="3" t="n">
        <v>816.404</v>
      </c>
      <c r="S187" s="3" t="n">
        <v>8.65086</v>
      </c>
      <c r="T187" s="4" t="inlineStr">
        <is>
          <t>Company Takeover, Cross Border, Going Private</t>
        </is>
      </c>
      <c r="U187" s="2" t="inlineStr">
        <is>
          <t>No</t>
        </is>
      </c>
      <c r="V187" s="2" t="inlineStr">
        <is>
          <t>No</t>
        </is>
      </c>
      <c r="W187" s="2" t="inlineStr">
        <is>
          <t>Yes</t>
        </is>
      </c>
      <c r="X187" s="2" t="inlineStr">
        <is>
          <t>Yes</t>
        </is>
      </c>
      <c r="Y187" s="2" t="inlineStr">
        <is>
          <t>No</t>
        </is>
      </c>
      <c r="Z187" s="2" t="inlineStr">
        <is>
          <t>No</t>
        </is>
      </c>
      <c r="AA187" s="6" t="n">
        <v>3.01163387</v>
      </c>
      <c r="AB187" s="6" t="n">
        <v>2.911905124</v>
      </c>
      <c r="AC187" s="6" t="n">
        <v>3.01163387</v>
      </c>
      <c r="AD187">
        <f t="array" ref="AD187">IF(SUMPRODUCT(--($AM$2:$AM$112=TRIM(LEFT($B187,IFERROR(FIND(" ",$B187)-1,LEN($B187))))))&gt;0,1,0)</f>
        <v/>
      </c>
      <c r="AE187">
        <f t="array" ref="AE187">IF(SUMPRODUCT(--($AO$2:$AO$145=TRIM(LEFT($B187,IFERROR(FIND(" ",$B187)-1,LEN($B187))))))&gt;0,1,0)</f>
        <v/>
      </c>
      <c r="AF187">
        <f t="array" ref="AF187">IF(SUMPRODUCT(--($AQ$2:$AQ$71=TRIM(LEFT($B187,IFERROR(FIND(" ",$B187)-1,LEN($B187))))))&gt;0,1,0)</f>
        <v/>
      </c>
    </row>
    <row r="188" ht="165.75" customHeight="1" thickBot="1">
      <c r="A188" s="13" t="n">
        <v>34</v>
      </c>
      <c r="B188" s="4" t="inlineStr">
        <is>
          <t>AZPN US</t>
        </is>
      </c>
      <c r="C188" s="4" t="inlineStr">
        <is>
          <t>EMR US</t>
        </is>
      </c>
      <c r="D188" s="7" t="n">
        <v>45684</v>
      </c>
      <c r="E188" s="3" t="n">
        <v>7196.74</v>
      </c>
      <c r="F188" s="4" t="inlineStr">
        <is>
          <t>Cash</t>
        </is>
      </c>
      <c r="G188" s="3" t="n">
        <v>39.55</v>
      </c>
      <c r="H188" s="4" t="inlineStr">
        <is>
          <t>Technology</t>
        </is>
      </c>
      <c r="I188" s="4" t="inlineStr">
        <is>
          <t>Software &amp; Tech Services</t>
        </is>
      </c>
      <c r="J188" s="4" t="inlineStr">
        <is>
          <t>Software</t>
        </is>
      </c>
      <c r="K188" s="4" t="n"/>
      <c r="L188" s="4" t="n"/>
      <c r="M188" s="3" t="n">
        <v>5.27</v>
      </c>
      <c r="N188" s="3" t="n">
        <v>7196.74</v>
      </c>
      <c r="O188" s="4" t="inlineStr">
        <is>
          <t>United States</t>
        </is>
      </c>
      <c r="P188" s="4" t="inlineStr">
        <is>
          <t>United States</t>
        </is>
      </c>
      <c r="Q188" s="4" t="inlineStr">
        <is>
          <t>Friendly</t>
        </is>
      </c>
      <c r="R188" s="3" t="n">
        <v>1127.48</v>
      </c>
      <c r="S188" s="3" t="n">
        <v>-5.88052</v>
      </c>
      <c r="T188" s="4" t="inlineStr">
        <is>
          <t>Company Takeover, Additional Stake Purchase, Tender Offer, Squeeze out</t>
        </is>
      </c>
      <c r="U188" s="2" t="inlineStr">
        <is>
          <t>Yes</t>
        </is>
      </c>
      <c r="V188" s="2" t="inlineStr">
        <is>
          <t>No</t>
        </is>
      </c>
      <c r="W188" s="2" t="inlineStr">
        <is>
          <t>No</t>
        </is>
      </c>
      <c r="X188" s="2" t="inlineStr">
        <is>
          <t>No</t>
        </is>
      </c>
      <c r="Y188" s="2" t="inlineStr">
        <is>
          <t>No</t>
        </is>
      </c>
      <c r="Z188" s="2" t="inlineStr">
        <is>
          <t>Yes</t>
        </is>
      </c>
      <c r="AA188" s="6" t="n">
        <v>3.857135813</v>
      </c>
      <c r="AB188" s="6" t="n">
        <v>3.052108847</v>
      </c>
      <c r="AC188" s="6" t="n">
        <v>3.857135813</v>
      </c>
      <c r="AD188">
        <f t="array" ref="AD188">IF(SUMPRODUCT(--($AM$2:$AM$112=TRIM(LEFT($B188,IFERROR(FIND(" ",$B188)-1,LEN($B188))))))&gt;0,1,0)</f>
        <v/>
      </c>
      <c r="AE188">
        <f t="array" ref="AE188">IF(SUMPRODUCT(--($AO$2:$AO$145=TRIM(LEFT($B188,IFERROR(FIND(" ",$B188)-1,LEN($B188))))))&gt;0,1,0)</f>
        <v/>
      </c>
      <c r="AF188">
        <f t="array" ref="AF188">IF(SUMPRODUCT(--($AQ$2:$AQ$71=TRIM(LEFT($B188,IFERROR(FIND(" ",$B188)-1,LEN($B188))))))&gt;0,1,0)</f>
        <v/>
      </c>
    </row>
    <row r="189" ht="45.75" customHeight="1" thickBot="1">
      <c r="A189" s="13" t="n">
        <v>158</v>
      </c>
      <c r="B189" s="4" t="inlineStr">
        <is>
          <t>PFC US</t>
        </is>
      </c>
      <c r="C189" s="4" t="inlineStr">
        <is>
          <t>WSBC US</t>
        </is>
      </c>
      <c r="D189" s="7" t="n">
        <v>45499</v>
      </c>
      <c r="E189" s="3" t="n">
        <v>863.02</v>
      </c>
      <c r="F189" s="4" t="inlineStr">
        <is>
          <t>Stock</t>
        </is>
      </c>
      <c r="G189" s="4" t="n"/>
      <c r="H189" s="4" t="inlineStr">
        <is>
          <t>Financials</t>
        </is>
      </c>
      <c r="I189" s="4" t="inlineStr">
        <is>
          <t>Banking</t>
        </is>
      </c>
      <c r="J189" s="4" t="inlineStr">
        <is>
          <t>Banking</t>
        </is>
      </c>
      <c r="K189" s="4" t="n"/>
      <c r="L189" s="4" t="n"/>
      <c r="M189" s="3" t="n">
        <v>7.77</v>
      </c>
      <c r="N189" s="3" t="n">
        <v>863.02</v>
      </c>
      <c r="O189" s="4" t="inlineStr">
        <is>
          <t>United States</t>
        </is>
      </c>
      <c r="P189" s="4" t="inlineStr">
        <is>
          <t>United States</t>
        </is>
      </c>
      <c r="Q189" s="4" t="inlineStr">
        <is>
          <t>Friendly</t>
        </is>
      </c>
      <c r="R189" s="3" t="n">
        <v>442.879</v>
      </c>
      <c r="S189" s="3" t="n">
        <v>35.6596</v>
      </c>
      <c r="T189" s="4" t="inlineStr">
        <is>
          <t>Company Takeover</t>
        </is>
      </c>
      <c r="U189" s="2" t="inlineStr">
        <is>
          <t>No</t>
        </is>
      </c>
      <c r="V189" s="2" t="inlineStr">
        <is>
          <t>No</t>
        </is>
      </c>
      <c r="W189" s="2" t="inlineStr">
        <is>
          <t>No</t>
        </is>
      </c>
      <c r="X189" s="2" t="inlineStr">
        <is>
          <t>No</t>
        </is>
      </c>
      <c r="Y189" s="2" t="inlineStr">
        <is>
          <t>No</t>
        </is>
      </c>
      <c r="Z189" s="2" t="inlineStr">
        <is>
          <t>No</t>
        </is>
      </c>
      <c r="AA189" s="6" t="n">
        <v>2.93602086</v>
      </c>
      <c r="AB189" s="6" t="n">
        <v>2.646285088</v>
      </c>
      <c r="AC189" s="6" t="n">
        <v>2.93602086</v>
      </c>
      <c r="AD189">
        <f t="array" ref="AD189">IF(SUMPRODUCT(--($AM$2:$AM$112=TRIM(LEFT($B189,IFERROR(FIND(" ",$B189)-1,LEN($B189))))))&gt;0,1,0)</f>
        <v/>
      </c>
      <c r="AE189">
        <f t="array" ref="AE189">IF(SUMPRODUCT(--($AO$2:$AO$145=TRIM(LEFT($B189,IFERROR(FIND(" ",$B189)-1,LEN($B189))))))&gt;0,1,0)</f>
        <v/>
      </c>
      <c r="AF189">
        <f t="array" ref="AF189">IF(SUMPRODUCT(--($AQ$2:$AQ$71=TRIM(LEFT($B189,IFERROR(FIND(" ",$B189)-1,LEN($B189))))))&gt;0,1,0)</f>
        <v/>
      </c>
    </row>
    <row r="190" ht="45.75" customHeight="1" thickBot="1">
      <c r="A190" s="13" t="n">
        <v>136</v>
      </c>
      <c r="B190" s="4" t="inlineStr">
        <is>
          <t>CFB US</t>
        </is>
      </c>
      <c r="C190" s="4" t="inlineStr">
        <is>
          <t>BUSE US</t>
        </is>
      </c>
      <c r="D190" s="7" t="n">
        <v>45531</v>
      </c>
      <c r="E190" s="3" t="n">
        <v>845.6799999999999</v>
      </c>
      <c r="F190" s="4" t="inlineStr">
        <is>
          <t>Stock</t>
        </is>
      </c>
      <c r="G190" s="4" t="n"/>
      <c r="H190" s="4" t="inlineStr">
        <is>
          <t>Financials</t>
        </is>
      </c>
      <c r="I190" s="4" t="inlineStr">
        <is>
          <t>Banking</t>
        </is>
      </c>
      <c r="J190" s="4" t="inlineStr">
        <is>
          <t>Banking</t>
        </is>
      </c>
      <c r="K190" s="3" t="n">
        <v>36.7</v>
      </c>
      <c r="L190" s="3" t="n">
        <v>36.7</v>
      </c>
      <c r="M190" s="3" t="n">
        <v>0.47</v>
      </c>
      <c r="N190" s="3" t="n">
        <v>845.6799999999999</v>
      </c>
      <c r="O190" s="4" t="inlineStr">
        <is>
          <t>United States</t>
        </is>
      </c>
      <c r="P190" s="4" t="inlineStr">
        <is>
          <t>United States</t>
        </is>
      </c>
      <c r="Q190" s="4" t="inlineStr">
        <is>
          <t>Friendly</t>
        </is>
      </c>
      <c r="R190" s="3" t="n">
        <v>517.333</v>
      </c>
      <c r="S190" s="3" t="n">
        <v>38.0635</v>
      </c>
      <c r="T190" s="4" t="inlineStr">
        <is>
          <t>Company Takeover</t>
        </is>
      </c>
      <c r="U190" s="2" t="inlineStr">
        <is>
          <t>No</t>
        </is>
      </c>
      <c r="V190" s="2" t="inlineStr">
        <is>
          <t>No</t>
        </is>
      </c>
      <c r="W190" s="2" t="inlineStr">
        <is>
          <t>No</t>
        </is>
      </c>
      <c r="X190" s="2" t="inlineStr">
        <is>
          <t>No</t>
        </is>
      </c>
      <c r="Y190" s="2" t="inlineStr">
        <is>
          <t>No</t>
        </is>
      </c>
      <c r="Z190" s="2" t="inlineStr">
        <is>
          <t>No</t>
        </is>
      </c>
      <c r="AA190" s="6" t="n">
        <v>2.92720606</v>
      </c>
      <c r="AB190" s="6" t="n">
        <v>2.713770182</v>
      </c>
      <c r="AC190" s="6" t="n">
        <v>2.92720606</v>
      </c>
      <c r="AD190">
        <f t="array" ref="AD190">IF(SUMPRODUCT(--($AM$2:$AM$112=TRIM(LEFT($B190,IFERROR(FIND(" ",$B190)-1,LEN($B190))))))&gt;0,1,0)</f>
        <v/>
      </c>
      <c r="AE190">
        <f t="array" ref="AE190">IF(SUMPRODUCT(--($AO$2:$AO$145=TRIM(LEFT($B190,IFERROR(FIND(" ",$B190)-1,LEN($B190))))))&gt;0,1,0)</f>
        <v/>
      </c>
      <c r="AF190">
        <f t="array" ref="AF190">IF(SUMPRODUCT(--($AQ$2:$AQ$71=TRIM(LEFT($B190,IFERROR(FIND(" ",$B190)-1,LEN($B190))))))&gt;0,1,0)</f>
        <v/>
      </c>
    </row>
    <row r="191" ht="75.75" customHeight="1" thickBot="1">
      <c r="A191" s="13" t="n">
        <v>177</v>
      </c>
      <c r="B191" s="4" t="inlineStr">
        <is>
          <t>INFN US</t>
        </is>
      </c>
      <c r="C191" s="4" t="inlineStr">
        <is>
          <t>NOKIA FH</t>
        </is>
      </c>
      <c r="D191" s="7" t="n">
        <v>45471</v>
      </c>
      <c r="E191" s="3" t="n">
        <v>2108.52</v>
      </c>
      <c r="F191" s="4" t="inlineStr">
        <is>
          <t>Cash or Stock</t>
        </is>
      </c>
      <c r="G191" s="3" t="n">
        <v>6.27</v>
      </c>
      <c r="H191" s="4" t="inlineStr">
        <is>
          <t>Technology</t>
        </is>
      </c>
      <c r="I191" s="4" t="inlineStr">
        <is>
          <t>Tech Hardware &amp; Semiconductors</t>
        </is>
      </c>
      <c r="J191" s="4" t="inlineStr">
        <is>
          <t>Technology Hardware</t>
        </is>
      </c>
      <c r="K191" s="4" t="n"/>
      <c r="L191" s="4" t="n"/>
      <c r="M191" s="3" t="n">
        <v>24.06</v>
      </c>
      <c r="N191" s="3" t="n">
        <v>1558.03</v>
      </c>
      <c r="O191" s="4" t="inlineStr">
        <is>
          <t>United States</t>
        </is>
      </c>
      <c r="P191" s="4" t="inlineStr">
        <is>
          <t>Finland</t>
        </is>
      </c>
      <c r="Q191" s="4" t="inlineStr">
        <is>
          <t>Friendly</t>
        </is>
      </c>
      <c r="R191" s="3" t="n">
        <v>1418.45</v>
      </c>
      <c r="S191" s="3" t="n">
        <v>-5.8973</v>
      </c>
      <c r="T191" s="4" t="inlineStr">
        <is>
          <t>Cross Border, Company Takeover</t>
        </is>
      </c>
      <c r="U191" s="2" t="inlineStr">
        <is>
          <t>No</t>
        </is>
      </c>
      <c r="V191" s="2" t="inlineStr">
        <is>
          <t>No</t>
        </is>
      </c>
      <c r="W191" s="2" t="inlineStr">
        <is>
          <t>Yes</t>
        </is>
      </c>
      <c r="X191" s="2" t="inlineStr">
        <is>
          <t>No</t>
        </is>
      </c>
      <c r="Y191" s="2" t="inlineStr">
        <is>
          <t>No</t>
        </is>
      </c>
      <c r="Z191" s="2" t="inlineStr">
        <is>
          <t>No</t>
        </is>
      </c>
      <c r="AA191" s="6" t="n">
        <v>3.323977725</v>
      </c>
      <c r="AB191" s="6" t="n">
        <v>3.151814032</v>
      </c>
      <c r="AC191" s="6" t="n">
        <v>3.192575816</v>
      </c>
      <c r="AD191">
        <f t="array" ref="AD191">IF(SUMPRODUCT(--($AM$2:$AM$112=TRIM(LEFT($B191,IFERROR(FIND(" ",$B191)-1,LEN($B191))))))&gt;0,1,0)</f>
        <v/>
      </c>
      <c r="AE191">
        <f t="array" ref="AE191">IF(SUMPRODUCT(--($AO$2:$AO$145=TRIM(LEFT($B191,IFERROR(FIND(" ",$B191)-1,LEN($B191))))))&gt;0,1,0)</f>
        <v/>
      </c>
      <c r="AF191">
        <f t="array" ref="AF191">IF(SUMPRODUCT(--($AQ$2:$AQ$71=TRIM(LEFT($B191,IFERROR(FIND(" ",$B191)-1,LEN($B191))))))&gt;0,1,0)</f>
        <v/>
      </c>
    </row>
    <row r="192" ht="45.75" customHeight="1" thickBot="1">
      <c r="A192" s="13" t="n">
        <v>226</v>
      </c>
      <c r="B192" s="4" t="inlineStr">
        <is>
          <t>MTTR US</t>
        </is>
      </c>
      <c r="C192" s="4" t="inlineStr">
        <is>
          <t>CSGP US</t>
        </is>
      </c>
      <c r="D192" s="7" t="n">
        <v>45404</v>
      </c>
      <c r="E192" s="3" t="n">
        <v>1934.46</v>
      </c>
      <c r="F192" s="4" t="inlineStr">
        <is>
          <t>Cash and Stock</t>
        </is>
      </c>
      <c r="G192" s="4" t="n"/>
      <c r="H192" s="4" t="inlineStr">
        <is>
          <t>Technology</t>
        </is>
      </c>
      <c r="I192" s="4" t="inlineStr">
        <is>
          <t>Software &amp; Tech Services</t>
        </is>
      </c>
      <c r="J192" s="4" t="inlineStr">
        <is>
          <t>Software</t>
        </is>
      </c>
      <c r="K192" s="4" t="n"/>
      <c r="L192" s="4" t="n"/>
      <c r="M192" s="3" t="n">
        <v>209.19</v>
      </c>
      <c r="N192" s="3" t="n">
        <v>2015.88</v>
      </c>
      <c r="O192" s="4" t="inlineStr">
        <is>
          <t>United States</t>
        </is>
      </c>
      <c r="P192" s="4" t="inlineStr">
        <is>
          <t>United States</t>
        </is>
      </c>
      <c r="Q192" s="4" t="inlineStr">
        <is>
          <t>Friendly</t>
        </is>
      </c>
      <c r="R192" s="3" t="n">
        <v>169.699</v>
      </c>
      <c r="S192" s="3" t="n">
        <v>-161.376</v>
      </c>
      <c r="T192" s="4" t="inlineStr">
        <is>
          <t>Company Takeover</t>
        </is>
      </c>
      <c r="U192" s="2" t="inlineStr">
        <is>
          <t>No</t>
        </is>
      </c>
      <c r="V192" s="2" t="inlineStr">
        <is>
          <t>No</t>
        </is>
      </c>
      <c r="W192" s="2" t="inlineStr">
        <is>
          <t>No</t>
        </is>
      </c>
      <c r="X192" s="2" t="inlineStr">
        <is>
          <t>No</t>
        </is>
      </c>
      <c r="Y192" s="2" t="inlineStr">
        <is>
          <t>No</t>
        </is>
      </c>
      <c r="Z192" s="2" t="inlineStr">
        <is>
          <t>No</t>
        </is>
      </c>
      <c r="AA192" s="6" t="n">
        <v>3.286559754</v>
      </c>
      <c r="AB192" s="6" t="n">
        <v>2.229679283</v>
      </c>
      <c r="AC192" s="6" t="n">
        <v>3.304464676</v>
      </c>
      <c r="AD192">
        <f t="array" ref="AD192">IF(SUMPRODUCT(--($AM$2:$AM$112=TRIM(LEFT($B192,IFERROR(FIND(" ",$B192)-1,LEN($B192))))))&gt;0,1,0)</f>
        <v/>
      </c>
      <c r="AE192">
        <f t="array" ref="AE192">IF(SUMPRODUCT(--($AO$2:$AO$145=TRIM(LEFT($B192,IFERROR(FIND(" ",$B192)-1,LEN($B192))))))&gt;0,1,0)</f>
        <v/>
      </c>
      <c r="AF192">
        <f t="array" ref="AF192">IF(SUMPRODUCT(--($AQ$2:$AQ$71=TRIM(LEFT($B192,IFERROR(FIND(" ",$B192)-1,LEN($B192))))))&gt;0,1,0)</f>
        <v/>
      </c>
    </row>
    <row r="193" ht="45.75" customHeight="1" thickBot="1">
      <c r="A193" s="13" t="n">
        <v>222</v>
      </c>
      <c r="B193" s="4" t="inlineStr">
        <is>
          <t>HCP US</t>
        </is>
      </c>
      <c r="C193" s="4" t="inlineStr">
        <is>
          <t>IBM US</t>
        </is>
      </c>
      <c r="D193" s="7" t="n">
        <v>45407</v>
      </c>
      <c r="E193" s="3" t="n">
        <v>5930.71</v>
      </c>
      <c r="F193" s="4" t="inlineStr">
        <is>
          <t>Cash</t>
        </is>
      </c>
      <c r="G193" s="4" t="n"/>
      <c r="H193" s="4" t="inlineStr">
        <is>
          <t>Technology</t>
        </is>
      </c>
      <c r="I193" s="4" t="inlineStr">
        <is>
          <t>Software &amp; Tech Services</t>
        </is>
      </c>
      <c r="J193" s="4" t="inlineStr">
        <is>
          <t>Software</t>
        </is>
      </c>
      <c r="K193" s="4" t="n"/>
      <c r="L193" s="4" t="n"/>
      <c r="M193" s="3" t="n">
        <v>35.62</v>
      </c>
      <c r="N193" s="3" t="n">
        <v>7195.25</v>
      </c>
      <c r="O193" s="4" t="inlineStr">
        <is>
          <t>United States</t>
        </is>
      </c>
      <c r="P193" s="4" t="inlineStr">
        <is>
          <t>United States</t>
        </is>
      </c>
      <c r="Q193" s="4" t="inlineStr">
        <is>
          <t>Friendly</t>
        </is>
      </c>
      <c r="R193" s="3" t="n">
        <v>583.1369999999999</v>
      </c>
      <c r="S193" s="3" t="n">
        <v>-28.8895</v>
      </c>
      <c r="T193" s="4" t="inlineStr">
        <is>
          <t>Company Takeover</t>
        </is>
      </c>
      <c r="U193" s="2" t="inlineStr">
        <is>
          <t>No</t>
        </is>
      </c>
      <c r="V193" s="2" t="inlineStr">
        <is>
          <t>No</t>
        </is>
      </c>
      <c r="W193" s="2" t="inlineStr">
        <is>
          <t>No</t>
        </is>
      </c>
      <c r="X193" s="2" t="inlineStr">
        <is>
          <t>No</t>
        </is>
      </c>
      <c r="Y193" s="2" t="inlineStr">
        <is>
          <t>No</t>
        </is>
      </c>
      <c r="Z193" s="2" t="inlineStr">
        <is>
          <t>No</t>
        </is>
      </c>
      <c r="AA193" s="6" t="n">
        <v>3.773106688</v>
      </c>
      <c r="AB193" s="6" t="n">
        <v>2.765770598</v>
      </c>
      <c r="AC193" s="6" t="n">
        <v>3.857045888</v>
      </c>
      <c r="AD193">
        <f t="array" ref="AD193">IF(SUMPRODUCT(--($AM$2:$AM$112=TRIM(LEFT($B193,IFERROR(FIND(" ",$B193)-1,LEN($B193))))))&gt;0,1,0)</f>
        <v/>
      </c>
      <c r="AE193">
        <f t="array" ref="AE193">IF(SUMPRODUCT(--($AO$2:$AO$145=TRIM(LEFT($B193,IFERROR(FIND(" ",$B193)-1,LEN($B193))))))&gt;0,1,0)</f>
        <v/>
      </c>
      <c r="AF193">
        <f t="array" ref="AF193">IF(SUMPRODUCT(--($AQ$2:$AQ$71=TRIM(LEFT($B193,IFERROR(FIND(" ",$B193)-1,LEN($B193))))))&gt;0,1,0)</f>
        <v/>
      </c>
    </row>
    <row r="194" ht="105.75" customHeight="1" thickBot="1">
      <c r="A194" s="13" t="n">
        <v>34</v>
      </c>
      <c r="B194" s="4" t="inlineStr">
        <is>
          <t>NARI US</t>
        </is>
      </c>
      <c r="C194" s="4" t="inlineStr">
        <is>
          <t>SYK US</t>
        </is>
      </c>
      <c r="D194" s="7" t="n">
        <v>45663</v>
      </c>
      <c r="E194" s="3" t="n">
        <v>4604.72</v>
      </c>
      <c r="F194" s="4" t="inlineStr">
        <is>
          <t>Cash</t>
        </is>
      </c>
      <c r="G194" s="4" t="n"/>
      <c r="H194" s="4" t="inlineStr">
        <is>
          <t>Health Care</t>
        </is>
      </c>
      <c r="I194" s="4" t="inlineStr">
        <is>
          <t>Health Care</t>
        </is>
      </c>
      <c r="J194" s="4" t="inlineStr">
        <is>
          <t>Medical Equipment &amp; Devices</t>
        </is>
      </c>
      <c r="K194" s="4" t="n"/>
      <c r="L194" s="3" t="n">
        <v>163</v>
      </c>
      <c r="M194" s="3" t="n">
        <v>48.5</v>
      </c>
      <c r="N194" s="3" t="n">
        <v>4683.53</v>
      </c>
      <c r="O194" s="4" t="inlineStr">
        <is>
          <t>United States</t>
        </is>
      </c>
      <c r="P194" s="4" t="inlineStr">
        <is>
          <t>United States</t>
        </is>
      </c>
      <c r="Q194" s="4" t="inlineStr">
        <is>
          <t>Friendly</t>
        </is>
      </c>
      <c r="R194" s="3" t="n">
        <v>493.632</v>
      </c>
      <c r="S194" s="3" t="n">
        <v>-10.877</v>
      </c>
      <c r="T194" s="4" t="inlineStr">
        <is>
          <t>Company Takeover, Tender Offer, Squeeze out</t>
        </is>
      </c>
      <c r="U194" s="2" t="inlineStr">
        <is>
          <t>No</t>
        </is>
      </c>
      <c r="V194" s="2" t="inlineStr">
        <is>
          <t>No</t>
        </is>
      </c>
      <c r="W194" s="2" t="inlineStr">
        <is>
          <t>No</t>
        </is>
      </c>
      <c r="X194" s="2" t="inlineStr">
        <is>
          <t>No</t>
        </is>
      </c>
      <c r="Y194" s="2" t="inlineStr">
        <is>
          <t>No</t>
        </is>
      </c>
      <c r="Z194" s="2" t="inlineStr">
        <is>
          <t>Yes</t>
        </is>
      </c>
      <c r="AA194" s="6" t="n">
        <v>3.663203227</v>
      </c>
      <c r="AB194" s="6" t="n">
        <v>2.693403305</v>
      </c>
      <c r="AC194" s="6" t="n">
        <v>3.670573306</v>
      </c>
      <c r="AD194">
        <f t="array" ref="AD194">IF(SUMPRODUCT(--($AM$2:$AM$112=TRIM(LEFT($B194,IFERROR(FIND(" ",$B194)-1,LEN($B194))))))&gt;0,1,0)</f>
        <v/>
      </c>
      <c r="AE194">
        <f t="array" ref="AE194">IF(SUMPRODUCT(--($AO$2:$AO$145=TRIM(LEFT($B194,IFERROR(FIND(" ",$B194)-1,LEN($B194))))))&gt;0,1,0)</f>
        <v/>
      </c>
      <c r="AF194">
        <f t="array" ref="AF194">IF(SUMPRODUCT(--($AQ$2:$AQ$71=TRIM(LEFT($B194,IFERROR(FIND(" ",$B194)-1,LEN($B194))))))&gt;0,1,0)</f>
        <v/>
      </c>
    </row>
    <row r="195" ht="75.75" customHeight="1" thickBot="1">
      <c r="A195" s="13" t="n">
        <v>99</v>
      </c>
      <c r="B195" s="4" t="inlineStr">
        <is>
          <t>SIL CN</t>
        </is>
      </c>
      <c r="C195" s="4" t="inlineStr">
        <is>
          <t>CDE US</t>
        </is>
      </c>
      <c r="D195" s="7" t="n">
        <v>45569</v>
      </c>
      <c r="E195" s="3" t="n">
        <v>1502.96</v>
      </c>
      <c r="F195" s="4" t="inlineStr">
        <is>
          <t>Stock</t>
        </is>
      </c>
      <c r="G195" s="3" t="n">
        <v>9.83</v>
      </c>
      <c r="H195" s="4" t="inlineStr">
        <is>
          <t>Materials</t>
        </is>
      </c>
      <c r="I195" s="4" t="inlineStr">
        <is>
          <t>Materials</t>
        </is>
      </c>
      <c r="J195" s="4" t="inlineStr">
        <is>
          <t>Metals &amp; Mining</t>
        </is>
      </c>
      <c r="K195" s="3" t="n">
        <v>100</v>
      </c>
      <c r="L195" s="3" t="n">
        <v>60</v>
      </c>
      <c r="M195" s="3" t="n">
        <v>18.66</v>
      </c>
      <c r="N195" s="3" t="n">
        <v>1600.58</v>
      </c>
      <c r="O195" s="4" t="inlineStr">
        <is>
          <t>Canada</t>
        </is>
      </c>
      <c r="P195" s="4" t="inlineStr">
        <is>
          <t>United States</t>
        </is>
      </c>
      <c r="Q195" s="4" t="inlineStr">
        <is>
          <t>Friendly</t>
        </is>
      </c>
      <c r="R195" s="3" t="n">
        <v>245.13</v>
      </c>
      <c r="S195" s="3" t="n">
        <v>48.7352</v>
      </c>
      <c r="T195" s="4" t="inlineStr">
        <is>
          <t>Company Takeover, Cross Border</t>
        </is>
      </c>
      <c r="U195" s="2" t="inlineStr">
        <is>
          <t>No</t>
        </is>
      </c>
      <c r="V195" s="2" t="inlineStr">
        <is>
          <t>No</t>
        </is>
      </c>
      <c r="W195" s="2" t="inlineStr">
        <is>
          <t>Yes</t>
        </is>
      </c>
      <c r="X195" s="2" t="inlineStr">
        <is>
          <t>No</t>
        </is>
      </c>
      <c r="Y195" s="2" t="inlineStr">
        <is>
          <t>No</t>
        </is>
      </c>
      <c r="Z195" s="2" t="inlineStr">
        <is>
          <t>No</t>
        </is>
      </c>
      <c r="AA195" s="6" t="n">
        <v>3.176947422</v>
      </c>
      <c r="AB195" s="6" t="n">
        <v>2.389396465</v>
      </c>
      <c r="AC195" s="6" t="n">
        <v>3.204277386</v>
      </c>
      <c r="AD195">
        <f t="array" ref="AD195">IF(SUMPRODUCT(--($AM$2:$AM$112=TRIM(LEFT($B195,IFERROR(FIND(" ",$B195)-1,LEN($B195))))))&gt;0,1,0)</f>
        <v/>
      </c>
      <c r="AE195">
        <f t="array" ref="AE195">IF(SUMPRODUCT(--($AO$2:$AO$145=TRIM(LEFT($B195,IFERROR(FIND(" ",$B195)-1,LEN($B195))))))&gt;0,1,0)</f>
        <v/>
      </c>
      <c r="AF195">
        <f t="array" ref="AF195">IF(SUMPRODUCT(--($AQ$2:$AQ$71=TRIM(LEFT($B195,IFERROR(FIND(" ",$B195)-1,LEN($B195))))))&gt;0,1,0)</f>
        <v/>
      </c>
    </row>
    <row r="196" ht="135.75" customHeight="1" thickBot="1">
      <c r="A196" s="13" t="n">
        <v>87</v>
      </c>
      <c r="B196" s="4" t="inlineStr">
        <is>
          <t>ZUO US</t>
        </is>
      </c>
      <c r="C196" s="2" t="n"/>
      <c r="D196" s="7" t="n">
        <v>45582</v>
      </c>
      <c r="E196" s="3" t="n">
        <v>1390.33</v>
      </c>
      <c r="F196" s="4" t="inlineStr">
        <is>
          <t>Cash</t>
        </is>
      </c>
      <c r="G196" s="4" t="n"/>
      <c r="H196" s="4" t="inlineStr">
        <is>
          <t>Technology</t>
        </is>
      </c>
      <c r="I196" s="4" t="inlineStr">
        <is>
          <t>Software &amp; Tech Services</t>
        </is>
      </c>
      <c r="J196" s="4" t="inlineStr">
        <is>
          <t>Software</t>
        </is>
      </c>
      <c r="K196" s="3" t="n">
        <v>25.3</v>
      </c>
      <c r="L196" s="3" t="n">
        <v>50.5</v>
      </c>
      <c r="M196" s="3" t="n">
        <v>14.54</v>
      </c>
      <c r="N196" s="3" t="n">
        <v>1527.28</v>
      </c>
      <c r="O196" s="4" t="inlineStr">
        <is>
          <t>United States</t>
        </is>
      </c>
      <c r="P196" s="4" t="inlineStr">
        <is>
          <t>Singapore</t>
        </is>
      </c>
      <c r="Q196" s="4" t="inlineStr">
        <is>
          <t>Friendly</t>
        </is>
      </c>
      <c r="R196" s="3" t="n">
        <v>431.661</v>
      </c>
      <c r="S196" s="3" t="n">
        <v>-9.39719</v>
      </c>
      <c r="T196" s="4" t="inlineStr">
        <is>
          <t>Company Takeover, Going Private, Private Equity, PE Buyout</t>
        </is>
      </c>
      <c r="U196" s="2" t="inlineStr">
        <is>
          <t>No</t>
        </is>
      </c>
      <c r="V196" s="2" t="inlineStr">
        <is>
          <t>No</t>
        </is>
      </c>
      <c r="W196" s="2" t="inlineStr">
        <is>
          <t>No</t>
        </is>
      </c>
      <c r="X196" s="2" t="inlineStr">
        <is>
          <t>Yes</t>
        </is>
      </c>
      <c r="Y196" s="2" t="inlineStr">
        <is>
          <t>Yes</t>
        </is>
      </c>
      <c r="Z196" s="2" t="inlineStr">
        <is>
          <t>No</t>
        </is>
      </c>
      <c r="AA196" s="6" t="n">
        <v>3.143117894</v>
      </c>
      <c r="AB196" s="6" t="n">
        <v>2.635142812</v>
      </c>
      <c r="AC196" s="6" t="n">
        <v>3.183918665</v>
      </c>
      <c r="AD196">
        <f t="array" ref="AD196">IF(SUMPRODUCT(--($AM$2:$AM$112=TRIM(LEFT($B196,IFERROR(FIND(" ",$B196)-1,LEN($B196))))))&gt;0,1,0)</f>
        <v/>
      </c>
      <c r="AE196">
        <f t="array" ref="AE196">IF(SUMPRODUCT(--($AO$2:$AO$145=TRIM(LEFT($B196,IFERROR(FIND(" ",$B196)-1,LEN($B196))))))&gt;0,1,0)</f>
        <v/>
      </c>
      <c r="AF196">
        <f t="array" ref="AF196">IF(SUMPRODUCT(--($AQ$2:$AQ$71=TRIM(LEFT($B196,IFERROR(FIND(" ",$B196)-1,LEN($B196))))))&gt;0,1,0)</f>
        <v/>
      </c>
    </row>
    <row r="197" ht="165.75" customHeight="1" thickBot="1">
      <c r="A197" s="13" t="n">
        <v>157</v>
      </c>
      <c r="B197" s="4" t="inlineStr">
        <is>
          <t>HRX CN</t>
        </is>
      </c>
      <c r="C197" s="4" t="inlineStr">
        <is>
          <t>21380Z US</t>
        </is>
      </c>
      <c r="D197" s="7" t="n">
        <v>45484</v>
      </c>
      <c r="E197" s="3" t="n">
        <v>955.15</v>
      </c>
      <c r="F197" s="4" t="inlineStr">
        <is>
          <t>Cash</t>
        </is>
      </c>
      <c r="G197" s="3" t="n">
        <v>2.17</v>
      </c>
      <c r="H197" s="4" t="inlineStr">
        <is>
          <t>Industrials</t>
        </is>
      </c>
      <c r="I197" s="4" t="inlineStr">
        <is>
          <t>Industrial Products</t>
        </is>
      </c>
      <c r="J197" s="4" t="inlineStr">
        <is>
          <t>Aerospace &amp; Defense</t>
        </is>
      </c>
      <c r="K197" s="4" t="n"/>
      <c r="L197" s="4" t="n"/>
      <c r="M197" s="3" t="n">
        <v>31.11</v>
      </c>
      <c r="N197" s="3" t="n">
        <v>802.37</v>
      </c>
      <c r="O197" s="4" t="inlineStr">
        <is>
          <t>Canada</t>
        </is>
      </c>
      <c r="P197" s="4" t="inlineStr">
        <is>
          <t>United States</t>
        </is>
      </c>
      <c r="Q197" s="4" t="inlineStr">
        <is>
          <t>Friendly</t>
        </is>
      </c>
      <c r="R197" s="3" t="n">
        <v>467.071</v>
      </c>
      <c r="S197" s="3" t="n">
        <v>11.2323</v>
      </c>
      <c r="T197" s="4" t="inlineStr">
        <is>
          <t>Cross Border, PE Buyout, Private Equity, Company Takeover, Going Private</t>
        </is>
      </c>
      <c r="U197" s="2" t="inlineStr">
        <is>
          <t>No</t>
        </is>
      </c>
      <c r="V197" s="2" t="inlineStr">
        <is>
          <t>No</t>
        </is>
      </c>
      <c r="W197" s="2" t="inlineStr">
        <is>
          <t>Yes</t>
        </is>
      </c>
      <c r="X197" s="2" t="inlineStr">
        <is>
          <t>Yes</t>
        </is>
      </c>
      <c r="Y197" s="2" t="inlineStr">
        <is>
          <t>Yes</t>
        </is>
      </c>
      <c r="Z197" s="2" t="inlineStr">
        <is>
          <t>No</t>
        </is>
      </c>
      <c r="AA197" s="6" t="n">
        <v>2.98007158</v>
      </c>
      <c r="AB197" s="6" t="n">
        <v>2.669382903</v>
      </c>
      <c r="AC197" s="6" t="n">
        <v>2.904374682</v>
      </c>
      <c r="AD197">
        <f t="array" ref="AD197">IF(SUMPRODUCT(--($AM$2:$AM$112=TRIM(LEFT($B197,IFERROR(FIND(" ",$B197)-1,LEN($B197))))))&gt;0,1,0)</f>
        <v/>
      </c>
      <c r="AE197">
        <f t="array" ref="AE197">IF(SUMPRODUCT(--($AO$2:$AO$145=TRIM(LEFT($B197,IFERROR(FIND(" ",$B197)-1,LEN($B197))))))&gt;0,1,0)</f>
        <v/>
      </c>
      <c r="AF197">
        <f t="array" ref="AF197">IF(SUMPRODUCT(--($AQ$2:$AQ$71=TRIM(LEFT($B197,IFERROR(FIND(" ",$B197)-1,LEN($B197))))))&gt;0,1,0)</f>
        <v/>
      </c>
    </row>
    <row r="198" ht="135.75" customHeight="1" thickBot="1">
      <c r="A198" s="13" t="n">
        <v>72</v>
      </c>
      <c r="B198" s="4" t="inlineStr">
        <is>
          <t>ROIC US</t>
        </is>
      </c>
      <c r="C198" s="4" t="inlineStr">
        <is>
          <t>BX US</t>
        </is>
      </c>
      <c r="D198" s="7" t="n">
        <v>45602</v>
      </c>
      <c r="E198" s="3" t="n">
        <v>2251.36</v>
      </c>
      <c r="F198" s="4" t="inlineStr">
        <is>
          <t>Cash</t>
        </is>
      </c>
      <c r="G198" s="3" t="n">
        <v>10.44</v>
      </c>
      <c r="H198" s="4" t="inlineStr">
        <is>
          <t>Real Estate</t>
        </is>
      </c>
      <c r="I198" s="4" t="inlineStr">
        <is>
          <t>Real Estate</t>
        </is>
      </c>
      <c r="J198" s="4" t="inlineStr">
        <is>
          <t>REIT</t>
        </is>
      </c>
      <c r="K198" s="3" t="n">
        <v>239</v>
      </c>
      <c r="L198" s="3" t="n">
        <v>78</v>
      </c>
      <c r="M198" s="3" t="n">
        <v>10.58</v>
      </c>
      <c r="N198" s="3" t="n">
        <v>2251.36</v>
      </c>
      <c r="O198" s="4" t="inlineStr">
        <is>
          <t>United States</t>
        </is>
      </c>
      <c r="P198" s="4" t="inlineStr">
        <is>
          <t>United States</t>
        </is>
      </c>
      <c r="Q198" s="4" t="inlineStr">
        <is>
          <t>Friendly</t>
        </is>
      </c>
      <c r="R198" s="3" t="n">
        <v>327.732</v>
      </c>
      <c r="S198" s="3" t="n">
        <v>34.0689</v>
      </c>
      <c r="T198" s="4" t="inlineStr">
        <is>
          <t>Private Equity, PE Buyout, Company Takeover, Going Private</t>
        </is>
      </c>
      <c r="U198" s="2" t="inlineStr">
        <is>
          <t>No</t>
        </is>
      </c>
      <c r="V198" s="2" t="inlineStr">
        <is>
          <t>No</t>
        </is>
      </c>
      <c r="W198" s="2" t="inlineStr">
        <is>
          <t>No</t>
        </is>
      </c>
      <c r="X198" s="2" t="inlineStr">
        <is>
          <t>Yes</t>
        </is>
      </c>
      <c r="Y198" s="2" t="inlineStr">
        <is>
          <t>Yes</t>
        </is>
      </c>
      <c r="Z198" s="2" t="inlineStr">
        <is>
          <t>No</t>
        </is>
      </c>
      <c r="AA198" s="6" t="n">
        <v>3.352444946</v>
      </c>
      <c r="AB198" s="6" t="n">
        <v>2.515518848</v>
      </c>
      <c r="AC198" s="6" t="n">
        <v>3.352444946</v>
      </c>
      <c r="AD198">
        <f t="array" ref="AD198">IF(SUMPRODUCT(--($AM$2:$AM$112=TRIM(LEFT($B198,IFERROR(FIND(" ",$B198)-1,LEN($B198))))))&gt;0,1,0)</f>
        <v/>
      </c>
      <c r="AE198">
        <f t="array" ref="AE198">IF(SUMPRODUCT(--($AO$2:$AO$145=TRIM(LEFT($B198,IFERROR(FIND(" ",$B198)-1,LEN($B198))))))&gt;0,1,0)</f>
        <v/>
      </c>
      <c r="AF198">
        <f t="array" ref="AF198">IF(SUMPRODUCT(--($AQ$2:$AQ$71=TRIM(LEFT($B198,IFERROR(FIND(" ",$B198)-1,LEN($B198))))))&gt;0,1,0)</f>
        <v/>
      </c>
    </row>
    <row r="199" ht="75.75" customHeight="1" thickBot="1">
      <c r="A199" s="13" t="n">
        <v>57</v>
      </c>
      <c r="B199" s="4" t="inlineStr">
        <is>
          <t>SUM US</t>
        </is>
      </c>
      <c r="C199" s="4" t="inlineStr">
        <is>
          <t>0873823D US</t>
        </is>
      </c>
      <c r="D199" s="7" t="n">
        <v>45621</v>
      </c>
      <c r="E199" s="3" t="n">
        <v>11366.02</v>
      </c>
      <c r="F199" s="4" t="inlineStr">
        <is>
          <t>Cash</t>
        </is>
      </c>
      <c r="G199" s="3" t="n">
        <v>4.27</v>
      </c>
      <c r="H199" s="4" t="inlineStr">
        <is>
          <t>Materials</t>
        </is>
      </c>
      <c r="I199" s="4" t="inlineStr">
        <is>
          <t>Materials</t>
        </is>
      </c>
      <c r="J199" s="4" t="inlineStr">
        <is>
          <t>Construction Materials</t>
        </is>
      </c>
      <c r="K199" s="4" t="n"/>
      <c r="L199" s="3" t="n">
        <v>279</v>
      </c>
      <c r="M199" s="3" t="n">
        <v>8.08</v>
      </c>
      <c r="N199" s="3" t="n">
        <v>9219.280000000001</v>
      </c>
      <c r="O199" s="4" t="inlineStr">
        <is>
          <t>United States</t>
        </is>
      </c>
      <c r="P199" s="4" t="inlineStr">
        <is>
          <t>United States</t>
        </is>
      </c>
      <c r="Q199" s="4" t="inlineStr">
        <is>
          <t>Friendly</t>
        </is>
      </c>
      <c r="R199" s="3" t="n">
        <v>2619.47</v>
      </c>
      <c r="S199" s="3" t="n">
        <v>10.4189</v>
      </c>
      <c r="T199" s="4" t="inlineStr">
        <is>
          <t>Going Private, Company Takeover</t>
        </is>
      </c>
      <c r="U199" s="2" t="inlineStr">
        <is>
          <t>No</t>
        </is>
      </c>
      <c r="V199" s="2" t="inlineStr">
        <is>
          <t>No</t>
        </is>
      </c>
      <c r="W199" s="2" t="inlineStr">
        <is>
          <t>No</t>
        </is>
      </c>
      <c r="X199" s="2" t="inlineStr">
        <is>
          <t>Yes</t>
        </is>
      </c>
      <c r="Y199" s="2" t="inlineStr">
        <is>
          <t>No</t>
        </is>
      </c>
      <c r="Z199" s="2" t="inlineStr">
        <is>
          <t>No</t>
        </is>
      </c>
      <c r="AA199" s="6" t="n">
        <v>4.055608416</v>
      </c>
      <c r="AB199" s="6" t="n">
        <v>3.418213429</v>
      </c>
      <c r="AC199" s="6" t="n">
        <v>3.964697005</v>
      </c>
      <c r="AD199">
        <f t="array" ref="AD199">IF(SUMPRODUCT(--($AM$2:$AM$112=TRIM(LEFT($B199,IFERROR(FIND(" ",$B199)-1,LEN($B199))))))&gt;0,1,0)</f>
        <v/>
      </c>
      <c r="AE199">
        <f t="array" ref="AE199">IF(SUMPRODUCT(--($AO$2:$AO$145=TRIM(LEFT($B199,IFERROR(FIND(" ",$B199)-1,LEN($B199))))))&gt;0,1,0)</f>
        <v/>
      </c>
      <c r="AF199">
        <f t="array" ref="AF199">IF(SUMPRODUCT(--($AQ$2:$AQ$71=TRIM(LEFT($B199,IFERROR(FIND(" ",$B199)-1,LEN($B199))))))&gt;0,1,0)</f>
        <v/>
      </c>
    </row>
    <row r="200" ht="180.75" customHeight="1" thickBot="1">
      <c r="A200" s="13" t="n">
        <v>142</v>
      </c>
      <c r="B200" s="4" t="inlineStr">
        <is>
          <t>BALY US</t>
        </is>
      </c>
      <c r="C200" s="4" t="inlineStr">
        <is>
          <t>3875406Z US</t>
        </is>
      </c>
      <c r="D200" s="7" t="n">
        <v>45498</v>
      </c>
      <c r="E200" s="3" t="n">
        <v>5471.35</v>
      </c>
      <c r="F200" s="4" t="inlineStr">
        <is>
          <t>Cash</t>
        </is>
      </c>
      <c r="G200" s="3" t="n">
        <v>64.45</v>
      </c>
      <c r="H200" s="4" t="inlineStr">
        <is>
          <t>Consumer Discretionary</t>
        </is>
      </c>
      <c r="I200" s="4" t="inlineStr">
        <is>
          <t>Consumer Discretionary Services</t>
        </is>
      </c>
      <c r="J200" s="4" t="inlineStr">
        <is>
          <t>Leisure Facilities &amp; Services</t>
        </is>
      </c>
      <c r="K200" s="3" t="n">
        <v>22.2</v>
      </c>
      <c r="L200" s="3" t="n">
        <v>11.1</v>
      </c>
      <c r="M200" s="3" t="n">
        <v>43.1</v>
      </c>
      <c r="N200" s="3" t="n">
        <v>567.4400000000001</v>
      </c>
      <c r="O200" s="4" t="inlineStr">
        <is>
          <t>United States</t>
        </is>
      </c>
      <c r="P200" s="4" t="inlineStr">
        <is>
          <t>United States</t>
        </is>
      </c>
      <c r="Q200" s="4" t="inlineStr">
        <is>
          <t>Friendly</t>
        </is>
      </c>
      <c r="R200" s="3" t="n">
        <v>2656.69</v>
      </c>
      <c r="S200" s="3" t="n">
        <v>-6.52734</v>
      </c>
      <c r="T200" s="4" t="inlineStr">
        <is>
          <t>Additional Stake Purchase, Private Equity, PE Buyout, Company Takeover, Going Private</t>
        </is>
      </c>
      <c r="U200" s="2" t="inlineStr">
        <is>
          <t>Yes</t>
        </is>
      </c>
      <c r="V200" s="2" t="inlineStr">
        <is>
          <t>No</t>
        </is>
      </c>
      <c r="W200" s="2" t="inlineStr">
        <is>
          <t>No</t>
        </is>
      </c>
      <c r="X200" s="2" t="inlineStr">
        <is>
          <t>Yes</t>
        </is>
      </c>
      <c r="Y200" s="2" t="inlineStr">
        <is>
          <t>Yes</t>
        </is>
      </c>
      <c r="Z200" s="2" t="inlineStr">
        <is>
          <t>No</t>
        </is>
      </c>
      <c r="AA200" s="6" t="n">
        <v>3.738094497</v>
      </c>
      <c r="AB200" s="6" t="n">
        <v>3.424340881</v>
      </c>
      <c r="AC200" s="6" t="n">
        <v>2.753919947</v>
      </c>
      <c r="AD200">
        <f t="array" ref="AD200">IF(SUMPRODUCT(--($AM$2:$AM$112=TRIM(LEFT($B200,IFERROR(FIND(" ",$B200)-1,LEN($B200))))))&gt;0,1,0)</f>
        <v/>
      </c>
      <c r="AE200">
        <f t="array" ref="AE200">IF(SUMPRODUCT(--($AO$2:$AO$145=TRIM(LEFT($B200,IFERROR(FIND(" ",$B200)-1,LEN($B200))))))&gt;0,1,0)</f>
        <v/>
      </c>
      <c r="AF200">
        <f t="array" ref="AF200">IF(SUMPRODUCT(--($AQ$2:$AQ$71=TRIM(LEFT($B200,IFERROR(FIND(" ",$B200)-1,LEN($B200))))))&gt;0,1,0)</f>
        <v/>
      </c>
    </row>
    <row r="201" ht="105.75" customHeight="1" thickBot="1">
      <c r="A201" s="13" t="n">
        <v>130</v>
      </c>
      <c r="B201" s="4" t="inlineStr">
        <is>
          <t>RVNC US</t>
        </is>
      </c>
      <c r="C201" s="4" t="inlineStr">
        <is>
          <t>CLWB US</t>
        </is>
      </c>
      <c r="D201" s="7" t="n">
        <v>45516</v>
      </c>
      <c r="E201" s="3" t="n">
        <v>642</v>
      </c>
      <c r="F201" s="4" t="inlineStr">
        <is>
          <t>Cash</t>
        </is>
      </c>
      <c r="G201" s="4" t="n"/>
      <c r="H201" s="4" t="inlineStr">
        <is>
          <t>Health Care</t>
        </is>
      </c>
      <c r="I201" s="4" t="inlineStr">
        <is>
          <t>Health Care</t>
        </is>
      </c>
      <c r="J201" s="4" t="inlineStr">
        <is>
          <t>Biotech &amp; Pharma</t>
        </is>
      </c>
      <c r="K201" s="3" t="n">
        <v>22.9357</v>
      </c>
      <c r="L201" s="3" t="n">
        <v>15.2905</v>
      </c>
      <c r="M201" s="3" t="n">
        <v>13.88</v>
      </c>
      <c r="N201" s="3" t="n">
        <v>382.61</v>
      </c>
      <c r="O201" s="4" t="inlineStr">
        <is>
          <t>United States</t>
        </is>
      </c>
      <c r="P201" s="4" t="inlineStr">
        <is>
          <t>United States</t>
        </is>
      </c>
      <c r="Q201" s="4" t="inlineStr">
        <is>
          <t>Friendly</t>
        </is>
      </c>
      <c r="R201" s="3" t="n">
        <v>234.04</v>
      </c>
      <c r="S201" s="3" t="n">
        <v>-67.834</v>
      </c>
      <c r="T201" s="4" t="inlineStr">
        <is>
          <t>Tender Offer, Company Takeover, Going Private</t>
        </is>
      </c>
      <c r="U201" s="2" t="inlineStr">
        <is>
          <t>No</t>
        </is>
      </c>
      <c r="V201" s="2" t="inlineStr">
        <is>
          <t>No</t>
        </is>
      </c>
      <c r="W201" s="2" t="inlineStr">
        <is>
          <t>No</t>
        </is>
      </c>
      <c r="X201" s="2" t="inlineStr">
        <is>
          <t>Yes</t>
        </is>
      </c>
      <c r="Y201" s="2" t="inlineStr">
        <is>
          <t>No</t>
        </is>
      </c>
      <c r="Z201" s="2" t="inlineStr">
        <is>
          <t>Yes</t>
        </is>
      </c>
      <c r="AA201" s="6" t="n">
        <v>2.807535028</v>
      </c>
      <c r="AB201" s="6" t="n">
        <v>2.369290089</v>
      </c>
      <c r="AC201" s="6" t="n">
        <v>2.582756317</v>
      </c>
      <c r="AD201">
        <f t="array" ref="AD201">IF(SUMPRODUCT(--($AM$2:$AM$112=TRIM(LEFT($B201,IFERROR(FIND(" ",$B201)-1,LEN($B201))))))&gt;0,1,0)</f>
        <v/>
      </c>
      <c r="AE201">
        <f t="array" ref="AE201">IF(SUMPRODUCT(--($AO$2:$AO$145=TRIM(LEFT($B201,IFERROR(FIND(" ",$B201)-1,LEN($B201))))))&gt;0,1,0)</f>
        <v/>
      </c>
      <c r="AF201">
        <f t="array" ref="AF201">IF(SUMPRODUCT(--($AQ$2:$AQ$71=TRIM(LEFT($B201,IFERROR(FIND(" ",$B201)-1,LEN($B201))))))&gt;0,1,0)</f>
        <v/>
      </c>
    </row>
    <row r="202" ht="165.75" customHeight="1" thickBot="1">
      <c r="A202" s="13" t="n">
        <v>67</v>
      </c>
      <c r="B202" s="4" t="inlineStr">
        <is>
          <t>CDMO US</t>
        </is>
      </c>
      <c r="C202" s="2" t="n"/>
      <c r="D202" s="7" t="n">
        <v>45602</v>
      </c>
      <c r="E202" s="3" t="n">
        <v>982.9299999999999</v>
      </c>
      <c r="F202" s="4" t="inlineStr">
        <is>
          <t>Cash</t>
        </is>
      </c>
      <c r="G202" s="4" t="n"/>
      <c r="H202" s="4" t="inlineStr">
        <is>
          <t>Health Care</t>
        </is>
      </c>
      <c r="I202" s="4" t="inlineStr">
        <is>
          <t>Health Care</t>
        </is>
      </c>
      <c r="J202" s="4" t="inlineStr">
        <is>
          <t>Biotech &amp; Pharma</t>
        </is>
      </c>
      <c r="K202" s="3" t="n">
        <v>64</v>
      </c>
      <c r="L202" s="3" t="n">
        <v>32</v>
      </c>
      <c r="M202" s="3" t="n">
        <v>22.35</v>
      </c>
      <c r="N202" s="3" t="n">
        <v>808.88</v>
      </c>
      <c r="O202" s="4" t="inlineStr">
        <is>
          <t>United States</t>
        </is>
      </c>
      <c r="P202" s="4" t="inlineStr">
        <is>
          <t>United States</t>
        </is>
      </c>
      <c r="Q202" s="4" t="inlineStr">
        <is>
          <t>Friendly</t>
        </is>
      </c>
      <c r="R202" s="3" t="n">
        <v>139.911</v>
      </c>
      <c r="S202" s="3" t="n">
        <v>-13.5465</v>
      </c>
      <c r="T202" s="4" t="inlineStr">
        <is>
          <t>Going Private, Cross Border, PE Buyout, Private Equity, Company Takeover</t>
        </is>
      </c>
      <c r="U202" s="2" t="inlineStr">
        <is>
          <t>No</t>
        </is>
      </c>
      <c r="V202" s="2" t="inlineStr">
        <is>
          <t>No</t>
        </is>
      </c>
      <c r="W202" s="2" t="inlineStr">
        <is>
          <t>Yes</t>
        </is>
      </c>
      <c r="X202" s="2" t="inlineStr">
        <is>
          <t>Yes</t>
        </is>
      </c>
      <c r="Y202" s="2" t="inlineStr">
        <is>
          <t>Yes</t>
        </is>
      </c>
      <c r="Z202" s="2" t="inlineStr">
        <is>
          <t>No</t>
        </is>
      </c>
      <c r="AA202" s="6" t="n">
        <v>2.99252259</v>
      </c>
      <c r="AB202" s="6" t="n">
        <v>2.145851861</v>
      </c>
      <c r="AC202" s="6" t="n">
        <v>2.907884097</v>
      </c>
      <c r="AD202">
        <f t="array" ref="AD202">IF(SUMPRODUCT(--($AM$2:$AM$112=TRIM(LEFT($B202,IFERROR(FIND(" ",$B202)-1,LEN($B202))))))&gt;0,1,0)</f>
        <v/>
      </c>
      <c r="AE202">
        <f t="array" ref="AE202">IF(SUMPRODUCT(--($AO$2:$AO$145=TRIM(LEFT($B202,IFERROR(FIND(" ",$B202)-1,LEN($B202))))))&gt;0,1,0)</f>
        <v/>
      </c>
      <c r="AF202">
        <f t="array" ref="AF202">IF(SUMPRODUCT(--($AQ$2:$AQ$71=TRIM(LEFT($B202,IFERROR(FIND(" ",$B202)-1,LEN($B202))))))&gt;0,1,0)</f>
        <v/>
      </c>
    </row>
    <row r="203" ht="45.75" customHeight="1" thickBot="1">
      <c r="A203" s="13" t="n">
        <v>172</v>
      </c>
      <c r="B203" s="4" t="inlineStr">
        <is>
          <t>CWB CN</t>
        </is>
      </c>
      <c r="C203" s="4" t="inlineStr">
        <is>
          <t>NA CN</t>
        </is>
      </c>
      <c r="D203" s="7" t="n">
        <v>45454</v>
      </c>
      <c r="E203" s="3" t="n">
        <v>3658.99</v>
      </c>
      <c r="F203" s="4" t="inlineStr">
        <is>
          <t>Stock</t>
        </is>
      </c>
      <c r="G203" s="4" t="n"/>
      <c r="H203" s="4" t="inlineStr">
        <is>
          <t>Financials</t>
        </is>
      </c>
      <c r="I203" s="4" t="inlineStr">
        <is>
          <t>Banking</t>
        </is>
      </c>
      <c r="J203" s="4" t="inlineStr">
        <is>
          <t>Banking</t>
        </is>
      </c>
      <c r="K203" s="4" t="n"/>
      <c r="L203" s="4" t="n"/>
      <c r="M203" s="3" t="n">
        <v>97.13</v>
      </c>
      <c r="N203" s="3" t="n">
        <v>3658.99</v>
      </c>
      <c r="O203" s="4" t="inlineStr">
        <is>
          <t>Canada</t>
        </is>
      </c>
      <c r="P203" s="4" t="inlineStr">
        <is>
          <t>Canada</t>
        </is>
      </c>
      <c r="Q203" s="4" t="inlineStr">
        <is>
          <t>Friendly</t>
        </is>
      </c>
      <c r="R203" s="3" t="n">
        <v>2051.7</v>
      </c>
      <c r="S203" s="3" t="n">
        <v>33.8481</v>
      </c>
      <c r="T203" s="4" t="inlineStr">
        <is>
          <t>Company Takeover</t>
        </is>
      </c>
      <c r="U203" s="2" t="inlineStr">
        <is>
          <t>No</t>
        </is>
      </c>
      <c r="V203" s="2" t="inlineStr">
        <is>
          <t>No</t>
        </is>
      </c>
      <c r="W203" s="2" t="inlineStr">
        <is>
          <t>No</t>
        </is>
      </c>
      <c r="X203" s="2" t="inlineStr">
        <is>
          <t>No</t>
        </is>
      </c>
      <c r="Y203" s="2" t="inlineStr">
        <is>
          <t>No</t>
        </is>
      </c>
      <c r="Z203" s="2" t="inlineStr">
        <is>
          <t>No</t>
        </is>
      </c>
      <c r="AA203" s="6" t="n">
        <v>3.563361223</v>
      </c>
      <c r="AB203" s="6" t="n">
        <v>3.312113858</v>
      </c>
      <c r="AC203" s="6" t="n">
        <v>3.563361223</v>
      </c>
      <c r="AD203">
        <f t="array" ref="AD203">IF(SUMPRODUCT(--($AM$2:$AM$112=TRIM(LEFT($B203,IFERROR(FIND(" ",$B203)-1,LEN($B203))))))&gt;0,1,0)</f>
        <v/>
      </c>
      <c r="AE203">
        <f t="array" ref="AE203">IF(SUMPRODUCT(--($AO$2:$AO$145=TRIM(LEFT($B203,IFERROR(FIND(" ",$B203)-1,LEN($B203))))))&gt;0,1,0)</f>
        <v/>
      </c>
      <c r="AF203">
        <f t="array" ref="AF203">IF(SUMPRODUCT(--($AQ$2:$AQ$71=TRIM(LEFT($B203,IFERROR(FIND(" ",$B203)-1,LEN($B203))))))&gt;0,1,0)</f>
        <v/>
      </c>
    </row>
    <row r="204" ht="75.75" customHeight="1" thickBot="1">
      <c r="A204" s="13" t="n">
        <v>77</v>
      </c>
      <c r="B204" s="4" t="inlineStr">
        <is>
          <t>SCWX US</t>
        </is>
      </c>
      <c r="C204" s="4" t="inlineStr">
        <is>
          <t>1784721D LN</t>
        </is>
      </c>
      <c r="D204" s="7" t="n">
        <v>45586</v>
      </c>
      <c r="E204" s="3" t="n">
        <v>717.8099999999999</v>
      </c>
      <c r="F204" s="4" t="inlineStr">
        <is>
          <t>Cash</t>
        </is>
      </c>
      <c r="G204" s="4" t="n"/>
      <c r="H204" s="4" t="inlineStr">
        <is>
          <t>Technology</t>
        </is>
      </c>
      <c r="I204" s="4" t="inlineStr">
        <is>
          <t>Software &amp; Tech Services</t>
        </is>
      </c>
      <c r="J204" s="4" t="inlineStr">
        <is>
          <t>Software</t>
        </is>
      </c>
      <c r="K204" s="3" t="n">
        <v>26</v>
      </c>
      <c r="L204" s="3" t="n">
        <v>26</v>
      </c>
      <c r="M204" s="3" t="n">
        <v>5.92</v>
      </c>
      <c r="N204" s="3" t="n">
        <v>755.04</v>
      </c>
      <c r="O204" s="4" t="inlineStr">
        <is>
          <t>United States</t>
        </is>
      </c>
      <c r="P204" s="4" t="inlineStr">
        <is>
          <t>United States</t>
        </is>
      </c>
      <c r="Q204" s="4" t="inlineStr">
        <is>
          <t>Friendly</t>
        </is>
      </c>
      <c r="R204" s="3" t="n">
        <v>365.879</v>
      </c>
      <c r="S204" s="3" t="n">
        <v>-18.0015</v>
      </c>
      <c r="T204" s="4" t="inlineStr">
        <is>
          <t>Going Private, Company Takeover</t>
        </is>
      </c>
      <c r="U204" s="2" t="inlineStr">
        <is>
          <t>No</t>
        </is>
      </c>
      <c r="V204" s="2" t="inlineStr">
        <is>
          <t>No</t>
        </is>
      </c>
      <c r="W204" s="2" t="inlineStr">
        <is>
          <t>No</t>
        </is>
      </c>
      <c r="X204" s="2" t="inlineStr">
        <is>
          <t>Yes</t>
        </is>
      </c>
      <c r="Y204" s="2" t="inlineStr">
        <is>
          <t>No</t>
        </is>
      </c>
      <c r="Z204" s="2" t="inlineStr">
        <is>
          <t>No</t>
        </is>
      </c>
      <c r="AA204" s="6" t="n">
        <v>2.856009504</v>
      </c>
      <c r="AB204" s="6" t="n">
        <v>2.563337483</v>
      </c>
      <c r="AC204" s="6" t="n">
        <v>2.87796996</v>
      </c>
      <c r="AD204">
        <f t="array" ref="AD204">IF(SUMPRODUCT(--($AM$2:$AM$112=TRIM(LEFT($B204,IFERROR(FIND(" ",$B204)-1,LEN($B204))))))&gt;0,1,0)</f>
        <v/>
      </c>
      <c r="AE204">
        <f t="array" ref="AE204">IF(SUMPRODUCT(--($AO$2:$AO$145=TRIM(LEFT($B204,IFERROR(FIND(" ",$B204)-1,LEN($B204))))))&gt;0,1,0)</f>
        <v/>
      </c>
      <c r="AF204">
        <f t="array" ref="AF204">IF(SUMPRODUCT(--($AQ$2:$AQ$71=TRIM(LEFT($B204,IFERROR(FIND(" ",$B204)-1,LEN($B204))))))&gt;0,1,0)</f>
        <v/>
      </c>
    </row>
    <row r="205" ht="45.75" customHeight="1" thickBot="1">
      <c r="A205" s="13" t="n">
        <v>201</v>
      </c>
      <c r="B205" s="4" t="inlineStr">
        <is>
          <t>HTLF US</t>
        </is>
      </c>
      <c r="C205" s="4" t="inlineStr">
        <is>
          <t>UMBF US</t>
        </is>
      </c>
      <c r="D205" s="7" t="n">
        <v>45411</v>
      </c>
      <c r="E205" s="3" t="n">
        <v>1937.56</v>
      </c>
      <c r="F205" s="4" t="inlineStr">
        <is>
          <t>Stock</t>
        </is>
      </c>
      <c r="G205" s="4" t="n"/>
      <c r="H205" s="4" t="inlineStr">
        <is>
          <t>Financials</t>
        </is>
      </c>
      <c r="I205" s="4" t="inlineStr">
        <is>
          <t>Banking</t>
        </is>
      </c>
      <c r="J205" s="4" t="inlineStr">
        <is>
          <t>Banking</t>
        </is>
      </c>
      <c r="K205" s="4" t="n"/>
      <c r="L205" s="4" t="n"/>
      <c r="M205" s="3" t="n">
        <v>31.87</v>
      </c>
      <c r="N205" s="3" t="n">
        <v>1937.56</v>
      </c>
      <c r="O205" s="4" t="inlineStr">
        <is>
          <t>United States</t>
        </is>
      </c>
      <c r="P205" s="4" t="inlineStr">
        <is>
          <t>United States</t>
        </is>
      </c>
      <c r="Q205" s="4" t="inlineStr">
        <is>
          <t>Friendly</t>
        </is>
      </c>
      <c r="R205" s="3" t="n">
        <v>1084.66</v>
      </c>
      <c r="S205" s="3" t="n">
        <v>31.1499</v>
      </c>
      <c r="T205" s="4" t="inlineStr">
        <is>
          <t>Company Takeover</t>
        </is>
      </c>
      <c r="U205" s="2" t="inlineStr">
        <is>
          <t>No</t>
        </is>
      </c>
      <c r="V205" s="2" t="inlineStr">
        <is>
          <t>No</t>
        </is>
      </c>
      <c r="W205" s="2" t="inlineStr">
        <is>
          <t>No</t>
        </is>
      </c>
      <c r="X205" s="2" t="inlineStr">
        <is>
          <t>No</t>
        </is>
      </c>
      <c r="Y205" s="2" t="inlineStr">
        <is>
          <t>No</t>
        </is>
      </c>
      <c r="Z205" s="2" t="inlineStr">
        <is>
          <t>No</t>
        </is>
      </c>
      <c r="AA205" s="6" t="n">
        <v>3.28725516</v>
      </c>
      <c r="AB205" s="6" t="n">
        <v>3.035293625</v>
      </c>
      <c r="AC205" s="6" t="n">
        <v>3.28725516</v>
      </c>
      <c r="AD205">
        <f t="array" ref="AD205">IF(SUMPRODUCT(--($AM$2:$AM$112=TRIM(LEFT($B205,IFERROR(FIND(" ",$B205)-1,LEN($B205))))))&gt;0,1,0)</f>
        <v/>
      </c>
      <c r="AE205">
        <f t="array" ref="AE205">IF(SUMPRODUCT(--($AO$2:$AO$145=TRIM(LEFT($B205,IFERROR(FIND(" ",$B205)-1,LEN($B205))))))&gt;0,1,0)</f>
        <v/>
      </c>
      <c r="AF205">
        <f t="array" ref="AF205">IF(SUMPRODUCT(--($AQ$2:$AQ$71=TRIM(LEFT($B205,IFERROR(FIND(" ",$B205)-1,LEN($B205))))))&gt;0,1,0)</f>
        <v/>
      </c>
    </row>
    <row r="206" ht="150.75" customHeight="1" thickBot="1">
      <c r="A206" s="13" t="n">
        <v>50</v>
      </c>
      <c r="B206" s="4" t="inlineStr">
        <is>
          <t>ENLC US</t>
        </is>
      </c>
      <c r="C206" s="4" t="inlineStr">
        <is>
          <t>OKE US</t>
        </is>
      </c>
      <c r="D206" s="7" t="n">
        <v>45620</v>
      </c>
      <c r="E206" s="3" t="n">
        <v>8631.379999999999</v>
      </c>
      <c r="F206" s="4" t="inlineStr">
        <is>
          <t>Stock</t>
        </is>
      </c>
      <c r="G206" s="3" t="n">
        <v>8.380000000000001</v>
      </c>
      <c r="H206" s="4" t="inlineStr">
        <is>
          <t>Energy</t>
        </is>
      </c>
      <c r="I206" s="4" t="inlineStr">
        <is>
          <t>Oil &amp; Gas</t>
        </is>
      </c>
      <c r="J206" s="4" t="inlineStr">
        <is>
          <t>Oil &amp; Gas Supply Chain</t>
        </is>
      </c>
      <c r="K206" s="4" t="n"/>
      <c r="L206" s="3" t="n">
        <v>143.978</v>
      </c>
      <c r="M206" s="3" t="n">
        <v>-2.85</v>
      </c>
      <c r="N206" s="3" t="n">
        <v>3810.28</v>
      </c>
      <c r="O206" s="4" t="inlineStr">
        <is>
          <t>United States</t>
        </is>
      </c>
      <c r="P206" s="4" t="inlineStr">
        <is>
          <t>United States</t>
        </is>
      </c>
      <c r="Q206" s="4" t="inlineStr">
        <is>
          <t>Friendly</t>
        </is>
      </c>
      <c r="R206" s="3" t="n">
        <v>6900.1</v>
      </c>
      <c r="S206" s="3" t="n">
        <v>8.46077</v>
      </c>
      <c r="T206" s="4" t="inlineStr">
        <is>
          <t>Company Takeover, Additional Stake Purchase, Reverse Merger</t>
        </is>
      </c>
      <c r="U206" s="2" t="inlineStr">
        <is>
          <t>Yes</t>
        </is>
      </c>
      <c r="V206" s="2" t="inlineStr">
        <is>
          <t>No</t>
        </is>
      </c>
      <c r="W206" s="2" t="inlineStr">
        <is>
          <t>No</t>
        </is>
      </c>
      <c r="X206" s="2" t="inlineStr">
        <is>
          <t>No</t>
        </is>
      </c>
      <c r="Y206" s="2" t="inlineStr">
        <is>
          <t>No</t>
        </is>
      </c>
      <c r="Z206" s="2" t="inlineStr">
        <is>
          <t>No</t>
        </is>
      </c>
      <c r="AA206" s="6" t="n">
        <v>3.936080237</v>
      </c>
      <c r="AB206" s="6" t="n">
        <v>3.838855385</v>
      </c>
      <c r="AC206" s="6" t="n">
        <v>3.580956891</v>
      </c>
      <c r="AD206">
        <f t="array" ref="AD206">IF(SUMPRODUCT(--($AM$2:$AM$112=TRIM(LEFT($B206,IFERROR(FIND(" ",$B206)-1,LEN($B206))))))&gt;0,1,0)</f>
        <v/>
      </c>
      <c r="AE206">
        <f t="array" ref="AE206">IF(SUMPRODUCT(--($AO$2:$AO$145=TRIM(LEFT($B206,IFERROR(FIND(" ",$B206)-1,LEN($B206))))))&gt;0,1,0)</f>
        <v/>
      </c>
      <c r="AF206">
        <f t="array" ref="AF206">IF(SUMPRODUCT(--($AQ$2:$AQ$71=TRIM(LEFT($B206,IFERROR(FIND(" ",$B206)-1,LEN($B206))))))&gt;0,1,0)</f>
        <v/>
      </c>
    </row>
    <row r="207" ht="135.75" customHeight="1" thickBot="1">
      <c r="A207" s="13" t="n">
        <v>81</v>
      </c>
      <c r="B207" s="4" t="inlineStr">
        <is>
          <t>2566642D US</t>
        </is>
      </c>
      <c r="C207" s="4" t="inlineStr">
        <is>
          <t>APO US</t>
        </is>
      </c>
      <c r="D207" s="7" t="n">
        <v>45572</v>
      </c>
      <c r="E207" s="3" t="n">
        <v>3511.94</v>
      </c>
      <c r="F207" s="4" t="inlineStr">
        <is>
          <t>Cash</t>
        </is>
      </c>
      <c r="G207" s="4" t="n"/>
      <c r="H207" s="4" t="inlineStr">
        <is>
          <t>Industrials</t>
        </is>
      </c>
      <c r="I207" s="4" t="inlineStr">
        <is>
          <t>Industrial Products</t>
        </is>
      </c>
      <c r="J207" s="4" t="inlineStr">
        <is>
          <t>Aerospace &amp; Defense</t>
        </is>
      </c>
      <c r="K207" s="4" t="n"/>
      <c r="L207" s="4" t="n"/>
      <c r="M207" s="3" t="n">
        <v>22.49</v>
      </c>
      <c r="N207" s="3" t="n">
        <v>2411.39</v>
      </c>
      <c r="O207" s="4" t="inlineStr">
        <is>
          <t>United States</t>
        </is>
      </c>
      <c r="P207" s="4" t="inlineStr">
        <is>
          <t>United States</t>
        </is>
      </c>
      <c r="Q207" s="4" t="inlineStr">
        <is>
          <t>Friendly</t>
        </is>
      </c>
      <c r="R207" s="3" t="n">
        <v>1450.87</v>
      </c>
      <c r="S207" s="3" t="n">
        <v>6.75044</v>
      </c>
      <c r="T207" s="4" t="inlineStr">
        <is>
          <t>Company Takeover, PE Buyout, Private Equity, Going Private</t>
        </is>
      </c>
      <c r="U207" s="2" t="inlineStr">
        <is>
          <t>No</t>
        </is>
      </c>
      <c r="V207" s="2" t="inlineStr">
        <is>
          <t>No</t>
        </is>
      </c>
      <c r="W207" s="2" t="inlineStr">
        <is>
          <t>No</t>
        </is>
      </c>
      <c r="X207" s="2" t="inlineStr">
        <is>
          <t>Yes</t>
        </is>
      </c>
      <c r="Y207" s="2" t="inlineStr">
        <is>
          <t>Yes</t>
        </is>
      </c>
      <c r="Z207" s="2" t="inlineStr">
        <is>
          <t>No</t>
        </is>
      </c>
      <c r="AA207" s="6" t="n">
        <v>3.545547088</v>
      </c>
      <c r="AB207" s="6" t="n">
        <v>3.161628501</v>
      </c>
      <c r="AC207" s="6" t="n">
        <v>3.382267456</v>
      </c>
      <c r="AD207">
        <f t="array" ref="AD207">IF(SUMPRODUCT(--($AM$2:$AM$112=TRIM(LEFT($B207,IFERROR(FIND(" ",$B207)-1,LEN($B207))))))&gt;0,1,0)</f>
        <v/>
      </c>
      <c r="AE207">
        <f t="array" ref="AE207">IF(SUMPRODUCT(--($AO$2:$AO$145=TRIM(LEFT($B207,IFERROR(FIND(" ",$B207)-1,LEN($B207))))))&gt;0,1,0)</f>
        <v/>
      </c>
      <c r="AF207">
        <f t="array" ref="AF207">IF(SUMPRODUCT(--($AQ$2:$AQ$71=TRIM(LEFT($B207,IFERROR(FIND(" ",$B207)-1,LEN($B207))))))&gt;0,1,0)</f>
        <v/>
      </c>
    </row>
    <row r="208" ht="135.75" customHeight="1" thickBot="1">
      <c r="A208" s="13" t="n">
        <v>87</v>
      </c>
      <c r="B208" s="4" t="inlineStr">
        <is>
          <t>SMAR US</t>
        </is>
      </c>
      <c r="C208" s="2" t="n"/>
      <c r="D208" s="7" t="n">
        <v>45559</v>
      </c>
      <c r="E208" s="3" t="n">
        <v>7298.54</v>
      </c>
      <c r="F208" s="4" t="inlineStr">
        <is>
          <t>Cash</t>
        </is>
      </c>
      <c r="G208" s="4" t="n"/>
      <c r="H208" s="4" t="inlineStr">
        <is>
          <t>Technology</t>
        </is>
      </c>
      <c r="I208" s="4" t="inlineStr">
        <is>
          <t>Software &amp; Tech Services</t>
        </is>
      </c>
      <c r="J208" s="4" t="inlineStr">
        <is>
          <t>Software</t>
        </is>
      </c>
      <c r="K208" s="4" t="n"/>
      <c r="L208" s="4" t="n"/>
      <c r="M208" s="3" t="n">
        <v>11.91</v>
      </c>
      <c r="N208" s="3" t="n">
        <v>7961.86</v>
      </c>
      <c r="O208" s="4" t="inlineStr">
        <is>
          <t>United States</t>
        </is>
      </c>
      <c r="P208" s="4" t="inlineStr">
        <is>
          <t>United States</t>
        </is>
      </c>
      <c r="Q208" s="4" t="inlineStr">
        <is>
          <t>Friendly</t>
        </is>
      </c>
      <c r="R208" s="3" t="n">
        <v>958.338</v>
      </c>
      <c r="S208" s="3" t="n">
        <v>-3.64932</v>
      </c>
      <c r="T208" s="4" t="inlineStr">
        <is>
          <t>Company Takeover, PE Buyout, Private Equity, Going Private</t>
        </is>
      </c>
      <c r="U208" s="2" t="inlineStr">
        <is>
          <t>No</t>
        </is>
      </c>
      <c r="V208" s="2" t="inlineStr">
        <is>
          <t>No</t>
        </is>
      </c>
      <c r="W208" s="2" t="inlineStr">
        <is>
          <t>No</t>
        </is>
      </c>
      <c r="X208" s="2" t="inlineStr">
        <is>
          <t>Yes</t>
        </is>
      </c>
      <c r="Y208" s="2" t="inlineStr">
        <is>
          <t>Yes</t>
        </is>
      </c>
      <c r="Z208" s="2" t="inlineStr">
        <is>
          <t>No</t>
        </is>
      </c>
      <c r="AA208" s="6" t="n">
        <v>3.863235993</v>
      </c>
      <c r="AB208" s="6" t="n">
        <v>2.981518709</v>
      </c>
      <c r="AC208" s="6" t="n">
        <v>3.901014537</v>
      </c>
      <c r="AD208">
        <f t="array" ref="AD208">IF(SUMPRODUCT(--($AM$2:$AM$112=TRIM(LEFT($B208,IFERROR(FIND(" ",$B208)-1,LEN($B208))))))&gt;0,1,0)</f>
        <v/>
      </c>
      <c r="AE208">
        <f t="array" ref="AE208">IF(SUMPRODUCT(--($AO$2:$AO$145=TRIM(LEFT($B208,IFERROR(FIND(" ",$B208)-1,LEN($B208))))))&gt;0,1,0)</f>
        <v/>
      </c>
      <c r="AF208">
        <f t="array" ref="AF208">IF(SUMPRODUCT(--($AQ$2:$AQ$71=TRIM(LEFT($B208,IFERROR(FIND(" ",$B208)-1,LEN($B208))))))&gt;0,1,0)</f>
        <v/>
      </c>
    </row>
    <row r="209" ht="150.75" customHeight="1" thickBot="1">
      <c r="A209" s="13" t="n">
        <v>126</v>
      </c>
      <c r="B209" s="4" t="inlineStr">
        <is>
          <t>FIL CN</t>
        </is>
      </c>
      <c r="C209" s="2" t="n"/>
      <c r="D209" s="7" t="n">
        <v>45502</v>
      </c>
      <c r="E209" s="3" t="n">
        <v>2966.11</v>
      </c>
      <c r="F209" s="4" t="inlineStr">
        <is>
          <t>Cash or Stock</t>
        </is>
      </c>
      <c r="G209" s="4" t="n"/>
      <c r="H209" s="4" t="inlineStr">
        <is>
          <t>Materials</t>
        </is>
      </c>
      <c r="I209" s="4" t="inlineStr">
        <is>
          <t>Materials</t>
        </is>
      </c>
      <c r="J209" s="4" t="inlineStr">
        <is>
          <t>Metals &amp; Mining</t>
        </is>
      </c>
      <c r="K209" s="3" t="n">
        <v>135</v>
      </c>
      <c r="L209" s="3" t="n">
        <v>135</v>
      </c>
      <c r="M209" s="3" t="n">
        <v>22.02</v>
      </c>
      <c r="N209" s="3" t="n">
        <v>3006.39</v>
      </c>
      <c r="O209" s="4" t="inlineStr">
        <is>
          <t>Canada</t>
        </is>
      </c>
      <c r="P209" s="4" t="inlineStr">
        <is>
          <t>Australia</t>
        </is>
      </c>
      <c r="Q209" s="4" t="inlineStr">
        <is>
          <t>Friendly</t>
        </is>
      </c>
      <c r="R209" s="2" t="n"/>
      <c r="S209" s="2" t="n"/>
      <c r="T209" s="4" t="inlineStr">
        <is>
          <t>Cross Border, Company Takeover, Additional Stake Purchase</t>
        </is>
      </c>
      <c r="U209" s="2" t="inlineStr">
        <is>
          <t>Yes</t>
        </is>
      </c>
      <c r="V209" s="2" t="inlineStr">
        <is>
          <t>No</t>
        </is>
      </c>
      <c r="W209" s="2" t="inlineStr">
        <is>
          <t>Yes</t>
        </is>
      </c>
      <c r="X209" s="2" t="inlineStr">
        <is>
          <t>No</t>
        </is>
      </c>
      <c r="Y209" s="2" t="inlineStr">
        <is>
          <t>No</t>
        </is>
      </c>
      <c r="Z209" s="2" t="inlineStr">
        <is>
          <t>No</t>
        </is>
      </c>
      <c r="AA209" s="6" t="n">
        <v>3.472187253</v>
      </c>
      <c r="AB209" s="2" t="n"/>
      <c r="AC209" s="6" t="n">
        <v>3.478045318</v>
      </c>
      <c r="AD209">
        <f t="array" ref="AD209">IF(SUMPRODUCT(--($AM$2:$AM$112=TRIM(LEFT($B209,IFERROR(FIND(" ",$B209)-1,LEN($B209))))))&gt;0,1,0)</f>
        <v/>
      </c>
      <c r="AE209">
        <f t="array" ref="AE209">IF(SUMPRODUCT(--($AO$2:$AO$145=TRIM(LEFT($B209,IFERROR(FIND(" ",$B209)-1,LEN($B209))))))&gt;0,1,0)</f>
        <v/>
      </c>
      <c r="AF209">
        <f t="array" ref="AF209">IF(SUMPRODUCT(--($AQ$2:$AQ$71=TRIM(LEFT($B209,IFERROR(FIND(" ",$B209)-1,LEN($B209))))))&gt;0,1,0)</f>
        <v/>
      </c>
    </row>
    <row r="210" ht="75.75" customHeight="1" thickBot="1">
      <c r="A210" s="13" t="n">
        <v>96</v>
      </c>
      <c r="B210" s="4" t="inlineStr">
        <is>
          <t>GATO US</t>
        </is>
      </c>
      <c r="C210" s="4" t="inlineStr">
        <is>
          <t>AG CN</t>
        </is>
      </c>
      <c r="D210" s="7" t="n">
        <v>45540</v>
      </c>
      <c r="E210" s="3" t="n">
        <v>893.03</v>
      </c>
      <c r="F210" s="4" t="inlineStr">
        <is>
          <t>Stock</t>
        </is>
      </c>
      <c r="G210" s="4" t="n"/>
      <c r="H210" s="4" t="inlineStr">
        <is>
          <t>Materials</t>
        </is>
      </c>
      <c r="I210" s="4" t="inlineStr">
        <is>
          <t>Materials</t>
        </is>
      </c>
      <c r="J210" s="4" t="inlineStr">
        <is>
          <t>Metals &amp; Mining</t>
        </is>
      </c>
      <c r="K210" s="3" t="n">
        <v>46</v>
      </c>
      <c r="L210" s="3" t="n">
        <v>28</v>
      </c>
      <c r="M210" s="3" t="n">
        <v>16.68</v>
      </c>
      <c r="N210" s="3" t="n">
        <v>975.0700000000001</v>
      </c>
      <c r="O210" s="4" t="inlineStr">
        <is>
          <t>United States</t>
        </is>
      </c>
      <c r="P210" s="4" t="inlineStr">
        <is>
          <t>Canada</t>
        </is>
      </c>
      <c r="Q210" s="4" t="inlineStr">
        <is>
          <t>Friendly</t>
        </is>
      </c>
      <c r="R210" s="2" t="n"/>
      <c r="S210" s="2" t="n"/>
      <c r="T210" s="4" t="inlineStr">
        <is>
          <t>Company Takeover, Cross Border</t>
        </is>
      </c>
      <c r="U210" s="2" t="inlineStr">
        <is>
          <t>No</t>
        </is>
      </c>
      <c r="V210" s="2" t="inlineStr">
        <is>
          <t>No</t>
        </is>
      </c>
      <c r="W210" s="2" t="inlineStr">
        <is>
          <t>Yes</t>
        </is>
      </c>
      <c r="X210" s="2" t="inlineStr">
        <is>
          <t>No</t>
        </is>
      </c>
      <c r="Y210" s="2" t="inlineStr">
        <is>
          <t>No</t>
        </is>
      </c>
      <c r="Z210" s="2" t="inlineStr">
        <is>
          <t>No</t>
        </is>
      </c>
      <c r="AA210" s="6" t="n">
        <v>2.950866049</v>
      </c>
      <c r="AB210" s="2" t="n"/>
      <c r="AC210" s="6" t="n">
        <v>2.989035795</v>
      </c>
      <c r="AD210">
        <f t="array" ref="AD210">IF(SUMPRODUCT(--($AM$2:$AM$112=TRIM(LEFT($B210,IFERROR(FIND(" ",$B210)-1,LEN($B210))))))&gt;0,1,0)</f>
        <v/>
      </c>
      <c r="AE210">
        <f t="array" ref="AE210">IF(SUMPRODUCT(--($AO$2:$AO$145=TRIM(LEFT($B210,IFERROR(FIND(" ",$B210)-1,LEN($B210))))))&gt;0,1,0)</f>
        <v/>
      </c>
      <c r="AF210">
        <f t="array" ref="AF210">IF(SUMPRODUCT(--($AQ$2:$AQ$71=TRIM(LEFT($B210,IFERROR(FIND(" ",$B210)-1,LEN($B210))))))&gt;0,1,0)</f>
        <v/>
      </c>
    </row>
    <row r="211" ht="45.75" customHeight="1" thickBot="1">
      <c r="A211" s="13" t="n">
        <v>105</v>
      </c>
      <c r="B211" s="4" t="inlineStr">
        <is>
          <t>ARCH US</t>
        </is>
      </c>
      <c r="C211" s="4" t="inlineStr">
        <is>
          <t>CNR US</t>
        </is>
      </c>
      <c r="D211" s="7" t="n">
        <v>45525</v>
      </c>
      <c r="E211" s="3" t="n">
        <v>2135.78</v>
      </c>
      <c r="F211" s="4" t="inlineStr">
        <is>
          <t>Stock</t>
        </is>
      </c>
      <c r="G211" s="4" t="n"/>
      <c r="H211" s="4" t="inlineStr">
        <is>
          <t>Materials</t>
        </is>
      </c>
      <c r="I211" s="4" t="inlineStr">
        <is>
          <t>Materials</t>
        </is>
      </c>
      <c r="J211" s="4" t="inlineStr">
        <is>
          <t>Metals &amp; Mining</t>
        </is>
      </c>
      <c r="K211" s="3" t="n">
        <v>82</v>
      </c>
      <c r="L211" s="3" t="n">
        <v>82</v>
      </c>
      <c r="M211" s="3" t="n">
        <v>-6.01</v>
      </c>
      <c r="N211" s="3" t="n">
        <v>2272.33</v>
      </c>
      <c r="O211" s="4" t="inlineStr">
        <is>
          <t>United States</t>
        </is>
      </c>
      <c r="P211" s="4" t="inlineStr">
        <is>
          <t>United States</t>
        </is>
      </c>
      <c r="Q211" s="4" t="inlineStr">
        <is>
          <t>Friendly</t>
        </is>
      </c>
      <c r="R211" s="3" t="n">
        <v>3145.84</v>
      </c>
      <c r="S211" s="3" t="n">
        <v>7.2425</v>
      </c>
      <c r="T211" s="4" t="inlineStr">
        <is>
          <t>Company Takeover</t>
        </is>
      </c>
      <c r="U211" s="2" t="inlineStr">
        <is>
          <t>No</t>
        </is>
      </c>
      <c r="V211" s="2" t="inlineStr">
        <is>
          <t>No</t>
        </is>
      </c>
      <c r="W211" s="2" t="inlineStr">
        <is>
          <t>No</t>
        </is>
      </c>
      <c r="X211" s="2" t="inlineStr">
        <is>
          <t>No</t>
        </is>
      </c>
      <c r="Y211" s="2" t="inlineStr">
        <is>
          <t>No</t>
        </is>
      </c>
      <c r="Z211" s="2" t="inlineStr">
        <is>
          <t>No</t>
        </is>
      </c>
      <c r="AA211" s="6" t="n">
        <v>3.329556515</v>
      </c>
      <c r="AB211" s="6" t="n">
        <v>3.49773663</v>
      </c>
      <c r="AC211" s="6" t="n">
        <v>3.356471402</v>
      </c>
      <c r="AD211">
        <f t="array" ref="AD211">IF(SUMPRODUCT(--($AM$2:$AM$112=TRIM(LEFT($B211,IFERROR(FIND(" ",$B211)-1,LEN($B211))))))&gt;0,1,0)</f>
        <v/>
      </c>
      <c r="AE211">
        <f t="array" ref="AE211">IF(SUMPRODUCT(--($AO$2:$AO$145=TRIM(LEFT($B211,IFERROR(FIND(" ",$B211)-1,LEN($B211))))))&gt;0,1,0)</f>
        <v/>
      </c>
      <c r="AF211">
        <f t="array" ref="AF211">IF(SUMPRODUCT(--($AQ$2:$AQ$71=TRIM(LEFT($B211,IFERROR(FIND(" ",$B211)-1,LEN($B211))))))&gt;0,1,0)</f>
        <v/>
      </c>
    </row>
    <row r="212" ht="45.75" customHeight="1" thickBot="1">
      <c r="A212" s="13" t="n">
        <v>114</v>
      </c>
      <c r="B212" s="4" t="inlineStr">
        <is>
          <t>OBDE US</t>
        </is>
      </c>
      <c r="C212" s="4" t="inlineStr">
        <is>
          <t>OBDC US</t>
        </is>
      </c>
      <c r="D212" s="7" t="n">
        <v>45511</v>
      </c>
      <c r="E212" s="3" t="n">
        <v>1918.24</v>
      </c>
      <c r="F212" s="4" t="inlineStr">
        <is>
          <t>Stock</t>
        </is>
      </c>
      <c r="G212" s="4" t="n"/>
      <c r="H212" s="4" t="inlineStr">
        <is>
          <t>Financials</t>
        </is>
      </c>
      <c r="I212" s="4" t="inlineStr">
        <is>
          <t>Financial Services</t>
        </is>
      </c>
      <c r="J212" s="4" t="inlineStr">
        <is>
          <t>Asset Management</t>
        </is>
      </c>
      <c r="K212" s="3" t="n">
        <v>179.8</v>
      </c>
      <c r="L212" s="3" t="n">
        <v>57.6</v>
      </c>
      <c r="M212" s="3" t="n">
        <v>5.89</v>
      </c>
      <c r="N212" s="3" t="n">
        <v>1918.24</v>
      </c>
      <c r="O212" s="4" t="inlineStr">
        <is>
          <t>United States</t>
        </is>
      </c>
      <c r="P212" s="4" t="inlineStr">
        <is>
          <t>United States</t>
        </is>
      </c>
      <c r="Q212" s="4" t="inlineStr">
        <is>
          <t>Friendly</t>
        </is>
      </c>
      <c r="R212" s="3" t="n">
        <v>448.424</v>
      </c>
      <c r="S212" s="3" t="n">
        <v>45.8095</v>
      </c>
      <c r="T212" s="4" t="inlineStr">
        <is>
          <t>Company Takeover</t>
        </is>
      </c>
      <c r="U212" s="2" t="inlineStr">
        <is>
          <t>No</t>
        </is>
      </c>
      <c r="V212" s="2" t="inlineStr">
        <is>
          <t>No</t>
        </is>
      </c>
      <c r="W212" s="2" t="inlineStr">
        <is>
          <t>No</t>
        </is>
      </c>
      <c r="X212" s="2" t="inlineStr">
        <is>
          <t>No</t>
        </is>
      </c>
      <c r="Y212" s="2" t="inlineStr">
        <is>
          <t>No</t>
        </is>
      </c>
      <c r="Z212" s="2" t="inlineStr">
        <is>
          <t>No</t>
        </is>
      </c>
      <c r="AA212" s="6" t="n">
        <v>3.282902943</v>
      </c>
      <c r="AB212" s="6" t="n">
        <v>2.651688848</v>
      </c>
      <c r="AC212" s="6" t="n">
        <v>3.282902943</v>
      </c>
      <c r="AD212">
        <f t="array" ref="AD212">IF(SUMPRODUCT(--($AM$2:$AM$112=TRIM(LEFT($B212,IFERROR(FIND(" ",$B212)-1,LEN($B212))))))&gt;0,1,0)</f>
        <v/>
      </c>
      <c r="AE212">
        <f t="array" ref="AE212">IF(SUMPRODUCT(--($AO$2:$AO$145=TRIM(LEFT($B212,IFERROR(FIND(" ",$B212)-1,LEN($B212))))))&gt;0,1,0)</f>
        <v/>
      </c>
      <c r="AF212">
        <f t="array" ref="AF212">IF(SUMPRODUCT(--($AQ$2:$AQ$71=TRIM(LEFT($B212,IFERROR(FIND(" ",$B212)-1,LEN($B212))))))&gt;0,1,0)</f>
        <v/>
      </c>
    </row>
    <row r="213" ht="75.75" customHeight="1" thickBot="1">
      <c r="A213" s="13" t="n">
        <v>34</v>
      </c>
      <c r="B213" s="4" t="inlineStr">
        <is>
          <t>PSTX US</t>
        </is>
      </c>
      <c r="C213" s="4" t="inlineStr">
        <is>
          <t>ROP SW</t>
        </is>
      </c>
      <c r="D213" s="7" t="n">
        <v>45622</v>
      </c>
      <c r="E213" s="3" t="n">
        <v>744.01</v>
      </c>
      <c r="F213" s="4" t="inlineStr">
        <is>
          <t>Cash</t>
        </is>
      </c>
      <c r="G213" s="4" t="n"/>
      <c r="H213" s="4" t="inlineStr">
        <is>
          <t>Health Care</t>
        </is>
      </c>
      <c r="I213" s="4" t="inlineStr">
        <is>
          <t>Health Care</t>
        </is>
      </c>
      <c r="J213" s="4" t="inlineStr">
        <is>
          <t>Biotech &amp; Pharma</t>
        </is>
      </c>
      <c r="K213" s="4" t="n"/>
      <c r="L213" s="4" t="n"/>
      <c r="M213" s="3" t="n">
        <v>217.12</v>
      </c>
      <c r="N213" s="3" t="n">
        <v>892.14</v>
      </c>
      <c r="O213" s="4" t="inlineStr">
        <is>
          <t>United States</t>
        </is>
      </c>
      <c r="P213" s="4" t="inlineStr">
        <is>
          <t>United States</t>
        </is>
      </c>
      <c r="Q213" s="4" t="inlineStr">
        <is>
          <t>Friendly</t>
        </is>
      </c>
      <c r="R213" s="3" t="n">
        <v>64.703</v>
      </c>
      <c r="S213" s="3" t="n">
        <v>-41.4297</v>
      </c>
      <c r="T213" s="4" t="inlineStr">
        <is>
          <t>Company Takeover, Tender Offer</t>
        </is>
      </c>
      <c r="U213" s="2" t="inlineStr">
        <is>
          <t>No</t>
        </is>
      </c>
      <c r="V213" s="2" t="inlineStr">
        <is>
          <t>No</t>
        </is>
      </c>
      <c r="W213" s="2" t="inlineStr">
        <is>
          <t>No</t>
        </is>
      </c>
      <c r="X213" s="2" t="inlineStr">
        <is>
          <t>No</t>
        </is>
      </c>
      <c r="Y213" s="2" t="inlineStr">
        <is>
          <t>No</t>
        </is>
      </c>
      <c r="Z213" s="2" t="inlineStr">
        <is>
          <t>Yes</t>
        </is>
      </c>
      <c r="AA213" s="6" t="n">
        <v>2.871578773</v>
      </c>
      <c r="AB213" s="6" t="n">
        <v>1.810924418</v>
      </c>
      <c r="AC213" s="6" t="n">
        <v>2.950433012</v>
      </c>
      <c r="AD213">
        <f t="array" ref="AD213">IF(SUMPRODUCT(--($AM$2:$AM$112=TRIM(LEFT($B213,IFERROR(FIND(" ",$B213)-1,LEN($B213))))))&gt;0,1,0)</f>
        <v/>
      </c>
      <c r="AE213">
        <f t="array" ref="AE213">IF(SUMPRODUCT(--($AO$2:$AO$145=TRIM(LEFT($B213,IFERROR(FIND(" ",$B213)-1,LEN($B213))))))&gt;0,1,0)</f>
        <v/>
      </c>
      <c r="AF213">
        <f t="array" ref="AF213">IF(SUMPRODUCT(--($AQ$2:$AQ$71=TRIM(LEFT($B213,IFERROR(FIND(" ",$B213)-1,LEN($B213))))))&gt;0,1,0)</f>
        <v/>
      </c>
    </row>
    <row r="214" ht="45.75" customHeight="1" thickBot="1">
      <c r="A214" s="13" t="n">
        <v>164</v>
      </c>
      <c r="B214" s="4" t="inlineStr">
        <is>
          <t>IBTX US</t>
        </is>
      </c>
      <c r="C214" s="4" t="inlineStr">
        <is>
          <t>SSB US</t>
        </is>
      </c>
      <c r="D214" s="7" t="n">
        <v>45432</v>
      </c>
      <c r="E214" s="3" t="n">
        <v>1974.34</v>
      </c>
      <c r="F214" s="4" t="inlineStr">
        <is>
          <t>Stock</t>
        </is>
      </c>
      <c r="G214" s="4" t="n"/>
      <c r="H214" s="4" t="inlineStr">
        <is>
          <t>Financials</t>
        </is>
      </c>
      <c r="I214" s="4" t="inlineStr">
        <is>
          <t>Banking</t>
        </is>
      </c>
      <c r="J214" s="4" t="inlineStr">
        <is>
          <t>Banking</t>
        </is>
      </c>
      <c r="K214" s="3" t="n">
        <v>186</v>
      </c>
      <c r="L214" s="3" t="n">
        <v>60.915</v>
      </c>
      <c r="M214" s="3" t="n">
        <v>16.84</v>
      </c>
      <c r="N214" s="3" t="n">
        <v>1974.34</v>
      </c>
      <c r="O214" s="4" t="inlineStr">
        <is>
          <t>United States</t>
        </is>
      </c>
      <c r="P214" s="4" t="inlineStr">
        <is>
          <t>United States</t>
        </is>
      </c>
      <c r="Q214" s="4" t="inlineStr">
        <is>
          <t>Friendly</t>
        </is>
      </c>
      <c r="R214" s="3" t="n">
        <v>999.917</v>
      </c>
      <c r="S214" s="3" t="n">
        <v>-87.01900000000001</v>
      </c>
      <c r="T214" s="4" t="inlineStr">
        <is>
          <t>Company Takeover</t>
        </is>
      </c>
      <c r="U214" s="2" t="inlineStr">
        <is>
          <t>No</t>
        </is>
      </c>
      <c r="V214" s="2" t="inlineStr">
        <is>
          <t>No</t>
        </is>
      </c>
      <c r="W214" s="2" t="inlineStr">
        <is>
          <t>No</t>
        </is>
      </c>
      <c r="X214" s="2" t="inlineStr">
        <is>
          <t>No</t>
        </is>
      </c>
      <c r="Y214" s="2" t="inlineStr">
        <is>
          <t>No</t>
        </is>
      </c>
      <c r="Z214" s="2" t="inlineStr">
        <is>
          <t>No</t>
        </is>
      </c>
      <c r="AA214" s="6" t="n">
        <v>3.295421944</v>
      </c>
      <c r="AB214" s="6" t="n">
        <v>2.999963952</v>
      </c>
      <c r="AC214" s="6" t="n">
        <v>3.295421944</v>
      </c>
      <c r="AD214">
        <f t="array" ref="AD214">IF(SUMPRODUCT(--($AM$2:$AM$112=TRIM(LEFT($B214,IFERROR(FIND(" ",$B214)-1,LEN($B214))))))&gt;0,1,0)</f>
        <v/>
      </c>
      <c r="AE214">
        <f t="array" ref="AE214">IF(SUMPRODUCT(--($AO$2:$AO$145=TRIM(LEFT($B214,IFERROR(FIND(" ",$B214)-1,LEN($B214))))))&gt;0,1,0)</f>
        <v/>
      </c>
      <c r="AF214">
        <f t="array" ref="AF214">IF(SUMPRODUCT(--($AQ$2:$AQ$71=TRIM(LEFT($B214,IFERROR(FIND(" ",$B214)-1,LEN($B214))))))&gt;0,1,0)</f>
        <v/>
      </c>
    </row>
    <row r="215" ht="210.75" customHeight="1" thickBot="1">
      <c r="A215" s="13" t="n">
        <v>316</v>
      </c>
      <c r="B215" s="4" t="inlineStr">
        <is>
          <t>CNSL US</t>
        </is>
      </c>
      <c r="C215" s="2" t="n"/>
      <c r="D215" s="7" t="n">
        <v>45215</v>
      </c>
      <c r="E215" s="3" t="n">
        <v>2308.02</v>
      </c>
      <c r="F215" s="4" t="inlineStr">
        <is>
          <t>Cash</t>
        </is>
      </c>
      <c r="G215" s="3" t="n">
        <v>-2.31</v>
      </c>
      <c r="H215" s="4" t="inlineStr">
        <is>
          <t>Communications</t>
        </is>
      </c>
      <c r="I215" s="4" t="inlineStr">
        <is>
          <t>Telecommunications</t>
        </is>
      </c>
      <c r="J215" s="4" t="inlineStr">
        <is>
          <t>Telecommunications</t>
        </is>
      </c>
      <c r="K215" s="4" t="n"/>
      <c r="L215" s="4" t="n"/>
      <c r="M215" s="4" t="n"/>
      <c r="N215" s="3" t="n">
        <v>358.44</v>
      </c>
      <c r="O215" s="4" t="inlineStr">
        <is>
          <t>United States</t>
        </is>
      </c>
      <c r="P215" s="4" t="inlineStr">
        <is>
          <t>Canada</t>
        </is>
      </c>
      <c r="Q215" s="4" t="inlineStr">
        <is>
          <t>Unsolicited to Friendly</t>
        </is>
      </c>
      <c r="R215" s="3" t="n">
        <v>1110.12</v>
      </c>
      <c r="S215" s="3" t="n">
        <v>-5.42137</v>
      </c>
      <c r="T215" s="4" t="inlineStr">
        <is>
          <t>PE Buyout, Company Takeover, Cross Border, Private Equity, Additional Stake Purchase, Going Private</t>
        </is>
      </c>
      <c r="U215" s="2" t="inlineStr">
        <is>
          <t>Yes</t>
        </is>
      </c>
      <c r="V215" s="2" t="inlineStr">
        <is>
          <t>No</t>
        </is>
      </c>
      <c r="W215" s="2" t="inlineStr">
        <is>
          <t>Yes</t>
        </is>
      </c>
      <c r="X215" s="2" t="inlineStr">
        <is>
          <t>Yes</t>
        </is>
      </c>
      <c r="Y215" s="2" t="inlineStr">
        <is>
          <t>Yes</t>
        </is>
      </c>
      <c r="Z215" s="2" t="inlineStr">
        <is>
          <t>No</t>
        </is>
      </c>
      <c r="AA215" s="6" t="n">
        <v>3.363239568</v>
      </c>
      <c r="AB215" s="6" t="n">
        <v>3.045369927</v>
      </c>
      <c r="AC215" s="6" t="n">
        <v>2.554416469</v>
      </c>
      <c r="AD215">
        <f t="array" ref="AD215">IF(SUMPRODUCT(--($AM$2:$AM$112=TRIM(LEFT($B215,IFERROR(FIND(" ",$B215)-1,LEN($B215))))))&gt;0,1,0)</f>
        <v/>
      </c>
      <c r="AE215">
        <f t="array" ref="AE215">IF(SUMPRODUCT(--($AO$2:$AO$145=TRIM(LEFT($B215,IFERROR(FIND(" ",$B215)-1,LEN($B215))))))&gt;0,1,0)</f>
        <v/>
      </c>
      <c r="AF215">
        <f t="array" ref="AF215">IF(SUMPRODUCT(--($AQ$2:$AQ$71=TRIM(LEFT($B215,IFERROR(FIND(" ",$B215)-1,LEN($B215))))))&gt;0,1,0)</f>
        <v/>
      </c>
    </row>
    <row r="216" ht="135.75" customHeight="1" thickBot="1">
      <c r="A216" s="13" t="n">
        <v>57</v>
      </c>
      <c r="B216" s="4" t="inlineStr">
        <is>
          <t>NAPA US</t>
        </is>
      </c>
      <c r="C216" s="4" t="inlineStr">
        <is>
          <t>1513190D US</t>
        </is>
      </c>
      <c r="D216" s="7" t="n">
        <v>45572</v>
      </c>
      <c r="E216" s="3" t="n">
        <v>1946.52</v>
      </c>
      <c r="F216" s="4" t="inlineStr">
        <is>
          <t>Cash</t>
        </is>
      </c>
      <c r="G216" s="3" t="n">
        <v>14.11</v>
      </c>
      <c r="H216" s="4" t="inlineStr">
        <is>
          <t>Consumer Staples</t>
        </is>
      </c>
      <c r="I216" s="4" t="inlineStr">
        <is>
          <t>Consumer Staple Products</t>
        </is>
      </c>
      <c r="J216" s="4" t="inlineStr">
        <is>
          <t>Beverages</t>
        </is>
      </c>
      <c r="K216" s="3" t="n">
        <v>95</v>
      </c>
      <c r="L216" s="3" t="n">
        <v>53.5</v>
      </c>
      <c r="M216" s="3" t="n">
        <v>93.95</v>
      </c>
      <c r="N216" s="3" t="n">
        <v>1633.93</v>
      </c>
      <c r="O216" s="4" t="inlineStr">
        <is>
          <t>United States</t>
        </is>
      </c>
      <c r="P216" s="4" t="inlineStr">
        <is>
          <t>United States</t>
        </is>
      </c>
      <c r="Q216" s="4" t="inlineStr">
        <is>
          <t>Friendly</t>
        </is>
      </c>
      <c r="R216" s="3" t="n">
        <v>405.481</v>
      </c>
      <c r="S216" s="3" t="n">
        <v>21.6417</v>
      </c>
      <c r="T216" s="4" t="inlineStr">
        <is>
          <t>PE Buyout, Going Private, Company Takeover, Private Equity</t>
        </is>
      </c>
      <c r="U216" s="2" t="inlineStr">
        <is>
          <t>No</t>
        </is>
      </c>
      <c r="V216" s="2" t="inlineStr">
        <is>
          <t>No</t>
        </is>
      </c>
      <c r="W216" s="2" t="inlineStr">
        <is>
          <t>No</t>
        </is>
      </c>
      <c r="X216" s="2" t="inlineStr">
        <is>
          <t>Yes</t>
        </is>
      </c>
      <c r="Y216" s="2" t="inlineStr">
        <is>
          <t>Yes</t>
        </is>
      </c>
      <c r="Z216" s="2" t="inlineStr">
        <is>
          <t>No</t>
        </is>
      </c>
      <c r="AA216" s="6" t="n">
        <v>3.28925887</v>
      </c>
      <c r="AB216" s="6" t="n">
        <v>2.607970509</v>
      </c>
      <c r="AC216" s="6" t="n">
        <v>3.213233447</v>
      </c>
      <c r="AD216">
        <f t="array" ref="AD216">IF(SUMPRODUCT(--($AM$2:$AM$112=TRIM(LEFT($B216,IFERROR(FIND(" ",$B216)-1,LEN($B216))))))&gt;0,1,0)</f>
        <v/>
      </c>
      <c r="AE216">
        <f t="array" ref="AE216">IF(SUMPRODUCT(--($AO$2:$AO$145=TRIM(LEFT($B216,IFERROR(FIND(" ",$B216)-1,LEN($B216))))))&gt;0,1,0)</f>
        <v/>
      </c>
      <c r="AF216">
        <f t="array" ref="AF216">IF(SUMPRODUCT(--($AQ$2:$AQ$71=TRIM(LEFT($B216,IFERROR(FIND(" ",$B216)-1,LEN($B216))))))&gt;0,1,0)</f>
        <v/>
      </c>
    </row>
    <row r="217" ht="150.75" customHeight="1" thickBot="1">
      <c r="A217" s="13" t="n">
        <v>157</v>
      </c>
      <c r="B217" s="4" t="inlineStr">
        <is>
          <t>AGR US</t>
        </is>
      </c>
      <c r="C217" s="4" t="inlineStr">
        <is>
          <t>IBE SM</t>
        </is>
      </c>
      <c r="D217" s="7" t="n">
        <v>45429</v>
      </c>
      <c r="E217" s="3" t="n">
        <v>2543.69</v>
      </c>
      <c r="F217" s="4" t="inlineStr">
        <is>
          <t>Cash</t>
        </is>
      </c>
      <c r="G217" s="3" t="n">
        <v>5.74</v>
      </c>
      <c r="H217" s="4" t="inlineStr">
        <is>
          <t>Utilities</t>
        </is>
      </c>
      <c r="I217" s="4" t="inlineStr">
        <is>
          <t>Utilities</t>
        </is>
      </c>
      <c r="J217" s="4" t="inlineStr">
        <is>
          <t>Electric Utilities</t>
        </is>
      </c>
      <c r="K217" s="4" t="n"/>
      <c r="L217" s="4" t="n"/>
      <c r="M217" s="3" t="n">
        <v>-2.97</v>
      </c>
      <c r="N217" s="3" t="n">
        <v>2543.69</v>
      </c>
      <c r="O217" s="4" t="inlineStr">
        <is>
          <t>United States</t>
        </is>
      </c>
      <c r="P217" s="4" t="inlineStr">
        <is>
          <t>Spain</t>
        </is>
      </c>
      <c r="Q217" s="4" t="inlineStr">
        <is>
          <t>Friendly</t>
        </is>
      </c>
      <c r="R217" s="3" t="n">
        <v>8309</v>
      </c>
      <c r="S217" s="3" t="n">
        <v>15.0718</v>
      </c>
      <c r="T217" s="4" t="inlineStr">
        <is>
          <t>Cross Border, Company Takeover, Additional Stake Purchase</t>
        </is>
      </c>
      <c r="U217" s="2" t="inlineStr">
        <is>
          <t>Yes</t>
        </is>
      </c>
      <c r="V217" s="2" t="inlineStr">
        <is>
          <t>No</t>
        </is>
      </c>
      <c r="W217" s="2" t="inlineStr">
        <is>
          <t>Yes</t>
        </is>
      </c>
      <c r="X217" s="2" t="inlineStr">
        <is>
          <t>No</t>
        </is>
      </c>
      <c r="Y217" s="2" t="inlineStr">
        <is>
          <t>No</t>
        </is>
      </c>
      <c r="Z217" s="2" t="inlineStr">
        <is>
          <t>No</t>
        </is>
      </c>
      <c r="AA217" s="6" t="n">
        <v>3.405464183</v>
      </c>
      <c r="AB217" s="6" t="n">
        <v>3.919548759</v>
      </c>
      <c r="AC217" s="6" t="n">
        <v>3.405464183</v>
      </c>
      <c r="AD217">
        <f t="array" ref="AD217">IF(SUMPRODUCT(--($AM$2:$AM$112=TRIM(LEFT($B217,IFERROR(FIND(" ",$B217)-1,LEN($B217))))))&gt;0,1,0)</f>
        <v/>
      </c>
      <c r="AE217">
        <f t="array" ref="AE217">IF(SUMPRODUCT(--($AO$2:$AO$145=TRIM(LEFT($B217,IFERROR(FIND(" ",$B217)-1,LEN($B217))))))&gt;0,1,0)</f>
        <v/>
      </c>
      <c r="AF217">
        <f t="array" ref="AF217">IF(SUMPRODUCT(--($AQ$2:$AQ$71=TRIM(LEFT($B217,IFERROR(FIND(" ",$B217)-1,LEN($B217))))))&gt;0,1,0)</f>
        <v/>
      </c>
    </row>
    <row r="218" ht="165.75" customHeight="1" thickBot="1">
      <c r="A218" s="13" t="n">
        <v>228</v>
      </c>
      <c r="B218" s="4" t="inlineStr">
        <is>
          <t>CTLT US</t>
        </is>
      </c>
      <c r="C218" s="4" t="inlineStr">
        <is>
          <t>3651071Z DC</t>
        </is>
      </c>
      <c r="D218" s="7" t="n">
        <v>45327</v>
      </c>
      <c r="E218" s="3" t="n">
        <v>16208.41</v>
      </c>
      <c r="F218" s="4" t="inlineStr">
        <is>
          <t>Cash</t>
        </is>
      </c>
      <c r="G218" s="3" t="n">
        <v>55.13</v>
      </c>
      <c r="H218" s="4" t="inlineStr">
        <is>
          <t>Health Care</t>
        </is>
      </c>
      <c r="I218" s="4" t="inlineStr">
        <is>
          <t>Health Care</t>
        </is>
      </c>
      <c r="J218" s="4" t="inlineStr">
        <is>
          <t>Health Care Facilities &amp; Svcs</t>
        </is>
      </c>
      <c r="K218" s="4" t="n"/>
      <c r="L218" s="4" t="n"/>
      <c r="M218" s="3" t="n">
        <v>26.4</v>
      </c>
      <c r="N218" s="3" t="n">
        <v>11471.41</v>
      </c>
      <c r="O218" s="4" t="inlineStr">
        <is>
          <t>United States</t>
        </is>
      </c>
      <c r="P218" s="4" t="inlineStr">
        <is>
          <t>Denmark</t>
        </is>
      </c>
      <c r="Q218" s="4" t="inlineStr">
        <is>
          <t>Friendly</t>
        </is>
      </c>
      <c r="R218" s="3" t="n">
        <v>4381</v>
      </c>
      <c r="S218" s="3" t="n">
        <v>-2.03528</v>
      </c>
      <c r="T218" s="4" t="inlineStr">
        <is>
          <t>Private Equity, PE Buyout, Going Private, Cross Border, Company Takeover</t>
        </is>
      </c>
      <c r="U218" s="2" t="inlineStr">
        <is>
          <t>No</t>
        </is>
      </c>
      <c r="V218" s="2" t="inlineStr">
        <is>
          <t>No</t>
        </is>
      </c>
      <c r="W218" s="2" t="inlineStr">
        <is>
          <t>Yes</t>
        </is>
      </c>
      <c r="X218" s="2" t="inlineStr">
        <is>
          <t>Yes</t>
        </is>
      </c>
      <c r="Y218" s="2" t="inlineStr">
        <is>
          <t>Yes</t>
        </is>
      </c>
      <c r="Z218" s="2" t="inlineStr">
        <is>
          <t>No</t>
        </is>
      </c>
      <c r="AA218" s="6" t="n">
        <v>4.209740414</v>
      </c>
      <c r="AB218" s="6" t="n">
        <v>3.641573253</v>
      </c>
      <c r="AC218" s="6" t="n">
        <v>4.059616802</v>
      </c>
      <c r="AD218">
        <f t="array" ref="AD218">IF(SUMPRODUCT(--($AM$2:$AM$112=TRIM(LEFT($B218,IFERROR(FIND(" ",$B218)-1,LEN($B218))))))&gt;0,1,0)</f>
        <v/>
      </c>
      <c r="AE218">
        <f t="array" ref="AE218">IF(SUMPRODUCT(--($AO$2:$AO$145=TRIM(LEFT($B218,IFERROR(FIND(" ",$B218)-1,LEN($B218))))))&gt;0,1,0)</f>
        <v/>
      </c>
      <c r="AF218">
        <f t="array" ref="AF218">IF(SUMPRODUCT(--($AQ$2:$AQ$71=TRIM(LEFT($B218,IFERROR(FIND(" ",$B218)-1,LEN($B218))))))&gt;0,1,0)</f>
        <v/>
      </c>
    </row>
    <row r="219" ht="60.75" customHeight="1" thickBot="1">
      <c r="A219" s="13" t="n">
        <v>557</v>
      </c>
      <c r="B219" s="4" t="inlineStr">
        <is>
          <t>ACRG/A/U CN</t>
        </is>
      </c>
      <c r="C219" s="4" t="inlineStr">
        <is>
          <t>WEED CN</t>
        </is>
      </c>
      <c r="D219" s="7" t="n">
        <v>44858</v>
      </c>
      <c r="E219" s="3" t="n">
        <v>3400</v>
      </c>
      <c r="F219" s="4" t="inlineStr">
        <is>
          <t>Stock</t>
        </is>
      </c>
      <c r="G219" s="4" t="n"/>
      <c r="H219" s="4" t="inlineStr">
        <is>
          <t>Consumer Staples</t>
        </is>
      </c>
      <c r="I219" s="4" t="inlineStr">
        <is>
          <t>Consumer Staple Products</t>
        </is>
      </c>
      <c r="J219" s="4" t="inlineStr">
        <is>
          <t>Tobacco &amp; Cannabis</t>
        </is>
      </c>
      <c r="K219" s="4" t="n"/>
      <c r="L219" s="4" t="n"/>
      <c r="M219" s="4" t="n"/>
      <c r="N219" s="3" t="n">
        <v>3199.76</v>
      </c>
      <c r="O219" s="4" t="inlineStr">
        <is>
          <t>Canada</t>
        </is>
      </c>
      <c r="P219" s="4" t="inlineStr">
        <is>
          <t>Canada</t>
        </is>
      </c>
      <c r="Q219" s="4" t="inlineStr">
        <is>
          <t>Friendly</t>
        </is>
      </c>
      <c r="R219" s="3" t="n">
        <v>223.378</v>
      </c>
      <c r="S219" s="3" t="n">
        <v>-35.1837</v>
      </c>
      <c r="T219" s="4" t="inlineStr">
        <is>
          <t>Company Takeover</t>
        </is>
      </c>
      <c r="U219" s="2" t="inlineStr">
        <is>
          <t>No</t>
        </is>
      </c>
      <c r="V219" s="2" t="inlineStr">
        <is>
          <t>No</t>
        </is>
      </c>
      <c r="W219" s="2" t="inlineStr">
        <is>
          <t>No</t>
        </is>
      </c>
      <c r="X219" s="2" t="inlineStr">
        <is>
          <t>No</t>
        </is>
      </c>
      <c r="Y219" s="2" t="inlineStr">
        <is>
          <t>No</t>
        </is>
      </c>
      <c r="Z219" s="2" t="inlineStr">
        <is>
          <t>No</t>
        </is>
      </c>
      <c r="AA219" s="6" t="n">
        <v>3.531478917</v>
      </c>
      <c r="AB219" s="6" t="n">
        <v>2.349040398</v>
      </c>
      <c r="AC219" s="6" t="n">
        <v>3.505117405</v>
      </c>
      <c r="AD219">
        <f t="array" ref="AD219">IF(SUMPRODUCT(--($AM$2:$AM$112=TRIM(LEFT($B219,IFERROR(FIND(" ",$B219)-1,LEN($B219))))))&gt;0,1,0)</f>
        <v/>
      </c>
      <c r="AE219">
        <f t="array" ref="AE219">IF(SUMPRODUCT(--($AO$2:$AO$145=TRIM(LEFT($B219,IFERROR(FIND(" ",$B219)-1,LEN($B219))))))&gt;0,1,0)</f>
        <v/>
      </c>
      <c r="AF219">
        <f t="array" ref="AF219">IF(SUMPRODUCT(--($AQ$2:$AQ$71=TRIM(LEFT($B219,IFERROR(FIND(" ",$B219)-1,LEN($B219))))))&gt;0,1,0)</f>
        <v/>
      </c>
    </row>
    <row r="220" ht="105.75" customHeight="1" thickBot="1">
      <c r="A220" s="13" t="n">
        <v>37</v>
      </c>
      <c r="B220" s="4" t="inlineStr">
        <is>
          <t>LBPH US</t>
        </is>
      </c>
      <c r="C220" s="4" t="inlineStr">
        <is>
          <t>HLUNB DC</t>
        </is>
      </c>
      <c r="D220" s="7" t="n">
        <v>45579</v>
      </c>
      <c r="E220" s="3" t="n">
        <v>2474.72</v>
      </c>
      <c r="F220" s="4" t="inlineStr">
        <is>
          <t>Cash</t>
        </is>
      </c>
      <c r="G220" s="4" t="n"/>
      <c r="H220" s="4" t="inlineStr">
        <is>
          <t>Health Care</t>
        </is>
      </c>
      <c r="I220" s="4" t="inlineStr">
        <is>
          <t>Health Care</t>
        </is>
      </c>
      <c r="J220" s="4" t="inlineStr">
        <is>
          <t>Biotech &amp; Pharma</t>
        </is>
      </c>
      <c r="K220" s="3" t="n">
        <v>158.9</v>
      </c>
      <c r="L220" s="3" t="n">
        <v>86.09999999999999</v>
      </c>
      <c r="M220" s="3" t="n">
        <v>79.73</v>
      </c>
      <c r="N220" s="3" t="n">
        <v>2775.73</v>
      </c>
      <c r="O220" s="4" t="inlineStr">
        <is>
          <t>United States</t>
        </is>
      </c>
      <c r="P220" s="4" t="inlineStr">
        <is>
          <t>Denmark</t>
        </is>
      </c>
      <c r="Q220" s="4" t="inlineStr">
        <is>
          <t>Friendly</t>
        </is>
      </c>
      <c r="R220" s="2" t="n"/>
      <c r="S220" s="2" t="n"/>
      <c r="T220" s="4" t="inlineStr">
        <is>
          <t>Tender Offer, Cross Border, Company Takeover</t>
        </is>
      </c>
      <c r="U220" s="2" t="inlineStr">
        <is>
          <t>No</t>
        </is>
      </c>
      <c r="V220" s="2" t="inlineStr">
        <is>
          <t>No</t>
        </is>
      </c>
      <c r="W220" s="2" t="inlineStr">
        <is>
          <t>Yes</t>
        </is>
      </c>
      <c r="X220" s="2" t="inlineStr">
        <is>
          <t>No</t>
        </is>
      </c>
      <c r="Y220" s="2" t="inlineStr">
        <is>
          <t>No</t>
        </is>
      </c>
      <c r="Z220" s="2" t="inlineStr">
        <is>
          <t>Yes</t>
        </is>
      </c>
      <c r="AA220" s="6" t="n">
        <v>3.393526068</v>
      </c>
      <c r="AB220" s="2" t="n"/>
      <c r="AC220" s="6" t="n">
        <v>3.443377219</v>
      </c>
      <c r="AD220">
        <f t="array" ref="AD220">IF(SUMPRODUCT(--($AM$2:$AM$112=TRIM(LEFT($B220,IFERROR(FIND(" ",$B220)-1,LEN($B220))))))&gt;0,1,0)</f>
        <v/>
      </c>
      <c r="AE220">
        <f t="array" ref="AE220">IF(SUMPRODUCT(--($AO$2:$AO$145=TRIM(LEFT($B220,IFERROR(FIND(" ",$B220)-1,LEN($B220))))))&gt;0,1,0)</f>
        <v/>
      </c>
      <c r="AF220">
        <f t="array" ref="AF220">IF(SUMPRODUCT(--($AQ$2:$AQ$71=TRIM(LEFT($B220,IFERROR(FIND(" ",$B220)-1,LEN($B220))))))&gt;0,1,0)</f>
        <v/>
      </c>
    </row>
    <row r="221" ht="75.75" customHeight="1" thickBot="1">
      <c r="A221" s="13" t="n">
        <v>206</v>
      </c>
      <c r="B221" s="4" t="inlineStr">
        <is>
          <t>VZIO US</t>
        </is>
      </c>
      <c r="C221" s="4" t="inlineStr">
        <is>
          <t>WMT US</t>
        </is>
      </c>
      <c r="D221" s="7" t="n">
        <v>45342</v>
      </c>
      <c r="E221" s="3" t="n">
        <v>2300</v>
      </c>
      <c r="F221" s="4" t="inlineStr">
        <is>
          <t>Cash</t>
        </is>
      </c>
      <c r="G221" s="3" t="n">
        <v>109.71</v>
      </c>
      <c r="H221" s="4" t="inlineStr">
        <is>
          <t>Technology</t>
        </is>
      </c>
      <c r="I221" s="4" t="inlineStr">
        <is>
          <t>Tech Hardware &amp; Semiconductors</t>
        </is>
      </c>
      <c r="J221" s="4" t="inlineStr">
        <is>
          <t>Technology Hardware</t>
        </is>
      </c>
      <c r="K221" s="4" t="n"/>
      <c r="L221" s="4" t="n"/>
      <c r="M221" s="4" t="n"/>
      <c r="N221" s="3" t="n">
        <v>2621.4</v>
      </c>
      <c r="O221" s="4" t="inlineStr">
        <is>
          <t>United States</t>
        </is>
      </c>
      <c r="P221" s="4" t="inlineStr">
        <is>
          <t>United States</t>
        </is>
      </c>
      <c r="Q221" s="4" t="inlineStr">
        <is>
          <t>Friendly</t>
        </is>
      </c>
      <c r="R221" s="3" t="n">
        <v>1680</v>
      </c>
      <c r="S221" s="3" t="n">
        <v>-1.35174</v>
      </c>
      <c r="T221" s="4" t="inlineStr">
        <is>
          <t>Company Takeover</t>
        </is>
      </c>
      <c r="U221" s="2" t="inlineStr">
        <is>
          <t>No</t>
        </is>
      </c>
      <c r="V221" s="2" t="inlineStr">
        <is>
          <t>No</t>
        </is>
      </c>
      <c r="W221" s="2" t="inlineStr">
        <is>
          <t>No</t>
        </is>
      </c>
      <c r="X221" s="2" t="inlineStr">
        <is>
          <t>No</t>
        </is>
      </c>
      <c r="Y221" s="2" t="inlineStr">
        <is>
          <t>No</t>
        </is>
      </c>
      <c r="Z221" s="2" t="inlineStr">
        <is>
          <t>No</t>
        </is>
      </c>
      <c r="AA221" s="6" t="n">
        <v>3.361727836</v>
      </c>
      <c r="AB221" s="6" t="n">
        <v>3.225309282</v>
      </c>
      <c r="AC221" s="6" t="n">
        <v>3.418533295</v>
      </c>
      <c r="AD221">
        <f t="array" ref="AD221">IF(SUMPRODUCT(--($AM$2:$AM$112=TRIM(LEFT($B221,IFERROR(FIND(" ",$B221)-1,LEN($B221))))))&gt;0,1,0)</f>
        <v/>
      </c>
      <c r="AE221">
        <f t="array" ref="AE221">IF(SUMPRODUCT(--($AO$2:$AO$145=TRIM(LEFT($B221,IFERROR(FIND(" ",$B221)-1,LEN($B221))))))&gt;0,1,0)</f>
        <v/>
      </c>
      <c r="AF221">
        <f t="array" ref="AF221">IF(SUMPRODUCT(--($AQ$2:$AQ$71=TRIM(LEFT($B221,IFERROR(FIND(" ",$B221)-1,LEN($B221))))))&gt;0,1,0)</f>
        <v/>
      </c>
    </row>
    <row r="222" ht="75.75" customHeight="1" thickBot="1">
      <c r="A222" s="13" t="n">
        <v>293</v>
      </c>
      <c r="B222" s="4" t="inlineStr">
        <is>
          <t>VSTO US</t>
        </is>
      </c>
      <c r="C222" s="4" t="inlineStr">
        <is>
          <t>2623275D CP</t>
        </is>
      </c>
      <c r="D222" s="7" t="n">
        <v>45214</v>
      </c>
      <c r="E222" s="3" t="n">
        <v>2504.42</v>
      </c>
      <c r="F222" s="4" t="inlineStr">
        <is>
          <t>Cash</t>
        </is>
      </c>
      <c r="G222" s="3" t="n">
        <v>11.01</v>
      </c>
      <c r="H222" s="4" t="inlineStr">
        <is>
          <t>Consumer Discretionary</t>
        </is>
      </c>
      <c r="I222" s="4" t="inlineStr">
        <is>
          <t>Consumer Discretionary Products</t>
        </is>
      </c>
      <c r="J222" s="4" t="inlineStr">
        <is>
          <t>Leisure Products</t>
        </is>
      </c>
      <c r="K222" s="4" t="n"/>
      <c r="L222" s="4" t="n"/>
      <c r="M222" s="3" t="n">
        <v>-18.92</v>
      </c>
      <c r="N222" s="3" t="n">
        <v>1493.62</v>
      </c>
      <c r="O222" s="4" t="inlineStr">
        <is>
          <t>United States</t>
        </is>
      </c>
      <c r="P222" s="4" t="inlineStr">
        <is>
          <t>Czech Republic</t>
        </is>
      </c>
      <c r="Q222" s="4" t="inlineStr">
        <is>
          <t>Friendly</t>
        </is>
      </c>
      <c r="R222" s="3" t="n">
        <v>2746.06</v>
      </c>
      <c r="S222" s="3" t="n">
        <v>1.08841</v>
      </c>
      <c r="T222" s="4" t="inlineStr">
        <is>
          <t>Company Takeover, Cross Border</t>
        </is>
      </c>
      <c r="U222" s="2" t="inlineStr">
        <is>
          <t>No</t>
        </is>
      </c>
      <c r="V222" s="2" t="inlineStr">
        <is>
          <t>No</t>
        </is>
      </c>
      <c r="W222" s="2" t="inlineStr">
        <is>
          <t>Yes</t>
        </is>
      </c>
      <c r="X222" s="2" t="inlineStr">
        <is>
          <t>No</t>
        </is>
      </c>
      <c r="Y222" s="2" t="inlineStr">
        <is>
          <t>No</t>
        </is>
      </c>
      <c r="Z222" s="2" t="inlineStr">
        <is>
          <t>No</t>
        </is>
      </c>
      <c r="AA222" s="6" t="n">
        <v>3.398707163</v>
      </c>
      <c r="AB222" s="6" t="n">
        <v>3.438710022</v>
      </c>
      <c r="AC222" s="6" t="n">
        <v>3.17424012</v>
      </c>
      <c r="AD222">
        <f t="array" ref="AD222">IF(SUMPRODUCT(--($AM$2:$AM$112=TRIM(LEFT($B222,IFERROR(FIND(" ",$B222)-1,LEN($B222))))))&gt;0,1,0)</f>
        <v/>
      </c>
      <c r="AE222">
        <f t="array" ref="AE222">IF(SUMPRODUCT(--($AO$2:$AO$145=TRIM(LEFT($B222,IFERROR(FIND(" ",$B222)-1,LEN($B222))))))&gt;0,1,0)</f>
        <v/>
      </c>
      <c r="AF222">
        <f t="array" ref="AF222">IF(SUMPRODUCT(--($AQ$2:$AQ$71=TRIM(LEFT($B222,IFERROR(FIND(" ",$B222)-1,LEN($B222))))))&gt;0,1,0)</f>
        <v/>
      </c>
    </row>
    <row r="223" ht="135.75" customHeight="1" thickBot="1">
      <c r="A223" s="13" t="n">
        <v>98</v>
      </c>
      <c r="B223" s="4" t="inlineStr">
        <is>
          <t>ENV US</t>
        </is>
      </c>
      <c r="C223" s="2" t="n"/>
      <c r="D223" s="7" t="n">
        <v>45484</v>
      </c>
      <c r="E223" s="3" t="n">
        <v>4410.29</v>
      </c>
      <c r="F223" s="4" t="inlineStr">
        <is>
          <t>Cash</t>
        </is>
      </c>
      <c r="G223" s="4" t="n"/>
      <c r="H223" s="4" t="inlineStr">
        <is>
          <t>Technology</t>
        </is>
      </c>
      <c r="I223" s="4" t="inlineStr">
        <is>
          <t>Software &amp; Tech Services</t>
        </is>
      </c>
      <c r="J223" s="4" t="inlineStr">
        <is>
          <t>Software</t>
        </is>
      </c>
      <c r="K223" s="3" t="n">
        <v>220</v>
      </c>
      <c r="L223" s="3" t="n">
        <v>90.65000000000001</v>
      </c>
      <c r="M223" s="3" t="n">
        <v>1.84</v>
      </c>
      <c r="N223" s="3" t="n">
        <v>3483.11</v>
      </c>
      <c r="O223" s="4" t="inlineStr">
        <is>
          <t>United States</t>
        </is>
      </c>
      <c r="P223" s="4" t="inlineStr">
        <is>
          <t>United States</t>
        </is>
      </c>
      <c r="Q223" s="4" t="inlineStr">
        <is>
          <t>Friendly</t>
        </is>
      </c>
      <c r="R223" s="3" t="n">
        <v>1245.62</v>
      </c>
      <c r="S223" s="3" t="n">
        <v>-17.8445</v>
      </c>
      <c r="T223" s="4" t="inlineStr">
        <is>
          <t>Company Takeover, Private Equity, PE Buyout, Going Private</t>
        </is>
      </c>
      <c r="U223" s="2" t="inlineStr">
        <is>
          <t>No</t>
        </is>
      </c>
      <c r="V223" s="2" t="inlineStr">
        <is>
          <t>No</t>
        </is>
      </c>
      <c r="W223" s="2" t="inlineStr">
        <is>
          <t>No</t>
        </is>
      </c>
      <c r="X223" s="2" t="inlineStr">
        <is>
          <t>Yes</t>
        </is>
      </c>
      <c r="Y223" s="2" t="inlineStr">
        <is>
          <t>Yes</t>
        </is>
      </c>
      <c r="Z223" s="2" t="inlineStr">
        <is>
          <t>No</t>
        </is>
      </c>
      <c r="AA223" s="6" t="n">
        <v>3.644467148</v>
      </c>
      <c r="AB223" s="6" t="n">
        <v>3.095385573</v>
      </c>
      <c r="AC223" s="6" t="n">
        <v>3.54196719</v>
      </c>
      <c r="AD223">
        <f t="array" ref="AD223">IF(SUMPRODUCT(--($AM$2:$AM$112=TRIM(LEFT($B223,IFERROR(FIND(" ",$B223)-1,LEN($B223))))))&gt;0,1,0)</f>
        <v/>
      </c>
      <c r="AE223">
        <f t="array" ref="AE223">IF(SUMPRODUCT(--($AO$2:$AO$145=TRIM(LEFT($B223,IFERROR(FIND(" ",$B223)-1,LEN($B223))))))&gt;0,1,0)</f>
        <v/>
      </c>
      <c r="AF223">
        <f t="array" ref="AF223">IF(SUMPRODUCT(--($AQ$2:$AQ$71=TRIM(LEFT($B223,IFERROR(FIND(" ",$B223)-1,LEN($B223))))))&gt;0,1,0)</f>
        <v/>
      </c>
    </row>
    <row r="224" ht="45.75" customHeight="1" thickBot="1">
      <c r="A224" s="13" t="n">
        <v>129</v>
      </c>
      <c r="B224" s="4" t="inlineStr">
        <is>
          <t>MRO US</t>
        </is>
      </c>
      <c r="C224" s="4" t="inlineStr">
        <is>
          <t>COP US</t>
        </is>
      </c>
      <c r="D224" s="7" t="n">
        <v>45440</v>
      </c>
      <c r="E224" s="3" t="n">
        <v>22921.61</v>
      </c>
      <c r="F224" s="4" t="inlineStr">
        <is>
          <t>Stock</t>
        </is>
      </c>
      <c r="G224" s="3" t="n">
        <v>4.64</v>
      </c>
      <c r="H224" s="4" t="inlineStr">
        <is>
          <t>Energy</t>
        </is>
      </c>
      <c r="I224" s="4" t="inlineStr">
        <is>
          <t>Oil &amp; Gas</t>
        </is>
      </c>
      <c r="J224" s="4" t="inlineStr">
        <is>
          <t>Oil &amp; Gas Supply Chain</t>
        </is>
      </c>
      <c r="K224" s="4" t="n"/>
      <c r="L224" s="4" t="n"/>
      <c r="M224" s="3" t="n">
        <v>17.43</v>
      </c>
      <c r="N224" s="3" t="n">
        <v>17542.61</v>
      </c>
      <c r="O224" s="4" t="inlineStr">
        <is>
          <t>United States</t>
        </is>
      </c>
      <c r="P224" s="4" t="inlineStr">
        <is>
          <t>United States</t>
        </is>
      </c>
      <c r="Q224" s="4" t="inlineStr">
        <is>
          <t>Friendly</t>
        </is>
      </c>
      <c r="R224" s="3" t="n">
        <v>6453</v>
      </c>
      <c r="S224" s="3" t="n">
        <v>28.6847</v>
      </c>
      <c r="T224" s="4" t="inlineStr">
        <is>
          <t>Company Takeover</t>
        </is>
      </c>
      <c r="U224" s="2" t="inlineStr">
        <is>
          <t>No</t>
        </is>
      </c>
      <c r="V224" s="2" t="inlineStr">
        <is>
          <t>No</t>
        </is>
      </c>
      <c r="W224" s="2" t="inlineStr">
        <is>
          <t>No</t>
        </is>
      </c>
      <c r="X224" s="2" t="inlineStr">
        <is>
          <t>No</t>
        </is>
      </c>
      <c r="Y224" s="2" t="inlineStr">
        <is>
          <t>No</t>
        </is>
      </c>
      <c r="Z224" s="2" t="inlineStr">
        <is>
          <t>No</t>
        </is>
      </c>
      <c r="AA224" s="6" t="n">
        <v>4.360245119</v>
      </c>
      <c r="AB224" s="6" t="n">
        <v>3.809761665</v>
      </c>
      <c r="AC224" s="6" t="n">
        <v>4.244094208</v>
      </c>
      <c r="AD224">
        <f t="array" ref="AD224">IF(SUMPRODUCT(--($AM$2:$AM$112=TRIM(LEFT($B224,IFERROR(FIND(" ",$B224)-1,LEN($B224))))))&gt;0,1,0)</f>
        <v/>
      </c>
      <c r="AE224">
        <f t="array" ref="AE224">IF(SUMPRODUCT(--($AO$2:$AO$145=TRIM(LEFT($B224,IFERROR(FIND(" ",$B224)-1,LEN($B224))))))&gt;0,1,0)</f>
        <v/>
      </c>
      <c r="AF224">
        <f t="array" ref="AF224">IF(SUMPRODUCT(--($AQ$2:$AQ$71=TRIM(LEFT($B224,IFERROR(FIND(" ",$B224)-1,LEN($B224))))))&gt;0,1,0)</f>
        <v/>
      </c>
    </row>
    <row r="225" ht="75.75" customHeight="1" thickBot="1">
      <c r="A225" s="13" t="n">
        <v>210</v>
      </c>
      <c r="B225" s="4" t="inlineStr">
        <is>
          <t>HAYN US</t>
        </is>
      </c>
      <c r="C225" s="4" t="inlineStr">
        <is>
          <t>ACX SM</t>
        </is>
      </c>
      <c r="D225" s="7" t="n">
        <v>45327</v>
      </c>
      <c r="E225" s="3" t="n">
        <v>800.9400000000001</v>
      </c>
      <c r="F225" s="4" t="inlineStr">
        <is>
          <t>Cash</t>
        </is>
      </c>
      <c r="G225" s="3" t="n">
        <v>10.06</v>
      </c>
      <c r="H225" s="4" t="inlineStr">
        <is>
          <t>Materials</t>
        </is>
      </c>
      <c r="I225" s="4" t="inlineStr">
        <is>
          <t>Materials</t>
        </is>
      </c>
      <c r="J225" s="4" t="inlineStr">
        <is>
          <t>Steel</t>
        </is>
      </c>
      <c r="K225" s="4" t="n"/>
      <c r="L225" s="3" t="n">
        <v>28</v>
      </c>
      <c r="M225" s="3" t="n">
        <v>13.09</v>
      </c>
      <c r="N225" s="3" t="n">
        <v>802.85</v>
      </c>
      <c r="O225" s="4" t="inlineStr">
        <is>
          <t>United States</t>
        </is>
      </c>
      <c r="P225" s="4" t="inlineStr">
        <is>
          <t>Spain</t>
        </is>
      </c>
      <c r="Q225" s="4" t="inlineStr">
        <is>
          <t>Friendly</t>
        </is>
      </c>
      <c r="R225" s="3" t="n">
        <v>589.956</v>
      </c>
      <c r="S225" s="3" t="n">
        <v>8.38974</v>
      </c>
      <c r="T225" s="4" t="inlineStr">
        <is>
          <t>Company Takeover, Cross Border</t>
        </is>
      </c>
      <c r="U225" s="2" t="inlineStr">
        <is>
          <t>No</t>
        </is>
      </c>
      <c r="V225" s="2" t="inlineStr">
        <is>
          <t>No</t>
        </is>
      </c>
      <c r="W225" s="2" t="inlineStr">
        <is>
          <t>Yes</t>
        </is>
      </c>
      <c r="X225" s="2" t="inlineStr">
        <is>
          <t>No</t>
        </is>
      </c>
      <c r="Y225" s="2" t="inlineStr">
        <is>
          <t>No</t>
        </is>
      </c>
      <c r="Z225" s="2" t="inlineStr">
        <is>
          <t>No</t>
        </is>
      </c>
      <c r="AA225" s="6" t="n">
        <v>2.903599983</v>
      </c>
      <c r="AB225" s="6" t="n">
        <v>2.770819622</v>
      </c>
      <c r="AC225" s="6" t="n">
        <v>2.904634412</v>
      </c>
      <c r="AD225">
        <f t="array" ref="AD225">IF(SUMPRODUCT(--($AM$2:$AM$112=TRIM(LEFT($B225,IFERROR(FIND(" ",$B225)-1,LEN($B225))))))&gt;0,1,0)</f>
        <v/>
      </c>
      <c r="AE225">
        <f t="array" ref="AE225">IF(SUMPRODUCT(--($AO$2:$AO$145=TRIM(LEFT($B225,IFERROR(FIND(" ",$B225)-1,LEN($B225))))))&gt;0,1,0)</f>
        <v/>
      </c>
      <c r="AF225">
        <f t="array" ref="AF225">IF(SUMPRODUCT(--($AQ$2:$AQ$71=TRIM(LEFT($B225,IFERROR(FIND(" ",$B225)-1,LEN($B225))))))&gt;0,1,0)</f>
        <v/>
      </c>
    </row>
    <row r="226" ht="225.75" customHeight="1" thickBot="1">
      <c r="A226" s="13" t="n">
        <v>80</v>
      </c>
      <c r="B226" s="4" t="inlineStr">
        <is>
          <t>RCM US</t>
        </is>
      </c>
      <c r="C226" s="2" t="n"/>
      <c r="D226" s="7" t="n">
        <v>45505</v>
      </c>
      <c r="E226" s="3" t="n">
        <v>6079.37</v>
      </c>
      <c r="F226" s="4" t="inlineStr">
        <is>
          <t>Cash</t>
        </is>
      </c>
      <c r="G226" s="3" t="n">
        <v>4.99</v>
      </c>
      <c r="H226" s="4" t="inlineStr">
        <is>
          <t>Industrials</t>
        </is>
      </c>
      <c r="I226" s="4" t="inlineStr">
        <is>
          <t>Industrial Services</t>
        </is>
      </c>
      <c r="J226" s="4" t="inlineStr">
        <is>
          <t>Commercial Support Services</t>
        </is>
      </c>
      <c r="K226" s="4" t="n"/>
      <c r="L226" s="4" t="n"/>
      <c r="M226" s="3" t="n">
        <v>12.17</v>
      </c>
      <c r="N226" s="3" t="n">
        <v>3867.67</v>
      </c>
      <c r="O226" s="4" t="inlineStr">
        <is>
          <t>United States</t>
        </is>
      </c>
      <c r="P226" s="4" t="inlineStr">
        <is>
          <t>United States</t>
        </is>
      </c>
      <c r="Q226" s="4" t="inlineStr">
        <is>
          <t>Friendly</t>
        </is>
      </c>
      <c r="R226" s="3" t="n">
        <v>2254.2</v>
      </c>
      <c r="S226" s="3" t="n">
        <v>4.14011</v>
      </c>
      <c r="T226" s="4" t="inlineStr">
        <is>
          <t>PE Buyout, Additional Stake Purchase, Company Takeover, Private Equity, Competing Bid, Going Private</t>
        </is>
      </c>
      <c r="U226" s="2" t="inlineStr">
        <is>
          <t>Yes</t>
        </is>
      </c>
      <c r="V226" s="2" t="inlineStr">
        <is>
          <t>Yes</t>
        </is>
      </c>
      <c r="W226" s="2" t="inlineStr">
        <is>
          <t>No</t>
        </is>
      </c>
      <c r="X226" s="2" t="inlineStr">
        <is>
          <t>Yes</t>
        </is>
      </c>
      <c r="Y226" s="2" t="inlineStr">
        <is>
          <t>Yes</t>
        </is>
      </c>
      <c r="Z226" s="2" t="inlineStr">
        <is>
          <t>No</t>
        </is>
      </c>
      <c r="AA226" s="6" t="n">
        <v>3.783858576</v>
      </c>
      <c r="AB226" s="6" t="n">
        <v>3.352992445</v>
      </c>
      <c r="AC226" s="6" t="n">
        <v>3.587449412</v>
      </c>
      <c r="AD226">
        <f t="array" ref="AD226">IF(SUMPRODUCT(--($AM$2:$AM$112=TRIM(LEFT($B226,IFERROR(FIND(" ",$B226)-1,LEN($B226))))))&gt;0,1,0)</f>
        <v/>
      </c>
      <c r="AE226">
        <f t="array" ref="AE226">IF(SUMPRODUCT(--($AO$2:$AO$145=TRIM(LEFT($B226,IFERROR(FIND(" ",$B226)-1,LEN($B226))))))&gt;0,1,0)</f>
        <v/>
      </c>
      <c r="AF226">
        <f t="array" ref="AF226">IF(SUMPRODUCT(--($AQ$2:$AQ$71=TRIM(LEFT($B226,IFERROR(FIND(" ",$B226)-1,LEN($B226))))))&gt;0,1,0)</f>
        <v/>
      </c>
    </row>
    <row r="227" ht="165.75" customHeight="1" thickBot="1">
      <c r="A227" s="13" t="n">
        <v>167</v>
      </c>
      <c r="B227" s="4" t="inlineStr">
        <is>
          <t>NVEI CN</t>
        </is>
      </c>
      <c r="C227" s="4" t="inlineStr">
        <is>
          <t>13620Z US</t>
        </is>
      </c>
      <c r="D227" s="7" t="n">
        <v>45383</v>
      </c>
      <c r="E227" s="3" t="n">
        <v>6300</v>
      </c>
      <c r="F227" s="4" t="inlineStr">
        <is>
          <t>Cash</t>
        </is>
      </c>
      <c r="G227" s="3" t="n">
        <v>4.3</v>
      </c>
      <c r="H227" s="4" t="inlineStr">
        <is>
          <t>Financials</t>
        </is>
      </c>
      <c r="I227" s="4" t="inlineStr">
        <is>
          <t>Financial Services</t>
        </is>
      </c>
      <c r="J227" s="4" t="inlineStr">
        <is>
          <t>Specialty Finance</t>
        </is>
      </c>
      <c r="K227" s="3" t="n">
        <v>250</v>
      </c>
      <c r="L227" s="3" t="n">
        <v>150</v>
      </c>
      <c r="M227" s="4" t="n"/>
      <c r="N227" s="3" t="n">
        <v>6300</v>
      </c>
      <c r="O227" s="4" t="inlineStr">
        <is>
          <t>Canada</t>
        </is>
      </c>
      <c r="P227" s="4" t="inlineStr">
        <is>
          <t>United States</t>
        </is>
      </c>
      <c r="Q227" s="4" t="inlineStr">
        <is>
          <t>Friendly</t>
        </is>
      </c>
      <c r="R227" s="3" t="n">
        <v>1189.89</v>
      </c>
      <c r="S227" s="3" t="n">
        <v>13.3874</v>
      </c>
      <c r="T227" s="4" t="inlineStr">
        <is>
          <t>Company Takeover, PE Buyout, Going Private, Cross Border, Private Equity</t>
        </is>
      </c>
      <c r="U227" s="2" t="inlineStr">
        <is>
          <t>No</t>
        </is>
      </c>
      <c r="V227" s="2" t="inlineStr">
        <is>
          <t>No</t>
        </is>
      </c>
      <c r="W227" s="2" t="inlineStr">
        <is>
          <t>Yes</t>
        </is>
      </c>
      <c r="X227" s="2" t="inlineStr">
        <is>
          <t>Yes</t>
        </is>
      </c>
      <c r="Y227" s="2" t="inlineStr">
        <is>
          <t>Yes</t>
        </is>
      </c>
      <c r="Z227" s="2" t="inlineStr">
        <is>
          <t>No</t>
        </is>
      </c>
      <c r="AA227" s="6" t="n">
        <v>3.799340549</v>
      </c>
      <c r="AB227" s="6" t="n">
        <v>3.075506815</v>
      </c>
      <c r="AC227" s="6" t="n">
        <v>3.799340549</v>
      </c>
      <c r="AD227">
        <f t="array" ref="AD227">IF(SUMPRODUCT(--($AM$2:$AM$112=TRIM(LEFT($B227,IFERROR(FIND(" ",$B227)-1,LEN($B227))))))&gt;0,1,0)</f>
        <v/>
      </c>
      <c r="AE227">
        <f t="array" ref="AE227">IF(SUMPRODUCT(--($AO$2:$AO$145=TRIM(LEFT($B227,IFERROR(FIND(" ",$B227)-1,LEN($B227))))))&gt;0,1,0)</f>
        <v/>
      </c>
      <c r="AF227">
        <f t="array" ref="AF227">IF(SUMPRODUCT(--($AQ$2:$AQ$71=TRIM(LEFT($B227,IFERROR(FIND(" ",$B227)-1,LEN($B227))))))&gt;0,1,0)</f>
        <v/>
      </c>
    </row>
    <row r="228" ht="60.75" customHeight="1" thickBot="1">
      <c r="A228" s="13" t="n">
        <v>226</v>
      </c>
      <c r="B228" s="4" t="inlineStr">
        <is>
          <t>AXNX US</t>
        </is>
      </c>
      <c r="C228" s="4" t="inlineStr">
        <is>
          <t>BSX US</t>
        </is>
      </c>
      <c r="D228" s="7" t="n">
        <v>45299</v>
      </c>
      <c r="E228" s="3" t="n">
        <v>3315.6</v>
      </c>
      <c r="F228" s="4" t="inlineStr">
        <is>
          <t>Cash</t>
        </is>
      </c>
      <c r="G228" s="4" t="n"/>
      <c r="H228" s="4" t="inlineStr">
        <is>
          <t>Health Care</t>
        </is>
      </c>
      <c r="I228" s="4" t="inlineStr">
        <is>
          <t>Health Care</t>
        </is>
      </c>
      <c r="J228" s="4" t="inlineStr">
        <is>
          <t>Medical Equipment &amp; Devices</t>
        </is>
      </c>
      <c r="K228" s="3" t="n">
        <v>140</v>
      </c>
      <c r="L228" s="4" t="n"/>
      <c r="M228" s="3" t="n">
        <v>19.66</v>
      </c>
      <c r="N228" s="3" t="n">
        <v>3657.47</v>
      </c>
      <c r="O228" s="4" t="inlineStr">
        <is>
          <t>United States</t>
        </is>
      </c>
      <c r="P228" s="4" t="inlineStr">
        <is>
          <t>United States</t>
        </is>
      </c>
      <c r="Q228" s="4" t="inlineStr">
        <is>
          <t>Friendly</t>
        </is>
      </c>
      <c r="R228" s="3" t="n">
        <v>366.379</v>
      </c>
      <c r="S228" s="3" t="n">
        <v>-4.79275</v>
      </c>
      <c r="T228" s="4" t="inlineStr">
        <is>
          <t>Company Takeover</t>
        </is>
      </c>
      <c r="U228" s="2" t="inlineStr">
        <is>
          <t>No</t>
        </is>
      </c>
      <c r="V228" s="2" t="inlineStr">
        <is>
          <t>No</t>
        </is>
      </c>
      <c r="W228" s="2" t="inlineStr">
        <is>
          <t>No</t>
        </is>
      </c>
      <c r="X228" s="2" t="inlineStr">
        <is>
          <t>No</t>
        </is>
      </c>
      <c r="Y228" s="2" t="inlineStr">
        <is>
          <t>No</t>
        </is>
      </c>
      <c r="Z228" s="2" t="inlineStr">
        <is>
          <t>No</t>
        </is>
      </c>
      <c r="AA228" s="6" t="n">
        <v>3.520562131</v>
      </c>
      <c r="AB228" s="6" t="n">
        <v>2.563930573</v>
      </c>
      <c r="AC228" s="6" t="n">
        <v>3.563180773</v>
      </c>
      <c r="AD228">
        <f t="array" ref="AD228">IF(SUMPRODUCT(--($AM$2:$AM$112=TRIM(LEFT($B228,IFERROR(FIND(" ",$B228)-1,LEN($B228))))))&gt;0,1,0)</f>
        <v/>
      </c>
      <c r="AE228">
        <f t="array" ref="AE228">IF(SUMPRODUCT(--($AO$2:$AO$145=TRIM(LEFT($B228,IFERROR(FIND(" ",$B228)-1,LEN($B228))))))&gt;0,1,0)</f>
        <v/>
      </c>
      <c r="AF228">
        <f t="array" ref="AF228">IF(SUMPRODUCT(--($AQ$2:$AQ$71=TRIM(LEFT($B228,IFERROR(FIND(" ",$B228)-1,LEN($B228))))))&gt;0,1,0)</f>
        <v/>
      </c>
    </row>
    <row r="229" ht="210.75" customHeight="1" thickBot="1">
      <c r="A229" s="13" t="n">
        <v>74</v>
      </c>
      <c r="B229" s="4" t="inlineStr">
        <is>
          <t>TWKS US</t>
        </is>
      </c>
      <c r="C229" s="4" t="inlineStr">
        <is>
          <t>6212Z LN</t>
        </is>
      </c>
      <c r="D229" s="7" t="n">
        <v>45509</v>
      </c>
      <c r="E229" s="3" t="n">
        <v>1672.04</v>
      </c>
      <c r="F229" s="4" t="inlineStr">
        <is>
          <t>Cash</t>
        </is>
      </c>
      <c r="G229" s="4" t="n"/>
      <c r="H229" s="4" t="inlineStr">
        <is>
          <t>Technology</t>
        </is>
      </c>
      <c r="I229" s="4" t="inlineStr">
        <is>
          <t>Software &amp; Tech Services</t>
        </is>
      </c>
      <c r="J229" s="4" t="inlineStr">
        <is>
          <t>IT Services</t>
        </is>
      </c>
      <c r="K229" s="4" t="n"/>
      <c r="L229" s="3" t="n">
        <v>38</v>
      </c>
      <c r="M229" s="3" t="n">
        <v>44.81</v>
      </c>
      <c r="N229" s="3" t="n">
        <v>1434.07</v>
      </c>
      <c r="O229" s="4" t="inlineStr">
        <is>
          <t>United States</t>
        </is>
      </c>
      <c r="P229" s="4" t="inlineStr">
        <is>
          <t>United Kingdom</t>
        </is>
      </c>
      <c r="Q229" s="4" t="inlineStr">
        <is>
          <t>Friendly</t>
        </is>
      </c>
      <c r="R229" s="3" t="n">
        <v>1126.82</v>
      </c>
      <c r="S229" s="3" t="n">
        <v>-1.8026</v>
      </c>
      <c r="T229" s="4" t="inlineStr">
        <is>
          <t>Company Takeover, Going Private, Additional Stake Purchase, PE Buyout, Cross Border, Private Equity</t>
        </is>
      </c>
      <c r="U229" s="2" t="inlineStr">
        <is>
          <t>Yes</t>
        </is>
      </c>
      <c r="V229" s="2" t="inlineStr">
        <is>
          <t>No</t>
        </is>
      </c>
      <c r="W229" s="2" t="inlineStr">
        <is>
          <t>Yes</t>
        </is>
      </c>
      <c r="X229" s="2" t="inlineStr">
        <is>
          <t>Yes</t>
        </is>
      </c>
      <c r="Y229" s="2" t="inlineStr">
        <is>
          <t>Yes</t>
        </is>
      </c>
      <c r="Z229" s="2" t="inlineStr">
        <is>
          <t>No</t>
        </is>
      </c>
      <c r="AA229" s="6" t="n">
        <v>3.223246663</v>
      </c>
      <c r="AB229" s="6" t="n">
        <v>3.051854547</v>
      </c>
      <c r="AC229" s="6" t="n">
        <v>3.156570351</v>
      </c>
      <c r="AD229">
        <f t="array" ref="AD229">IF(SUMPRODUCT(--($AM$2:$AM$112=TRIM(LEFT($B229,IFERROR(FIND(" ",$B229)-1,LEN($B229))))))&gt;0,1,0)</f>
        <v/>
      </c>
      <c r="AE229">
        <f t="array" ref="AE229">IF(SUMPRODUCT(--($AO$2:$AO$145=TRIM(LEFT($B229,IFERROR(FIND(" ",$B229)-1,LEN($B229))))))&gt;0,1,0)</f>
        <v/>
      </c>
      <c r="AF229">
        <f t="array" ref="AF229">IF(SUMPRODUCT(--($AQ$2:$AQ$71=TRIM(LEFT($B229,IFERROR(FIND(" ",$B229)-1,LEN($B229))))))&gt;0,1,0)</f>
        <v/>
      </c>
    </row>
    <row r="230" ht="135.75" customHeight="1" thickBot="1">
      <c r="A230" s="13" t="n">
        <v>80</v>
      </c>
      <c r="B230" s="4" t="inlineStr">
        <is>
          <t>INST US</t>
        </is>
      </c>
      <c r="C230" s="2" t="n"/>
      <c r="D230" s="7" t="n">
        <v>45498</v>
      </c>
      <c r="E230" s="3" t="n">
        <v>4528.22</v>
      </c>
      <c r="F230" s="4" t="inlineStr">
        <is>
          <t>Cash</t>
        </is>
      </c>
      <c r="G230" s="3" t="n">
        <v>30.19</v>
      </c>
      <c r="H230" s="4" t="inlineStr">
        <is>
          <t>Technology</t>
        </is>
      </c>
      <c r="I230" s="4" t="inlineStr">
        <is>
          <t>Software &amp; Tech Services</t>
        </is>
      </c>
      <c r="J230" s="4" t="inlineStr">
        <is>
          <t>Software</t>
        </is>
      </c>
      <c r="K230" s="4" t="n"/>
      <c r="L230" s="4" t="n"/>
      <c r="M230" s="3" t="n">
        <v>-1.97</v>
      </c>
      <c r="N230" s="3" t="n">
        <v>3443.9</v>
      </c>
      <c r="O230" s="4" t="inlineStr">
        <is>
          <t>United States</t>
        </is>
      </c>
      <c r="P230" s="4" t="inlineStr">
        <is>
          <t>United States</t>
        </is>
      </c>
      <c r="Q230" s="4" t="inlineStr">
        <is>
          <t>Friendly</t>
        </is>
      </c>
      <c r="R230" s="3" t="n">
        <v>530.21</v>
      </c>
      <c r="S230" s="3" t="n">
        <v>-2.9839</v>
      </c>
      <c r="T230" s="4" t="inlineStr">
        <is>
          <t>PE Buyout, Company Takeover, Private Equity, Going Private</t>
        </is>
      </c>
      <c r="U230" s="2" t="inlineStr">
        <is>
          <t>No</t>
        </is>
      </c>
      <c r="V230" s="2" t="inlineStr">
        <is>
          <t>No</t>
        </is>
      </c>
      <c r="W230" s="2" t="inlineStr">
        <is>
          <t>No</t>
        </is>
      </c>
      <c r="X230" s="2" t="inlineStr">
        <is>
          <t>Yes</t>
        </is>
      </c>
      <c r="Y230" s="2" t="inlineStr">
        <is>
          <t>Yes</t>
        </is>
      </c>
      <c r="Z230" s="2" t="inlineStr">
        <is>
          <t>No</t>
        </is>
      </c>
      <c r="AA230" s="6" t="n">
        <v>3.655927519</v>
      </c>
      <c r="AB230" s="6" t="n">
        <v>2.724447914</v>
      </c>
      <c r="AC230" s="6" t="n">
        <v>3.537050532</v>
      </c>
      <c r="AD230">
        <f t="array" ref="AD230">IF(SUMPRODUCT(--($AM$2:$AM$112=TRIM(LEFT($B230,IFERROR(FIND(" ",$B230)-1,LEN($B230))))))&gt;0,1,0)</f>
        <v/>
      </c>
      <c r="AE230">
        <f t="array" ref="AE230">IF(SUMPRODUCT(--($AO$2:$AO$145=TRIM(LEFT($B230,IFERROR(FIND(" ",$B230)-1,LEN($B230))))))&gt;0,1,0)</f>
        <v/>
      </c>
      <c r="AF230">
        <f t="array" ref="AF230">IF(SUMPRODUCT(--($AQ$2:$AQ$71=TRIM(LEFT($B230,IFERROR(FIND(" ",$B230)-1,LEN($B230))))))&gt;0,1,0)</f>
        <v/>
      </c>
    </row>
    <row r="231" ht="60.75" customHeight="1" thickBot="1">
      <c r="A231" s="13" t="n">
        <v>112</v>
      </c>
      <c r="B231" s="4" t="inlineStr">
        <is>
          <t>SRCL US</t>
        </is>
      </c>
      <c r="C231" s="4" t="inlineStr">
        <is>
          <t>WM US</t>
        </is>
      </c>
      <c r="D231" s="7" t="n">
        <v>45446</v>
      </c>
      <c r="E231" s="3" t="n">
        <v>7654.49</v>
      </c>
      <c r="F231" s="4" t="inlineStr">
        <is>
          <t>Cash</t>
        </is>
      </c>
      <c r="G231" s="3" t="n">
        <v>4.51</v>
      </c>
      <c r="H231" s="4" t="inlineStr">
        <is>
          <t>Industrials</t>
        </is>
      </c>
      <c r="I231" s="4" t="inlineStr">
        <is>
          <t>Industrial Services</t>
        </is>
      </c>
      <c r="J231" s="4" t="inlineStr">
        <is>
          <t>Commercial Support Services</t>
        </is>
      </c>
      <c r="K231" s="4" t="n"/>
      <c r="L231" s="4" t="n"/>
      <c r="M231" s="3" t="n">
        <v>30.99</v>
      </c>
      <c r="N231" s="3" t="n">
        <v>5752.69</v>
      </c>
      <c r="O231" s="4" t="inlineStr">
        <is>
          <t>United States</t>
        </is>
      </c>
      <c r="P231" s="4" t="inlineStr">
        <is>
          <t>United States</t>
        </is>
      </c>
      <c r="Q231" s="4" t="inlineStr">
        <is>
          <t>Friendly</t>
        </is>
      </c>
      <c r="R231" s="3" t="n">
        <v>2659.3</v>
      </c>
      <c r="S231" s="3" t="n">
        <v>4.39682</v>
      </c>
      <c r="T231" s="4" t="inlineStr">
        <is>
          <t>Company Takeover</t>
        </is>
      </c>
      <c r="U231" s="2" t="inlineStr">
        <is>
          <t>No</t>
        </is>
      </c>
      <c r="V231" s="2" t="inlineStr">
        <is>
          <t>No</t>
        </is>
      </c>
      <c r="W231" s="2" t="inlineStr">
        <is>
          <t>No</t>
        </is>
      </c>
      <c r="X231" s="2" t="inlineStr">
        <is>
          <t>No</t>
        </is>
      </c>
      <c r="Y231" s="2" t="inlineStr">
        <is>
          <t>No</t>
        </is>
      </c>
      <c r="Z231" s="2" t="inlineStr">
        <is>
          <t>No</t>
        </is>
      </c>
      <c r="AA231" s="6" t="n">
        <v>3.88391626</v>
      </c>
      <c r="AB231" s="6" t="n">
        <v>3.424767334</v>
      </c>
      <c r="AC231" s="6" t="n">
        <v>3.759870971</v>
      </c>
      <c r="AD231">
        <f t="array" ref="AD231">IF(SUMPRODUCT(--($AM$2:$AM$112=TRIM(LEFT($B231,IFERROR(FIND(" ",$B231)-1,LEN($B231))))))&gt;0,1,0)</f>
        <v/>
      </c>
      <c r="AE231">
        <f t="array" ref="AE231">IF(SUMPRODUCT(--($AO$2:$AO$145=TRIM(LEFT($B231,IFERROR(FIND(" ",$B231)-1,LEN($B231))))))&gt;0,1,0)</f>
        <v/>
      </c>
      <c r="AF231">
        <f t="array" ref="AF231">IF(SUMPRODUCT(--($AQ$2:$AQ$71=TRIM(LEFT($B231,IFERROR(FIND(" ",$B231)-1,LEN($B231))))))&gt;0,1,0)</f>
        <v/>
      </c>
    </row>
    <row r="232" ht="75.75" customHeight="1" thickBot="1">
      <c r="A232" s="13" t="n">
        <v>82</v>
      </c>
      <c r="B232" s="4" t="inlineStr">
        <is>
          <t>STLC CN</t>
        </is>
      </c>
      <c r="C232" s="4" t="inlineStr">
        <is>
          <t>CLF US</t>
        </is>
      </c>
      <c r="D232" s="7" t="n">
        <v>45488</v>
      </c>
      <c r="E232" s="3" t="n">
        <v>2492.54</v>
      </c>
      <c r="F232" s="4" t="inlineStr">
        <is>
          <t>Cash and Stock</t>
        </is>
      </c>
      <c r="G232" s="3" t="n">
        <v>7.13</v>
      </c>
      <c r="H232" s="4" t="inlineStr">
        <is>
          <t>Materials</t>
        </is>
      </c>
      <c r="I232" s="4" t="inlineStr">
        <is>
          <t>Materials</t>
        </is>
      </c>
      <c r="J232" s="4" t="inlineStr">
        <is>
          <t>Steel</t>
        </is>
      </c>
      <c r="K232" s="3" t="n">
        <v>131</v>
      </c>
      <c r="L232" s="3" t="n">
        <v>100</v>
      </c>
      <c r="M232" s="4" t="n"/>
      <c r="N232" s="3" t="n">
        <v>2664.49</v>
      </c>
      <c r="O232" s="4" t="inlineStr">
        <is>
          <t>Canada</t>
        </is>
      </c>
      <c r="P232" s="4" t="inlineStr">
        <is>
          <t>United States</t>
        </is>
      </c>
      <c r="Q232" s="4" t="inlineStr">
        <is>
          <t>Friendly</t>
        </is>
      </c>
      <c r="R232" s="3" t="n">
        <v>2161.99</v>
      </c>
      <c r="S232" s="3" t="n">
        <v>12.3115</v>
      </c>
      <c r="T232" s="4" t="inlineStr">
        <is>
          <t>Cross Border, Company Takeover</t>
        </is>
      </c>
      <c r="U232" s="2" t="inlineStr">
        <is>
          <t>No</t>
        </is>
      </c>
      <c r="V232" s="2" t="inlineStr">
        <is>
          <t>No</t>
        </is>
      </c>
      <c r="W232" s="2" t="inlineStr">
        <is>
          <t>Yes</t>
        </is>
      </c>
      <c r="X232" s="2" t="inlineStr">
        <is>
          <t>No</t>
        </is>
      </c>
      <c r="Y232" s="2" t="inlineStr">
        <is>
          <t>No</t>
        </is>
      </c>
      <c r="Z232" s="2" t="inlineStr">
        <is>
          <t>No</t>
        </is>
      </c>
      <c r="AA232" s="6" t="n">
        <v>3.396642137</v>
      </c>
      <c r="AB232" s="6" t="n">
        <v>3.334853681</v>
      </c>
      <c r="AC232" s="6" t="n">
        <v>3.425614095</v>
      </c>
      <c r="AD232">
        <f t="array" ref="AD232">IF(SUMPRODUCT(--($AM$2:$AM$112=TRIM(LEFT($B232,IFERROR(FIND(" ",$B232)-1,LEN($B232))))))&gt;0,1,0)</f>
        <v/>
      </c>
      <c r="AE232">
        <f t="array" ref="AE232">IF(SUMPRODUCT(--($AO$2:$AO$145=TRIM(LEFT($B232,IFERROR(FIND(" ",$B232)-1,LEN($B232))))))&gt;0,1,0)</f>
        <v/>
      </c>
      <c r="AF232">
        <f t="array" ref="AF232">IF(SUMPRODUCT(--($AQ$2:$AQ$71=TRIM(LEFT($B232,IFERROR(FIND(" ",$B232)-1,LEN($B232))))))&gt;0,1,0)</f>
        <v/>
      </c>
    </row>
    <row r="233" ht="60.75" customHeight="1" thickBot="1">
      <c r="A233" s="13" t="n">
        <v>176</v>
      </c>
      <c r="B233" s="4" t="inlineStr">
        <is>
          <t>STER US</t>
        </is>
      </c>
      <c r="C233" s="4" t="inlineStr">
        <is>
          <t>FA US</t>
        </is>
      </c>
      <c r="D233" s="7" t="n">
        <v>45351</v>
      </c>
      <c r="E233" s="3" t="n">
        <v>2044.74</v>
      </c>
      <c r="F233" s="4" t="inlineStr">
        <is>
          <t>Cash or Stock</t>
        </is>
      </c>
      <c r="G233" s="4" t="n"/>
      <c r="H233" s="4" t="inlineStr">
        <is>
          <t>Industrials</t>
        </is>
      </c>
      <c r="I233" s="4" t="inlineStr">
        <is>
          <t>Industrial Services</t>
        </is>
      </c>
      <c r="J233" s="4" t="inlineStr">
        <is>
          <t>Commercial Support Services</t>
        </is>
      </c>
      <c r="K233" s="3" t="n">
        <v>90</v>
      </c>
      <c r="L233" s="3" t="n">
        <v>90</v>
      </c>
      <c r="M233" s="3" t="n">
        <v>27.25</v>
      </c>
      <c r="N233" s="3" t="n">
        <v>1592.68</v>
      </c>
      <c r="O233" s="4" t="inlineStr">
        <is>
          <t>United States</t>
        </is>
      </c>
      <c r="P233" s="4" t="inlineStr">
        <is>
          <t>United States</t>
        </is>
      </c>
      <c r="Q233" s="4" t="inlineStr">
        <is>
          <t>Friendly</t>
        </is>
      </c>
      <c r="R233" s="3" t="n">
        <v>719.64</v>
      </c>
      <c r="S233" s="3" t="n">
        <v>6.47449</v>
      </c>
      <c r="T233" s="4" t="inlineStr">
        <is>
          <t>Company Takeover</t>
        </is>
      </c>
      <c r="U233" s="2" t="inlineStr">
        <is>
          <t>No</t>
        </is>
      </c>
      <c r="V233" s="2" t="inlineStr">
        <is>
          <t>No</t>
        </is>
      </c>
      <c r="W233" s="2" t="inlineStr">
        <is>
          <t>No</t>
        </is>
      </c>
      <c r="X233" s="2" t="inlineStr">
        <is>
          <t>No</t>
        </is>
      </c>
      <c r="Y233" s="2" t="inlineStr">
        <is>
          <t>No</t>
        </is>
      </c>
      <c r="Z233" s="2" t="inlineStr">
        <is>
          <t>No</t>
        </is>
      </c>
      <c r="AA233" s="6" t="n">
        <v>3.310638093</v>
      </c>
      <c r="AB233" s="6" t="n">
        <v>2.857115295</v>
      </c>
      <c r="AC233" s="6" t="n">
        <v>3.202128526</v>
      </c>
      <c r="AD233">
        <f t="array" ref="AD233">IF(SUMPRODUCT(--($AM$2:$AM$112=TRIM(LEFT($B233,IFERROR(FIND(" ",$B233)-1,LEN($B233))))))&gt;0,1,0)</f>
        <v/>
      </c>
      <c r="AE233">
        <f t="array" ref="AE233">IF(SUMPRODUCT(--($AO$2:$AO$145=TRIM(LEFT($B233,IFERROR(FIND(" ",$B233)-1,LEN($B233))))))&gt;0,1,0)</f>
        <v/>
      </c>
      <c r="AF233">
        <f t="array" ref="AF233">IF(SUMPRODUCT(--($AQ$2:$AQ$71=TRIM(LEFT($B233,IFERROR(FIND(" ",$B233)-1,LEN($B233))))))&gt;0,1,0)</f>
        <v/>
      </c>
    </row>
    <row r="234" ht="75.75" customHeight="1" thickBot="1">
      <c r="A234" s="13" t="n">
        <v>58</v>
      </c>
      <c r="B234" s="4" t="inlineStr">
        <is>
          <t>OSK CN</t>
        </is>
      </c>
      <c r="C234" s="4" t="inlineStr">
        <is>
          <t>GFI SJ</t>
        </is>
      </c>
      <c r="D234" s="7" t="n">
        <v>45516</v>
      </c>
      <c r="E234" s="3" t="n">
        <v>1329.84</v>
      </c>
      <c r="F234" s="4" t="inlineStr">
        <is>
          <t>Cash</t>
        </is>
      </c>
      <c r="G234" s="3" t="n">
        <v>14.29</v>
      </c>
      <c r="H234" s="4" t="inlineStr">
        <is>
          <t>Materials</t>
        </is>
      </c>
      <c r="I234" s="4" t="inlineStr">
        <is>
          <t>Materials</t>
        </is>
      </c>
      <c r="J234" s="4" t="inlineStr">
        <is>
          <t>Metals &amp; Mining</t>
        </is>
      </c>
      <c r="K234" s="4" t="n"/>
      <c r="L234" s="4" t="n"/>
      <c r="M234" s="3" t="n">
        <v>55.28</v>
      </c>
      <c r="N234" s="3" t="n">
        <v>1303.48</v>
      </c>
      <c r="O234" s="4" t="inlineStr">
        <is>
          <t>Canada</t>
        </is>
      </c>
      <c r="P234" s="4" t="inlineStr">
        <is>
          <t>South Africa</t>
        </is>
      </c>
      <c r="Q234" s="4" t="inlineStr">
        <is>
          <t>Friendly</t>
        </is>
      </c>
      <c r="R234" s="2" t="n"/>
      <c r="S234" s="2" t="n"/>
      <c r="T234" s="4" t="inlineStr">
        <is>
          <t>Cross Border, Company Takeover</t>
        </is>
      </c>
      <c r="U234" s="2" t="inlineStr">
        <is>
          <t>No</t>
        </is>
      </c>
      <c r="V234" s="2" t="inlineStr">
        <is>
          <t>No</t>
        </is>
      </c>
      <c r="W234" s="2" t="inlineStr">
        <is>
          <t>Yes</t>
        </is>
      </c>
      <c r="X234" s="2" t="inlineStr">
        <is>
          <t>No</t>
        </is>
      </c>
      <c r="Y234" s="2" t="inlineStr">
        <is>
          <t>No</t>
        </is>
      </c>
      <c r="Z234" s="2" t="inlineStr">
        <is>
          <t>No</t>
        </is>
      </c>
      <c r="AA234" s="6" t="n">
        <v>3.123799392</v>
      </c>
      <c r="AB234" s="2" t="n"/>
      <c r="AC234" s="6" t="n">
        <v>3.115104372</v>
      </c>
      <c r="AD234">
        <f t="array" ref="AD234">IF(SUMPRODUCT(--($AM$2:$AM$112=TRIM(LEFT($B234,IFERROR(FIND(" ",$B234)-1,LEN($B234))))))&gt;0,1,0)</f>
        <v/>
      </c>
      <c r="AE234">
        <f t="array" ref="AE234">IF(SUMPRODUCT(--($AO$2:$AO$145=TRIM(LEFT($B234,IFERROR(FIND(" ",$B234)-1,LEN($B234))))))&gt;0,1,0)</f>
        <v/>
      </c>
      <c r="AF234">
        <f t="array" ref="AF234">IF(SUMPRODUCT(--($AQ$2:$AQ$71=TRIM(LEFT($B234,IFERROR(FIND(" ",$B234)-1,LEN($B234))))))&gt;0,1,0)</f>
        <v/>
      </c>
    </row>
    <row r="235" ht="165.75" customHeight="1" thickBot="1">
      <c r="A235" s="13" t="n">
        <v>59</v>
      </c>
      <c r="B235" s="4" t="inlineStr">
        <is>
          <t>PETQ US</t>
        </is>
      </c>
      <c r="C235" s="4" t="inlineStr">
        <is>
          <t>1839936D LN</t>
        </is>
      </c>
      <c r="D235" s="7" t="n">
        <v>45511</v>
      </c>
      <c r="E235" s="3" t="n">
        <v>1361.7</v>
      </c>
      <c r="F235" s="4" t="inlineStr">
        <is>
          <t>Cash</t>
        </is>
      </c>
      <c r="G235" s="3" t="n">
        <v>15.21</v>
      </c>
      <c r="H235" s="4" t="inlineStr">
        <is>
          <t>Health Care</t>
        </is>
      </c>
      <c r="I235" s="4" t="inlineStr">
        <is>
          <t>Health Care</t>
        </is>
      </c>
      <c r="J235" s="4" t="inlineStr">
        <is>
          <t>Health Care Facilities &amp; Svcs</t>
        </is>
      </c>
      <c r="K235" s="4" t="n"/>
      <c r="L235" s="4" t="n"/>
      <c r="M235" s="3" t="n">
        <v>43.36</v>
      </c>
      <c r="N235" s="3" t="n">
        <v>922.55</v>
      </c>
      <c r="O235" s="4" t="inlineStr">
        <is>
          <t>United States</t>
        </is>
      </c>
      <c r="P235" s="4" t="inlineStr">
        <is>
          <t>United Kingdom</t>
        </is>
      </c>
      <c r="Q235" s="4" t="inlineStr">
        <is>
          <t>Friendly</t>
        </is>
      </c>
      <c r="R235" s="3" t="n">
        <v>1101.96</v>
      </c>
      <c r="S235" s="3" t="n">
        <v>4.34926</v>
      </c>
      <c r="T235" s="4" t="inlineStr">
        <is>
          <t>PE Buyout, Cross Border, Company Takeover, Going Private, Private Equity</t>
        </is>
      </c>
      <c r="U235" s="2" t="inlineStr">
        <is>
          <t>No</t>
        </is>
      </c>
      <c r="V235" s="2" t="inlineStr">
        <is>
          <t>No</t>
        </is>
      </c>
      <c r="W235" s="2" t="inlineStr">
        <is>
          <t>Yes</t>
        </is>
      </c>
      <c r="X235" s="2" t="inlineStr">
        <is>
          <t>Yes</t>
        </is>
      </c>
      <c r="Y235" s="2" t="inlineStr">
        <is>
          <t>Yes</t>
        </is>
      </c>
      <c r="Z235" s="2" t="inlineStr">
        <is>
          <t>No</t>
        </is>
      </c>
      <c r="AA235" s="6" t="n">
        <v>3.134081437</v>
      </c>
      <c r="AB235" s="6" t="n">
        <v>3.04216583</v>
      </c>
      <c r="AC235" s="6" t="n">
        <v>2.964989913</v>
      </c>
      <c r="AD235">
        <f t="array" ref="AD235">IF(SUMPRODUCT(--($AM$2:$AM$112=TRIM(LEFT($B235,IFERROR(FIND(" ",$B235)-1,LEN($B235))))))&gt;0,1,0)</f>
        <v/>
      </c>
      <c r="AE235">
        <f t="array" ref="AE235">IF(SUMPRODUCT(--($AO$2:$AO$145=TRIM(LEFT($B235,IFERROR(FIND(" ",$B235)-1,LEN($B235))))))&gt;0,1,0)</f>
        <v/>
      </c>
      <c r="AF235">
        <f t="array" ref="AF235">IF(SUMPRODUCT(--($AQ$2:$AQ$71=TRIM(LEFT($B235,IFERROR(FIND(" ",$B235)-1,LEN($B235))))))&gt;0,1,0)</f>
        <v/>
      </c>
    </row>
    <row r="236" ht="195.75" customHeight="1" thickBot="1">
      <c r="A236" s="13" t="n">
        <v>114</v>
      </c>
      <c r="B236" s="4" t="inlineStr">
        <is>
          <t>SQSP US</t>
        </is>
      </c>
      <c r="C236" s="4" t="inlineStr">
        <is>
          <t>727032Z LN</t>
        </is>
      </c>
      <c r="D236" s="7" t="n">
        <v>45425</v>
      </c>
      <c r="E236" s="3" t="n">
        <v>6800.65</v>
      </c>
      <c r="F236" s="4" t="inlineStr">
        <is>
          <t>Cash</t>
        </is>
      </c>
      <c r="G236" s="3" t="n">
        <v>30.7</v>
      </c>
      <c r="H236" s="4" t="inlineStr">
        <is>
          <t>Technology</t>
        </is>
      </c>
      <c r="I236" s="4" t="inlineStr">
        <is>
          <t>Software &amp; Tech Services</t>
        </is>
      </c>
      <c r="J236" s="4" t="inlineStr">
        <is>
          <t>Software</t>
        </is>
      </c>
      <c r="K236" s="3" t="n">
        <v>231.817</v>
      </c>
      <c r="L236" s="3" t="n">
        <v>198.7</v>
      </c>
      <c r="M236" s="3" t="n">
        <v>3.46</v>
      </c>
      <c r="N236" s="3" t="n">
        <v>6425.51</v>
      </c>
      <c r="O236" s="4" t="inlineStr">
        <is>
          <t>United States</t>
        </is>
      </c>
      <c r="P236" s="4" t="inlineStr">
        <is>
          <t>United Kingdom</t>
        </is>
      </c>
      <c r="Q236" s="4" t="inlineStr">
        <is>
          <t>Friendly</t>
        </is>
      </c>
      <c r="R236" s="3" t="n">
        <v>1012.34</v>
      </c>
      <c r="S236" s="3" t="n">
        <v>4.30552</v>
      </c>
      <c r="T236" s="4" t="inlineStr">
        <is>
          <t>Cross Border, Going Private, Private Equity, PE Buyout, Company Takeover, Tender Offer</t>
        </is>
      </c>
      <c r="U236" s="2" t="inlineStr">
        <is>
          <t>No</t>
        </is>
      </c>
      <c r="V236" s="2" t="inlineStr">
        <is>
          <t>No</t>
        </is>
      </c>
      <c r="W236" s="2" t="inlineStr">
        <is>
          <t>Yes</t>
        </is>
      </c>
      <c r="X236" s="2" t="inlineStr">
        <is>
          <t>Yes</t>
        </is>
      </c>
      <c r="Y236" s="2" t="inlineStr">
        <is>
          <t>Yes</t>
        </is>
      </c>
      <c r="Z236" s="2" t="inlineStr">
        <is>
          <t>Yes</t>
        </is>
      </c>
      <c r="AA236" s="6" t="n">
        <v>3.832550424</v>
      </c>
      <c r="AB236" s="6" t="n">
        <v>3.005326397</v>
      </c>
      <c r="AC236" s="6" t="n">
        <v>3.807907604</v>
      </c>
      <c r="AD236">
        <f t="array" ref="AD236">IF(SUMPRODUCT(--($AM$2:$AM$112=TRIM(LEFT($B236,IFERROR(FIND(" ",$B236)-1,LEN($B236))))))&gt;0,1,0)</f>
        <v/>
      </c>
      <c r="AE236">
        <f t="array" ref="AE236">IF(SUMPRODUCT(--($AO$2:$AO$145=TRIM(LEFT($B236,IFERROR(FIND(" ",$B236)-1,LEN($B236))))))&gt;0,1,0)</f>
        <v/>
      </c>
      <c r="AF236">
        <f t="array" ref="AF236">IF(SUMPRODUCT(--($AQ$2:$AQ$71=TRIM(LEFT($B236,IFERROR(FIND(" ",$B236)-1,LEN($B236))))))&gt;0,1,0)</f>
        <v/>
      </c>
    </row>
    <row r="237" ht="75.75" customHeight="1" thickBot="1">
      <c r="A237" s="13" t="n">
        <v>64</v>
      </c>
      <c r="B237" s="4" t="inlineStr">
        <is>
          <t>CHUY US</t>
        </is>
      </c>
      <c r="C237" s="4" t="inlineStr">
        <is>
          <t>DRI US</t>
        </is>
      </c>
      <c r="D237" s="7" t="n">
        <v>45490</v>
      </c>
      <c r="E237" s="3" t="n">
        <v>646.13</v>
      </c>
      <c r="F237" s="4" t="inlineStr">
        <is>
          <t>Cash</t>
        </is>
      </c>
      <c r="G237" s="3" t="n">
        <v>7.28</v>
      </c>
      <c r="H237" s="4" t="inlineStr">
        <is>
          <t>Consumer Discretionary</t>
        </is>
      </c>
      <c r="I237" s="4" t="inlineStr">
        <is>
          <t>Consumer Discretionary Services</t>
        </is>
      </c>
      <c r="J237" s="4" t="inlineStr">
        <is>
          <t>Leisure Facilities &amp; Services</t>
        </is>
      </c>
      <c r="K237" s="4" t="n"/>
      <c r="L237" s="4" t="n"/>
      <c r="M237" s="3" t="n">
        <v>50.27</v>
      </c>
      <c r="N237" s="3" t="n">
        <v>646.13</v>
      </c>
      <c r="O237" s="4" t="inlineStr">
        <is>
          <t>United States</t>
        </is>
      </c>
      <c r="P237" s="4" t="inlineStr">
        <is>
          <t>United States</t>
        </is>
      </c>
      <c r="Q237" s="4" t="inlineStr">
        <is>
          <t>Friendly</t>
        </is>
      </c>
      <c r="R237" s="3" t="n">
        <v>461.31</v>
      </c>
      <c r="S237" s="3" t="n">
        <v>6.23445</v>
      </c>
      <c r="T237" s="4" t="inlineStr">
        <is>
          <t>Company Takeover</t>
        </is>
      </c>
      <c r="U237" s="2" t="inlineStr">
        <is>
          <t>No</t>
        </is>
      </c>
      <c r="V237" s="2" t="inlineStr">
        <is>
          <t>No</t>
        </is>
      </c>
      <c r="W237" s="2" t="inlineStr">
        <is>
          <t>No</t>
        </is>
      </c>
      <c r="X237" s="2" t="inlineStr">
        <is>
          <t>No</t>
        </is>
      </c>
      <c r="Y237" s="2" t="inlineStr">
        <is>
          <t>No</t>
        </is>
      </c>
      <c r="Z237" s="2" t="inlineStr">
        <is>
          <t>No</t>
        </is>
      </c>
      <c r="AA237" s="6" t="n">
        <v>2.810319906</v>
      </c>
      <c r="AB237" s="6" t="n">
        <v>2.663992869</v>
      </c>
      <c r="AC237" s="6" t="n">
        <v>2.810319906</v>
      </c>
      <c r="AD237">
        <f t="array" ref="AD237">IF(SUMPRODUCT(--($AM$2:$AM$112=TRIM(LEFT($B237,IFERROR(FIND(" ",$B237)-1,LEN($B237))))))&gt;0,1,0)</f>
        <v/>
      </c>
      <c r="AE237">
        <f t="array" ref="AE237">IF(SUMPRODUCT(--($AO$2:$AO$145=TRIM(LEFT($B237,IFERROR(FIND(" ",$B237)-1,LEN($B237))))))&gt;0,1,0)</f>
        <v/>
      </c>
      <c r="AF237">
        <f t="array" ref="AF237">IF(SUMPRODUCT(--($AQ$2:$AQ$71=TRIM(LEFT($B237,IFERROR(FIND(" ",$B237)-1,LEN($B237))))))&gt;0,1,0)</f>
        <v/>
      </c>
    </row>
    <row r="238" ht="75.75" customHeight="1" thickBot="1">
      <c r="A238" s="13" t="n">
        <v>58</v>
      </c>
      <c r="B238" s="4" t="inlineStr">
        <is>
          <t>TELL US</t>
        </is>
      </c>
      <c r="C238" s="4" t="inlineStr">
        <is>
          <t>WDS AU</t>
        </is>
      </c>
      <c r="D238" s="7" t="n">
        <v>45494</v>
      </c>
      <c r="E238" s="3" t="n">
        <v>1261.4</v>
      </c>
      <c r="F238" s="4" t="inlineStr">
        <is>
          <t>Cash</t>
        </is>
      </c>
      <c r="G238" s="4" t="n"/>
      <c r="H238" s="4" t="inlineStr">
        <is>
          <t>Energy</t>
        </is>
      </c>
      <c r="I238" s="4" t="inlineStr">
        <is>
          <t>Oil &amp; Gas</t>
        </is>
      </c>
      <c r="J238" s="4" t="inlineStr">
        <is>
          <t>Oil &amp; Gas Supply Chain</t>
        </is>
      </c>
      <c r="K238" s="4" t="n"/>
      <c r="L238" s="4" t="n"/>
      <c r="M238" s="3" t="n">
        <v>51.49</v>
      </c>
      <c r="N238" s="3" t="n">
        <v>836.23</v>
      </c>
      <c r="O238" s="4" t="inlineStr">
        <is>
          <t>United States</t>
        </is>
      </c>
      <c r="P238" s="4" t="inlineStr">
        <is>
          <t>Australia</t>
        </is>
      </c>
      <c r="Q238" s="4" t="inlineStr">
        <is>
          <t>Friendly</t>
        </is>
      </c>
      <c r="R238" s="3" t="n">
        <v>166.128</v>
      </c>
      <c r="S238" s="3" t="n">
        <v>-103.803</v>
      </c>
      <c r="T238" s="4" t="inlineStr">
        <is>
          <t>Company Takeover, Cross Border</t>
        </is>
      </c>
      <c r="U238" s="2" t="inlineStr">
        <is>
          <t>No</t>
        </is>
      </c>
      <c r="V238" s="2" t="inlineStr">
        <is>
          <t>No</t>
        </is>
      </c>
      <c r="W238" s="2" t="inlineStr">
        <is>
          <t>Yes</t>
        </is>
      </c>
      <c r="X238" s="2" t="inlineStr">
        <is>
          <t>No</t>
        </is>
      </c>
      <c r="Y238" s="2" t="inlineStr">
        <is>
          <t>No</t>
        </is>
      </c>
      <c r="Z238" s="2" t="inlineStr">
        <is>
          <t>No</t>
        </is>
      </c>
      <c r="AA238" s="6" t="n">
        <v>3.100852827</v>
      </c>
      <c r="AB238" s="6" t="n">
        <v>2.220442837</v>
      </c>
      <c r="AC238" s="6" t="n">
        <v>2.922325744</v>
      </c>
      <c r="AD238">
        <f t="array" ref="AD238">IF(SUMPRODUCT(--($AM$2:$AM$112=TRIM(LEFT($B238,IFERROR(FIND(" ",$B238)-1,LEN($B238))))))&gt;0,1,0)</f>
        <v/>
      </c>
      <c r="AE238">
        <f t="array" ref="AE238">IF(SUMPRODUCT(--($AO$2:$AO$145=TRIM(LEFT($B238,IFERROR(FIND(" ",$B238)-1,LEN($B238))))))&gt;0,1,0)</f>
        <v/>
      </c>
      <c r="AF238">
        <f t="array" ref="AF238">IF(SUMPRODUCT(--($AQ$2:$AQ$71=TRIM(LEFT($B238,IFERROR(FIND(" ",$B238)-1,LEN($B238))))))&gt;0,1,0)</f>
        <v/>
      </c>
    </row>
    <row r="239" ht="105.75" customHeight="1" thickBot="1">
      <c r="A239" s="13" t="n">
        <v>34</v>
      </c>
      <c r="B239" s="4" t="inlineStr">
        <is>
          <t>VGR US</t>
        </is>
      </c>
      <c r="C239" s="4" t="inlineStr">
        <is>
          <t>2914 JP</t>
        </is>
      </c>
      <c r="D239" s="7" t="n">
        <v>45525</v>
      </c>
      <c r="E239" s="3" t="n">
        <v>3215.11</v>
      </c>
      <c r="F239" s="4" t="inlineStr">
        <is>
          <t>Cash</t>
        </is>
      </c>
      <c r="G239" s="3" t="n">
        <v>9.470000000000001</v>
      </c>
      <c r="H239" s="4" t="inlineStr">
        <is>
          <t>Consumer Staples</t>
        </is>
      </c>
      <c r="I239" s="4" t="inlineStr">
        <is>
          <t>Consumer Staple Products</t>
        </is>
      </c>
      <c r="J239" s="4" t="inlineStr">
        <is>
          <t>Tobacco &amp; Cannabis</t>
        </is>
      </c>
      <c r="K239" s="4" t="n"/>
      <c r="L239" s="4" t="n"/>
      <c r="M239" s="3" t="n">
        <v>13.68</v>
      </c>
      <c r="N239" s="3" t="n">
        <v>2360.63</v>
      </c>
      <c r="O239" s="4" t="inlineStr">
        <is>
          <t>United States</t>
        </is>
      </c>
      <c r="P239" s="4" t="inlineStr">
        <is>
          <t>Japan</t>
        </is>
      </c>
      <c r="Q239" s="4" t="inlineStr">
        <is>
          <t>Friendly</t>
        </is>
      </c>
      <c r="R239" s="3" t="n">
        <v>938.005</v>
      </c>
      <c r="S239" s="3" t="n">
        <v>37.5312</v>
      </c>
      <c r="T239" s="4" t="inlineStr">
        <is>
          <t>Cross Border, Company Takeover, Tender Offer</t>
        </is>
      </c>
      <c r="U239" s="2" t="inlineStr">
        <is>
          <t>No</t>
        </is>
      </c>
      <c r="V239" s="2" t="inlineStr">
        <is>
          <t>No</t>
        </is>
      </c>
      <c r="W239" s="2" t="inlineStr">
        <is>
          <t>Yes</t>
        </is>
      </c>
      <c r="X239" s="2" t="inlineStr">
        <is>
          <t>No</t>
        </is>
      </c>
      <c r="Y239" s="2" t="inlineStr">
        <is>
          <t>No</t>
        </is>
      </c>
      <c r="Z239" s="2" t="inlineStr">
        <is>
          <t>Yes</t>
        </is>
      </c>
      <c r="AA239" s="6" t="n">
        <v>3.507195836</v>
      </c>
      <c r="AB239" s="6" t="n">
        <v>2.972205153</v>
      </c>
      <c r="AC239" s="6" t="n">
        <v>3.373027922</v>
      </c>
      <c r="AD239">
        <f t="array" ref="AD239">IF(SUMPRODUCT(--($AM$2:$AM$112=TRIM(LEFT($B239,IFERROR(FIND(" ",$B239)-1,LEN($B239))))))&gt;0,1,0)</f>
        <v/>
      </c>
      <c r="AE239">
        <f t="array" ref="AE239">IF(SUMPRODUCT(--($AO$2:$AO$145=TRIM(LEFT($B239,IFERROR(FIND(" ",$B239)-1,LEN($B239))))))&gt;0,1,0)</f>
        <v/>
      </c>
      <c r="AF239">
        <f t="array" ref="AF239">IF(SUMPRODUCT(--($AQ$2:$AQ$71=TRIM(LEFT($B239,IFERROR(FIND(" ",$B239)-1,LEN($B239))))))&gt;0,1,0)</f>
        <v/>
      </c>
    </row>
    <row r="240" ht="75.75" customHeight="1" thickBot="1">
      <c r="A240" s="13" t="n">
        <v>80</v>
      </c>
      <c r="B240" s="4" t="inlineStr">
        <is>
          <t>AAN US</t>
        </is>
      </c>
      <c r="C240" s="4" t="inlineStr">
        <is>
          <t>1781760D US</t>
        </is>
      </c>
      <c r="D240" s="7" t="n">
        <v>45460</v>
      </c>
      <c r="E240" s="3" t="n">
        <v>972.52</v>
      </c>
      <c r="F240" s="4" t="inlineStr">
        <is>
          <t>Cash</t>
        </is>
      </c>
      <c r="G240" s="3" t="n">
        <v>4.4</v>
      </c>
      <c r="H240" s="4" t="inlineStr">
        <is>
          <t>Consumer Discretionary</t>
        </is>
      </c>
      <c r="I240" s="4" t="inlineStr">
        <is>
          <t>Consumer Discretionary Services</t>
        </is>
      </c>
      <c r="J240" s="4" t="inlineStr">
        <is>
          <t>Consumer Services</t>
        </is>
      </c>
      <c r="K240" s="4" t="n"/>
      <c r="L240" s="4" t="n"/>
      <c r="M240" s="3" t="n">
        <v>29.68</v>
      </c>
      <c r="N240" s="3" t="n">
        <v>309.32</v>
      </c>
      <c r="O240" s="4" t="inlineStr">
        <is>
          <t>United States</t>
        </is>
      </c>
      <c r="P240" s="4" t="inlineStr">
        <is>
          <t>United States</t>
        </is>
      </c>
      <c r="Q240" s="4" t="inlineStr">
        <is>
          <t>Friendly</t>
        </is>
      </c>
      <c r="R240" s="3" t="n">
        <v>2139.89</v>
      </c>
      <c r="S240" s="3" t="n">
        <v>-1.74753</v>
      </c>
      <c r="T240" s="4" t="inlineStr">
        <is>
          <t>Going Private, Company Takeover</t>
        </is>
      </c>
      <c r="U240" s="2" t="inlineStr">
        <is>
          <t>No</t>
        </is>
      </c>
      <c r="V240" s="2" t="inlineStr">
        <is>
          <t>No</t>
        </is>
      </c>
      <c r="W240" s="2" t="inlineStr">
        <is>
          <t>No</t>
        </is>
      </c>
      <c r="X240" s="2" t="inlineStr">
        <is>
          <t>Yes</t>
        </is>
      </c>
      <c r="Y240" s="2" t="inlineStr">
        <is>
          <t>No</t>
        </is>
      </c>
      <c r="Z240" s="2" t="inlineStr">
        <is>
          <t>No</t>
        </is>
      </c>
      <c r="AA240" s="6" t="n">
        <v>2.987898541</v>
      </c>
      <c r="AB240" s="6" t="n">
        <v>3.330391449</v>
      </c>
      <c r="AC240" s="6" t="n">
        <v>2.490408002</v>
      </c>
      <c r="AD240">
        <f t="array" ref="AD240">IF(SUMPRODUCT(--($AM$2:$AM$112=TRIM(LEFT($B240,IFERROR(FIND(" ",$B240)-1,LEN($B240))))))&gt;0,1,0)</f>
        <v/>
      </c>
      <c r="AE240">
        <f t="array" ref="AE240">IF(SUMPRODUCT(--($AO$2:$AO$145=TRIM(LEFT($B240,IFERROR(FIND(" ",$B240)-1,LEN($B240))))))&gt;0,1,0)</f>
        <v/>
      </c>
      <c r="AF240">
        <f t="array" ref="AF240">IF(SUMPRODUCT(--($AQ$2:$AQ$71=TRIM(LEFT($B240,IFERROR(FIND(" ",$B240)-1,LEN($B240))))))&gt;0,1,0)</f>
        <v/>
      </c>
    </row>
    <row r="241" ht="45.75" customHeight="1" thickBot="1">
      <c r="A241" s="13" t="n">
        <v>40</v>
      </c>
      <c r="B241" s="4" t="inlineStr">
        <is>
          <t>CR CN</t>
        </is>
      </c>
      <c r="C241" s="4" t="inlineStr">
        <is>
          <t>TOU CN</t>
        </is>
      </c>
      <c r="D241" s="7" t="n">
        <v>45516</v>
      </c>
      <c r="E241" s="3" t="n">
        <v>881.67</v>
      </c>
      <c r="F241" s="4" t="inlineStr">
        <is>
          <t>Stock</t>
        </is>
      </c>
      <c r="G241" s="3" t="n">
        <v>5.25</v>
      </c>
      <c r="H241" s="4" t="inlineStr">
        <is>
          <t>Energy</t>
        </is>
      </c>
      <c r="I241" s="4" t="inlineStr">
        <is>
          <t>Oil &amp; Gas</t>
        </is>
      </c>
      <c r="J241" s="4" t="inlineStr">
        <is>
          <t>Oil &amp; Gas Supply Chain</t>
        </is>
      </c>
      <c r="K241" s="4" t="n"/>
      <c r="L241" s="4" t="n"/>
      <c r="M241" s="3" t="n">
        <v>70.55</v>
      </c>
      <c r="N241" s="3" t="n">
        <v>790.98</v>
      </c>
      <c r="O241" s="4" t="inlineStr">
        <is>
          <t>Canada</t>
        </is>
      </c>
      <c r="P241" s="4" t="inlineStr">
        <is>
          <t>Canada</t>
        </is>
      </c>
      <c r="Q241" s="4" t="inlineStr">
        <is>
          <t>Friendly</t>
        </is>
      </c>
      <c r="R241" s="3" t="n">
        <v>267.07</v>
      </c>
      <c r="S241" s="3" t="n">
        <v>32.0781</v>
      </c>
      <c r="T241" s="4" t="inlineStr">
        <is>
          <t>Company Takeover</t>
        </is>
      </c>
      <c r="U241" s="2" t="inlineStr">
        <is>
          <t>No</t>
        </is>
      </c>
      <c r="V241" s="2" t="inlineStr">
        <is>
          <t>No</t>
        </is>
      </c>
      <c r="W241" s="2" t="inlineStr">
        <is>
          <t>No</t>
        </is>
      </c>
      <c r="X241" s="2" t="inlineStr">
        <is>
          <t>No</t>
        </is>
      </c>
      <c r="Y241" s="2" t="inlineStr">
        <is>
          <t>No</t>
        </is>
      </c>
      <c r="Z241" s="2" t="inlineStr">
        <is>
          <t>No</t>
        </is>
      </c>
      <c r="AA241" s="6" t="n">
        <v>2.945306064</v>
      </c>
      <c r="AB241" s="6" t="n">
        <v>2.426625106</v>
      </c>
      <c r="AC241" s="6" t="n">
        <v>2.898165502</v>
      </c>
      <c r="AD241">
        <f t="array" ref="AD241">IF(SUMPRODUCT(--($AM$2:$AM$112=TRIM(LEFT($B241,IFERROR(FIND(" ",$B241)-1,LEN($B241))))))&gt;0,1,0)</f>
        <v/>
      </c>
      <c r="AE241">
        <f t="array" ref="AE241">IF(SUMPRODUCT(--($AO$2:$AO$145=TRIM(LEFT($B241,IFERROR(FIND(" ",$B241)-1,LEN($B241))))))&gt;0,1,0)</f>
        <v/>
      </c>
      <c r="AF241">
        <f t="array" ref="AF241">IF(SUMPRODUCT(--($AQ$2:$AQ$71=TRIM(LEFT($B241,IFERROR(FIND(" ",$B241)-1,LEN($B241))))))&gt;0,1,0)</f>
        <v/>
      </c>
    </row>
    <row r="242" ht="165.75" customHeight="1" thickBot="1">
      <c r="A242" s="13" t="n">
        <v>109</v>
      </c>
      <c r="B242" s="4" t="inlineStr">
        <is>
          <t>PRFT US</t>
        </is>
      </c>
      <c r="C242" s="4" t="inlineStr">
        <is>
          <t>1071Z SS</t>
        </is>
      </c>
      <c r="D242" s="7" t="n">
        <v>45417</v>
      </c>
      <c r="E242" s="3" t="n">
        <v>2971.38</v>
      </c>
      <c r="F242" s="4" t="inlineStr">
        <is>
          <t>Cash</t>
        </is>
      </c>
      <c r="G242" s="3" t="n">
        <v>16.71</v>
      </c>
      <c r="H242" s="4" t="inlineStr">
        <is>
          <t>Technology</t>
        </is>
      </c>
      <c r="I242" s="4" t="inlineStr">
        <is>
          <t>Software &amp; Tech Services</t>
        </is>
      </c>
      <c r="J242" s="4" t="inlineStr">
        <is>
          <t>IT Services</t>
        </is>
      </c>
      <c r="K242" s="3" t="n">
        <v>162.638</v>
      </c>
      <c r="L242" s="3" t="n">
        <v>81.3189</v>
      </c>
      <c r="M242" s="3" t="n">
        <v>61.48</v>
      </c>
      <c r="N242" s="3" t="n">
        <v>2667.81</v>
      </c>
      <c r="O242" s="4" t="inlineStr">
        <is>
          <t>United States</t>
        </is>
      </c>
      <c r="P242" s="4" t="inlineStr">
        <is>
          <t>Sweden</t>
        </is>
      </c>
      <c r="Q242" s="4" t="inlineStr">
        <is>
          <t>Friendly</t>
        </is>
      </c>
      <c r="R242" s="3" t="n">
        <v>906.5410000000001</v>
      </c>
      <c r="S242" s="3" t="n">
        <v>11.7594</v>
      </c>
      <c r="T242" s="4" t="inlineStr">
        <is>
          <t>Cross Border, Company Takeover, Private Equity, Going Private, PE Buyout</t>
        </is>
      </c>
      <c r="U242" s="2" t="inlineStr">
        <is>
          <t>No</t>
        </is>
      </c>
      <c r="V242" s="2" t="inlineStr">
        <is>
          <t>No</t>
        </is>
      </c>
      <c r="W242" s="2" t="inlineStr">
        <is>
          <t>Yes</t>
        </is>
      </c>
      <c r="X242" s="2" t="inlineStr">
        <is>
          <t>Yes</t>
        </is>
      </c>
      <c r="Y242" s="2" t="inlineStr">
        <is>
          <t>Yes</t>
        </is>
      </c>
      <c r="Z242" s="2" t="inlineStr">
        <is>
          <t>No</t>
        </is>
      </c>
      <c r="AA242" s="6" t="n">
        <v>3.472958196</v>
      </c>
      <c r="AB242" s="6" t="n">
        <v>2.957387451</v>
      </c>
      <c r="AC242" s="6" t="n">
        <v>3.426154896</v>
      </c>
      <c r="AD242">
        <f t="array" ref="AD242">IF(SUMPRODUCT(--($AM$2:$AM$112=TRIM(LEFT($B242,IFERROR(FIND(" ",$B242)-1,LEN($B242))))))&gt;0,1,0)</f>
        <v/>
      </c>
      <c r="AE242">
        <f t="array" ref="AE242">IF(SUMPRODUCT(--($AO$2:$AO$145=TRIM(LEFT($B242,IFERROR(FIND(" ",$B242)-1,LEN($B242))))))&gt;0,1,0)</f>
        <v/>
      </c>
      <c r="AF242">
        <f t="array" ref="AF242">IF(SUMPRODUCT(--($AQ$2:$AQ$71=TRIM(LEFT($B242,IFERROR(FIND(" ",$B242)-1,LEN($B242))))))&gt;0,1,0)</f>
        <v/>
      </c>
    </row>
    <row r="243" ht="60.75" customHeight="1" thickBot="1">
      <c r="A243" s="13" t="n">
        <v>54</v>
      </c>
      <c r="B243" s="4" t="inlineStr">
        <is>
          <t>ZZZ CN</t>
        </is>
      </c>
      <c r="C243" s="4" t="inlineStr">
        <is>
          <t>FFH CN</t>
        </is>
      </c>
      <c r="D243" s="7" t="n">
        <v>45495</v>
      </c>
      <c r="E243" s="3" t="n">
        <v>1205.16</v>
      </c>
      <c r="F243" s="4" t="inlineStr">
        <is>
          <t>Cash</t>
        </is>
      </c>
      <c r="G243" s="3" t="n">
        <v>8.76</v>
      </c>
      <c r="H243" s="4" t="inlineStr">
        <is>
          <t>Consumer Discretionary</t>
        </is>
      </c>
      <c r="I243" s="4" t="inlineStr">
        <is>
          <t>Retail &amp; Whsle - Discretionary</t>
        </is>
      </c>
      <c r="J243" s="4" t="inlineStr">
        <is>
          <t>Retail - Discretionary</t>
        </is>
      </c>
      <c r="K243" s="4" t="n"/>
      <c r="L243" s="3" t="n">
        <v>36.5</v>
      </c>
      <c r="M243" s="3" t="n">
        <v>33.79</v>
      </c>
      <c r="N243" s="3" t="n">
        <v>862.66</v>
      </c>
      <c r="O243" s="4" t="inlineStr">
        <is>
          <t>Canada</t>
        </is>
      </c>
      <c r="P243" s="4" t="inlineStr">
        <is>
          <t>Canada</t>
        </is>
      </c>
      <c r="Q243" s="4" t="inlineStr">
        <is>
          <t>Friendly</t>
        </is>
      </c>
      <c r="R243" s="3" t="n">
        <v>693.025</v>
      </c>
      <c r="S243" s="3" t="n">
        <v>13.0087</v>
      </c>
      <c r="T243" s="4" t="inlineStr">
        <is>
          <t>Company Takeover</t>
        </is>
      </c>
      <c r="U243" s="2" t="inlineStr">
        <is>
          <t>No</t>
        </is>
      </c>
      <c r="V243" s="2" t="inlineStr">
        <is>
          <t>No</t>
        </is>
      </c>
      <c r="W243" s="2" t="inlineStr">
        <is>
          <t>No</t>
        </is>
      </c>
      <c r="X243" s="2" t="inlineStr">
        <is>
          <t>No</t>
        </is>
      </c>
      <c r="Y243" s="2" t="inlineStr">
        <is>
          <t>No</t>
        </is>
      </c>
      <c r="Z243" s="2" t="inlineStr">
        <is>
          <t>No</t>
        </is>
      </c>
      <c r="AA243" s="6" t="n">
        <v>3.081044709</v>
      </c>
      <c r="AB243" s="6" t="n">
        <v>2.840748902</v>
      </c>
      <c r="AC243" s="6" t="n">
        <v>2.935839661</v>
      </c>
      <c r="AD243">
        <f t="array" ref="AD243">IF(SUMPRODUCT(--($AM$2:$AM$112=TRIM(LEFT($B243,IFERROR(FIND(" ",$B243)-1,LEN($B243))))))&gt;0,1,0)</f>
        <v/>
      </c>
      <c r="AE243">
        <f t="array" ref="AE243">IF(SUMPRODUCT(--($AO$2:$AO$145=TRIM(LEFT($B243,IFERROR(FIND(" ",$B243)-1,LEN($B243))))))&gt;0,1,0)</f>
        <v/>
      </c>
      <c r="AF243">
        <f t="array" ref="AF243">IF(SUMPRODUCT(--($AQ$2:$AQ$71=TRIM(LEFT($B243,IFERROR(FIND(" ",$B243)-1,LEN($B243))))))&gt;0,1,0)</f>
        <v/>
      </c>
    </row>
    <row r="244" ht="45.75" customHeight="1" thickBot="1">
      <c r="A244" s="13" t="n">
        <v>189</v>
      </c>
      <c r="B244" s="4" t="inlineStr">
        <is>
          <t>SWN US</t>
        </is>
      </c>
      <c r="C244" s="4" t="inlineStr">
        <is>
          <t>EXE US</t>
        </is>
      </c>
      <c r="D244" s="7" t="n">
        <v>45302</v>
      </c>
      <c r="E244" s="3" t="n">
        <v>11597.17</v>
      </c>
      <c r="F244" s="4" t="inlineStr">
        <is>
          <t>Stock</t>
        </is>
      </c>
      <c r="G244" s="3" t="n">
        <v>0.49</v>
      </c>
      <c r="H244" s="4" t="inlineStr">
        <is>
          <t>Energy</t>
        </is>
      </c>
      <c r="I244" s="4" t="inlineStr">
        <is>
          <t>Oil &amp; Gas</t>
        </is>
      </c>
      <c r="J244" s="4" t="inlineStr">
        <is>
          <t>Oil &amp; Gas Supply Chain</t>
        </is>
      </c>
      <c r="K244" s="3" t="n">
        <v>389</v>
      </c>
      <c r="L244" s="3" t="n">
        <v>260</v>
      </c>
      <c r="M244" s="3" t="n">
        <v>1.89</v>
      </c>
      <c r="N244" s="3" t="n">
        <v>7349.17</v>
      </c>
      <c r="O244" s="4" t="inlineStr">
        <is>
          <t>United States</t>
        </is>
      </c>
      <c r="P244" s="4" t="inlineStr">
        <is>
          <t>United States</t>
        </is>
      </c>
      <c r="Q244" s="4" t="inlineStr">
        <is>
          <t>Friendly</t>
        </is>
      </c>
      <c r="R244" s="3" t="n">
        <v>6522</v>
      </c>
      <c r="S244" s="3" t="n">
        <v>-76.11360000000001</v>
      </c>
      <c r="T244" s="4" t="inlineStr">
        <is>
          <t>Company Takeover</t>
        </is>
      </c>
      <c r="U244" s="2" t="inlineStr">
        <is>
          <t>No</t>
        </is>
      </c>
      <c r="V244" s="2" t="inlineStr">
        <is>
          <t>No</t>
        </is>
      </c>
      <c r="W244" s="2" t="inlineStr">
        <is>
          <t>No</t>
        </is>
      </c>
      <c r="X244" s="2" t="inlineStr">
        <is>
          <t>No</t>
        </is>
      </c>
      <c r="Y244" s="2" t="inlineStr">
        <is>
          <t>No</t>
        </is>
      </c>
      <c r="Z244" s="2" t="inlineStr">
        <is>
          <t>No</t>
        </is>
      </c>
      <c r="AA244" s="6" t="n">
        <v>4.064352023</v>
      </c>
      <c r="AB244" s="6" t="n">
        <v>3.814380794</v>
      </c>
      <c r="AC244" s="6" t="n">
        <v>3.866238294</v>
      </c>
      <c r="AD244">
        <f t="array" ref="AD244">IF(SUMPRODUCT(--($AM$2:$AM$112=TRIM(LEFT($B244,IFERROR(FIND(" ",$B244)-1,LEN($B244))))))&gt;0,1,0)</f>
        <v/>
      </c>
      <c r="AE244">
        <f t="array" ref="AE244">IF(SUMPRODUCT(--($AO$2:$AO$145=TRIM(LEFT($B244,IFERROR(FIND(" ",$B244)-1,LEN($B244))))))&gt;0,1,0)</f>
        <v/>
      </c>
      <c r="AF244">
        <f t="array" ref="AF244">IF(SUMPRODUCT(--($AQ$2:$AQ$71=TRIM(LEFT($B244,IFERROR(FIND(" ",$B244)-1,LEN($B244))))))&gt;0,1,0)</f>
        <v/>
      </c>
    </row>
    <row r="245" ht="135.75" customHeight="1" thickBot="1">
      <c r="A245" s="13" t="n">
        <v>83</v>
      </c>
      <c r="B245" s="4" t="inlineStr">
        <is>
          <t>PWSC US</t>
        </is>
      </c>
      <c r="C245" s="4" t="inlineStr">
        <is>
          <t>6821Z US</t>
        </is>
      </c>
      <c r="D245" s="7" t="n">
        <v>45450</v>
      </c>
      <c r="E245" s="3" t="n">
        <v>4577.54</v>
      </c>
      <c r="F245" s="4" t="inlineStr">
        <is>
          <t>Cash</t>
        </is>
      </c>
      <c r="G245" s="3" t="n">
        <v>5.01</v>
      </c>
      <c r="H245" s="4" t="inlineStr">
        <is>
          <t>Technology</t>
        </is>
      </c>
      <c r="I245" s="4" t="inlineStr">
        <is>
          <t>Software &amp; Tech Services</t>
        </is>
      </c>
      <c r="J245" s="4" t="inlineStr">
        <is>
          <t>Software</t>
        </is>
      </c>
      <c r="K245" s="4" t="n"/>
      <c r="L245" s="4" t="n"/>
      <c r="M245" s="3" t="n">
        <v>11.9</v>
      </c>
      <c r="N245" s="3" t="n">
        <v>3778.57</v>
      </c>
      <c r="O245" s="4" t="inlineStr">
        <is>
          <t>United States</t>
        </is>
      </c>
      <c r="P245" s="4" t="inlineStr">
        <is>
          <t>United States</t>
        </is>
      </c>
      <c r="Q245" s="4" t="inlineStr">
        <is>
          <t>Friendly</t>
        </is>
      </c>
      <c r="R245" s="3" t="n">
        <v>697.651</v>
      </c>
      <c r="S245" s="3" t="n">
        <v>3.48598</v>
      </c>
      <c r="T245" s="4" t="inlineStr">
        <is>
          <t>Company Takeover, PE Buyout, Private Equity, Going Private</t>
        </is>
      </c>
      <c r="U245" s="2" t="inlineStr">
        <is>
          <t>No</t>
        </is>
      </c>
      <c r="V245" s="2" t="inlineStr">
        <is>
          <t>No</t>
        </is>
      </c>
      <c r="W245" s="2" t="inlineStr">
        <is>
          <t>No</t>
        </is>
      </c>
      <c r="X245" s="2" t="inlineStr">
        <is>
          <t>Yes</t>
        </is>
      </c>
      <c r="Y245" s="2" t="inlineStr">
        <is>
          <t>Yes</t>
        </is>
      </c>
      <c r="Z245" s="2" t="inlineStr">
        <is>
          <t>No</t>
        </is>
      </c>
      <c r="AA245" s="6" t="n">
        <v>3.660632148</v>
      </c>
      <c r="AB245" s="6" t="n">
        <v>2.843638221</v>
      </c>
      <c r="AC245" s="6" t="n">
        <v>3.577327472</v>
      </c>
      <c r="AD245">
        <f t="array" ref="AD245">IF(SUMPRODUCT(--($AM$2:$AM$112=TRIM(LEFT($B245,IFERROR(FIND(" ",$B245)-1,LEN($B245))))))&gt;0,1,0)</f>
        <v/>
      </c>
      <c r="AE245">
        <f t="array" ref="AE245">IF(SUMPRODUCT(--($AO$2:$AO$145=TRIM(LEFT($B245,IFERROR(FIND(" ",$B245)-1,LEN($B245))))))&gt;0,1,0)</f>
        <v/>
      </c>
      <c r="AF245">
        <f t="array" ref="AF245">IF(SUMPRODUCT(--($AQ$2:$AQ$71=TRIM(LEFT($B245,IFERROR(FIND(" ",$B245)-1,LEN($B245))))))&gt;0,1,0)</f>
        <v/>
      </c>
    </row>
    <row r="246" ht="45.75" customHeight="1" thickBot="1">
      <c r="A246" s="13" t="n">
        <v>209</v>
      </c>
      <c r="B246" s="4" t="inlineStr">
        <is>
          <t>HA US</t>
        </is>
      </c>
      <c r="C246" s="4" t="inlineStr">
        <is>
          <t>ALK US</t>
        </is>
      </c>
      <c r="D246" s="7" t="n">
        <v>45263</v>
      </c>
      <c r="E246" s="3" t="n">
        <v>929.4</v>
      </c>
      <c r="F246" s="4" t="inlineStr">
        <is>
          <t>Cash</t>
        </is>
      </c>
      <c r="G246" s="3" t="n">
        <v>58.37</v>
      </c>
      <c r="H246" s="4" t="inlineStr">
        <is>
          <t>Industrials</t>
        </is>
      </c>
      <c r="I246" s="4" t="inlineStr">
        <is>
          <t>Industrial Services</t>
        </is>
      </c>
      <c r="J246" s="4" t="inlineStr">
        <is>
          <t>Transportation &amp; Logistics</t>
        </is>
      </c>
      <c r="K246" s="3" t="n">
        <v>100</v>
      </c>
      <c r="L246" s="3" t="n">
        <v>39.55</v>
      </c>
      <c r="M246" s="3" t="n">
        <v>298.1</v>
      </c>
      <c r="N246" s="3" t="n">
        <v>929.4</v>
      </c>
      <c r="O246" s="4" t="inlineStr">
        <is>
          <t>United States</t>
        </is>
      </c>
      <c r="P246" s="4" t="inlineStr">
        <is>
          <t>United States</t>
        </is>
      </c>
      <c r="Q246" s="4" t="inlineStr">
        <is>
          <t>Friendly</t>
        </is>
      </c>
      <c r="R246" s="3" t="n">
        <v>2716.28</v>
      </c>
      <c r="S246" s="3" t="n">
        <v>-13.3623</v>
      </c>
      <c r="T246" s="4" t="inlineStr">
        <is>
          <t>Company Takeover</t>
        </is>
      </c>
      <c r="U246" s="2" t="inlineStr">
        <is>
          <t>No</t>
        </is>
      </c>
      <c r="V246" s="2" t="inlineStr">
        <is>
          <t>No</t>
        </is>
      </c>
      <c r="W246" s="2" t="inlineStr">
        <is>
          <t>No</t>
        </is>
      </c>
      <c r="X246" s="2" t="inlineStr">
        <is>
          <t>No</t>
        </is>
      </c>
      <c r="Y246" s="2" t="inlineStr">
        <is>
          <t>No</t>
        </is>
      </c>
      <c r="Z246" s="2" t="inlineStr">
        <is>
          <t>No</t>
        </is>
      </c>
      <c r="AA246" s="6" t="n">
        <v>2.968202668</v>
      </c>
      <c r="AB246" s="6" t="n">
        <v>3.433974536</v>
      </c>
      <c r="AC246" s="6" t="n">
        <v>2.968202668</v>
      </c>
      <c r="AD246">
        <f t="array" ref="AD246">IF(SUMPRODUCT(--($AM$2:$AM$112=TRIM(LEFT($B246,IFERROR(FIND(" ",$B246)-1,LEN($B246))))))&gt;0,1,0)</f>
        <v/>
      </c>
      <c r="AE246">
        <f t="array" ref="AE246">IF(SUMPRODUCT(--($AO$2:$AO$145=TRIM(LEFT($B246,IFERROR(FIND(" ",$B246)-1,LEN($B246))))))&gt;0,1,0)</f>
        <v/>
      </c>
      <c r="AF246">
        <f t="array" ref="AF246">IF(SUMPRODUCT(--($AQ$2:$AQ$71=TRIM(LEFT($B246,IFERROR(FIND(" ",$B246)-1,LEN($B246))))))&gt;0,1,0)</f>
        <v/>
      </c>
    </row>
    <row r="247" ht="60.75" customHeight="1" thickBot="1">
      <c r="A247" s="13" t="n">
        <v>67</v>
      </c>
      <c r="B247" s="4" t="inlineStr">
        <is>
          <t>SILK US</t>
        </is>
      </c>
      <c r="C247" s="4" t="inlineStr">
        <is>
          <t>BSX US</t>
        </is>
      </c>
      <c r="D247" s="7" t="n">
        <v>45461</v>
      </c>
      <c r="E247" s="3" t="n">
        <v>1009.18</v>
      </c>
      <c r="F247" s="4" t="inlineStr">
        <is>
          <t>Cash</t>
        </is>
      </c>
      <c r="G247" s="4" t="n"/>
      <c r="H247" s="4" t="inlineStr">
        <is>
          <t>Health Care</t>
        </is>
      </c>
      <c r="I247" s="4" t="inlineStr">
        <is>
          <t>Health Care</t>
        </is>
      </c>
      <c r="J247" s="4" t="inlineStr">
        <is>
          <t>Medical Equipment &amp; Devices</t>
        </is>
      </c>
      <c r="K247" s="3" t="n">
        <v>69.5</v>
      </c>
      <c r="L247" s="3" t="n">
        <v>37.9</v>
      </c>
      <c r="M247" s="3" t="n">
        <v>27.23</v>
      </c>
      <c r="N247" s="3" t="n">
        <v>1099.09</v>
      </c>
      <c r="O247" s="4" t="inlineStr">
        <is>
          <t>United States</t>
        </is>
      </c>
      <c r="P247" s="4" t="inlineStr">
        <is>
          <t>United States</t>
        </is>
      </c>
      <c r="Q247" s="4" t="inlineStr">
        <is>
          <t>Friendly</t>
        </is>
      </c>
      <c r="R247" s="3" t="n">
        <v>177.134</v>
      </c>
      <c r="S247" s="3" t="n">
        <v>-31.4338</v>
      </c>
      <c r="T247" s="4" t="inlineStr">
        <is>
          <t>Company Takeover</t>
        </is>
      </c>
      <c r="U247" s="2" t="inlineStr">
        <is>
          <t>No</t>
        </is>
      </c>
      <c r="V247" s="2" t="inlineStr">
        <is>
          <t>No</t>
        </is>
      </c>
      <c r="W247" s="2" t="inlineStr">
        <is>
          <t>No</t>
        </is>
      </c>
      <c r="X247" s="2" t="inlineStr">
        <is>
          <t>No</t>
        </is>
      </c>
      <c r="Y247" s="2" t="inlineStr">
        <is>
          <t>No</t>
        </is>
      </c>
      <c r="Z247" s="2" t="inlineStr">
        <is>
          <t>No</t>
        </is>
      </c>
      <c r="AA247" s="6" t="n">
        <v>3.003968635</v>
      </c>
      <c r="AB247" s="6" t="n">
        <v>2.24830193</v>
      </c>
      <c r="AC247" s="6" t="n">
        <v>3.041033256</v>
      </c>
      <c r="AD247">
        <f t="array" ref="AD247">IF(SUMPRODUCT(--($AM$2:$AM$112=TRIM(LEFT($B247,IFERROR(FIND(" ",$B247)-1,LEN($B247))))))&gt;0,1,0)</f>
        <v/>
      </c>
      <c r="AE247">
        <f t="array" ref="AE247">IF(SUMPRODUCT(--($AO$2:$AO$145=TRIM(LEFT($B247,IFERROR(FIND(" ",$B247)-1,LEN($B247))))))&gt;0,1,0)</f>
        <v/>
      </c>
      <c r="AF247">
        <f t="array" ref="AF247">IF(SUMPRODUCT(--($AQ$2:$AQ$71=TRIM(LEFT($B247,IFERROR(FIND(" ",$B247)-1,LEN($B247))))))&gt;0,1,0)</f>
        <v/>
      </c>
    </row>
    <row r="248" ht="135.75" customHeight="1" thickBot="1">
      <c r="A248" s="13" t="n">
        <v>96</v>
      </c>
      <c r="B248" s="4" t="inlineStr">
        <is>
          <t>AMK US</t>
        </is>
      </c>
      <c r="C248" s="4" t="inlineStr">
        <is>
          <t>26026Z US</t>
        </is>
      </c>
      <c r="D248" s="7" t="n">
        <v>45407</v>
      </c>
      <c r="E248" s="3" t="n">
        <v>2622.57</v>
      </c>
      <c r="F248" s="4" t="inlineStr">
        <is>
          <t>Cash</t>
        </is>
      </c>
      <c r="G248" s="3" t="n">
        <v>10.98</v>
      </c>
      <c r="H248" s="4" t="inlineStr">
        <is>
          <t>Financials</t>
        </is>
      </c>
      <c r="I248" s="4" t="inlineStr">
        <is>
          <t>Financial Services</t>
        </is>
      </c>
      <c r="J248" s="4" t="inlineStr">
        <is>
          <t>Asset Management</t>
        </is>
      </c>
      <c r="K248" s="4" t="n"/>
      <c r="L248" s="4" t="n"/>
      <c r="M248" s="3" t="n">
        <v>-0.11</v>
      </c>
      <c r="N248" s="3" t="n">
        <v>2622.57</v>
      </c>
      <c r="O248" s="4" t="inlineStr">
        <is>
          <t>United States</t>
        </is>
      </c>
      <c r="P248" s="4" t="inlineStr">
        <is>
          <t>United States</t>
        </is>
      </c>
      <c r="Q248" s="4" t="inlineStr">
        <is>
          <t>Friendly</t>
        </is>
      </c>
      <c r="R248" s="3" t="n">
        <v>708.499</v>
      </c>
      <c r="S248" s="3" t="n">
        <v>26.7984</v>
      </c>
      <c r="T248" s="4" t="inlineStr">
        <is>
          <t>Company Takeover, Going Private, PE Buyout, Private Equity</t>
        </is>
      </c>
      <c r="U248" s="2" t="inlineStr">
        <is>
          <t>No</t>
        </is>
      </c>
      <c r="V248" s="2" t="inlineStr">
        <is>
          <t>No</t>
        </is>
      </c>
      <c r="W248" s="2" t="inlineStr">
        <is>
          <t>No</t>
        </is>
      </c>
      <c r="X248" s="2" t="inlineStr">
        <is>
          <t>Yes</t>
        </is>
      </c>
      <c r="Y248" s="2" t="inlineStr">
        <is>
          <t>Yes</t>
        </is>
      </c>
      <c r="Z248" s="2" t="inlineStr">
        <is>
          <t>No</t>
        </is>
      </c>
      <c r="AA248" s="6" t="n">
        <v>3.418727089</v>
      </c>
      <c r="AB248" s="6" t="n">
        <v>2.850339242</v>
      </c>
      <c r="AC248" s="6" t="n">
        <v>3.418727089</v>
      </c>
      <c r="AD248">
        <f t="array" ref="AD248">IF(SUMPRODUCT(--($AM$2:$AM$112=TRIM(LEFT($B248,IFERROR(FIND(" ",$B248)-1,LEN($B248))))))&gt;0,1,0)</f>
        <v/>
      </c>
      <c r="AE248">
        <f t="array" ref="AE248">IF(SUMPRODUCT(--($AO$2:$AO$145=TRIM(LEFT($B248,IFERROR(FIND(" ",$B248)-1,LEN($B248))))))&gt;0,1,0)</f>
        <v/>
      </c>
      <c r="AF248">
        <f t="array" ref="AF248">IF(SUMPRODUCT(--($AQ$2:$AQ$71=TRIM(LEFT($B248,IFERROR(FIND(" ",$B248)-1,LEN($B248))))))&gt;0,1,0)</f>
        <v/>
      </c>
    </row>
    <row r="249" ht="45.75" customHeight="1" thickBot="1">
      <c r="A249" s="13" t="n">
        <v>63</v>
      </c>
      <c r="B249" s="4" t="inlineStr">
        <is>
          <t>DO US</t>
        </is>
      </c>
      <c r="C249" s="4" t="inlineStr">
        <is>
          <t>NE US</t>
        </is>
      </c>
      <c r="D249" s="7" t="n">
        <v>45453</v>
      </c>
      <c r="E249" s="3" t="n">
        <v>2171.27</v>
      </c>
      <c r="F249" s="4" t="inlineStr">
        <is>
          <t>Cash and Stock</t>
        </is>
      </c>
      <c r="G249" s="3" t="n">
        <v>0.13</v>
      </c>
      <c r="H249" s="4" t="inlineStr">
        <is>
          <t>Energy</t>
        </is>
      </c>
      <c r="I249" s="4" t="inlineStr">
        <is>
          <t>Oil &amp; Gas</t>
        </is>
      </c>
      <c r="J249" s="4" t="inlineStr">
        <is>
          <t>Oil &amp; Gas Services &amp; Equip</t>
        </is>
      </c>
      <c r="K249" s="4" t="n"/>
      <c r="L249" s="9" t="n">
        <v>60000000</v>
      </c>
      <c r="M249" s="3" t="n">
        <v>12.16</v>
      </c>
      <c r="N249" s="3" t="n">
        <v>1666.67</v>
      </c>
      <c r="O249" s="4" t="inlineStr">
        <is>
          <t>United States</t>
        </is>
      </c>
      <c r="P249" s="4" t="inlineStr">
        <is>
          <t>United States</t>
        </is>
      </c>
      <c r="Q249" s="4" t="inlineStr">
        <is>
          <t>Friendly</t>
        </is>
      </c>
      <c r="R249" s="3" t="n">
        <v>1056.18</v>
      </c>
      <c r="S249" s="3" t="n">
        <v>8.959239999999999</v>
      </c>
      <c r="T249" s="4" t="inlineStr">
        <is>
          <t>Company Takeover</t>
        </is>
      </c>
      <c r="U249" s="2" t="inlineStr">
        <is>
          <t>No</t>
        </is>
      </c>
      <c r="V249" s="2" t="inlineStr">
        <is>
          <t>No</t>
        </is>
      </c>
      <c r="W249" s="2" t="inlineStr">
        <is>
          <t>No</t>
        </is>
      </c>
      <c r="X249" s="2" t="inlineStr">
        <is>
          <t>No</t>
        </is>
      </c>
      <c r="Y249" s="2" t="inlineStr">
        <is>
          <t>No</t>
        </is>
      </c>
      <c r="Z249" s="2" t="inlineStr">
        <is>
          <t>No</t>
        </is>
      </c>
      <c r="AA249" s="6" t="n">
        <v>3.336713832</v>
      </c>
      <c r="AB249" s="6" t="n">
        <v>3.023737939</v>
      </c>
      <c r="AC249" s="6" t="n">
        <v>3.221849618</v>
      </c>
      <c r="AD249">
        <f t="array" ref="AD249">IF(SUMPRODUCT(--($AM$2:$AM$112=TRIM(LEFT($B249,IFERROR(FIND(" ",$B249)-1,LEN($B249))))))&gt;0,1,0)</f>
        <v/>
      </c>
      <c r="AE249">
        <f t="array" ref="AE249">IF(SUMPRODUCT(--($AO$2:$AO$145=TRIM(LEFT($B249,IFERROR(FIND(" ",$B249)-1,LEN($B249))))))&gt;0,1,0)</f>
        <v/>
      </c>
      <c r="AF249">
        <f t="array" ref="AF249">IF(SUMPRODUCT(--($AQ$2:$AQ$71=TRIM(LEFT($B249,IFERROR(FIND(" ",$B249)-1,LEN($B249))))))&gt;0,1,0)</f>
        <v/>
      </c>
    </row>
    <row r="250" ht="135.75" customHeight="1" thickBot="1">
      <c r="A250" s="13" t="n">
        <v>55</v>
      </c>
      <c r="B250" s="4" t="inlineStr">
        <is>
          <t>EBIXQ US</t>
        </is>
      </c>
      <c r="C250" s="4" t="inlineStr">
        <is>
          <t>ERAAYA IN</t>
        </is>
      </c>
      <c r="D250" s="7" t="n">
        <v>45462</v>
      </c>
      <c r="E250" s="3" t="n">
        <v>680.77</v>
      </c>
      <c r="F250" s="4" t="inlineStr">
        <is>
          <t>Cash</t>
        </is>
      </c>
      <c r="G250" s="3" t="n">
        <v>3.78</v>
      </c>
      <c r="H250" s="4" t="inlineStr">
        <is>
          <t>Technology</t>
        </is>
      </c>
      <c r="I250" s="4" t="inlineStr">
        <is>
          <t>Software &amp; Tech Services</t>
        </is>
      </c>
      <c r="J250" s="4" t="inlineStr">
        <is>
          <t>Software</t>
        </is>
      </c>
      <c r="K250" s="4" t="n"/>
      <c r="L250" s="4" t="n"/>
      <c r="M250" s="4" t="n"/>
      <c r="N250" s="3" t="n">
        <v>151.58</v>
      </c>
      <c r="O250" s="4" t="inlineStr">
        <is>
          <t>United States</t>
        </is>
      </c>
      <c r="P250" s="4" t="inlineStr">
        <is>
          <t>India</t>
        </is>
      </c>
      <c r="Q250" s="4" t="inlineStr">
        <is>
          <t>Friendly</t>
        </is>
      </c>
      <c r="R250" s="3" t="n">
        <v>1050.15</v>
      </c>
      <c r="S250" s="3" t="n">
        <v>14.943</v>
      </c>
      <c r="T250" s="4" t="inlineStr">
        <is>
          <t>Cross Border, Company Takeover, Bankruptcy/Liquidation</t>
        </is>
      </c>
      <c r="U250" s="2" t="inlineStr">
        <is>
          <t>No</t>
        </is>
      </c>
      <c r="V250" s="2" t="inlineStr">
        <is>
          <t>No</t>
        </is>
      </c>
      <c r="W250" s="2" t="inlineStr">
        <is>
          <t>Yes</t>
        </is>
      </c>
      <c r="X250" s="2" t="inlineStr">
        <is>
          <t>No</t>
        </is>
      </c>
      <c r="Y250" s="2" t="inlineStr">
        <is>
          <t>No</t>
        </is>
      </c>
      <c r="Z250" s="2" t="inlineStr">
        <is>
          <t>No</t>
        </is>
      </c>
      <c r="AA250" s="6" t="n">
        <v>2.833000409</v>
      </c>
      <c r="AB250" s="6" t="n">
        <v>3.021251337</v>
      </c>
      <c r="AC250" s="6" t="n">
        <v>2.180641903</v>
      </c>
      <c r="AD250">
        <f t="array" ref="AD250">IF(SUMPRODUCT(--($AM$2:$AM$112=TRIM(LEFT($B250,IFERROR(FIND(" ",$B250)-1,LEN($B250))))))&gt;0,1,0)</f>
        <v/>
      </c>
      <c r="AE250">
        <f t="array" ref="AE250">IF(SUMPRODUCT(--($AO$2:$AO$145=TRIM(LEFT($B250,IFERROR(FIND(" ",$B250)-1,LEN($B250))))))&gt;0,1,0)</f>
        <v/>
      </c>
      <c r="AF250">
        <f t="array" ref="AF250">IF(SUMPRODUCT(--($AQ$2:$AQ$71=TRIM(LEFT($B250,IFERROR(FIND(" ",$B250)-1,LEN($B250))))))&gt;0,1,0)</f>
        <v/>
      </c>
    </row>
    <row r="251" ht="105.75" customHeight="1" thickBot="1">
      <c r="A251" s="13" t="n">
        <v>61</v>
      </c>
      <c r="B251" s="4" t="inlineStr">
        <is>
          <t>CPLF CN</t>
        </is>
      </c>
      <c r="C251" s="4" t="inlineStr">
        <is>
          <t>IFSB SS</t>
        </is>
      </c>
      <c r="D251" s="7" t="n">
        <v>45454</v>
      </c>
      <c r="E251" s="3" t="n">
        <v>564.55</v>
      </c>
      <c r="F251" s="4" t="inlineStr">
        <is>
          <t>Cash</t>
        </is>
      </c>
      <c r="G251" s="4" t="n"/>
      <c r="H251" s="4" t="inlineStr">
        <is>
          <t>Technology</t>
        </is>
      </c>
      <c r="I251" s="4" t="inlineStr">
        <is>
          <t>Software &amp; Tech Services</t>
        </is>
      </c>
      <c r="J251" s="4" t="inlineStr">
        <is>
          <t>Software</t>
        </is>
      </c>
      <c r="K251" s="4" t="n"/>
      <c r="L251" s="4" t="n"/>
      <c r="M251" s="3" t="n">
        <v>35.63</v>
      </c>
      <c r="N251" s="3" t="n">
        <v>647.45</v>
      </c>
      <c r="O251" s="4" t="inlineStr">
        <is>
          <t>Canada</t>
        </is>
      </c>
      <c r="P251" s="4" t="inlineStr">
        <is>
          <t>Sweden</t>
        </is>
      </c>
      <c r="Q251" s="4" t="inlineStr">
        <is>
          <t>Friendly</t>
        </is>
      </c>
      <c r="R251" s="3" t="n">
        <v>58.9792</v>
      </c>
      <c r="S251" s="3" t="n">
        <v>-49.0877</v>
      </c>
      <c r="T251" s="4" t="inlineStr">
        <is>
          <t>Cross Border, Going Private, Company Takeover</t>
        </is>
      </c>
      <c r="U251" s="2" t="inlineStr">
        <is>
          <t>No</t>
        </is>
      </c>
      <c r="V251" s="2" t="inlineStr">
        <is>
          <t>No</t>
        </is>
      </c>
      <c r="W251" s="2" t="inlineStr">
        <is>
          <t>Yes</t>
        </is>
      </c>
      <c r="X251" s="2" t="inlineStr">
        <is>
          <t>Yes</t>
        </is>
      </c>
      <c r="Y251" s="2" t="inlineStr">
        <is>
          <t>No</t>
        </is>
      </c>
      <c r="Z251" s="2" t="inlineStr">
        <is>
          <t>No</t>
        </is>
      </c>
      <c r="AA251" s="6" t="n">
        <v>2.751702412</v>
      </c>
      <c r="AB251" s="6" t="n">
        <v>1.770698877</v>
      </c>
      <c r="AC251" s="6" t="n">
        <v>2.811206235</v>
      </c>
      <c r="AD251">
        <f t="array" ref="AD251">IF(SUMPRODUCT(--($AM$2:$AM$112=TRIM(LEFT($B251,IFERROR(FIND(" ",$B251)-1,LEN($B251))))))&gt;0,1,0)</f>
        <v/>
      </c>
      <c r="AE251">
        <f t="array" ref="AE251">IF(SUMPRODUCT(--($AO$2:$AO$145=TRIM(LEFT($B251,IFERROR(FIND(" ",$B251)-1,LEN($B251))))))&gt;0,1,0)</f>
        <v/>
      </c>
      <c r="AF251">
        <f t="array" ref="AF251">IF(SUMPRODUCT(--($AQ$2:$AQ$71=TRIM(LEFT($B251,IFERROR(FIND(" ",$B251)-1,LEN($B251))))))&gt;0,1,0)</f>
        <v/>
      </c>
    </row>
    <row r="252" ht="60.75" customHeight="1" thickBot="1">
      <c r="A252" s="13" t="n">
        <v>63</v>
      </c>
      <c r="B252" s="4" t="inlineStr">
        <is>
          <t>ATRI US</t>
        </is>
      </c>
      <c r="C252" s="4" t="inlineStr">
        <is>
          <t>NDSN US</t>
        </is>
      </c>
      <c r="D252" s="7" t="n">
        <v>45440</v>
      </c>
      <c r="E252" s="3" t="n">
        <v>799.6799999999999</v>
      </c>
      <c r="F252" s="4" t="inlineStr">
        <is>
          <t>Cash</t>
        </is>
      </c>
      <c r="G252" s="3" t="n">
        <v>21.22</v>
      </c>
      <c r="H252" s="4" t="inlineStr">
        <is>
          <t>Health Care</t>
        </is>
      </c>
      <c r="I252" s="4" t="inlineStr">
        <is>
          <t>Health Care</t>
        </is>
      </c>
      <c r="J252" s="4" t="inlineStr">
        <is>
          <t>Medical Equipment &amp; Devices</t>
        </is>
      </c>
      <c r="K252" s="4" t="n"/>
      <c r="L252" s="4" t="n"/>
      <c r="M252" s="3" t="n">
        <v>3.48</v>
      </c>
      <c r="N252" s="3" t="n">
        <v>809.58</v>
      </c>
      <c r="O252" s="4" t="inlineStr">
        <is>
          <t>United States</t>
        </is>
      </c>
      <c r="P252" s="4" t="inlineStr">
        <is>
          <t>United States</t>
        </is>
      </c>
      <c r="Q252" s="4" t="inlineStr">
        <is>
          <t>Friendly</t>
        </is>
      </c>
      <c r="R252" s="3" t="n">
        <v>169.326</v>
      </c>
      <c r="S252" s="3" t="n">
        <v>7.93273</v>
      </c>
      <c r="T252" s="4" t="inlineStr">
        <is>
          <t>Company Takeover</t>
        </is>
      </c>
      <c r="U252" s="2" t="inlineStr">
        <is>
          <t>No</t>
        </is>
      </c>
      <c r="V252" s="2" t="inlineStr">
        <is>
          <t>No</t>
        </is>
      </c>
      <c r="W252" s="2" t="inlineStr">
        <is>
          <t>No</t>
        </is>
      </c>
      <c r="X252" s="2" t="inlineStr">
        <is>
          <t>No</t>
        </is>
      </c>
      <c r="Y252" s="2" t="inlineStr">
        <is>
          <t>No</t>
        </is>
      </c>
      <c r="Z252" s="2" t="inlineStr">
        <is>
          <t>No</t>
        </is>
      </c>
      <c r="AA252" s="6" t="n">
        <v>2.902916234</v>
      </c>
      <c r="AB252" s="6" t="n">
        <v>2.228723649</v>
      </c>
      <c r="AC252" s="6" t="n">
        <v>2.908259771</v>
      </c>
      <c r="AD252">
        <f t="array" ref="AD252">IF(SUMPRODUCT(--($AM$2:$AM$112=TRIM(LEFT($B252,IFERROR(FIND(" ",$B252)-1,LEN($B252))))))&gt;0,1,0)</f>
        <v/>
      </c>
      <c r="AE252">
        <f t="array" ref="AE252">IF(SUMPRODUCT(--($AO$2:$AO$145=TRIM(LEFT($B252,IFERROR(FIND(" ",$B252)-1,LEN($B252))))))&gt;0,1,0)</f>
        <v/>
      </c>
      <c r="AF252">
        <f t="array" ref="AF252">IF(SUMPRODUCT(--($AQ$2:$AQ$71=TRIM(LEFT($B252,IFERROR(FIND(" ",$B252)-1,LEN($B252))))))&gt;0,1,0)</f>
        <v/>
      </c>
    </row>
    <row r="253" ht="75.75" customHeight="1" thickBot="1">
      <c r="A253" s="13" t="n">
        <v>31</v>
      </c>
      <c r="B253" s="4" t="inlineStr">
        <is>
          <t>MORF US</t>
        </is>
      </c>
      <c r="C253" s="4" t="inlineStr">
        <is>
          <t>LLY US</t>
        </is>
      </c>
      <c r="D253" s="7" t="n">
        <v>45481</v>
      </c>
      <c r="E253" s="3" t="n">
        <v>2333.66</v>
      </c>
      <c r="F253" s="4" t="inlineStr">
        <is>
          <t>Cash</t>
        </is>
      </c>
      <c r="G253" s="4" t="n"/>
      <c r="H253" s="4" t="inlineStr">
        <is>
          <t>Health Care</t>
        </is>
      </c>
      <c r="I253" s="4" t="inlineStr">
        <is>
          <t>Health Care</t>
        </is>
      </c>
      <c r="J253" s="4" t="inlineStr">
        <is>
          <t>Biotech &amp; Pharma</t>
        </is>
      </c>
      <c r="K253" s="4" t="n"/>
      <c r="L253" s="3" t="n">
        <v>118</v>
      </c>
      <c r="M253" s="3" t="n">
        <v>89.06999999999999</v>
      </c>
      <c r="N253" s="3" t="n">
        <v>2990.95</v>
      </c>
      <c r="O253" s="4" t="inlineStr">
        <is>
          <t>United States</t>
        </is>
      </c>
      <c r="P253" s="4" t="inlineStr">
        <is>
          <t>United States</t>
        </is>
      </c>
      <c r="Q253" s="4" t="inlineStr">
        <is>
          <t>Friendly</t>
        </is>
      </c>
      <c r="R253" s="3" t="n">
        <v>0.521</v>
      </c>
      <c r="S253" s="2" t="n"/>
      <c r="T253" s="4" t="inlineStr">
        <is>
          <t>Company Takeover, Tender Offer</t>
        </is>
      </c>
      <c r="U253" s="2" t="inlineStr">
        <is>
          <t>No</t>
        </is>
      </c>
      <c r="V253" s="2" t="inlineStr">
        <is>
          <t>No</t>
        </is>
      </c>
      <c r="W253" s="2" t="inlineStr">
        <is>
          <t>No</t>
        </is>
      </c>
      <c r="X253" s="2" t="inlineStr">
        <is>
          <t>No</t>
        </is>
      </c>
      <c r="Y253" s="2" t="inlineStr">
        <is>
          <t>No</t>
        </is>
      </c>
      <c r="Z253" s="2" t="inlineStr">
        <is>
          <t>Yes</t>
        </is>
      </c>
      <c r="AA253" s="6" t="n">
        <v>3.368037582</v>
      </c>
      <c r="AB253" s="6" t="n">
        <v>-0.2831622767</v>
      </c>
      <c r="AC253" s="6" t="n">
        <v>3.475809153</v>
      </c>
      <c r="AD253">
        <f t="array" ref="AD253">IF(SUMPRODUCT(--($AM$2:$AM$112=TRIM(LEFT($B253,IFERROR(FIND(" ",$B253)-1,LEN($B253))))))&gt;0,1,0)</f>
        <v/>
      </c>
      <c r="AE253">
        <f t="array" ref="AE253">IF(SUMPRODUCT(--($AO$2:$AO$145=TRIM(LEFT($B253,IFERROR(FIND(" ",$B253)-1,LEN($B253))))))&gt;0,1,0)</f>
        <v/>
      </c>
      <c r="AF253">
        <f t="array" ref="AF253">IF(SUMPRODUCT(--($AQ$2:$AQ$71=TRIM(LEFT($B253,IFERROR(FIND(" ",$B253)-1,LEN($B253))))))&gt;0,1,0)</f>
        <v/>
      </c>
    </row>
    <row r="254" ht="165.75" customHeight="1" thickBot="1">
      <c r="A254" s="13" t="n">
        <v>52</v>
      </c>
      <c r="B254" s="4" t="inlineStr">
        <is>
          <t>PLC CN</t>
        </is>
      </c>
      <c r="C254" s="2" t="n"/>
      <c r="D254" s="7" t="n">
        <v>45446</v>
      </c>
      <c r="E254" s="3" t="n">
        <v>885.41</v>
      </c>
      <c r="F254" s="4" t="inlineStr">
        <is>
          <t>Cash</t>
        </is>
      </c>
      <c r="G254" s="3" t="n">
        <v>9.050000000000001</v>
      </c>
      <c r="H254" s="4" t="inlineStr">
        <is>
          <t>Consumer Discretionary</t>
        </is>
      </c>
      <c r="I254" s="4" t="inlineStr">
        <is>
          <t>Consumer Discretionary Services</t>
        </is>
      </c>
      <c r="J254" s="4" t="inlineStr">
        <is>
          <t>Consumer Services</t>
        </is>
      </c>
      <c r="K254" s="3" t="n">
        <v>38.4225</v>
      </c>
      <c r="L254" s="3" t="n">
        <v>38.4225</v>
      </c>
      <c r="M254" s="3" t="n">
        <v>57.47</v>
      </c>
      <c r="N254" s="3" t="n">
        <v>669.5</v>
      </c>
      <c r="O254" s="4" t="inlineStr">
        <is>
          <t>Canada</t>
        </is>
      </c>
      <c r="P254" s="4" t="inlineStr">
        <is>
          <t>United States</t>
        </is>
      </c>
      <c r="Q254" s="4" t="inlineStr">
        <is>
          <t>Friendly</t>
        </is>
      </c>
      <c r="R254" s="3" t="n">
        <v>347.601</v>
      </c>
      <c r="S254" s="3" t="n">
        <v>21.2793</v>
      </c>
      <c r="T254" s="4" t="inlineStr">
        <is>
          <t>Cross Border, Company Takeover, Private Equity, Going Private, PE Buyout</t>
        </is>
      </c>
      <c r="U254" s="2" t="inlineStr">
        <is>
          <t>No</t>
        </is>
      </c>
      <c r="V254" s="2" t="inlineStr">
        <is>
          <t>No</t>
        </is>
      </c>
      <c r="W254" s="2" t="inlineStr">
        <is>
          <t>Yes</t>
        </is>
      </c>
      <c r="X254" s="2" t="inlineStr">
        <is>
          <t>Yes</t>
        </is>
      </c>
      <c r="Y254" s="2" t="inlineStr">
        <is>
          <t>Yes</t>
        </is>
      </c>
      <c r="Z254" s="2" t="inlineStr">
        <is>
          <t>No</t>
        </is>
      </c>
      <c r="AA254" s="6" t="n">
        <v>2.947144423</v>
      </c>
      <c r="AB254" s="6" t="n">
        <v>2.541081017</v>
      </c>
      <c r="AC254" s="6" t="n">
        <v>2.825750581</v>
      </c>
      <c r="AD254">
        <f t="array" ref="AD254">IF(SUMPRODUCT(--($AM$2:$AM$112=TRIM(LEFT($B254,IFERROR(FIND(" ",$B254)-1,LEN($B254))))))&gt;0,1,0)</f>
        <v/>
      </c>
      <c r="AE254">
        <f t="array" ref="AE254">IF(SUMPRODUCT(--($AO$2:$AO$145=TRIM(LEFT($B254,IFERROR(FIND(" ",$B254)-1,LEN($B254))))))&gt;0,1,0)</f>
        <v/>
      </c>
      <c r="AF254">
        <f t="array" ref="AF254">IF(SUMPRODUCT(--($AQ$2:$AQ$71=TRIM(LEFT($B254,IFERROR(FIND(" ",$B254)-1,LEN($B254))))))&gt;0,1,0)</f>
        <v/>
      </c>
    </row>
    <row r="255" ht="105.75" customHeight="1" thickBot="1">
      <c r="A255" s="13" t="n">
        <v>87</v>
      </c>
      <c r="B255" s="4" t="inlineStr">
        <is>
          <t>KRR CN</t>
        </is>
      </c>
      <c r="C255" s="4" t="inlineStr">
        <is>
          <t>WGX AU</t>
        </is>
      </c>
      <c r="D255" s="7" t="n">
        <v>45390</v>
      </c>
      <c r="E255" s="3" t="n">
        <v>793.8</v>
      </c>
      <c r="F255" s="4" t="inlineStr">
        <is>
          <t>Cash and Stock</t>
        </is>
      </c>
      <c r="G255" s="3" t="n">
        <v>3.12</v>
      </c>
      <c r="H255" s="4" t="inlineStr">
        <is>
          <t>Materials</t>
        </is>
      </c>
      <c r="I255" s="4" t="inlineStr">
        <is>
          <t>Materials</t>
        </is>
      </c>
      <c r="J255" s="4" t="inlineStr">
        <is>
          <t>Metals &amp; Mining</t>
        </is>
      </c>
      <c r="K255" s="4" t="n"/>
      <c r="L255" s="4" t="n"/>
      <c r="M255" s="3" t="n">
        <v>26.82</v>
      </c>
      <c r="N255" s="3" t="n">
        <v>809.2</v>
      </c>
      <c r="O255" s="4" t="inlineStr">
        <is>
          <t>Canada</t>
        </is>
      </c>
      <c r="P255" s="4" t="inlineStr">
        <is>
          <t>Australia</t>
        </is>
      </c>
      <c r="Q255" s="4" t="inlineStr">
        <is>
          <t>Friendly</t>
        </is>
      </c>
      <c r="R255" s="3" t="n">
        <v>308.563</v>
      </c>
      <c r="S255" s="3" t="n">
        <v>11.8269</v>
      </c>
      <c r="T255" s="4" t="inlineStr">
        <is>
          <t>Company Takeover, Cross Border, Competing Bid</t>
        </is>
      </c>
      <c r="U255" s="2" t="inlineStr">
        <is>
          <t>No</t>
        </is>
      </c>
      <c r="V255" s="2" t="inlineStr">
        <is>
          <t>Yes</t>
        </is>
      </c>
      <c r="W255" s="2" t="inlineStr">
        <is>
          <t>Yes</t>
        </is>
      </c>
      <c r="X255" s="2" t="inlineStr">
        <is>
          <t>No</t>
        </is>
      </c>
      <c r="Y255" s="2" t="inlineStr">
        <is>
          <t>No</t>
        </is>
      </c>
      <c r="Z255" s="2" t="inlineStr">
        <is>
          <t>No</t>
        </is>
      </c>
      <c r="AA255" s="6" t="n">
        <v>2.899711095</v>
      </c>
      <c r="AB255" s="6" t="n">
        <v>2.489343848</v>
      </c>
      <c r="AC255" s="6" t="n">
        <v>2.908055874</v>
      </c>
      <c r="AD255">
        <f t="array" ref="AD255">IF(SUMPRODUCT(--($AM$2:$AM$112=TRIM(LEFT($B255,IFERROR(FIND(" ",$B255)-1,LEN($B255))))))&gt;0,1,0)</f>
        <v/>
      </c>
      <c r="AE255">
        <f t="array" ref="AE255">IF(SUMPRODUCT(--($AO$2:$AO$145=TRIM(LEFT($B255,IFERROR(FIND(" ",$B255)-1,LEN($B255))))))&gt;0,1,0)</f>
        <v/>
      </c>
      <c r="AF255">
        <f t="array" ref="AF255">IF(SUMPRODUCT(--($AQ$2:$AQ$71=TRIM(LEFT($B255,IFERROR(FIND(" ",$B255)-1,LEN($B255))))))&gt;0,1,0)</f>
        <v/>
      </c>
    </row>
    <row r="256" ht="75.75" customHeight="1" thickBot="1">
      <c r="A256" s="13" t="n">
        <v>126</v>
      </c>
      <c r="B256" s="4" t="inlineStr">
        <is>
          <t>FREE US</t>
        </is>
      </c>
      <c r="C256" s="4" t="inlineStr">
        <is>
          <t>2289689D US</t>
        </is>
      </c>
      <c r="D256" s="7" t="n">
        <v>45335</v>
      </c>
      <c r="E256" s="3" t="n">
        <v>637.1799999999999</v>
      </c>
      <c r="F256" s="4" t="inlineStr">
        <is>
          <t>Cash</t>
        </is>
      </c>
      <c r="G256" s="4" t="n"/>
      <c r="H256" s="4" t="inlineStr">
        <is>
          <t>Consumer Staples</t>
        </is>
      </c>
      <c r="I256" s="4" t="inlineStr">
        <is>
          <t>Consumer Staple Products</t>
        </is>
      </c>
      <c r="J256" s="4" t="inlineStr">
        <is>
          <t>Food</t>
        </is>
      </c>
      <c r="K256" s="4" t="n"/>
      <c r="L256" s="4" t="n"/>
      <c r="M256" s="3" t="n">
        <v>28.69</v>
      </c>
      <c r="N256" s="3" t="n">
        <v>208.9</v>
      </c>
      <c r="O256" s="4" t="inlineStr">
        <is>
          <t>United States</t>
        </is>
      </c>
      <c r="P256" s="4" t="inlineStr">
        <is>
          <t>United States</t>
        </is>
      </c>
      <c r="Q256" s="4" t="inlineStr">
        <is>
          <t>Friendly</t>
        </is>
      </c>
      <c r="R256" s="3" t="n">
        <v>550.913</v>
      </c>
      <c r="S256" s="3" t="n">
        <v>4.03923</v>
      </c>
      <c r="T256" s="4" t="inlineStr">
        <is>
          <t>Company Takeover, Going Private</t>
        </is>
      </c>
      <c r="U256" s="2" t="inlineStr">
        <is>
          <t>No</t>
        </is>
      </c>
      <c r="V256" s="2" t="inlineStr">
        <is>
          <t>No</t>
        </is>
      </c>
      <c r="W256" s="2" t="inlineStr">
        <is>
          <t>No</t>
        </is>
      </c>
      <c r="X256" s="2" t="inlineStr">
        <is>
          <t>Yes</t>
        </is>
      </c>
      <c r="Y256" s="2" t="inlineStr">
        <is>
          <t>No</t>
        </is>
      </c>
      <c r="Z256" s="2" t="inlineStr">
        <is>
          <t>No</t>
        </is>
      </c>
      <c r="AA256" s="6" t="n">
        <v>2.804262136</v>
      </c>
      <c r="AB256" s="6" t="n">
        <v>2.741083021</v>
      </c>
      <c r="AC256" s="6" t="n">
        <v>2.31993844</v>
      </c>
      <c r="AD256">
        <f t="array" ref="AD256">IF(SUMPRODUCT(--($AM$2:$AM$112=TRIM(LEFT($B256,IFERROR(FIND(" ",$B256)-1,LEN($B256))))))&gt;0,1,0)</f>
        <v/>
      </c>
      <c r="AE256">
        <f t="array" ref="AE256">IF(SUMPRODUCT(--($AO$2:$AO$145=TRIM(LEFT($B256,IFERROR(FIND(" ",$B256)-1,LEN($B256))))))&gt;0,1,0)</f>
        <v/>
      </c>
      <c r="AF256">
        <f t="array" ref="AF256">IF(SUMPRODUCT(--($AQ$2:$AQ$71=TRIM(LEFT($B256,IFERROR(FIND(" ",$B256)-1,LEN($B256))))))&gt;0,1,0)</f>
        <v/>
      </c>
    </row>
    <row r="257" ht="45.75" customHeight="1" thickBot="1">
      <c r="A257" s="13" t="n">
        <v>173</v>
      </c>
      <c r="B257" s="4" t="inlineStr">
        <is>
          <t>CERE US</t>
        </is>
      </c>
      <c r="C257" s="4" t="inlineStr">
        <is>
          <t>ABBV US</t>
        </is>
      </c>
      <c r="D257" s="7" t="n">
        <v>45266</v>
      </c>
      <c r="E257" s="3" t="n">
        <v>7699.74</v>
      </c>
      <c r="F257" s="4" t="inlineStr">
        <is>
          <t>Cash</t>
        </is>
      </c>
      <c r="G257" s="4" t="n"/>
      <c r="H257" s="4" t="inlineStr">
        <is>
          <t>Health Care</t>
        </is>
      </c>
      <c r="I257" s="4" t="inlineStr">
        <is>
          <t>Health Care</t>
        </is>
      </c>
      <c r="J257" s="4" t="inlineStr">
        <is>
          <t>Biotech &amp; Pharma</t>
        </is>
      </c>
      <c r="K257" s="4" t="n"/>
      <c r="L257" s="4" t="n"/>
      <c r="M257" s="3" t="n">
        <v>75.02</v>
      </c>
      <c r="N257" s="3" t="n">
        <v>8426.01</v>
      </c>
      <c r="O257" s="4" t="inlineStr">
        <is>
          <t>United States</t>
        </is>
      </c>
      <c r="P257" s="4" t="inlineStr">
        <is>
          <t>United States</t>
        </is>
      </c>
      <c r="Q257" s="4" t="inlineStr">
        <is>
          <t>Friendly</t>
        </is>
      </c>
      <c r="R257" s="2" t="n"/>
      <c r="S257" s="2" t="n"/>
      <c r="T257" s="4" t="inlineStr">
        <is>
          <t>Company Takeover</t>
        </is>
      </c>
      <c r="U257" s="2" t="inlineStr">
        <is>
          <t>No</t>
        </is>
      </c>
      <c r="V257" s="2" t="inlineStr">
        <is>
          <t>No</t>
        </is>
      </c>
      <c r="W257" s="2" t="inlineStr">
        <is>
          <t>No</t>
        </is>
      </c>
      <c r="X257" s="2" t="inlineStr">
        <is>
          <t>No</t>
        </is>
      </c>
      <c r="Y257" s="2" t="inlineStr">
        <is>
          <t>No</t>
        </is>
      </c>
      <c r="Z257" s="2" t="inlineStr">
        <is>
          <t>No</t>
        </is>
      </c>
      <c r="AA257" s="6" t="n">
        <v>3.88647606</v>
      </c>
      <c r="AB257" s="2" t="n"/>
      <c r="AC257" s="6" t="n">
        <v>3.92562197</v>
      </c>
      <c r="AD257">
        <f t="array" ref="AD257">IF(SUMPRODUCT(--($AM$2:$AM$112=TRIM(LEFT($B257,IFERROR(FIND(" ",$B257)-1,LEN($B257))))))&gt;0,1,0)</f>
        <v/>
      </c>
      <c r="AE257">
        <f t="array" ref="AE257">IF(SUMPRODUCT(--($AO$2:$AO$145=TRIM(LEFT($B257,IFERROR(FIND(" ",$B257)-1,LEN($B257))))))&gt;0,1,0)</f>
        <v/>
      </c>
      <c r="AF257">
        <f t="array" ref="AF257">IF(SUMPRODUCT(--($AQ$2:$AQ$71=TRIM(LEFT($B257,IFERROR(FIND(" ",$B257)-1,LEN($B257))))))&gt;0,1,0)</f>
        <v/>
      </c>
    </row>
    <row r="258" ht="135.75" customHeight="1" thickBot="1">
      <c r="A258" s="13" t="n">
        <v>70</v>
      </c>
      <c r="B258" s="4" t="inlineStr">
        <is>
          <t>SLCA US</t>
        </is>
      </c>
      <c r="C258" s="4" t="inlineStr">
        <is>
          <t>APO US</t>
        </is>
      </c>
      <c r="D258" s="7" t="n">
        <v>45408</v>
      </c>
      <c r="E258" s="3" t="n">
        <v>1850</v>
      </c>
      <c r="F258" s="4" t="inlineStr">
        <is>
          <t>Cash</t>
        </is>
      </c>
      <c r="G258" s="3" t="n">
        <v>4.32</v>
      </c>
      <c r="H258" s="4" t="inlineStr">
        <is>
          <t>Energy</t>
        </is>
      </c>
      <c r="I258" s="4" t="inlineStr">
        <is>
          <t>Oil &amp; Gas</t>
        </is>
      </c>
      <c r="J258" s="4" t="inlineStr">
        <is>
          <t>Oil &amp; Gas Services &amp; Equip</t>
        </is>
      </c>
      <c r="K258" s="3" t="n">
        <v>87.3</v>
      </c>
      <c r="L258" s="3" t="n">
        <v>41.75</v>
      </c>
      <c r="M258" s="4" t="n"/>
      <c r="N258" s="3" t="n">
        <v>1180.87</v>
      </c>
      <c r="O258" s="4" t="inlineStr">
        <is>
          <t>United States</t>
        </is>
      </c>
      <c r="P258" s="4" t="inlineStr">
        <is>
          <t>United States</t>
        </is>
      </c>
      <c r="Q258" s="4" t="inlineStr">
        <is>
          <t>Friendly</t>
        </is>
      </c>
      <c r="R258" s="3" t="n">
        <v>1552.02</v>
      </c>
      <c r="S258" s="3" t="n">
        <v>14.1696</v>
      </c>
      <c r="T258" s="4" t="inlineStr">
        <is>
          <t>Company Takeover, Going Private, Private Equity, PE Buyout</t>
        </is>
      </c>
      <c r="U258" s="2" t="inlineStr">
        <is>
          <t>No</t>
        </is>
      </c>
      <c r="V258" s="2" t="inlineStr">
        <is>
          <t>No</t>
        </is>
      </c>
      <c r="W258" s="2" t="inlineStr">
        <is>
          <t>No</t>
        </is>
      </c>
      <c r="X258" s="2" t="inlineStr">
        <is>
          <t>Yes</t>
        </is>
      </c>
      <c r="Y258" s="2" t="inlineStr">
        <is>
          <t>Yes</t>
        </is>
      </c>
      <c r="Z258" s="2" t="inlineStr">
        <is>
          <t>No</t>
        </is>
      </c>
      <c r="AA258" s="6" t="n">
        <v>3.267171728</v>
      </c>
      <c r="AB258" s="6" t="n">
        <v>3.190897313</v>
      </c>
      <c r="AC258" s="6" t="n">
        <v>3.072202089</v>
      </c>
      <c r="AD258">
        <f t="array" ref="AD258">IF(SUMPRODUCT(--($AM$2:$AM$112=TRIM(LEFT($B258,IFERROR(FIND(" ",$B258)-1,LEN($B258))))))&gt;0,1,0)</f>
        <v/>
      </c>
      <c r="AE258">
        <f t="array" ref="AE258">IF(SUMPRODUCT(--($AO$2:$AO$145=TRIM(LEFT($B258,IFERROR(FIND(" ",$B258)-1,LEN($B258))))))&gt;0,1,0)</f>
        <v/>
      </c>
      <c r="AF258">
        <f t="array" ref="AF258">IF(SUMPRODUCT(--($AQ$2:$AQ$71=TRIM(LEFT($B258,IFERROR(FIND(" ",$B258)-1,LEN($B258))))))&gt;0,1,0)</f>
        <v/>
      </c>
    </row>
    <row r="259" ht="45.75" customHeight="1" thickBot="1">
      <c r="A259" s="13" t="n">
        <v>54</v>
      </c>
      <c r="B259" s="4" t="inlineStr">
        <is>
          <t>SBOW US</t>
        </is>
      </c>
      <c r="C259" s="4" t="inlineStr">
        <is>
          <t>CRGY US</t>
        </is>
      </c>
      <c r="D259" s="7" t="n">
        <v>45428</v>
      </c>
      <c r="E259" s="3" t="n">
        <v>2025.54</v>
      </c>
      <c r="F259" s="4" t="inlineStr">
        <is>
          <t>Cash or Stock</t>
        </is>
      </c>
      <c r="G259" s="3" t="n">
        <v>4.45</v>
      </c>
      <c r="H259" s="4" t="inlineStr">
        <is>
          <t>Energy</t>
        </is>
      </c>
      <c r="I259" s="4" t="inlineStr">
        <is>
          <t>Oil &amp; Gas</t>
        </is>
      </c>
      <c r="J259" s="4" t="inlineStr">
        <is>
          <t>Oil &amp; Gas Supply Chain</t>
        </is>
      </c>
      <c r="K259" s="3" t="n">
        <v>61</v>
      </c>
      <c r="L259" s="3" t="n">
        <v>30.5</v>
      </c>
      <c r="M259" s="3" t="n">
        <v>14.53</v>
      </c>
      <c r="N259" s="3" t="n">
        <v>929.3</v>
      </c>
      <c r="O259" s="4" t="inlineStr">
        <is>
          <t>United States</t>
        </is>
      </c>
      <c r="P259" s="4" t="inlineStr">
        <is>
          <t>United States</t>
        </is>
      </c>
      <c r="Q259" s="4" t="inlineStr">
        <is>
          <t>Friendly</t>
        </is>
      </c>
      <c r="R259" s="3" t="n">
        <v>652.3579999999999</v>
      </c>
      <c r="S259" s="3" t="n">
        <v>31.9529</v>
      </c>
      <c r="T259" s="4" t="inlineStr">
        <is>
          <t>Company Takeover</t>
        </is>
      </c>
      <c r="U259" s="2" t="inlineStr">
        <is>
          <t>No</t>
        </is>
      </c>
      <c r="V259" s="2" t="inlineStr">
        <is>
          <t>No</t>
        </is>
      </c>
      <c r="W259" s="2" t="inlineStr">
        <is>
          <t>No</t>
        </is>
      </c>
      <c r="X259" s="2" t="inlineStr">
        <is>
          <t>No</t>
        </is>
      </c>
      <c r="Y259" s="2" t="inlineStr">
        <is>
          <t>No</t>
        </is>
      </c>
      <c r="Z259" s="2" t="inlineStr">
        <is>
          <t>No</t>
        </is>
      </c>
      <c r="AA259" s="6" t="n">
        <v>3.306540824</v>
      </c>
      <c r="AB259" s="6" t="n">
        <v>2.814485993</v>
      </c>
      <c r="AC259" s="6" t="n">
        <v>2.968155937</v>
      </c>
      <c r="AD259">
        <f t="array" ref="AD259">IF(SUMPRODUCT(--($AM$2:$AM$112=TRIM(LEFT($B259,IFERROR(FIND(" ",$B259)-1,LEN($B259))))))&gt;0,1,0)</f>
        <v/>
      </c>
      <c r="AE259">
        <f t="array" ref="AE259">IF(SUMPRODUCT(--($AO$2:$AO$145=TRIM(LEFT($B259,IFERROR(FIND(" ",$B259)-1,LEN($B259))))))&gt;0,1,0)</f>
        <v/>
      </c>
      <c r="AF259">
        <f t="array" ref="AF259">IF(SUMPRODUCT(--($AQ$2:$AQ$71=TRIM(LEFT($B259,IFERROR(FIND(" ",$B259)-1,LEN($B259))))))&gt;0,1,0)</f>
        <v/>
      </c>
    </row>
    <row r="260" ht="75.75" customHeight="1" thickBot="1">
      <c r="A260" s="13" t="n">
        <v>69</v>
      </c>
      <c r="B260" s="4" t="inlineStr">
        <is>
          <t>HIBB US</t>
        </is>
      </c>
      <c r="C260" s="4" t="inlineStr">
        <is>
          <t>JD/ LN</t>
        </is>
      </c>
      <c r="D260" s="7" t="n">
        <v>45405</v>
      </c>
      <c r="E260" s="3" t="n">
        <v>1378.6</v>
      </c>
      <c r="F260" s="4" t="inlineStr">
        <is>
          <t>Cash</t>
        </is>
      </c>
      <c r="G260" s="3" t="n">
        <v>5.13</v>
      </c>
      <c r="H260" s="4" t="inlineStr">
        <is>
          <t>Consumer Discretionary</t>
        </is>
      </c>
      <c r="I260" s="4" t="inlineStr">
        <is>
          <t>Retail &amp; Whsle - Discretionary</t>
        </is>
      </c>
      <c r="J260" s="4" t="inlineStr">
        <is>
          <t>Retail - Discretionary</t>
        </is>
      </c>
      <c r="K260" s="4" t="n"/>
      <c r="L260" s="4" t="n"/>
      <c r="M260" s="3" t="n">
        <v>21.36</v>
      </c>
      <c r="N260" s="3" t="n">
        <v>1035.48</v>
      </c>
      <c r="O260" s="4" t="inlineStr">
        <is>
          <t>United States</t>
        </is>
      </c>
      <c r="P260" s="4" t="inlineStr">
        <is>
          <t>United Kingdom</t>
        </is>
      </c>
      <c r="Q260" s="4" t="inlineStr">
        <is>
          <t>Friendly</t>
        </is>
      </c>
      <c r="R260" s="3" t="n">
        <v>1728.89</v>
      </c>
      <c r="S260" s="3" t="n">
        <v>7.69596</v>
      </c>
      <c r="T260" s="4" t="inlineStr">
        <is>
          <t>Cross Border, Company Takeover</t>
        </is>
      </c>
      <c r="U260" s="2" t="inlineStr">
        <is>
          <t>No</t>
        </is>
      </c>
      <c r="V260" s="2" t="inlineStr">
        <is>
          <t>No</t>
        </is>
      </c>
      <c r="W260" s="2" t="inlineStr">
        <is>
          <t>Yes</t>
        </is>
      </c>
      <c r="X260" s="2" t="inlineStr">
        <is>
          <t>No</t>
        </is>
      </c>
      <c r="Y260" s="2" t="inlineStr">
        <is>
          <t>No</t>
        </is>
      </c>
      <c r="Z260" s="2" t="inlineStr">
        <is>
          <t>No</t>
        </is>
      </c>
      <c r="AA260" s="6" t="n">
        <v>3.139438274</v>
      </c>
      <c r="AB260" s="6" t="n">
        <v>3.237767362</v>
      </c>
      <c r="AC260" s="6" t="n">
        <v>3.015141715</v>
      </c>
      <c r="AD260">
        <f t="array" ref="AD260">IF(SUMPRODUCT(--($AM$2:$AM$112=TRIM(LEFT($B260,IFERROR(FIND(" ",$B260)-1,LEN($B260))))))&gt;0,1,0)</f>
        <v/>
      </c>
      <c r="AE260">
        <f t="array" ref="AE260">IF(SUMPRODUCT(--($AO$2:$AO$145=TRIM(LEFT($B260,IFERROR(FIND(" ",$B260)-1,LEN($B260))))))&gt;0,1,0)</f>
        <v/>
      </c>
      <c r="AF260">
        <f t="array" ref="AF260">IF(SUMPRODUCT(--($AQ$2:$AQ$71=TRIM(LEFT($B260,IFERROR(FIND(" ",$B260)-1,LEN($B260))))))&gt;0,1,0)</f>
        <v/>
      </c>
    </row>
    <row r="261" ht="45.75" customHeight="1" thickBot="1">
      <c r="A261" s="13" t="n">
        <v>96</v>
      </c>
      <c r="B261" s="4" t="inlineStr">
        <is>
          <t>ETRN US</t>
        </is>
      </c>
      <c r="C261" s="4" t="inlineStr">
        <is>
          <t>EQT US</t>
        </is>
      </c>
      <c r="D261" s="7" t="n">
        <v>45362</v>
      </c>
      <c r="E261" s="3" t="n">
        <v>12880.88</v>
      </c>
      <c r="F261" s="4" t="inlineStr">
        <is>
          <t>Stock</t>
        </is>
      </c>
      <c r="G261" s="3" t="n">
        <v>8.619999999999999</v>
      </c>
      <c r="H261" s="4" t="inlineStr">
        <is>
          <t>Energy</t>
        </is>
      </c>
      <c r="I261" s="4" t="inlineStr">
        <is>
          <t>Oil &amp; Gas</t>
        </is>
      </c>
      <c r="J261" s="4" t="inlineStr">
        <is>
          <t>Oil &amp; Gas Supply Chain</t>
        </is>
      </c>
      <c r="K261" s="3" t="n">
        <v>176</v>
      </c>
      <c r="L261" s="3" t="n">
        <v>191</v>
      </c>
      <c r="M261" s="3" t="n">
        <v>19.95</v>
      </c>
      <c r="N261" s="3" t="n">
        <v>5524.14</v>
      </c>
      <c r="O261" s="4" t="inlineStr">
        <is>
          <t>United States</t>
        </is>
      </c>
      <c r="P261" s="4" t="inlineStr">
        <is>
          <t>United States</t>
        </is>
      </c>
      <c r="Q261" s="4" t="inlineStr">
        <is>
          <t>Friendly</t>
        </is>
      </c>
      <c r="R261" s="3" t="n">
        <v>1393.93</v>
      </c>
      <c r="S261" s="3" t="n">
        <v>48.9328</v>
      </c>
      <c r="T261" s="4" t="inlineStr">
        <is>
          <t>Company Takeover</t>
        </is>
      </c>
      <c r="U261" s="2" t="inlineStr">
        <is>
          <t>No</t>
        </is>
      </c>
      <c r="V261" s="2" t="inlineStr">
        <is>
          <t>No</t>
        </is>
      </c>
      <c r="W261" s="2" t="inlineStr">
        <is>
          <t>No</t>
        </is>
      </c>
      <c r="X261" s="2" t="inlineStr">
        <is>
          <t>No</t>
        </is>
      </c>
      <c r="Y261" s="2" t="inlineStr">
        <is>
          <t>No</t>
        </is>
      </c>
      <c r="Z261" s="2" t="inlineStr">
        <is>
          <t>No</t>
        </is>
      </c>
      <c r="AA261" s="6" t="n">
        <v>4.109945534</v>
      </c>
      <c r="AB261" s="6" t="n">
        <v>3.144240965</v>
      </c>
      <c r="AC261" s="6" t="n">
        <v>3.742264677</v>
      </c>
      <c r="AD261">
        <f t="array" ref="AD261">IF(SUMPRODUCT(--($AM$2:$AM$112=TRIM(LEFT($B261,IFERROR(FIND(" ",$B261)-1,LEN($B261))))))&gt;0,1,0)</f>
        <v/>
      </c>
      <c r="AE261">
        <f t="array" ref="AE261">IF(SUMPRODUCT(--($AO$2:$AO$145=TRIM(LEFT($B261,IFERROR(FIND(" ",$B261)-1,LEN($B261))))))&gt;0,1,0)</f>
        <v/>
      </c>
      <c r="AF261">
        <f t="array" ref="AF261">IF(SUMPRODUCT(--($AQ$2:$AQ$71=TRIM(LEFT($B261,IFERROR(FIND(" ",$B261)-1,LEN($B261))))))&gt;0,1,0)</f>
        <v/>
      </c>
    </row>
    <row r="262" ht="45.75" customHeight="1" thickBot="1">
      <c r="A262" s="13" t="n">
        <v>63</v>
      </c>
      <c r="B262" s="4" t="inlineStr">
        <is>
          <t>RGD CN</t>
        </is>
      </c>
      <c r="C262" s="4" t="inlineStr">
        <is>
          <t>GMIN CN</t>
        </is>
      </c>
      <c r="D262" s="7" t="n">
        <v>45404</v>
      </c>
      <c r="E262" s="3" t="n">
        <v>555.4299999999999</v>
      </c>
      <c r="F262" s="4" t="inlineStr">
        <is>
          <t>Stock</t>
        </is>
      </c>
      <c r="G262" s="4" t="n"/>
      <c r="H262" s="4" t="inlineStr">
        <is>
          <t>Materials</t>
        </is>
      </c>
      <c r="I262" s="4" t="inlineStr">
        <is>
          <t>Materials</t>
        </is>
      </c>
      <c r="J262" s="4" t="inlineStr">
        <is>
          <t>Metals &amp; Mining</t>
        </is>
      </c>
      <c r="K262" s="4" t="n"/>
      <c r="L262" s="4" t="n"/>
      <c r="M262" s="3" t="n">
        <v>-0.47</v>
      </c>
      <c r="N262" s="3" t="n">
        <v>615</v>
      </c>
      <c r="O262" s="4" t="inlineStr">
        <is>
          <t>Canada</t>
        </is>
      </c>
      <c r="P262" s="4" t="inlineStr">
        <is>
          <t>Canada</t>
        </is>
      </c>
      <c r="Q262" s="4" t="inlineStr">
        <is>
          <t>Friendly</t>
        </is>
      </c>
      <c r="R262" s="2" t="n"/>
      <c r="S262" s="2" t="n"/>
      <c r="T262" s="4" t="inlineStr">
        <is>
          <t>Company Takeover</t>
        </is>
      </c>
      <c r="U262" s="2" t="inlineStr">
        <is>
          <t>No</t>
        </is>
      </c>
      <c r="V262" s="2" t="inlineStr">
        <is>
          <t>No</t>
        </is>
      </c>
      <c r="W262" s="2" t="inlineStr">
        <is>
          <t>No</t>
        </is>
      </c>
      <c r="X262" s="2" t="inlineStr">
        <is>
          <t>No</t>
        </is>
      </c>
      <c r="Y262" s="2" t="inlineStr">
        <is>
          <t>No</t>
        </is>
      </c>
      <c r="Z262" s="2" t="inlineStr">
        <is>
          <t>No</t>
        </is>
      </c>
      <c r="AA262" s="6" t="n">
        <v>2.744629333</v>
      </c>
      <c r="AB262" s="2" t="n"/>
      <c r="AC262" s="6" t="n">
        <v>2.788875116</v>
      </c>
      <c r="AD262">
        <f t="array" ref="AD262">IF(SUMPRODUCT(--($AM$2:$AM$112=TRIM(LEFT($B262,IFERROR(FIND(" ",$B262)-1,LEN($B262))))))&gt;0,1,0)</f>
        <v/>
      </c>
      <c r="AE262">
        <f t="array" ref="AE262">IF(SUMPRODUCT(--($AO$2:$AO$145=TRIM(LEFT($B262,IFERROR(FIND(" ",$B262)-1,LEN($B262))))))&gt;0,1,0)</f>
        <v/>
      </c>
      <c r="AF262">
        <f t="array" ref="AF262">IF(SUMPRODUCT(--($AQ$2:$AQ$71=TRIM(LEFT($B262,IFERROR(FIND(" ",$B262)-1,LEN($B262))))))&gt;0,1,0)</f>
        <v/>
      </c>
    </row>
    <row r="263" ht="75.75" customHeight="1" thickBot="1">
      <c r="A263" s="13" t="n">
        <v>81</v>
      </c>
      <c r="B263" s="4" t="inlineStr">
        <is>
          <t>AR CN</t>
        </is>
      </c>
      <c r="C263" s="4" t="inlineStr">
        <is>
          <t>AGI CN</t>
        </is>
      </c>
      <c r="D263" s="7" t="n">
        <v>45378</v>
      </c>
      <c r="E263" s="3" t="n">
        <v>506.65</v>
      </c>
      <c r="F263" s="4" t="inlineStr">
        <is>
          <t>Stock</t>
        </is>
      </c>
      <c r="G263" s="3" t="n">
        <v>5.94</v>
      </c>
      <c r="H263" s="4" t="inlineStr">
        <is>
          <t>Materials</t>
        </is>
      </c>
      <c r="I263" s="4" t="inlineStr">
        <is>
          <t>Materials</t>
        </is>
      </c>
      <c r="J263" s="4" t="inlineStr">
        <is>
          <t>Metals &amp; Mining</t>
        </is>
      </c>
      <c r="K263" s="4" t="n"/>
      <c r="L263" s="4" t="n"/>
      <c r="M263" s="3" t="n">
        <v>18.81</v>
      </c>
      <c r="N263" s="3" t="n">
        <v>266.6</v>
      </c>
      <c r="O263" s="4" t="inlineStr">
        <is>
          <t>United States</t>
        </is>
      </c>
      <c r="P263" s="4" t="inlineStr">
        <is>
          <t>Canada</t>
        </is>
      </c>
      <c r="Q263" s="4" t="inlineStr">
        <is>
          <t>Friendly</t>
        </is>
      </c>
      <c r="R263" s="3" t="n">
        <v>372.457</v>
      </c>
      <c r="S263" s="3" t="n">
        <v>-76.1764</v>
      </c>
      <c r="T263" s="4" t="inlineStr">
        <is>
          <t>Company Takeover, Cross Border</t>
        </is>
      </c>
      <c r="U263" s="2" t="inlineStr">
        <is>
          <t>No</t>
        </is>
      </c>
      <c r="V263" s="2" t="inlineStr">
        <is>
          <t>No</t>
        </is>
      </c>
      <c r="W263" s="2" t="inlineStr">
        <is>
          <t>Yes</t>
        </is>
      </c>
      <c r="X263" s="2" t="inlineStr">
        <is>
          <t>No</t>
        </is>
      </c>
      <c r="Y263" s="2" t="inlineStr">
        <is>
          <t>No</t>
        </is>
      </c>
      <c r="Z263" s="2" t="inlineStr">
        <is>
          <t>No</t>
        </is>
      </c>
      <c r="AA263" s="6" t="n">
        <v>2.704708047</v>
      </c>
      <c r="AB263" s="6" t="n">
        <v>2.571076141</v>
      </c>
      <c r="AC263" s="6" t="n">
        <v>2.425860145</v>
      </c>
      <c r="AD263">
        <f t="array" ref="AD263">IF(SUMPRODUCT(--($AM$2:$AM$112=TRIM(LEFT($B263,IFERROR(FIND(" ",$B263)-1,LEN($B263))))))&gt;0,1,0)</f>
        <v/>
      </c>
      <c r="AE263">
        <f t="array" ref="AE263">IF(SUMPRODUCT(--($AO$2:$AO$145=TRIM(LEFT($B263,IFERROR(FIND(" ",$B263)-1,LEN($B263))))))&gt;0,1,0)</f>
        <v/>
      </c>
      <c r="AF263">
        <f t="array" ref="AF263">IF(SUMPRODUCT(--($AQ$2:$AQ$71=TRIM(LEFT($B263,IFERROR(FIND(" ",$B263)-1,LEN($B263))))))&gt;0,1,0)</f>
        <v/>
      </c>
    </row>
    <row r="264" ht="45.75" customHeight="1" thickBot="1">
      <c r="A264" s="13" t="n">
        <v>216</v>
      </c>
      <c r="B264" s="4" t="inlineStr">
        <is>
          <t>CATC US</t>
        </is>
      </c>
      <c r="C264" s="4" t="inlineStr">
        <is>
          <t>EBC US</t>
        </is>
      </c>
      <c r="D264" s="7" t="n">
        <v>45188</v>
      </c>
      <c r="E264" s="3" t="n">
        <v>521.51</v>
      </c>
      <c r="F264" s="4" t="inlineStr">
        <is>
          <t>Stock</t>
        </is>
      </c>
      <c r="G264" s="4" t="n"/>
      <c r="H264" s="4" t="inlineStr">
        <is>
          <t>Financials</t>
        </is>
      </c>
      <c r="I264" s="4" t="inlineStr">
        <is>
          <t>Banking</t>
        </is>
      </c>
      <c r="J264" s="4" t="inlineStr">
        <is>
          <t>Banking</t>
        </is>
      </c>
      <c r="K264" s="3" t="n">
        <v>21</v>
      </c>
      <c r="L264" s="3" t="n">
        <v>21</v>
      </c>
      <c r="M264" s="3" t="n">
        <v>26.46</v>
      </c>
      <c r="N264" s="3" t="n">
        <v>521.51</v>
      </c>
      <c r="O264" s="4" t="inlineStr">
        <is>
          <t>United States</t>
        </is>
      </c>
      <c r="P264" s="4" t="inlineStr">
        <is>
          <t>United States</t>
        </is>
      </c>
      <c r="Q264" s="4" t="inlineStr">
        <is>
          <t>Friendly</t>
        </is>
      </c>
      <c r="R264" s="3" t="n">
        <v>260.264</v>
      </c>
      <c r="S264" s="3" t="n">
        <v>25.1838</v>
      </c>
      <c r="T264" s="4" t="inlineStr">
        <is>
          <t>Company Takeover</t>
        </is>
      </c>
      <c r="U264" s="2" t="inlineStr">
        <is>
          <t>No</t>
        </is>
      </c>
      <c r="V264" s="2" t="inlineStr">
        <is>
          <t>No</t>
        </is>
      </c>
      <c r="W264" s="2" t="inlineStr">
        <is>
          <t>No</t>
        </is>
      </c>
      <c r="X264" s="2" t="inlineStr">
        <is>
          <t>No</t>
        </is>
      </c>
      <c r="Y264" s="2" t="inlineStr">
        <is>
          <t>No</t>
        </is>
      </c>
      <c r="Z264" s="2" t="inlineStr">
        <is>
          <t>No</t>
        </is>
      </c>
      <c r="AA264" s="6" t="n">
        <v>2.71726264</v>
      </c>
      <c r="AB264" s="6" t="n">
        <v>2.4154141</v>
      </c>
      <c r="AC264" s="6" t="n">
        <v>2.71726264</v>
      </c>
      <c r="AD264">
        <f t="array" ref="AD264">IF(SUMPRODUCT(--($AM$2:$AM$112=TRIM(LEFT($B264,IFERROR(FIND(" ",$B264)-1,LEN($B264))))))&gt;0,1,0)</f>
        <v/>
      </c>
      <c r="AE264">
        <f t="array" ref="AE264">IF(SUMPRODUCT(--($AO$2:$AO$145=TRIM(LEFT($B264,IFERROR(FIND(" ",$B264)-1,LEN($B264))))))&gt;0,1,0)</f>
        <v/>
      </c>
      <c r="AF264">
        <f t="array" ref="AF264">IF(SUMPRODUCT(--($AQ$2:$AQ$71=TRIM(LEFT($B264,IFERROR(FIND(" ",$B264)-1,LEN($B264))))))&gt;0,1,0)</f>
        <v/>
      </c>
    </row>
    <row r="265" ht="45.75" customHeight="1" thickBot="1">
      <c r="A265" s="13" t="n">
        <v>198</v>
      </c>
      <c r="B265" s="4" t="inlineStr">
        <is>
          <t>NWLI US</t>
        </is>
      </c>
      <c r="C265" s="4" t="inlineStr">
        <is>
          <t>0608951D US</t>
        </is>
      </c>
      <c r="D265" s="7" t="n">
        <v>45208</v>
      </c>
      <c r="E265" s="3" t="n">
        <v>1818.01</v>
      </c>
      <c r="F265" s="4" t="inlineStr">
        <is>
          <t>Cash</t>
        </is>
      </c>
      <c r="G265" s="4" t="n"/>
      <c r="H265" s="4" t="inlineStr">
        <is>
          <t>Financials</t>
        </is>
      </c>
      <c r="I265" s="4" t="inlineStr">
        <is>
          <t>Insurance</t>
        </is>
      </c>
      <c r="J265" s="4" t="inlineStr">
        <is>
          <t>Insurance</t>
        </is>
      </c>
      <c r="K265" s="4" t="n"/>
      <c r="L265" s="4" t="n"/>
      <c r="M265" s="3" t="n">
        <v>13.08</v>
      </c>
      <c r="N265" s="3" t="n">
        <v>1818.01</v>
      </c>
      <c r="O265" s="4" t="inlineStr">
        <is>
          <t>United States</t>
        </is>
      </c>
      <c r="P265" s="4" t="inlineStr">
        <is>
          <t>United States</t>
        </is>
      </c>
      <c r="Q265" s="4" t="inlineStr">
        <is>
          <t>Friendly</t>
        </is>
      </c>
      <c r="R265" s="3" t="n">
        <v>703.35</v>
      </c>
      <c r="S265" s="3" t="n">
        <v>27.7519</v>
      </c>
      <c r="T265" s="4" t="inlineStr">
        <is>
          <t>Company Takeover</t>
        </is>
      </c>
      <c r="U265" s="2" t="inlineStr">
        <is>
          <t>No</t>
        </is>
      </c>
      <c r="V265" s="2" t="inlineStr">
        <is>
          <t>No</t>
        </is>
      </c>
      <c r="W265" s="2" t="inlineStr">
        <is>
          <t>No</t>
        </is>
      </c>
      <c r="X265" s="2" t="inlineStr">
        <is>
          <t>No</t>
        </is>
      </c>
      <c r="Y265" s="2" t="inlineStr">
        <is>
          <t>No</t>
        </is>
      </c>
      <c r="Z265" s="2" t="inlineStr">
        <is>
          <t>No</t>
        </is>
      </c>
      <c r="AA265" s="6" t="n">
        <v>3.259596268</v>
      </c>
      <c r="AB265" s="6" t="n">
        <v>2.847171492</v>
      </c>
      <c r="AC265" s="6" t="n">
        <v>3.259596268</v>
      </c>
      <c r="AD265">
        <f t="array" ref="AD265">IF(SUMPRODUCT(--($AM$2:$AM$112=TRIM(LEFT($B265,IFERROR(FIND(" ",$B265)-1,LEN($B265))))))&gt;0,1,0)</f>
        <v/>
      </c>
      <c r="AE265">
        <f t="array" ref="AE265">IF(SUMPRODUCT(--($AO$2:$AO$145=TRIM(LEFT($B265,IFERROR(FIND(" ",$B265)-1,LEN($B265))))))&gt;0,1,0)</f>
        <v/>
      </c>
      <c r="AF265">
        <f t="array" ref="AF265">IF(SUMPRODUCT(--($AQ$2:$AQ$71=TRIM(LEFT($B265,IFERROR(FIND(" ",$B265)-1,LEN($B265))))))&gt;0,1,0)</f>
        <v/>
      </c>
    </row>
    <row r="266" ht="105.75" customHeight="1" thickBot="1">
      <c r="A266" s="13" t="n">
        <v>38</v>
      </c>
      <c r="B266" s="4" t="inlineStr">
        <is>
          <t>OSG US</t>
        </is>
      </c>
      <c r="C266" s="4" t="inlineStr">
        <is>
          <t>685748Z US</t>
        </is>
      </c>
      <c r="D266" s="7" t="n">
        <v>45432</v>
      </c>
      <c r="E266" s="3" t="n">
        <v>950</v>
      </c>
      <c r="F266" s="4" t="inlineStr">
        <is>
          <t>Cash</t>
        </is>
      </c>
      <c r="G266" s="3" t="n">
        <v>4.28</v>
      </c>
      <c r="H266" s="4" t="inlineStr">
        <is>
          <t>Industrials</t>
        </is>
      </c>
      <c r="I266" s="4" t="inlineStr">
        <is>
          <t>Industrial Services</t>
        </is>
      </c>
      <c r="J266" s="4" t="inlineStr">
        <is>
          <t>Transportation &amp; Logistics</t>
        </is>
      </c>
      <c r="K266" s="4" t="n"/>
      <c r="L266" s="4" t="n"/>
      <c r="M266" s="4" t="n"/>
      <c r="N266" s="3" t="n">
        <v>444.81</v>
      </c>
      <c r="O266" s="4" t="inlineStr">
        <is>
          <t>United States</t>
        </is>
      </c>
      <c r="P266" s="4" t="inlineStr">
        <is>
          <t>United States</t>
        </is>
      </c>
      <c r="Q266" s="4" t="inlineStr">
        <is>
          <t>Unsolicited</t>
        </is>
      </c>
      <c r="R266" s="3" t="n">
        <v>251.221</v>
      </c>
      <c r="S266" s="3" t="n">
        <v>-25.2788</v>
      </c>
      <c r="T266" s="4" t="inlineStr">
        <is>
          <t>Going Private, Company Takeover, Tender Offer</t>
        </is>
      </c>
      <c r="U266" s="2" t="inlineStr">
        <is>
          <t>No</t>
        </is>
      </c>
      <c r="V266" s="2" t="inlineStr">
        <is>
          <t>No</t>
        </is>
      </c>
      <c r="W266" s="2" t="inlineStr">
        <is>
          <t>No</t>
        </is>
      </c>
      <c r="X266" s="2" t="inlineStr">
        <is>
          <t>Yes</t>
        </is>
      </c>
      <c r="Y266" s="2" t="inlineStr">
        <is>
          <t>No</t>
        </is>
      </c>
      <c r="Z266" s="2" t="inlineStr">
        <is>
          <t>Yes</t>
        </is>
      </c>
      <c r="AA266" s="6" t="n">
        <v>2.977723605</v>
      </c>
      <c r="AB266" s="6" t="n">
        <v>2.40005594</v>
      </c>
      <c r="AC266" s="6" t="n">
        <v>2.648174542</v>
      </c>
      <c r="AD266">
        <f t="array" ref="AD266">IF(SUMPRODUCT(--($AM$2:$AM$112=TRIM(LEFT($B266,IFERROR(FIND(" ",$B266)-1,LEN($B266))))))&gt;0,1,0)</f>
        <v/>
      </c>
      <c r="AE266">
        <f t="array" ref="AE266">IF(SUMPRODUCT(--($AO$2:$AO$145=TRIM(LEFT($B266,IFERROR(FIND(" ",$B266)-1,LEN($B266))))))&gt;0,1,0)</f>
        <v/>
      </c>
      <c r="AF266">
        <f t="array" ref="AF266">IF(SUMPRODUCT(--($AQ$2:$AQ$71=TRIM(LEFT($B266,IFERROR(FIND(" ",$B266)-1,LEN($B266))))))&gt;0,1,0)</f>
        <v/>
      </c>
    </row>
    <row r="267" ht="75.75" customHeight="1" thickBot="1">
      <c r="A267" s="13" t="n">
        <v>215</v>
      </c>
      <c r="B267" s="4" t="inlineStr">
        <is>
          <t>WRK US</t>
        </is>
      </c>
      <c r="C267" s="4" t="inlineStr">
        <is>
          <t>SW US</t>
        </is>
      </c>
      <c r="D267" s="7" t="n">
        <v>45181</v>
      </c>
      <c r="E267" s="3" t="n">
        <v>20859.98</v>
      </c>
      <c r="F267" s="4" t="inlineStr">
        <is>
          <t>Cash and Stock</t>
        </is>
      </c>
      <c r="G267" s="3" t="n">
        <v>3.13</v>
      </c>
      <c r="H267" s="4" t="inlineStr">
        <is>
          <t>Materials</t>
        </is>
      </c>
      <c r="I267" s="4" t="inlineStr">
        <is>
          <t>Materials</t>
        </is>
      </c>
      <c r="J267" s="4" t="inlineStr">
        <is>
          <t>Containers &amp; Packaging</t>
        </is>
      </c>
      <c r="K267" s="4" t="n"/>
      <c r="L267" s="3" t="n">
        <v>147</v>
      </c>
      <c r="M267" s="4" t="n"/>
      <c r="N267" s="3" t="n">
        <v>11398.28</v>
      </c>
      <c r="O267" s="4" t="inlineStr">
        <is>
          <t>United States</t>
        </is>
      </c>
      <c r="P267" s="4" t="inlineStr">
        <is>
          <t>Ireland</t>
        </is>
      </c>
      <c r="Q267" s="4" t="inlineStr">
        <is>
          <t>Friendly</t>
        </is>
      </c>
      <c r="R267" s="3" t="n">
        <v>20310</v>
      </c>
      <c r="S267" s="3" t="n">
        <v>2.6691</v>
      </c>
      <c r="T267" s="4" t="inlineStr">
        <is>
          <t>Cross Border, Company Takeover</t>
        </is>
      </c>
      <c r="U267" s="2" t="inlineStr">
        <is>
          <t>No</t>
        </is>
      </c>
      <c r="V267" s="2" t="inlineStr">
        <is>
          <t>No</t>
        </is>
      </c>
      <c r="W267" s="2" t="inlineStr">
        <is>
          <t>Yes</t>
        </is>
      </c>
      <c r="X267" s="2" t="inlineStr">
        <is>
          <t>No</t>
        </is>
      </c>
      <c r="Y267" s="2" t="inlineStr">
        <is>
          <t>No</t>
        </is>
      </c>
      <c r="Z267" s="2" t="inlineStr">
        <is>
          <t>No</t>
        </is>
      </c>
      <c r="AA267" s="6" t="n">
        <v>4.319313888</v>
      </c>
      <c r="AB267" s="6" t="n">
        <v>4.307709923</v>
      </c>
      <c r="AC267" s="6" t="n">
        <v>4.056839321</v>
      </c>
      <c r="AD267">
        <f t="array" ref="AD267">IF(SUMPRODUCT(--($AM$2:$AM$112=TRIM(LEFT($B267,IFERROR(FIND(" ",$B267)-1,LEN($B267))))))&gt;0,1,0)</f>
        <v/>
      </c>
      <c r="AE267">
        <f t="array" ref="AE267">IF(SUMPRODUCT(--($AO$2:$AO$145=TRIM(LEFT($B267,IFERROR(FIND(" ",$B267)-1,LEN($B267))))))&gt;0,1,0)</f>
        <v/>
      </c>
      <c r="AF267">
        <f t="array" ref="AF267">IF(SUMPRODUCT(--($AQ$2:$AQ$71=TRIM(LEFT($B267,IFERROR(FIND(" ",$B267)-1,LEN($B267))))))&gt;0,1,0)</f>
        <v/>
      </c>
    </row>
    <row r="268" ht="75.75" customHeight="1" thickBot="1">
      <c r="A268" s="13" t="n">
        <v>58</v>
      </c>
      <c r="B268" s="4" t="inlineStr">
        <is>
          <t>WIRE US</t>
        </is>
      </c>
      <c r="C268" s="4" t="inlineStr">
        <is>
          <t>PRY IM</t>
        </is>
      </c>
      <c r="D268" s="7" t="n">
        <v>45397</v>
      </c>
      <c r="E268" s="3" t="n">
        <v>4069.42</v>
      </c>
      <c r="F268" s="4" t="inlineStr">
        <is>
          <t>Cash</t>
        </is>
      </c>
      <c r="G268" s="3" t="n">
        <v>8.31</v>
      </c>
      <c r="H268" s="4" t="inlineStr">
        <is>
          <t>Materials</t>
        </is>
      </c>
      <c r="I268" s="4" t="inlineStr">
        <is>
          <t>Materials</t>
        </is>
      </c>
      <c r="J268" s="4" t="inlineStr">
        <is>
          <t>Metals &amp; Mining</t>
        </is>
      </c>
      <c r="K268" s="3" t="n">
        <v>180</v>
      </c>
      <c r="L268" s="3" t="n">
        <v>146.54</v>
      </c>
      <c r="M268" s="3" t="n">
        <v>14.45</v>
      </c>
      <c r="N268" s="3" t="n">
        <v>4630.05</v>
      </c>
      <c r="O268" s="4" t="inlineStr">
        <is>
          <t>United States</t>
        </is>
      </c>
      <c r="P268" s="4" t="inlineStr">
        <is>
          <t>Italy</t>
        </is>
      </c>
      <c r="Q268" s="4" t="inlineStr">
        <is>
          <t>Friendly</t>
        </is>
      </c>
      <c r="R268" s="3" t="n">
        <v>2567.72</v>
      </c>
      <c r="S268" s="3" t="n">
        <v>14.9571</v>
      </c>
      <c r="T268" s="4" t="inlineStr">
        <is>
          <t>Cross Border, Company Takeover</t>
        </is>
      </c>
      <c r="U268" s="2" t="inlineStr">
        <is>
          <t>No</t>
        </is>
      </c>
      <c r="V268" s="2" t="inlineStr">
        <is>
          <t>No</t>
        </is>
      </c>
      <c r="W268" s="2" t="inlineStr">
        <is>
          <t>Yes</t>
        </is>
      </c>
      <c r="X268" s="2" t="inlineStr">
        <is>
          <t>No</t>
        </is>
      </c>
      <c r="Y268" s="2" t="inlineStr">
        <is>
          <t>No</t>
        </is>
      </c>
      <c r="Z268" s="2" t="inlineStr">
        <is>
          <t>No</t>
        </is>
      </c>
      <c r="AA268" s="6" t="n">
        <v>3.609532515</v>
      </c>
      <c r="AB268" s="6" t="n">
        <v>3.409547664</v>
      </c>
      <c r="AC268" s="6" t="n">
        <v>3.665585681</v>
      </c>
      <c r="AD268">
        <f t="array" ref="AD268">IF(SUMPRODUCT(--($AM$2:$AM$112=TRIM(LEFT($B268,IFERROR(FIND(" ",$B268)-1,LEN($B268))))))&gt;0,1,0)</f>
        <v/>
      </c>
      <c r="AE268">
        <f t="array" ref="AE268">IF(SUMPRODUCT(--($AO$2:$AO$145=TRIM(LEFT($B268,IFERROR(FIND(" ",$B268)-1,LEN($B268))))))&gt;0,1,0)</f>
        <v/>
      </c>
      <c r="AF268">
        <f t="array" ref="AF268">IF(SUMPRODUCT(--($AQ$2:$AQ$71=TRIM(LEFT($B268,IFERROR(FIND(" ",$B268)-1,LEN($B268))))))&gt;0,1,0)</f>
        <v/>
      </c>
    </row>
    <row r="269" ht="135.75" customHeight="1" thickBot="1">
      <c r="A269" s="13" t="n">
        <v>108</v>
      </c>
      <c r="B269" s="4" t="inlineStr">
        <is>
          <t>EVBG US</t>
        </is>
      </c>
      <c r="C269" s="4" t="inlineStr">
        <is>
          <t>129626Z US</t>
        </is>
      </c>
      <c r="D269" s="7" t="n">
        <v>45327</v>
      </c>
      <c r="E269" s="3" t="n">
        <v>1728.95</v>
      </c>
      <c r="F269" s="4" t="inlineStr">
        <is>
          <t>Cash</t>
        </is>
      </c>
      <c r="G269" s="4" t="n"/>
      <c r="H269" s="4" t="inlineStr">
        <is>
          <t>Technology</t>
        </is>
      </c>
      <c r="I269" s="4" t="inlineStr">
        <is>
          <t>Software &amp; Tech Services</t>
        </is>
      </c>
      <c r="J269" s="4" t="inlineStr">
        <is>
          <t>Software</t>
        </is>
      </c>
      <c r="K269" s="4" t="n"/>
      <c r="L269" s="4" t="n"/>
      <c r="M269" s="3" t="n">
        <v>25.94</v>
      </c>
      <c r="N269" s="3" t="n">
        <v>1446.49</v>
      </c>
      <c r="O269" s="4" t="inlineStr">
        <is>
          <t>United States</t>
        </is>
      </c>
      <c r="P269" s="4" t="inlineStr">
        <is>
          <t>United States</t>
        </is>
      </c>
      <c r="Q269" s="4" t="inlineStr">
        <is>
          <t>Friendly</t>
        </is>
      </c>
      <c r="R269" s="3" t="n">
        <v>448.788</v>
      </c>
      <c r="S269" s="3" t="n">
        <v>-13.469</v>
      </c>
      <c r="T269" s="4" t="inlineStr">
        <is>
          <t>Company Takeover, Private Equity, PE Buyout, Going Private</t>
        </is>
      </c>
      <c r="U269" s="2" t="inlineStr">
        <is>
          <t>No</t>
        </is>
      </c>
      <c r="V269" s="2" t="inlineStr">
        <is>
          <t>No</t>
        </is>
      </c>
      <c r="W269" s="2" t="inlineStr">
        <is>
          <t>No</t>
        </is>
      </c>
      <c r="X269" s="2" t="inlineStr">
        <is>
          <t>Yes</t>
        </is>
      </c>
      <c r="Y269" s="2" t="inlineStr">
        <is>
          <t>Yes</t>
        </is>
      </c>
      <c r="Z269" s="2" t="inlineStr">
        <is>
          <t>No</t>
        </is>
      </c>
      <c r="AA269" s="6" t="n">
        <v>3.237782434</v>
      </c>
      <c r="AB269" s="6" t="n">
        <v>2.652041236</v>
      </c>
      <c r="AC269" s="6" t="n">
        <v>3.160315436</v>
      </c>
      <c r="AD269">
        <f t="array" ref="AD269">IF(SUMPRODUCT(--($AM$2:$AM$112=TRIM(LEFT($B269,IFERROR(FIND(" ",$B269)-1,LEN($B269))))))&gt;0,1,0)</f>
        <v/>
      </c>
      <c r="AE269">
        <f t="array" ref="AE269">IF(SUMPRODUCT(--($AO$2:$AO$145=TRIM(LEFT($B269,IFERROR(FIND(" ",$B269)-1,LEN($B269))))))&gt;0,1,0)</f>
        <v/>
      </c>
      <c r="AF269">
        <f t="array" ref="AF269">IF(SUMPRODUCT(--($AQ$2:$AQ$71=TRIM(LEFT($B269,IFERROR(FIND(" ",$B269)-1,LEN($B269))))))&gt;0,1,0)</f>
        <v/>
      </c>
    </row>
    <row r="270" ht="75.75" customHeight="1" thickBot="1">
      <c r="A270" s="13" t="n">
        <v>174</v>
      </c>
      <c r="B270" s="4" t="inlineStr">
        <is>
          <t>SIX US</t>
        </is>
      </c>
      <c r="C270" s="4" t="inlineStr">
        <is>
          <t>9933644D US</t>
        </is>
      </c>
      <c r="D270" s="7" t="n">
        <v>45232</v>
      </c>
      <c r="E270" s="3" t="n">
        <v>4097.88</v>
      </c>
      <c r="F270" s="4" t="inlineStr">
        <is>
          <t>Stock</t>
        </is>
      </c>
      <c r="G270" s="3" t="n">
        <v>8.32</v>
      </c>
      <c r="H270" s="4" t="inlineStr">
        <is>
          <t>Consumer Discretionary</t>
        </is>
      </c>
      <c r="I270" s="4" t="inlineStr">
        <is>
          <t>Consumer Discretionary Services</t>
        </is>
      </c>
      <c r="J270" s="4" t="inlineStr">
        <is>
          <t>Leisure Facilities &amp; Services</t>
        </is>
      </c>
      <c r="K270" s="4" t="n"/>
      <c r="L270" s="3" t="n">
        <v>63.2</v>
      </c>
      <c r="M270" s="3" t="n">
        <v>0.6899999999999999</v>
      </c>
      <c r="N270" s="3" t="n">
        <v>1727.49</v>
      </c>
      <c r="O270" s="4" t="inlineStr">
        <is>
          <t>United States</t>
        </is>
      </c>
      <c r="P270" s="4" t="inlineStr">
        <is>
          <t>United States</t>
        </is>
      </c>
      <c r="Q270" s="4" t="inlineStr">
        <is>
          <t>Friendly</t>
        </is>
      </c>
      <c r="R270" s="3" t="n">
        <v>1425.9</v>
      </c>
      <c r="S270" s="3" t="n">
        <v>19.5702</v>
      </c>
      <c r="T270" s="4" t="inlineStr">
        <is>
          <t>Company Takeover</t>
        </is>
      </c>
      <c r="U270" s="2" t="inlineStr">
        <is>
          <t>No</t>
        </is>
      </c>
      <c r="V270" s="2" t="inlineStr">
        <is>
          <t>No</t>
        </is>
      </c>
      <c r="W270" s="2" t="inlineStr">
        <is>
          <t>No</t>
        </is>
      </c>
      <c r="X270" s="2" t="inlineStr">
        <is>
          <t>No</t>
        </is>
      </c>
      <c r="Y270" s="2" t="inlineStr">
        <is>
          <t>No</t>
        </is>
      </c>
      <c r="Z270" s="2" t="inlineStr">
        <is>
          <t>No</t>
        </is>
      </c>
      <c r="AA270" s="6" t="n">
        <v>3.612559237</v>
      </c>
      <c r="AB270" s="6" t="n">
        <v>3.154089069</v>
      </c>
      <c r="AC270" s="6" t="n">
        <v>3.237415542</v>
      </c>
      <c r="AD270">
        <f t="array" ref="AD270">IF(SUMPRODUCT(--($AM$2:$AM$112=TRIM(LEFT($B270,IFERROR(FIND(" ",$B270)-1,LEN($B270))))))&gt;0,1,0)</f>
        <v/>
      </c>
      <c r="AE270">
        <f t="array" ref="AE270">IF(SUMPRODUCT(--($AO$2:$AO$145=TRIM(LEFT($B270,IFERROR(FIND(" ",$B270)-1,LEN($B270))))))&gt;0,1,0)</f>
        <v/>
      </c>
      <c r="AF270">
        <f t="array" ref="AF270">IF(SUMPRODUCT(--($AQ$2:$AQ$71=TRIM(LEFT($B270,IFERROR(FIND(" ",$B270)-1,LEN($B270))))))&gt;0,1,0)</f>
        <v/>
      </c>
    </row>
    <row r="271" ht="135.75" customHeight="1" thickBot="1">
      <c r="A271" s="13" t="n">
        <v>60</v>
      </c>
      <c r="B271" s="4" t="inlineStr">
        <is>
          <t>AIRC US</t>
        </is>
      </c>
      <c r="C271" s="4" t="inlineStr">
        <is>
          <t>BX US</t>
        </is>
      </c>
      <c r="D271" s="7" t="n">
        <v>45390</v>
      </c>
      <c r="E271" s="3" t="n">
        <v>5669.17</v>
      </c>
      <c r="F271" s="4" t="inlineStr">
        <is>
          <t>Cash</t>
        </is>
      </c>
      <c r="G271" s="3" t="n">
        <v>17.83</v>
      </c>
      <c r="H271" s="4" t="inlineStr">
        <is>
          <t>Real Estate</t>
        </is>
      </c>
      <c r="I271" s="4" t="inlineStr">
        <is>
          <t>Real Estate</t>
        </is>
      </c>
      <c r="J271" s="4" t="inlineStr">
        <is>
          <t>REIT</t>
        </is>
      </c>
      <c r="K271" s="3" t="n">
        <v>550</v>
      </c>
      <c r="L271" s="3" t="n">
        <v>183</v>
      </c>
      <c r="M271" s="3" t="n">
        <v>23.62</v>
      </c>
      <c r="N271" s="3" t="n">
        <v>5669.17</v>
      </c>
      <c r="O271" s="4" t="inlineStr">
        <is>
          <t>United States</t>
        </is>
      </c>
      <c r="P271" s="4" t="inlineStr">
        <is>
          <t>United States</t>
        </is>
      </c>
      <c r="Q271" s="4" t="inlineStr">
        <is>
          <t>Friendly</t>
        </is>
      </c>
      <c r="R271" s="3" t="n">
        <v>820.0359999999999</v>
      </c>
      <c r="S271" s="3" t="n">
        <v>18.2956</v>
      </c>
      <c r="T271" s="4" t="inlineStr">
        <is>
          <t>Private Equity, Company Takeover, PE Buyout, Going Private</t>
        </is>
      </c>
      <c r="U271" s="2" t="inlineStr">
        <is>
          <t>No</t>
        </is>
      </c>
      <c r="V271" s="2" t="inlineStr">
        <is>
          <t>No</t>
        </is>
      </c>
      <c r="W271" s="2" t="inlineStr">
        <is>
          <t>No</t>
        </is>
      </c>
      <c r="X271" s="2" t="inlineStr">
        <is>
          <t>Yes</t>
        </is>
      </c>
      <c r="Y271" s="2" t="inlineStr">
        <is>
          <t>Yes</t>
        </is>
      </c>
      <c r="Z271" s="2" t="inlineStr">
        <is>
          <t>No</t>
        </is>
      </c>
      <c r="AA271" s="6" t="n">
        <v>3.75351948</v>
      </c>
      <c r="AB271" s="6" t="n">
        <v>2.913832919</v>
      </c>
      <c r="AC271" s="6" t="n">
        <v>3.75351948</v>
      </c>
      <c r="AD271">
        <f t="array" ref="AD271">IF(SUMPRODUCT(--($AM$2:$AM$112=TRIM(LEFT($B271,IFERROR(FIND(" ",$B271)-1,LEN($B271))))))&gt;0,1,0)</f>
        <v/>
      </c>
      <c r="AE271">
        <f t="array" ref="AE271">IF(SUMPRODUCT(--($AO$2:$AO$145=TRIM(LEFT($B271,IFERROR(FIND(" ",$B271)-1,LEN($B271))))))&gt;0,1,0)</f>
        <v/>
      </c>
      <c r="AF271">
        <f t="array" ref="AF271">IF(SUMPRODUCT(--($AQ$2:$AQ$71=TRIM(LEFT($B271,IFERROR(FIND(" ",$B271)-1,LEN($B271))))))&gt;0,1,0)</f>
        <v/>
      </c>
    </row>
    <row r="272" ht="135.75" customHeight="1" thickBot="1">
      <c r="A272" s="13" t="n">
        <v>59</v>
      </c>
      <c r="B272" s="4" t="inlineStr">
        <is>
          <t>MODN US</t>
        </is>
      </c>
      <c r="C272" s="4" t="inlineStr">
        <is>
          <t>389272Z US</t>
        </is>
      </c>
      <c r="D272" s="7" t="n">
        <v>45390</v>
      </c>
      <c r="E272" s="3" t="n">
        <v>1158.28</v>
      </c>
      <c r="F272" s="4" t="inlineStr">
        <is>
          <t>Cash</t>
        </is>
      </c>
      <c r="G272" s="3" t="n">
        <v>83.23999999999999</v>
      </c>
      <c r="H272" s="4" t="inlineStr">
        <is>
          <t>Technology</t>
        </is>
      </c>
      <c r="I272" s="4" t="inlineStr">
        <is>
          <t>Software &amp; Tech Services</t>
        </is>
      </c>
      <c r="J272" s="4" t="inlineStr">
        <is>
          <t>Software</t>
        </is>
      </c>
      <c r="K272" s="4" t="n"/>
      <c r="L272" s="3" t="n">
        <v>43.1677</v>
      </c>
      <c r="M272" s="3" t="n">
        <v>13.16</v>
      </c>
      <c r="N272" s="3" t="n">
        <v>1170.97</v>
      </c>
      <c r="O272" s="4" t="inlineStr">
        <is>
          <t>United States</t>
        </is>
      </c>
      <c r="P272" s="4" t="inlineStr">
        <is>
          <t>United States</t>
        </is>
      </c>
      <c r="Q272" s="4" t="inlineStr">
        <is>
          <t>Friendly</t>
        </is>
      </c>
      <c r="R272" s="3" t="n">
        <v>249.463</v>
      </c>
      <c r="S272" s="3" t="n">
        <v>-1.06825</v>
      </c>
      <c r="T272" s="4" t="inlineStr">
        <is>
          <t>Company Takeover, Private Equity, PE Buyout, Going Private</t>
        </is>
      </c>
      <c r="U272" s="2" t="inlineStr">
        <is>
          <t>No</t>
        </is>
      </c>
      <c r="V272" s="2" t="inlineStr">
        <is>
          <t>No</t>
        </is>
      </c>
      <c r="W272" s="2" t="inlineStr">
        <is>
          <t>No</t>
        </is>
      </c>
      <c r="X272" s="2" t="inlineStr">
        <is>
          <t>Yes</t>
        </is>
      </c>
      <c r="Y272" s="2" t="inlineStr">
        <is>
          <t>Yes</t>
        </is>
      </c>
      <c r="Z272" s="2" t="inlineStr">
        <is>
          <t>No</t>
        </is>
      </c>
      <c r="AA272" s="6" t="n">
        <v>3.063813557</v>
      </c>
      <c r="AB272" s="6" t="n">
        <v>2.397006141</v>
      </c>
      <c r="AC272" s="6" t="n">
        <v>3.068545769</v>
      </c>
      <c r="AD272">
        <f t="array" ref="AD272">IF(SUMPRODUCT(--($AM$2:$AM$112=TRIM(LEFT($B272,IFERROR(FIND(" ",$B272)-1,LEN($B272))))))&gt;0,1,0)</f>
        <v/>
      </c>
      <c r="AE272">
        <f t="array" ref="AE272">IF(SUMPRODUCT(--($AO$2:$AO$145=TRIM(LEFT($B272,IFERROR(FIND(" ",$B272)-1,LEN($B272))))))&gt;0,1,0)</f>
        <v/>
      </c>
      <c r="AF272">
        <f t="array" ref="AF272">IF(SUMPRODUCT(--($AQ$2:$AQ$71=TRIM(LEFT($B272,IFERROR(FIND(" ",$B272)-1,LEN($B272))))))&gt;0,1,0)</f>
        <v/>
      </c>
    </row>
    <row r="273" ht="75.75" customHeight="1" thickBot="1">
      <c r="A273" s="13" t="n">
        <v>46</v>
      </c>
      <c r="B273" s="4" t="inlineStr">
        <is>
          <t>SNPO US</t>
        </is>
      </c>
      <c r="C273" s="4" t="inlineStr">
        <is>
          <t>REZI US</t>
        </is>
      </c>
      <c r="D273" s="7" t="n">
        <v>45396</v>
      </c>
      <c r="E273" s="3" t="n">
        <v>1324.81</v>
      </c>
      <c r="F273" s="4" t="inlineStr">
        <is>
          <t>Cash</t>
        </is>
      </c>
      <c r="G273" s="3" t="n">
        <v>15.14</v>
      </c>
      <c r="H273" s="4" t="inlineStr">
        <is>
          <t>Technology</t>
        </is>
      </c>
      <c r="I273" s="4" t="inlineStr">
        <is>
          <t>Tech Hardware &amp; Semiconductors</t>
        </is>
      </c>
      <c r="J273" s="4" t="inlineStr">
        <is>
          <t>Technology Hardware</t>
        </is>
      </c>
      <c r="K273" s="4" t="n"/>
      <c r="L273" s="4" t="n"/>
      <c r="M273" s="3" t="n">
        <v>24.29</v>
      </c>
      <c r="N273" s="3" t="n">
        <v>822.76</v>
      </c>
      <c r="O273" s="4" t="inlineStr">
        <is>
          <t>United States</t>
        </is>
      </c>
      <c r="P273" s="4" t="inlineStr">
        <is>
          <t>United States</t>
        </is>
      </c>
      <c r="Q273" s="4" t="inlineStr">
        <is>
          <t>Friendly</t>
        </is>
      </c>
      <c r="R273" s="3" t="n">
        <v>1060.98</v>
      </c>
      <c r="S273" s="3" t="n">
        <v>2.48356</v>
      </c>
      <c r="T273" s="4" t="inlineStr">
        <is>
          <t>Company Takeover</t>
        </is>
      </c>
      <c r="U273" s="2" t="inlineStr">
        <is>
          <t>No</t>
        </is>
      </c>
      <c r="V273" s="2" t="inlineStr">
        <is>
          <t>No</t>
        </is>
      </c>
      <c r="W273" s="2" t="inlineStr">
        <is>
          <t>No</t>
        </is>
      </c>
      <c r="X273" s="2" t="inlineStr">
        <is>
          <t>No</t>
        </is>
      </c>
      <c r="Y273" s="2" t="inlineStr">
        <is>
          <t>No</t>
        </is>
      </c>
      <c r="Z273" s="2" t="inlineStr">
        <is>
          <t>No</t>
        </is>
      </c>
      <c r="AA273" s="6" t="n">
        <v>3.122153598</v>
      </c>
      <c r="AB273" s="6" t="n">
        <v>3.025707197</v>
      </c>
      <c r="AC273" s="6" t="n">
        <v>2.91527317</v>
      </c>
      <c r="AD273">
        <f t="array" ref="AD273">IF(SUMPRODUCT(--($AM$2:$AM$112=TRIM(LEFT($B273,IFERROR(FIND(" ",$B273)-1,LEN($B273))))))&gt;0,1,0)</f>
        <v/>
      </c>
      <c r="AE273">
        <f t="array" ref="AE273">IF(SUMPRODUCT(--($AO$2:$AO$145=TRIM(LEFT($B273,IFERROR(FIND(" ",$B273)-1,LEN($B273))))))&gt;0,1,0)</f>
        <v/>
      </c>
      <c r="AF273">
        <f t="array" ref="AF273">IF(SUMPRODUCT(--($AQ$2:$AQ$71=TRIM(LEFT($B273,IFERROR(FIND(" ",$B273)-1,LEN($B273))))))&gt;0,1,0)</f>
        <v/>
      </c>
    </row>
    <row r="274" ht="105.75" customHeight="1" thickBot="1">
      <c r="A274" s="13" t="n">
        <v>33</v>
      </c>
      <c r="B274" s="4" t="inlineStr">
        <is>
          <t>DCPH US</t>
        </is>
      </c>
      <c r="C274" s="4" t="inlineStr">
        <is>
          <t>4528 JP</t>
        </is>
      </c>
      <c r="D274" s="7" t="n">
        <v>45411</v>
      </c>
      <c r="E274" s="3" t="n">
        <v>1780.63</v>
      </c>
      <c r="F274" s="4" t="inlineStr">
        <is>
          <t>Cash</t>
        </is>
      </c>
      <c r="G274" s="4" t="n"/>
      <c r="H274" s="4" t="inlineStr">
        <is>
          <t>Health Care</t>
        </is>
      </c>
      <c r="I274" s="4" t="inlineStr">
        <is>
          <t>Health Care</t>
        </is>
      </c>
      <c r="J274" s="4" t="inlineStr">
        <is>
          <t>Biotech &amp; Pharma</t>
        </is>
      </c>
      <c r="K274" s="4" t="n"/>
      <c r="L274" s="4" t="n"/>
      <c r="M274" s="3" t="n">
        <v>70.89</v>
      </c>
      <c r="N274" s="3" t="n">
        <v>2107.67</v>
      </c>
      <c r="O274" s="4" t="inlineStr">
        <is>
          <t>United States</t>
        </is>
      </c>
      <c r="P274" s="4" t="inlineStr">
        <is>
          <t>Japan</t>
        </is>
      </c>
      <c r="Q274" s="4" t="inlineStr">
        <is>
          <t>Friendly</t>
        </is>
      </c>
      <c r="R274" s="3" t="n">
        <v>163.356</v>
      </c>
      <c r="S274" s="3" t="n">
        <v>-118.087</v>
      </c>
      <c r="T274" s="4" t="inlineStr">
        <is>
          <t>Cross Border, Company Takeover, Tender Offer</t>
        </is>
      </c>
      <c r="U274" s="2" t="inlineStr">
        <is>
          <t>No</t>
        </is>
      </c>
      <c r="V274" s="2" t="inlineStr">
        <is>
          <t>No</t>
        </is>
      </c>
      <c r="W274" s="2" t="inlineStr">
        <is>
          <t>Yes</t>
        </is>
      </c>
      <c r="X274" s="2" t="inlineStr">
        <is>
          <t>No</t>
        </is>
      </c>
      <c r="Y274" s="2" t="inlineStr">
        <is>
          <t>No</t>
        </is>
      </c>
      <c r="Z274" s="2" t="inlineStr">
        <is>
          <t>Yes</t>
        </is>
      </c>
      <c r="AA274" s="6" t="n">
        <v>3.250573686</v>
      </c>
      <c r="AB274" s="6" t="n">
        <v>2.213135091</v>
      </c>
      <c r="AC274" s="6" t="n">
        <v>3.323802614</v>
      </c>
      <c r="AD274">
        <f t="array" ref="AD274">IF(SUMPRODUCT(--($AM$2:$AM$112=TRIM(LEFT($B274,IFERROR(FIND(" ",$B274)-1,LEN($B274))))))&gt;0,1,0)</f>
        <v/>
      </c>
      <c r="AE274">
        <f t="array" ref="AE274">IF(SUMPRODUCT(--($AO$2:$AO$145=TRIM(LEFT($B274,IFERROR(FIND(" ",$B274)-1,LEN($B274))))))&gt;0,1,0)</f>
        <v/>
      </c>
      <c r="AF274">
        <f t="array" ref="AF274">IF(SUMPRODUCT(--($AQ$2:$AQ$71=TRIM(LEFT($B274,IFERROR(FIND(" ",$B274)-1,LEN($B274))))))&gt;0,1,0)</f>
        <v/>
      </c>
    </row>
    <row r="275" ht="75.75" customHeight="1" thickBot="1">
      <c r="A275" s="13" t="n">
        <v>134</v>
      </c>
      <c r="B275" s="4" t="inlineStr">
        <is>
          <t>QXO US</t>
        </is>
      </c>
      <c r="C275" s="4" t="inlineStr">
        <is>
          <t>8765154Z US</t>
        </is>
      </c>
      <c r="D275" s="7" t="n">
        <v>45264</v>
      </c>
      <c r="E275" s="3" t="n">
        <v>1000</v>
      </c>
      <c r="F275" s="4" t="inlineStr">
        <is>
          <t>Cash</t>
        </is>
      </c>
      <c r="G275" s="3" t="n">
        <v>558.67</v>
      </c>
      <c r="H275" s="4" t="inlineStr">
        <is>
          <t>Technology</t>
        </is>
      </c>
      <c r="I275" s="4" t="inlineStr">
        <is>
          <t>Software &amp; Tech Services</t>
        </is>
      </c>
      <c r="J275" s="4" t="inlineStr">
        <is>
          <t>Software</t>
        </is>
      </c>
      <c r="K275" s="4" t="n"/>
      <c r="L275" s="4" t="n"/>
      <c r="M275" s="4" t="n"/>
      <c r="N275" s="3" t="n">
        <v>1000</v>
      </c>
      <c r="O275" s="4" t="inlineStr">
        <is>
          <t>United States</t>
        </is>
      </c>
      <c r="P275" s="4" t="inlineStr">
        <is>
          <t>United States</t>
        </is>
      </c>
      <c r="Q275" s="4" t="inlineStr">
        <is>
          <t>Friendly</t>
        </is>
      </c>
      <c r="R275" s="3" t="n">
        <v>6842.2</v>
      </c>
      <c r="S275" s="3" t="n">
        <v>-5.34759</v>
      </c>
      <c r="T275" s="4" t="inlineStr">
        <is>
          <t>Private Equity, Majority purchase</t>
        </is>
      </c>
      <c r="U275" s="2" t="inlineStr">
        <is>
          <t>No</t>
        </is>
      </c>
      <c r="V275" s="2" t="inlineStr">
        <is>
          <t>No</t>
        </is>
      </c>
      <c r="W275" s="2" t="inlineStr">
        <is>
          <t>No</t>
        </is>
      </c>
      <c r="X275" s="2" t="inlineStr">
        <is>
          <t>No</t>
        </is>
      </c>
      <c r="Y275" s="2" t="inlineStr">
        <is>
          <t>No</t>
        </is>
      </c>
      <c r="Z275" s="2" t="inlineStr">
        <is>
          <t>No</t>
        </is>
      </c>
      <c r="AA275" s="6" t="n">
        <v>3</v>
      </c>
      <c r="AB275" s="6" t="n">
        <v>3.835195765</v>
      </c>
      <c r="AC275" s="6" t="n">
        <v>3</v>
      </c>
      <c r="AD275">
        <f t="array" ref="AD275">IF(SUMPRODUCT(--($AM$2:$AM$112=TRIM(LEFT($B275,IFERROR(FIND(" ",$B275)-1,LEN($B275))))))&gt;0,1,0)</f>
        <v/>
      </c>
      <c r="AE275">
        <f t="array" ref="AE275">IF(SUMPRODUCT(--($AO$2:$AO$145=TRIM(LEFT($B275,IFERROR(FIND(" ",$B275)-1,LEN($B275))))))&gt;0,1,0)</f>
        <v/>
      </c>
      <c r="AF275">
        <f t="array" ref="AF275">IF(SUMPRODUCT(--($AQ$2:$AQ$71=TRIM(LEFT($B275,IFERROR(FIND(" ",$B275)-1,LEN($B275))))))&gt;0,1,0)</f>
        <v/>
      </c>
    </row>
    <row r="276" ht="75.75" customHeight="1" thickBot="1">
      <c r="A276" s="13" t="n">
        <v>57</v>
      </c>
      <c r="B276" s="4" t="inlineStr">
        <is>
          <t>FUSN US</t>
        </is>
      </c>
      <c r="C276" s="4" t="inlineStr">
        <is>
          <t>AZN LN</t>
        </is>
      </c>
      <c r="D276" s="7" t="n">
        <v>45370</v>
      </c>
      <c r="E276" s="3" t="n">
        <v>1481.08</v>
      </c>
      <c r="F276" s="4" t="inlineStr">
        <is>
          <t>Cash</t>
        </is>
      </c>
      <c r="G276" s="4" t="n"/>
      <c r="H276" s="4" t="inlineStr">
        <is>
          <t>Health Care</t>
        </is>
      </c>
      <c r="I276" s="4" t="inlineStr">
        <is>
          <t>Health Care</t>
        </is>
      </c>
      <c r="J276" s="4" t="inlineStr">
        <is>
          <t>Biotech &amp; Pharma</t>
        </is>
      </c>
      <c r="K276" s="3" t="n">
        <v>102.4</v>
      </c>
      <c r="L276" s="3" t="n">
        <v>71.68000000000001</v>
      </c>
      <c r="M276" s="3" t="n">
        <v>88.62</v>
      </c>
      <c r="N276" s="3" t="n">
        <v>1619.8</v>
      </c>
      <c r="O276" s="4" t="inlineStr">
        <is>
          <t>Canada</t>
        </is>
      </c>
      <c r="P276" s="4" t="inlineStr">
        <is>
          <t>United Kingdom</t>
        </is>
      </c>
      <c r="Q276" s="4" t="inlineStr">
        <is>
          <t>Friendly</t>
        </is>
      </c>
      <c r="R276" s="3" t="n">
        <v>2.068</v>
      </c>
      <c r="S276" s="3" t="n">
        <v>-5403.77</v>
      </c>
      <c r="T276" s="4" t="inlineStr">
        <is>
          <t>Cross Border, Company Takeover</t>
        </is>
      </c>
      <c r="U276" s="2" t="inlineStr">
        <is>
          <t>No</t>
        </is>
      </c>
      <c r="V276" s="2" t="inlineStr">
        <is>
          <t>No</t>
        </is>
      </c>
      <c r="W276" s="2" t="inlineStr">
        <is>
          <t>Yes</t>
        </is>
      </c>
      <c r="X276" s="2" t="inlineStr">
        <is>
          <t>No</t>
        </is>
      </c>
      <c r="Y276" s="2" t="inlineStr">
        <is>
          <t>No</t>
        </is>
      </c>
      <c r="Z276" s="2" t="inlineStr">
        <is>
          <t>No</t>
        </is>
      </c>
      <c r="AA276" s="6" t="n">
        <v>3.170578517</v>
      </c>
      <c r="AB276" s="6" t="n">
        <v>0.3155505344</v>
      </c>
      <c r="AC276" s="6" t="n">
        <v>3.209461395</v>
      </c>
      <c r="AD276">
        <f t="array" ref="AD276">IF(SUMPRODUCT(--($AM$2:$AM$112=TRIM(LEFT($B276,IFERROR(FIND(" ",$B276)-1,LEN($B276))))))&gt;0,1,0)</f>
        <v/>
      </c>
      <c r="AE276">
        <f t="array" ref="AE276">IF(SUMPRODUCT(--($AO$2:$AO$145=TRIM(LEFT($B276,IFERROR(FIND(" ",$B276)-1,LEN($B276))))))&gt;0,1,0)</f>
        <v/>
      </c>
      <c r="AF276">
        <f t="array" ref="AF276">IF(SUMPRODUCT(--($AQ$2:$AQ$71=TRIM(LEFT($B276,IFERROR(FIND(" ",$B276)-1,LEN($B276))))))&gt;0,1,0)</f>
        <v/>
      </c>
    </row>
    <row r="277" ht="75.75" customHeight="1" thickBot="1">
      <c r="A277" s="13" t="n">
        <v>75</v>
      </c>
      <c r="B277" s="4" t="inlineStr">
        <is>
          <t>ERF CN</t>
        </is>
      </c>
      <c r="C277" s="4" t="inlineStr">
        <is>
          <t>CHRD US</t>
        </is>
      </c>
      <c r="D277" s="7" t="n">
        <v>45343</v>
      </c>
      <c r="E277" s="3" t="n">
        <v>3801.53</v>
      </c>
      <c r="F277" s="4" t="inlineStr">
        <is>
          <t>Cash and Stock</t>
        </is>
      </c>
      <c r="G277" s="3" t="n">
        <v>0.39</v>
      </c>
      <c r="H277" s="4" t="inlineStr">
        <is>
          <t>Energy</t>
        </is>
      </c>
      <c r="I277" s="4" t="inlineStr">
        <is>
          <t>Oil &amp; Gas</t>
        </is>
      </c>
      <c r="J277" s="4" t="inlineStr">
        <is>
          <t>Oil &amp; Gas Supply Chain</t>
        </is>
      </c>
      <c r="K277" s="3" t="n">
        <v>240</v>
      </c>
      <c r="L277" s="3" t="n">
        <v>127</v>
      </c>
      <c r="M277" s="3" t="n">
        <v>18.61</v>
      </c>
      <c r="N277" s="3" t="n">
        <v>3566.3</v>
      </c>
      <c r="O277" s="4" t="inlineStr">
        <is>
          <t>Canada</t>
        </is>
      </c>
      <c r="P277" s="4" t="inlineStr">
        <is>
          <t>United States</t>
        </is>
      </c>
      <c r="Q277" s="4" t="inlineStr">
        <is>
          <t>Friendly</t>
        </is>
      </c>
      <c r="R277" s="3" t="n">
        <v>1694.33</v>
      </c>
      <c r="S277" s="3" t="n">
        <v>30.1078</v>
      </c>
      <c r="T277" s="4" t="inlineStr">
        <is>
          <t>Cross Border, Company Takeover</t>
        </is>
      </c>
      <c r="U277" s="2" t="inlineStr">
        <is>
          <t>No</t>
        </is>
      </c>
      <c r="V277" s="2" t="inlineStr">
        <is>
          <t>No</t>
        </is>
      </c>
      <c r="W277" s="2" t="inlineStr">
        <is>
          <t>Yes</t>
        </is>
      </c>
      <c r="X277" s="2" t="inlineStr">
        <is>
          <t>No</t>
        </is>
      </c>
      <c r="Y277" s="2" t="inlineStr">
        <is>
          <t>No</t>
        </is>
      </c>
      <c r="Z277" s="2" t="inlineStr">
        <is>
          <t>No</t>
        </is>
      </c>
      <c r="AA277" s="6" t="n">
        <v>3.579958422</v>
      </c>
      <c r="AB277" s="6" t="n">
        <v>3.228998001</v>
      </c>
      <c r="AC277" s="6" t="n">
        <v>3.552217874</v>
      </c>
      <c r="AD277">
        <f t="array" ref="AD277">IF(SUMPRODUCT(--($AM$2:$AM$112=TRIM(LEFT($B277,IFERROR(FIND(" ",$B277)-1,LEN($B277))))))&gt;0,1,0)</f>
        <v/>
      </c>
      <c r="AE277">
        <f t="array" ref="AE277">IF(SUMPRODUCT(--($AO$2:$AO$145=TRIM(LEFT($B277,IFERROR(FIND(" ",$B277)-1,LEN($B277))))))&gt;0,1,0)</f>
        <v/>
      </c>
      <c r="AF277">
        <f t="array" ref="AF277">IF(SUMPRODUCT(--($AQ$2:$AQ$71=TRIM(LEFT($B277,IFERROR(FIND(" ",$B277)-1,LEN($B277))))))&gt;0,1,0)</f>
        <v/>
      </c>
    </row>
    <row r="278" ht="60.75" customHeight="1" thickBot="1">
      <c r="A278" s="13" t="n">
        <v>42</v>
      </c>
      <c r="B278" s="4" t="inlineStr">
        <is>
          <t>SWAV US</t>
        </is>
      </c>
      <c r="C278" s="4" t="inlineStr">
        <is>
          <t>JNJ US</t>
        </is>
      </c>
      <c r="D278" s="7" t="n">
        <v>45387</v>
      </c>
      <c r="E278" s="3" t="n">
        <v>12537.55</v>
      </c>
      <c r="F278" s="4" t="inlineStr">
        <is>
          <t>Cash</t>
        </is>
      </c>
      <c r="G278" s="4" t="n"/>
      <c r="H278" s="4" t="inlineStr">
        <is>
          <t>Health Care</t>
        </is>
      </c>
      <c r="I278" s="4" t="inlineStr">
        <is>
          <t>Health Care</t>
        </is>
      </c>
      <c r="J278" s="4" t="inlineStr">
        <is>
          <t>Medical Equipment &amp; Devices</t>
        </is>
      </c>
      <c r="K278" s="4" t="n"/>
      <c r="L278" s="4" t="n"/>
      <c r="M278" s="3" t="n">
        <v>15.9</v>
      </c>
      <c r="N278" s="3" t="n">
        <v>12757.5</v>
      </c>
      <c r="O278" s="4" t="inlineStr">
        <is>
          <t>United States</t>
        </is>
      </c>
      <c r="P278" s="4" t="inlineStr">
        <is>
          <t>United States</t>
        </is>
      </c>
      <c r="Q278" s="4" t="inlineStr">
        <is>
          <t>Friendly</t>
        </is>
      </c>
      <c r="R278" s="3" t="n">
        <v>730.23</v>
      </c>
      <c r="S278" s="3" t="n">
        <v>20.5193</v>
      </c>
      <c r="T278" s="4" t="inlineStr">
        <is>
          <t>Company Takeover</t>
        </is>
      </c>
      <c r="U278" s="2" t="inlineStr">
        <is>
          <t>No</t>
        </is>
      </c>
      <c r="V278" s="2" t="inlineStr">
        <is>
          <t>No</t>
        </is>
      </c>
      <c r="W278" s="2" t="inlineStr">
        <is>
          <t>No</t>
        </is>
      </c>
      <c r="X278" s="2" t="inlineStr">
        <is>
          <t>No</t>
        </is>
      </c>
      <c r="Y278" s="2" t="inlineStr">
        <is>
          <t>No</t>
        </is>
      </c>
      <c r="Z278" s="2" t="inlineStr">
        <is>
          <t>No</t>
        </is>
      </c>
      <c r="AA278" s="6" t="n">
        <v>4.098212678</v>
      </c>
      <c r="AB278" s="6" t="n">
        <v>2.863459671</v>
      </c>
      <c r="AC278" s="6" t="n">
        <v>4.105765577</v>
      </c>
      <c r="AD278">
        <f t="array" ref="AD278">IF(SUMPRODUCT(--($AM$2:$AM$112=TRIM(LEFT($B278,IFERROR(FIND(" ",$B278)-1,LEN($B278))))))&gt;0,1,0)</f>
        <v/>
      </c>
      <c r="AE278">
        <f t="array" ref="AE278">IF(SUMPRODUCT(--($AO$2:$AO$145=TRIM(LEFT($B278,IFERROR(FIND(" ",$B278)-1,LEN($B278))))))&gt;0,1,0)</f>
        <v/>
      </c>
      <c r="AF278">
        <f t="array" ref="AF278">IF(SUMPRODUCT(--($AQ$2:$AQ$71=TRIM(LEFT($B278,IFERROR(FIND(" ",$B278)-1,LEN($B278))))))&gt;0,1,0)</f>
        <v/>
      </c>
    </row>
    <row r="279" ht="105.75" customHeight="1" thickBot="1">
      <c r="A279" s="13" t="n">
        <v>94</v>
      </c>
      <c r="B279" s="4" t="inlineStr">
        <is>
          <t>2450449D US</t>
        </is>
      </c>
      <c r="C279" s="4" t="inlineStr">
        <is>
          <t>SAN FP</t>
        </is>
      </c>
      <c r="D279" s="7" t="n">
        <v>45314</v>
      </c>
      <c r="E279" s="3" t="n">
        <v>1290.77</v>
      </c>
      <c r="F279" s="4" t="inlineStr">
        <is>
          <t>Cash and Stock</t>
        </is>
      </c>
      <c r="G279" s="4" t="n"/>
      <c r="H279" s="4" t="inlineStr">
        <is>
          <t>Health Care</t>
        </is>
      </c>
      <c r="I279" s="4" t="inlineStr">
        <is>
          <t>Health Care</t>
        </is>
      </c>
      <c r="J279" s="4" t="inlineStr">
        <is>
          <t>Biotech &amp; Pharma</t>
        </is>
      </c>
      <c r="K279" s="4" t="n"/>
      <c r="L279" s="4" t="n"/>
      <c r="M279" s="4" t="n"/>
      <c r="N279" s="3" t="n">
        <v>1418.72</v>
      </c>
      <c r="O279" s="4" t="inlineStr">
        <is>
          <t>United States</t>
        </is>
      </c>
      <c r="P279" s="4" t="inlineStr">
        <is>
          <t>United States</t>
        </is>
      </c>
      <c r="Q279" s="4" t="inlineStr">
        <is>
          <t>Friendly</t>
        </is>
      </c>
      <c r="R279" s="3" t="n">
        <v>1.8</v>
      </c>
      <c r="S279" s="3" t="n">
        <v>-13980.9</v>
      </c>
      <c r="T279" s="4" t="inlineStr">
        <is>
          <t>Cross Border, Company Takeover, Reverse Merger</t>
        </is>
      </c>
      <c r="U279" s="2" t="inlineStr">
        <is>
          <t>No</t>
        </is>
      </c>
      <c r="V279" s="2" t="inlineStr">
        <is>
          <t>No</t>
        </is>
      </c>
      <c r="W279" s="2" t="inlineStr">
        <is>
          <t>Yes</t>
        </is>
      </c>
      <c r="X279" s="2" t="inlineStr">
        <is>
          <t>No</t>
        </is>
      </c>
      <c r="Y279" s="2" t="inlineStr">
        <is>
          <t>No</t>
        </is>
      </c>
      <c r="Z279" s="2" t="inlineStr">
        <is>
          <t>No</t>
        </is>
      </c>
      <c r="AA279" s="6" t="n">
        <v>3.110848863</v>
      </c>
      <c r="AB279" s="6" t="n">
        <v>0.2552725051</v>
      </c>
      <c r="AC279" s="6" t="n">
        <v>3.151896691</v>
      </c>
      <c r="AD279">
        <f t="array" ref="AD279">IF(SUMPRODUCT(--($AM$2:$AM$112=TRIM(LEFT($B279,IFERROR(FIND(" ",$B279)-1,LEN($B279))))))&gt;0,1,0)</f>
        <v/>
      </c>
      <c r="AE279">
        <f t="array" ref="AE279">IF(SUMPRODUCT(--($AO$2:$AO$145=TRIM(LEFT($B279,IFERROR(FIND(" ",$B279)-1,LEN($B279))))))&gt;0,1,0)</f>
        <v/>
      </c>
      <c r="AF279">
        <f t="array" ref="AF279">IF(SUMPRODUCT(--($AQ$2:$AQ$71=TRIM(LEFT($B279,IFERROR(FIND(" ",$B279)-1,LEN($B279))))))&gt;0,1,0)</f>
        <v/>
      </c>
    </row>
    <row r="280" ht="75.75" customHeight="1" thickBot="1">
      <c r="A280" s="13" t="n">
        <v>30</v>
      </c>
      <c r="B280" s="4" t="inlineStr">
        <is>
          <t>ALPN US</t>
        </is>
      </c>
      <c r="C280" s="4" t="inlineStr">
        <is>
          <t>VRTX US</t>
        </is>
      </c>
      <c r="D280" s="7" t="n">
        <v>45392</v>
      </c>
      <c r="E280" s="3" t="n">
        <v>4407.8</v>
      </c>
      <c r="F280" s="4" t="inlineStr">
        <is>
          <t>Cash</t>
        </is>
      </c>
      <c r="G280" s="4" t="n"/>
      <c r="H280" s="4" t="inlineStr">
        <is>
          <t>Health Care</t>
        </is>
      </c>
      <c r="I280" s="4" t="inlineStr">
        <is>
          <t>Health Care</t>
        </is>
      </c>
      <c r="J280" s="4" t="inlineStr">
        <is>
          <t>Biotech &amp; Pharma</t>
        </is>
      </c>
      <c r="K280" s="4" t="n"/>
      <c r="L280" s="3" t="n">
        <v>173</v>
      </c>
      <c r="M280" s="3" t="n">
        <v>70.95</v>
      </c>
      <c r="N280" s="3" t="n">
        <v>4725.3</v>
      </c>
      <c r="O280" s="4" t="inlineStr">
        <is>
          <t>United States</t>
        </is>
      </c>
      <c r="P280" s="4" t="inlineStr">
        <is>
          <t>United States</t>
        </is>
      </c>
      <c r="Q280" s="4" t="inlineStr">
        <is>
          <t>Friendly</t>
        </is>
      </c>
      <c r="R280" s="3" t="n">
        <v>58.876</v>
      </c>
      <c r="S280" s="3" t="n">
        <v>-90.8583</v>
      </c>
      <c r="T280" s="4" t="inlineStr">
        <is>
          <t>Tender Offer, Company Takeover</t>
        </is>
      </c>
      <c r="U280" s="2" t="inlineStr">
        <is>
          <t>No</t>
        </is>
      </c>
      <c r="V280" s="2" t="inlineStr">
        <is>
          <t>No</t>
        </is>
      </c>
      <c r="W280" s="2" t="inlineStr">
        <is>
          <t>No</t>
        </is>
      </c>
      <c r="X280" s="2" t="inlineStr">
        <is>
          <t>No</t>
        </is>
      </c>
      <c r="Y280" s="2" t="inlineStr">
        <is>
          <t>No</t>
        </is>
      </c>
      <c r="Z280" s="2" t="inlineStr">
        <is>
          <t>Yes</t>
        </is>
      </c>
      <c r="AA280" s="6" t="n">
        <v>3.644221881</v>
      </c>
      <c r="AB280" s="6" t="n">
        <v>1.769938297</v>
      </c>
      <c r="AC280" s="6" t="n">
        <v>3.674429386</v>
      </c>
      <c r="AD280">
        <f t="array" ref="AD280">IF(SUMPRODUCT(--($AM$2:$AM$112=TRIM(LEFT($B280,IFERROR(FIND(" ",$B280)-1,LEN($B280))))))&gt;0,1,0)</f>
        <v/>
      </c>
      <c r="AE280">
        <f t="array" ref="AE280">IF(SUMPRODUCT(--($AO$2:$AO$145=TRIM(LEFT($B280,IFERROR(FIND(" ",$B280)-1,LEN($B280))))))&gt;0,1,0)</f>
        <v/>
      </c>
      <c r="AF280">
        <f t="array" ref="AF280">IF(SUMPRODUCT(--($AQ$2:$AQ$71=TRIM(LEFT($B280,IFERROR(FIND(" ",$B280)-1,LEN($B280))))))&gt;0,1,0)</f>
        <v/>
      </c>
    </row>
    <row r="281" ht="135.75" customHeight="1" thickBot="1">
      <c r="A281" s="13" t="n">
        <v>89</v>
      </c>
      <c r="B281" s="4" t="inlineStr">
        <is>
          <t>TAST US</t>
        </is>
      </c>
      <c r="C281" s="4" t="inlineStr">
        <is>
          <t>QSR CN</t>
        </is>
      </c>
      <c r="D281" s="7" t="n">
        <v>45307</v>
      </c>
      <c r="E281" s="3" t="n">
        <v>1643.09</v>
      </c>
      <c r="F281" s="4" t="inlineStr">
        <is>
          <t>Cash</t>
        </is>
      </c>
      <c r="G281" s="3" t="n">
        <v>12.48</v>
      </c>
      <c r="H281" s="4" t="inlineStr">
        <is>
          <t>Consumer Discretionary</t>
        </is>
      </c>
      <c r="I281" s="4" t="inlineStr">
        <is>
          <t>Consumer Discretionary Services</t>
        </is>
      </c>
      <c r="J281" s="4" t="inlineStr">
        <is>
          <t>Leisure Facilities &amp; Services</t>
        </is>
      </c>
      <c r="K281" s="4" t="n"/>
      <c r="L281" s="3" t="n">
        <v>19</v>
      </c>
      <c r="M281" s="3" t="n">
        <v>23.23</v>
      </c>
      <c r="N281" s="3" t="n">
        <v>432.71</v>
      </c>
      <c r="O281" s="4" t="inlineStr">
        <is>
          <t>United States</t>
        </is>
      </c>
      <c r="P281" s="4" t="inlineStr">
        <is>
          <t>Canada</t>
        </is>
      </c>
      <c r="Q281" s="4" t="inlineStr">
        <is>
          <t>Friendly</t>
        </is>
      </c>
      <c r="R281" s="3" t="n">
        <v>1876.5</v>
      </c>
      <c r="S281" s="3" t="n">
        <v>3.52178</v>
      </c>
      <c r="T281" s="4" t="inlineStr">
        <is>
          <t>Company Takeover, Additional Stake Purchase, Cross Border</t>
        </is>
      </c>
      <c r="U281" s="2" t="inlineStr">
        <is>
          <t>Yes</t>
        </is>
      </c>
      <c r="V281" s="2" t="inlineStr">
        <is>
          <t>No</t>
        </is>
      </c>
      <c r="W281" s="2" t="inlineStr">
        <is>
          <t>Yes</t>
        </is>
      </c>
      <c r="X281" s="2" t="inlineStr">
        <is>
          <t>No</t>
        </is>
      </c>
      <c r="Y281" s="2" t="inlineStr">
        <is>
          <t>No</t>
        </is>
      </c>
      <c r="Z281" s="2" t="inlineStr">
        <is>
          <t>No</t>
        </is>
      </c>
      <c r="AA281" s="6" t="n">
        <v>3.215661352</v>
      </c>
      <c r="AB281" s="6" t="n">
        <v>3.273348569</v>
      </c>
      <c r="AC281" s="6" t="n">
        <v>2.636196932</v>
      </c>
      <c r="AD281">
        <f t="array" ref="AD281">IF(SUMPRODUCT(--($AM$2:$AM$112=TRIM(LEFT($B281,IFERROR(FIND(" ",$B281)-1,LEN($B281))))))&gt;0,1,0)</f>
        <v/>
      </c>
      <c r="AE281">
        <f t="array" ref="AE281">IF(SUMPRODUCT(--($AO$2:$AO$145=TRIM(LEFT($B281,IFERROR(FIND(" ",$B281)-1,LEN($B281))))))&gt;0,1,0)</f>
        <v/>
      </c>
      <c r="AF281">
        <f t="array" ref="AF281">IF(SUMPRODUCT(--($AQ$2:$AQ$71=TRIM(LEFT($B281,IFERROR(FIND(" ",$B281)-1,LEN($B281))))))&gt;0,1,0)</f>
        <v/>
      </c>
    </row>
    <row r="282" ht="75.75" customHeight="1" thickBot="1">
      <c r="A282" s="13" t="n">
        <v>162</v>
      </c>
      <c r="B282" s="4" t="inlineStr">
        <is>
          <t>SP US</t>
        </is>
      </c>
      <c r="C282" s="4" t="inlineStr">
        <is>
          <t>1866871D US</t>
        </is>
      </c>
      <c r="D282" s="7" t="n">
        <v>45204</v>
      </c>
      <c r="E282" s="3" t="n">
        <v>1622.88</v>
      </c>
      <c r="F282" s="4" t="inlineStr">
        <is>
          <t>Cash</t>
        </is>
      </c>
      <c r="G282" s="3" t="n">
        <v>9.32</v>
      </c>
      <c r="H282" s="4" t="inlineStr">
        <is>
          <t>Industrials</t>
        </is>
      </c>
      <c r="I282" s="4" t="inlineStr">
        <is>
          <t>Industrial Services</t>
        </is>
      </c>
      <c r="J282" s="4" t="inlineStr">
        <is>
          <t>Commercial Support Services</t>
        </is>
      </c>
      <c r="K282" s="4" t="n"/>
      <c r="L282" s="4" t="n"/>
      <c r="M282" s="3" t="n">
        <v>49.26</v>
      </c>
      <c r="N282" s="3" t="n">
        <v>1061.08</v>
      </c>
      <c r="O282" s="4" t="inlineStr">
        <is>
          <t>United States</t>
        </is>
      </c>
      <c r="P282" s="4" t="inlineStr">
        <is>
          <t>United States</t>
        </is>
      </c>
      <c r="Q282" s="4" t="inlineStr">
        <is>
          <t>Friendly</t>
        </is>
      </c>
      <c r="R282" s="3" t="n">
        <v>1782.3</v>
      </c>
      <c r="S282" s="3" t="n">
        <v>4.26226</v>
      </c>
      <c r="T282" s="4" t="inlineStr">
        <is>
          <t>Going Private, Company Takeover</t>
        </is>
      </c>
      <c r="U282" s="2" t="inlineStr">
        <is>
          <t>No</t>
        </is>
      </c>
      <c r="V282" s="2" t="inlineStr">
        <is>
          <t>No</t>
        </is>
      </c>
      <c r="W282" s="2" t="inlineStr">
        <is>
          <t>No</t>
        </is>
      </c>
      <c r="X282" s="2" t="inlineStr">
        <is>
          <t>Yes</t>
        </is>
      </c>
      <c r="Y282" s="2" t="inlineStr">
        <is>
          <t>No</t>
        </is>
      </c>
      <c r="Z282" s="2" t="inlineStr">
        <is>
          <t>No</t>
        </is>
      </c>
      <c r="AA282" s="6" t="n">
        <v>3.210286408</v>
      </c>
      <c r="AB282" s="6" t="n">
        <v>3.250980807</v>
      </c>
      <c r="AC282" s="6" t="n">
        <v>3.025748129</v>
      </c>
      <c r="AD282">
        <f t="array" ref="AD282">IF(SUMPRODUCT(--($AM$2:$AM$112=TRIM(LEFT($B282,IFERROR(FIND(" ",$B282)-1,LEN($B282))))))&gt;0,1,0)</f>
        <v/>
      </c>
      <c r="AE282">
        <f t="array" ref="AE282">IF(SUMPRODUCT(--($AO$2:$AO$145=TRIM(LEFT($B282,IFERROR(FIND(" ",$B282)-1,LEN($B282))))))&gt;0,1,0)</f>
        <v/>
      </c>
      <c r="AF282">
        <f t="array" ref="AF282">IF(SUMPRODUCT(--($AQ$2:$AQ$71=TRIM(LEFT($B282,IFERROR(FIND(" ",$B282)-1,LEN($B282))))))&gt;0,1,0)</f>
        <v/>
      </c>
    </row>
    <row r="283" ht="45.75" customHeight="1" thickBot="1">
      <c r="A283" s="13" t="n">
        <v>428</v>
      </c>
      <c r="B283" s="4" t="inlineStr">
        <is>
          <t>LBAI US</t>
        </is>
      </c>
      <c r="C283" s="4" t="inlineStr">
        <is>
          <t>PFS US</t>
        </is>
      </c>
      <c r="D283" s="7" t="n">
        <v>44831</v>
      </c>
      <c r="E283" s="3" t="n">
        <v>1686.02</v>
      </c>
      <c r="F283" s="4" t="inlineStr">
        <is>
          <t>Stock</t>
        </is>
      </c>
      <c r="G283" s="4" t="n"/>
      <c r="H283" s="4" t="inlineStr">
        <is>
          <t>Financials</t>
        </is>
      </c>
      <c r="I283" s="4" t="inlineStr">
        <is>
          <t>Banking</t>
        </is>
      </c>
      <c r="J283" s="4" t="inlineStr">
        <is>
          <t>Banking</t>
        </is>
      </c>
      <c r="K283" s="4" t="n"/>
      <c r="L283" s="4" t="n"/>
      <c r="M283" s="3" t="n">
        <v>17.42</v>
      </c>
      <c r="N283" s="3" t="n">
        <v>1252.62</v>
      </c>
      <c r="O283" s="4" t="inlineStr">
        <is>
          <t>United States</t>
        </is>
      </c>
      <c r="P283" s="4" t="inlineStr">
        <is>
          <t>United States</t>
        </is>
      </c>
      <c r="Q283" s="4" t="inlineStr">
        <is>
          <t>Friendly</t>
        </is>
      </c>
      <c r="R283" s="3" t="n">
        <v>516.176</v>
      </c>
      <c r="S283" s="3" t="n">
        <v>37.9074</v>
      </c>
      <c r="T283" s="4" t="inlineStr">
        <is>
          <t>Company Takeover</t>
        </is>
      </c>
      <c r="U283" s="2" t="inlineStr">
        <is>
          <t>No</t>
        </is>
      </c>
      <c r="V283" s="2" t="inlineStr">
        <is>
          <t>No</t>
        </is>
      </c>
      <c r="W283" s="2" t="inlineStr">
        <is>
          <t>No</t>
        </is>
      </c>
      <c r="X283" s="2" t="inlineStr">
        <is>
          <t>No</t>
        </is>
      </c>
      <c r="Y283" s="2" t="inlineStr">
        <is>
          <t>No</t>
        </is>
      </c>
      <c r="Z283" s="2" t="inlineStr">
        <is>
          <t>No</t>
        </is>
      </c>
      <c r="AA283" s="6" t="n">
        <v>3.226862722</v>
      </c>
      <c r="AB283" s="6" t="n">
        <v>2.712797808</v>
      </c>
      <c r="AC283" s="6" t="n">
        <v>3.097819342</v>
      </c>
      <c r="AD283">
        <f t="array" ref="AD283">IF(SUMPRODUCT(--($AM$2:$AM$112=TRIM(LEFT($B283,IFERROR(FIND(" ",$B283)-1,LEN($B283))))))&gt;0,1,0)</f>
        <v/>
      </c>
      <c r="AE283">
        <f t="array" ref="AE283">IF(SUMPRODUCT(--($AO$2:$AO$145=TRIM(LEFT($B283,IFERROR(FIND(" ",$B283)-1,LEN($B283))))))&gt;0,1,0)</f>
        <v/>
      </c>
      <c r="AF283">
        <f t="array" ref="AF283">IF(SUMPRODUCT(--($AQ$2:$AQ$71=TRIM(LEFT($B283,IFERROR(FIND(" ",$B283)-1,LEN($B283))))))&gt;0,1,0)</f>
        <v/>
      </c>
    </row>
    <row r="284" ht="75.75" customHeight="1" thickBot="1">
      <c r="A284" s="13" t="n">
        <v>69</v>
      </c>
      <c r="B284" s="4" t="inlineStr">
        <is>
          <t>DOOR US</t>
        </is>
      </c>
      <c r="C284" s="4" t="inlineStr">
        <is>
          <t>OC US</t>
        </is>
      </c>
      <c r="D284" s="7" t="n">
        <v>45331</v>
      </c>
      <c r="E284" s="3" t="n">
        <v>3853.68</v>
      </c>
      <c r="F284" s="4" t="inlineStr">
        <is>
          <t>Cash</t>
        </is>
      </c>
      <c r="G284" s="3" t="n">
        <v>8.27</v>
      </c>
      <c r="H284" s="4" t="inlineStr">
        <is>
          <t>Consumer Discretionary</t>
        </is>
      </c>
      <c r="I284" s="4" t="inlineStr">
        <is>
          <t>Consumer Discretionary Products</t>
        </is>
      </c>
      <c r="J284" s="4" t="inlineStr">
        <is>
          <t>Home Construction</t>
        </is>
      </c>
      <c r="K284" s="3" t="n">
        <v>150</v>
      </c>
      <c r="L284" s="3" t="n">
        <v>75</v>
      </c>
      <c r="M284" s="3" t="n">
        <v>45.26</v>
      </c>
      <c r="N284" s="3" t="n">
        <v>2912.89</v>
      </c>
      <c r="O284" s="4" t="inlineStr">
        <is>
          <t>United States</t>
        </is>
      </c>
      <c r="P284" s="4" t="inlineStr">
        <is>
          <t>United States</t>
        </is>
      </c>
      <c r="Q284" s="4" t="inlineStr">
        <is>
          <t>Friendly</t>
        </is>
      </c>
      <c r="R284" s="3" t="n">
        <v>2830.7</v>
      </c>
      <c r="S284" s="3" t="n">
        <v>5.67134</v>
      </c>
      <c r="T284" s="4" t="inlineStr">
        <is>
          <t>Company Takeover</t>
        </is>
      </c>
      <c r="U284" s="2" t="inlineStr">
        <is>
          <t>No</t>
        </is>
      </c>
      <c r="V284" s="2" t="inlineStr">
        <is>
          <t>No</t>
        </is>
      </c>
      <c r="W284" s="2" t="inlineStr">
        <is>
          <t>No</t>
        </is>
      </c>
      <c r="X284" s="2" t="inlineStr">
        <is>
          <t>No</t>
        </is>
      </c>
      <c r="Y284" s="2" t="inlineStr">
        <is>
          <t>No</t>
        </is>
      </c>
      <c r="Z284" s="2" t="inlineStr">
        <is>
          <t>No</t>
        </is>
      </c>
      <c r="AA284" s="6" t="n">
        <v>3.585875649</v>
      </c>
      <c r="AB284" s="6" t="n">
        <v>3.451893845</v>
      </c>
      <c r="AC284" s="6" t="n">
        <v>3.464324085</v>
      </c>
      <c r="AD284">
        <f t="array" ref="AD284">IF(SUMPRODUCT(--($AM$2:$AM$112=TRIM(LEFT($B284,IFERROR(FIND(" ",$B284)-1,LEN($B284))))))&gt;0,1,0)</f>
        <v/>
      </c>
      <c r="AE284">
        <f t="array" ref="AE284">IF(SUMPRODUCT(--($AO$2:$AO$145=TRIM(LEFT($B284,IFERROR(FIND(" ",$B284)-1,LEN($B284))))))&gt;0,1,0)</f>
        <v/>
      </c>
      <c r="AF284">
        <f t="array" ref="AF284">IF(SUMPRODUCT(--($AQ$2:$AQ$71=TRIM(LEFT($B284,IFERROR(FIND(" ",$B284)-1,LEN($B284))))))&gt;0,1,0)</f>
        <v/>
      </c>
    </row>
    <row r="285" ht="45.75" customHeight="1" thickBot="1">
      <c r="A285" s="13" t="n">
        <v>148</v>
      </c>
      <c r="B285" s="4" t="inlineStr">
        <is>
          <t>PXD US</t>
        </is>
      </c>
      <c r="C285" s="4" t="inlineStr">
        <is>
          <t>XOM US</t>
        </is>
      </c>
      <c r="D285" s="7" t="n">
        <v>45210</v>
      </c>
      <c r="E285" s="3" t="n">
        <v>67995.45</v>
      </c>
      <c r="F285" s="4" t="inlineStr">
        <is>
          <t>Stock</t>
        </is>
      </c>
      <c r="G285" s="3" t="n">
        <v>0.38</v>
      </c>
      <c r="H285" s="4" t="inlineStr">
        <is>
          <t>Energy</t>
        </is>
      </c>
      <c r="I285" s="4" t="inlineStr">
        <is>
          <t>Oil &amp; Gas</t>
        </is>
      </c>
      <c r="J285" s="4" t="inlineStr">
        <is>
          <t>Oil &amp; Gas Supply Chain</t>
        </is>
      </c>
      <c r="K285" s="4" t="n"/>
      <c r="L285" s="4" t="n"/>
      <c r="M285" s="3" t="n">
        <v>16.55</v>
      </c>
      <c r="N285" s="3" t="n">
        <v>62377.45</v>
      </c>
      <c r="O285" s="4" t="inlineStr">
        <is>
          <t>United States</t>
        </is>
      </c>
      <c r="P285" s="4" t="inlineStr">
        <is>
          <t>United States</t>
        </is>
      </c>
      <c r="Q285" s="4" t="inlineStr">
        <is>
          <t>Friendly</t>
        </is>
      </c>
      <c r="R285" s="3" t="n">
        <v>19287</v>
      </c>
      <c r="S285" s="3" t="n">
        <v>31.4213</v>
      </c>
      <c r="T285" s="4" t="inlineStr">
        <is>
          <t>Company Takeover</t>
        </is>
      </c>
      <c r="U285" s="2" t="inlineStr">
        <is>
          <t>No</t>
        </is>
      </c>
      <c r="V285" s="2" t="inlineStr">
        <is>
          <t>No</t>
        </is>
      </c>
      <c r="W285" s="2" t="inlineStr">
        <is>
          <t>No</t>
        </is>
      </c>
      <c r="X285" s="2" t="inlineStr">
        <is>
          <t>No</t>
        </is>
      </c>
      <c r="Y285" s="2" t="inlineStr">
        <is>
          <t>No</t>
        </is>
      </c>
      <c r="Z285" s="2" t="inlineStr">
        <is>
          <t>No</t>
        </is>
      </c>
      <c r="AA285" s="6" t="n">
        <v>4.832479852</v>
      </c>
      <c r="AB285" s="6" t="n">
        <v>4.28526468</v>
      </c>
      <c r="AC285" s="6" t="n">
        <v>4.795027617</v>
      </c>
      <c r="AD285">
        <f t="array" ref="AD285">IF(SUMPRODUCT(--($AM$2:$AM$112=TRIM(LEFT($B285,IFERROR(FIND(" ",$B285)-1,LEN($B285))))))&gt;0,1,0)</f>
        <v/>
      </c>
      <c r="AE285">
        <f t="array" ref="AE285">IF(SUMPRODUCT(--($AO$2:$AO$145=TRIM(LEFT($B285,IFERROR(FIND(" ",$B285)-1,LEN($B285))))))&gt;0,1,0)</f>
        <v/>
      </c>
      <c r="AF285">
        <f t="array" ref="AF285">IF(SUMPRODUCT(--($AQ$2:$AQ$71=TRIM(LEFT($B285,IFERROR(FIND(" ",$B285)-1,LEN($B285))))))&gt;0,1,0)</f>
        <v/>
      </c>
    </row>
    <row r="286" ht="45.75" customHeight="1" thickBot="1">
      <c r="A286" s="13" t="n">
        <v>75</v>
      </c>
      <c r="B286" s="4" t="inlineStr">
        <is>
          <t>NS US</t>
        </is>
      </c>
      <c r="C286" s="4" t="inlineStr">
        <is>
          <t>SUN US</t>
        </is>
      </c>
      <c r="D286" s="7" t="n">
        <v>45313</v>
      </c>
      <c r="E286" s="3" t="n">
        <v>6481.94</v>
      </c>
      <c r="F286" s="4" t="inlineStr">
        <is>
          <t>Stock</t>
        </is>
      </c>
      <c r="G286" s="3" t="n">
        <v>9.529999999999999</v>
      </c>
      <c r="H286" s="4" t="inlineStr">
        <is>
          <t>Energy</t>
        </is>
      </c>
      <c r="I286" s="4" t="inlineStr">
        <is>
          <t>Oil &amp; Gas</t>
        </is>
      </c>
      <c r="J286" s="4" t="inlineStr">
        <is>
          <t>Oil &amp; Gas Supply Chain</t>
        </is>
      </c>
      <c r="K286" s="3" t="n">
        <v>90.3</v>
      </c>
      <c r="L286" s="3" t="n">
        <v>90.3</v>
      </c>
      <c r="M286" s="3" t="n">
        <v>28.65</v>
      </c>
      <c r="N286" s="3" t="n">
        <v>3001.38</v>
      </c>
      <c r="O286" s="4" t="inlineStr">
        <is>
          <t>United States</t>
        </is>
      </c>
      <c r="P286" s="4" t="inlineStr">
        <is>
          <t>United States</t>
        </is>
      </c>
      <c r="Q286" s="4" t="inlineStr">
        <is>
          <t>Friendly</t>
        </is>
      </c>
      <c r="R286" s="3" t="n">
        <v>1634.19</v>
      </c>
      <c r="S286" s="3" t="n">
        <v>27.8397</v>
      </c>
      <c r="T286" s="4" t="inlineStr">
        <is>
          <t>Company Takeover</t>
        </is>
      </c>
      <c r="U286" s="2" t="inlineStr">
        <is>
          <t>No</t>
        </is>
      </c>
      <c r="V286" s="2" t="inlineStr">
        <is>
          <t>No</t>
        </is>
      </c>
      <c r="W286" s="2" t="inlineStr">
        <is>
          <t>No</t>
        </is>
      </c>
      <c r="X286" s="2" t="inlineStr">
        <is>
          <t>No</t>
        </is>
      </c>
      <c r="Y286" s="2" t="inlineStr">
        <is>
          <t>No</t>
        </is>
      </c>
      <c r="Z286" s="2" t="inlineStr">
        <is>
          <t>No</t>
        </is>
      </c>
      <c r="AA286" s="6" t="n">
        <v>3.811705007</v>
      </c>
      <c r="AB286" s="6" t="n">
        <v>3.213302549</v>
      </c>
      <c r="AC286" s="6" t="n">
        <v>3.477320984</v>
      </c>
      <c r="AD286">
        <f t="array" ref="AD286">IF(SUMPRODUCT(--($AM$2:$AM$112=TRIM(LEFT($B286,IFERROR(FIND(" ",$B286)-1,LEN($B286))))))&gt;0,1,0)</f>
        <v/>
      </c>
      <c r="AE286">
        <f t="array" ref="AE286">IF(SUMPRODUCT(--($AO$2:$AO$145=TRIM(LEFT($B286,IFERROR(FIND(" ",$B286)-1,LEN($B286))))))&gt;0,1,0)</f>
        <v/>
      </c>
      <c r="AF286">
        <f t="array" ref="AF286">IF(SUMPRODUCT(--($AQ$2:$AQ$71=TRIM(LEFT($B286,IFERROR(FIND(" ",$B286)-1,LEN($B286))))))&gt;0,1,0)</f>
        <v/>
      </c>
    </row>
    <row r="287" ht="165.75" customHeight="1" thickBot="1">
      <c r="A287" s="13" t="n">
        <v>218</v>
      </c>
      <c r="B287" s="4" t="inlineStr">
        <is>
          <t>AEL US</t>
        </is>
      </c>
      <c r="C287" s="4" t="inlineStr">
        <is>
          <t>BNT CN</t>
        </is>
      </c>
      <c r="D287" s="7" t="n">
        <v>45112</v>
      </c>
      <c r="E287" s="3" t="n">
        <v>3324.81</v>
      </c>
      <c r="F287" s="4" t="inlineStr">
        <is>
          <t>Cash and Stock</t>
        </is>
      </c>
      <c r="G287" s="4" t="n"/>
      <c r="H287" s="4" t="inlineStr">
        <is>
          <t>Financials</t>
        </is>
      </c>
      <c r="I287" s="4" t="inlineStr">
        <is>
          <t>Insurance</t>
        </is>
      </c>
      <c r="J287" s="4" t="inlineStr">
        <is>
          <t>Insurance</t>
        </is>
      </c>
      <c r="K287" s="4" t="n"/>
      <c r="L287" s="4" t="n"/>
      <c r="M287" s="3" t="n">
        <v>19.93</v>
      </c>
      <c r="N287" s="3" t="n">
        <v>3324.81</v>
      </c>
      <c r="O287" s="4" t="inlineStr">
        <is>
          <t>United States</t>
        </is>
      </c>
      <c r="P287" s="4" t="inlineStr">
        <is>
          <t>Canada</t>
        </is>
      </c>
      <c r="Q287" s="4" t="inlineStr">
        <is>
          <t>Friendly</t>
        </is>
      </c>
      <c r="R287" s="3" t="n">
        <v>7487</v>
      </c>
      <c r="S287" s="3" t="n">
        <v>12.3777</v>
      </c>
      <c r="T287" s="4" t="inlineStr">
        <is>
          <t>Cross Border, Company Takeover, Going Private, PE Buyout, Private Equity</t>
        </is>
      </c>
      <c r="U287" s="2" t="inlineStr">
        <is>
          <t>No</t>
        </is>
      </c>
      <c r="V287" s="2" t="inlineStr">
        <is>
          <t>No</t>
        </is>
      </c>
      <c r="W287" s="2" t="inlineStr">
        <is>
          <t>Yes</t>
        </is>
      </c>
      <c r="X287" s="2" t="inlineStr">
        <is>
          <t>Yes</t>
        </is>
      </c>
      <c r="Y287" s="2" t="inlineStr">
        <is>
          <t>Yes</t>
        </is>
      </c>
      <c r="Z287" s="2" t="inlineStr">
        <is>
          <t>No</t>
        </is>
      </c>
      <c r="AA287" s="6" t="n">
        <v>3.521766832</v>
      </c>
      <c r="AB287" s="6" t="n">
        <v>3.874307833</v>
      </c>
      <c r="AC287" s="6" t="n">
        <v>3.521766832</v>
      </c>
      <c r="AD287">
        <f t="array" ref="AD287">IF(SUMPRODUCT(--($AM$2:$AM$112=TRIM(LEFT($B287,IFERROR(FIND(" ",$B287)-1,LEN($B287))))))&gt;0,1,0)</f>
        <v/>
      </c>
      <c r="AE287">
        <f t="array" ref="AE287">IF(SUMPRODUCT(--($AO$2:$AO$145=TRIM(LEFT($B287,IFERROR(FIND(" ",$B287)-1,LEN($B287))))))&gt;0,1,0)</f>
        <v/>
      </c>
      <c r="AF287">
        <f t="array" ref="AF287">IF(SUMPRODUCT(--($AQ$2:$AQ$71=TRIM(LEFT($B287,IFERROR(FIND(" ",$B287)-1,LEN($B287))))))&gt;0,1,0)</f>
        <v/>
      </c>
    </row>
    <row r="288" ht="165.75" customHeight="1" thickBot="1">
      <c r="A288" s="13" t="n">
        <v>76</v>
      </c>
      <c r="B288" s="4" t="inlineStr">
        <is>
          <t>TCN CN</t>
        </is>
      </c>
      <c r="C288" s="4" t="inlineStr">
        <is>
          <t>BX US</t>
        </is>
      </c>
      <c r="D288" s="7" t="n">
        <v>45310</v>
      </c>
      <c r="E288" s="3" t="n">
        <v>3072.8</v>
      </c>
      <c r="F288" s="4" t="inlineStr">
        <is>
          <t>Cash</t>
        </is>
      </c>
      <c r="G288" s="3" t="n">
        <v>21.11</v>
      </c>
      <c r="H288" s="4" t="inlineStr">
        <is>
          <t>Real Estate</t>
        </is>
      </c>
      <c r="I288" s="4" t="inlineStr">
        <is>
          <t>Real Estate</t>
        </is>
      </c>
      <c r="J288" s="4" t="inlineStr">
        <is>
          <t>Real Estate Owners &amp; Developers</t>
        </is>
      </c>
      <c r="K288" s="4" t="n"/>
      <c r="L288" s="4" t="n"/>
      <c r="M288" s="3" t="n">
        <v>26.29</v>
      </c>
      <c r="N288" s="3" t="n">
        <v>3072.8</v>
      </c>
      <c r="O288" s="4" t="inlineStr">
        <is>
          <t>Canada</t>
        </is>
      </c>
      <c r="P288" s="4" t="inlineStr">
        <is>
          <t>United States</t>
        </is>
      </c>
      <c r="Q288" s="4" t="inlineStr">
        <is>
          <t>Friendly</t>
        </is>
      </c>
      <c r="R288" s="3" t="n">
        <v>890.193</v>
      </c>
      <c r="S288" s="3" t="n">
        <v>52.095</v>
      </c>
      <c r="T288" s="4" t="inlineStr">
        <is>
          <t>PE Buyout, Company Takeover, Cross Border, Private Equity, Going Private</t>
        </is>
      </c>
      <c r="U288" s="2" t="inlineStr">
        <is>
          <t>No</t>
        </is>
      </c>
      <c r="V288" s="2" t="inlineStr">
        <is>
          <t>No</t>
        </is>
      </c>
      <c r="W288" s="2" t="inlineStr">
        <is>
          <t>Yes</t>
        </is>
      </c>
      <c r="X288" s="2" t="inlineStr">
        <is>
          <t>Yes</t>
        </is>
      </c>
      <c r="Y288" s="2" t="inlineStr">
        <is>
          <t>Yes</t>
        </is>
      </c>
      <c r="Z288" s="2" t="inlineStr">
        <is>
          <t>No</t>
        </is>
      </c>
      <c r="AA288" s="6" t="n">
        <v>3.487534294</v>
      </c>
      <c r="AB288" s="6" t="n">
        <v>2.949484175</v>
      </c>
      <c r="AC288" s="6" t="n">
        <v>3.487534294</v>
      </c>
      <c r="AD288">
        <f t="array" ref="AD288">IF(SUMPRODUCT(--($AM$2:$AM$112=TRIM(LEFT($B288,IFERROR(FIND(" ",$B288)-1,LEN($B288))))))&gt;0,1,0)</f>
        <v/>
      </c>
      <c r="AE288">
        <f t="array" ref="AE288">IF(SUMPRODUCT(--($AO$2:$AO$145=TRIM(LEFT($B288,IFERROR(FIND(" ",$B288)-1,LEN($B288))))))&gt;0,1,0)</f>
        <v/>
      </c>
      <c r="AF288">
        <f t="array" ref="AF288">IF(SUMPRODUCT(--($AQ$2:$AQ$71=TRIM(LEFT($B288,IFERROR(FIND(" ",$B288)-1,LEN($B288))))))&gt;0,1,0)</f>
        <v/>
      </c>
    </row>
    <row r="289" ht="75.75" customHeight="1" thickBot="1">
      <c r="A289" s="13" t="n">
        <v>67</v>
      </c>
      <c r="B289" s="4" t="inlineStr">
        <is>
          <t>MDC US</t>
        </is>
      </c>
      <c r="C289" s="4" t="inlineStr">
        <is>
          <t>1928 JP</t>
        </is>
      </c>
      <c r="D289" s="7" t="n">
        <v>45309</v>
      </c>
      <c r="E289" s="3" t="n">
        <v>4409.41</v>
      </c>
      <c r="F289" s="4" t="inlineStr">
        <is>
          <t>Cash</t>
        </is>
      </c>
      <c r="G289" s="3" t="n">
        <v>5.44</v>
      </c>
      <c r="H289" s="4" t="inlineStr">
        <is>
          <t>Consumer Discretionary</t>
        </is>
      </c>
      <c r="I289" s="4" t="inlineStr">
        <is>
          <t>Consumer Discretionary Products</t>
        </is>
      </c>
      <c r="J289" s="4" t="inlineStr">
        <is>
          <t>Home Construction</t>
        </is>
      </c>
      <c r="K289" s="4" t="n"/>
      <c r="L289" s="4" t="n"/>
      <c r="M289" s="3" t="n">
        <v>16.22</v>
      </c>
      <c r="N289" s="3" t="n">
        <v>4703.67</v>
      </c>
      <c r="O289" s="4" t="inlineStr">
        <is>
          <t>United States</t>
        </is>
      </c>
      <c r="P289" s="4" t="inlineStr">
        <is>
          <t>Japan</t>
        </is>
      </c>
      <c r="Q289" s="4" t="inlineStr">
        <is>
          <t>Friendly</t>
        </is>
      </c>
      <c r="R289" s="3" t="n">
        <v>5098.37</v>
      </c>
      <c r="S289" s="3" t="n">
        <v>2.21944</v>
      </c>
      <c r="T289" s="4" t="inlineStr">
        <is>
          <t>Cross Border, Company Takeover</t>
        </is>
      </c>
      <c r="U289" s="2" t="inlineStr">
        <is>
          <t>No</t>
        </is>
      </c>
      <c r="V289" s="2" t="inlineStr">
        <is>
          <t>No</t>
        </is>
      </c>
      <c r="W289" s="2" t="inlineStr">
        <is>
          <t>Yes</t>
        </is>
      </c>
      <c r="X289" s="2" t="inlineStr">
        <is>
          <t>No</t>
        </is>
      </c>
      <c r="Y289" s="2" t="inlineStr">
        <is>
          <t>No</t>
        </is>
      </c>
      <c r="Z289" s="2" t="inlineStr">
        <is>
          <t>No</t>
        </is>
      </c>
      <c r="AA289" s="6" t="n">
        <v>3.644380483</v>
      </c>
      <c r="AB289" s="6" t="n">
        <v>3.70743135</v>
      </c>
      <c r="AC289" s="6" t="n">
        <v>3.672436845</v>
      </c>
      <c r="AD289">
        <f t="array" ref="AD289">IF(SUMPRODUCT(--($AM$2:$AM$112=TRIM(LEFT($B289,IFERROR(FIND(" ",$B289)-1,LEN($B289))))))&gt;0,1,0)</f>
        <v/>
      </c>
      <c r="AE289">
        <f t="array" ref="AE289">IF(SUMPRODUCT(--($AO$2:$AO$145=TRIM(LEFT($B289,IFERROR(FIND(" ",$B289)-1,LEN($B289))))))&gt;0,1,0)</f>
        <v/>
      </c>
      <c r="AF289">
        <f t="array" ref="AF289">IF(SUMPRODUCT(--($AQ$2:$AQ$71=TRIM(LEFT($B289,IFERROR(FIND(" ",$B289)-1,LEN($B289))))))&gt;0,1,0)</f>
        <v/>
      </c>
    </row>
    <row r="290" ht="135.75" customHeight="1" thickBot="1">
      <c r="A290" s="13" t="n">
        <v>66</v>
      </c>
      <c r="B290" s="4" t="inlineStr">
        <is>
          <t>KAMN US</t>
        </is>
      </c>
      <c r="C290" s="4" t="inlineStr">
        <is>
          <t>1698480D US</t>
        </is>
      </c>
      <c r="D290" s="7" t="n">
        <v>45310</v>
      </c>
      <c r="E290" s="3" t="n">
        <v>1857.14</v>
      </c>
      <c r="F290" s="4" t="inlineStr">
        <is>
          <t>Cash</t>
        </is>
      </c>
      <c r="G290" s="4" t="n"/>
      <c r="H290" s="4" t="inlineStr">
        <is>
          <t>Industrials</t>
        </is>
      </c>
      <c r="I290" s="4" t="inlineStr">
        <is>
          <t>Industrial Products</t>
        </is>
      </c>
      <c r="J290" s="4" t="inlineStr">
        <is>
          <t>Aerospace &amp; Defense</t>
        </is>
      </c>
      <c r="K290" s="4" t="n"/>
      <c r="L290" s="4" t="n"/>
      <c r="M290" s="3" t="n">
        <v>97.18000000000001</v>
      </c>
      <c r="N290" s="3" t="n">
        <v>1299.79</v>
      </c>
      <c r="O290" s="4" t="inlineStr">
        <is>
          <t>United States</t>
        </is>
      </c>
      <c r="P290" s="4" t="inlineStr">
        <is>
          <t>United States</t>
        </is>
      </c>
      <c r="Q290" s="4" t="inlineStr">
        <is>
          <t>Friendly</t>
        </is>
      </c>
      <c r="R290" s="3" t="n">
        <v>775.854</v>
      </c>
      <c r="S290" s="3" t="n">
        <v>6.45147</v>
      </c>
      <c r="T290" s="4" t="inlineStr">
        <is>
          <t>Company Takeover, PE Buyout, Private Equity, Going Private</t>
        </is>
      </c>
      <c r="U290" s="2" t="inlineStr">
        <is>
          <t>No</t>
        </is>
      </c>
      <c r="V290" s="2" t="inlineStr">
        <is>
          <t>No</t>
        </is>
      </c>
      <c r="W290" s="2" t="inlineStr">
        <is>
          <t>No</t>
        </is>
      </c>
      <c r="X290" s="2" t="inlineStr">
        <is>
          <t>Yes</t>
        </is>
      </c>
      <c r="Y290" s="2" t="inlineStr">
        <is>
          <t>Yes</t>
        </is>
      </c>
      <c r="Z290" s="2" t="inlineStr">
        <is>
          <t>No</t>
        </is>
      </c>
      <c r="AA290" s="6" t="n">
        <v>3.268844644</v>
      </c>
      <c r="AB290" s="6" t="n">
        <v>2.889780004</v>
      </c>
      <c r="AC290" s="6" t="n">
        <v>3.113873191</v>
      </c>
      <c r="AD290">
        <f t="array" ref="AD290">IF(SUMPRODUCT(--($AM$2:$AM$112=TRIM(LEFT($B290,IFERROR(FIND(" ",$B290)-1,LEN($B290))))))&gt;0,1,0)</f>
        <v/>
      </c>
      <c r="AE290">
        <f t="array" ref="AE290">IF(SUMPRODUCT(--($AO$2:$AO$145=TRIM(LEFT($B290,IFERROR(FIND(" ",$B290)-1,LEN($B290))))))&gt;0,1,0)</f>
        <v/>
      </c>
      <c r="AF290">
        <f t="array" ref="AF290">IF(SUMPRODUCT(--($AQ$2:$AQ$71=TRIM(LEFT($B290,IFERROR(FIND(" ",$B290)-1,LEN($B290))))))&gt;0,1,0)</f>
        <v/>
      </c>
    </row>
    <row r="291" ht="75.75" customHeight="1" thickBot="1">
      <c r="A291" s="13" t="n">
        <v>87</v>
      </c>
      <c r="B291" s="4" t="inlineStr">
        <is>
          <t>EGLE US</t>
        </is>
      </c>
      <c r="C291" s="4" t="inlineStr">
        <is>
          <t>SBLK US</t>
        </is>
      </c>
      <c r="D291" s="7" t="n">
        <v>45271</v>
      </c>
      <c r="E291" s="3" t="n">
        <v>911.12</v>
      </c>
      <c r="F291" s="4" t="inlineStr">
        <is>
          <t>Stock</t>
        </is>
      </c>
      <c r="G291" s="3" t="n">
        <v>2.51</v>
      </c>
      <c r="H291" s="4" t="inlineStr">
        <is>
          <t>Industrials</t>
        </is>
      </c>
      <c r="I291" s="4" t="inlineStr">
        <is>
          <t>Industrial Services</t>
        </is>
      </c>
      <c r="J291" s="4" t="inlineStr">
        <is>
          <t>Transportation &amp; Logistics</t>
        </is>
      </c>
      <c r="K291" s="3" t="n">
        <v>20</v>
      </c>
      <c r="L291" s="4" t="n"/>
      <c r="M291" s="3" t="n">
        <v>18.73</v>
      </c>
      <c r="N291" s="3" t="n">
        <v>516.65</v>
      </c>
      <c r="O291" s="4" t="inlineStr">
        <is>
          <t>United States</t>
        </is>
      </c>
      <c r="P291" s="4" t="inlineStr">
        <is>
          <t>Greece</t>
        </is>
      </c>
      <c r="Q291" s="4" t="inlineStr">
        <is>
          <t>Friendly</t>
        </is>
      </c>
      <c r="R291" s="2" t="n"/>
      <c r="S291" s="2" t="n"/>
      <c r="T291" s="4" t="inlineStr">
        <is>
          <t>Cross Border, Company Takeover</t>
        </is>
      </c>
      <c r="U291" s="2" t="inlineStr">
        <is>
          <t>No</t>
        </is>
      </c>
      <c r="V291" s="2" t="inlineStr">
        <is>
          <t>No</t>
        </is>
      </c>
      <c r="W291" s="2" t="inlineStr">
        <is>
          <t>Yes</t>
        </is>
      </c>
      <c r="X291" s="2" t="inlineStr">
        <is>
          <t>No</t>
        </is>
      </c>
      <c r="Y291" s="2" t="inlineStr">
        <is>
          <t>No</t>
        </is>
      </c>
      <c r="Z291" s="2" t="inlineStr">
        <is>
          <t>No</t>
        </is>
      </c>
      <c r="AA291" s="6" t="n">
        <v>2.95957558</v>
      </c>
      <c r="AB291" s="2" t="n"/>
      <c r="AC291" s="6" t="n">
        <v>2.713196434</v>
      </c>
      <c r="AD291">
        <f t="array" ref="AD291">IF(SUMPRODUCT(--($AM$2:$AM$112=TRIM(LEFT($B291,IFERROR(FIND(" ",$B291)-1,LEN($B291))))))&gt;0,1,0)</f>
        <v/>
      </c>
      <c r="AE291">
        <f t="array" ref="AE291">IF(SUMPRODUCT(--($AO$2:$AO$145=TRIM(LEFT($B291,IFERROR(FIND(" ",$B291)-1,LEN($B291))))))&gt;0,1,0)</f>
        <v/>
      </c>
      <c r="AF291">
        <f t="array" ref="AF291">IF(SUMPRODUCT(--($AQ$2:$AQ$71=TRIM(LEFT($B291,IFERROR(FIND(" ",$B291)-1,LEN($B291))))))&gt;0,1,0)</f>
        <v/>
      </c>
    </row>
    <row r="292" ht="105.75" customHeight="1" thickBot="1">
      <c r="A292" s="13" t="n">
        <v>73</v>
      </c>
      <c r="B292" s="4" t="inlineStr">
        <is>
          <t>DSKE US</t>
        </is>
      </c>
      <c r="C292" s="4" t="inlineStr">
        <is>
          <t>TFII CN</t>
        </is>
      </c>
      <c r="D292" s="7" t="n">
        <v>45282</v>
      </c>
      <c r="E292" s="3" t="n">
        <v>1069.56</v>
      </c>
      <c r="F292" s="4" t="inlineStr">
        <is>
          <t>Cash</t>
        </is>
      </c>
      <c r="G292" s="3" t="n">
        <v>4.55</v>
      </c>
      <c r="H292" s="4" t="inlineStr">
        <is>
          <t>Industrials</t>
        </is>
      </c>
      <c r="I292" s="4" t="inlineStr">
        <is>
          <t>Industrial Services</t>
        </is>
      </c>
      <c r="J292" s="4" t="inlineStr">
        <is>
          <t>Transportation &amp; Logistics</t>
        </is>
      </c>
      <c r="K292" s="3" t="n">
        <v>12.45</v>
      </c>
      <c r="L292" s="3" t="n">
        <v>12.45</v>
      </c>
      <c r="M292" s="3" t="n">
        <v>81.18000000000001</v>
      </c>
      <c r="N292" s="3" t="n">
        <v>385.96</v>
      </c>
      <c r="O292" s="4" t="inlineStr">
        <is>
          <t>United States</t>
        </is>
      </c>
      <c r="P292" s="4" t="inlineStr">
        <is>
          <t>Canada</t>
        </is>
      </c>
      <c r="Q292" s="4" t="inlineStr">
        <is>
          <t>Friendly</t>
        </is>
      </c>
      <c r="R292" s="3" t="n">
        <v>1569.4</v>
      </c>
      <c r="S292" s="3" t="n">
        <v>2.30661</v>
      </c>
      <c r="T292" s="4" t="inlineStr">
        <is>
          <t>Going Private, Company Takeover, Cross Border</t>
        </is>
      </c>
      <c r="U292" s="2" t="inlineStr">
        <is>
          <t>No</t>
        </is>
      </c>
      <c r="V292" s="2" t="inlineStr">
        <is>
          <t>No</t>
        </is>
      </c>
      <c r="W292" s="2" t="inlineStr">
        <is>
          <t>Yes</t>
        </is>
      </c>
      <c r="X292" s="2" t="inlineStr">
        <is>
          <t>Yes</t>
        </is>
      </c>
      <c r="Y292" s="2" t="inlineStr">
        <is>
          <t>No</t>
        </is>
      </c>
      <c r="Z292" s="2" t="inlineStr">
        <is>
          <t>No</t>
        </is>
      </c>
      <c r="AA292" s="6" t="n">
        <v>3.029205153</v>
      </c>
      <c r="AB292" s="6" t="n">
        <v>3.195733648</v>
      </c>
      <c r="AC292" s="6" t="n">
        <v>2.586542298</v>
      </c>
      <c r="AD292">
        <f t="array" ref="AD292">IF(SUMPRODUCT(--($AM$2:$AM$112=TRIM(LEFT($B292,IFERROR(FIND(" ",$B292)-1,LEN($B292))))))&gt;0,1,0)</f>
        <v/>
      </c>
      <c r="AE292">
        <f t="array" ref="AE292">IF(SUMPRODUCT(--($AO$2:$AO$145=TRIM(LEFT($B292,IFERROR(FIND(" ",$B292)-1,LEN($B292))))))&gt;0,1,0)</f>
        <v/>
      </c>
      <c r="AF292">
        <f t="array" ref="AF292">IF(SUMPRODUCT(--($AQ$2:$AQ$71=TRIM(LEFT($B292,IFERROR(FIND(" ",$B292)-1,LEN($B292))))))&gt;0,1,0)</f>
        <v/>
      </c>
    </row>
    <row r="293" ht="45.75" customHeight="1" thickBot="1">
      <c r="A293" s="13" t="n">
        <v>76</v>
      </c>
      <c r="B293" s="4" t="inlineStr">
        <is>
          <t>CCLP US</t>
        </is>
      </c>
      <c r="C293" s="4" t="inlineStr">
        <is>
          <t>KGS US</t>
        </is>
      </c>
      <c r="D293" s="7" t="n">
        <v>45279</v>
      </c>
      <c r="E293" s="3" t="n">
        <v>842.51</v>
      </c>
      <c r="F293" s="4" t="inlineStr">
        <is>
          <t>Stock</t>
        </is>
      </c>
      <c r="G293" s="3" t="n">
        <v>5.48</v>
      </c>
      <c r="H293" s="4" t="inlineStr">
        <is>
          <t>Energy</t>
        </is>
      </c>
      <c r="I293" s="4" t="inlineStr">
        <is>
          <t>Oil &amp; Gas</t>
        </is>
      </c>
      <c r="J293" s="4" t="inlineStr">
        <is>
          <t>Oil &amp; Gas Services &amp; Equip</t>
        </is>
      </c>
      <c r="K293" s="3" t="n">
        <v>20</v>
      </c>
      <c r="L293" s="3" t="n">
        <v>15</v>
      </c>
      <c r="M293" s="3" t="n">
        <v>-7.53</v>
      </c>
      <c r="N293" s="3" t="n">
        <v>222.17</v>
      </c>
      <c r="O293" s="4" t="inlineStr">
        <is>
          <t>United States</t>
        </is>
      </c>
      <c r="P293" s="4" t="inlineStr">
        <is>
          <t>United States</t>
        </is>
      </c>
      <c r="Q293" s="4" t="inlineStr">
        <is>
          <t>Friendly</t>
        </is>
      </c>
      <c r="R293" s="3" t="n">
        <v>386.128</v>
      </c>
      <c r="S293" s="3" t="n">
        <v>13.1332</v>
      </c>
      <c r="T293" s="4" t="inlineStr">
        <is>
          <t>Company Takeover</t>
        </is>
      </c>
      <c r="U293" s="2" t="inlineStr">
        <is>
          <t>No</t>
        </is>
      </c>
      <c r="V293" s="2" t="inlineStr">
        <is>
          <t>No</t>
        </is>
      </c>
      <c r="W293" s="2" t="inlineStr">
        <is>
          <t>No</t>
        </is>
      </c>
      <c r="X293" s="2" t="inlineStr">
        <is>
          <t>No</t>
        </is>
      </c>
      <c r="Y293" s="2" t="inlineStr">
        <is>
          <t>No</t>
        </is>
      </c>
      <c r="Z293" s="2" t="inlineStr">
        <is>
          <t>No</t>
        </is>
      </c>
      <c r="AA293" s="6" t="n">
        <v>2.925575064</v>
      </c>
      <c r="AB293" s="6" t="n">
        <v>2.586731296</v>
      </c>
      <c r="AC293" s="6" t="n">
        <v>2.346685415</v>
      </c>
      <c r="AD293">
        <f t="array" ref="AD293">IF(SUMPRODUCT(--($AM$2:$AM$112=TRIM(LEFT($B293,IFERROR(FIND(" ",$B293)-1,LEN($B293))))))&gt;0,1,0)</f>
        <v/>
      </c>
      <c r="AE293">
        <f t="array" ref="AE293">IF(SUMPRODUCT(--($AO$2:$AO$145=TRIM(LEFT($B293,IFERROR(FIND(" ",$B293)-1,LEN($B293))))))&gt;0,1,0)</f>
        <v/>
      </c>
      <c r="AF293">
        <f t="array" ref="AF293">IF(SUMPRODUCT(--($AQ$2:$AQ$71=TRIM(LEFT($B293,IFERROR(FIND(" ",$B293)-1,LEN($B293))))))&gt;0,1,0)</f>
        <v/>
      </c>
    </row>
    <row r="294" ht="45.75" customHeight="1" thickBot="1">
      <c r="A294" s="13" t="n">
        <v>63</v>
      </c>
      <c r="B294" s="4" t="inlineStr">
        <is>
          <t>CPE US</t>
        </is>
      </c>
      <c r="C294" s="4" t="inlineStr">
        <is>
          <t>APA US</t>
        </is>
      </c>
      <c r="D294" s="7" t="n">
        <v>45295</v>
      </c>
      <c r="E294" s="3" t="n">
        <v>4454.48</v>
      </c>
      <c r="F294" s="4" t="inlineStr">
        <is>
          <t>Stock</t>
        </is>
      </c>
      <c r="G294" s="3" t="n">
        <v>4.69</v>
      </c>
      <c r="H294" s="4" t="inlineStr">
        <is>
          <t>Energy</t>
        </is>
      </c>
      <c r="I294" s="4" t="inlineStr">
        <is>
          <t>Oil &amp; Gas</t>
        </is>
      </c>
      <c r="J294" s="4" t="inlineStr">
        <is>
          <t>Oil &amp; Gas Supply Chain</t>
        </is>
      </c>
      <c r="K294" s="3" t="n">
        <v>170</v>
      </c>
      <c r="L294" s="3" t="n">
        <v>170</v>
      </c>
      <c r="M294" s="3" t="n">
        <v>15.21</v>
      </c>
      <c r="N294" s="3" t="n">
        <v>2509.32</v>
      </c>
      <c r="O294" s="4" t="inlineStr">
        <is>
          <t>United States</t>
        </is>
      </c>
      <c r="P294" s="4" t="inlineStr">
        <is>
          <t>United States</t>
        </is>
      </c>
      <c r="Q294" s="4" t="inlineStr">
        <is>
          <t>Friendly</t>
        </is>
      </c>
      <c r="R294" s="3" t="n">
        <v>2342.98</v>
      </c>
      <c r="S294" s="3" t="n">
        <v>15.5305</v>
      </c>
      <c r="T294" s="4" t="inlineStr">
        <is>
          <t>Company Takeover</t>
        </is>
      </c>
      <c r="U294" s="2" t="inlineStr">
        <is>
          <t>No</t>
        </is>
      </c>
      <c r="V294" s="2" t="inlineStr">
        <is>
          <t>No</t>
        </is>
      </c>
      <c r="W294" s="2" t="inlineStr">
        <is>
          <t>No</t>
        </is>
      </c>
      <c r="X294" s="2" t="inlineStr">
        <is>
          <t>No</t>
        </is>
      </c>
      <c r="Y294" s="2" t="inlineStr">
        <is>
          <t>No</t>
        </is>
      </c>
      <c r="Z294" s="2" t="inlineStr">
        <is>
          <t>No</t>
        </is>
      </c>
      <c r="AA294" s="6" t="n">
        <v>3.648797013</v>
      </c>
      <c r="AB294" s="6" t="n">
        <v>3.369768581</v>
      </c>
      <c r="AC294" s="6" t="n">
        <v>3.399556048</v>
      </c>
      <c r="AD294">
        <f t="array" ref="AD294">IF(SUMPRODUCT(--($AM$2:$AM$112=TRIM(LEFT($B294,IFERROR(FIND(" ",$B294)-1,LEN($B294))))))&gt;0,1,0)</f>
        <v/>
      </c>
      <c r="AE294">
        <f t="array" ref="AE294">IF(SUMPRODUCT(--($AO$2:$AO$145=TRIM(LEFT($B294,IFERROR(FIND(" ",$B294)-1,LEN($B294))))))&gt;0,1,0)</f>
        <v/>
      </c>
      <c r="AF294">
        <f t="array" ref="AF294">IF(SUMPRODUCT(--($AQ$2:$AQ$71=TRIM(LEFT($B294,IFERROR(FIND(" ",$B294)-1,LEN($B294))))))&gt;0,1,0)</f>
        <v/>
      </c>
    </row>
    <row r="295" ht="105.75" customHeight="1" thickBot="1">
      <c r="A295" s="13" t="n">
        <v>52</v>
      </c>
      <c r="B295" s="4" t="inlineStr">
        <is>
          <t>PGTI US</t>
        </is>
      </c>
      <c r="C295" s="4" t="inlineStr">
        <is>
          <t>2350627D US</t>
        </is>
      </c>
      <c r="D295" s="7" t="n">
        <v>45308</v>
      </c>
      <c r="E295" s="3" t="n">
        <v>3159.77</v>
      </c>
      <c r="F295" s="4" t="inlineStr">
        <is>
          <t>Cash</t>
        </is>
      </c>
      <c r="G295" s="3" t="n">
        <v>12.99</v>
      </c>
      <c r="H295" s="4" t="inlineStr">
        <is>
          <t>Consumer Discretionary</t>
        </is>
      </c>
      <c r="I295" s="4" t="inlineStr">
        <is>
          <t>Consumer Discretionary Products</t>
        </is>
      </c>
      <c r="J295" s="4" t="inlineStr">
        <is>
          <t>Home Construction</t>
        </is>
      </c>
      <c r="K295" s="3" t="n">
        <v>405</v>
      </c>
      <c r="L295" s="3" t="n">
        <v>86</v>
      </c>
      <c r="M295" s="3" t="n">
        <v>2.9</v>
      </c>
      <c r="N295" s="3" t="n">
        <v>2454.16</v>
      </c>
      <c r="O295" s="4" t="inlineStr">
        <is>
          <t>United States</t>
        </is>
      </c>
      <c r="P295" s="4" t="inlineStr">
        <is>
          <t>United States</t>
        </is>
      </c>
      <c r="Q295" s="4" t="inlineStr">
        <is>
          <t>Unsolicited to Friendly</t>
        </is>
      </c>
      <c r="R295" s="3" t="n">
        <v>1504.24</v>
      </c>
      <c r="S295" s="3" t="n">
        <v>11.9147</v>
      </c>
      <c r="T295" s="4" t="inlineStr">
        <is>
          <t>Competing Bid, Company Takeover, Going Private</t>
        </is>
      </c>
      <c r="U295" s="2" t="inlineStr">
        <is>
          <t>No</t>
        </is>
      </c>
      <c r="V295" s="2" t="inlineStr">
        <is>
          <t>Yes</t>
        </is>
      </c>
      <c r="W295" s="2" t="inlineStr">
        <is>
          <t>No</t>
        </is>
      </c>
      <c r="X295" s="2" t="inlineStr">
        <is>
          <t>Yes</t>
        </is>
      </c>
      <c r="Y295" s="2" t="inlineStr">
        <is>
          <t>No</t>
        </is>
      </c>
      <c r="Z295" s="2" t="inlineStr">
        <is>
          <t>No</t>
        </is>
      </c>
      <c r="AA295" s="6" t="n">
        <v>3.499655471</v>
      </c>
      <c r="AB295" s="6" t="n">
        <v>3.177317133</v>
      </c>
      <c r="AC295" s="6" t="n">
        <v>3.389902873</v>
      </c>
      <c r="AD295">
        <f t="array" ref="AD295">IF(SUMPRODUCT(--($AM$2:$AM$112=TRIM(LEFT($B295,IFERROR(FIND(" ",$B295)-1,LEN($B295))))))&gt;0,1,0)</f>
        <v/>
      </c>
      <c r="AE295">
        <f t="array" ref="AE295">IF(SUMPRODUCT(--($AO$2:$AO$145=TRIM(LEFT($B295,IFERROR(FIND(" ",$B295)-1,LEN($B295))))))&gt;0,1,0)</f>
        <v/>
      </c>
      <c r="AF295">
        <f t="array" ref="AF295">IF(SUMPRODUCT(--($AQ$2:$AQ$71=TRIM(LEFT($B295,IFERROR(FIND(" ",$B295)-1,LEN($B295))))))&gt;0,1,0)</f>
        <v/>
      </c>
    </row>
    <row r="296" ht="75.75" customHeight="1" thickBot="1">
      <c r="A296" s="13" t="n">
        <v>31</v>
      </c>
      <c r="B296" s="4" t="inlineStr">
        <is>
          <t>CBAY US</t>
        </is>
      </c>
      <c r="C296" s="4" t="inlineStr">
        <is>
          <t>GILD US</t>
        </is>
      </c>
      <c r="D296" s="7" t="n">
        <v>45334</v>
      </c>
      <c r="E296" s="3" t="n">
        <v>3514.9</v>
      </c>
      <c r="F296" s="4" t="inlineStr">
        <is>
          <t>Cash</t>
        </is>
      </c>
      <c r="G296" s="4" t="n"/>
      <c r="H296" s="4" t="inlineStr">
        <is>
          <t>Health Care</t>
        </is>
      </c>
      <c r="I296" s="4" t="inlineStr">
        <is>
          <t>Health Care</t>
        </is>
      </c>
      <c r="J296" s="4" t="inlineStr">
        <is>
          <t>Biotech &amp; Pharma</t>
        </is>
      </c>
      <c r="K296" s="4" t="n"/>
      <c r="L296" s="4" t="n"/>
      <c r="M296" s="3" t="n">
        <v>36.05</v>
      </c>
      <c r="N296" s="3" t="n">
        <v>3953.47</v>
      </c>
      <c r="O296" s="4" t="inlineStr">
        <is>
          <t>United States</t>
        </is>
      </c>
      <c r="P296" s="4" t="inlineStr">
        <is>
          <t>United States</t>
        </is>
      </c>
      <c r="Q296" s="4" t="inlineStr">
        <is>
          <t>Friendly</t>
        </is>
      </c>
      <c r="R296" s="3" t="n">
        <v>31.073</v>
      </c>
      <c r="S296" s="3" t="n">
        <v>-327.226</v>
      </c>
      <c r="T296" s="4" t="inlineStr">
        <is>
          <t>Company Takeover, Tender Offer</t>
        </is>
      </c>
      <c r="U296" s="2" t="inlineStr">
        <is>
          <t>No</t>
        </is>
      </c>
      <c r="V296" s="2" t="inlineStr">
        <is>
          <t>No</t>
        </is>
      </c>
      <c r="W296" s="2" t="inlineStr">
        <is>
          <t>No</t>
        </is>
      </c>
      <c r="X296" s="2" t="inlineStr">
        <is>
          <t>No</t>
        </is>
      </c>
      <c r="Y296" s="2" t="inlineStr">
        <is>
          <t>No</t>
        </is>
      </c>
      <c r="Z296" s="2" t="inlineStr">
        <is>
          <t>Yes</t>
        </is>
      </c>
      <c r="AA296" s="6" t="n">
        <v>3.545912974</v>
      </c>
      <c r="AB296" s="6" t="n">
        <v>1.492383185</v>
      </c>
      <c r="AC296" s="6" t="n">
        <v>3.596978448</v>
      </c>
      <c r="AD296">
        <f t="array" ref="AD296">IF(SUMPRODUCT(--($AM$2:$AM$112=TRIM(LEFT($B296,IFERROR(FIND(" ",$B296)-1,LEN($B296))))))&gt;0,1,0)</f>
        <v/>
      </c>
      <c r="AE296">
        <f t="array" ref="AE296">IF(SUMPRODUCT(--($AO$2:$AO$145=TRIM(LEFT($B296,IFERROR(FIND(" ",$B296)-1,LEN($B296))))))&gt;0,1,0)</f>
        <v/>
      </c>
      <c r="AF296">
        <f t="array" ref="AF296">IF(SUMPRODUCT(--($AQ$2:$AQ$71=TRIM(LEFT($B296,IFERROR(FIND(" ",$B296)-1,LEN($B296))))))&gt;0,1,0)</f>
        <v/>
      </c>
    </row>
    <row r="297" ht="135.75" customHeight="1" thickBot="1">
      <c r="A297" s="13" t="n">
        <v>50</v>
      </c>
      <c r="B297" s="4" t="inlineStr">
        <is>
          <t>NBLY CN</t>
        </is>
      </c>
      <c r="C297" s="4" t="inlineStr">
        <is>
          <t>4092033Z CN</t>
        </is>
      </c>
      <c r="D297" s="7" t="n">
        <v>45306</v>
      </c>
      <c r="E297" s="3" t="n">
        <v>526.53</v>
      </c>
      <c r="F297" s="4" t="inlineStr">
        <is>
          <t>Cash</t>
        </is>
      </c>
      <c r="G297" s="3" t="n">
        <v>20.51</v>
      </c>
      <c r="H297" s="4" t="inlineStr">
        <is>
          <t>Health Care</t>
        </is>
      </c>
      <c r="I297" s="4" t="inlineStr">
        <is>
          <t>Health Care</t>
        </is>
      </c>
      <c r="J297" s="4" t="inlineStr">
        <is>
          <t>Health Care Facilities &amp; Svcs</t>
        </is>
      </c>
      <c r="K297" s="4" t="n"/>
      <c r="L297" s="4" t="n"/>
      <c r="M297" s="3" t="n">
        <v>13.06</v>
      </c>
      <c r="N297" s="3" t="n">
        <v>308.06</v>
      </c>
      <c r="O297" s="4" t="inlineStr">
        <is>
          <t>Canada</t>
        </is>
      </c>
      <c r="P297" s="4" t="inlineStr">
        <is>
          <t>Canada</t>
        </is>
      </c>
      <c r="Q297" s="4" t="inlineStr">
        <is>
          <t>Friendly</t>
        </is>
      </c>
      <c r="R297" s="3" t="n">
        <v>567.465</v>
      </c>
      <c r="S297" s="3" t="n">
        <v>-0.681306</v>
      </c>
      <c r="T297" s="4" t="inlineStr">
        <is>
          <t>Private Equity, Company Takeover, PE Buyout, Going Private</t>
        </is>
      </c>
      <c r="U297" s="2" t="inlineStr">
        <is>
          <t>No</t>
        </is>
      </c>
      <c r="V297" s="2" t="inlineStr">
        <is>
          <t>No</t>
        </is>
      </c>
      <c r="W297" s="2" t="inlineStr">
        <is>
          <t>No</t>
        </is>
      </c>
      <c r="X297" s="2" t="inlineStr">
        <is>
          <t>Yes</t>
        </is>
      </c>
      <c r="Y297" s="2" t="inlineStr">
        <is>
          <t>Yes</t>
        </is>
      </c>
      <c r="Z297" s="2" t="inlineStr">
        <is>
          <t>No</t>
        </is>
      </c>
      <c r="AA297" s="6" t="n">
        <v>2.721423121</v>
      </c>
      <c r="AB297" s="6" t="n">
        <v>2.75393908</v>
      </c>
      <c r="AC297" s="6" t="n">
        <v>2.488635311</v>
      </c>
      <c r="AD297">
        <f t="array" ref="AD297">IF(SUMPRODUCT(--($AM$2:$AM$112=TRIM(LEFT($B297,IFERROR(FIND(" ",$B297)-1,LEN($B297))))))&gt;0,1,0)</f>
        <v/>
      </c>
      <c r="AE297">
        <f t="array" ref="AE297">IF(SUMPRODUCT(--($AO$2:$AO$145=TRIM(LEFT($B297,IFERROR(FIND(" ",$B297)-1,LEN($B297))))))&gt;0,1,0)</f>
        <v/>
      </c>
      <c r="AF297">
        <f t="array" ref="AF297">IF(SUMPRODUCT(--($AQ$2:$AQ$71=TRIM(LEFT($B297,IFERROR(FIND(" ",$B297)-1,LEN($B297))))))&gt;0,1,0)</f>
        <v/>
      </c>
    </row>
    <row r="298" ht="45.75" customHeight="1" thickBot="1">
      <c r="A298" s="13" t="n">
        <v>129</v>
      </c>
      <c r="B298" s="4" t="inlineStr">
        <is>
          <t>SPLK US</t>
        </is>
      </c>
      <c r="C298" s="4" t="inlineStr">
        <is>
          <t>CSCO US</t>
        </is>
      </c>
      <c r="D298" s="7" t="n">
        <v>45190</v>
      </c>
      <c r="E298" s="3" t="n">
        <v>27951.21</v>
      </c>
      <c r="F298" s="4" t="inlineStr">
        <is>
          <t>Cash</t>
        </is>
      </c>
      <c r="G298" s="4" t="n"/>
      <c r="H298" s="4" t="inlineStr">
        <is>
          <t>Technology</t>
        </is>
      </c>
      <c r="I298" s="4" t="inlineStr">
        <is>
          <t>Software &amp; Tech Services</t>
        </is>
      </c>
      <c r="J298" s="4" t="inlineStr">
        <is>
          <t>Software</t>
        </is>
      </c>
      <c r="K298" s="4" t="n"/>
      <c r="L298" s="4" t="n"/>
      <c r="M298" s="3" t="n">
        <v>30.95</v>
      </c>
      <c r="N298" s="3" t="n">
        <v>26328.9</v>
      </c>
      <c r="O298" s="4" t="inlineStr">
        <is>
          <t>United States</t>
        </is>
      </c>
      <c r="P298" s="4" t="inlineStr">
        <is>
          <t>United States</t>
        </is>
      </c>
      <c r="Q298" s="4" t="inlineStr">
        <is>
          <t>Friendly</t>
        </is>
      </c>
      <c r="R298" s="3" t="n">
        <v>4215.6</v>
      </c>
      <c r="S298" s="3" t="n">
        <v>5.68138</v>
      </c>
      <c r="T298" s="4" t="inlineStr">
        <is>
          <t>Company Takeover</t>
        </is>
      </c>
      <c r="U298" s="2" t="inlineStr">
        <is>
          <t>No</t>
        </is>
      </c>
      <c r="V298" s="2" t="inlineStr">
        <is>
          <t>No</t>
        </is>
      </c>
      <c r="W298" s="2" t="inlineStr">
        <is>
          <t>No</t>
        </is>
      </c>
      <c r="X298" s="2" t="inlineStr">
        <is>
          <t>No</t>
        </is>
      </c>
      <c r="Y298" s="2" t="inlineStr">
        <is>
          <t>No</t>
        </is>
      </c>
      <c r="Z298" s="2" t="inlineStr">
        <is>
          <t>No</t>
        </is>
      </c>
      <c r="AA298" s="6" t="n">
        <v>4.446400613</v>
      </c>
      <c r="AB298" s="6" t="n">
        <v>3.624859396</v>
      </c>
      <c r="AC298" s="6" t="n">
        <v>4.420432715</v>
      </c>
      <c r="AD298">
        <f t="array" ref="AD298">IF(SUMPRODUCT(--($AM$2:$AM$112=TRIM(LEFT($B298,IFERROR(FIND(" ",$B298)-1,LEN($B298))))))&gt;0,1,0)</f>
        <v/>
      </c>
      <c r="AE298">
        <f t="array" ref="AE298">IF(SUMPRODUCT(--($AO$2:$AO$145=TRIM(LEFT($B298,IFERROR(FIND(" ",$B298)-1,LEN($B298))))))&gt;0,1,0)</f>
        <v/>
      </c>
      <c r="AF298">
        <f t="array" ref="AF298">IF(SUMPRODUCT(--($AQ$2:$AQ$71=TRIM(LEFT($B298,IFERROR(FIND(" ",$B298)-1,LEN($B298))))))&gt;0,1,0)</f>
        <v/>
      </c>
    </row>
    <row r="299" ht="45.75" customHeight="1" thickBot="1">
      <c r="A299" s="13" t="n">
        <v>63</v>
      </c>
      <c r="B299" s="4" t="inlineStr">
        <is>
          <t>KRTX US</t>
        </is>
      </c>
      <c r="C299" s="4" t="inlineStr">
        <is>
          <t>BMY US</t>
        </is>
      </c>
      <c r="D299" s="7" t="n">
        <v>45282</v>
      </c>
      <c r="E299" s="3" t="n">
        <v>12194.39</v>
      </c>
      <c r="F299" s="4" t="inlineStr">
        <is>
          <t>Cash</t>
        </is>
      </c>
      <c r="G299" s="4" t="n"/>
      <c r="H299" s="4" t="inlineStr">
        <is>
          <t>Health Care</t>
        </is>
      </c>
      <c r="I299" s="4" t="inlineStr">
        <is>
          <t>Health Care</t>
        </is>
      </c>
      <c r="J299" s="4" t="inlineStr">
        <is>
          <t>Biotech &amp; Pharma</t>
        </is>
      </c>
      <c r="K299" s="3" t="n">
        <v>600</v>
      </c>
      <c r="L299" s="3" t="n">
        <v>490</v>
      </c>
      <c r="M299" s="3" t="n">
        <v>60.77</v>
      </c>
      <c r="N299" s="3" t="n">
        <v>13520.29</v>
      </c>
      <c r="O299" s="4" t="inlineStr">
        <is>
          <t>United States</t>
        </is>
      </c>
      <c r="P299" s="4" t="inlineStr">
        <is>
          <t>United States</t>
        </is>
      </c>
      <c r="Q299" s="4" t="inlineStr">
        <is>
          <t>Friendly</t>
        </is>
      </c>
      <c r="R299" s="3" t="n">
        <v>0.654</v>
      </c>
      <c r="S299" s="3" t="n">
        <v>-75654</v>
      </c>
      <c r="T299" s="4" t="inlineStr">
        <is>
          <t>Company Takeover</t>
        </is>
      </c>
      <c r="U299" s="2" t="inlineStr">
        <is>
          <t>No</t>
        </is>
      </c>
      <c r="V299" s="2" t="inlineStr">
        <is>
          <t>No</t>
        </is>
      </c>
      <c r="W299" s="2" t="inlineStr">
        <is>
          <t>No</t>
        </is>
      </c>
      <c r="X299" s="2" t="inlineStr">
        <is>
          <t>No</t>
        </is>
      </c>
      <c r="Y299" s="2" t="inlineStr">
        <is>
          <t>No</t>
        </is>
      </c>
      <c r="Z299" s="2" t="inlineStr">
        <is>
          <t>No</t>
        </is>
      </c>
      <c r="AA299" s="6" t="n">
        <v>4.08616008</v>
      </c>
      <c r="AB299" s="6" t="n">
        <v>-0.1844222517</v>
      </c>
      <c r="AC299" s="6" t="n">
        <v>4.130986007</v>
      </c>
      <c r="AD299">
        <f t="array" ref="AD299">IF(SUMPRODUCT(--($AM$2:$AM$112=TRIM(LEFT($B299,IFERROR(FIND(" ",$B299)-1,LEN($B299))))))&gt;0,1,0)</f>
        <v/>
      </c>
      <c r="AE299">
        <f t="array" ref="AE299">IF(SUMPRODUCT(--($AO$2:$AO$145=TRIM(LEFT($B299,IFERROR(FIND(" ",$B299)-1,LEN($B299))))))&gt;0,1,0)</f>
        <v/>
      </c>
      <c r="AF299">
        <f t="array" ref="AF299">IF(SUMPRODUCT(--($AQ$2:$AQ$71=TRIM(LEFT($B299,IFERROR(FIND(" ",$B299)-1,LEN($B299))))))&gt;0,1,0)</f>
        <v/>
      </c>
    </row>
    <row r="300" ht="135.75" customHeight="1" thickBot="1">
      <c r="A300" s="13" t="n">
        <v>67</v>
      </c>
      <c r="B300" s="4" t="inlineStr">
        <is>
          <t>AYX US</t>
        </is>
      </c>
      <c r="C300" s="2" t="n"/>
      <c r="D300" s="7" t="n">
        <v>45278</v>
      </c>
      <c r="E300" s="3" t="n">
        <v>4114.42</v>
      </c>
      <c r="F300" s="4" t="inlineStr">
        <is>
          <t>Cash</t>
        </is>
      </c>
      <c r="G300" s="4" t="n"/>
      <c r="H300" s="4" t="inlineStr">
        <is>
          <t>Technology</t>
        </is>
      </c>
      <c r="I300" s="4" t="inlineStr">
        <is>
          <t>Software &amp; Tech Services</t>
        </is>
      </c>
      <c r="J300" s="4" t="inlineStr">
        <is>
          <t>Software</t>
        </is>
      </c>
      <c r="K300" s="4" t="n"/>
      <c r="L300" s="4" t="n"/>
      <c r="M300" s="3" t="n">
        <v>15.91</v>
      </c>
      <c r="N300" s="3" t="n">
        <v>3463.42</v>
      </c>
      <c r="O300" s="4" t="inlineStr">
        <is>
          <t>United States</t>
        </is>
      </c>
      <c r="P300" s="4" t="inlineStr">
        <is>
          <t>United States</t>
        </is>
      </c>
      <c r="Q300" s="4" t="inlineStr">
        <is>
          <t>Friendly</t>
        </is>
      </c>
      <c r="R300" s="3" t="n">
        <v>970</v>
      </c>
      <c r="S300" s="3" t="n">
        <v>-17.0285</v>
      </c>
      <c r="T300" s="4" t="inlineStr">
        <is>
          <t>Going Private, Private Equity, Company Takeover, PE Buyout</t>
        </is>
      </c>
      <c r="U300" s="2" t="inlineStr">
        <is>
          <t>No</t>
        </is>
      </c>
      <c r="V300" s="2" t="inlineStr">
        <is>
          <t>No</t>
        </is>
      </c>
      <c r="W300" s="2" t="inlineStr">
        <is>
          <t>No</t>
        </is>
      </c>
      <c r="X300" s="2" t="inlineStr">
        <is>
          <t>Yes</t>
        </is>
      </c>
      <c r="Y300" s="2" t="inlineStr">
        <is>
          <t>Yes</t>
        </is>
      </c>
      <c r="Z300" s="2" t="inlineStr">
        <is>
          <t>No</t>
        </is>
      </c>
      <c r="AA300" s="6" t="n">
        <v>3.614308622</v>
      </c>
      <c r="AB300" s="6" t="n">
        <v>2.986771734</v>
      </c>
      <c r="AC300" s="6" t="n">
        <v>3.539505161</v>
      </c>
      <c r="AD300">
        <f t="array" ref="AD300">IF(SUMPRODUCT(--($AM$2:$AM$112=TRIM(LEFT($B300,IFERROR(FIND(" ",$B300)-1,LEN($B300))))))&gt;0,1,0)</f>
        <v/>
      </c>
      <c r="AE300">
        <f t="array" ref="AE300">IF(SUMPRODUCT(--($AO$2:$AO$145=TRIM(LEFT($B300,IFERROR(FIND(" ",$B300)-1,LEN($B300))))))&gt;0,1,0)</f>
        <v/>
      </c>
      <c r="AF300">
        <f t="array" ref="AF300">IF(SUMPRODUCT(--($AQ$2:$AQ$71=TRIM(LEFT($B300,IFERROR(FIND(" ",$B300)-1,LEN($B300))))))&gt;0,1,0)</f>
        <v/>
      </c>
    </row>
    <row r="301" ht="60.75" customHeight="1" thickBot="1">
      <c r="A301" s="13" t="n">
        <v>158</v>
      </c>
      <c r="B301" s="4" t="inlineStr">
        <is>
          <t>SOVO US</t>
        </is>
      </c>
      <c r="C301" s="4" t="inlineStr">
        <is>
          <t>CPB US</t>
        </is>
      </c>
      <c r="D301" s="7" t="n">
        <v>45145</v>
      </c>
      <c r="E301" s="3" t="n">
        <v>2689.37</v>
      </c>
      <c r="F301" s="4" t="inlineStr">
        <is>
          <t>Cash</t>
        </is>
      </c>
      <c r="G301" s="4" t="n"/>
      <c r="H301" s="4" t="inlineStr">
        <is>
          <t>Industrials</t>
        </is>
      </c>
      <c r="I301" s="4" t="inlineStr">
        <is>
          <t>Industrial Services</t>
        </is>
      </c>
      <c r="J301" s="4" t="inlineStr">
        <is>
          <t>Commercial Support Services</t>
        </is>
      </c>
      <c r="K301" s="3" t="n">
        <v>145</v>
      </c>
      <c r="L301" s="3" t="n">
        <v>71.3</v>
      </c>
      <c r="M301" s="3" t="n">
        <v>25.02</v>
      </c>
      <c r="N301" s="3" t="n">
        <v>2328.21</v>
      </c>
      <c r="O301" s="4" t="inlineStr">
        <is>
          <t>United States</t>
        </is>
      </c>
      <c r="P301" s="4" t="inlineStr">
        <is>
          <t>United States</t>
        </is>
      </c>
      <c r="Q301" s="4" t="inlineStr">
        <is>
          <t>Friendly</t>
        </is>
      </c>
      <c r="R301" s="3" t="n">
        <v>1020.42</v>
      </c>
      <c r="S301" s="3" t="n">
        <v>7.89498</v>
      </c>
      <c r="T301" s="4" t="inlineStr">
        <is>
          <t>Company Takeover</t>
        </is>
      </c>
      <c r="U301" s="2" t="inlineStr">
        <is>
          <t>No</t>
        </is>
      </c>
      <c r="V301" s="2" t="inlineStr">
        <is>
          <t>No</t>
        </is>
      </c>
      <c r="W301" s="2" t="inlineStr">
        <is>
          <t>No</t>
        </is>
      </c>
      <c r="X301" s="2" t="inlineStr">
        <is>
          <t>No</t>
        </is>
      </c>
      <c r="Y301" s="2" t="inlineStr">
        <is>
          <t>No</t>
        </is>
      </c>
      <c r="Z301" s="2" t="inlineStr">
        <is>
          <t>No</t>
        </is>
      </c>
      <c r="AA301" s="6" t="n">
        <v>3.429650556</v>
      </c>
      <c r="AB301" s="6" t="n">
        <v>3.008778962</v>
      </c>
      <c r="AC301" s="6" t="n">
        <v>3.36702215</v>
      </c>
      <c r="AD301">
        <f t="array" ref="AD301">IF(SUMPRODUCT(--($AM$2:$AM$112=TRIM(LEFT($B301,IFERROR(FIND(" ",$B301)-1,LEN($B301))))))&gt;0,1,0)</f>
        <v/>
      </c>
      <c r="AE301">
        <f t="array" ref="AE301">IF(SUMPRODUCT(--($AO$2:$AO$145=TRIM(LEFT($B301,IFERROR(FIND(" ",$B301)-1,LEN($B301))))))&gt;0,1,0)</f>
        <v/>
      </c>
      <c r="AF301">
        <f t="array" ref="AF301">IF(SUMPRODUCT(--($AQ$2:$AQ$71=TRIM(LEFT($B301,IFERROR(FIND(" ",$B301)-1,LEN($B301))))))&gt;0,1,0)</f>
        <v/>
      </c>
    </row>
    <row r="302" ht="45.75" customHeight="1" thickBot="1">
      <c r="A302" s="13" t="n">
        <v>45</v>
      </c>
      <c r="B302" s="4" t="inlineStr">
        <is>
          <t>AMAM US</t>
        </is>
      </c>
      <c r="C302" s="4" t="inlineStr">
        <is>
          <t>JNJ US</t>
        </is>
      </c>
      <c r="D302" s="7" t="n">
        <v>45299</v>
      </c>
      <c r="E302" s="3" t="n">
        <v>1544.13</v>
      </c>
      <c r="F302" s="4" t="inlineStr">
        <is>
          <t>Cash</t>
        </is>
      </c>
      <c r="G302" s="4" t="n"/>
      <c r="H302" s="4" t="inlineStr">
        <is>
          <t>Health Care</t>
        </is>
      </c>
      <c r="I302" s="4" t="inlineStr">
        <is>
          <t>Health Care</t>
        </is>
      </c>
      <c r="J302" s="4" t="inlineStr">
        <is>
          <t>Biotech &amp; Pharma</t>
        </is>
      </c>
      <c r="K302" s="4" t="n"/>
      <c r="L302" s="4" t="n"/>
      <c r="M302" s="3" t="n">
        <v>102.42</v>
      </c>
      <c r="N302" s="3" t="n">
        <v>1768.21</v>
      </c>
      <c r="O302" s="4" t="inlineStr">
        <is>
          <t>United States</t>
        </is>
      </c>
      <c r="P302" s="4" t="inlineStr">
        <is>
          <t>United States</t>
        </is>
      </c>
      <c r="Q302" s="4" t="inlineStr">
        <is>
          <t>Friendly</t>
        </is>
      </c>
      <c r="R302" s="3" t="n">
        <v>7.402</v>
      </c>
      <c r="S302" s="2" t="n"/>
      <c r="T302" s="4" t="inlineStr">
        <is>
          <t>Company Takeover</t>
        </is>
      </c>
      <c r="U302" s="2" t="inlineStr">
        <is>
          <t>No</t>
        </is>
      </c>
      <c r="V302" s="2" t="inlineStr">
        <is>
          <t>No</t>
        </is>
      </c>
      <c r="W302" s="2" t="inlineStr">
        <is>
          <t>No</t>
        </is>
      </c>
      <c r="X302" s="2" t="inlineStr">
        <is>
          <t>No</t>
        </is>
      </c>
      <c r="Y302" s="2" t="inlineStr">
        <is>
          <t>No</t>
        </is>
      </c>
      <c r="Z302" s="2" t="inlineStr">
        <is>
          <t>No</t>
        </is>
      </c>
      <c r="AA302" s="6" t="n">
        <v>3.188683861</v>
      </c>
      <c r="AB302" s="6" t="n">
        <v>0.8693490808</v>
      </c>
      <c r="AC302" s="6" t="n">
        <v>3.247533842</v>
      </c>
      <c r="AD302">
        <f t="array" ref="AD302">IF(SUMPRODUCT(--($AM$2:$AM$112=TRIM(LEFT($B302,IFERROR(FIND(" ",$B302)-1,LEN($B302))))))&gt;0,1,0)</f>
        <v/>
      </c>
      <c r="AE302">
        <f t="array" ref="AE302">IF(SUMPRODUCT(--($AO$2:$AO$145=TRIM(LEFT($B302,IFERROR(FIND(" ",$B302)-1,LEN($B302))))))&gt;0,1,0)</f>
        <v/>
      </c>
      <c r="AF302">
        <f t="array" ref="AF302">IF(SUMPRODUCT(--($AQ$2:$AQ$71=TRIM(LEFT($B302,IFERROR(FIND(" ",$B302)-1,LEN($B302))))))&gt;0,1,0)</f>
        <v/>
      </c>
    </row>
    <row r="303" ht="45.75" customHeight="1" thickBot="1">
      <c r="A303" s="13" t="n">
        <v>261</v>
      </c>
      <c r="B303" s="4" t="inlineStr">
        <is>
          <t>ENGH US</t>
        </is>
      </c>
      <c r="C303" s="4" t="inlineStr">
        <is>
          <t>VST US</t>
        </is>
      </c>
      <c r="D303" s="7" t="n">
        <v>44991</v>
      </c>
      <c r="E303" s="3" t="n">
        <v>6763</v>
      </c>
      <c r="F303" s="4" t="inlineStr">
        <is>
          <t>Cash or Stock</t>
        </is>
      </c>
      <c r="G303" s="4" t="n"/>
      <c r="H303" s="4" t="inlineStr">
        <is>
          <t>Utilities</t>
        </is>
      </c>
      <c r="I303" s="4" t="inlineStr">
        <is>
          <t>Utilities</t>
        </is>
      </c>
      <c r="J303" s="4" t="inlineStr">
        <is>
          <t>Electric Utilities</t>
        </is>
      </c>
      <c r="K303" s="4" t="n"/>
      <c r="L303" s="4" t="n"/>
      <c r="M303" s="4" t="n"/>
      <c r="N303" s="3" t="n">
        <v>6333</v>
      </c>
      <c r="O303" s="4" t="inlineStr">
        <is>
          <t>United States</t>
        </is>
      </c>
      <c r="P303" s="4" t="inlineStr">
        <is>
          <t>United States</t>
        </is>
      </c>
      <c r="Q303" s="4" t="inlineStr">
        <is>
          <t>Friendly</t>
        </is>
      </c>
      <c r="R303" s="2" t="n"/>
      <c r="S303" s="2" t="n"/>
      <c r="T303" s="4" t="inlineStr">
        <is>
          <t>Company Takeover</t>
        </is>
      </c>
      <c r="U303" s="2" t="inlineStr">
        <is>
          <t>No</t>
        </is>
      </c>
      <c r="V303" s="2" t="inlineStr">
        <is>
          <t>No</t>
        </is>
      </c>
      <c r="W303" s="2" t="inlineStr">
        <is>
          <t>No</t>
        </is>
      </c>
      <c r="X303" s="2" t="inlineStr">
        <is>
          <t>No</t>
        </is>
      </c>
      <c r="Y303" s="2" t="inlineStr">
        <is>
          <t>No</t>
        </is>
      </c>
      <c r="Z303" s="2" t="inlineStr">
        <is>
          <t>No</t>
        </is>
      </c>
      <c r="AA303" s="6" t="n">
        <v>3.830139387</v>
      </c>
      <c r="AB303" s="2" t="n"/>
      <c r="AC303" s="6" t="n">
        <v>3.801609488</v>
      </c>
      <c r="AD303">
        <f t="array" ref="AD303">IF(SUMPRODUCT(--($AM$2:$AM$112=TRIM(LEFT($B303,IFERROR(FIND(" ",$B303)-1,LEN($B303))))))&gt;0,1,0)</f>
        <v/>
      </c>
      <c r="AE303">
        <f t="array" ref="AE303">IF(SUMPRODUCT(--($AO$2:$AO$145=TRIM(LEFT($B303,IFERROR(FIND(" ",$B303)-1,LEN($B303))))))&gt;0,1,0)</f>
        <v/>
      </c>
      <c r="AF303">
        <f t="array" ref="AF303">IF(SUMPRODUCT(--($AQ$2:$AQ$71=TRIM(LEFT($B303,IFERROR(FIND(" ",$B303)-1,LEN($B303))))))&gt;0,1,0)</f>
        <v/>
      </c>
    </row>
    <row r="304" ht="45.75" customHeight="1" thickBot="1">
      <c r="A304" s="13" t="n">
        <v>90</v>
      </c>
      <c r="B304" s="4" t="inlineStr">
        <is>
          <t>2392595D US</t>
        </is>
      </c>
      <c r="C304" s="4" t="inlineStr">
        <is>
          <t>DOC US</t>
        </is>
      </c>
      <c r="D304" s="7" t="n">
        <v>45229</v>
      </c>
      <c r="E304" s="3" t="n">
        <v>4631.56</v>
      </c>
      <c r="F304" s="4" t="inlineStr">
        <is>
          <t>Stock</t>
        </is>
      </c>
      <c r="G304" s="3" t="n">
        <v>14.48</v>
      </c>
      <c r="H304" s="4" t="inlineStr">
        <is>
          <t>Real Estate</t>
        </is>
      </c>
      <c r="I304" s="4" t="inlineStr">
        <is>
          <t>Real Estate</t>
        </is>
      </c>
      <c r="J304" s="4" t="inlineStr">
        <is>
          <t>REIT</t>
        </is>
      </c>
      <c r="K304" s="4" t="n"/>
      <c r="L304" s="4" t="n"/>
      <c r="M304" s="3" t="n">
        <v>0.9399999999999999</v>
      </c>
      <c r="N304" s="3" t="n">
        <v>2764.92</v>
      </c>
      <c r="O304" s="4" t="inlineStr">
        <is>
          <t>United States</t>
        </is>
      </c>
      <c r="P304" s="4" t="inlineStr">
        <is>
          <t>United States</t>
        </is>
      </c>
      <c r="Q304" s="4" t="inlineStr">
        <is>
          <t>Friendly</t>
        </is>
      </c>
      <c r="R304" s="3" t="n">
        <v>543.463</v>
      </c>
      <c r="S304" s="3" t="n">
        <v>22.8205</v>
      </c>
      <c r="T304" s="4" t="inlineStr">
        <is>
          <t>Company Takeover</t>
        </is>
      </c>
      <c r="U304" s="2" t="inlineStr">
        <is>
          <t>No</t>
        </is>
      </c>
      <c r="V304" s="2" t="inlineStr">
        <is>
          <t>No</t>
        </is>
      </c>
      <c r="W304" s="2" t="inlineStr">
        <is>
          <t>No</t>
        </is>
      </c>
      <c r="X304" s="2" t="inlineStr">
        <is>
          <t>No</t>
        </is>
      </c>
      <c r="Y304" s="2" t="inlineStr">
        <is>
          <t>No</t>
        </is>
      </c>
      <c r="Z304" s="2" t="inlineStr">
        <is>
          <t>No</t>
        </is>
      </c>
      <c r="AA304" s="6" t="n">
        <v>3.665727295</v>
      </c>
      <c r="AB304" s="6" t="n">
        <v>2.735169982</v>
      </c>
      <c r="AC304" s="6" t="n">
        <v>3.44168257</v>
      </c>
      <c r="AD304">
        <f t="array" ref="AD304">IF(SUMPRODUCT(--($AM$2:$AM$112=TRIM(LEFT($B304,IFERROR(FIND(" ",$B304)-1,LEN($B304))))))&gt;0,1,0)</f>
        <v/>
      </c>
      <c r="AE304">
        <f t="array" ref="AE304">IF(SUMPRODUCT(--($AO$2:$AO$145=TRIM(LEFT($B304,IFERROR(FIND(" ",$B304)-1,LEN($B304))))))&gt;0,1,0)</f>
        <v/>
      </c>
      <c r="AF304">
        <f t="array" ref="AF304">IF(SUMPRODUCT(--($AQ$2:$AQ$71=TRIM(LEFT($B304,IFERROR(FIND(" ",$B304)-1,LEN($B304))))))&gt;0,1,0)</f>
        <v/>
      </c>
    </row>
    <row r="305" ht="45.75" customHeight="1" thickBot="1">
      <c r="A305" s="13" t="n">
        <v>340</v>
      </c>
      <c r="B305" s="4" t="inlineStr">
        <is>
          <t>LBC US</t>
        </is>
      </c>
      <c r="C305" s="4" t="inlineStr">
        <is>
          <t>WAFD US</t>
        </is>
      </c>
      <c r="D305" s="7" t="n">
        <v>44878</v>
      </c>
      <c r="E305" s="3" t="n">
        <v>646.2</v>
      </c>
      <c r="F305" s="4" t="inlineStr">
        <is>
          <t>Stock</t>
        </is>
      </c>
      <c r="G305" s="4" t="n"/>
      <c r="H305" s="4" t="inlineStr">
        <is>
          <t>Financials</t>
        </is>
      </c>
      <c r="I305" s="4" t="inlineStr">
        <is>
          <t>Banking</t>
        </is>
      </c>
      <c r="J305" s="4" t="inlineStr">
        <is>
          <t>Banking</t>
        </is>
      </c>
      <c r="K305" s="4" t="n"/>
      <c r="L305" s="4" t="n"/>
      <c r="M305" s="3" t="n">
        <v>4.35</v>
      </c>
      <c r="N305" s="3" t="n">
        <v>646.2</v>
      </c>
      <c r="O305" s="4" t="inlineStr">
        <is>
          <t>United States</t>
        </is>
      </c>
      <c r="P305" s="4" t="inlineStr">
        <is>
          <t>United States</t>
        </is>
      </c>
      <c r="Q305" s="4" t="inlineStr">
        <is>
          <t>Friendly</t>
        </is>
      </c>
      <c r="R305" s="3" t="n">
        <v>262.613</v>
      </c>
      <c r="S305" s="3" t="n">
        <v>41.6291</v>
      </c>
      <c r="T305" s="4" t="inlineStr">
        <is>
          <t>Company Takeover</t>
        </is>
      </c>
      <c r="U305" s="2" t="inlineStr">
        <is>
          <t>No</t>
        </is>
      </c>
      <c r="V305" s="2" t="inlineStr">
        <is>
          <t>No</t>
        </is>
      </c>
      <c r="W305" s="2" t="inlineStr">
        <is>
          <t>No</t>
        </is>
      </c>
      <c r="X305" s="2" t="inlineStr">
        <is>
          <t>No</t>
        </is>
      </c>
      <c r="Y305" s="2" t="inlineStr">
        <is>
          <t>No</t>
        </is>
      </c>
      <c r="Z305" s="2" t="inlineStr">
        <is>
          <t>No</t>
        </is>
      </c>
      <c r="AA305" s="6" t="n">
        <v>2.810366954</v>
      </c>
      <c r="AB305" s="6" t="n">
        <v>2.419316221</v>
      </c>
      <c r="AC305" s="6" t="n">
        <v>2.810366954</v>
      </c>
      <c r="AD305">
        <f t="array" ref="AD305">IF(SUMPRODUCT(--($AM$2:$AM$112=TRIM(LEFT($B305,IFERROR(FIND(" ",$B305)-1,LEN($B305))))))&gt;0,1,0)</f>
        <v/>
      </c>
      <c r="AE305">
        <f t="array" ref="AE305">IF(SUMPRODUCT(--($AO$2:$AO$145=TRIM(LEFT($B305,IFERROR(FIND(" ",$B305)-1,LEN($B305))))))&gt;0,1,0)</f>
        <v/>
      </c>
      <c r="AF305">
        <f t="array" ref="AF305">IF(SUMPRODUCT(--($AQ$2:$AQ$71=TRIM(LEFT($B305,IFERROR(FIND(" ",$B305)-1,LEN($B305))))))&gt;0,1,0)</f>
        <v/>
      </c>
    </row>
    <row r="306" ht="135.75" customHeight="1" thickBot="1">
      <c r="A306" s="13" t="n">
        <v>66</v>
      </c>
      <c r="B306" s="4" t="inlineStr">
        <is>
          <t>ROVR US</t>
        </is>
      </c>
      <c r="C306" s="4" t="inlineStr">
        <is>
          <t>BX US</t>
        </is>
      </c>
      <c r="D306" s="7" t="n">
        <v>45259</v>
      </c>
      <c r="E306" s="3" t="n">
        <v>1792.35</v>
      </c>
      <c r="F306" s="4" t="inlineStr">
        <is>
          <t>Cash</t>
        </is>
      </c>
      <c r="G306" s="4" t="n"/>
      <c r="H306" s="4" t="inlineStr">
        <is>
          <t>Communications</t>
        </is>
      </c>
      <c r="I306" s="4" t="inlineStr">
        <is>
          <t>Media</t>
        </is>
      </c>
      <c r="J306" s="4" t="inlineStr">
        <is>
          <t>Internet Media &amp; Services</t>
        </is>
      </c>
      <c r="K306" s="4" t="n"/>
      <c r="L306" s="4" t="n"/>
      <c r="M306" s="3" t="n">
        <v>41.63</v>
      </c>
      <c r="N306" s="3" t="n">
        <v>1973.75</v>
      </c>
      <c r="O306" s="4" t="inlineStr">
        <is>
          <t>United States</t>
        </is>
      </c>
      <c r="P306" s="4" t="inlineStr">
        <is>
          <t>United States</t>
        </is>
      </c>
      <c r="Q306" s="4" t="inlineStr">
        <is>
          <t>Friendly</t>
        </is>
      </c>
      <c r="R306" s="3" t="n">
        <v>174.01</v>
      </c>
      <c r="S306" s="3" t="n">
        <v>-0.772257</v>
      </c>
      <c r="T306" s="4" t="inlineStr">
        <is>
          <t>Private Equity, PE Buyout, Company Takeover, Going Private</t>
        </is>
      </c>
      <c r="U306" s="2" t="inlineStr">
        <is>
          <t>No</t>
        </is>
      </c>
      <c r="V306" s="2" t="inlineStr">
        <is>
          <t>No</t>
        </is>
      </c>
      <c r="W306" s="2" t="inlineStr">
        <is>
          <t>No</t>
        </is>
      </c>
      <c r="X306" s="2" t="inlineStr">
        <is>
          <t>Yes</t>
        </is>
      </c>
      <c r="Y306" s="2" t="inlineStr">
        <is>
          <t>Yes</t>
        </is>
      </c>
      <c r="Z306" s="2" t="inlineStr">
        <is>
          <t>No</t>
        </is>
      </c>
      <c r="AA306" s="6" t="n">
        <v>3.25342282</v>
      </c>
      <c r="AB306" s="6" t="n">
        <v>2.240574207</v>
      </c>
      <c r="AC306" s="6" t="n">
        <v>3.295292143</v>
      </c>
      <c r="AD306">
        <f t="array" ref="AD306">IF(SUMPRODUCT(--($AM$2:$AM$112=TRIM(LEFT($B306,IFERROR(FIND(" ",$B306)-1,LEN($B306))))))&gt;0,1,0)</f>
        <v/>
      </c>
      <c r="AE306">
        <f t="array" ref="AE306">IF(SUMPRODUCT(--($AO$2:$AO$145=TRIM(LEFT($B306,IFERROR(FIND(" ",$B306)-1,LEN($B306))))))&gt;0,1,0)</f>
        <v/>
      </c>
      <c r="AF306">
        <f t="array" ref="AF306">IF(SUMPRODUCT(--($AQ$2:$AQ$71=TRIM(LEFT($B306,IFERROR(FIND(" ",$B306)-1,LEN($B306))))))&gt;0,1,0)</f>
        <v/>
      </c>
    </row>
    <row r="307" ht="75.75" customHeight="1" thickBot="1">
      <c r="A307" s="13" t="n">
        <v>46</v>
      </c>
      <c r="B307" s="4" t="inlineStr">
        <is>
          <t>RYZB US</t>
        </is>
      </c>
      <c r="C307" s="4" t="inlineStr">
        <is>
          <t>BMY US</t>
        </is>
      </c>
      <c r="D307" s="7" t="n">
        <v>45286</v>
      </c>
      <c r="E307" s="3" t="n">
        <v>3214.52</v>
      </c>
      <c r="F307" s="4" t="inlineStr">
        <is>
          <t>Cash</t>
        </is>
      </c>
      <c r="G307" s="4" t="n"/>
      <c r="H307" s="4" t="inlineStr">
        <is>
          <t>Health Care</t>
        </is>
      </c>
      <c r="I307" s="4" t="inlineStr">
        <is>
          <t>Health Care</t>
        </is>
      </c>
      <c r="J307" s="4" t="inlineStr">
        <is>
          <t>Biotech &amp; Pharma</t>
        </is>
      </c>
      <c r="K307" s="4" t="n"/>
      <c r="L307" s="4" t="n"/>
      <c r="M307" s="3" t="n">
        <v>144.03</v>
      </c>
      <c r="N307" s="3" t="n">
        <v>3744.97</v>
      </c>
      <c r="O307" s="4" t="inlineStr">
        <is>
          <t>United States</t>
        </is>
      </c>
      <c r="P307" s="4" t="inlineStr">
        <is>
          <t>United States</t>
        </is>
      </c>
      <c r="Q307" s="4" t="inlineStr">
        <is>
          <t>Friendly</t>
        </is>
      </c>
      <c r="R307" s="2" t="n"/>
      <c r="S307" s="2" t="n"/>
      <c r="T307" s="4" t="inlineStr">
        <is>
          <t>Tender Offer, Company Takeover</t>
        </is>
      </c>
      <c r="U307" s="2" t="inlineStr">
        <is>
          <t>No</t>
        </is>
      </c>
      <c r="V307" s="2" t="inlineStr">
        <is>
          <t>No</t>
        </is>
      </c>
      <c r="W307" s="2" t="inlineStr">
        <is>
          <t>No</t>
        </is>
      </c>
      <c r="X307" s="2" t="inlineStr">
        <is>
          <t>No</t>
        </is>
      </c>
      <c r="Y307" s="2" t="inlineStr">
        <is>
          <t>No</t>
        </is>
      </c>
      <c r="Z307" s="2" t="inlineStr">
        <is>
          <t>Yes</t>
        </is>
      </c>
      <c r="AA307" s="6" t="n">
        <v>3.507116132</v>
      </c>
      <c r="AB307" s="2" t="n"/>
      <c r="AC307" s="6" t="n">
        <v>3.573448343</v>
      </c>
      <c r="AD307">
        <f t="array" ref="AD307">IF(SUMPRODUCT(--($AM$2:$AM$112=TRIM(LEFT($B307,IFERROR(FIND(" ",$B307)-1,LEN($B307))))))&gt;0,1,0)</f>
        <v/>
      </c>
      <c r="AE307">
        <f t="array" ref="AE307">IF(SUMPRODUCT(--($AO$2:$AO$145=TRIM(LEFT($B307,IFERROR(FIND(" ",$B307)-1,LEN($B307))))))&gt;0,1,0)</f>
        <v/>
      </c>
      <c r="AF307">
        <f t="array" ref="AF307">IF(SUMPRODUCT(--($AQ$2:$AQ$71=TRIM(LEFT($B307,IFERROR(FIND(" ",$B307)-1,LEN($B307))))))&gt;0,1,0)</f>
        <v/>
      </c>
    </row>
    <row r="308" ht="75.75" customHeight="1" thickBot="1">
      <c r="A308" s="13" t="n">
        <v>52</v>
      </c>
      <c r="B308" s="4" t="inlineStr">
        <is>
          <t>ICVX US</t>
        </is>
      </c>
      <c r="C308" s="4" t="inlineStr">
        <is>
          <t>AZN LN</t>
        </is>
      </c>
      <c r="D308" s="7" t="n">
        <v>45272</v>
      </c>
      <c r="E308" s="3" t="n">
        <v>541.84</v>
      </c>
      <c r="F308" s="4" t="inlineStr">
        <is>
          <t>Cash</t>
        </is>
      </c>
      <c r="G308" s="4" t="n"/>
      <c r="H308" s="4" t="inlineStr">
        <is>
          <t>Health Care</t>
        </is>
      </c>
      <c r="I308" s="4" t="inlineStr">
        <is>
          <t>Health Care</t>
        </is>
      </c>
      <c r="J308" s="4" t="inlineStr">
        <is>
          <t>Biotech &amp; Pharma</t>
        </is>
      </c>
      <c r="K308" s="4" t="n"/>
      <c r="L308" s="4" t="n"/>
      <c r="M308" s="3" t="n">
        <v>48.51</v>
      </c>
      <c r="N308" s="3" t="n">
        <v>751.36</v>
      </c>
      <c r="O308" s="4" t="inlineStr">
        <is>
          <t>United States</t>
        </is>
      </c>
      <c r="P308" s="4" t="inlineStr">
        <is>
          <t>United Kingdom</t>
        </is>
      </c>
      <c r="Q308" s="4" t="inlineStr">
        <is>
          <t>Friendly</t>
        </is>
      </c>
      <c r="R308" s="3" t="n">
        <v>0.582</v>
      </c>
      <c r="S308" s="3" t="n">
        <v>-16333</v>
      </c>
      <c r="T308" s="4" t="inlineStr">
        <is>
          <t>Tender Offer, Company Takeover</t>
        </is>
      </c>
      <c r="U308" s="2" t="inlineStr">
        <is>
          <t>No</t>
        </is>
      </c>
      <c r="V308" s="2" t="inlineStr">
        <is>
          <t>No</t>
        </is>
      </c>
      <c r="W308" s="2" t="inlineStr">
        <is>
          <t>No</t>
        </is>
      </c>
      <c r="X308" s="2" t="inlineStr">
        <is>
          <t>No</t>
        </is>
      </c>
      <c r="Y308" s="2" t="inlineStr">
        <is>
          <t>No</t>
        </is>
      </c>
      <c r="Z308" s="2" t="inlineStr">
        <is>
          <t>Yes</t>
        </is>
      </c>
      <c r="AA308" s="6" t="n">
        <v>2.733871063</v>
      </c>
      <c r="AB308" s="6" t="n">
        <v>-0.2350770154</v>
      </c>
      <c r="AC308" s="6" t="n">
        <v>2.875848071</v>
      </c>
      <c r="AD308">
        <f t="array" ref="AD308">IF(SUMPRODUCT(--($AM$2:$AM$112=TRIM(LEFT($B308,IFERROR(FIND(" ",$B308)-1,LEN($B308))))))&gt;0,1,0)</f>
        <v/>
      </c>
      <c r="AE308">
        <f t="array" ref="AE308">IF(SUMPRODUCT(--($AO$2:$AO$145=TRIM(LEFT($B308,IFERROR(FIND(" ",$B308)-1,LEN($B308))))))&gt;0,1,0)</f>
        <v/>
      </c>
      <c r="AF308">
        <f t="array" ref="AF308">IF(SUMPRODUCT(--($AQ$2:$AQ$71=TRIM(LEFT($B308,IFERROR(FIND(" ",$B308)-1,LEN($B308))))))&gt;0,1,0)</f>
        <v/>
      </c>
    </row>
    <row r="309" ht="75.75" customHeight="1" thickBot="1">
      <c r="A309" s="13" t="n">
        <v>1</v>
      </c>
      <c r="B309" s="4" t="inlineStr">
        <is>
          <t>PLCE US</t>
        </is>
      </c>
      <c r="C309" s="4" t="inlineStr">
        <is>
          <t>MEET JR</t>
        </is>
      </c>
      <c r="D309" s="7" t="n">
        <v>45341</v>
      </c>
      <c r="E309" s="3" t="n">
        <v>617.8200000000001</v>
      </c>
      <c r="F309" s="4" t="inlineStr">
        <is>
          <t>Cash</t>
        </is>
      </c>
      <c r="G309" s="3" t="n">
        <v>4.58</v>
      </c>
      <c r="H309" s="4" t="inlineStr">
        <is>
          <t>Consumer Discretionary</t>
        </is>
      </c>
      <c r="I309" s="4" t="inlineStr">
        <is>
          <t>Retail &amp; Whsle - Discretionary</t>
        </is>
      </c>
      <c r="J309" s="4" t="inlineStr">
        <is>
          <t>Retail - Discretionary</t>
        </is>
      </c>
      <c r="K309" s="4" t="n"/>
      <c r="L309" s="4" t="n"/>
      <c r="M309" s="4" t="n"/>
      <c r="N309" s="3" t="n">
        <v>80</v>
      </c>
      <c r="O309" s="4" t="inlineStr">
        <is>
          <t>United States</t>
        </is>
      </c>
      <c r="P309" s="4" t="inlineStr">
        <is>
          <t>Jordan</t>
        </is>
      </c>
      <c r="Q309" s="4" t="inlineStr">
        <is>
          <t>Friendly</t>
        </is>
      </c>
      <c r="R309" s="3" t="n">
        <v>1208.83</v>
      </c>
      <c r="S309" s="3" t="n">
        <v>-6.36874</v>
      </c>
      <c r="T309" s="4" t="inlineStr">
        <is>
          <t>Cross Border, Majority purchase</t>
        </is>
      </c>
      <c r="U309" s="2" t="inlineStr">
        <is>
          <t>No</t>
        </is>
      </c>
      <c r="V309" s="2" t="inlineStr">
        <is>
          <t>No</t>
        </is>
      </c>
      <c r="W309" s="2" t="inlineStr">
        <is>
          <t>Yes</t>
        </is>
      </c>
      <c r="X309" s="2" t="inlineStr">
        <is>
          <t>No</t>
        </is>
      </c>
      <c r="Y309" s="2" t="inlineStr">
        <is>
          <t>No</t>
        </is>
      </c>
      <c r="Z309" s="2" t="inlineStr">
        <is>
          <t>No</t>
        </is>
      </c>
      <c r="AA309" s="6" t="n">
        <v>2.790861963</v>
      </c>
      <c r="AB309" s="6" t="n">
        <v>3.08236523</v>
      </c>
      <c r="AC309" s="6" t="n">
        <v>1.903089987</v>
      </c>
      <c r="AD309">
        <f t="array" ref="AD309">IF(SUMPRODUCT(--($AM$2:$AM$112=TRIM(LEFT($B309,IFERROR(FIND(" ",$B309)-1,LEN($B309))))))&gt;0,1,0)</f>
        <v/>
      </c>
      <c r="AE309">
        <f t="array" ref="AE309">IF(SUMPRODUCT(--($AO$2:$AO$145=TRIM(LEFT($B309,IFERROR(FIND(" ",$B309)-1,LEN($B309))))))&gt;0,1,0)</f>
        <v/>
      </c>
      <c r="AF309">
        <f t="array" ref="AF309">IF(SUMPRODUCT(--($AQ$2:$AQ$71=TRIM(LEFT($B309,IFERROR(FIND(" ",$B309)-1,LEN($B309))))))&gt;0,1,0)</f>
        <v/>
      </c>
    </row>
    <row r="310" ht="45.75" customHeight="1" thickBot="1">
      <c r="A310" s="13" t="n">
        <v>54</v>
      </c>
      <c r="B310" s="4" t="inlineStr">
        <is>
          <t>IMGN US</t>
        </is>
      </c>
      <c r="C310" s="4" t="inlineStr">
        <is>
          <t>ABBV US</t>
        </is>
      </c>
      <c r="D310" s="7" t="n">
        <v>45260</v>
      </c>
      <c r="E310" s="3" t="n">
        <v>9018.17</v>
      </c>
      <c r="F310" s="4" t="inlineStr">
        <is>
          <t>Cash</t>
        </is>
      </c>
      <c r="G310" s="4" t="n"/>
      <c r="H310" s="4" t="inlineStr">
        <is>
          <t>Health Care</t>
        </is>
      </c>
      <c r="I310" s="4" t="inlineStr">
        <is>
          <t>Health Care</t>
        </is>
      </c>
      <c r="J310" s="4" t="inlineStr">
        <is>
          <t>Biotech &amp; Pharma</t>
        </is>
      </c>
      <c r="K310" s="4" t="n"/>
      <c r="L310" s="4" t="n"/>
      <c r="M310" s="3" t="n">
        <v>100.15</v>
      </c>
      <c r="N310" s="3" t="n">
        <v>9018.17</v>
      </c>
      <c r="O310" s="4" t="inlineStr">
        <is>
          <t>United States</t>
        </is>
      </c>
      <c r="P310" s="4" t="inlineStr">
        <is>
          <t>United States</t>
        </is>
      </c>
      <c r="Q310" s="4" t="inlineStr">
        <is>
          <t>Friendly</t>
        </is>
      </c>
      <c r="R310" s="3" t="n">
        <v>108.782</v>
      </c>
      <c r="S310" s="3" t="n">
        <v>-27.8794</v>
      </c>
      <c r="T310" s="4" t="inlineStr">
        <is>
          <t>Company Takeover</t>
        </is>
      </c>
      <c r="U310" s="2" t="inlineStr">
        <is>
          <t>No</t>
        </is>
      </c>
      <c r="V310" s="2" t="inlineStr">
        <is>
          <t>No</t>
        </is>
      </c>
      <c r="W310" s="2" t="inlineStr">
        <is>
          <t>No</t>
        </is>
      </c>
      <c r="X310" s="2" t="inlineStr">
        <is>
          <t>No</t>
        </is>
      </c>
      <c r="Y310" s="2" t="inlineStr">
        <is>
          <t>No</t>
        </is>
      </c>
      <c r="Z310" s="2" t="inlineStr">
        <is>
          <t>No</t>
        </is>
      </c>
      <c r="AA310" s="6" t="n">
        <v>3.955118418</v>
      </c>
      <c r="AB310" s="6" t="n">
        <v>2.036557039</v>
      </c>
      <c r="AC310" s="6" t="n">
        <v>3.955118418</v>
      </c>
      <c r="AD310">
        <f t="array" ref="AD310">IF(SUMPRODUCT(--($AM$2:$AM$112=TRIM(LEFT($B310,IFERROR(FIND(" ",$B310)-1,LEN($B310))))))&gt;0,1,0)</f>
        <v/>
      </c>
      <c r="AE310">
        <f t="array" ref="AE310">IF(SUMPRODUCT(--($AO$2:$AO$145=TRIM(LEFT($B310,IFERROR(FIND(" ",$B310)-1,LEN($B310))))))&gt;0,1,0)</f>
        <v/>
      </c>
      <c r="AF310">
        <f t="array" ref="AF310">IF(SUMPRODUCT(--($AQ$2:$AQ$71=TRIM(LEFT($B310,IFERROR(FIND(" ",$B310)-1,LEN($B310))))))&gt;0,1,0)</f>
        <v/>
      </c>
    </row>
    <row r="311" ht="45.75" customHeight="1" thickBot="1">
      <c r="A311" s="13" t="n">
        <v>666</v>
      </c>
      <c r="B311" s="4" t="inlineStr">
        <is>
          <t>STFR US</t>
        </is>
      </c>
      <c r="C311" s="4" t="inlineStr">
        <is>
          <t>IRT US</t>
        </is>
      </c>
      <c r="D311" s="7" t="n">
        <v>44403</v>
      </c>
      <c r="E311" s="3" t="n">
        <v>1899.94</v>
      </c>
      <c r="F311" s="4" t="inlineStr">
        <is>
          <t>Stock</t>
        </is>
      </c>
      <c r="G311" s="4" t="n"/>
      <c r="H311" s="4" t="inlineStr">
        <is>
          <t>Real Estate</t>
        </is>
      </c>
      <c r="I311" s="4" t="inlineStr">
        <is>
          <t>Real Estate</t>
        </is>
      </c>
      <c r="J311" s="4" t="inlineStr">
        <is>
          <t>REIT</t>
        </is>
      </c>
      <c r="K311" s="3" t="n">
        <v>74</v>
      </c>
      <c r="L311" s="3" t="n">
        <v>74</v>
      </c>
      <c r="M311" s="4" t="n"/>
      <c r="N311" s="3" t="n">
        <v>1899.94</v>
      </c>
      <c r="O311" s="4" t="inlineStr">
        <is>
          <t>United States</t>
        </is>
      </c>
      <c r="P311" s="4" t="inlineStr">
        <is>
          <t>United States</t>
        </is>
      </c>
      <c r="Q311" s="4" t="inlineStr">
        <is>
          <t>Friendly</t>
        </is>
      </c>
      <c r="R311" s="2" t="n"/>
      <c r="S311" s="2" t="n"/>
      <c r="T311" s="4" t="inlineStr">
        <is>
          <t>Company Takeover</t>
        </is>
      </c>
      <c r="U311" s="2" t="inlineStr">
        <is>
          <t>No</t>
        </is>
      </c>
      <c r="V311" s="2" t="inlineStr">
        <is>
          <t>No</t>
        </is>
      </c>
      <c r="W311" s="2" t="inlineStr">
        <is>
          <t>No</t>
        </is>
      </c>
      <c r="X311" s="2" t="inlineStr">
        <is>
          <t>No</t>
        </is>
      </c>
      <c r="Y311" s="2" t="inlineStr">
        <is>
          <t>No</t>
        </is>
      </c>
      <c r="Z311" s="2" t="inlineStr">
        <is>
          <t>No</t>
        </is>
      </c>
      <c r="AA311" s="6" t="n">
        <v>3.278739886</v>
      </c>
      <c r="AB311" s="2" t="n"/>
      <c r="AC311" s="6" t="n">
        <v>3.278739886</v>
      </c>
      <c r="AD311">
        <f t="array" ref="AD311">IF(SUMPRODUCT(--($AM$2:$AM$112=TRIM(LEFT($B311,IFERROR(FIND(" ",$B311)-1,LEN($B311))))))&gt;0,1,0)</f>
        <v/>
      </c>
      <c r="AE311">
        <f t="array" ref="AE311">IF(SUMPRODUCT(--($AO$2:$AO$145=TRIM(LEFT($B311,IFERROR(FIND(" ",$B311)-1,LEN($B311))))))&gt;0,1,0)</f>
        <v/>
      </c>
      <c r="AF311">
        <f t="array" ref="AF311">IF(SUMPRODUCT(--($AQ$2:$AQ$71=TRIM(LEFT($B311,IFERROR(FIND(" ",$B311)-1,LEN($B311))))))&gt;0,1,0)</f>
        <v/>
      </c>
    </row>
    <row r="312" ht="135.75" customHeight="1" thickBot="1">
      <c r="A312" s="13" t="n">
        <v>70</v>
      </c>
      <c r="B312" s="4" t="inlineStr">
        <is>
          <t>ESMT US</t>
        </is>
      </c>
      <c r="C312" s="4" t="inlineStr">
        <is>
          <t>389272Z US</t>
        </is>
      </c>
      <c r="D312" s="7" t="n">
        <v>45222</v>
      </c>
      <c r="E312" s="3" t="n">
        <v>3569.3</v>
      </c>
      <c r="F312" s="4" t="inlineStr">
        <is>
          <t>Cash</t>
        </is>
      </c>
      <c r="G312" s="3" t="n">
        <v>89.31</v>
      </c>
      <c r="H312" s="4" t="inlineStr">
        <is>
          <t>Technology</t>
        </is>
      </c>
      <c r="I312" s="4" t="inlineStr">
        <is>
          <t>Software &amp; Tech Services</t>
        </is>
      </c>
      <c r="J312" s="4" t="inlineStr">
        <is>
          <t>Software</t>
        </is>
      </c>
      <c r="K312" s="4" t="n"/>
      <c r="L312" s="3" t="n">
        <v>144.37</v>
      </c>
      <c r="M312" s="3" t="n">
        <v>17.32</v>
      </c>
      <c r="N312" s="3" t="n">
        <v>3849.29</v>
      </c>
      <c r="O312" s="4" t="inlineStr">
        <is>
          <t>United States</t>
        </is>
      </c>
      <c r="P312" s="4" t="inlineStr">
        <is>
          <t>United States</t>
        </is>
      </c>
      <c r="Q312" s="4" t="inlineStr">
        <is>
          <t>Friendly</t>
        </is>
      </c>
      <c r="R312" s="3" t="n">
        <v>303.92</v>
      </c>
      <c r="S312" s="3" t="n">
        <v>5.41524</v>
      </c>
      <c r="T312" s="4" t="inlineStr">
        <is>
          <t>Private Equity, Company Takeover, Going Private, PE Buyout</t>
        </is>
      </c>
      <c r="U312" s="2" t="inlineStr">
        <is>
          <t>No</t>
        </is>
      </c>
      <c r="V312" s="2" t="inlineStr">
        <is>
          <t>No</t>
        </is>
      </c>
      <c r="W312" s="2" t="inlineStr">
        <is>
          <t>No</t>
        </is>
      </c>
      <c r="X312" s="2" t="inlineStr">
        <is>
          <t>Yes</t>
        </is>
      </c>
      <c r="Y312" s="2" t="inlineStr">
        <is>
          <t>Yes</t>
        </is>
      </c>
      <c r="Z312" s="2" t="inlineStr">
        <is>
          <t>No</t>
        </is>
      </c>
      <c r="AA312" s="6" t="n">
        <v>3.552583052</v>
      </c>
      <c r="AB312" s="6" t="n">
        <v>2.482759281</v>
      </c>
      <c r="AC312" s="6" t="n">
        <v>3.585380631</v>
      </c>
      <c r="AD312">
        <f t="array" ref="AD312">IF(SUMPRODUCT(--($AM$2:$AM$112=TRIM(LEFT($B312,IFERROR(FIND(" ",$B312)-1,LEN($B312))))))&gt;0,1,0)</f>
        <v/>
      </c>
      <c r="AE312">
        <f t="array" ref="AE312">IF(SUMPRODUCT(--($AO$2:$AO$145=TRIM(LEFT($B312,IFERROR(FIND(" ",$B312)-1,LEN($B312))))))&gt;0,1,0)</f>
        <v/>
      </c>
      <c r="AF312">
        <f t="array" ref="AF312">IF(SUMPRODUCT(--($AQ$2:$AQ$71=TRIM(LEFT($B312,IFERROR(FIND(" ",$B312)-1,LEN($B312))))))&gt;0,1,0)</f>
        <v/>
      </c>
    </row>
    <row r="313" ht="45.75" customHeight="1" thickBot="1">
      <c r="A313" s="13" t="n">
        <v>78</v>
      </c>
      <c r="B313" s="4" t="inlineStr">
        <is>
          <t>MRTX US</t>
        </is>
      </c>
      <c r="C313" s="4" t="inlineStr">
        <is>
          <t>BMY US</t>
        </is>
      </c>
      <c r="D313" s="7" t="n">
        <v>45208</v>
      </c>
      <c r="E313" s="3" t="n">
        <v>3207.8</v>
      </c>
      <c r="F313" s="4" t="inlineStr">
        <is>
          <t>Cash</t>
        </is>
      </c>
      <c r="G313" s="4" t="n"/>
      <c r="H313" s="4" t="inlineStr">
        <is>
          <t>Health Care</t>
        </is>
      </c>
      <c r="I313" s="4" t="inlineStr">
        <is>
          <t>Health Care</t>
        </is>
      </c>
      <c r="J313" s="4" t="inlineStr">
        <is>
          <t>Biotech &amp; Pharma</t>
        </is>
      </c>
      <c r="K313" s="4" t="n"/>
      <c r="L313" s="4" t="n"/>
      <c r="M313" s="3" t="n">
        <v>43.6</v>
      </c>
      <c r="N313" s="3" t="n">
        <v>3944.51</v>
      </c>
      <c r="O313" s="4" t="inlineStr">
        <is>
          <t>United States</t>
        </is>
      </c>
      <c r="P313" s="4" t="inlineStr">
        <is>
          <t>United States</t>
        </is>
      </c>
      <c r="Q313" s="4" t="inlineStr">
        <is>
          <t>Friendly</t>
        </is>
      </c>
      <c r="R313" s="3" t="n">
        <v>12.436</v>
      </c>
      <c r="S313" s="3" t="n">
        <v>-2002.75</v>
      </c>
      <c r="T313" s="4" t="inlineStr">
        <is>
          <t>Company Takeover</t>
        </is>
      </c>
      <c r="U313" s="2" t="inlineStr">
        <is>
          <t>No</t>
        </is>
      </c>
      <c r="V313" s="2" t="inlineStr">
        <is>
          <t>No</t>
        </is>
      </c>
      <c r="W313" s="2" t="inlineStr">
        <is>
          <t>No</t>
        </is>
      </c>
      <c r="X313" s="2" t="inlineStr">
        <is>
          <t>No</t>
        </is>
      </c>
      <c r="Y313" s="2" t="inlineStr">
        <is>
          <t>No</t>
        </is>
      </c>
      <c r="Z313" s="2" t="inlineStr">
        <is>
          <t>No</t>
        </is>
      </c>
      <c r="AA313" s="6" t="n">
        <v>3.506207283</v>
      </c>
      <c r="AB313" s="6" t="n">
        <v>1.094680713</v>
      </c>
      <c r="AC313" s="6" t="n">
        <v>3.595993061</v>
      </c>
      <c r="AD313">
        <f t="array" ref="AD313">IF(SUMPRODUCT(--($AM$2:$AM$112=TRIM(LEFT($B313,IFERROR(FIND(" ",$B313)-1,LEN($B313))))))&gt;0,1,0)</f>
        <v/>
      </c>
      <c r="AE313">
        <f t="array" ref="AE313">IF(SUMPRODUCT(--($AO$2:$AO$145=TRIM(LEFT($B313,IFERROR(FIND(" ",$B313)-1,LEN($B313))))))&gt;0,1,0)</f>
        <v/>
      </c>
      <c r="AF313">
        <f t="array" ref="AF313">IF(SUMPRODUCT(--($AQ$2:$AQ$71=TRIM(LEFT($B313,IFERROR(FIND(" ",$B313)-1,LEN($B313))))))&gt;0,1,0)</f>
        <v/>
      </c>
    </row>
    <row r="314" ht="45.75" customHeight="1" thickBot="1">
      <c r="A314" s="13" t="n">
        <v>62</v>
      </c>
      <c r="B314" s="4" t="inlineStr">
        <is>
          <t>SRC US</t>
        </is>
      </c>
      <c r="C314" s="4" t="inlineStr">
        <is>
          <t>O US</t>
        </is>
      </c>
      <c r="D314" s="7" t="n">
        <v>45229</v>
      </c>
      <c r="E314" s="3" t="n">
        <v>9013.75</v>
      </c>
      <c r="F314" s="4" t="inlineStr">
        <is>
          <t>Stock</t>
        </is>
      </c>
      <c r="G314" s="3" t="n">
        <v>15.52</v>
      </c>
      <c r="H314" s="4" t="inlineStr">
        <is>
          <t>Real Estate</t>
        </is>
      </c>
      <c r="I314" s="4" t="inlineStr">
        <is>
          <t>Real Estate</t>
        </is>
      </c>
      <c r="J314" s="4" t="inlineStr">
        <is>
          <t>REIT</t>
        </is>
      </c>
      <c r="K314" s="3" t="n">
        <v>93.68000000000001</v>
      </c>
      <c r="L314" s="3" t="n">
        <v>173.97</v>
      </c>
      <c r="M314" s="3" t="n">
        <v>14.01</v>
      </c>
      <c r="N314" s="3" t="n">
        <v>5369.97</v>
      </c>
      <c r="O314" s="4" t="inlineStr">
        <is>
          <t>United States</t>
        </is>
      </c>
      <c r="P314" s="4" t="inlineStr">
        <is>
          <t>United States</t>
        </is>
      </c>
      <c r="Q314" s="4" t="inlineStr">
        <is>
          <t>Friendly</t>
        </is>
      </c>
      <c r="R314" s="3" t="n">
        <v>709.629</v>
      </c>
      <c r="S314" s="3" t="n">
        <v>37.6097</v>
      </c>
      <c r="T314" s="4" t="inlineStr">
        <is>
          <t>Company Takeover</t>
        </is>
      </c>
      <c r="U314" s="2" t="inlineStr">
        <is>
          <t>No</t>
        </is>
      </c>
      <c r="V314" s="2" t="inlineStr">
        <is>
          <t>No</t>
        </is>
      </c>
      <c r="W314" s="2" t="inlineStr">
        <is>
          <t>No</t>
        </is>
      </c>
      <c r="X314" s="2" t="inlineStr">
        <is>
          <t>No</t>
        </is>
      </c>
      <c r="Y314" s="2" t="inlineStr">
        <is>
          <t>No</t>
        </is>
      </c>
      <c r="Z314" s="2" t="inlineStr">
        <is>
          <t>No</t>
        </is>
      </c>
      <c r="AA314" s="6" t="n">
        <v>3.954905509</v>
      </c>
      <c r="AB314" s="6" t="n">
        <v>2.851031355</v>
      </c>
      <c r="AC314" s="6" t="n">
        <v>3.729971859</v>
      </c>
      <c r="AD314">
        <f t="array" ref="AD314">IF(SUMPRODUCT(--($AM$2:$AM$112=TRIM(LEFT($B314,IFERROR(FIND(" ",$B314)-1,LEN($B314))))))&gt;0,1,0)</f>
        <v/>
      </c>
      <c r="AE314">
        <f t="array" ref="AE314">IF(SUMPRODUCT(--($AO$2:$AO$145=TRIM(LEFT($B314,IFERROR(FIND(" ",$B314)-1,LEN($B314))))))&gt;0,1,0)</f>
        <v/>
      </c>
      <c r="AF314">
        <f t="array" ref="AF314">IF(SUMPRODUCT(--($AQ$2:$AQ$71=TRIM(LEFT($B314,IFERROR(FIND(" ",$B314)-1,LEN($B314))))))&gt;0,1,0)</f>
        <v/>
      </c>
    </row>
    <row r="315" ht="75.75" customHeight="1" thickBot="1">
      <c r="A315" s="13" t="n">
        <v>53</v>
      </c>
      <c r="B315" s="4" t="inlineStr">
        <is>
          <t>BVH US</t>
        </is>
      </c>
      <c r="C315" s="4" t="inlineStr">
        <is>
          <t>HGV US</t>
        </is>
      </c>
      <c r="D315" s="7" t="n">
        <v>45236</v>
      </c>
      <c r="E315" s="3" t="n">
        <v>1266.21</v>
      </c>
      <c r="F315" s="4" t="inlineStr">
        <is>
          <t>Cash</t>
        </is>
      </c>
      <c r="G315" s="4" t="n"/>
      <c r="H315" s="4" t="inlineStr">
        <is>
          <t>Consumer Discretionary</t>
        </is>
      </c>
      <c r="I315" s="4" t="inlineStr">
        <is>
          <t>Consumer Discretionary Services</t>
        </is>
      </c>
      <c r="J315" s="4" t="inlineStr">
        <is>
          <t>Leisure Facilities &amp; Services</t>
        </is>
      </c>
      <c r="K315" s="4" t="n"/>
      <c r="L315" s="4" t="n"/>
      <c r="M315" s="3" t="n">
        <v>123.95</v>
      </c>
      <c r="N315" s="3" t="n">
        <v>1003.02</v>
      </c>
      <c r="O315" s="4" t="inlineStr">
        <is>
          <t>United States</t>
        </is>
      </c>
      <c r="P315" s="4" t="inlineStr">
        <is>
          <t>United States</t>
        </is>
      </c>
      <c r="Q315" s="4" t="inlineStr">
        <is>
          <t>Friendly</t>
        </is>
      </c>
      <c r="R315" s="3" t="n">
        <v>919.429</v>
      </c>
      <c r="S315" s="3" t="n">
        <v>11.4925</v>
      </c>
      <c r="T315" s="4" t="inlineStr">
        <is>
          <t>Company Takeover</t>
        </is>
      </c>
      <c r="U315" s="2" t="inlineStr">
        <is>
          <t>No</t>
        </is>
      </c>
      <c r="V315" s="2" t="inlineStr">
        <is>
          <t>No</t>
        </is>
      </c>
      <c r="W315" s="2" t="inlineStr">
        <is>
          <t>No</t>
        </is>
      </c>
      <c r="X315" s="2" t="inlineStr">
        <is>
          <t>No</t>
        </is>
      </c>
      <c r="Y315" s="2" t="inlineStr">
        <is>
          <t>No</t>
        </is>
      </c>
      <c r="Z315" s="2" t="inlineStr">
        <is>
          <t>No</t>
        </is>
      </c>
      <c r="AA315" s="6" t="n">
        <v>3.102505739</v>
      </c>
      <c r="AB315" s="6" t="n">
        <v>2.963518198</v>
      </c>
      <c r="AC315" s="6" t="n">
        <v>3.001309593</v>
      </c>
      <c r="AD315">
        <f t="array" ref="AD315">IF(SUMPRODUCT(--($AM$2:$AM$112=TRIM(LEFT($B315,IFERROR(FIND(" ",$B315)-1,LEN($B315))))))&gt;0,1,0)</f>
        <v/>
      </c>
      <c r="AE315">
        <f t="array" ref="AE315">IF(SUMPRODUCT(--($AO$2:$AO$145=TRIM(LEFT($B315,IFERROR(FIND(" ",$B315)-1,LEN($B315))))))&gt;0,1,0)</f>
        <v/>
      </c>
      <c r="AF315">
        <f t="array" ref="AF315">IF(SUMPRODUCT(--($AQ$2:$AQ$71=TRIM(LEFT($B315,IFERROR(FIND(" ",$B315)-1,LEN($B315))))))&gt;0,1,0)</f>
        <v/>
      </c>
    </row>
    <row r="316" ht="165.75" customHeight="1" thickBot="1">
      <c r="A316" s="13" t="n">
        <v>61</v>
      </c>
      <c r="B316" s="4" t="inlineStr">
        <is>
          <t>LGT/A CN</t>
        </is>
      </c>
      <c r="C316" s="2" t="n"/>
      <c r="D316" s="7" t="n">
        <v>45215</v>
      </c>
      <c r="E316" s="3" t="n">
        <v>1006.47</v>
      </c>
      <c r="F316" s="4" t="inlineStr">
        <is>
          <t>Cash</t>
        </is>
      </c>
      <c r="G316" s="3" t="n">
        <v>7.39</v>
      </c>
      <c r="H316" s="4" t="inlineStr">
        <is>
          <t>Industrials</t>
        </is>
      </c>
      <c r="I316" s="4" t="inlineStr">
        <is>
          <t>Industrial Services</t>
        </is>
      </c>
      <c r="J316" s="4" t="inlineStr">
        <is>
          <t>Transportation &amp; Logistics</t>
        </is>
      </c>
      <c r="K316" s="3" t="n">
        <v>59</v>
      </c>
      <c r="L316" s="3" t="n">
        <v>32</v>
      </c>
      <c r="M316" s="4" t="n"/>
      <c r="N316" s="3" t="n">
        <v>631.0700000000001</v>
      </c>
      <c r="O316" s="4" t="inlineStr">
        <is>
          <t>Canada</t>
        </is>
      </c>
      <c r="P316" s="4" t="inlineStr">
        <is>
          <t>United States</t>
        </is>
      </c>
      <c r="Q316" s="4" t="inlineStr">
        <is>
          <t>Friendly</t>
        </is>
      </c>
      <c r="R316" s="3" t="n">
        <v>690.086</v>
      </c>
      <c r="S316" s="3" t="n">
        <v>6.39636</v>
      </c>
      <c r="T316" s="4" t="inlineStr">
        <is>
          <t>Going Private, Company Takeover, Private Equity, Cross Border, PE Buyout</t>
        </is>
      </c>
      <c r="U316" s="2" t="inlineStr">
        <is>
          <t>No</t>
        </is>
      </c>
      <c r="V316" s="2" t="inlineStr">
        <is>
          <t>No</t>
        </is>
      </c>
      <c r="W316" s="2" t="inlineStr">
        <is>
          <t>Yes</t>
        </is>
      </c>
      <c r="X316" s="2" t="inlineStr">
        <is>
          <t>Yes</t>
        </is>
      </c>
      <c r="Y316" s="2" t="inlineStr">
        <is>
          <t>Yes</t>
        </is>
      </c>
      <c r="Z316" s="2" t="inlineStr">
        <is>
          <t>No</t>
        </is>
      </c>
      <c r="AA316" s="6" t="n">
        <v>3.002800834</v>
      </c>
      <c r="AB316" s="6" t="n">
        <v>2.838903217</v>
      </c>
      <c r="AC316" s="6" t="n">
        <v>2.800077535</v>
      </c>
      <c r="AD316">
        <f t="array" ref="AD316">IF(SUMPRODUCT(--($AM$2:$AM$112=TRIM(LEFT($B316,IFERROR(FIND(" ",$B316)-1,LEN($B316))))))&gt;0,1,0)</f>
        <v/>
      </c>
      <c r="AE316">
        <f t="array" ref="AE316">IF(SUMPRODUCT(--($AO$2:$AO$145=TRIM(LEFT($B316,IFERROR(FIND(" ",$B316)-1,LEN($B316))))))&gt;0,1,0)</f>
        <v/>
      </c>
      <c r="AF316">
        <f t="array" ref="AF316">IF(SUMPRODUCT(--($AQ$2:$AQ$71=TRIM(LEFT($B316,IFERROR(FIND(" ",$B316)-1,LEN($B316))))))&gt;0,1,0)</f>
        <v/>
      </c>
    </row>
    <row r="317" ht="135.75" customHeight="1" thickBot="1">
      <c r="A317" s="13" t="n">
        <v>72</v>
      </c>
      <c r="B317" s="4" t="inlineStr">
        <is>
          <t>CHS US</t>
        </is>
      </c>
      <c r="C317" s="4" t="inlineStr">
        <is>
          <t>9875574Z US</t>
        </is>
      </c>
      <c r="D317" s="7" t="n">
        <v>45197</v>
      </c>
      <c r="E317" s="3" t="n">
        <v>1335.3</v>
      </c>
      <c r="F317" s="4" t="inlineStr">
        <is>
          <t>Cash</t>
        </is>
      </c>
      <c r="G317" s="3" t="n">
        <v>3.61</v>
      </c>
      <c r="H317" s="4" t="inlineStr">
        <is>
          <t>Consumer Discretionary</t>
        </is>
      </c>
      <c r="I317" s="4" t="inlineStr">
        <is>
          <t>Retail &amp; Whsle - Discretionary</t>
        </is>
      </c>
      <c r="J317" s="4" t="inlineStr">
        <is>
          <t>Retail - Discretionary</t>
        </is>
      </c>
      <c r="K317" s="4" t="n"/>
      <c r="L317" s="4" t="n"/>
      <c r="M317" s="3" t="n">
        <v>63.7</v>
      </c>
      <c r="N317" s="3" t="n">
        <v>938.13</v>
      </c>
      <c r="O317" s="4" t="inlineStr">
        <is>
          <t>United States</t>
        </is>
      </c>
      <c r="P317" s="4" t="inlineStr">
        <is>
          <t>United States</t>
        </is>
      </c>
      <c r="Q317" s="4" t="inlineStr">
        <is>
          <t>Friendly</t>
        </is>
      </c>
      <c r="R317" s="3" t="n">
        <v>2142.02</v>
      </c>
      <c r="S317" s="3" t="n">
        <v>5.56322</v>
      </c>
      <c r="T317" s="4" t="inlineStr">
        <is>
          <t>PE Buyout, Going Private, Private Equity, Company Takeover</t>
        </is>
      </c>
      <c r="U317" s="2" t="inlineStr">
        <is>
          <t>No</t>
        </is>
      </c>
      <c r="V317" s="2" t="inlineStr">
        <is>
          <t>No</t>
        </is>
      </c>
      <c r="W317" s="2" t="inlineStr">
        <is>
          <t>No</t>
        </is>
      </c>
      <c r="X317" s="2" t="inlineStr">
        <is>
          <t>Yes</t>
        </is>
      </c>
      <c r="Y317" s="2" t="inlineStr">
        <is>
          <t>Yes</t>
        </is>
      </c>
      <c r="Z317" s="2" t="inlineStr">
        <is>
          <t>No</t>
        </is>
      </c>
      <c r="AA317" s="6" t="n">
        <v>3.125578849</v>
      </c>
      <c r="AB317" s="6" t="n">
        <v>3.330823522</v>
      </c>
      <c r="AC317" s="6" t="n">
        <v>2.972263024</v>
      </c>
      <c r="AD317">
        <f t="array" ref="AD317">IF(SUMPRODUCT(--($AM$2:$AM$112=TRIM(LEFT($B317,IFERROR(FIND(" ",$B317)-1,LEN($B317))))))&gt;0,1,0)</f>
        <v/>
      </c>
      <c r="AE317">
        <f t="array" ref="AE317">IF(SUMPRODUCT(--($AO$2:$AO$145=TRIM(LEFT($B317,IFERROR(FIND(" ",$B317)-1,LEN($B317))))))&gt;0,1,0)</f>
        <v/>
      </c>
      <c r="AF317">
        <f t="array" ref="AF317">IF(SUMPRODUCT(--($AQ$2:$AQ$71=TRIM(LEFT($B317,IFERROR(FIND(" ",$B317)-1,LEN($B317))))))&gt;0,1,0)</f>
        <v/>
      </c>
    </row>
    <row r="318" ht="45.75" customHeight="1" thickBot="1">
      <c r="A318" s="13" t="n">
        <v>106</v>
      </c>
      <c r="B318" s="4" t="inlineStr">
        <is>
          <t>DISH US</t>
        </is>
      </c>
      <c r="C318" s="4" t="inlineStr">
        <is>
          <t>ECHO US</t>
        </is>
      </c>
      <c r="D318" s="7" t="n">
        <v>45146</v>
      </c>
      <c r="E318" s="3" t="n">
        <v>24441.32</v>
      </c>
      <c r="F318" s="4" t="inlineStr">
        <is>
          <t>Stock</t>
        </is>
      </c>
      <c r="G318" s="4" t="n"/>
      <c r="H318" s="4" t="inlineStr">
        <is>
          <t>Communications</t>
        </is>
      </c>
      <c r="I318" s="4" t="inlineStr">
        <is>
          <t>Media</t>
        </is>
      </c>
      <c r="J318" s="4" t="inlineStr">
        <is>
          <t>Cable &amp; Satellite</t>
        </is>
      </c>
      <c r="K318" s="4" t="n"/>
      <c r="L318" s="4" t="n"/>
      <c r="M318" s="3" t="n">
        <v>0.99</v>
      </c>
      <c r="N318" s="3" t="n">
        <v>1846.24</v>
      </c>
      <c r="O318" s="4" t="inlineStr">
        <is>
          <t>United States</t>
        </is>
      </c>
      <c r="P318" s="4" t="inlineStr">
        <is>
          <t>United States</t>
        </is>
      </c>
      <c r="Q318" s="4" t="inlineStr">
        <is>
          <t>Friendly</t>
        </is>
      </c>
      <c r="R318" s="3" t="n">
        <v>14292.7</v>
      </c>
      <c r="S318" s="3" t="n">
        <v>-119.614</v>
      </c>
      <c r="T318" s="4" t="inlineStr">
        <is>
          <t>Company Takeover</t>
        </is>
      </c>
      <c r="U318" s="2" t="inlineStr">
        <is>
          <t>No</t>
        </is>
      </c>
      <c r="V318" s="2" t="inlineStr">
        <is>
          <t>No</t>
        </is>
      </c>
      <c r="W318" s="2" t="inlineStr">
        <is>
          <t>No</t>
        </is>
      </c>
      <c r="X318" s="2" t="inlineStr">
        <is>
          <t>No</t>
        </is>
      </c>
      <c r="Y318" s="2" t="inlineStr">
        <is>
          <t>No</t>
        </is>
      </c>
      <c r="Z318" s="2" t="inlineStr">
        <is>
          <t>No</t>
        </is>
      </c>
      <c r="AA318" s="6" t="n">
        <v>4.388124657</v>
      </c>
      <c r="AB318" s="6" t="n">
        <v>4.155114278</v>
      </c>
      <c r="AC318" s="6" t="n">
        <v>3.266288156</v>
      </c>
      <c r="AD318">
        <f t="array" ref="AD318">IF(SUMPRODUCT(--($AM$2:$AM$112=TRIM(LEFT($B318,IFERROR(FIND(" ",$B318)-1,LEN($B318))))))&gt;0,1,0)</f>
        <v/>
      </c>
      <c r="AE318">
        <f t="array" ref="AE318">IF(SUMPRODUCT(--($AO$2:$AO$145=TRIM(LEFT($B318,IFERROR(FIND(" ",$B318)-1,LEN($B318))))))&gt;0,1,0)</f>
        <v/>
      </c>
      <c r="AF318">
        <f t="array" ref="AF318">IF(SUMPRODUCT(--($AQ$2:$AQ$71=TRIM(LEFT($B318,IFERROR(FIND(" ",$B318)-1,LEN($B318))))))&gt;0,1,0)</f>
        <v/>
      </c>
    </row>
    <row r="319" ht="45.75" customHeight="1" thickBot="1">
      <c r="A319" s="13" t="n">
        <v>92</v>
      </c>
      <c r="B319" s="4" t="inlineStr">
        <is>
          <t>RPT US</t>
        </is>
      </c>
      <c r="C319" s="4" t="inlineStr">
        <is>
          <t>KIM US</t>
        </is>
      </c>
      <c r="D319" s="7" t="n">
        <v>45166</v>
      </c>
      <c r="E319" s="3" t="n">
        <v>1891.76</v>
      </c>
      <c r="F319" s="4" t="inlineStr">
        <is>
          <t>Stock</t>
        </is>
      </c>
      <c r="G319" s="3" t="n">
        <v>9.460000000000001</v>
      </c>
      <c r="H319" s="4" t="inlineStr">
        <is>
          <t>Real Estate</t>
        </is>
      </c>
      <c r="I319" s="4" t="inlineStr">
        <is>
          <t>Real Estate</t>
        </is>
      </c>
      <c r="J319" s="4" t="inlineStr">
        <is>
          <t>REIT</t>
        </is>
      </c>
      <c r="K319" s="4" t="n"/>
      <c r="L319" s="4" t="n"/>
      <c r="M319" s="3" t="n">
        <v>17.09</v>
      </c>
      <c r="N319" s="3" t="n">
        <v>1031.16</v>
      </c>
      <c r="O319" s="4" t="inlineStr">
        <is>
          <t>United States</t>
        </is>
      </c>
      <c r="P319" s="4" t="inlineStr">
        <is>
          <t>United States</t>
        </is>
      </c>
      <c r="Q319" s="4" t="inlineStr">
        <is>
          <t>Friendly</t>
        </is>
      </c>
      <c r="R319" s="3" t="n">
        <v>52.8</v>
      </c>
      <c r="S319" s="3" t="n">
        <v>5.73435</v>
      </c>
      <c r="T319" s="4" t="inlineStr">
        <is>
          <t>Company Takeover</t>
        </is>
      </c>
      <c r="U319" s="2" t="inlineStr">
        <is>
          <t>No</t>
        </is>
      </c>
      <c r="V319" s="2" t="inlineStr">
        <is>
          <t>No</t>
        </is>
      </c>
      <c r="W319" s="2" t="inlineStr">
        <is>
          <t>No</t>
        </is>
      </c>
      <c r="X319" s="2" t="inlineStr">
        <is>
          <t>No</t>
        </is>
      </c>
      <c r="Y319" s="2" t="inlineStr">
        <is>
          <t>No</t>
        </is>
      </c>
      <c r="Z319" s="2" t="inlineStr">
        <is>
          <t>No</t>
        </is>
      </c>
      <c r="AA319" s="6" t="n">
        <v>3.276866038</v>
      </c>
      <c r="AB319" s="6" t="n">
        <v>1.722633923</v>
      </c>
      <c r="AC319" s="6" t="n">
        <v>3.013326058</v>
      </c>
      <c r="AD319">
        <f t="array" ref="AD319">IF(SUMPRODUCT(--($AM$2:$AM$112=TRIM(LEFT($B319,IFERROR(FIND(" ",$B319)-1,LEN($B319))))))&gt;0,1,0)</f>
        <v/>
      </c>
      <c r="AE319">
        <f t="array" ref="AE319">IF(SUMPRODUCT(--($AO$2:$AO$145=TRIM(LEFT($B319,IFERROR(FIND(" ",$B319)-1,LEN($B319))))))&gt;0,1,0)</f>
        <v/>
      </c>
      <c r="AF319">
        <f t="array" ref="AF319">IF(SUMPRODUCT(--($AQ$2:$AQ$71=TRIM(LEFT($B319,IFERROR(FIND(" ",$B319)-1,LEN($B319))))))&gt;0,1,0)</f>
        <v/>
      </c>
    </row>
    <row r="320" ht="45.75" customHeight="1" thickBot="1">
      <c r="A320" s="13" t="n">
        <v>39</v>
      </c>
      <c r="B320" s="4" t="inlineStr">
        <is>
          <t>HHRS CN</t>
        </is>
      </c>
      <c r="C320" s="4" t="inlineStr">
        <is>
          <t>VRN CN</t>
        </is>
      </c>
      <c r="D320" s="7" t="n">
        <v>45236</v>
      </c>
      <c r="E320" s="3" t="n">
        <v>1710.59</v>
      </c>
      <c r="F320" s="4" t="inlineStr">
        <is>
          <t>Cash and Stock</t>
        </is>
      </c>
      <c r="G320" s="4" t="n"/>
      <c r="H320" s="4" t="inlineStr">
        <is>
          <t>Energy</t>
        </is>
      </c>
      <c r="I320" s="4" t="inlineStr">
        <is>
          <t>Oil &amp; Gas</t>
        </is>
      </c>
      <c r="J320" s="4" t="inlineStr">
        <is>
          <t>Oil &amp; Gas Supply Chain</t>
        </is>
      </c>
      <c r="K320" s="4" t="n"/>
      <c r="L320" s="4" t="n"/>
      <c r="M320" s="3" t="n">
        <v>23.24</v>
      </c>
      <c r="N320" s="3" t="n">
        <v>1502.7</v>
      </c>
      <c r="O320" s="4" t="inlineStr">
        <is>
          <t>Canada</t>
        </is>
      </c>
      <c r="P320" s="4" t="inlineStr">
        <is>
          <t>Canada</t>
        </is>
      </c>
      <c r="Q320" s="4" t="inlineStr">
        <is>
          <t>Friendly</t>
        </is>
      </c>
      <c r="R320" s="2" t="n"/>
      <c r="S320" s="2" t="n"/>
      <c r="T320" s="4" t="inlineStr">
        <is>
          <t>Company Takeover</t>
        </is>
      </c>
      <c r="U320" s="2" t="inlineStr">
        <is>
          <t>No</t>
        </is>
      </c>
      <c r="V320" s="2" t="inlineStr">
        <is>
          <t>No</t>
        </is>
      </c>
      <c r="W320" s="2" t="inlineStr">
        <is>
          <t>No</t>
        </is>
      </c>
      <c r="X320" s="2" t="inlineStr">
        <is>
          <t>No</t>
        </is>
      </c>
      <c r="Y320" s="2" t="inlineStr">
        <is>
          <t>No</t>
        </is>
      </c>
      <c r="Z320" s="2" t="inlineStr">
        <is>
          <t>No</t>
        </is>
      </c>
      <c r="AA320" s="6" t="n">
        <v>3.233145929</v>
      </c>
      <c r="AB320" s="2" t="n"/>
      <c r="AC320" s="6" t="n">
        <v>3.176872286</v>
      </c>
      <c r="AD320">
        <f t="array" ref="AD320">IF(SUMPRODUCT(--($AM$2:$AM$112=TRIM(LEFT($B320,IFERROR(FIND(" ",$B320)-1,LEN($B320))))))&gt;0,1,0)</f>
        <v/>
      </c>
      <c r="AE320">
        <f t="array" ref="AE320">IF(SUMPRODUCT(--($AO$2:$AO$145=TRIM(LEFT($B320,IFERROR(FIND(" ",$B320)-1,LEN($B320))))))&gt;0,1,0)</f>
        <v/>
      </c>
      <c r="AF320">
        <f t="array" ref="AF320">IF(SUMPRODUCT(--($AQ$2:$AQ$71=TRIM(LEFT($B320,IFERROR(FIND(" ",$B320)-1,LEN($B320))))))&gt;0,1,0)</f>
        <v/>
      </c>
    </row>
    <row r="321" ht="75.75" customHeight="1" thickBot="1">
      <c r="A321" s="13" t="n">
        <v>63</v>
      </c>
      <c r="B321" s="4" t="inlineStr">
        <is>
          <t>PNT US</t>
        </is>
      </c>
      <c r="C321" s="4" t="inlineStr">
        <is>
          <t>LLY US</t>
        </is>
      </c>
      <c r="D321" s="7" t="n">
        <v>45202</v>
      </c>
      <c r="E321" s="3" t="n">
        <v>796.86</v>
      </c>
      <c r="F321" s="4" t="inlineStr">
        <is>
          <t>Cash</t>
        </is>
      </c>
      <c r="G321" s="3" t="n">
        <v>6.28</v>
      </c>
      <c r="H321" s="4" t="inlineStr">
        <is>
          <t>Health Care</t>
        </is>
      </c>
      <c r="I321" s="4" t="inlineStr">
        <is>
          <t>Health Care</t>
        </is>
      </c>
      <c r="J321" s="4" t="inlineStr">
        <is>
          <t>Biotech &amp; Pharma</t>
        </is>
      </c>
      <c r="K321" s="4" t="n"/>
      <c r="L321" s="4" t="n"/>
      <c r="M321" s="3" t="n">
        <v>71.29000000000001</v>
      </c>
      <c r="N321" s="3" t="n">
        <v>1322.07</v>
      </c>
      <c r="O321" s="4" t="inlineStr">
        <is>
          <t>United States</t>
        </is>
      </c>
      <c r="P321" s="4" t="inlineStr">
        <is>
          <t>United States</t>
        </is>
      </c>
      <c r="Q321" s="4" t="inlineStr">
        <is>
          <t>Friendly</t>
        </is>
      </c>
      <c r="R321" s="3" t="n">
        <v>226.58</v>
      </c>
      <c r="S321" s="3" t="n">
        <v>55.3988</v>
      </c>
      <c r="T321" s="4" t="inlineStr">
        <is>
          <t>Company Takeover, Tender Offer</t>
        </is>
      </c>
      <c r="U321" s="2" t="inlineStr">
        <is>
          <t>No</t>
        </is>
      </c>
      <c r="V321" s="2" t="inlineStr">
        <is>
          <t>No</t>
        </is>
      </c>
      <c r="W321" s="2" t="inlineStr">
        <is>
          <t>No</t>
        </is>
      </c>
      <c r="X321" s="2" t="inlineStr">
        <is>
          <t>No</t>
        </is>
      </c>
      <c r="Y321" s="2" t="inlineStr">
        <is>
          <t>No</t>
        </is>
      </c>
      <c r="Z321" s="2" t="inlineStr">
        <is>
          <t>Yes</t>
        </is>
      </c>
      <c r="AA321" s="6" t="n">
        <v>2.901382027</v>
      </c>
      <c r="AB321" s="6" t="n">
        <v>2.355221572</v>
      </c>
      <c r="AC321" s="6" t="n">
        <v>3.12125445</v>
      </c>
      <c r="AD321">
        <f t="array" ref="AD321">IF(SUMPRODUCT(--($AM$2:$AM$112=TRIM(LEFT($B321,IFERROR(FIND(" ",$B321)-1,LEN($B321))))))&gt;0,1,0)</f>
        <v/>
      </c>
      <c r="AE321">
        <f t="array" ref="AE321">IF(SUMPRODUCT(--($AO$2:$AO$145=TRIM(LEFT($B321,IFERROR(FIND(" ",$B321)-1,LEN($B321))))))&gt;0,1,0)</f>
        <v/>
      </c>
      <c r="AF321">
        <f t="array" ref="AF321">IF(SUMPRODUCT(--($AQ$2:$AQ$71=TRIM(LEFT($B321,IFERROR(FIND(" ",$B321)-1,LEN($B321))))))&gt;0,1,0)</f>
        <v/>
      </c>
    </row>
    <row r="322" ht="45.75" customHeight="1" thickBot="1">
      <c r="A322" s="13" t="n">
        <v>200</v>
      </c>
      <c r="B322" s="4" t="inlineStr">
        <is>
          <t>SGEN US</t>
        </is>
      </c>
      <c r="C322" s="4" t="inlineStr">
        <is>
          <t>PFE US</t>
        </is>
      </c>
      <c r="D322" s="7" t="n">
        <v>44998</v>
      </c>
      <c r="E322" s="3" t="n">
        <v>41171.93</v>
      </c>
      <c r="F322" s="4" t="inlineStr">
        <is>
          <t>Cash</t>
        </is>
      </c>
      <c r="G322" s="4" t="n"/>
      <c r="H322" s="4" t="inlineStr">
        <is>
          <t>Health Care</t>
        </is>
      </c>
      <c r="I322" s="4" t="inlineStr">
        <is>
          <t>Health Care</t>
        </is>
      </c>
      <c r="J322" s="4" t="inlineStr">
        <is>
          <t>Biotech &amp; Pharma</t>
        </is>
      </c>
      <c r="K322" s="3" t="n">
        <v>2220</v>
      </c>
      <c r="L322" s="3" t="n">
        <v>1650</v>
      </c>
      <c r="M322" s="3" t="n">
        <v>39</v>
      </c>
      <c r="N322" s="3" t="n">
        <v>42849.01</v>
      </c>
      <c r="O322" s="4" t="inlineStr">
        <is>
          <t>United States</t>
        </is>
      </c>
      <c r="P322" s="4" t="inlineStr">
        <is>
          <t>United States</t>
        </is>
      </c>
      <c r="Q322" s="4" t="inlineStr">
        <is>
          <t>Friendly</t>
        </is>
      </c>
      <c r="R322" s="3" t="n">
        <v>1962.41</v>
      </c>
      <c r="S322" s="3" t="n">
        <v>-34.3676</v>
      </c>
      <c r="T322" s="4" t="inlineStr">
        <is>
          <t>Company Takeover</t>
        </is>
      </c>
      <c r="U322" s="2" t="inlineStr">
        <is>
          <t>No</t>
        </is>
      </c>
      <c r="V322" s="2" t="inlineStr">
        <is>
          <t>No</t>
        </is>
      </c>
      <c r="W322" s="2" t="inlineStr">
        <is>
          <t>No</t>
        </is>
      </c>
      <c r="X322" s="2" t="inlineStr">
        <is>
          <t>No</t>
        </is>
      </c>
      <c r="Y322" s="2" t="inlineStr">
        <is>
          <t>No</t>
        </is>
      </c>
      <c r="Z322" s="2" t="inlineStr">
        <is>
          <t>No</t>
        </is>
      </c>
      <c r="AA322" s="6" t="n">
        <v>4.614601226</v>
      </c>
      <c r="AB322" s="6" t="n">
        <v>3.292789748</v>
      </c>
      <c r="AC322" s="6" t="n">
        <v>4.631940792</v>
      </c>
      <c r="AD322">
        <f t="array" ref="AD322">IF(SUMPRODUCT(--($AM$2:$AM$112=TRIM(LEFT($B322,IFERROR(FIND(" ",$B322)-1,LEN($B322))))))&gt;0,1,0)</f>
        <v/>
      </c>
      <c r="AE322">
        <f t="array" ref="AE322">IF(SUMPRODUCT(--($AO$2:$AO$145=TRIM(LEFT($B322,IFERROR(FIND(" ",$B322)-1,LEN($B322))))))&gt;0,1,0)</f>
        <v/>
      </c>
      <c r="AF322">
        <f t="array" ref="AF322">IF(SUMPRODUCT(--($AQ$2:$AQ$71=TRIM(LEFT($B322,IFERROR(FIND(" ",$B322)-1,LEN($B322))))))&gt;0,1,0)</f>
        <v/>
      </c>
    </row>
    <row r="323" ht="120.75" customHeight="1" thickBot="1">
      <c r="A323" s="13" t="n">
        <v>78</v>
      </c>
      <c r="B323" s="4" t="inlineStr">
        <is>
          <t>HEP US</t>
        </is>
      </c>
      <c r="C323" s="4" t="inlineStr">
        <is>
          <t>DINO US</t>
        </is>
      </c>
      <c r="D323" s="7" t="n">
        <v>45154</v>
      </c>
      <c r="E323" s="3" t="n">
        <v>3748.21</v>
      </c>
      <c r="F323" s="4" t="inlineStr">
        <is>
          <t>Cash and Stock</t>
        </is>
      </c>
      <c r="G323" s="3" t="n">
        <v>11.61</v>
      </c>
      <c r="H323" s="4" t="inlineStr">
        <is>
          <t>Energy</t>
        </is>
      </c>
      <c r="I323" s="4" t="inlineStr">
        <is>
          <t>Oil &amp; Gas</t>
        </is>
      </c>
      <c r="J323" s="4" t="inlineStr">
        <is>
          <t>Oil &amp; Gas Supply Chain</t>
        </is>
      </c>
      <c r="K323" s="4" t="n"/>
      <c r="L323" s="4" t="n"/>
      <c r="M323" s="3" t="n">
        <v>3.98</v>
      </c>
      <c r="N323" s="3" t="n">
        <v>2192.56</v>
      </c>
      <c r="O323" s="4" t="inlineStr">
        <is>
          <t>United States</t>
        </is>
      </c>
      <c r="P323" s="4" t="inlineStr">
        <is>
          <t>United States</t>
        </is>
      </c>
      <c r="Q323" s="4" t="inlineStr">
        <is>
          <t>Friendly</t>
        </is>
      </c>
      <c r="R323" s="3" t="n">
        <v>547.48</v>
      </c>
      <c r="S323" s="3" t="n">
        <v>41.8919</v>
      </c>
      <c r="T323" s="4" t="inlineStr">
        <is>
          <t>Company Takeover, Additional Stake Purchase</t>
        </is>
      </c>
      <c r="U323" s="2" t="inlineStr">
        <is>
          <t>Yes</t>
        </is>
      </c>
      <c r="V323" s="2" t="inlineStr">
        <is>
          <t>No</t>
        </is>
      </c>
      <c r="W323" s="2" t="inlineStr">
        <is>
          <t>No</t>
        </is>
      </c>
      <c r="X323" s="2" t="inlineStr">
        <is>
          <t>No</t>
        </is>
      </c>
      <c r="Y323" s="2" t="inlineStr">
        <is>
          <t>No</t>
        </is>
      </c>
      <c r="Z323" s="2" t="inlineStr">
        <is>
          <t>No</t>
        </is>
      </c>
      <c r="AA323" s="6" t="n">
        <v>3.573823915</v>
      </c>
      <c r="AB323" s="6" t="n">
        <v>2.738368259</v>
      </c>
      <c r="AC323" s="6" t="n">
        <v>3.340951487</v>
      </c>
      <c r="AD323">
        <f t="array" ref="AD323">IF(SUMPRODUCT(--($AM$2:$AM$112=TRIM(LEFT($B323,IFERROR(FIND(" ",$B323)-1,LEN($B323))))))&gt;0,1,0)</f>
        <v/>
      </c>
      <c r="AE323">
        <f t="array" ref="AE323">IF(SUMPRODUCT(--($AO$2:$AO$145=TRIM(LEFT($B323,IFERROR(FIND(" ",$B323)-1,LEN($B323))))))&gt;0,1,0)</f>
        <v/>
      </c>
      <c r="AF323">
        <f t="array" ref="AF323">IF(SUMPRODUCT(--($AQ$2:$AQ$71=TRIM(LEFT($B323,IFERROR(FIND(" ",$B323)-1,LEN($B323))))))&gt;0,1,0)</f>
        <v/>
      </c>
    </row>
    <row r="324" ht="45.75" customHeight="1" thickBot="1">
      <c r="A324" s="13" t="n">
        <v>94</v>
      </c>
      <c r="B324" s="4" t="inlineStr">
        <is>
          <t>PACW US</t>
        </is>
      </c>
      <c r="C324" s="4" t="inlineStr">
        <is>
          <t>BANC US</t>
        </is>
      </c>
      <c r="D324" s="7" t="n">
        <v>45132</v>
      </c>
      <c r="E324" s="3" t="n">
        <v>942.09</v>
      </c>
      <c r="F324" s="4" t="inlineStr">
        <is>
          <t>Stock</t>
        </is>
      </c>
      <c r="G324" s="4" t="n"/>
      <c r="H324" s="4" t="inlineStr">
        <is>
          <t>Financials</t>
        </is>
      </c>
      <c r="I324" s="4" t="inlineStr">
        <is>
          <t>Banking</t>
        </is>
      </c>
      <c r="J324" s="4" t="inlineStr">
        <is>
          <t>Banking</t>
        </is>
      </c>
      <c r="K324" s="4" t="n"/>
      <c r="L324" s="3" t="n">
        <v>39.5</v>
      </c>
      <c r="M324" s="3" t="n">
        <v>-6.89</v>
      </c>
      <c r="N324" s="3" t="n">
        <v>942.09</v>
      </c>
      <c r="O324" s="4" t="inlineStr">
        <is>
          <t>United States</t>
        </is>
      </c>
      <c r="P324" s="4" t="inlineStr">
        <is>
          <t>United States</t>
        </is>
      </c>
      <c r="Q324" s="4" t="inlineStr">
        <is>
          <t>Friendly</t>
        </is>
      </c>
      <c r="R324" s="3" t="n">
        <v>1631.32</v>
      </c>
      <c r="S324" s="3" t="n">
        <v>-174.165</v>
      </c>
      <c r="T324" s="4" t="inlineStr">
        <is>
          <t>Company Takeover</t>
        </is>
      </c>
      <c r="U324" s="2" t="inlineStr">
        <is>
          <t>No</t>
        </is>
      </c>
      <c r="V324" s="2" t="inlineStr">
        <is>
          <t>No</t>
        </is>
      </c>
      <c r="W324" s="2" t="inlineStr">
        <is>
          <t>No</t>
        </is>
      </c>
      <c r="X324" s="2" t="inlineStr">
        <is>
          <t>No</t>
        </is>
      </c>
      <c r="Y324" s="2" t="inlineStr">
        <is>
          <t>No</t>
        </is>
      </c>
      <c r="Z324" s="2" t="inlineStr">
        <is>
          <t>No</t>
        </is>
      </c>
      <c r="AA324" s="6" t="n">
        <v>2.974092394</v>
      </c>
      <c r="AB324" s="6" t="n">
        <v>3.212539161</v>
      </c>
      <c r="AC324" s="6" t="n">
        <v>2.974092394</v>
      </c>
      <c r="AD324">
        <f t="array" ref="AD324">IF(SUMPRODUCT(--($AM$2:$AM$112=TRIM(LEFT($B324,IFERROR(FIND(" ",$B324)-1,LEN($B324))))))&gt;0,1,0)</f>
        <v/>
      </c>
      <c r="AE324">
        <f t="array" ref="AE324">IF(SUMPRODUCT(--($AO$2:$AO$145=TRIM(LEFT($B324,IFERROR(FIND(" ",$B324)-1,LEN($B324))))))&gt;0,1,0)</f>
        <v/>
      </c>
      <c r="AF324">
        <f t="array" ref="AF324">IF(SUMPRODUCT(--($AQ$2:$AQ$71=TRIM(LEFT($B324,IFERROR(FIND(" ",$B324)-1,LEN($B324))))))&gt;0,1,0)</f>
        <v/>
      </c>
    </row>
    <row r="325" ht="75.75" customHeight="1" thickBot="1">
      <c r="A325" s="13" t="n">
        <v>140</v>
      </c>
      <c r="B325" s="4" t="inlineStr">
        <is>
          <t>GHL US</t>
        </is>
      </c>
      <c r="C325" s="4" t="inlineStr">
        <is>
          <t>8411 JP</t>
        </is>
      </c>
      <c r="D325" s="7" t="n">
        <v>45068</v>
      </c>
      <c r="E325" s="3" t="n">
        <v>589.78</v>
      </c>
      <c r="F325" s="4" t="inlineStr">
        <is>
          <t>Cash</t>
        </is>
      </c>
      <c r="G325" s="3" t="n">
        <v>14.88</v>
      </c>
      <c r="H325" s="4" t="inlineStr">
        <is>
          <t>Financials</t>
        </is>
      </c>
      <c r="I325" s="4" t="inlineStr">
        <is>
          <t>Financial Services</t>
        </is>
      </c>
      <c r="J325" s="4" t="inlineStr">
        <is>
          <t>Institutional Financial Svcs</t>
        </is>
      </c>
      <c r="K325" s="4" t="n"/>
      <c r="L325" s="4" t="n"/>
      <c r="M325" s="3" t="n">
        <v>118.28</v>
      </c>
      <c r="N325" s="3" t="n">
        <v>274.82</v>
      </c>
      <c r="O325" s="4" t="inlineStr">
        <is>
          <t>United States</t>
        </is>
      </c>
      <c r="P325" s="4" t="inlineStr">
        <is>
          <t>Japan</t>
        </is>
      </c>
      <c r="Q325" s="4" t="inlineStr">
        <is>
          <t>Friendly</t>
        </is>
      </c>
      <c r="R325" s="3" t="n">
        <v>258.454</v>
      </c>
      <c r="S325" s="3" t="n">
        <v>-13.9471</v>
      </c>
      <c r="T325" s="4" t="inlineStr">
        <is>
          <t>Company Takeover, Cross Border</t>
        </is>
      </c>
      <c r="U325" s="2" t="inlineStr">
        <is>
          <t>No</t>
        </is>
      </c>
      <c r="V325" s="2" t="inlineStr">
        <is>
          <t>No</t>
        </is>
      </c>
      <c r="W325" s="2" t="inlineStr">
        <is>
          <t>Yes</t>
        </is>
      </c>
      <c r="X325" s="2" t="inlineStr">
        <is>
          <t>No</t>
        </is>
      </c>
      <c r="Y325" s="2" t="inlineStr">
        <is>
          <t>No</t>
        </is>
      </c>
      <c r="Z325" s="2" t="inlineStr">
        <is>
          <t>No</t>
        </is>
      </c>
      <c r="AA325" s="6" t="n">
        <v>2.770690041</v>
      </c>
      <c r="AB325" s="6" t="n">
        <v>2.412383258</v>
      </c>
      <c r="AC325" s="6" t="n">
        <v>2.439048335</v>
      </c>
      <c r="AD325">
        <f t="array" ref="AD325">IF(SUMPRODUCT(--($AM$2:$AM$112=TRIM(LEFT($B325,IFERROR(FIND(" ",$B325)-1,LEN($B325))))))&gt;0,1,0)</f>
        <v/>
      </c>
      <c r="AE325">
        <f t="array" ref="AE325">IF(SUMPRODUCT(--($AO$2:$AO$145=TRIM(LEFT($B325,IFERROR(FIND(" ",$B325)-1,LEN($B325))))))&gt;0,1,0)</f>
        <v/>
      </c>
      <c r="AF325">
        <f t="array" ref="AF325">IF(SUMPRODUCT(--($AQ$2:$AQ$71=TRIM(LEFT($B325,IFERROR(FIND(" ",$B325)-1,LEN($B325))))))&gt;0,1,0)</f>
        <v/>
      </c>
    </row>
    <row r="326" ht="135.75" customHeight="1" thickBot="1">
      <c r="A326" s="13" t="n">
        <v>84</v>
      </c>
      <c r="B326" s="4" t="inlineStr">
        <is>
          <t>VRTV US</t>
        </is>
      </c>
      <c r="C326" s="4" t="inlineStr">
        <is>
          <t>5056Z US</t>
        </is>
      </c>
      <c r="D326" s="7" t="n">
        <v>45145</v>
      </c>
      <c r="E326" s="3" t="n">
        <v>2855.12</v>
      </c>
      <c r="F326" s="4" t="inlineStr">
        <is>
          <t>Cash</t>
        </is>
      </c>
      <c r="G326" s="3" t="n">
        <v>4.94</v>
      </c>
      <c r="H326" s="4" t="inlineStr">
        <is>
          <t>Consumer Discretionary</t>
        </is>
      </c>
      <c r="I326" s="4" t="inlineStr">
        <is>
          <t>Retail &amp; Whsle - Discretionary</t>
        </is>
      </c>
      <c r="J326" s="4" t="inlineStr">
        <is>
          <t>Wholesale - Discretionary</t>
        </is>
      </c>
      <c r="K326" s="3" t="n">
        <v>148.893</v>
      </c>
      <c r="L326" s="3" t="n">
        <v>74.44670000000001</v>
      </c>
      <c r="M326" s="3" t="n">
        <v>25.82</v>
      </c>
      <c r="N326" s="3" t="n">
        <v>2302.92</v>
      </c>
      <c r="O326" s="4" t="inlineStr">
        <is>
          <t>United States</t>
        </is>
      </c>
      <c r="P326" s="4" t="inlineStr">
        <is>
          <t>United States</t>
        </is>
      </c>
      <c r="Q326" s="4" t="inlineStr">
        <is>
          <t>Friendly</t>
        </is>
      </c>
      <c r="R326" s="3" t="n">
        <v>7146.3</v>
      </c>
      <c r="S326" s="3" t="n">
        <v>6.23287</v>
      </c>
      <c r="T326" s="4" t="inlineStr">
        <is>
          <t>Company Takeover, Going Private, Private Equity, PE Buyout</t>
        </is>
      </c>
      <c r="U326" s="2" t="inlineStr">
        <is>
          <t>No</t>
        </is>
      </c>
      <c r="V326" s="2" t="inlineStr">
        <is>
          <t>No</t>
        </is>
      </c>
      <c r="W326" s="2" t="inlineStr">
        <is>
          <t>No</t>
        </is>
      </c>
      <c r="X326" s="2" t="inlineStr">
        <is>
          <t>Yes</t>
        </is>
      </c>
      <c r="Y326" s="2" t="inlineStr">
        <is>
          <t>Yes</t>
        </is>
      </c>
      <c r="Z326" s="2" t="inlineStr">
        <is>
          <t>No</t>
        </is>
      </c>
      <c r="AA326" s="6" t="n">
        <v>3.455624366</v>
      </c>
      <c r="AB326" s="6" t="n">
        <v>3.854081244</v>
      </c>
      <c r="AC326" s="6" t="n">
        <v>3.362278851</v>
      </c>
      <c r="AD326">
        <f t="array" ref="AD326">IF(SUMPRODUCT(--($AM$2:$AM$112=TRIM(LEFT($B326,IFERROR(FIND(" ",$B326)-1,LEN($B326))))))&gt;0,1,0)</f>
        <v/>
      </c>
      <c r="AE326">
        <f t="array" ref="AE326">IF(SUMPRODUCT(--($AO$2:$AO$145=TRIM(LEFT($B326,IFERROR(FIND(" ",$B326)-1,LEN($B326))))))&gt;0,1,0)</f>
        <v/>
      </c>
      <c r="AF326">
        <f t="array" ref="AF326">IF(SUMPRODUCT(--($AQ$2:$AQ$71=TRIM(LEFT($B326,IFERROR(FIND(" ",$B326)-1,LEN($B326))))))&gt;0,1,0)</f>
        <v/>
      </c>
    </row>
    <row r="327" ht="45.75" customHeight="1" thickBot="1">
      <c r="A327" s="13" t="n">
        <v>57</v>
      </c>
      <c r="B327" s="4" t="inlineStr">
        <is>
          <t>AVTA US</t>
        </is>
      </c>
      <c r="C327" s="4" t="inlineStr">
        <is>
          <t>RCAPQ US</t>
        </is>
      </c>
      <c r="D327" s="7" t="n">
        <v>45180</v>
      </c>
      <c r="E327" s="3" t="n">
        <v>955.76</v>
      </c>
      <c r="F327" s="4" t="inlineStr">
        <is>
          <t>Cash</t>
        </is>
      </c>
      <c r="G327" s="3" t="n">
        <v>32.6</v>
      </c>
      <c r="H327" s="4" t="inlineStr">
        <is>
          <t>Financials</t>
        </is>
      </c>
      <c r="I327" s="4" t="inlineStr">
        <is>
          <t>Financial Services</t>
        </is>
      </c>
      <c r="J327" s="4" t="inlineStr">
        <is>
          <t>Asset Management</t>
        </is>
      </c>
      <c r="K327" s="4" t="n"/>
      <c r="L327" s="4" t="n"/>
      <c r="M327" s="3" t="n">
        <v>26.07</v>
      </c>
      <c r="N327" s="3" t="n">
        <v>955.76</v>
      </c>
      <c r="O327" s="4" t="inlineStr">
        <is>
          <t>United States</t>
        </is>
      </c>
      <c r="P327" s="4" t="inlineStr">
        <is>
          <t>United States</t>
        </is>
      </c>
      <c r="Q327" s="4" t="inlineStr">
        <is>
          <t>Friendly</t>
        </is>
      </c>
      <c r="R327" s="3" t="n">
        <v>666.496</v>
      </c>
      <c r="S327" s="3" t="n">
        <v>2.38226</v>
      </c>
      <c r="T327" s="4" t="inlineStr">
        <is>
          <t>Company Takeover</t>
        </is>
      </c>
      <c r="U327" s="2" t="inlineStr">
        <is>
          <t>No</t>
        </is>
      </c>
      <c r="V327" s="2" t="inlineStr">
        <is>
          <t>No</t>
        </is>
      </c>
      <c r="W327" s="2" t="inlineStr">
        <is>
          <t>No</t>
        </is>
      </c>
      <c r="X327" s="2" t="inlineStr">
        <is>
          <t>No</t>
        </is>
      </c>
      <c r="Y327" s="2" t="inlineStr">
        <is>
          <t>No</t>
        </is>
      </c>
      <c r="Z327" s="2" t="inlineStr">
        <is>
          <t>No</t>
        </is>
      </c>
      <c r="AA327" s="6" t="n">
        <v>2.980348851</v>
      </c>
      <c r="AB327" s="6" t="n">
        <v>2.823797547</v>
      </c>
      <c r="AC327" s="6" t="n">
        <v>2.980348851</v>
      </c>
      <c r="AD327">
        <f t="array" ref="AD327">IF(SUMPRODUCT(--($AM$2:$AM$112=TRIM(LEFT($B327,IFERROR(FIND(" ",$B327)-1,LEN($B327))))))&gt;0,1,0)</f>
        <v/>
      </c>
      <c r="AE327">
        <f t="array" ref="AE327">IF(SUMPRODUCT(--($AO$2:$AO$145=TRIM(LEFT($B327,IFERROR(FIND(" ",$B327)-1,LEN($B327))))))&gt;0,1,0)</f>
        <v/>
      </c>
      <c r="AF327">
        <f t="array" ref="AF327">IF(SUMPRODUCT(--($AQ$2:$AQ$71=TRIM(LEFT($B327,IFERROR(FIND(" ",$B327)-1,LEN($B327))))))&gt;0,1,0)</f>
        <v/>
      </c>
    </row>
    <row r="328" ht="135.75" customHeight="1" thickBot="1">
      <c r="A328" s="13" t="n">
        <v>67</v>
      </c>
      <c r="B328" s="4" t="inlineStr">
        <is>
          <t>HT US</t>
        </is>
      </c>
      <c r="C328" s="4" t="inlineStr">
        <is>
          <t>730174Z US</t>
        </is>
      </c>
      <c r="D328" s="7" t="n">
        <v>45166</v>
      </c>
      <c r="E328" s="3" t="n">
        <v>860.37</v>
      </c>
      <c r="F328" s="4" t="inlineStr">
        <is>
          <t>Cash</t>
        </is>
      </c>
      <c r="G328" s="3" t="n">
        <v>8.09</v>
      </c>
      <c r="H328" s="4" t="inlineStr">
        <is>
          <t>Real Estate</t>
        </is>
      </c>
      <c r="I328" s="4" t="inlineStr">
        <is>
          <t>Real Estate</t>
        </is>
      </c>
      <c r="J328" s="4" t="inlineStr">
        <is>
          <t>REIT</t>
        </is>
      </c>
      <c r="K328" s="4" t="n"/>
      <c r="L328" s="4" t="n"/>
      <c r="M328" s="3" t="n">
        <v>56.56</v>
      </c>
      <c r="N328" s="3" t="n">
        <v>401.05</v>
      </c>
      <c r="O328" s="4" t="inlineStr">
        <is>
          <t>United States</t>
        </is>
      </c>
      <c r="P328" s="4" t="inlineStr">
        <is>
          <t>United States</t>
        </is>
      </c>
      <c r="Q328" s="4" t="inlineStr">
        <is>
          <t>Friendly</t>
        </is>
      </c>
      <c r="R328" s="3" t="n">
        <v>405.874</v>
      </c>
      <c r="S328" s="3" t="n">
        <v>7.69446</v>
      </c>
      <c r="T328" s="4" t="inlineStr">
        <is>
          <t>PE Buyout, Private Equity, Company Takeover, Going Private</t>
        </is>
      </c>
      <c r="U328" s="2" t="inlineStr">
        <is>
          <t>No</t>
        </is>
      </c>
      <c r="V328" s="2" t="inlineStr">
        <is>
          <t>No</t>
        </is>
      </c>
      <c r="W328" s="2" t="inlineStr">
        <is>
          <t>No</t>
        </is>
      </c>
      <c r="X328" s="2" t="inlineStr">
        <is>
          <t>Yes</t>
        </is>
      </c>
      <c r="Y328" s="2" t="inlineStr">
        <is>
          <t>Yes</t>
        </is>
      </c>
      <c r="Z328" s="2" t="inlineStr">
        <is>
          <t>No</t>
        </is>
      </c>
      <c r="AA328" s="6" t="n">
        <v>2.934685259</v>
      </c>
      <c r="AB328" s="6" t="n">
        <v>2.608391232</v>
      </c>
      <c r="AC328" s="6" t="n">
        <v>2.603198521</v>
      </c>
      <c r="AD328">
        <f t="array" ref="AD328">IF(SUMPRODUCT(--($AM$2:$AM$112=TRIM(LEFT($B328,IFERROR(FIND(" ",$B328)-1,LEN($B328))))))&gt;0,1,0)</f>
        <v/>
      </c>
      <c r="AE328">
        <f t="array" ref="AE328">IF(SUMPRODUCT(--($AO$2:$AO$145=TRIM(LEFT($B328,IFERROR(FIND(" ",$B328)-1,LEN($B328))))))&gt;0,1,0)</f>
        <v/>
      </c>
      <c r="AF328">
        <f t="array" ref="AF328">IF(SUMPRODUCT(--($AQ$2:$AQ$71=TRIM(LEFT($B328,IFERROR(FIND(" ",$B328)-1,LEN($B328))))))&gt;0,1,0)</f>
        <v/>
      </c>
    </row>
    <row r="329" ht="45.75" customHeight="1" thickBot="1">
      <c r="A329" s="13" t="n">
        <v>390</v>
      </c>
      <c r="B329" s="4" t="inlineStr">
        <is>
          <t>VMW US</t>
        </is>
      </c>
      <c r="C329" s="4" t="inlineStr">
        <is>
          <t>AVGO US</t>
        </is>
      </c>
      <c r="D329" s="7" t="n">
        <v>44707</v>
      </c>
      <c r="E329" s="3" t="n">
        <v>70289.25999999999</v>
      </c>
      <c r="F329" s="4" t="inlineStr">
        <is>
          <t>Cash or Stock</t>
        </is>
      </c>
      <c r="G329" s="3" t="n">
        <v>19.72</v>
      </c>
      <c r="H329" s="4" t="inlineStr">
        <is>
          <t>Technology</t>
        </is>
      </c>
      <c r="I329" s="4" t="inlineStr">
        <is>
          <t>Software &amp; Tech Services</t>
        </is>
      </c>
      <c r="J329" s="4" t="inlineStr">
        <is>
          <t>Software</t>
        </is>
      </c>
      <c r="K329" s="3" t="n">
        <v>1500</v>
      </c>
      <c r="L329" s="3" t="n">
        <v>1500</v>
      </c>
      <c r="M329" s="3" t="n">
        <v>36.68</v>
      </c>
      <c r="N329" s="3" t="n">
        <v>60131.26</v>
      </c>
      <c r="O329" s="4" t="inlineStr">
        <is>
          <t>United States</t>
        </is>
      </c>
      <c r="P329" s="4" t="inlineStr">
        <is>
          <t>United States</t>
        </is>
      </c>
      <c r="Q329" s="4" t="inlineStr">
        <is>
          <t>Friendly</t>
        </is>
      </c>
      <c r="R329" s="3" t="n">
        <v>13350</v>
      </c>
      <c r="S329" s="3" t="n">
        <v>13.9897</v>
      </c>
      <c r="T329" s="4" t="inlineStr">
        <is>
          <t>Company Takeover</t>
        </is>
      </c>
      <c r="U329" s="2" t="inlineStr">
        <is>
          <t>No</t>
        </is>
      </c>
      <c r="V329" s="2" t="inlineStr">
        <is>
          <t>No</t>
        </is>
      </c>
      <c r="W329" s="2" t="inlineStr">
        <is>
          <t>No</t>
        </is>
      </c>
      <c r="X329" s="2" t="inlineStr">
        <is>
          <t>No</t>
        </is>
      </c>
      <c r="Y329" s="2" t="inlineStr">
        <is>
          <t>No</t>
        </is>
      </c>
      <c r="Z329" s="2" t="inlineStr">
        <is>
          <t>No</t>
        </is>
      </c>
      <c r="AA329" s="6" t="n">
        <v>4.846888971</v>
      </c>
      <c r="AB329" s="6" t="n">
        <v>4.125481266</v>
      </c>
      <c r="AC329" s="6" t="n">
        <v>4.779100304</v>
      </c>
      <c r="AD329">
        <f t="array" ref="AD329">IF(SUMPRODUCT(--($AM$2:$AM$112=TRIM(LEFT($B329,IFERROR(FIND(" ",$B329)-1,LEN($B329))))))&gt;0,1,0)</f>
        <v/>
      </c>
      <c r="AE329">
        <f t="array" ref="AE329">IF(SUMPRODUCT(--($AO$2:$AO$145=TRIM(LEFT($B329,IFERROR(FIND(" ",$B329)-1,LEN($B329))))))&gt;0,1,0)</f>
        <v/>
      </c>
      <c r="AF329">
        <f t="array" ref="AF329">IF(SUMPRODUCT(--($AQ$2:$AQ$71=TRIM(LEFT($B329,IFERROR(FIND(" ",$B329)-1,LEN($B329))))))&gt;0,1,0)</f>
        <v/>
      </c>
    </row>
    <row r="330" ht="45.75" customHeight="1" thickBot="1">
      <c r="A330" s="13" t="n">
        <v>85</v>
      </c>
      <c r="B330" s="4" t="inlineStr">
        <is>
          <t>SCU US</t>
        </is>
      </c>
      <c r="C330" s="4" t="inlineStr">
        <is>
          <t>RITM US</t>
        </is>
      </c>
      <c r="D330" s="7" t="n">
        <v>45131</v>
      </c>
      <c r="E330" s="3" t="n">
        <v>541.87</v>
      </c>
      <c r="F330" s="4" t="inlineStr">
        <is>
          <t>Cash</t>
        </is>
      </c>
      <c r="G330" s="4" t="n"/>
      <c r="H330" s="4" t="inlineStr">
        <is>
          <t>Financials</t>
        </is>
      </c>
      <c r="I330" s="4" t="inlineStr">
        <is>
          <t>Financial Services</t>
        </is>
      </c>
      <c r="J330" s="4" t="inlineStr">
        <is>
          <t>Asset Management</t>
        </is>
      </c>
      <c r="K330" s="4" t="n"/>
      <c r="L330" s="4" t="n"/>
      <c r="M330" s="3" t="n">
        <v>4.69</v>
      </c>
      <c r="N330" s="3" t="n">
        <v>376.23</v>
      </c>
      <c r="O330" s="4" t="inlineStr">
        <is>
          <t>United States</t>
        </is>
      </c>
      <c r="P330" s="4" t="inlineStr">
        <is>
          <t>United States</t>
        </is>
      </c>
      <c r="Q330" s="4" t="inlineStr">
        <is>
          <t>Friendly</t>
        </is>
      </c>
      <c r="R330" s="3" t="n">
        <v>385.338</v>
      </c>
      <c r="S330" s="3" t="n">
        <v>-7.66178</v>
      </c>
      <c r="T330" s="4" t="inlineStr">
        <is>
          <t>Company Takeover</t>
        </is>
      </c>
      <c r="U330" s="2" t="inlineStr">
        <is>
          <t>No</t>
        </is>
      </c>
      <c r="V330" s="2" t="inlineStr">
        <is>
          <t>No</t>
        </is>
      </c>
      <c r="W330" s="2" t="inlineStr">
        <is>
          <t>No</t>
        </is>
      </c>
      <c r="X330" s="2" t="inlineStr">
        <is>
          <t>No</t>
        </is>
      </c>
      <c r="Y330" s="2" t="inlineStr">
        <is>
          <t>No</t>
        </is>
      </c>
      <c r="Z330" s="2" t="inlineStr">
        <is>
          <t>No</t>
        </is>
      </c>
      <c r="AA330" s="6" t="n">
        <v>2.733895107</v>
      </c>
      <c r="AB330" s="6" t="n">
        <v>2.585841839</v>
      </c>
      <c r="AC330" s="6" t="n">
        <v>2.575453423</v>
      </c>
      <c r="AD330">
        <f t="array" ref="AD330">IF(SUMPRODUCT(--($AM$2:$AM$112=TRIM(LEFT($B330,IFERROR(FIND(" ",$B330)-1,LEN($B330))))))&gt;0,1,0)</f>
        <v/>
      </c>
      <c r="AE330">
        <f t="array" ref="AE330">IF(SUMPRODUCT(--($AO$2:$AO$145=TRIM(LEFT($B330,IFERROR(FIND(" ",$B330)-1,LEN($B330))))))&gt;0,1,0)</f>
        <v/>
      </c>
      <c r="AF330">
        <f t="array" ref="AF330">IF(SUMPRODUCT(--($AQ$2:$AQ$71=TRIM(LEFT($B330,IFERROR(FIND(" ",$B330)-1,LEN($B330))))))&gt;0,1,0)</f>
        <v/>
      </c>
    </row>
    <row r="331" ht="75.75" customHeight="1" thickBot="1">
      <c r="A331" s="13" t="n">
        <v>202</v>
      </c>
      <c r="B331" s="4" t="inlineStr">
        <is>
          <t>ARGO US</t>
        </is>
      </c>
      <c r="C331" s="4" t="inlineStr">
        <is>
          <t>BNT CN</t>
        </is>
      </c>
      <c r="D331" s="7" t="n">
        <v>44965</v>
      </c>
      <c r="E331" s="3" t="n">
        <v>1051.66</v>
      </c>
      <c r="F331" s="4" t="inlineStr">
        <is>
          <t>Cash</t>
        </is>
      </c>
      <c r="G331" s="4" t="n"/>
      <c r="H331" s="4" t="inlineStr">
        <is>
          <t>Financials</t>
        </is>
      </c>
      <c r="I331" s="4" t="inlineStr">
        <is>
          <t>Insurance</t>
        </is>
      </c>
      <c r="J331" s="4" t="inlineStr">
        <is>
          <t>Insurance</t>
        </is>
      </c>
      <c r="K331" s="4" t="n"/>
      <c r="L331" s="4" t="n"/>
      <c r="M331" s="3" t="n">
        <v>9.68</v>
      </c>
      <c r="N331" s="3" t="n">
        <v>1051.66</v>
      </c>
      <c r="O331" s="4" t="inlineStr">
        <is>
          <t>United States</t>
        </is>
      </c>
      <c r="P331" s="4" t="inlineStr">
        <is>
          <t>Canada</t>
        </is>
      </c>
      <c r="Q331" s="4" t="inlineStr">
        <is>
          <t>Friendly</t>
        </is>
      </c>
      <c r="R331" s="3" t="n">
        <v>1359.6</v>
      </c>
      <c r="S331" s="3" t="n">
        <v>-6.02221</v>
      </c>
      <c r="T331" s="4" t="inlineStr">
        <is>
          <t>Company Takeover, Cross Border</t>
        </is>
      </c>
      <c r="U331" s="2" t="inlineStr">
        <is>
          <t>No</t>
        </is>
      </c>
      <c r="V331" s="2" t="inlineStr">
        <is>
          <t>No</t>
        </is>
      </c>
      <c r="W331" s="2" t="inlineStr">
        <is>
          <t>Yes</t>
        </is>
      </c>
      <c r="X331" s="2" t="inlineStr">
        <is>
          <t>No</t>
        </is>
      </c>
      <c r="Y331" s="2" t="inlineStr">
        <is>
          <t>No</t>
        </is>
      </c>
      <c r="Z331" s="2" t="inlineStr">
        <is>
          <t>No</t>
        </is>
      </c>
      <c r="AA331" s="6" t="n">
        <v>3.021875356</v>
      </c>
      <c r="AB331" s="6" t="n">
        <v>3.133411156</v>
      </c>
      <c r="AC331" s="6" t="n">
        <v>3.021875356</v>
      </c>
      <c r="AD331">
        <f t="array" ref="AD331">IF(SUMPRODUCT(--($AM$2:$AM$112=TRIM(LEFT($B331,IFERROR(FIND(" ",$B331)-1,LEN($B331))))))&gt;0,1,0)</f>
        <v/>
      </c>
      <c r="AE331">
        <f t="array" ref="AE331">IF(SUMPRODUCT(--($AO$2:$AO$145=TRIM(LEFT($B331,IFERROR(FIND(" ",$B331)-1,LEN($B331))))))&gt;0,1,0)</f>
        <v/>
      </c>
      <c r="AF331">
        <f t="array" ref="AF331">IF(SUMPRODUCT(--($AQ$2:$AQ$71=TRIM(LEFT($B331,IFERROR(FIND(" ",$B331)-1,LEN($B331))))))&gt;0,1,0)</f>
        <v/>
      </c>
    </row>
    <row r="332" ht="105.75" customHeight="1" thickBot="1">
      <c r="A332" s="13" t="n">
        <v>84</v>
      </c>
      <c r="B332" s="4" t="inlineStr">
        <is>
          <t>CCF US</t>
        </is>
      </c>
      <c r="C332" s="4" t="inlineStr">
        <is>
          <t>KKR US</t>
        </is>
      </c>
      <c r="D332" s="7" t="n">
        <v>45128</v>
      </c>
      <c r="E332" s="3" t="n">
        <v>1305.94</v>
      </c>
      <c r="F332" s="4" t="inlineStr">
        <is>
          <t>Cash</t>
        </is>
      </c>
      <c r="G332" s="3" t="n">
        <v>16.78</v>
      </c>
      <c r="H332" s="4" t="inlineStr">
        <is>
          <t>Industrials</t>
        </is>
      </c>
      <c r="I332" s="4" t="inlineStr">
        <is>
          <t>Industrial Products</t>
        </is>
      </c>
      <c r="J332" s="4" t="inlineStr">
        <is>
          <t>Electrical Equipment</t>
        </is>
      </c>
      <c r="K332" s="4" t="n"/>
      <c r="L332" s="4" t="n"/>
      <c r="M332" s="3" t="n">
        <v>5.27</v>
      </c>
      <c r="N332" s="3" t="n">
        <v>1212.06</v>
      </c>
      <c r="O332" s="4" t="inlineStr">
        <is>
          <t>United States</t>
        </is>
      </c>
      <c r="P332" s="4" t="inlineStr">
        <is>
          <t>United States</t>
        </is>
      </c>
      <c r="Q332" s="4" t="inlineStr">
        <is>
          <t>Friendly</t>
        </is>
      </c>
      <c r="R332" s="3" t="n">
        <v>404.015</v>
      </c>
      <c r="S332" s="3" t="n">
        <v>13.2686</v>
      </c>
      <c r="T332" s="4" t="inlineStr">
        <is>
          <t>Private Equity, PE Buyout, Company Takeover</t>
        </is>
      </c>
      <c r="U332" s="2" t="inlineStr">
        <is>
          <t>No</t>
        </is>
      </c>
      <c r="V332" s="2" t="inlineStr">
        <is>
          <t>No</t>
        </is>
      </c>
      <c r="W332" s="2" t="inlineStr">
        <is>
          <t>No</t>
        </is>
      </c>
      <c r="X332" s="2" t="inlineStr">
        <is>
          <t>No</t>
        </is>
      </c>
      <c r="Y332" s="2" t="inlineStr">
        <is>
          <t>Yes</t>
        </is>
      </c>
      <c r="Z332" s="2" t="inlineStr">
        <is>
          <t>No</t>
        </is>
      </c>
      <c r="AA332" s="6" t="n">
        <v>3.115923224</v>
      </c>
      <c r="AB332" s="6" t="n">
        <v>2.60639749</v>
      </c>
      <c r="AC332" s="6" t="n">
        <v>3.083524119</v>
      </c>
      <c r="AD332">
        <f t="array" ref="AD332">IF(SUMPRODUCT(--($AM$2:$AM$112=TRIM(LEFT($B332,IFERROR(FIND(" ",$B332)-1,LEN($B332))))))&gt;0,1,0)</f>
        <v/>
      </c>
      <c r="AE332">
        <f t="array" ref="AE332">IF(SUMPRODUCT(--($AO$2:$AO$145=TRIM(LEFT($B332,IFERROR(FIND(" ",$B332)-1,LEN($B332))))))&gt;0,1,0)</f>
        <v/>
      </c>
      <c r="AF332">
        <f t="array" ref="AF332">IF(SUMPRODUCT(--($AQ$2:$AQ$71=TRIM(LEFT($B332,IFERROR(FIND(" ",$B332)-1,LEN($B332))))))&gt;0,1,0)</f>
        <v/>
      </c>
    </row>
    <row r="333" ht="135.75" customHeight="1" thickBot="1">
      <c r="A333" s="13" t="n">
        <v>48</v>
      </c>
      <c r="B333" s="4" t="inlineStr">
        <is>
          <t>NXGN US</t>
        </is>
      </c>
      <c r="C333" s="4" t="inlineStr">
        <is>
          <t>129626Z US</t>
        </is>
      </c>
      <c r="D333" s="7" t="n">
        <v>45175</v>
      </c>
      <c r="E333" s="3" t="n">
        <v>1661</v>
      </c>
      <c r="F333" s="4" t="inlineStr">
        <is>
          <t>Cash</t>
        </is>
      </c>
      <c r="G333" s="3" t="n">
        <v>48.58</v>
      </c>
      <c r="H333" s="4" t="inlineStr">
        <is>
          <t>Technology</t>
        </is>
      </c>
      <c r="I333" s="4" t="inlineStr">
        <is>
          <t>Software &amp; Tech Services</t>
        </is>
      </c>
      <c r="J333" s="4" t="inlineStr">
        <is>
          <t>Software</t>
        </is>
      </c>
      <c r="K333" s="4" t="n"/>
      <c r="L333" s="4" t="n"/>
      <c r="M333" s="3" t="n">
        <v>37.67</v>
      </c>
      <c r="N333" s="3" t="n">
        <v>1605.09</v>
      </c>
      <c r="O333" s="4" t="inlineStr">
        <is>
          <t>United States</t>
        </is>
      </c>
      <c r="P333" s="4" t="inlineStr">
        <is>
          <t>United States</t>
        </is>
      </c>
      <c r="Q333" s="4" t="inlineStr">
        <is>
          <t>Friendly</t>
        </is>
      </c>
      <c r="R333" s="3" t="n">
        <v>653.172</v>
      </c>
      <c r="S333" s="3" t="n">
        <v>0.399538</v>
      </c>
      <c r="T333" s="4" t="inlineStr">
        <is>
          <t>Company Takeover, Private Equity, PE Buyout, Going Private</t>
        </is>
      </c>
      <c r="U333" s="2" t="inlineStr">
        <is>
          <t>No</t>
        </is>
      </c>
      <c r="V333" s="2" t="inlineStr">
        <is>
          <t>No</t>
        </is>
      </c>
      <c r="W333" s="2" t="inlineStr">
        <is>
          <t>No</t>
        </is>
      </c>
      <c r="X333" s="2" t="inlineStr">
        <is>
          <t>Yes</t>
        </is>
      </c>
      <c r="Y333" s="2" t="inlineStr">
        <is>
          <t>Yes</t>
        </is>
      </c>
      <c r="Z333" s="2" t="inlineStr">
        <is>
          <t>No</t>
        </is>
      </c>
      <c r="AA333" s="6" t="n">
        <v>3.220369632</v>
      </c>
      <c r="AB333" s="6" t="n">
        <v>2.815027559</v>
      </c>
      <c r="AC333" s="6" t="n">
        <v>3.205499389</v>
      </c>
      <c r="AD333">
        <f t="array" ref="AD333">IF(SUMPRODUCT(--($AM$2:$AM$112=TRIM(LEFT($B333,IFERROR(FIND(" ",$B333)-1,LEN($B333))))))&gt;0,1,0)</f>
        <v/>
      </c>
      <c r="AE333">
        <f t="array" ref="AE333">IF(SUMPRODUCT(--($AO$2:$AO$145=TRIM(LEFT($B333,IFERROR(FIND(" ",$B333)-1,LEN($B333))))))&gt;0,1,0)</f>
        <v/>
      </c>
      <c r="AF333">
        <f t="array" ref="AF333">IF(SUMPRODUCT(--($AQ$2:$AQ$71=TRIM(LEFT($B333,IFERROR(FIND(" ",$B333)-1,LEN($B333))))))&gt;0,1,0)</f>
        <v/>
      </c>
    </row>
    <row r="334" ht="105.75" customHeight="1" thickBot="1">
      <c r="A334" s="13" t="n">
        <v>33</v>
      </c>
      <c r="B334" s="4" t="inlineStr">
        <is>
          <t>ICPT US</t>
        </is>
      </c>
      <c r="C334" s="4" t="inlineStr">
        <is>
          <t>1482853D IM</t>
        </is>
      </c>
      <c r="D334" s="7" t="n">
        <v>45195</v>
      </c>
      <c r="E334" s="3" t="n">
        <v>713.42</v>
      </c>
      <c r="F334" s="4" t="inlineStr">
        <is>
          <t>Cash</t>
        </is>
      </c>
      <c r="G334" s="4" t="n"/>
      <c r="H334" s="4" t="inlineStr">
        <is>
          <t>Health Care</t>
        </is>
      </c>
      <c r="I334" s="4" t="inlineStr">
        <is>
          <t>Health Care</t>
        </is>
      </c>
      <c r="J334" s="4" t="inlineStr">
        <is>
          <t>Biotech &amp; Pharma</t>
        </is>
      </c>
      <c r="K334" s="4" t="n"/>
      <c r="L334" s="4" t="n"/>
      <c r="M334" s="3" t="n">
        <v>71.79000000000001</v>
      </c>
      <c r="N334" s="3" t="n">
        <v>793.87</v>
      </c>
      <c r="O334" s="4" t="inlineStr">
        <is>
          <t>United States</t>
        </is>
      </c>
      <c r="P334" s="4" t="inlineStr">
        <is>
          <t>Italy</t>
        </is>
      </c>
      <c r="Q334" s="4" t="inlineStr">
        <is>
          <t>Friendly</t>
        </is>
      </c>
      <c r="R334" s="3" t="n">
        <v>285.71</v>
      </c>
      <c r="S334" s="3" t="n">
        <v>-19.6041</v>
      </c>
      <c r="T334" s="4" t="inlineStr">
        <is>
          <t>Cross Border, Tender Offer, Company Takeover</t>
        </is>
      </c>
      <c r="U334" s="2" t="inlineStr">
        <is>
          <t>No</t>
        </is>
      </c>
      <c r="V334" s="2" t="inlineStr">
        <is>
          <t>No</t>
        </is>
      </c>
      <c r="W334" s="2" t="inlineStr">
        <is>
          <t>Yes</t>
        </is>
      </c>
      <c r="X334" s="2" t="inlineStr">
        <is>
          <t>No</t>
        </is>
      </c>
      <c r="Y334" s="2" t="inlineStr">
        <is>
          <t>No</t>
        </is>
      </c>
      <c r="Z334" s="2" t="inlineStr">
        <is>
          <t>Yes</t>
        </is>
      </c>
      <c r="AA334" s="6" t="n">
        <v>2.85334528</v>
      </c>
      <c r="AB334" s="6" t="n">
        <v>2.455925441</v>
      </c>
      <c r="AC334" s="6" t="n">
        <v>2.89974939</v>
      </c>
      <c r="AD334">
        <f t="array" ref="AD334">IF(SUMPRODUCT(--($AM$2:$AM$112=TRIM(LEFT($B334,IFERROR(FIND(" ",$B334)-1,LEN($B334))))))&gt;0,1,0)</f>
        <v/>
      </c>
      <c r="AE334">
        <f t="array" ref="AE334">IF(SUMPRODUCT(--($AO$2:$AO$145=TRIM(LEFT($B334,IFERROR(FIND(" ",$B334)-1,LEN($B334))))))&gt;0,1,0)</f>
        <v/>
      </c>
      <c r="AF334">
        <f t="array" ref="AF334">IF(SUMPRODUCT(--($AQ$2:$AQ$71=TRIM(LEFT($B334,IFERROR(FIND(" ",$B334)-1,LEN($B334))))))&gt;0,1,0)</f>
        <v/>
      </c>
    </row>
    <row r="335" ht="135.75" customHeight="1" thickBot="1">
      <c r="A335" s="13" t="n">
        <v>73</v>
      </c>
      <c r="B335" s="4" t="inlineStr">
        <is>
          <t>NEWR US</t>
        </is>
      </c>
      <c r="C335" s="2" t="n"/>
      <c r="D335" s="7" t="n">
        <v>45138</v>
      </c>
      <c r="E335" s="3" t="n">
        <v>5778.9</v>
      </c>
      <c r="F335" s="4" t="inlineStr">
        <is>
          <t>Cash</t>
        </is>
      </c>
      <c r="G335" s="4" t="n"/>
      <c r="H335" s="4" t="inlineStr">
        <is>
          <t>Technology</t>
        </is>
      </c>
      <c r="I335" s="4" t="inlineStr">
        <is>
          <t>Software &amp; Tech Services</t>
        </is>
      </c>
      <c r="J335" s="4" t="inlineStr">
        <is>
          <t>Software</t>
        </is>
      </c>
      <c r="K335" s="4" t="n"/>
      <c r="L335" s="4" t="n"/>
      <c r="M335" s="3" t="n">
        <v>23.41</v>
      </c>
      <c r="N335" s="3" t="n">
        <v>6109.35</v>
      </c>
      <c r="O335" s="4" t="inlineStr">
        <is>
          <t>United States</t>
        </is>
      </c>
      <c r="P335" s="4" t="inlineStr">
        <is>
          <t>United States</t>
        </is>
      </c>
      <c r="Q335" s="4" t="inlineStr">
        <is>
          <t>Friendly</t>
        </is>
      </c>
      <c r="R335" s="3" t="n">
        <v>925.626</v>
      </c>
      <c r="S335" s="3" t="n">
        <v>-14.2379</v>
      </c>
      <c r="T335" s="4" t="inlineStr">
        <is>
          <t>Company Takeover, Going Private, Private Equity, PE Buyout</t>
        </is>
      </c>
      <c r="U335" s="2" t="inlineStr">
        <is>
          <t>No</t>
        </is>
      </c>
      <c r="V335" s="2" t="inlineStr">
        <is>
          <t>No</t>
        </is>
      </c>
      <c r="W335" s="2" t="inlineStr">
        <is>
          <t>No</t>
        </is>
      </c>
      <c r="X335" s="2" t="inlineStr">
        <is>
          <t>Yes</t>
        </is>
      </c>
      <c r="Y335" s="2" t="inlineStr">
        <is>
          <t>Yes</t>
        </is>
      </c>
      <c r="Z335" s="2" t="inlineStr">
        <is>
          <t>No</t>
        </is>
      </c>
      <c r="AA335" s="6" t="n">
        <v>3.761845179</v>
      </c>
      <c r="AB335" s="6" t="n">
        <v>2.966435545</v>
      </c>
      <c r="AC335" s="6" t="n">
        <v>3.785995006</v>
      </c>
      <c r="AD335">
        <f t="array" ref="AD335">IF(SUMPRODUCT(--($AM$2:$AM$112=TRIM(LEFT($B335,IFERROR(FIND(" ",$B335)-1,LEN($B335))))))&gt;0,1,0)</f>
        <v/>
      </c>
      <c r="AE335">
        <f t="array" ref="AE335">IF(SUMPRODUCT(--($AO$2:$AO$145=TRIM(LEFT($B335,IFERROR(FIND(" ",$B335)-1,LEN($B335))))))&gt;0,1,0)</f>
        <v/>
      </c>
      <c r="AF335">
        <f t="array" ref="AF335">IF(SUMPRODUCT(--($AQ$2:$AQ$71=TRIM(LEFT($B335,IFERROR(FIND(" ",$B335)-1,LEN($B335))))))&gt;0,1,0)</f>
        <v/>
      </c>
    </row>
    <row r="336" ht="45.75" customHeight="1" thickBot="1">
      <c r="A336" s="13" t="n">
        <v>43</v>
      </c>
      <c r="B336" s="4" t="inlineStr">
        <is>
          <t>TWNK US</t>
        </is>
      </c>
      <c r="C336" s="4" t="inlineStr">
        <is>
          <t>SJM US</t>
        </is>
      </c>
      <c r="D336" s="7" t="n">
        <v>45180</v>
      </c>
      <c r="E336" s="3" t="n">
        <v>5470.95</v>
      </c>
      <c r="F336" s="4" t="inlineStr">
        <is>
          <t>Cash and Stock</t>
        </is>
      </c>
      <c r="G336" s="3" t="n">
        <v>17.14</v>
      </c>
      <c r="H336" s="4" t="inlineStr">
        <is>
          <t>Consumer Staples</t>
        </is>
      </c>
      <c r="I336" s="4" t="inlineStr">
        <is>
          <t>Consumer Staple Products</t>
        </is>
      </c>
      <c r="J336" s="4" t="inlineStr">
        <is>
          <t>Food</t>
        </is>
      </c>
      <c r="K336" s="4" t="n"/>
      <c r="L336" s="3" t="n">
        <v>175</v>
      </c>
      <c r="M336" s="3" t="n">
        <v>35.35</v>
      </c>
      <c r="N336" s="3" t="n">
        <v>4554.88</v>
      </c>
      <c r="O336" s="4" t="inlineStr">
        <is>
          <t>United States</t>
        </is>
      </c>
      <c r="P336" s="4" t="inlineStr">
        <is>
          <t>United States</t>
        </is>
      </c>
      <c r="Q336" s="4" t="inlineStr">
        <is>
          <t>Friendly</t>
        </is>
      </c>
      <c r="R336" s="3" t="n">
        <v>1358.21</v>
      </c>
      <c r="S336" s="3" t="n">
        <v>16.1048</v>
      </c>
      <c r="T336" s="4" t="inlineStr">
        <is>
          <t>Company Takeover</t>
        </is>
      </c>
      <c r="U336" s="2" t="inlineStr">
        <is>
          <t>No</t>
        </is>
      </c>
      <c r="V336" s="2" t="inlineStr">
        <is>
          <t>No</t>
        </is>
      </c>
      <c r="W336" s="2" t="inlineStr">
        <is>
          <t>No</t>
        </is>
      </c>
      <c r="X336" s="2" t="inlineStr">
        <is>
          <t>No</t>
        </is>
      </c>
      <c r="Y336" s="2" t="inlineStr">
        <is>
          <t>No</t>
        </is>
      </c>
      <c r="Z336" s="2" t="inlineStr">
        <is>
          <t>No</t>
        </is>
      </c>
      <c r="AA336" s="6" t="n">
        <v>3.738062746</v>
      </c>
      <c r="AB336" s="6" t="n">
        <v>3.132966924</v>
      </c>
      <c r="AC336" s="6" t="n">
        <v>3.65847694</v>
      </c>
      <c r="AD336">
        <f t="array" ref="AD336">IF(SUMPRODUCT(--($AM$2:$AM$112=TRIM(LEFT($B336,IFERROR(FIND(" ",$B336)-1,LEN($B336))))))&gt;0,1,0)</f>
        <v/>
      </c>
      <c r="AE336">
        <f t="array" ref="AE336">IF(SUMPRODUCT(--($AO$2:$AO$145=TRIM(LEFT($B336,IFERROR(FIND(" ",$B336)-1,LEN($B336))))))&gt;0,1,0)</f>
        <v/>
      </c>
      <c r="AF336">
        <f t="array" ref="AF336">IF(SUMPRODUCT(--($AQ$2:$AQ$71=TRIM(LEFT($B336,IFERROR(FIND(" ",$B336)-1,LEN($B336))))))&gt;0,1,0)</f>
        <v/>
      </c>
    </row>
    <row r="337" ht="135.75" customHeight="1" thickBot="1">
      <c r="A337" s="13" t="n">
        <v>66</v>
      </c>
      <c r="B337" s="4" t="inlineStr">
        <is>
          <t>AVID US</t>
        </is>
      </c>
      <c r="C337" s="4" t="inlineStr">
        <is>
          <t>147458Z US</t>
        </is>
      </c>
      <c r="D337" s="7" t="n">
        <v>45147</v>
      </c>
      <c r="E337" s="3" t="n">
        <v>1376.78</v>
      </c>
      <c r="F337" s="4" t="inlineStr">
        <is>
          <t>Cash</t>
        </is>
      </c>
      <c r="G337" s="4" t="n"/>
      <c r="H337" s="4" t="inlineStr">
        <is>
          <t>Technology</t>
        </is>
      </c>
      <c r="I337" s="4" t="inlineStr">
        <is>
          <t>Software &amp; Tech Services</t>
        </is>
      </c>
      <c r="J337" s="4" t="inlineStr">
        <is>
          <t>Software</t>
        </is>
      </c>
      <c r="K337" s="4" t="n"/>
      <c r="L337" s="4" t="n"/>
      <c r="M337" s="3" t="n">
        <v>6.12</v>
      </c>
      <c r="N337" s="3" t="n">
        <v>1191.22</v>
      </c>
      <c r="O337" s="4" t="inlineStr">
        <is>
          <t>United States</t>
        </is>
      </c>
      <c r="P337" s="4" t="inlineStr">
        <is>
          <t>United States</t>
        </is>
      </c>
      <c r="Q337" s="4" t="inlineStr">
        <is>
          <t>Friendly</t>
        </is>
      </c>
      <c r="R337" s="3" t="n">
        <v>417.413</v>
      </c>
      <c r="S337" s="3" t="n">
        <v>4.26691</v>
      </c>
      <c r="T337" s="4" t="inlineStr">
        <is>
          <t>Company Takeover, Going Private, PE Buyout, Private Equity</t>
        </is>
      </c>
      <c r="U337" s="2" t="inlineStr">
        <is>
          <t>No</t>
        </is>
      </c>
      <c r="V337" s="2" t="inlineStr">
        <is>
          <t>No</t>
        </is>
      </c>
      <c r="W337" s="2" t="inlineStr">
        <is>
          <t>No</t>
        </is>
      </c>
      <c r="X337" s="2" t="inlineStr">
        <is>
          <t>Yes</t>
        </is>
      </c>
      <c r="Y337" s="2" t="inlineStr">
        <is>
          <t>Yes</t>
        </is>
      </c>
      <c r="Z337" s="2" t="inlineStr">
        <is>
          <t>No</t>
        </is>
      </c>
      <c r="AA337" s="6" t="n">
        <v>3.138864549</v>
      </c>
      <c r="AB337" s="6" t="n">
        <v>2.620565971</v>
      </c>
      <c r="AC337" s="6" t="n">
        <v>3.075991976</v>
      </c>
      <c r="AD337">
        <f t="array" ref="AD337">IF(SUMPRODUCT(--($AM$2:$AM$112=TRIM(LEFT($B337,IFERROR(FIND(" ",$B337)-1,LEN($B337))))))&gt;0,1,0)</f>
        <v/>
      </c>
      <c r="AE337">
        <f t="array" ref="AE337">IF(SUMPRODUCT(--($AO$2:$AO$145=TRIM(LEFT($B337,IFERROR(FIND(" ",$B337)-1,LEN($B337))))))&gt;0,1,0)</f>
        <v/>
      </c>
      <c r="AF337">
        <f t="array" ref="AF337">IF(SUMPRODUCT(--($AQ$2:$AQ$71=TRIM(LEFT($B337,IFERROR(FIND(" ",$B337)-1,LEN($B337))))))&gt;0,1,0)</f>
        <v/>
      </c>
    </row>
    <row r="338" ht="135.75" customHeight="1" thickBot="1">
      <c r="A338" s="13" t="n">
        <v>66</v>
      </c>
      <c r="B338" s="4" t="inlineStr">
        <is>
          <t>TRHC US</t>
        </is>
      </c>
      <c r="C338" s="4" t="inlineStr">
        <is>
          <t>344021Z US</t>
        </is>
      </c>
      <c r="D338" s="7" t="n">
        <v>45145</v>
      </c>
      <c r="E338" s="3" t="n">
        <v>550.91</v>
      </c>
      <c r="F338" s="4" t="inlineStr">
        <is>
          <t>Cash</t>
        </is>
      </c>
      <c r="G338" s="4" t="n"/>
      <c r="H338" s="4" t="inlineStr">
        <is>
          <t>Technology</t>
        </is>
      </c>
      <c r="I338" s="4" t="inlineStr">
        <is>
          <t>Software &amp; Tech Services</t>
        </is>
      </c>
      <c r="J338" s="4" t="inlineStr">
        <is>
          <t>Software</t>
        </is>
      </c>
      <c r="K338" s="4" t="n"/>
      <c r="L338" s="4" t="n"/>
      <c r="M338" s="3" t="n">
        <v>27.36</v>
      </c>
      <c r="N338" s="3" t="n">
        <v>281.94</v>
      </c>
      <c r="O338" s="4" t="inlineStr">
        <is>
          <t>United States</t>
        </is>
      </c>
      <c r="P338" s="4" t="inlineStr">
        <is>
          <t>United States</t>
        </is>
      </c>
      <c r="Q338" s="4" t="inlineStr">
        <is>
          <t>Friendly</t>
        </is>
      </c>
      <c r="R338" s="3" t="n">
        <v>299.516</v>
      </c>
      <c r="S338" s="3" t="n">
        <v>-16.6118</v>
      </c>
      <c r="T338" s="4" t="inlineStr">
        <is>
          <t>Company Takeover, Private Equity, PE Buyout, Going Private</t>
        </is>
      </c>
      <c r="U338" s="2" t="inlineStr">
        <is>
          <t>No</t>
        </is>
      </c>
      <c r="V338" s="2" t="inlineStr">
        <is>
          <t>No</t>
        </is>
      </c>
      <c r="W338" s="2" t="inlineStr">
        <is>
          <t>No</t>
        </is>
      </c>
      <c r="X338" s="2" t="inlineStr">
        <is>
          <t>Yes</t>
        </is>
      </c>
      <c r="Y338" s="2" t="inlineStr">
        <is>
          <t>Yes</t>
        </is>
      </c>
      <c r="Z338" s="2" t="inlineStr">
        <is>
          <t>No</t>
        </is>
      </c>
      <c r="AA338" s="6" t="n">
        <v>2.741080656</v>
      </c>
      <c r="AB338" s="6" t="n">
        <v>2.476420027</v>
      </c>
      <c r="AC338" s="6" t="n">
        <v>2.450156695</v>
      </c>
      <c r="AD338">
        <f t="array" ref="AD338">IF(SUMPRODUCT(--($AM$2:$AM$112=TRIM(LEFT($B338,IFERROR(FIND(" ",$B338)-1,LEN($B338))))))&gt;0,1,0)</f>
        <v/>
      </c>
      <c r="AE338">
        <f t="array" ref="AE338">IF(SUMPRODUCT(--($AO$2:$AO$145=TRIM(LEFT($B338,IFERROR(FIND(" ",$B338)-1,LEN($B338))))))&gt;0,1,0)</f>
        <v/>
      </c>
      <c r="AF338">
        <f t="array" ref="AF338">IF(SUMPRODUCT(--($AQ$2:$AQ$71=TRIM(LEFT($B338,IFERROR(FIND(" ",$B338)-1,LEN($B338))))))&gt;0,1,0)</f>
        <v/>
      </c>
    </row>
    <row r="339" ht="45.75" customHeight="1" thickBot="1">
      <c r="A339" s="13" t="n">
        <v>58</v>
      </c>
      <c r="B339" s="4" t="inlineStr">
        <is>
          <t>CEQP US</t>
        </is>
      </c>
      <c r="C339" s="4" t="inlineStr">
        <is>
          <t>ET US</t>
        </is>
      </c>
      <c r="D339" s="7" t="n">
        <v>45154</v>
      </c>
      <c r="E339" s="3" t="n">
        <v>6127.67</v>
      </c>
      <c r="F339" s="4" t="inlineStr">
        <is>
          <t>Stock</t>
        </is>
      </c>
      <c r="G339" s="3" t="n">
        <v>5.82</v>
      </c>
      <c r="H339" s="4" t="inlineStr">
        <is>
          <t>Energy</t>
        </is>
      </c>
      <c r="I339" s="4" t="inlineStr">
        <is>
          <t>Oil &amp; Gas</t>
        </is>
      </c>
      <c r="J339" s="4" t="inlineStr">
        <is>
          <t>Oil &amp; Gas Supply Chain</t>
        </is>
      </c>
      <c r="K339" s="4" t="n"/>
      <c r="L339" s="4" t="n"/>
      <c r="M339" s="3" t="n">
        <v>-2.13</v>
      </c>
      <c r="N339" s="3" t="n">
        <v>2840.57</v>
      </c>
      <c r="O339" s="4" t="inlineStr">
        <is>
          <t>United States</t>
        </is>
      </c>
      <c r="P339" s="4" t="inlineStr">
        <is>
          <t>United States</t>
        </is>
      </c>
      <c r="Q339" s="4" t="inlineStr">
        <is>
          <t>Friendly</t>
        </is>
      </c>
      <c r="R339" s="3" t="n">
        <v>6000.7</v>
      </c>
      <c r="S339" s="3" t="n">
        <v>7.1106</v>
      </c>
      <c r="T339" s="4" t="inlineStr">
        <is>
          <t>Company Takeover</t>
        </is>
      </c>
      <c r="U339" s="2" t="inlineStr">
        <is>
          <t>No</t>
        </is>
      </c>
      <c r="V339" s="2" t="inlineStr">
        <is>
          <t>No</t>
        </is>
      </c>
      <c r="W339" s="2" t="inlineStr">
        <is>
          <t>No</t>
        </is>
      </c>
      <c r="X339" s="2" t="inlineStr">
        <is>
          <t>No</t>
        </is>
      </c>
      <c r="Y339" s="2" t="inlineStr">
        <is>
          <t>No</t>
        </is>
      </c>
      <c r="Z339" s="2" t="inlineStr">
        <is>
          <t>No</t>
        </is>
      </c>
      <c r="AA339" s="6" t="n">
        <v>3.787295369</v>
      </c>
      <c r="AB339" s="6" t="n">
        <v>3.778201915</v>
      </c>
      <c r="AC339" s="6" t="n">
        <v>3.453405496</v>
      </c>
      <c r="AD339">
        <f t="array" ref="AD339">IF(SUMPRODUCT(--($AM$2:$AM$112=TRIM(LEFT($B339,IFERROR(FIND(" ",$B339)-1,LEN($B339))))))&gt;0,1,0)</f>
        <v/>
      </c>
      <c r="AE339">
        <f t="array" ref="AE339">IF(SUMPRODUCT(--($AO$2:$AO$145=TRIM(LEFT($B339,IFERROR(FIND(" ",$B339)-1,LEN($B339))))))&gt;0,1,0)</f>
        <v/>
      </c>
      <c r="AF339">
        <f t="array" ref="AF339">IF(SUMPRODUCT(--($AQ$2:$AQ$71=TRIM(LEFT($B339,IFERROR(FIND(" ",$B339)-1,LEN($B339))))))&gt;0,1,0)</f>
        <v/>
      </c>
    </row>
    <row r="340" ht="45.75" customHeight="1" thickBot="1">
      <c r="A340" s="13" t="n">
        <v>81</v>
      </c>
      <c r="B340" s="4" t="inlineStr">
        <is>
          <t>DEN US</t>
        </is>
      </c>
      <c r="C340" s="4" t="inlineStr">
        <is>
          <t>XOM US</t>
        </is>
      </c>
      <c r="D340" s="7" t="n">
        <v>45120</v>
      </c>
      <c r="E340" s="3" t="n">
        <v>4522.62</v>
      </c>
      <c r="F340" s="4" t="inlineStr">
        <is>
          <t>Stock</t>
        </is>
      </c>
      <c r="G340" s="3" t="n">
        <v>7.72</v>
      </c>
      <c r="H340" s="4" t="inlineStr">
        <is>
          <t>Energy</t>
        </is>
      </c>
      <c r="I340" s="4" t="inlineStr">
        <is>
          <t>Oil &amp; Gas</t>
        </is>
      </c>
      <c r="J340" s="4" t="inlineStr">
        <is>
          <t>Oil &amp; Gas Supply Chain</t>
        </is>
      </c>
      <c r="K340" s="4" t="n"/>
      <c r="L340" s="4" t="n"/>
      <c r="M340" s="3" t="n">
        <v>1.99</v>
      </c>
      <c r="N340" s="3" t="n">
        <v>4435.93</v>
      </c>
      <c r="O340" s="4" t="inlineStr">
        <is>
          <t>United States</t>
        </is>
      </c>
      <c r="P340" s="4" t="inlineStr">
        <is>
          <t>United States</t>
        </is>
      </c>
      <c r="Q340" s="4" t="inlineStr">
        <is>
          <t>Friendly</t>
        </is>
      </c>
      <c r="R340" s="3" t="n">
        <v>1388.59</v>
      </c>
      <c r="S340" s="3" t="n">
        <v>26.3674</v>
      </c>
      <c r="T340" s="4" t="inlineStr">
        <is>
          <t>Company Takeover</t>
        </is>
      </c>
      <c r="U340" s="2" t="inlineStr">
        <is>
          <t>No</t>
        </is>
      </c>
      <c r="V340" s="2" t="inlineStr">
        <is>
          <t>No</t>
        </is>
      </c>
      <c r="W340" s="2" t="inlineStr">
        <is>
          <t>No</t>
        </is>
      </c>
      <c r="X340" s="2" t="inlineStr">
        <is>
          <t>No</t>
        </is>
      </c>
      <c r="Y340" s="2" t="inlineStr">
        <is>
          <t>No</t>
        </is>
      </c>
      <c r="Z340" s="2" t="inlineStr">
        <is>
          <t>No</t>
        </is>
      </c>
      <c r="AA340" s="6" t="n">
        <v>3.655390099</v>
      </c>
      <c r="AB340" s="6" t="n">
        <v>3.142574033</v>
      </c>
      <c r="AC340" s="6" t="n">
        <v>3.646984684</v>
      </c>
      <c r="AD340">
        <f t="array" ref="AD340">IF(SUMPRODUCT(--($AM$2:$AM$112=TRIM(LEFT($B340,IFERROR(FIND(" ",$B340)-1,LEN($B340))))))&gt;0,1,0)</f>
        <v/>
      </c>
      <c r="AE340">
        <f t="array" ref="AE340">IF(SUMPRODUCT(--($AO$2:$AO$145=TRIM(LEFT($B340,IFERROR(FIND(" ",$B340)-1,LEN($B340))))))&gt;0,1,0)</f>
        <v/>
      </c>
      <c r="AF340">
        <f t="array" ref="AF340">IF(SUMPRODUCT(--($AQ$2:$AQ$71=TRIM(LEFT($B340,IFERROR(FIND(" ",$B340)-1,LEN($B340))))))&gt;0,1,0)</f>
        <v/>
      </c>
    </row>
    <row r="341" ht="45.75" customHeight="1" thickBot="1">
      <c r="A341" s="13" t="n">
        <v>53</v>
      </c>
      <c r="B341" s="4" t="inlineStr">
        <is>
          <t>ESTE US</t>
        </is>
      </c>
      <c r="C341" s="4" t="inlineStr">
        <is>
          <t>PR US</t>
        </is>
      </c>
      <c r="D341" s="7" t="n">
        <v>45159</v>
      </c>
      <c r="E341" s="3" t="n">
        <v>2809.78</v>
      </c>
      <c r="F341" s="4" t="inlineStr">
        <is>
          <t>Stock</t>
        </is>
      </c>
      <c r="G341" s="3" t="n">
        <v>2.21</v>
      </c>
      <c r="H341" s="4" t="inlineStr">
        <is>
          <t>Energy</t>
        </is>
      </c>
      <c r="I341" s="4" t="inlineStr">
        <is>
          <t>Oil &amp; Gas</t>
        </is>
      </c>
      <c r="J341" s="4" t="inlineStr">
        <is>
          <t>Oil &amp; Gas Supply Chain</t>
        </is>
      </c>
      <c r="K341" s="3" t="n">
        <v>175</v>
      </c>
      <c r="L341" s="3" t="n">
        <v>87.5</v>
      </c>
      <c r="M341" s="3" t="n">
        <v>8.84</v>
      </c>
      <c r="N341" s="3" t="n">
        <v>1831.06</v>
      </c>
      <c r="O341" s="4" t="inlineStr">
        <is>
          <t>United States</t>
        </is>
      </c>
      <c r="P341" s="4" t="inlineStr">
        <is>
          <t>United States</t>
        </is>
      </c>
      <c r="Q341" s="4" t="inlineStr">
        <is>
          <t>Friendly</t>
        </is>
      </c>
      <c r="R341" s="3" t="n">
        <v>1695.15</v>
      </c>
      <c r="S341" s="3" t="n">
        <v>42.0728</v>
      </c>
      <c r="T341" s="4" t="inlineStr">
        <is>
          <t>Company Takeover</t>
        </is>
      </c>
      <c r="U341" s="2" t="inlineStr">
        <is>
          <t>No</t>
        </is>
      </c>
      <c r="V341" s="2" t="inlineStr">
        <is>
          <t>No</t>
        </is>
      </c>
      <c r="W341" s="2" t="inlineStr">
        <is>
          <t>No</t>
        </is>
      </c>
      <c r="X341" s="2" t="inlineStr">
        <is>
          <t>No</t>
        </is>
      </c>
      <c r="Y341" s="2" t="inlineStr">
        <is>
          <t>No</t>
        </is>
      </c>
      <c r="Z341" s="2" t="inlineStr">
        <is>
          <t>No</t>
        </is>
      </c>
      <c r="AA341" s="6" t="n">
        <v>3.448672317</v>
      </c>
      <c r="AB341" s="6" t="n">
        <v>3.229208134</v>
      </c>
      <c r="AC341" s="6" t="n">
        <v>3.262702575</v>
      </c>
      <c r="AD341">
        <f t="array" ref="AD341">IF(SUMPRODUCT(--($AM$2:$AM$112=TRIM(LEFT($B341,IFERROR(FIND(" ",$B341)-1,LEN($B341))))))&gt;0,1,0)</f>
        <v/>
      </c>
      <c r="AE341">
        <f t="array" ref="AE341">IF(SUMPRODUCT(--($AO$2:$AO$145=TRIM(LEFT($B341,IFERROR(FIND(" ",$B341)-1,LEN($B341))))))&gt;0,1,0)</f>
        <v/>
      </c>
      <c r="AF341">
        <f t="array" ref="AF341">IF(SUMPRODUCT(--($AQ$2:$AQ$71=TRIM(LEFT($B341,IFERROR(FIND(" ",$B341)-1,LEN($B341))))))&gt;0,1,0)</f>
        <v/>
      </c>
    </row>
    <row r="342" ht="90.75" customHeight="1" thickBot="1">
      <c r="A342" s="13" t="n">
        <v>665</v>
      </c>
      <c r="B342" s="4" t="inlineStr">
        <is>
          <t>ABCT CN</t>
        </is>
      </c>
      <c r="C342" s="4" t="inlineStr">
        <is>
          <t>APO US</t>
        </is>
      </c>
      <c r="D342" s="7" t="n">
        <v>44299</v>
      </c>
      <c r="E342" s="3" t="n">
        <v>682.2</v>
      </c>
      <c r="F342" s="4" t="inlineStr">
        <is>
          <t>Cash</t>
        </is>
      </c>
      <c r="G342" s="3" t="n">
        <v>13.68</v>
      </c>
      <c r="H342" s="4" t="inlineStr">
        <is>
          <t>Consumer Discretionary</t>
        </is>
      </c>
      <c r="I342" s="4" t="inlineStr">
        <is>
          <t>Consumer Discretionary Products</t>
        </is>
      </c>
      <c r="J342" s="4" t="inlineStr">
        <is>
          <t>Automotive</t>
        </is>
      </c>
      <c r="K342" s="4" t="n"/>
      <c r="L342" s="4" t="n"/>
      <c r="M342" s="4" t="n"/>
      <c r="N342" s="3" t="n">
        <v>213.54</v>
      </c>
      <c r="O342" s="4" t="inlineStr">
        <is>
          <t>United States</t>
        </is>
      </c>
      <c r="P342" s="4" t="inlineStr">
        <is>
          <t>United States</t>
        </is>
      </c>
      <c r="Q342" s="4" t="inlineStr">
        <is>
          <t>Friendly</t>
        </is>
      </c>
      <c r="R342" s="3" t="n">
        <v>1432.69</v>
      </c>
      <c r="S342" s="3" t="n">
        <v>0.0259651</v>
      </c>
      <c r="T342" s="4" t="inlineStr">
        <is>
          <t>Private Equity, Majority purchase, Cross Border</t>
        </is>
      </c>
      <c r="U342" s="2" t="inlineStr">
        <is>
          <t>No</t>
        </is>
      </c>
      <c r="V342" s="2" t="inlineStr">
        <is>
          <t>No</t>
        </is>
      </c>
      <c r="W342" s="2" t="inlineStr">
        <is>
          <t>Yes</t>
        </is>
      </c>
      <c r="X342" s="2" t="inlineStr">
        <is>
          <t>No</t>
        </is>
      </c>
      <c r="Y342" s="2" t="inlineStr">
        <is>
          <t>No</t>
        </is>
      </c>
      <c r="Z342" s="2" t="inlineStr">
        <is>
          <t>No</t>
        </is>
      </c>
      <c r="AA342" s="6" t="n">
        <v>2.833911715</v>
      </c>
      <c r="AB342" s="6" t="n">
        <v>3.15615223</v>
      </c>
      <c r="AC342" s="6" t="n">
        <v>2.329479238</v>
      </c>
      <c r="AD342">
        <f t="array" ref="AD342">IF(SUMPRODUCT(--($AM$2:$AM$112=TRIM(LEFT($B342,IFERROR(FIND(" ",$B342)-1,LEN($B342))))))&gt;0,1,0)</f>
        <v/>
      </c>
      <c r="AE342">
        <f t="array" ref="AE342">IF(SUMPRODUCT(--($AO$2:$AO$145=TRIM(LEFT($B342,IFERROR(FIND(" ",$B342)-1,LEN($B342))))))&gt;0,1,0)</f>
        <v/>
      </c>
      <c r="AF342">
        <f t="array" ref="AF342">IF(SUMPRODUCT(--($AQ$2:$AQ$71=TRIM(LEFT($B342,IFERROR(FIND(" ",$B342)-1,LEN($B342))))))&gt;0,1,0)</f>
        <v/>
      </c>
    </row>
    <row r="343" ht="135.75" customHeight="1" thickBot="1">
      <c r="A343" s="13" t="n">
        <v>98</v>
      </c>
      <c r="B343" s="4" t="inlineStr">
        <is>
          <t>CIR US</t>
        </is>
      </c>
      <c r="C343" s="4" t="inlineStr">
        <is>
          <t>KKR US</t>
        </is>
      </c>
      <c r="D343" s="7" t="n">
        <v>45082</v>
      </c>
      <c r="E343" s="3" t="n">
        <v>1589.83</v>
      </c>
      <c r="F343" s="4" t="inlineStr">
        <is>
          <t>Cash</t>
        </is>
      </c>
      <c r="G343" s="3" t="n">
        <v>14.65</v>
      </c>
      <c r="H343" s="4" t="inlineStr">
        <is>
          <t>Industrials</t>
        </is>
      </c>
      <c r="I343" s="4" t="inlineStr">
        <is>
          <t>Industrial Products</t>
        </is>
      </c>
      <c r="J343" s="4" t="inlineStr">
        <is>
          <t>Machinery</t>
        </is>
      </c>
      <c r="K343" s="3" t="n">
        <v>125</v>
      </c>
      <c r="L343" s="3" t="n">
        <v>42.75</v>
      </c>
      <c r="M343" s="3" t="n">
        <v>22.81</v>
      </c>
      <c r="N343" s="3" t="n">
        <v>1141.86</v>
      </c>
      <c r="O343" s="4" t="inlineStr">
        <is>
          <t>United States</t>
        </is>
      </c>
      <c r="P343" s="4" t="inlineStr">
        <is>
          <t>United States</t>
        </is>
      </c>
      <c r="Q343" s="4" t="inlineStr">
        <is>
          <t>Friendly</t>
        </is>
      </c>
      <c r="R343" s="2" t="n"/>
      <c r="S343" s="2" t="n"/>
      <c r="T343" s="4" t="inlineStr">
        <is>
          <t>Going Private, Company Takeover, Private Equity, PE Buyout</t>
        </is>
      </c>
      <c r="U343" s="2" t="inlineStr">
        <is>
          <t>No</t>
        </is>
      </c>
      <c r="V343" s="2" t="inlineStr">
        <is>
          <t>No</t>
        </is>
      </c>
      <c r="W343" s="2" t="inlineStr">
        <is>
          <t>No</t>
        </is>
      </c>
      <c r="X343" s="2" t="inlineStr">
        <is>
          <t>Yes</t>
        </is>
      </c>
      <c r="Y343" s="2" t="inlineStr">
        <is>
          <t>Yes</t>
        </is>
      </c>
      <c r="Z343" s="2" t="inlineStr">
        <is>
          <t>No</t>
        </is>
      </c>
      <c r="AA343" s="6" t="n">
        <v>3.201350688</v>
      </c>
      <c r="AB343" s="2" t="n"/>
      <c r="AC343" s="6" t="n">
        <v>3.05761286</v>
      </c>
      <c r="AD343">
        <f t="array" ref="AD343">IF(SUMPRODUCT(--($AM$2:$AM$112=TRIM(LEFT($B343,IFERROR(FIND(" ",$B343)-1,LEN($B343))))))&gt;0,1,0)</f>
        <v/>
      </c>
      <c r="AE343">
        <f t="array" ref="AE343">IF(SUMPRODUCT(--($AO$2:$AO$145=TRIM(LEFT($B343,IFERROR(FIND(" ",$B343)-1,LEN($B343))))))&gt;0,1,0)</f>
        <v/>
      </c>
      <c r="AF343">
        <f t="array" ref="AF343">IF(SUMPRODUCT(--($AQ$2:$AQ$71=TRIM(LEFT($B343,IFERROR(FIND(" ",$B343)-1,LEN($B343))))))&gt;0,1,0)</f>
        <v/>
      </c>
    </row>
    <row r="344" ht="135.75" customHeight="1" thickBot="1">
      <c r="A344" s="13" t="n">
        <v>66</v>
      </c>
      <c r="B344" s="4" t="inlineStr">
        <is>
          <t>HCCI US</t>
        </is>
      </c>
      <c r="C344" s="4" t="inlineStr">
        <is>
          <t>51033Z US</t>
        </is>
      </c>
      <c r="D344" s="7" t="n">
        <v>45126</v>
      </c>
      <c r="E344" s="3" t="n">
        <v>1291.89</v>
      </c>
      <c r="F344" s="4" t="inlineStr">
        <is>
          <t>Cash</t>
        </is>
      </c>
      <c r="G344" s="3" t="n">
        <v>7.25</v>
      </c>
      <c r="H344" s="4" t="inlineStr">
        <is>
          <t>Industrials</t>
        </is>
      </c>
      <c r="I344" s="4" t="inlineStr">
        <is>
          <t>Industrial Services</t>
        </is>
      </c>
      <c r="J344" s="4" t="inlineStr">
        <is>
          <t>Commercial Support Services</t>
        </is>
      </c>
      <c r="K344" s="3" t="n">
        <v>72.56829999999999</v>
      </c>
      <c r="L344" s="3" t="n">
        <v>42.3315</v>
      </c>
      <c r="M344" s="3" t="n">
        <v>17.75</v>
      </c>
      <c r="N344" s="3" t="n">
        <v>1107.92</v>
      </c>
      <c r="O344" s="4" t="inlineStr">
        <is>
          <t>United States</t>
        </is>
      </c>
      <c r="P344" s="4" t="inlineStr">
        <is>
          <t>United States</t>
        </is>
      </c>
      <c r="Q344" s="4" t="inlineStr">
        <is>
          <t>Friendly</t>
        </is>
      </c>
      <c r="R344" s="3" t="n">
        <v>709.331</v>
      </c>
      <c r="S344" s="3" t="n">
        <v>13.7253</v>
      </c>
      <c r="T344" s="4" t="inlineStr">
        <is>
          <t>Going Private, PE Buyout, Company Takeover, Private Equity</t>
        </is>
      </c>
      <c r="U344" s="2" t="inlineStr">
        <is>
          <t>No</t>
        </is>
      </c>
      <c r="V344" s="2" t="inlineStr">
        <is>
          <t>No</t>
        </is>
      </c>
      <c r="W344" s="2" t="inlineStr">
        <is>
          <t>No</t>
        </is>
      </c>
      <c r="X344" s="2" t="inlineStr">
        <is>
          <t>Yes</t>
        </is>
      </c>
      <c r="Y344" s="2" t="inlineStr">
        <is>
          <t>Yes</t>
        </is>
      </c>
      <c r="Z344" s="2" t="inlineStr">
        <is>
          <t>No</t>
        </is>
      </c>
      <c r="AA344" s="6" t="n">
        <v>3.111225537</v>
      </c>
      <c r="AB344" s="6" t="n">
        <v>2.85084894</v>
      </c>
      <c r="AC344" s="6" t="n">
        <v>3.044508402</v>
      </c>
      <c r="AD344">
        <f t="array" ref="AD344">IF(SUMPRODUCT(--($AM$2:$AM$112=TRIM(LEFT($B344,IFERROR(FIND(" ",$B344)-1,LEN($B344))))))&gt;0,1,0)</f>
        <v/>
      </c>
      <c r="AE344">
        <f t="array" ref="AE344">IF(SUMPRODUCT(--($AO$2:$AO$145=TRIM(LEFT($B344,IFERROR(FIND(" ",$B344)-1,LEN($B344))))))&gt;0,1,0)</f>
        <v/>
      </c>
      <c r="AF344">
        <f t="array" ref="AF344">IF(SUMPRODUCT(--($AQ$2:$AQ$71=TRIM(LEFT($B344,IFERROR(FIND(" ",$B344)-1,LEN($B344))))))&gt;0,1,0)</f>
        <v/>
      </c>
    </row>
    <row r="345" ht="165.75" customHeight="1" thickBot="1">
      <c r="A345" s="13" t="n">
        <v>37</v>
      </c>
      <c r="B345" s="4" t="inlineStr">
        <is>
          <t>THRN US</t>
        </is>
      </c>
      <c r="C345" s="4" t="inlineStr">
        <is>
          <t>63090Z US</t>
        </is>
      </c>
      <c r="D345" s="7" t="n">
        <v>45166</v>
      </c>
      <c r="E345" s="3" t="n">
        <v>597.62</v>
      </c>
      <c r="F345" s="4" t="inlineStr">
        <is>
          <t>Cash</t>
        </is>
      </c>
      <c r="G345" s="3" t="n">
        <v>36.83</v>
      </c>
      <c r="H345" s="4" t="inlineStr">
        <is>
          <t>Health Care</t>
        </is>
      </c>
      <c r="I345" s="4" t="inlineStr">
        <is>
          <t>Health Care</t>
        </is>
      </c>
      <c r="J345" s="4" t="inlineStr">
        <is>
          <t>Health Care Facilities &amp; Svcs</t>
        </is>
      </c>
      <c r="K345" s="4" t="n"/>
      <c r="L345" s="4" t="n"/>
      <c r="M345" s="3" t="n">
        <v>50.03</v>
      </c>
      <c r="N345" s="3" t="n">
        <v>549.98</v>
      </c>
      <c r="O345" s="4" t="inlineStr">
        <is>
          <t>United States</t>
        </is>
      </c>
      <c r="P345" s="4" t="inlineStr">
        <is>
          <t>United States</t>
        </is>
      </c>
      <c r="Q345" s="4" t="inlineStr">
        <is>
          <t>Friendly</t>
        </is>
      </c>
      <c r="R345" s="3" t="n">
        <v>228.731</v>
      </c>
      <c r="S345" s="3" t="n">
        <v>5.19042</v>
      </c>
      <c r="T345" s="4" t="inlineStr">
        <is>
          <t>Company Takeover, PE Buyout, Private Equity, Going Private, Tender Offer</t>
        </is>
      </c>
      <c r="U345" s="2" t="inlineStr">
        <is>
          <t>No</t>
        </is>
      </c>
      <c r="V345" s="2" t="inlineStr">
        <is>
          <t>No</t>
        </is>
      </c>
      <c r="W345" s="2" t="inlineStr">
        <is>
          <t>No</t>
        </is>
      </c>
      <c r="X345" s="2" t="inlineStr">
        <is>
          <t>Yes</t>
        </is>
      </c>
      <c r="Y345" s="2" t="inlineStr">
        <is>
          <t>Yes</t>
        </is>
      </c>
      <c r="Z345" s="2" t="inlineStr">
        <is>
          <t>Yes</t>
        </is>
      </c>
      <c r="AA345" s="6" t="n">
        <v>2.776425123</v>
      </c>
      <c r="AB345" s="6" t="n">
        <v>2.359325029</v>
      </c>
      <c r="AC345" s="6" t="n">
        <v>2.740346897</v>
      </c>
      <c r="AD345">
        <f t="array" ref="AD345">IF(SUMPRODUCT(--($AM$2:$AM$112=TRIM(LEFT($B345,IFERROR(FIND(" ",$B345)-1,LEN($B345))))))&gt;0,1,0)</f>
        <v/>
      </c>
      <c r="AE345">
        <f t="array" ref="AE345">IF(SUMPRODUCT(--($AO$2:$AO$145=TRIM(LEFT($B345,IFERROR(FIND(" ",$B345)-1,LEN($B345))))))&gt;0,1,0)</f>
        <v/>
      </c>
      <c r="AF345">
        <f t="array" ref="AF345">IF(SUMPRODUCT(--($AQ$2:$AQ$71=TRIM(LEFT($B345,IFERROR(FIND(" ",$B345)-1,LEN($B345))))))&gt;0,1,0)</f>
        <v/>
      </c>
    </row>
    <row r="346" ht="45.75" customHeight="1" thickBot="1">
      <c r="A346" s="13" t="n">
        <v>455</v>
      </c>
      <c r="B346" s="4" t="inlineStr">
        <is>
          <t>ATVI US</t>
        </is>
      </c>
      <c r="C346" s="4" t="inlineStr">
        <is>
          <t>MSFT US</t>
        </is>
      </c>
      <c r="D346" s="7" t="n">
        <v>44579</v>
      </c>
      <c r="E346" s="3" t="n">
        <v>67883.41</v>
      </c>
      <c r="F346" s="4" t="inlineStr">
        <is>
          <t>Cash</t>
        </is>
      </c>
      <c r="G346" s="3" t="n">
        <v>17.97</v>
      </c>
      <c r="H346" s="4" t="inlineStr">
        <is>
          <t>Communications</t>
        </is>
      </c>
      <c r="I346" s="4" t="inlineStr">
        <is>
          <t>Media</t>
        </is>
      </c>
      <c r="J346" s="4" t="inlineStr">
        <is>
          <t>Entertainment Content</t>
        </is>
      </c>
      <c r="K346" s="3" t="n">
        <v>4500</v>
      </c>
      <c r="L346" s="3" t="n">
        <v>2270</v>
      </c>
      <c r="M346" s="3" t="n">
        <v>46</v>
      </c>
      <c r="N346" s="3" t="n">
        <v>73994.41</v>
      </c>
      <c r="O346" s="4" t="inlineStr">
        <is>
          <t>United States</t>
        </is>
      </c>
      <c r="P346" s="4" t="inlineStr">
        <is>
          <t>United States</t>
        </is>
      </c>
      <c r="Q346" s="4" t="inlineStr">
        <is>
          <t>Friendly</t>
        </is>
      </c>
      <c r="R346" s="3" t="n">
        <v>7528</v>
      </c>
      <c r="S346" s="3" t="n">
        <v>25.6834</v>
      </c>
      <c r="T346" s="4" t="inlineStr">
        <is>
          <t>Company Takeover</t>
        </is>
      </c>
      <c r="U346" s="2" t="inlineStr">
        <is>
          <t>No</t>
        </is>
      </c>
      <c r="V346" s="2" t="inlineStr">
        <is>
          <t>No</t>
        </is>
      </c>
      <c r="W346" s="2" t="inlineStr">
        <is>
          <t>No</t>
        </is>
      </c>
      <c r="X346" s="2" t="inlineStr">
        <is>
          <t>No</t>
        </is>
      </c>
      <c r="Y346" s="2" t="inlineStr">
        <is>
          <t>No</t>
        </is>
      </c>
      <c r="Z346" s="2" t="inlineStr">
        <is>
          <t>No</t>
        </is>
      </c>
      <c r="AA346" s="6" t="n">
        <v>4.83176365</v>
      </c>
      <c r="AB346" s="6" t="n">
        <v>3.87667961</v>
      </c>
      <c r="AC346" s="6" t="n">
        <v>4.869198912</v>
      </c>
      <c r="AD346">
        <f t="array" ref="AD346">IF(SUMPRODUCT(--($AM$2:$AM$112=TRIM(LEFT($B346,IFERROR(FIND(" ",$B346)-1,LEN($B346))))))&gt;0,1,0)</f>
        <v/>
      </c>
      <c r="AE346">
        <f t="array" ref="AE346">IF(SUMPRODUCT(--($AO$2:$AO$145=TRIM(LEFT($B346,IFERROR(FIND(" ",$B346)-1,LEN($B346))))))&gt;0,1,0)</f>
        <v/>
      </c>
      <c r="AF346">
        <f t="array" ref="AF346">IF(SUMPRODUCT(--($AQ$2:$AQ$71=TRIM(LEFT($B346,IFERROR(FIND(" ",$B346)-1,LEN($B346))))))&gt;0,1,0)</f>
        <v/>
      </c>
    </row>
    <row r="347" ht="105.75" customHeight="1" thickBot="1">
      <c r="A347" s="13" t="n">
        <v>132</v>
      </c>
      <c r="B347" s="4" t="inlineStr">
        <is>
          <t>NATI US</t>
        </is>
      </c>
      <c r="C347" s="4" t="inlineStr">
        <is>
          <t>EMR US</t>
        </is>
      </c>
      <c r="D347" s="7" t="n">
        <v>45028</v>
      </c>
      <c r="E347" s="3" t="n">
        <v>8178.24</v>
      </c>
      <c r="F347" s="4" t="inlineStr">
        <is>
          <t>Cash</t>
        </is>
      </c>
      <c r="G347" s="3" t="n">
        <v>24.74</v>
      </c>
      <c r="H347" s="4" t="inlineStr">
        <is>
          <t>Industrials</t>
        </is>
      </c>
      <c r="I347" s="4" t="inlineStr">
        <is>
          <t>Industrial Products</t>
        </is>
      </c>
      <c r="J347" s="4" t="inlineStr">
        <is>
          <t>Electrical Equipment</t>
        </is>
      </c>
      <c r="K347" s="4" t="n"/>
      <c r="L347" s="4" t="n"/>
      <c r="M347" s="3" t="n">
        <v>16.24</v>
      </c>
      <c r="N347" s="3" t="n">
        <v>7731.98</v>
      </c>
      <c r="O347" s="4" t="inlineStr">
        <is>
          <t>United States</t>
        </is>
      </c>
      <c r="P347" s="4" t="inlineStr">
        <is>
          <t>United States</t>
        </is>
      </c>
      <c r="Q347" s="4" t="inlineStr">
        <is>
          <t>Friendly</t>
        </is>
      </c>
      <c r="R347" s="3" t="n">
        <v>1656.97</v>
      </c>
      <c r="S347" s="3" t="n">
        <v>13.7932</v>
      </c>
      <c r="T347" s="4" t="inlineStr">
        <is>
          <t>Additional Stake Purchase, Company Takeover</t>
        </is>
      </c>
      <c r="U347" s="2" t="inlineStr">
        <is>
          <t>Yes</t>
        </is>
      </c>
      <c r="V347" s="2" t="inlineStr">
        <is>
          <t>No</t>
        </is>
      </c>
      <c r="W347" s="2" t="inlineStr">
        <is>
          <t>No</t>
        </is>
      </c>
      <c r="X347" s="2" t="inlineStr">
        <is>
          <t>No</t>
        </is>
      </c>
      <c r="Y347" s="2" t="inlineStr">
        <is>
          <t>No</t>
        </is>
      </c>
      <c r="Z347" s="2" t="inlineStr">
        <is>
          <t>No</t>
        </is>
      </c>
      <c r="AA347" s="6" t="n">
        <v>3.912659851</v>
      </c>
      <c r="AB347" s="6" t="n">
        <v>3.219314645</v>
      </c>
      <c r="AC347" s="6" t="n">
        <v>3.888290722</v>
      </c>
      <c r="AD347">
        <f t="array" ref="AD347">IF(SUMPRODUCT(--($AM$2:$AM$112=TRIM(LEFT($B347,IFERROR(FIND(" ",$B347)-1,LEN($B347))))))&gt;0,1,0)</f>
        <v/>
      </c>
      <c r="AE347">
        <f t="array" ref="AE347">IF(SUMPRODUCT(--($AO$2:$AO$145=TRIM(LEFT($B347,IFERROR(FIND(" ",$B347)-1,LEN($B347))))))&gt;0,1,0)</f>
        <v/>
      </c>
      <c r="AF347">
        <f t="array" ref="AF347">IF(SUMPRODUCT(--($AQ$2:$AQ$71=TRIM(LEFT($B347,IFERROR(FIND(" ",$B347)-1,LEN($B347))))))&gt;0,1,0)</f>
        <v/>
      </c>
    </row>
    <row r="348" ht="105.75" customHeight="1" thickBot="1">
      <c r="A348" s="13" t="n">
        <v>67</v>
      </c>
      <c r="B348" s="4" t="inlineStr">
        <is>
          <t>RNW CN</t>
        </is>
      </c>
      <c r="C348" s="4" t="inlineStr">
        <is>
          <t>TA CN</t>
        </is>
      </c>
      <c r="D348" s="7" t="n">
        <v>45118</v>
      </c>
      <c r="E348" s="3" t="n">
        <v>1041.7</v>
      </c>
      <c r="F348" s="4" t="inlineStr">
        <is>
          <t>Cash or Stock</t>
        </is>
      </c>
      <c r="G348" s="3" t="n">
        <v>14.95</v>
      </c>
      <c r="H348" s="4" t="inlineStr">
        <is>
          <t>Utilities</t>
        </is>
      </c>
      <c r="I348" s="4" t="inlineStr">
        <is>
          <t>Utilities</t>
        </is>
      </c>
      <c r="J348" s="4" t="inlineStr">
        <is>
          <t>Electric Utilities</t>
        </is>
      </c>
      <c r="K348" s="4" t="n"/>
      <c r="L348" s="3" t="n">
        <v>95.40000000000001</v>
      </c>
      <c r="M348" s="3" t="n">
        <v>13.53</v>
      </c>
      <c r="N348" s="3" t="n">
        <v>1041.7</v>
      </c>
      <c r="O348" s="4" t="inlineStr">
        <is>
          <t>Canada</t>
        </is>
      </c>
      <c r="P348" s="4" t="inlineStr">
        <is>
          <t>Canada</t>
        </is>
      </c>
      <c r="Q348" s="4" t="inlineStr">
        <is>
          <t>Friendly</t>
        </is>
      </c>
      <c r="R348" s="3" t="n">
        <v>2486.62</v>
      </c>
      <c r="S348" s="3" t="n">
        <v>17.9435</v>
      </c>
      <c r="T348" s="4" t="inlineStr">
        <is>
          <t>Additional Stake Purchase, Company Takeover</t>
        </is>
      </c>
      <c r="U348" s="2" t="inlineStr">
        <is>
          <t>Yes</t>
        </is>
      </c>
      <c r="V348" s="2" t="inlineStr">
        <is>
          <t>No</t>
        </is>
      </c>
      <c r="W348" s="2" t="inlineStr">
        <is>
          <t>No</t>
        </is>
      </c>
      <c r="X348" s="2" t="inlineStr">
        <is>
          <t>No</t>
        </is>
      </c>
      <c r="Y348" s="2" t="inlineStr">
        <is>
          <t>No</t>
        </is>
      </c>
      <c r="Z348" s="2" t="inlineStr">
        <is>
          <t>No</t>
        </is>
      </c>
      <c r="AA348" s="6" t="n">
        <v>3.017742664</v>
      </c>
      <c r="AB348" s="6" t="n">
        <v>3.395609422</v>
      </c>
      <c r="AC348" s="6" t="n">
        <v>3.017742664</v>
      </c>
      <c r="AD348">
        <f t="array" ref="AD348">IF(SUMPRODUCT(--($AM$2:$AM$112=TRIM(LEFT($B348,IFERROR(FIND(" ",$B348)-1,LEN($B348))))))&gt;0,1,0)</f>
        <v/>
      </c>
      <c r="AE348">
        <f t="array" ref="AE348">IF(SUMPRODUCT(--($AO$2:$AO$145=TRIM(LEFT($B348,IFERROR(FIND(" ",$B348)-1,LEN($B348))))))&gt;0,1,0)</f>
        <v/>
      </c>
      <c r="AF348">
        <f t="array" ref="AF348">IF(SUMPRODUCT(--($AQ$2:$AQ$71=TRIM(LEFT($B348,IFERROR(FIND(" ",$B348)-1,LEN($B348))))))&gt;0,1,0)</f>
        <v/>
      </c>
    </row>
    <row r="349" ht="75.75" customHeight="1" thickBot="1">
      <c r="A349" s="13" t="n">
        <v>216</v>
      </c>
      <c r="B349" s="4" t="inlineStr">
        <is>
          <t>HZNP US</t>
        </is>
      </c>
      <c r="C349" s="4" t="inlineStr">
        <is>
          <t>AMGN US</t>
        </is>
      </c>
      <c r="D349" s="7" t="n">
        <v>44907</v>
      </c>
      <c r="E349" s="3" t="n">
        <v>26960.76</v>
      </c>
      <c r="F349" s="4" t="inlineStr">
        <is>
          <t>Cash</t>
        </is>
      </c>
      <c r="G349" s="3" t="n">
        <v>24.95</v>
      </c>
      <c r="H349" s="4" t="inlineStr">
        <is>
          <t>Health Care</t>
        </is>
      </c>
      <c r="I349" s="4" t="inlineStr">
        <is>
          <t>Health Care</t>
        </is>
      </c>
      <c r="J349" s="4" t="inlineStr">
        <is>
          <t>Biotech &amp; Pharma</t>
        </is>
      </c>
      <c r="K349" s="4" t="n"/>
      <c r="L349" s="4" t="n"/>
      <c r="M349" s="3" t="n">
        <v>36.19</v>
      </c>
      <c r="N349" s="3" t="n">
        <v>26408.55</v>
      </c>
      <c r="O349" s="4" t="inlineStr">
        <is>
          <t>United States</t>
        </is>
      </c>
      <c r="P349" s="4" t="inlineStr">
        <is>
          <t>United States</t>
        </is>
      </c>
      <c r="Q349" s="4" t="inlineStr">
        <is>
          <t>Friendly</t>
        </is>
      </c>
      <c r="R349" s="3" t="n">
        <v>3629.04</v>
      </c>
      <c r="S349" s="3" t="n">
        <v>14.0866</v>
      </c>
      <c r="T349" s="4" t="inlineStr">
        <is>
          <t>Company Takeover, Cross Border</t>
        </is>
      </c>
      <c r="U349" s="2" t="inlineStr">
        <is>
          <t>No</t>
        </is>
      </c>
      <c r="V349" s="2" t="inlineStr">
        <is>
          <t>No</t>
        </is>
      </c>
      <c r="W349" s="2" t="inlineStr">
        <is>
          <t>Yes</t>
        </is>
      </c>
      <c r="X349" s="2" t="inlineStr">
        <is>
          <t>No</t>
        </is>
      </c>
      <c r="Y349" s="2" t="inlineStr">
        <is>
          <t>No</t>
        </is>
      </c>
      <c r="Z349" s="2" t="inlineStr">
        <is>
          <t>No</t>
        </is>
      </c>
      <c r="AA349" s="6" t="n">
        <v>4.43073213</v>
      </c>
      <c r="AB349" s="6" t="n">
        <v>3.559791755</v>
      </c>
      <c r="AC349" s="6" t="n">
        <v>4.421744556</v>
      </c>
      <c r="AD349">
        <f t="array" ref="AD349">IF(SUMPRODUCT(--($AM$2:$AM$112=TRIM(LEFT($B349,IFERROR(FIND(" ",$B349)-1,LEN($B349))))))&gt;0,1,0)</f>
        <v/>
      </c>
      <c r="AE349">
        <f t="array" ref="AE349">IF(SUMPRODUCT(--($AO$2:$AO$145=TRIM(LEFT($B349,IFERROR(FIND(" ",$B349)-1,LEN($B349))))))&gt;0,1,0)</f>
        <v/>
      </c>
      <c r="AF349">
        <f t="array" ref="AF349">IF(SUMPRODUCT(--($AQ$2:$AQ$71=TRIM(LEFT($B349,IFERROR(FIND(" ",$B349)-1,LEN($B349))))))&gt;0,1,0)</f>
        <v/>
      </c>
    </row>
    <row r="350" ht="45.75" customHeight="1" thickBot="1">
      <c r="A350" s="13" t="n">
        <v>48</v>
      </c>
      <c r="B350" s="4" t="inlineStr">
        <is>
          <t>PIPE CN</t>
        </is>
      </c>
      <c r="C350" s="4" t="inlineStr">
        <is>
          <t>SCR CN</t>
        </is>
      </c>
      <c r="D350" s="7" t="n">
        <v>45139</v>
      </c>
      <c r="E350" s="3" t="n">
        <v>584.36</v>
      </c>
      <c r="F350" s="4" t="inlineStr">
        <is>
          <t>Stock</t>
        </is>
      </c>
      <c r="G350" s="3" t="n">
        <v>0.62</v>
      </c>
      <c r="H350" s="4" t="inlineStr">
        <is>
          <t>Energy</t>
        </is>
      </c>
      <c r="I350" s="4" t="inlineStr">
        <is>
          <t>Oil &amp; Gas</t>
        </is>
      </c>
      <c r="J350" s="4" t="inlineStr">
        <is>
          <t>Oil &amp; Gas Supply Chain</t>
        </is>
      </c>
      <c r="K350" s="4" t="n"/>
      <c r="L350" s="4" t="n"/>
      <c r="M350" s="4" t="n"/>
      <c r="N350" s="3" t="n">
        <v>430.98</v>
      </c>
      <c r="O350" s="4" t="inlineStr">
        <is>
          <t>Canada</t>
        </is>
      </c>
      <c r="P350" s="4" t="inlineStr">
        <is>
          <t>Canada</t>
        </is>
      </c>
      <c r="Q350" s="4" t="inlineStr">
        <is>
          <t>Friendly</t>
        </is>
      </c>
      <c r="R350" s="3" t="n">
        <v>468.893</v>
      </c>
      <c r="S350" s="3" t="n">
        <v>39.4725</v>
      </c>
      <c r="T350" s="4" t="inlineStr">
        <is>
          <t>Company Takeover</t>
        </is>
      </c>
      <c r="U350" s="2" t="inlineStr">
        <is>
          <t>No</t>
        </is>
      </c>
      <c r="V350" s="2" t="inlineStr">
        <is>
          <t>No</t>
        </is>
      </c>
      <c r="W350" s="2" t="inlineStr">
        <is>
          <t>No</t>
        </is>
      </c>
      <c r="X350" s="2" t="inlineStr">
        <is>
          <t>No</t>
        </is>
      </c>
      <c r="Y350" s="2" t="inlineStr">
        <is>
          <t>No</t>
        </is>
      </c>
      <c r="Z350" s="2" t="inlineStr">
        <is>
          <t>No</t>
        </is>
      </c>
      <c r="AA350" s="6" t="n">
        <v>2.76668048</v>
      </c>
      <c r="AB350" s="6" t="n">
        <v>2.671073749</v>
      </c>
      <c r="AC350" s="6" t="n">
        <v>2.634457117</v>
      </c>
      <c r="AD350">
        <f t="array" ref="AD350">IF(SUMPRODUCT(--($AM$2:$AM$112=TRIM(LEFT($B350,IFERROR(FIND(" ",$B350)-1,LEN($B350))))))&gt;0,1,0)</f>
        <v/>
      </c>
      <c r="AE350">
        <f t="array" ref="AE350">IF(SUMPRODUCT(--($AO$2:$AO$145=TRIM(LEFT($B350,IFERROR(FIND(" ",$B350)-1,LEN($B350))))))&gt;0,1,0)</f>
        <v/>
      </c>
      <c r="AF350">
        <f t="array" ref="AF350">IF(SUMPRODUCT(--($AQ$2:$AQ$71=TRIM(LEFT($B350,IFERROR(FIND(" ",$B350)-1,LEN($B350))))))&gt;0,1,0)</f>
        <v/>
      </c>
    </row>
    <row r="351" ht="135.75" customHeight="1" thickBot="1">
      <c r="A351" s="13" t="n">
        <v>103</v>
      </c>
      <c r="B351" s="4" t="inlineStr">
        <is>
          <t>2505298D US</t>
        </is>
      </c>
      <c r="C351" s="2" t="n"/>
      <c r="D351" s="7" t="n">
        <v>45056</v>
      </c>
      <c r="E351" s="3" t="n">
        <v>7243.68</v>
      </c>
      <c r="F351" s="4" t="inlineStr">
        <is>
          <t>Cash</t>
        </is>
      </c>
      <c r="G351" s="3" t="n">
        <v>3.97</v>
      </c>
      <c r="H351" s="4" t="inlineStr">
        <is>
          <t>Health Care</t>
        </is>
      </c>
      <c r="I351" s="4" t="inlineStr">
        <is>
          <t>Health Care</t>
        </is>
      </c>
      <c r="J351" s="4" t="inlineStr">
        <is>
          <t>Health Care Facilities &amp; Svcs</t>
        </is>
      </c>
      <c r="K351" s="4" t="n"/>
      <c r="L351" s="4" t="n"/>
      <c r="M351" s="3" t="n">
        <v>9.49</v>
      </c>
      <c r="N351" s="3" t="n">
        <v>4456.83</v>
      </c>
      <c r="O351" s="4" t="inlineStr">
        <is>
          <t>United States</t>
        </is>
      </c>
      <c r="P351" s="4" t="inlineStr">
        <is>
          <t>United States</t>
        </is>
      </c>
      <c r="Q351" s="4" t="inlineStr">
        <is>
          <t>Friendly</t>
        </is>
      </c>
      <c r="R351" s="3" t="n">
        <v>5393.08</v>
      </c>
      <c r="S351" s="3" t="n">
        <v>3.97454</v>
      </c>
      <c r="T351" s="4" t="inlineStr">
        <is>
          <t>Company Takeover, Going Private, PE Buyout, Private Equity</t>
        </is>
      </c>
      <c r="U351" s="2" t="inlineStr">
        <is>
          <t>No</t>
        </is>
      </c>
      <c r="V351" s="2" t="inlineStr">
        <is>
          <t>No</t>
        </is>
      </c>
      <c r="W351" s="2" t="inlineStr">
        <is>
          <t>No</t>
        </is>
      </c>
      <c r="X351" s="2" t="inlineStr">
        <is>
          <t>Yes</t>
        </is>
      </c>
      <c r="Y351" s="2" t="inlineStr">
        <is>
          <t>Yes</t>
        </is>
      </c>
      <c r="Z351" s="2" t="inlineStr">
        <is>
          <t>No</t>
        </is>
      </c>
      <c r="AA351" s="6" t="n">
        <v>3.859959256</v>
      </c>
      <c r="AB351" s="6" t="n">
        <v>3.731836863</v>
      </c>
      <c r="AC351" s="6" t="n">
        <v>3.649026069</v>
      </c>
      <c r="AD351">
        <f t="array" ref="AD351">IF(SUMPRODUCT(--($AM$2:$AM$112=TRIM(LEFT($B351,IFERROR(FIND(" ",$B351)-1,LEN($B351))))))&gt;0,1,0)</f>
        <v/>
      </c>
      <c r="AE351">
        <f t="array" ref="AE351">IF(SUMPRODUCT(--($AO$2:$AO$145=TRIM(LEFT($B351,IFERROR(FIND(" ",$B351)-1,LEN($B351))))))&gt;0,1,0)</f>
        <v/>
      </c>
      <c r="AF351">
        <f t="array" ref="AF351">IF(SUMPRODUCT(--($AQ$2:$AQ$71=TRIM(LEFT($B351,IFERROR(FIND(" ",$B351)-1,LEN($B351))))))&gt;0,1,0)</f>
        <v/>
      </c>
    </row>
    <row r="352" ht="75.75" customHeight="1" thickBot="1">
      <c r="A352" s="13" t="n">
        <v>122</v>
      </c>
      <c r="B352" s="4" t="inlineStr">
        <is>
          <t>TRTN US</t>
        </is>
      </c>
      <c r="C352" s="4" t="inlineStr">
        <is>
          <t>BIPC CN</t>
        </is>
      </c>
      <c r="D352" s="7" t="n">
        <v>45028</v>
      </c>
      <c r="E352" s="3" t="n">
        <v>12818.42</v>
      </c>
      <c r="F352" s="4" t="inlineStr">
        <is>
          <t>Cash or Stock</t>
        </is>
      </c>
      <c r="G352" s="3" t="n">
        <v>7.04</v>
      </c>
      <c r="H352" s="4" t="inlineStr">
        <is>
          <t>Industrials</t>
        </is>
      </c>
      <c r="I352" s="4" t="inlineStr">
        <is>
          <t>Industrial Services</t>
        </is>
      </c>
      <c r="J352" s="4" t="inlineStr">
        <is>
          <t>Industrial Support Services</t>
        </is>
      </c>
      <c r="K352" s="4" t="n"/>
      <c r="L352" s="4" t="n"/>
      <c r="M352" s="3" t="n">
        <v>38.78</v>
      </c>
      <c r="N352" s="3" t="n">
        <v>4823.36</v>
      </c>
      <c r="O352" s="4" t="inlineStr">
        <is>
          <t>Bermuda</t>
        </is>
      </c>
      <c r="P352" s="4" t="inlineStr">
        <is>
          <t>Canada</t>
        </is>
      </c>
      <c r="Q352" s="4" t="inlineStr">
        <is>
          <t>Friendly</t>
        </is>
      </c>
      <c r="R352" s="3" t="n">
        <v>1412.34</v>
      </c>
      <c r="S352" s="3" t="n">
        <v>57.8763</v>
      </c>
      <c r="T352" s="4" t="inlineStr">
        <is>
          <t>Company Takeover, Cross Border</t>
        </is>
      </c>
      <c r="U352" s="2" t="inlineStr">
        <is>
          <t>No</t>
        </is>
      </c>
      <c r="V352" s="2" t="inlineStr">
        <is>
          <t>No</t>
        </is>
      </c>
      <c r="W352" s="2" t="inlineStr">
        <is>
          <t>Yes</t>
        </is>
      </c>
      <c r="X352" s="2" t="inlineStr">
        <is>
          <t>No</t>
        </is>
      </c>
      <c r="Y352" s="2" t="inlineStr">
        <is>
          <t>No</t>
        </is>
      </c>
      <c r="Z352" s="2" t="inlineStr">
        <is>
          <t>No</t>
        </is>
      </c>
      <c r="AA352" s="6" t="n">
        <v>4.107834497</v>
      </c>
      <c r="AB352" s="6" t="n">
        <v>3.149939259</v>
      </c>
      <c r="AC352" s="6" t="n">
        <v>3.683349677</v>
      </c>
      <c r="AD352">
        <f t="array" ref="AD352">IF(SUMPRODUCT(--($AM$2:$AM$112=TRIM(LEFT($B352,IFERROR(FIND(" ",$B352)-1,LEN($B352))))))&gt;0,1,0)</f>
        <v/>
      </c>
      <c r="AE352">
        <f t="array" ref="AE352">IF(SUMPRODUCT(--($AO$2:$AO$145=TRIM(LEFT($B352,IFERROR(FIND(" ",$B352)-1,LEN($B352))))))&gt;0,1,0)</f>
        <v/>
      </c>
      <c r="AF352">
        <f t="array" ref="AF352">IF(SUMPRODUCT(--($AQ$2:$AQ$71=TRIM(LEFT($B352,IFERROR(FIND(" ",$B352)-1,LEN($B352))))))&gt;0,1,0)</f>
        <v/>
      </c>
    </row>
    <row r="353" ht="45.75" customHeight="1" thickBot="1">
      <c r="A353" s="13" t="n">
        <v>44</v>
      </c>
      <c r="B353" s="4" t="inlineStr">
        <is>
          <t>RETA US</t>
        </is>
      </c>
      <c r="C353" s="4" t="inlineStr">
        <is>
          <t>BIIB US</t>
        </is>
      </c>
      <c r="D353" s="7" t="n">
        <v>45135</v>
      </c>
      <c r="E353" s="3" t="n">
        <v>6274.6</v>
      </c>
      <c r="F353" s="4" t="inlineStr">
        <is>
          <t>Cash</t>
        </is>
      </c>
      <c r="G353" s="4" t="n"/>
      <c r="H353" s="4" t="inlineStr">
        <is>
          <t>Health Care</t>
        </is>
      </c>
      <c r="I353" s="4" t="inlineStr">
        <is>
          <t>Health Care</t>
        </is>
      </c>
      <c r="J353" s="4" t="inlineStr">
        <is>
          <t>Biotech &amp; Pharma</t>
        </is>
      </c>
      <c r="K353" s="3" t="n">
        <v>301</v>
      </c>
      <c r="L353" s="3" t="n">
        <v>264</v>
      </c>
      <c r="M353" s="3" t="n">
        <v>60.56</v>
      </c>
      <c r="N353" s="3" t="n">
        <v>6477.62</v>
      </c>
      <c r="O353" s="4" t="inlineStr">
        <is>
          <t>United States</t>
        </is>
      </c>
      <c r="P353" s="4" t="inlineStr">
        <is>
          <t>United States</t>
        </is>
      </c>
      <c r="Q353" s="4" t="inlineStr">
        <is>
          <t>Friendly</t>
        </is>
      </c>
      <c r="R353" s="3" t="n">
        <v>9835.6</v>
      </c>
      <c r="S353" s="3" t="n">
        <v>-1501.93</v>
      </c>
      <c r="T353" s="4" t="inlineStr">
        <is>
          <t>Company Takeover</t>
        </is>
      </c>
      <c r="U353" s="2" t="inlineStr">
        <is>
          <t>No</t>
        </is>
      </c>
      <c r="V353" s="2" t="inlineStr">
        <is>
          <t>No</t>
        </is>
      </c>
      <c r="W353" s="2" t="inlineStr">
        <is>
          <t>No</t>
        </is>
      </c>
      <c r="X353" s="2" t="inlineStr">
        <is>
          <t>No</t>
        </is>
      </c>
      <c r="Y353" s="2" t="inlineStr">
        <is>
          <t>No</t>
        </is>
      </c>
      <c r="Z353" s="2" t="inlineStr">
        <is>
          <t>No</t>
        </is>
      </c>
      <c r="AA353" s="6" t="n">
        <v>3.797586045</v>
      </c>
      <c r="AB353" s="6" t="n">
        <v>3.992800858</v>
      </c>
      <c r="AC353" s="6" t="n">
        <v>3.811415467</v>
      </c>
      <c r="AD353">
        <f t="array" ref="AD353">IF(SUMPRODUCT(--($AM$2:$AM$112=TRIM(LEFT($B353,IFERROR(FIND(" ",$B353)-1,LEN($B353))))))&gt;0,1,0)</f>
        <v/>
      </c>
      <c r="AE353">
        <f t="array" ref="AE353">IF(SUMPRODUCT(--($AO$2:$AO$145=TRIM(LEFT($B353,IFERROR(FIND(" ",$B353)-1,LEN($B353))))))&gt;0,1,0)</f>
        <v/>
      </c>
      <c r="AF353">
        <f t="array" ref="AF353">IF(SUMPRODUCT(--($AQ$2:$AQ$71=TRIM(LEFT($B353,IFERROR(FIND(" ",$B353)-1,LEN($B353))))))&gt;0,1,0)</f>
        <v/>
      </c>
    </row>
    <row r="354" ht="45.75" customHeight="1" thickBot="1">
      <c r="A354" s="13" t="n">
        <v>96</v>
      </c>
      <c r="B354" s="4" t="inlineStr">
        <is>
          <t>MMP US</t>
        </is>
      </c>
      <c r="C354" s="4" t="inlineStr">
        <is>
          <t>OKE US</t>
        </is>
      </c>
      <c r="D354" s="7" t="n">
        <v>45060</v>
      </c>
      <c r="E354" s="3" t="n">
        <v>18900.38</v>
      </c>
      <c r="F354" s="4" t="inlineStr">
        <is>
          <t>Cash and Stock</t>
        </is>
      </c>
      <c r="G354" s="3" t="n">
        <v>13.2</v>
      </c>
      <c r="H354" s="4" t="inlineStr">
        <is>
          <t>Energy</t>
        </is>
      </c>
      <c r="I354" s="4" t="inlineStr">
        <is>
          <t>Oil &amp; Gas</t>
        </is>
      </c>
      <c r="J354" s="4" t="inlineStr">
        <is>
          <t>Oil &amp; Gas Supply Chain</t>
        </is>
      </c>
      <c r="K354" s="3" t="n">
        <v>450</v>
      </c>
      <c r="L354" s="3" t="n">
        <v>275</v>
      </c>
      <c r="M354" s="3" t="n">
        <v>22.84</v>
      </c>
      <c r="N354" s="3" t="n">
        <v>13780.88</v>
      </c>
      <c r="O354" s="4" t="inlineStr">
        <is>
          <t>United States</t>
        </is>
      </c>
      <c r="P354" s="4" t="inlineStr">
        <is>
          <t>United States</t>
        </is>
      </c>
      <c r="Q354" s="4" t="inlineStr">
        <is>
          <t>Friendly</t>
        </is>
      </c>
      <c r="R354" s="3" t="n">
        <v>3200.4</v>
      </c>
      <c r="S354" s="3" t="n">
        <v>36.5844</v>
      </c>
      <c r="T354" s="4" t="inlineStr">
        <is>
          <t>Company Takeover</t>
        </is>
      </c>
      <c r="U354" s="2" t="inlineStr">
        <is>
          <t>No</t>
        </is>
      </c>
      <c r="V354" s="2" t="inlineStr">
        <is>
          <t>No</t>
        </is>
      </c>
      <c r="W354" s="2" t="inlineStr">
        <is>
          <t>No</t>
        </is>
      </c>
      <c r="X354" s="2" t="inlineStr">
        <is>
          <t>No</t>
        </is>
      </c>
      <c r="Y354" s="2" t="inlineStr">
        <is>
          <t>No</t>
        </is>
      </c>
      <c r="Z354" s="2" t="inlineStr">
        <is>
          <t>No</t>
        </is>
      </c>
      <c r="AA354" s="6" t="n">
        <v>4.276470536</v>
      </c>
      <c r="AB354" s="6" t="n">
        <v>3.505204262</v>
      </c>
      <c r="AC354" s="6" t="n">
        <v>4.139276951</v>
      </c>
      <c r="AD354">
        <f t="array" ref="AD354">IF(SUMPRODUCT(--($AM$2:$AM$112=TRIM(LEFT($B354,IFERROR(FIND(" ",$B354)-1,LEN($B354))))))&gt;0,1,0)</f>
        <v/>
      </c>
      <c r="AE354">
        <f t="array" ref="AE354">IF(SUMPRODUCT(--($AO$2:$AO$145=TRIM(LEFT($B354,IFERROR(FIND(" ",$B354)-1,LEN($B354))))))&gt;0,1,0)</f>
        <v/>
      </c>
      <c r="AF354">
        <f t="array" ref="AF354">IF(SUMPRODUCT(--($AQ$2:$AQ$71=TRIM(LEFT($B354,IFERROR(FIND(" ",$B354)-1,LEN($B354))))))&gt;0,1,0)</f>
        <v/>
      </c>
    </row>
    <row r="355" ht="165.75" customHeight="1" thickBot="1">
      <c r="A355" s="13" t="n">
        <v>148</v>
      </c>
      <c r="B355" s="4" t="inlineStr">
        <is>
          <t>RADI US</t>
        </is>
      </c>
      <c r="C355" s="2" t="n"/>
      <c r="D355" s="7" t="n">
        <v>44986</v>
      </c>
      <c r="E355" s="3" t="n">
        <v>2496.08</v>
      </c>
      <c r="F355" s="4" t="inlineStr">
        <is>
          <t>Cash</t>
        </is>
      </c>
      <c r="G355" s="4" t="n"/>
      <c r="H355" s="4" t="inlineStr">
        <is>
          <t>Real Estate</t>
        </is>
      </c>
      <c r="I355" s="4" t="inlineStr">
        <is>
          <t>Real Estate</t>
        </is>
      </c>
      <c r="J355" s="4" t="inlineStr">
        <is>
          <t>Real Estate Owners &amp; Developers</t>
        </is>
      </c>
      <c r="K355" s="4" t="n"/>
      <c r="L355" s="4" t="n"/>
      <c r="M355" s="3" t="n">
        <v>11.62</v>
      </c>
      <c r="N355" s="3" t="n">
        <v>1451.06</v>
      </c>
      <c r="O355" s="4" t="inlineStr">
        <is>
          <t>United States</t>
        </is>
      </c>
      <c r="P355" s="4" t="inlineStr">
        <is>
          <t>Canada</t>
        </is>
      </c>
      <c r="Q355" s="4" t="inlineStr">
        <is>
          <t>Friendly</t>
        </is>
      </c>
      <c r="R355" s="3" t="n">
        <v>135.456</v>
      </c>
      <c r="S355" s="3" t="n">
        <v>-47.6118</v>
      </c>
      <c r="T355" s="4" t="inlineStr">
        <is>
          <t>Cross Border, Company Takeover, Private Equity, PE Buyout, Going Private</t>
        </is>
      </c>
      <c r="U355" s="2" t="inlineStr">
        <is>
          <t>No</t>
        </is>
      </c>
      <c r="V355" s="2" t="inlineStr">
        <is>
          <t>No</t>
        </is>
      </c>
      <c r="W355" s="2" t="inlineStr">
        <is>
          <t>Yes</t>
        </is>
      </c>
      <c r="X355" s="2" t="inlineStr">
        <is>
          <t>Yes</t>
        </is>
      </c>
      <c r="Y355" s="2" t="inlineStr">
        <is>
          <t>Yes</t>
        </is>
      </c>
      <c r="Z355" s="2" t="inlineStr">
        <is>
          <t>No</t>
        </is>
      </c>
      <c r="AA355" s="6" t="n">
        <v>3.3972585</v>
      </c>
      <c r="AB355" s="6" t="n">
        <v>2.131798247</v>
      </c>
      <c r="AC355" s="6" t="n">
        <v>3.16168537</v>
      </c>
      <c r="AD355">
        <f t="array" ref="AD355">IF(SUMPRODUCT(--($AM$2:$AM$112=TRIM(LEFT($B355,IFERROR(FIND(" ",$B355)-1,LEN($B355))))))&gt;0,1,0)</f>
        <v/>
      </c>
      <c r="AE355">
        <f t="array" ref="AE355">IF(SUMPRODUCT(--($AO$2:$AO$145=TRIM(LEFT($B355,IFERROR(FIND(" ",$B355)-1,LEN($B355))))))&gt;0,1,0)</f>
        <v/>
      </c>
      <c r="AF355">
        <f t="array" ref="AF355">IF(SUMPRODUCT(--($AQ$2:$AQ$71=TRIM(LEFT($B355,IFERROR(FIND(" ",$B355)-1,LEN($B355))))))&gt;0,1,0)</f>
        <v/>
      </c>
    </row>
    <row r="356" ht="45.75" customHeight="1" thickBot="1">
      <c r="A356" s="13" t="n">
        <v>82</v>
      </c>
      <c r="B356" s="4" t="inlineStr">
        <is>
          <t>RTL US</t>
        </is>
      </c>
      <c r="C356" s="4" t="inlineStr">
        <is>
          <t>GNL US</t>
        </is>
      </c>
      <c r="D356" s="7" t="n">
        <v>45069</v>
      </c>
      <c r="E356" s="3" t="n">
        <v>3159.23</v>
      </c>
      <c r="F356" s="4" t="inlineStr">
        <is>
          <t>Stock</t>
        </is>
      </c>
      <c r="G356" s="3" t="n">
        <v>19.52</v>
      </c>
      <c r="H356" s="4" t="inlineStr">
        <is>
          <t>Real Estate</t>
        </is>
      </c>
      <c r="I356" s="4" t="inlineStr">
        <is>
          <t>Real Estate</t>
        </is>
      </c>
      <c r="J356" s="4" t="inlineStr">
        <is>
          <t>REIT</t>
        </is>
      </c>
      <c r="K356" s="3" t="n">
        <v>40</v>
      </c>
      <c r="L356" s="3" t="n">
        <v>40</v>
      </c>
      <c r="M356" s="3" t="n">
        <v>42.11</v>
      </c>
      <c r="N356" s="3" t="n">
        <v>969.97</v>
      </c>
      <c r="O356" s="4" t="inlineStr">
        <is>
          <t>United States</t>
        </is>
      </c>
      <c r="P356" s="4" t="inlineStr">
        <is>
          <t>United States</t>
        </is>
      </c>
      <c r="Q356" s="4" t="inlineStr">
        <is>
          <t>Friendly</t>
        </is>
      </c>
      <c r="R356" s="3" t="n">
        <v>446.438</v>
      </c>
      <c r="S356" s="3" t="n">
        <v>-2.94244</v>
      </c>
      <c r="T356" s="4" t="inlineStr">
        <is>
          <t>Company Takeover</t>
        </is>
      </c>
      <c r="U356" s="2" t="inlineStr">
        <is>
          <t>No</t>
        </is>
      </c>
      <c r="V356" s="2" t="inlineStr">
        <is>
          <t>No</t>
        </is>
      </c>
      <c r="W356" s="2" t="inlineStr">
        <is>
          <t>No</t>
        </is>
      </c>
      <c r="X356" s="2" t="inlineStr">
        <is>
          <t>No</t>
        </is>
      </c>
      <c r="Y356" s="2" t="inlineStr">
        <is>
          <t>No</t>
        </is>
      </c>
      <c r="Z356" s="2" t="inlineStr">
        <is>
          <t>No</t>
        </is>
      </c>
      <c r="AA356" s="6" t="n">
        <v>3.499581245</v>
      </c>
      <c r="AB356" s="6" t="n">
        <v>2.649761154</v>
      </c>
      <c r="AC356" s="6" t="n">
        <v>2.986758302</v>
      </c>
      <c r="AD356">
        <f t="array" ref="AD356">IF(SUMPRODUCT(--($AM$2:$AM$112=TRIM(LEFT($B356,IFERROR(FIND(" ",$B356)-1,LEN($B356))))))&gt;0,1,0)</f>
        <v/>
      </c>
      <c r="AE356">
        <f t="array" ref="AE356">IF(SUMPRODUCT(--($AO$2:$AO$145=TRIM(LEFT($B356,IFERROR(FIND(" ",$B356)-1,LEN($B356))))))&gt;0,1,0)</f>
        <v/>
      </c>
      <c r="AF356">
        <f t="array" ref="AF356">IF(SUMPRODUCT(--($AQ$2:$AQ$71=TRIM(LEFT($B356,IFERROR(FIND(" ",$B356)-1,LEN($B356))))))&gt;0,1,0)</f>
        <v/>
      </c>
    </row>
    <row r="357" ht="45.75" customHeight="1" thickBot="1">
      <c r="A357" s="13" t="n">
        <v>350</v>
      </c>
      <c r="B357" s="4" t="inlineStr">
        <is>
          <t>BKI US</t>
        </is>
      </c>
      <c r="C357" s="4" t="inlineStr">
        <is>
          <t>ICE US</t>
        </is>
      </c>
      <c r="D357" s="7" t="n">
        <v>44685</v>
      </c>
      <c r="E357" s="3" t="n">
        <v>11700</v>
      </c>
      <c r="F357" s="4" t="inlineStr">
        <is>
          <t>Cash or Stock</t>
        </is>
      </c>
      <c r="G357" s="3" t="n">
        <v>22.82</v>
      </c>
      <c r="H357" s="4" t="inlineStr">
        <is>
          <t>Technology</t>
        </is>
      </c>
      <c r="I357" s="4" t="inlineStr">
        <is>
          <t>Software &amp; Tech Services</t>
        </is>
      </c>
      <c r="J357" s="4" t="inlineStr">
        <is>
          <t>Software</t>
        </is>
      </c>
      <c r="K357" s="3" t="n">
        <v>725</v>
      </c>
      <c r="L357" s="3" t="n">
        <v>398</v>
      </c>
      <c r="M357" s="4" t="n"/>
      <c r="N357" s="3" t="n">
        <v>9344.9</v>
      </c>
      <c r="O357" s="4" t="inlineStr">
        <is>
          <t>United States</t>
        </is>
      </c>
      <c r="P357" s="4" t="inlineStr">
        <is>
          <t>United States</t>
        </is>
      </c>
      <c r="Q357" s="4" t="inlineStr">
        <is>
          <t>Friendly</t>
        </is>
      </c>
      <c r="R357" s="3" t="n">
        <v>1551.9</v>
      </c>
      <c r="S357" s="3" t="n">
        <v>9.28384</v>
      </c>
      <c r="T357" s="4" t="inlineStr">
        <is>
          <t>Company Takeover</t>
        </is>
      </c>
      <c r="U357" s="2" t="inlineStr">
        <is>
          <t>No</t>
        </is>
      </c>
      <c r="V357" s="2" t="inlineStr">
        <is>
          <t>No</t>
        </is>
      </c>
      <c r="W357" s="2" t="inlineStr">
        <is>
          <t>No</t>
        </is>
      </c>
      <c r="X357" s="2" t="inlineStr">
        <is>
          <t>No</t>
        </is>
      </c>
      <c r="Y357" s="2" t="inlineStr">
        <is>
          <t>No</t>
        </is>
      </c>
      <c r="Z357" s="2" t="inlineStr">
        <is>
          <t>No</t>
        </is>
      </c>
      <c r="AA357" s="6" t="n">
        <v>4.068185862</v>
      </c>
      <c r="AB357" s="6" t="n">
        <v>3.190863733</v>
      </c>
      <c r="AC357" s="6" t="n">
        <v>3.970574658</v>
      </c>
      <c r="AD357">
        <f t="array" ref="AD357">IF(SUMPRODUCT(--($AM$2:$AM$112=TRIM(LEFT($B357,IFERROR(FIND(" ",$B357)-1,LEN($B357))))))&gt;0,1,0)</f>
        <v/>
      </c>
      <c r="AE357">
        <f t="array" ref="AE357">IF(SUMPRODUCT(--($AO$2:$AO$145=TRIM(LEFT($B357,IFERROR(FIND(" ",$B357)-1,LEN($B357))))))&gt;0,1,0)</f>
        <v/>
      </c>
      <c r="AF357">
        <f t="array" ref="AF357">IF(SUMPRODUCT(--($AQ$2:$AQ$71=TRIM(LEFT($B357,IFERROR(FIND(" ",$B357)-1,LEN($B357))))))&gt;0,1,0)</f>
        <v/>
      </c>
    </row>
    <row r="358" ht="165.75" customHeight="1" thickBot="1">
      <c r="A358" s="13" t="n">
        <v>207</v>
      </c>
      <c r="B358" s="4" t="inlineStr">
        <is>
          <t>HCG CN</t>
        </is>
      </c>
      <c r="C358" s="4" t="inlineStr">
        <is>
          <t>2209250D US</t>
        </is>
      </c>
      <c r="D358" s="7" t="n">
        <v>44886</v>
      </c>
      <c r="E358" s="3" t="n">
        <v>4086.75</v>
      </c>
      <c r="F358" s="4" t="inlineStr">
        <is>
          <t>Cash</t>
        </is>
      </c>
      <c r="G358" s="4" t="n"/>
      <c r="H358" s="4" t="inlineStr">
        <is>
          <t>Financials</t>
        </is>
      </c>
      <c r="I358" s="4" t="inlineStr">
        <is>
          <t>Financial Services</t>
        </is>
      </c>
      <c r="J358" s="4" t="inlineStr">
        <is>
          <t>Specialty Finance</t>
        </is>
      </c>
      <c r="K358" s="3" t="n">
        <v>60</v>
      </c>
      <c r="L358" s="4" t="n"/>
      <c r="M358" s="3" t="n">
        <v>70.64</v>
      </c>
      <c r="N358" s="3" t="n">
        <v>1149.09</v>
      </c>
      <c r="O358" s="4" t="inlineStr">
        <is>
          <t>Canada</t>
        </is>
      </c>
      <c r="P358" s="4" t="inlineStr">
        <is>
          <t>Canada</t>
        </is>
      </c>
      <c r="Q358" s="4" t="inlineStr">
        <is>
          <t>Friendly</t>
        </is>
      </c>
      <c r="R358" s="3" t="n">
        <v>770.083</v>
      </c>
      <c r="S358" s="3" t="n">
        <v>45.2869</v>
      </c>
      <c r="T358" s="4" t="inlineStr">
        <is>
          <t>Company Takeover, Cross Border, Going Private, Additional Stake Purchase</t>
        </is>
      </c>
      <c r="U358" s="2" t="inlineStr">
        <is>
          <t>Yes</t>
        </is>
      </c>
      <c r="V358" s="2" t="inlineStr">
        <is>
          <t>No</t>
        </is>
      </c>
      <c r="W358" s="2" t="inlineStr">
        <is>
          <t>Yes</t>
        </is>
      </c>
      <c r="X358" s="2" t="inlineStr">
        <is>
          <t>Yes</t>
        </is>
      </c>
      <c r="Y358" s="2" t="inlineStr">
        <is>
          <t>No</t>
        </is>
      </c>
      <c r="Z358" s="2" t="inlineStr">
        <is>
          <t>No</t>
        </is>
      </c>
      <c r="AA358" s="6" t="n">
        <v>3.611378071</v>
      </c>
      <c r="AB358" s="6" t="n">
        <v>2.886537536</v>
      </c>
      <c r="AC358" s="6" t="n">
        <v>3.060354045</v>
      </c>
      <c r="AD358">
        <f t="array" ref="AD358">IF(SUMPRODUCT(--($AM$2:$AM$112=TRIM(LEFT($B358,IFERROR(FIND(" ",$B358)-1,LEN($B358))))))&gt;0,1,0)</f>
        <v/>
      </c>
      <c r="AE358">
        <f t="array" ref="AE358">IF(SUMPRODUCT(--($AO$2:$AO$145=TRIM(LEFT($B358,IFERROR(FIND(" ",$B358)-1,LEN($B358))))))&gt;0,1,0)</f>
        <v/>
      </c>
      <c r="AF358">
        <f t="array" ref="AF358">IF(SUMPRODUCT(--($AQ$2:$AQ$71=TRIM(LEFT($B358,IFERROR(FIND(" ",$B358)-1,LEN($B358))))))&gt;0,1,0)</f>
        <v/>
      </c>
    </row>
    <row r="359" ht="60.75" customHeight="1" thickBot="1">
      <c r="A359" s="13" t="n">
        <v>149</v>
      </c>
      <c r="B359" s="4" t="inlineStr">
        <is>
          <t>NUVA US</t>
        </is>
      </c>
      <c r="C359" s="4" t="inlineStr">
        <is>
          <t>GMED US</t>
        </is>
      </c>
      <c r="D359" s="7" t="n">
        <v>44966</v>
      </c>
      <c r="E359" s="3" t="n">
        <v>3707.52</v>
      </c>
      <c r="F359" s="4" t="inlineStr">
        <is>
          <t>Stock</t>
        </is>
      </c>
      <c r="G359" s="3" t="n">
        <v>18.31</v>
      </c>
      <c r="H359" s="4" t="inlineStr">
        <is>
          <t>Health Care</t>
        </is>
      </c>
      <c r="I359" s="4" t="inlineStr">
        <is>
          <t>Health Care</t>
        </is>
      </c>
      <c r="J359" s="4" t="inlineStr">
        <is>
          <t>Medical Equipment &amp; Devices</t>
        </is>
      </c>
      <c r="K359" s="4" t="n"/>
      <c r="L359" s="3" t="n">
        <v>120</v>
      </c>
      <c r="M359" s="3" t="n">
        <v>24.05</v>
      </c>
      <c r="N359" s="3" t="n">
        <v>2938.46</v>
      </c>
      <c r="O359" s="4" t="inlineStr">
        <is>
          <t>United States</t>
        </is>
      </c>
      <c r="P359" s="4" t="inlineStr">
        <is>
          <t>United States</t>
        </is>
      </c>
      <c r="Q359" s="4" t="inlineStr">
        <is>
          <t>Friendly</t>
        </is>
      </c>
      <c r="R359" s="3" t="n">
        <v>1201.94</v>
      </c>
      <c r="S359" s="3" t="n">
        <v>5.58967</v>
      </c>
      <c r="T359" s="4" t="inlineStr">
        <is>
          <t>Company Takeover</t>
        </is>
      </c>
      <c r="U359" s="2" t="inlineStr">
        <is>
          <t>No</t>
        </is>
      </c>
      <c r="V359" s="2" t="inlineStr">
        <is>
          <t>No</t>
        </is>
      </c>
      <c r="W359" s="2" t="inlineStr">
        <is>
          <t>No</t>
        </is>
      </c>
      <c r="X359" s="2" t="inlineStr">
        <is>
          <t>No</t>
        </is>
      </c>
      <c r="Y359" s="2" t="inlineStr">
        <is>
          <t>No</t>
        </is>
      </c>
      <c r="Z359" s="2" t="inlineStr">
        <is>
          <t>No</t>
        </is>
      </c>
      <c r="AA359" s="6" t="n">
        <v>3.569083502</v>
      </c>
      <c r="AB359" s="6" t="n">
        <v>3.079882789</v>
      </c>
      <c r="AC359" s="6" t="n">
        <v>3.468119783</v>
      </c>
      <c r="AD359">
        <f t="array" ref="AD359">IF(SUMPRODUCT(--($AM$2:$AM$112=TRIM(LEFT($B359,IFERROR(FIND(" ",$B359)-1,LEN($B359))))))&gt;0,1,0)</f>
        <v/>
      </c>
      <c r="AE359">
        <f t="array" ref="AE359">IF(SUMPRODUCT(--($AO$2:$AO$145=TRIM(LEFT($B359,IFERROR(FIND(" ",$B359)-1,LEN($B359))))))&gt;0,1,0)</f>
        <v/>
      </c>
      <c r="AF359">
        <f t="array" ref="AF359">IF(SUMPRODUCT(--($AQ$2:$AQ$71=TRIM(LEFT($B359,IFERROR(FIND(" ",$B359)-1,LEN($B359))))))&gt;0,1,0)</f>
        <v/>
      </c>
    </row>
    <row r="360" ht="135.75" customHeight="1" thickBot="1">
      <c r="A360" s="13" t="n">
        <v>135</v>
      </c>
      <c r="B360" s="4" t="inlineStr">
        <is>
          <t>FOCS US</t>
        </is>
      </c>
      <c r="C360" s="4" t="inlineStr">
        <is>
          <t>5056Z US</t>
        </is>
      </c>
      <c r="D360" s="7" t="n">
        <v>44984</v>
      </c>
      <c r="E360" s="3" t="n">
        <v>6154.28</v>
      </c>
      <c r="F360" s="4" t="inlineStr">
        <is>
          <t>Cash</t>
        </is>
      </c>
      <c r="G360" s="3" t="n">
        <v>10.72</v>
      </c>
      <c r="H360" s="4" t="inlineStr">
        <is>
          <t>Financials</t>
        </is>
      </c>
      <c r="I360" s="4" t="inlineStr">
        <is>
          <t>Financial Services</t>
        </is>
      </c>
      <c r="J360" s="4" t="inlineStr">
        <is>
          <t>Asset Management</t>
        </is>
      </c>
      <c r="K360" s="4" t="n"/>
      <c r="L360" s="4" t="n"/>
      <c r="M360" s="3" t="n">
        <v>8.039999999999999</v>
      </c>
      <c r="N360" s="3" t="n">
        <v>3494.61</v>
      </c>
      <c r="O360" s="4" t="inlineStr">
        <is>
          <t>United States</t>
        </is>
      </c>
      <c r="P360" s="4" t="inlineStr">
        <is>
          <t>United States</t>
        </is>
      </c>
      <c r="Q360" s="4" t="inlineStr">
        <is>
          <t>Friendly</t>
        </is>
      </c>
      <c r="R360" s="3" t="n">
        <v>2143.32</v>
      </c>
      <c r="S360" s="3" t="n">
        <v>7.92623</v>
      </c>
      <c r="T360" s="4" t="inlineStr">
        <is>
          <t>Private Equity, Company Takeover, Going Private, PE Buyout</t>
        </is>
      </c>
      <c r="U360" s="2" t="inlineStr">
        <is>
          <t>No</t>
        </is>
      </c>
      <c r="V360" s="2" t="inlineStr">
        <is>
          <t>No</t>
        </is>
      </c>
      <c r="W360" s="2" t="inlineStr">
        <is>
          <t>No</t>
        </is>
      </c>
      <c r="X360" s="2" t="inlineStr">
        <is>
          <t>Yes</t>
        </is>
      </c>
      <c r="Y360" s="2" t="inlineStr">
        <is>
          <t>Yes</t>
        </is>
      </c>
      <c r="Z360" s="2" t="inlineStr">
        <is>
          <t>No</t>
        </is>
      </c>
      <c r="AA360" s="6" t="n">
        <v>3.789177251</v>
      </c>
      <c r="AB360" s="6" t="n">
        <v>3.331087017</v>
      </c>
      <c r="AC360" s="6" t="n">
        <v>3.543398715</v>
      </c>
      <c r="AD360">
        <f t="array" ref="AD360">IF(SUMPRODUCT(--($AM$2:$AM$112=TRIM(LEFT($B360,IFERROR(FIND(" ",$B360)-1,LEN($B360))))))&gt;0,1,0)</f>
        <v/>
      </c>
      <c r="AE360">
        <f t="array" ref="AE360">IF(SUMPRODUCT(--($AO$2:$AO$145=TRIM(LEFT($B360,IFERROR(FIND(" ",$B360)-1,LEN($B360))))))&gt;0,1,0)</f>
        <v/>
      </c>
      <c r="AF360">
        <f t="array" ref="AF360">IF(SUMPRODUCT(--($AQ$2:$AQ$71=TRIM(LEFT($B360,IFERROR(FIND(" ",$B360)-1,LEN($B360))))))&gt;0,1,0)</f>
        <v/>
      </c>
    </row>
    <row r="361" ht="45.75" customHeight="1" thickBot="1">
      <c r="A361" s="13" t="n">
        <v>57</v>
      </c>
      <c r="B361" s="4" t="inlineStr">
        <is>
          <t>NEX US</t>
        </is>
      </c>
      <c r="C361" s="4" t="inlineStr">
        <is>
          <t>PTEN US</t>
        </is>
      </c>
      <c r="D361" s="7" t="n">
        <v>45092</v>
      </c>
      <c r="E361" s="3" t="n">
        <v>2106.35</v>
      </c>
      <c r="F361" s="4" t="inlineStr">
        <is>
          <t>Stock</t>
        </is>
      </c>
      <c r="G361" s="3" t="n">
        <v>0.41</v>
      </c>
      <c r="H361" s="4" t="inlineStr">
        <is>
          <t>Energy</t>
        </is>
      </c>
      <c r="I361" s="4" t="inlineStr">
        <is>
          <t>Oil &amp; Gas</t>
        </is>
      </c>
      <c r="J361" s="4" t="inlineStr">
        <is>
          <t>Oil &amp; Gas Services &amp; Equip</t>
        </is>
      </c>
      <c r="K361" s="4" t="n"/>
      <c r="L361" s="4" t="n"/>
      <c r="M361" s="3" t="n">
        <v>-1.2</v>
      </c>
      <c r="N361" s="3" t="n">
        <v>1876.43</v>
      </c>
      <c r="O361" s="4" t="inlineStr">
        <is>
          <t>United States</t>
        </is>
      </c>
      <c r="P361" s="4" t="inlineStr">
        <is>
          <t>United States</t>
        </is>
      </c>
      <c r="Q361" s="4" t="inlineStr">
        <is>
          <t>Friendly</t>
        </is>
      </c>
      <c r="R361" s="3" t="n">
        <v>3244.82</v>
      </c>
      <c r="S361" s="3" t="n">
        <v>15.356</v>
      </c>
      <c r="T361" s="4" t="inlineStr">
        <is>
          <t>Company Takeover</t>
        </is>
      </c>
      <c r="U361" s="2" t="inlineStr">
        <is>
          <t>No</t>
        </is>
      </c>
      <c r="V361" s="2" t="inlineStr">
        <is>
          <t>No</t>
        </is>
      </c>
      <c r="W361" s="2" t="inlineStr">
        <is>
          <t>No</t>
        </is>
      </c>
      <c r="X361" s="2" t="inlineStr">
        <is>
          <t>No</t>
        </is>
      </c>
      <c r="Y361" s="2" t="inlineStr">
        <is>
          <t>No</t>
        </is>
      </c>
      <c r="Z361" s="2" t="inlineStr">
        <is>
          <t>No</t>
        </is>
      </c>
      <c r="AA361" s="6" t="n">
        <v>3.323530537</v>
      </c>
      <c r="AB361" s="6" t="n">
        <v>3.51119061</v>
      </c>
      <c r="AC361" s="6" t="n">
        <v>3.273332368</v>
      </c>
      <c r="AD361">
        <f t="array" ref="AD361">IF(SUMPRODUCT(--($AM$2:$AM$112=TRIM(LEFT($B361,IFERROR(FIND(" ",$B361)-1,LEN($B361))))))&gt;0,1,0)</f>
        <v/>
      </c>
      <c r="AE361">
        <f t="array" ref="AE361">IF(SUMPRODUCT(--($AO$2:$AO$145=TRIM(LEFT($B361,IFERROR(FIND(" ",$B361)-1,LEN($B361))))))&gt;0,1,0)</f>
        <v/>
      </c>
      <c r="AF361">
        <f t="array" ref="AF361">IF(SUMPRODUCT(--($AQ$2:$AQ$71=TRIM(LEFT($B361,IFERROR(FIND(" ",$B361)-1,LEN($B361))))))&gt;0,1,0)</f>
        <v/>
      </c>
    </row>
    <row r="362" ht="75.75" customHeight="1" thickBot="1">
      <c r="A362" s="13" t="n">
        <v>185</v>
      </c>
      <c r="B362" s="4" t="inlineStr">
        <is>
          <t>MBIC US</t>
        </is>
      </c>
      <c r="C362" s="4" t="inlineStr">
        <is>
          <t>BEEP US</t>
        </is>
      </c>
      <c r="D362" s="7" t="n">
        <v>44908</v>
      </c>
      <c r="E362" s="3" t="n">
        <v>550</v>
      </c>
      <c r="F362" s="4" t="inlineStr">
        <is>
          <t>Stock</t>
        </is>
      </c>
      <c r="G362" s="3" t="n">
        <v>126</v>
      </c>
      <c r="H362" s="4" t="inlineStr">
        <is>
          <t>Real Estate</t>
        </is>
      </c>
      <c r="I362" s="4" t="inlineStr">
        <is>
          <t>Real Estate</t>
        </is>
      </c>
      <c r="J362" s="4" t="inlineStr">
        <is>
          <t>REIT</t>
        </is>
      </c>
      <c r="K362" s="4" t="n"/>
      <c r="L362" s="4" t="n"/>
      <c r="M362" s="4" t="n"/>
      <c r="N362" s="3" t="n">
        <v>550</v>
      </c>
      <c r="O362" s="4" t="inlineStr">
        <is>
          <t>United States</t>
        </is>
      </c>
      <c r="P362" s="4" t="inlineStr">
        <is>
          <t>United States</t>
        </is>
      </c>
      <c r="Q362" s="4" t="inlineStr">
        <is>
          <t>Friendly</t>
        </is>
      </c>
      <c r="R362" s="3" t="n">
        <v>29.101</v>
      </c>
      <c r="S362" s="3" t="n">
        <v>-19.9168</v>
      </c>
      <c r="T362" s="4" t="inlineStr">
        <is>
          <t>Reverse Merger, Company Takeover</t>
        </is>
      </c>
      <c r="U362" s="2" t="inlineStr">
        <is>
          <t>No</t>
        </is>
      </c>
      <c r="V362" s="2" t="inlineStr">
        <is>
          <t>No</t>
        </is>
      </c>
      <c r="W362" s="2" t="inlineStr">
        <is>
          <t>No</t>
        </is>
      </c>
      <c r="X362" s="2" t="inlineStr">
        <is>
          <t>No</t>
        </is>
      </c>
      <c r="Y362" s="2" t="inlineStr">
        <is>
          <t>No</t>
        </is>
      </c>
      <c r="Z362" s="2" t="inlineStr">
        <is>
          <t>No</t>
        </is>
      </c>
      <c r="AA362" s="6" t="n">
        <v>2.740362689</v>
      </c>
      <c r="AB362" s="6" t="n">
        <v>1.463907913</v>
      </c>
      <c r="AC362" s="6" t="n">
        <v>2.740362689</v>
      </c>
      <c r="AD362">
        <f t="array" ref="AD362">IF(SUMPRODUCT(--($AM$2:$AM$112=TRIM(LEFT($B362,IFERROR(FIND(" ",$B362)-1,LEN($B362))))))&gt;0,1,0)</f>
        <v/>
      </c>
      <c r="AE362">
        <f t="array" ref="AE362">IF(SUMPRODUCT(--($AO$2:$AO$145=TRIM(LEFT($B362,IFERROR(FIND(" ",$B362)-1,LEN($B362))))))&gt;0,1,0)</f>
        <v/>
      </c>
      <c r="AF362">
        <f t="array" ref="AF362">IF(SUMPRODUCT(--($AQ$2:$AQ$71=TRIM(LEFT($B362,IFERROR(FIND(" ",$B362)-1,LEN($B362))))))&gt;0,1,0)</f>
        <v/>
      </c>
    </row>
    <row r="363" ht="135.75" customHeight="1" thickBot="1">
      <c r="A363" s="13" t="n">
        <v>227</v>
      </c>
      <c r="B363" s="4" t="inlineStr">
        <is>
          <t>FORG US</t>
        </is>
      </c>
      <c r="C363" s="4" t="inlineStr">
        <is>
          <t>129626Z US</t>
        </is>
      </c>
      <c r="D363" s="7" t="n">
        <v>44845</v>
      </c>
      <c r="E363" s="3" t="n">
        <v>1680.54</v>
      </c>
      <c r="F363" s="4" t="inlineStr">
        <is>
          <t>Cash</t>
        </is>
      </c>
      <c r="G363" s="4" t="n"/>
      <c r="H363" s="4" t="inlineStr">
        <is>
          <t>Technology</t>
        </is>
      </c>
      <c r="I363" s="4" t="inlineStr">
        <is>
          <t>Software &amp; Tech Services</t>
        </is>
      </c>
      <c r="J363" s="4" t="inlineStr">
        <is>
          <t>Software</t>
        </is>
      </c>
      <c r="K363" s="4" t="n"/>
      <c r="L363" s="4" t="n"/>
      <c r="M363" s="3" t="n">
        <v>50.32</v>
      </c>
      <c r="N363" s="3" t="n">
        <v>1976.93</v>
      </c>
      <c r="O363" s="4" t="inlineStr">
        <is>
          <t>United States</t>
        </is>
      </c>
      <c r="P363" s="4" t="inlineStr">
        <is>
          <t>United States</t>
        </is>
      </c>
      <c r="Q363" s="4" t="inlineStr">
        <is>
          <t>Friendly</t>
        </is>
      </c>
      <c r="R363" s="3" t="n">
        <v>217.512</v>
      </c>
      <c r="S363" s="3" t="n">
        <v>-34.4804</v>
      </c>
      <c r="T363" s="4" t="inlineStr">
        <is>
          <t>Company Takeover, Going Private, Private Equity, PE Buyout</t>
        </is>
      </c>
      <c r="U363" s="2" t="inlineStr">
        <is>
          <t>No</t>
        </is>
      </c>
      <c r="V363" s="2" t="inlineStr">
        <is>
          <t>No</t>
        </is>
      </c>
      <c r="W363" s="2" t="inlineStr">
        <is>
          <t>No</t>
        </is>
      </c>
      <c r="X363" s="2" t="inlineStr">
        <is>
          <t>Yes</t>
        </is>
      </c>
      <c r="Y363" s="2" t="inlineStr">
        <is>
          <t>Yes</t>
        </is>
      </c>
      <c r="Z363" s="2" t="inlineStr">
        <is>
          <t>No</t>
        </is>
      </c>
      <c r="AA363" s="6" t="n">
        <v>3.225448854</v>
      </c>
      <c r="AB363" s="6" t="n">
        <v>2.337483222</v>
      </c>
      <c r="AC363" s="6" t="n">
        <v>3.295991292</v>
      </c>
      <c r="AD363">
        <f t="array" ref="AD363">IF(SUMPRODUCT(--($AM$2:$AM$112=TRIM(LEFT($B363,IFERROR(FIND(" ",$B363)-1,LEN($B363))))))&gt;0,1,0)</f>
        <v/>
      </c>
      <c r="AE363">
        <f t="array" ref="AE363">IF(SUMPRODUCT(--($AO$2:$AO$145=TRIM(LEFT($B363,IFERROR(FIND(" ",$B363)-1,LEN($B363))))))&gt;0,1,0)</f>
        <v/>
      </c>
      <c r="AF363">
        <f t="array" ref="AF363">IF(SUMPRODUCT(--($AQ$2:$AQ$71=TRIM(LEFT($B363,IFERROR(FIND(" ",$B363)-1,LEN($B363))))))&gt;0,1,0)</f>
        <v/>
      </c>
    </row>
    <row r="364" ht="180.75" customHeight="1" thickBot="1">
      <c r="A364" s="13" t="n">
        <v>75</v>
      </c>
      <c r="B364" s="4" t="inlineStr">
        <is>
          <t>FRG US</t>
        </is>
      </c>
      <c r="C364" s="2" t="n"/>
      <c r="D364" s="7" t="n">
        <v>45056</v>
      </c>
      <c r="E364" s="3" t="n">
        <v>3322.95</v>
      </c>
      <c r="F364" s="4" t="inlineStr">
        <is>
          <t>Cash</t>
        </is>
      </c>
      <c r="G364" s="3" t="n">
        <v>12.06</v>
      </c>
      <c r="H364" s="4" t="inlineStr">
        <is>
          <t>Consumer Discretionary</t>
        </is>
      </c>
      <c r="I364" s="4" t="inlineStr">
        <is>
          <t>Retail &amp; Whsle - Discretionary</t>
        </is>
      </c>
      <c r="J364" s="4" t="inlineStr">
        <is>
          <t>Retail - Discretionary</t>
        </is>
      </c>
      <c r="K364" s="4" t="n"/>
      <c r="L364" s="4" t="n"/>
      <c r="M364" s="3" t="n">
        <v>5.66</v>
      </c>
      <c r="N364" s="3" t="n">
        <v>674.85</v>
      </c>
      <c r="O364" s="4" t="inlineStr">
        <is>
          <t>United States</t>
        </is>
      </c>
      <c r="P364" s="4" t="inlineStr">
        <is>
          <t>France</t>
        </is>
      </c>
      <c r="Q364" s="4" t="inlineStr">
        <is>
          <t>Unsolicited to Friendly</t>
        </is>
      </c>
      <c r="R364" s="3" t="n">
        <v>4397.83</v>
      </c>
      <c r="S364" s="3" t="n">
        <v>0.225175</v>
      </c>
      <c r="T364" s="4" t="inlineStr">
        <is>
          <t>Company Takeover, Going Private, Management Buyout, Additional Stake Purchase</t>
        </is>
      </c>
      <c r="U364" s="2" t="inlineStr">
        <is>
          <t>Yes</t>
        </is>
      </c>
      <c r="V364" s="2" t="inlineStr">
        <is>
          <t>No</t>
        </is>
      </c>
      <c r="W364" s="2" t="inlineStr">
        <is>
          <t>No</t>
        </is>
      </c>
      <c r="X364" s="2" t="inlineStr">
        <is>
          <t>Yes</t>
        </is>
      </c>
      <c r="Y364" s="2" t="inlineStr">
        <is>
          <t>No</t>
        </is>
      </c>
      <c r="Z364" s="2" t="inlineStr">
        <is>
          <t>No</t>
        </is>
      </c>
      <c r="AA364" s="6" t="n">
        <v>3.521523807</v>
      </c>
      <c r="AB364" s="6" t="n">
        <v>3.643238438</v>
      </c>
      <c r="AC364" s="6" t="n">
        <v>2.829207252</v>
      </c>
      <c r="AD364">
        <f t="array" ref="AD364">IF(SUMPRODUCT(--($AM$2:$AM$112=TRIM(LEFT($B364,IFERROR(FIND(" ",$B364)-1,LEN($B364))))))&gt;0,1,0)</f>
        <v/>
      </c>
      <c r="AE364">
        <f t="array" ref="AE364">IF(SUMPRODUCT(--($AO$2:$AO$145=TRIM(LEFT($B364,IFERROR(FIND(" ",$B364)-1,LEN($B364))))))&gt;0,1,0)</f>
        <v/>
      </c>
      <c r="AF364">
        <f t="array" ref="AF364">IF(SUMPRODUCT(--($AQ$2:$AQ$71=TRIM(LEFT($B364,IFERROR(FIND(" ",$B364)-1,LEN($B364))))))&gt;0,1,0)</f>
        <v/>
      </c>
    </row>
    <row r="365" ht="135.75" customHeight="1" thickBot="1">
      <c r="A365" s="13" t="n">
        <v>77</v>
      </c>
      <c r="B365" s="4" t="inlineStr">
        <is>
          <t>ARNC US</t>
        </is>
      </c>
      <c r="C365" s="2" t="n"/>
      <c r="D365" s="7" t="n">
        <v>45050</v>
      </c>
      <c r="E365" s="3" t="n">
        <v>4435.75</v>
      </c>
      <c r="F365" s="4" t="inlineStr">
        <is>
          <t>Cash</t>
        </is>
      </c>
      <c r="G365" s="3" t="n">
        <v>72.65000000000001</v>
      </c>
      <c r="H365" s="4" t="inlineStr">
        <is>
          <t>Materials</t>
        </is>
      </c>
      <c r="I365" s="4" t="inlineStr">
        <is>
          <t>Materials</t>
        </is>
      </c>
      <c r="J365" s="4" t="inlineStr">
        <is>
          <t>Metals &amp; Mining</t>
        </is>
      </c>
      <c r="K365" s="3" t="n">
        <v>205</v>
      </c>
      <c r="L365" s="3" t="n">
        <v>112</v>
      </c>
      <c r="M365" s="3" t="n">
        <v>20.82</v>
      </c>
      <c r="N365" s="3" t="n">
        <v>2982.75</v>
      </c>
      <c r="O365" s="4" t="inlineStr">
        <is>
          <t>United States</t>
        </is>
      </c>
      <c r="P365" s="4" t="inlineStr">
        <is>
          <t>United States</t>
        </is>
      </c>
      <c r="Q365" s="4" t="inlineStr">
        <is>
          <t>Friendly</t>
        </is>
      </c>
      <c r="R365" s="3" t="n">
        <v>8961</v>
      </c>
      <c r="S365" s="3" t="n">
        <v>-1.21607</v>
      </c>
      <c r="T365" s="4" t="inlineStr">
        <is>
          <t>Company Takeover, Going Private, PE Buyout, Private Equity</t>
        </is>
      </c>
      <c r="U365" s="2" t="inlineStr">
        <is>
          <t>No</t>
        </is>
      </c>
      <c r="V365" s="2" t="inlineStr">
        <is>
          <t>No</t>
        </is>
      </c>
      <c r="W365" s="2" t="inlineStr">
        <is>
          <t>No</t>
        </is>
      </c>
      <c r="X365" s="2" t="inlineStr">
        <is>
          <t>Yes</t>
        </is>
      </c>
      <c r="Y365" s="2" t="inlineStr">
        <is>
          <t>Yes</t>
        </is>
      </c>
      <c r="Z365" s="2" t="inlineStr">
        <is>
          <t>No</t>
        </is>
      </c>
      <c r="AA365" s="6" t="n">
        <v>3.646967061</v>
      </c>
      <c r="AB365" s="6" t="n">
        <v>3.952356477</v>
      </c>
      <c r="AC365" s="6" t="n">
        <v>3.474616854</v>
      </c>
      <c r="AD365">
        <f t="array" ref="AD365">IF(SUMPRODUCT(--($AM$2:$AM$112=TRIM(LEFT($B365,IFERROR(FIND(" ",$B365)-1,LEN($B365))))))&gt;0,1,0)</f>
        <v/>
      </c>
      <c r="AE365">
        <f t="array" ref="AE365">IF(SUMPRODUCT(--($AO$2:$AO$145=TRIM(LEFT($B365,IFERROR(FIND(" ",$B365)-1,LEN($B365))))))&gt;0,1,0)</f>
        <v/>
      </c>
      <c r="AF365">
        <f t="array" ref="AF365">IF(SUMPRODUCT(--($AQ$2:$AQ$71=TRIM(LEFT($B365,IFERROR(FIND(" ",$B365)-1,LEN($B365))))))&gt;0,1,0)</f>
        <v/>
      </c>
    </row>
    <row r="366" ht="45.75" customHeight="1" thickBot="1">
      <c r="A366" s="13" t="n">
        <v>67</v>
      </c>
      <c r="B366" s="4" t="inlineStr">
        <is>
          <t>UBA US</t>
        </is>
      </c>
      <c r="C366" s="4" t="inlineStr">
        <is>
          <t>REG US</t>
        </is>
      </c>
      <c r="D366" s="7" t="n">
        <v>45064</v>
      </c>
      <c r="E366" s="3" t="n">
        <v>814.3099999999999</v>
      </c>
      <c r="F366" s="4" t="inlineStr">
        <is>
          <t>Stock</t>
        </is>
      </c>
      <c r="G366" s="3" t="n">
        <v>11.02</v>
      </c>
      <c r="H366" s="4" t="inlineStr">
        <is>
          <t>Real Estate</t>
        </is>
      </c>
      <c r="I366" s="4" t="inlineStr">
        <is>
          <t>Real Estate</t>
        </is>
      </c>
      <c r="J366" s="4" t="inlineStr">
        <is>
          <t>REIT</t>
        </is>
      </c>
      <c r="K366" s="4" t="n"/>
      <c r="L366" s="4" t="n"/>
      <c r="M366" s="3" t="n">
        <v>21.69</v>
      </c>
      <c r="N366" s="3" t="n">
        <v>814.3099999999999</v>
      </c>
      <c r="O366" s="4" t="inlineStr">
        <is>
          <t>United States</t>
        </is>
      </c>
      <c r="P366" s="4" t="inlineStr">
        <is>
          <t>United States</t>
        </is>
      </c>
      <c r="Q366" s="4" t="inlineStr">
        <is>
          <t>Friendly</t>
        </is>
      </c>
      <c r="R366" s="3" t="n">
        <v>143.103</v>
      </c>
      <c r="S366" s="3" t="n">
        <v>37.6404</v>
      </c>
      <c r="T366" s="4" t="inlineStr">
        <is>
          <t>Company Takeover</t>
        </is>
      </c>
      <c r="U366" s="2" t="inlineStr">
        <is>
          <t>No</t>
        </is>
      </c>
      <c r="V366" s="2" t="inlineStr">
        <is>
          <t>No</t>
        </is>
      </c>
      <c r="W366" s="2" t="inlineStr">
        <is>
          <t>No</t>
        </is>
      </c>
      <c r="X366" s="2" t="inlineStr">
        <is>
          <t>No</t>
        </is>
      </c>
      <c r="Y366" s="2" t="inlineStr">
        <is>
          <t>No</t>
        </is>
      </c>
      <c r="Z366" s="2" t="inlineStr">
        <is>
          <t>No</t>
        </is>
      </c>
      <c r="AA366" s="6" t="n">
        <v>2.910789768</v>
      </c>
      <c r="AB366" s="6" t="n">
        <v>2.155648738</v>
      </c>
      <c r="AC366" s="6" t="n">
        <v>2.910789768</v>
      </c>
      <c r="AD366">
        <f t="array" ref="AD366">IF(SUMPRODUCT(--($AM$2:$AM$112=TRIM(LEFT($B366,IFERROR(FIND(" ",$B366)-1,LEN($B366))))))&gt;0,1,0)</f>
        <v/>
      </c>
      <c r="AE366">
        <f t="array" ref="AE366">IF(SUMPRODUCT(--($AO$2:$AO$145=TRIM(LEFT($B366,IFERROR(FIND(" ",$B366)-1,LEN($B366))))))&gt;0,1,0)</f>
        <v/>
      </c>
      <c r="AF366">
        <f t="array" ref="AF366">IF(SUMPRODUCT(--($AQ$2:$AQ$71=TRIM(LEFT($B366,IFERROR(FIND(" ",$B366)-1,LEN($B366))))))&gt;0,1,0)</f>
        <v/>
      </c>
    </row>
    <row r="367" ht="75.75" customHeight="1" thickBot="1">
      <c r="A367" s="13" t="n">
        <v>46</v>
      </c>
      <c r="B367" s="4" t="inlineStr">
        <is>
          <t>KDNY US</t>
        </is>
      </c>
      <c r="C367" s="4" t="inlineStr">
        <is>
          <t>NOVN SW</t>
        </is>
      </c>
      <c r="D367" s="7" t="n">
        <v>45089</v>
      </c>
      <c r="E367" s="3" t="n">
        <v>2356.46</v>
      </c>
      <c r="F367" s="4" t="inlineStr">
        <is>
          <t>Cash</t>
        </is>
      </c>
      <c r="G367" s="4" t="n"/>
      <c r="H367" s="4" t="inlineStr">
        <is>
          <t>Health Care</t>
        </is>
      </c>
      <c r="I367" s="4" t="inlineStr">
        <is>
          <t>Health Care</t>
        </is>
      </c>
      <c r="J367" s="4" t="inlineStr">
        <is>
          <t>Biotech &amp; Pharma</t>
        </is>
      </c>
      <c r="K367" s="4" t="n"/>
      <c r="L367" s="4" t="n"/>
      <c r="M367" s="3" t="n">
        <v>72.56999999999999</v>
      </c>
      <c r="N367" s="3" t="n">
        <v>2675.57</v>
      </c>
      <c r="O367" s="4" t="inlineStr">
        <is>
          <t>United States</t>
        </is>
      </c>
      <c r="P367" s="4" t="inlineStr">
        <is>
          <t>Switzerland</t>
        </is>
      </c>
      <c r="Q367" s="4" t="inlineStr">
        <is>
          <t>Friendly</t>
        </is>
      </c>
      <c r="R367" s="3" t="n">
        <v>6.128</v>
      </c>
      <c r="S367" s="3" t="n">
        <v>-4302.07</v>
      </c>
      <c r="T367" s="4" t="inlineStr">
        <is>
          <t>Company Takeover, Cross Border</t>
        </is>
      </c>
      <c r="U367" s="2" t="inlineStr">
        <is>
          <t>No</t>
        </is>
      </c>
      <c r="V367" s="2" t="inlineStr">
        <is>
          <t>No</t>
        </is>
      </c>
      <c r="W367" s="2" t="inlineStr">
        <is>
          <t>Yes</t>
        </is>
      </c>
      <c r="X367" s="2" t="inlineStr">
        <is>
          <t>No</t>
        </is>
      </c>
      <c r="Y367" s="2" t="inlineStr">
        <is>
          <t>No</t>
        </is>
      </c>
      <c r="Z367" s="2" t="inlineStr">
        <is>
          <t>No</t>
        </is>
      </c>
      <c r="AA367" s="6" t="n">
        <v>3.372260072</v>
      </c>
      <c r="AB367" s="6" t="n">
        <v>0.7873187565999999</v>
      </c>
      <c r="AC367" s="6" t="n">
        <v>3.427416318</v>
      </c>
      <c r="AD367">
        <f t="array" ref="AD367">IF(SUMPRODUCT(--($AM$2:$AM$112=TRIM(LEFT($B367,IFERROR(FIND(" ",$B367)-1,LEN($B367))))))&gt;0,1,0)</f>
        <v/>
      </c>
      <c r="AE367">
        <f t="array" ref="AE367">IF(SUMPRODUCT(--($AO$2:$AO$145=TRIM(LEFT($B367,IFERROR(FIND(" ",$B367)-1,LEN($B367))))))&gt;0,1,0)</f>
        <v/>
      </c>
      <c r="AF367">
        <f t="array" ref="AF367">IF(SUMPRODUCT(--($AQ$2:$AQ$71=TRIM(LEFT($B367,IFERROR(FIND(" ",$B367)-1,LEN($B367))))))&gt;0,1,0)</f>
        <v/>
      </c>
    </row>
    <row r="368" ht="75.75" customHeight="1" thickBot="1">
      <c r="A368" s="13" t="n">
        <v>38</v>
      </c>
      <c r="B368" s="4" t="inlineStr">
        <is>
          <t>DICE US</t>
        </is>
      </c>
      <c r="C368" s="4" t="inlineStr">
        <is>
          <t>LLY US</t>
        </is>
      </c>
      <c r="D368" s="7" t="n">
        <v>45097</v>
      </c>
      <c r="E368" s="3" t="n">
        <v>1730.11</v>
      </c>
      <c r="F368" s="4" t="inlineStr">
        <is>
          <t>Cash</t>
        </is>
      </c>
      <c r="G368" s="4" t="n"/>
      <c r="H368" s="4" t="inlineStr">
        <is>
          <t>Health Care</t>
        </is>
      </c>
      <c r="I368" s="4" t="inlineStr">
        <is>
          <t>Health Care</t>
        </is>
      </c>
      <c r="J368" s="4" t="inlineStr">
        <is>
          <t>Biotech &amp; Pharma</t>
        </is>
      </c>
      <c r="K368" s="4" t="n"/>
      <c r="L368" s="3" t="n">
        <v>92</v>
      </c>
      <c r="M368" s="3" t="n">
        <v>46.12</v>
      </c>
      <c r="N368" s="3" t="n">
        <v>2291.07</v>
      </c>
      <c r="O368" s="4" t="inlineStr">
        <is>
          <t>United States</t>
        </is>
      </c>
      <c r="P368" s="4" t="inlineStr">
        <is>
          <t>United States</t>
        </is>
      </c>
      <c r="Q368" s="4" t="inlineStr">
        <is>
          <t>Friendly</t>
        </is>
      </c>
      <c r="R368" s="2" t="n"/>
      <c r="S368" s="2" t="n"/>
      <c r="T368" s="4" t="inlineStr">
        <is>
          <t>Tender Offer, Company Takeover</t>
        </is>
      </c>
      <c r="U368" s="2" t="inlineStr">
        <is>
          <t>No</t>
        </is>
      </c>
      <c r="V368" s="2" t="inlineStr">
        <is>
          <t>No</t>
        </is>
      </c>
      <c r="W368" s="2" t="inlineStr">
        <is>
          <t>No</t>
        </is>
      </c>
      <c r="X368" s="2" t="inlineStr">
        <is>
          <t>No</t>
        </is>
      </c>
      <c r="Y368" s="2" t="inlineStr">
        <is>
          <t>No</t>
        </is>
      </c>
      <c r="Z368" s="2" t="inlineStr">
        <is>
          <t>Yes</t>
        </is>
      </c>
      <c r="AA368" s="6" t="n">
        <v>3.238073716</v>
      </c>
      <c r="AB368" s="2" t="n"/>
      <c r="AC368" s="6" t="n">
        <v>3.360038359</v>
      </c>
      <c r="AD368">
        <f t="array" ref="AD368">IF(SUMPRODUCT(--($AM$2:$AM$112=TRIM(LEFT($B368,IFERROR(FIND(" ",$B368)-1,LEN($B368))))))&gt;0,1,0)</f>
        <v/>
      </c>
      <c r="AE368">
        <f t="array" ref="AE368">IF(SUMPRODUCT(--($AO$2:$AO$145=TRIM(LEFT($B368,IFERROR(FIND(" ",$B368)-1,LEN($B368))))))&gt;0,1,0)</f>
        <v/>
      </c>
      <c r="AF368">
        <f t="array" ref="AF368">IF(SUMPRODUCT(--($AQ$2:$AQ$71=TRIM(LEFT($B368,IFERROR(FIND(" ",$B368)-1,LEN($B368))))))&gt;0,1,0)</f>
        <v/>
      </c>
    </row>
    <row r="369" ht="45.75" customHeight="1" thickBot="1">
      <c r="A369" s="13" t="n">
        <v>57</v>
      </c>
      <c r="B369" s="4" t="inlineStr">
        <is>
          <t>PDCE US</t>
        </is>
      </c>
      <c r="C369" s="4" t="inlineStr">
        <is>
          <t>CVX US</t>
        </is>
      </c>
      <c r="D369" s="7" t="n">
        <v>45068</v>
      </c>
      <c r="E369" s="3" t="n">
        <v>7874.41</v>
      </c>
      <c r="F369" s="4" t="inlineStr">
        <is>
          <t>Stock</t>
        </is>
      </c>
      <c r="G369" s="3" t="n">
        <v>2.66</v>
      </c>
      <c r="H369" s="4" t="inlineStr">
        <is>
          <t>Energy</t>
        </is>
      </c>
      <c r="I369" s="4" t="inlineStr">
        <is>
          <t>Oil &amp; Gas</t>
        </is>
      </c>
      <c r="J369" s="4" t="inlineStr">
        <is>
          <t>Oil &amp; Gas Supply Chain</t>
        </is>
      </c>
      <c r="K369" s="4" t="n"/>
      <c r="L369" s="4" t="n"/>
      <c r="M369" s="3" t="n">
        <v>17.24</v>
      </c>
      <c r="N369" s="3" t="n">
        <v>6503.74</v>
      </c>
      <c r="O369" s="4" t="inlineStr">
        <is>
          <t>United States</t>
        </is>
      </c>
      <c r="P369" s="4" t="inlineStr">
        <is>
          <t>United States</t>
        </is>
      </c>
      <c r="Q369" s="4" t="inlineStr">
        <is>
          <t>Friendly</t>
        </is>
      </c>
      <c r="R369" s="3" t="n">
        <v>3429.45</v>
      </c>
      <c r="S369" s="3" t="n">
        <v>62.8693</v>
      </c>
      <c r="T369" s="4" t="inlineStr">
        <is>
          <t>Company Takeover</t>
        </is>
      </c>
      <c r="U369" s="2" t="inlineStr">
        <is>
          <t>No</t>
        </is>
      </c>
      <c r="V369" s="2" t="inlineStr">
        <is>
          <t>No</t>
        </is>
      </c>
      <c r="W369" s="2" t="inlineStr">
        <is>
          <t>No</t>
        </is>
      </c>
      <c r="X369" s="2" t="inlineStr">
        <is>
          <t>No</t>
        </is>
      </c>
      <c r="Y369" s="2" t="inlineStr">
        <is>
          <t>No</t>
        </is>
      </c>
      <c r="Z369" s="2" t="inlineStr">
        <is>
          <t>No</t>
        </is>
      </c>
      <c r="AA369" s="6" t="n">
        <v>3.896218024</v>
      </c>
      <c r="AB369" s="6" t="n">
        <v>3.535224475</v>
      </c>
      <c r="AC369" s="6" t="n">
        <v>3.813163171</v>
      </c>
      <c r="AD369">
        <f t="array" ref="AD369">IF(SUMPRODUCT(--($AM$2:$AM$112=TRIM(LEFT($B369,IFERROR(FIND(" ",$B369)-1,LEN($B369))))))&gt;0,1,0)</f>
        <v/>
      </c>
      <c r="AE369">
        <f t="array" ref="AE369">IF(SUMPRODUCT(--($AO$2:$AO$145=TRIM(LEFT($B369,IFERROR(FIND(" ",$B369)-1,LEN($B369))))))&gt;0,1,0)</f>
        <v/>
      </c>
      <c r="AF369">
        <f t="array" ref="AF369">IF(SUMPRODUCT(--($AQ$2:$AQ$71=TRIM(LEFT($B369,IFERROR(FIND(" ",$B369)-1,LEN($B369))))))&gt;0,1,0)</f>
        <v/>
      </c>
    </row>
    <row r="370" ht="75.75" customHeight="1" thickBot="1">
      <c r="A370" s="13" t="n">
        <v>114</v>
      </c>
      <c r="B370" s="4" t="inlineStr">
        <is>
          <t>UNS CN</t>
        </is>
      </c>
      <c r="C370" s="4" t="inlineStr">
        <is>
          <t>LKQ US</t>
        </is>
      </c>
      <c r="D370" s="7" t="n">
        <v>44984</v>
      </c>
      <c r="E370" s="3" t="n">
        <v>1873.54</v>
      </c>
      <c r="F370" s="4" t="inlineStr">
        <is>
          <t>Cash</t>
        </is>
      </c>
      <c r="G370" s="3" t="n">
        <v>10.7</v>
      </c>
      <c r="H370" s="4" t="inlineStr">
        <is>
          <t>Consumer Discretionary</t>
        </is>
      </c>
      <c r="I370" s="4" t="inlineStr">
        <is>
          <t>Retail &amp; Whsle - Discretionary</t>
        </is>
      </c>
      <c r="J370" s="4" t="inlineStr">
        <is>
          <t>Wholesale - Discretionary</t>
        </is>
      </c>
      <c r="K370" s="4" t="n"/>
      <c r="L370" s="4" t="n"/>
      <c r="M370" s="3" t="n">
        <v>19.96</v>
      </c>
      <c r="N370" s="3" t="n">
        <v>1565.98</v>
      </c>
      <c r="O370" s="4" t="inlineStr">
        <is>
          <t>Canada</t>
        </is>
      </c>
      <c r="P370" s="4" t="inlineStr">
        <is>
          <t>United States</t>
        </is>
      </c>
      <c r="Q370" s="4" t="inlineStr">
        <is>
          <t>Friendly</t>
        </is>
      </c>
      <c r="R370" s="3" t="n">
        <v>1731.42</v>
      </c>
      <c r="S370" s="3" t="n">
        <v>6.68008</v>
      </c>
      <c r="T370" s="4" t="inlineStr">
        <is>
          <t>Company Takeover, Cross Border</t>
        </is>
      </c>
      <c r="U370" s="2" t="inlineStr">
        <is>
          <t>No</t>
        </is>
      </c>
      <c r="V370" s="2" t="inlineStr">
        <is>
          <t>No</t>
        </is>
      </c>
      <c r="W370" s="2" t="inlineStr">
        <is>
          <t>Yes</t>
        </is>
      </c>
      <c r="X370" s="2" t="inlineStr">
        <is>
          <t>No</t>
        </is>
      </c>
      <c r="Y370" s="2" t="inlineStr">
        <is>
          <t>No</t>
        </is>
      </c>
      <c r="Z370" s="2" t="inlineStr">
        <is>
          <t>No</t>
        </is>
      </c>
      <c r="AA370" s="6" t="n">
        <v>3.27266297</v>
      </c>
      <c r="AB370" s="6" t="n">
        <v>3.23840243</v>
      </c>
      <c r="AC370" s="6" t="n">
        <v>3.194786211</v>
      </c>
      <c r="AD370">
        <f t="array" ref="AD370">IF(SUMPRODUCT(--($AM$2:$AM$112=TRIM(LEFT($B370,IFERROR(FIND(" ",$B370)-1,LEN($B370))))))&gt;0,1,0)</f>
        <v/>
      </c>
      <c r="AE370">
        <f t="array" ref="AE370">IF(SUMPRODUCT(--($AO$2:$AO$145=TRIM(LEFT($B370,IFERROR(FIND(" ",$B370)-1,LEN($B370))))))&gt;0,1,0)</f>
        <v/>
      </c>
      <c r="AF370">
        <f t="array" ref="AF370">IF(SUMPRODUCT(--($AQ$2:$AQ$71=TRIM(LEFT($B370,IFERROR(FIND(" ",$B370)-1,LEN($B370))))))&gt;0,1,0)</f>
        <v/>
      </c>
    </row>
    <row r="371" ht="135.75" customHeight="1" thickBot="1">
      <c r="A371" s="13" t="n">
        <v>101</v>
      </c>
      <c r="B371" s="4" t="inlineStr">
        <is>
          <t>UNVR US</t>
        </is>
      </c>
      <c r="C371" s="2" t="n"/>
      <c r="D371" s="7" t="n">
        <v>44999</v>
      </c>
      <c r="E371" s="3" t="n">
        <v>8003.72</v>
      </c>
      <c r="F371" s="4" t="inlineStr">
        <is>
          <t>Cash</t>
        </is>
      </c>
      <c r="G371" s="3" t="n">
        <v>7.49</v>
      </c>
      <c r="H371" s="4" t="inlineStr">
        <is>
          <t>Materials</t>
        </is>
      </c>
      <c r="I371" s="4" t="inlineStr">
        <is>
          <t>Materials</t>
        </is>
      </c>
      <c r="J371" s="4" t="inlineStr">
        <is>
          <t>Chemicals</t>
        </is>
      </c>
      <c r="K371" s="3" t="n">
        <v>379.2</v>
      </c>
      <c r="L371" s="3" t="n">
        <v>204.19</v>
      </c>
      <c r="M371" s="3" t="n">
        <v>6.15</v>
      </c>
      <c r="N371" s="3" t="n">
        <v>5715.82</v>
      </c>
      <c r="O371" s="4" t="inlineStr">
        <is>
          <t>United States</t>
        </is>
      </c>
      <c r="P371" s="4" t="inlineStr">
        <is>
          <t>United States</t>
        </is>
      </c>
      <c r="Q371" s="4" t="inlineStr">
        <is>
          <t>Friendly</t>
        </is>
      </c>
      <c r="R371" s="3" t="n">
        <v>11475.3</v>
      </c>
      <c r="S371" s="3" t="n">
        <v>5.91319</v>
      </c>
      <c r="T371" s="4" t="inlineStr">
        <is>
          <t>Private Equity, Company Takeover, Going Private, PE Buyout</t>
        </is>
      </c>
      <c r="U371" s="2" t="inlineStr">
        <is>
          <t>No</t>
        </is>
      </c>
      <c r="V371" s="2" t="inlineStr">
        <is>
          <t>No</t>
        </is>
      </c>
      <c r="W371" s="2" t="inlineStr">
        <is>
          <t>No</t>
        </is>
      </c>
      <c r="X371" s="2" t="inlineStr">
        <is>
          <t>Yes</t>
        </is>
      </c>
      <c r="Y371" s="2" t="inlineStr">
        <is>
          <t>Yes</t>
        </is>
      </c>
      <c r="Z371" s="2" t="inlineStr">
        <is>
          <t>No</t>
        </is>
      </c>
      <c r="AA371" s="6" t="n">
        <v>3.903291887</v>
      </c>
      <c r="AB371" s="6" t="n">
        <v>4.059764048</v>
      </c>
      <c r="AC371" s="6" t="n">
        <v>3.757078544</v>
      </c>
      <c r="AD371">
        <f t="array" ref="AD371">IF(SUMPRODUCT(--($AM$2:$AM$112=TRIM(LEFT($B371,IFERROR(FIND(" ",$B371)-1,LEN($B371))))))&gt;0,1,0)</f>
        <v/>
      </c>
      <c r="AE371">
        <f t="array" ref="AE371">IF(SUMPRODUCT(--($AO$2:$AO$145=TRIM(LEFT($B371,IFERROR(FIND(" ",$B371)-1,LEN($B371))))))&gt;0,1,0)</f>
        <v/>
      </c>
      <c r="AF371">
        <f t="array" ref="AF371">IF(SUMPRODUCT(--($AQ$2:$AQ$71=TRIM(LEFT($B371,IFERROR(FIND(" ",$B371)-1,LEN($B371))))))&gt;0,1,0)</f>
        <v/>
      </c>
    </row>
    <row r="372" ht="165.75" customHeight="1" thickBot="1">
      <c r="A372" s="13" t="n">
        <v>58</v>
      </c>
      <c r="B372" s="4" t="inlineStr">
        <is>
          <t>ABST CN</t>
        </is>
      </c>
      <c r="C372" s="4" t="inlineStr">
        <is>
          <t>1783747D US</t>
        </is>
      </c>
      <c r="D372" s="7" t="n">
        <v>45057</v>
      </c>
      <c r="E372" s="3" t="n">
        <v>829.58</v>
      </c>
      <c r="F372" s="4" t="inlineStr">
        <is>
          <t>Cash</t>
        </is>
      </c>
      <c r="G372" s="3" t="n">
        <v>60.34</v>
      </c>
      <c r="H372" s="4" t="inlineStr">
        <is>
          <t>Technology</t>
        </is>
      </c>
      <c r="I372" s="4" t="inlineStr">
        <is>
          <t>Software &amp; Tech Services</t>
        </is>
      </c>
      <c r="J372" s="4" t="inlineStr">
        <is>
          <t>Software</t>
        </is>
      </c>
      <c r="K372" s="4" t="n"/>
      <c r="L372" s="4" t="n"/>
      <c r="M372" s="3" t="n">
        <v>37.23</v>
      </c>
      <c r="N372" s="3" t="n">
        <v>611.34</v>
      </c>
      <c r="O372" s="4" t="inlineStr">
        <is>
          <t>Canada</t>
        </is>
      </c>
      <c r="P372" s="4" t="inlineStr">
        <is>
          <t>United States</t>
        </is>
      </c>
      <c r="Q372" s="4" t="inlineStr">
        <is>
          <t>Friendly</t>
        </is>
      </c>
      <c r="R372" s="3" t="n">
        <v>197.311</v>
      </c>
      <c r="S372" s="3" t="n">
        <v>-1.24428</v>
      </c>
      <c r="T372" s="4" t="inlineStr">
        <is>
          <t>PE Buyout, Company Takeover, Cross Border, Going Private, Private Equity</t>
        </is>
      </c>
      <c r="U372" s="2" t="inlineStr">
        <is>
          <t>No</t>
        </is>
      </c>
      <c r="V372" s="2" t="inlineStr">
        <is>
          <t>No</t>
        </is>
      </c>
      <c r="W372" s="2" t="inlineStr">
        <is>
          <t>Yes</t>
        </is>
      </c>
      <c r="X372" s="2" t="inlineStr">
        <is>
          <t>Yes</t>
        </is>
      </c>
      <c r="Y372" s="2" t="inlineStr">
        <is>
          <t>Yes</t>
        </is>
      </c>
      <c r="Z372" s="2" t="inlineStr">
        <is>
          <t>No</t>
        </is>
      </c>
      <c r="AA372" s="6" t="n">
        <v>2.918858273</v>
      </c>
      <c r="AB372" s="6" t="n">
        <v>2.295151298</v>
      </c>
      <c r="AC372" s="6" t="n">
        <v>2.786282813</v>
      </c>
      <c r="AD372">
        <f t="array" ref="AD372">IF(SUMPRODUCT(--($AM$2:$AM$112=TRIM(LEFT($B372,IFERROR(FIND(" ",$B372)-1,LEN($B372))))))&gt;0,1,0)</f>
        <v/>
      </c>
      <c r="AE372">
        <f t="array" ref="AE372">IF(SUMPRODUCT(--($AO$2:$AO$145=TRIM(LEFT($B372,IFERROR(FIND(" ",$B372)-1,LEN($B372))))))&gt;0,1,0)</f>
        <v/>
      </c>
      <c r="AF372">
        <f t="array" ref="AF372">IF(SUMPRODUCT(--($AQ$2:$AQ$71=TRIM(LEFT($B372,IFERROR(FIND(" ",$B372)-1,LEN($B372))))))&gt;0,1,0)</f>
        <v/>
      </c>
    </row>
    <row r="373" ht="45.75" customHeight="1" thickBot="1">
      <c r="A373" s="13" t="n">
        <v>160</v>
      </c>
      <c r="B373" s="4" t="inlineStr">
        <is>
          <t>AJRD US</t>
        </is>
      </c>
      <c r="C373" s="4" t="inlineStr">
        <is>
          <t>LHX US</t>
        </is>
      </c>
      <c r="D373" s="7" t="n">
        <v>44913</v>
      </c>
      <c r="E373" s="3" t="n">
        <v>4674.09</v>
      </c>
      <c r="F373" s="4" t="inlineStr">
        <is>
          <t>Cash</t>
        </is>
      </c>
      <c r="G373" s="3" t="n">
        <v>18.79</v>
      </c>
      <c r="H373" s="4" t="inlineStr">
        <is>
          <t>Industrials</t>
        </is>
      </c>
      <c r="I373" s="4" t="inlineStr">
        <is>
          <t>Industrial Products</t>
        </is>
      </c>
      <c r="J373" s="4" t="inlineStr">
        <is>
          <t>Aerospace &amp; Defense</t>
        </is>
      </c>
      <c r="K373" s="4" t="n"/>
      <c r="L373" s="4" t="n"/>
      <c r="M373" s="3" t="n">
        <v>9.539999999999999</v>
      </c>
      <c r="N373" s="3" t="n">
        <v>4670.89</v>
      </c>
      <c r="O373" s="4" t="inlineStr">
        <is>
          <t>United States</t>
        </is>
      </c>
      <c r="P373" s="4" t="inlineStr">
        <is>
          <t>United States</t>
        </is>
      </c>
      <c r="Q373" s="4" t="inlineStr">
        <is>
          <t>Friendly</t>
        </is>
      </c>
      <c r="R373" s="3" t="n">
        <v>21325</v>
      </c>
      <c r="S373" s="3" t="n">
        <v>5.92725</v>
      </c>
      <c r="T373" s="4" t="inlineStr">
        <is>
          <t>Company Takeover</t>
        </is>
      </c>
      <c r="U373" s="2" t="inlineStr">
        <is>
          <t>No</t>
        </is>
      </c>
      <c r="V373" s="2" t="inlineStr">
        <is>
          <t>No</t>
        </is>
      </c>
      <c r="W373" s="2" t="inlineStr">
        <is>
          <t>No</t>
        </is>
      </c>
      <c r="X373" s="2" t="inlineStr">
        <is>
          <t>No</t>
        </is>
      </c>
      <c r="Y373" s="2" t="inlineStr">
        <is>
          <t>No</t>
        </is>
      </c>
      <c r="Z373" s="2" t="inlineStr">
        <is>
          <t>No</t>
        </is>
      </c>
      <c r="AA373" s="6" t="n">
        <v>3.669697071</v>
      </c>
      <c r="AB373" s="6" t="n">
        <v>4.32888904</v>
      </c>
      <c r="AC373" s="6" t="n">
        <v>3.66939964</v>
      </c>
      <c r="AD373">
        <f t="array" ref="AD373">IF(SUMPRODUCT(--($AM$2:$AM$112=TRIM(LEFT($B373,IFERROR(FIND(" ",$B373)-1,LEN($B373))))))&gt;0,1,0)</f>
        <v/>
      </c>
      <c r="AE373">
        <f t="array" ref="AE373">IF(SUMPRODUCT(--($AO$2:$AO$145=TRIM(LEFT($B373,IFERROR(FIND(" ",$B373)-1,LEN($B373))))))&gt;0,1,0)</f>
        <v/>
      </c>
      <c r="AF373">
        <f t="array" ref="AF373">IF(SUMPRODUCT(--($AQ$2:$AQ$71=TRIM(LEFT($B373,IFERROR(FIND(" ",$B373)-1,LEN($B373))))))&gt;0,1,0)</f>
        <v/>
      </c>
    </row>
    <row r="374" ht="45.75" customHeight="1" thickBot="1">
      <c r="A374" s="13" t="n">
        <v>79</v>
      </c>
      <c r="B374" s="4" t="inlineStr">
        <is>
          <t>LSI US</t>
        </is>
      </c>
      <c r="C374" s="4" t="inlineStr">
        <is>
          <t>EXR US</t>
        </is>
      </c>
      <c r="D374" s="7" t="n">
        <v>45019</v>
      </c>
      <c r="E374" s="3" t="n">
        <v>12004.54</v>
      </c>
      <c r="F374" s="4" t="inlineStr">
        <is>
          <t>Stock</t>
        </is>
      </c>
      <c r="G374" s="3" t="n">
        <v>5.09</v>
      </c>
      <c r="H374" s="4" t="inlineStr">
        <is>
          <t>Real Estate</t>
        </is>
      </c>
      <c r="I374" s="4" t="inlineStr">
        <is>
          <t>Real Estate</t>
        </is>
      </c>
      <c r="J374" s="4" t="inlineStr">
        <is>
          <t>REIT</t>
        </is>
      </c>
      <c r="K374" s="4" t="n"/>
      <c r="L374" s="4" t="n"/>
      <c r="M374" s="3" t="n">
        <v>13.67</v>
      </c>
      <c r="N374" s="3" t="n">
        <v>12004.54</v>
      </c>
      <c r="O374" s="4" t="inlineStr">
        <is>
          <t>United States</t>
        </is>
      </c>
      <c r="P374" s="4" t="inlineStr">
        <is>
          <t>United States</t>
        </is>
      </c>
      <c r="Q374" s="4" t="inlineStr">
        <is>
          <t>Friendly</t>
        </is>
      </c>
      <c r="R374" s="3" t="n">
        <v>1038.17</v>
      </c>
      <c r="S374" s="3" t="n">
        <v>44.7079</v>
      </c>
      <c r="T374" s="4" t="inlineStr">
        <is>
          <t>Company Takeover</t>
        </is>
      </c>
      <c r="U374" s="2" t="inlineStr">
        <is>
          <t>No</t>
        </is>
      </c>
      <c r="V374" s="2" t="inlineStr">
        <is>
          <t>No</t>
        </is>
      </c>
      <c r="W374" s="2" t="inlineStr">
        <is>
          <t>No</t>
        </is>
      </c>
      <c r="X374" s="2" t="inlineStr">
        <is>
          <t>No</t>
        </is>
      </c>
      <c r="Y374" s="2" t="inlineStr">
        <is>
          <t>No</t>
        </is>
      </c>
      <c r="Z374" s="2" t="inlineStr">
        <is>
          <t>No</t>
        </is>
      </c>
      <c r="AA374" s="6" t="n">
        <v>4.079345523</v>
      </c>
      <c r="AB374" s="6" t="n">
        <v>3.016268475</v>
      </c>
      <c r="AC374" s="6" t="n">
        <v>4.079345523</v>
      </c>
      <c r="AD374">
        <f t="array" ref="AD374">IF(SUMPRODUCT(--($AM$2:$AM$112=TRIM(LEFT($B374,IFERROR(FIND(" ",$B374)-1,LEN($B374))))))&gt;0,1,0)</f>
        <v/>
      </c>
      <c r="AE374">
        <f t="array" ref="AE374">IF(SUMPRODUCT(--($AO$2:$AO$145=TRIM(LEFT($B374,IFERROR(FIND(" ",$B374)-1,LEN($B374))))))&gt;0,1,0)</f>
        <v/>
      </c>
      <c r="AF374">
        <f t="array" ref="AF374">IF(SUMPRODUCT(--($AQ$2:$AQ$71=TRIM(LEFT($B374,IFERROR(FIND(" ",$B374)-1,LEN($B374))))))&gt;0,1,0)</f>
        <v/>
      </c>
    </row>
    <row r="375" ht="75.75" customHeight="1" thickBot="1">
      <c r="A375" s="13" t="n">
        <v>53</v>
      </c>
      <c r="B375" s="4" t="inlineStr">
        <is>
          <t>ISEE US</t>
        </is>
      </c>
      <c r="C375" s="4" t="inlineStr">
        <is>
          <t>4503 JP</t>
        </is>
      </c>
      <c r="D375" s="7" t="n">
        <v>45045</v>
      </c>
      <c r="E375" s="3" t="n">
        <v>4843.74</v>
      </c>
      <c r="F375" s="4" t="inlineStr">
        <is>
          <t>Cash</t>
        </is>
      </c>
      <c r="G375" s="4" t="n"/>
      <c r="H375" s="4" t="inlineStr">
        <is>
          <t>Health Care</t>
        </is>
      </c>
      <c r="I375" s="4" t="inlineStr">
        <is>
          <t>Health Care</t>
        </is>
      </c>
      <c r="J375" s="4" t="inlineStr">
        <is>
          <t>Biotech &amp; Pharma</t>
        </is>
      </c>
      <c r="K375" s="4" t="n"/>
      <c r="L375" s="3" t="n">
        <v>222.37</v>
      </c>
      <c r="M375" s="3" t="n">
        <v>38.96</v>
      </c>
      <c r="N375" s="3" t="n">
        <v>5489.38</v>
      </c>
      <c r="O375" s="4" t="inlineStr">
        <is>
          <t>United States</t>
        </is>
      </c>
      <c r="P375" s="4" t="inlineStr">
        <is>
          <t>Japan</t>
        </is>
      </c>
      <c r="Q375" s="4" t="inlineStr">
        <is>
          <t>Friendly</t>
        </is>
      </c>
      <c r="R375" s="2" t="n"/>
      <c r="S375" s="2" t="n"/>
      <c r="T375" s="4" t="inlineStr">
        <is>
          <t>Company Takeover, Cross Border</t>
        </is>
      </c>
      <c r="U375" s="2" t="inlineStr">
        <is>
          <t>No</t>
        </is>
      </c>
      <c r="V375" s="2" t="inlineStr">
        <is>
          <t>No</t>
        </is>
      </c>
      <c r="W375" s="2" t="inlineStr">
        <is>
          <t>Yes</t>
        </is>
      </c>
      <c r="X375" s="2" t="inlineStr">
        <is>
          <t>No</t>
        </is>
      </c>
      <c r="Y375" s="2" t="inlineStr">
        <is>
          <t>No</t>
        </is>
      </c>
      <c r="Z375" s="2" t="inlineStr">
        <is>
          <t>No</t>
        </is>
      </c>
      <c r="AA375" s="6" t="n">
        <v>3.685180823</v>
      </c>
      <c r="AB375" s="2" t="n"/>
      <c r="AC375" s="6" t="n">
        <v>3.739523296</v>
      </c>
      <c r="AD375">
        <f t="array" ref="AD375">IF(SUMPRODUCT(--($AM$2:$AM$112=TRIM(LEFT($B375,IFERROR(FIND(" ",$B375)-1,LEN($B375))))))&gt;0,1,0)</f>
        <v/>
      </c>
      <c r="AE375">
        <f t="array" ref="AE375">IF(SUMPRODUCT(--($AO$2:$AO$145=TRIM(LEFT($B375,IFERROR(FIND(" ",$B375)-1,LEN($B375))))))&gt;0,1,0)</f>
        <v/>
      </c>
      <c r="AF375">
        <f t="array" ref="AF375">IF(SUMPRODUCT(--($AQ$2:$AQ$71=TRIM(LEFT($B375,IFERROR(FIND(" ",$B375)-1,LEN($B375))))))&gt;0,1,0)</f>
        <v/>
      </c>
    </row>
    <row r="376" ht="75.75" customHeight="1" thickBot="1">
      <c r="A376" s="13" t="n">
        <v>87</v>
      </c>
      <c r="B376" s="4" t="inlineStr">
        <is>
          <t>DSEY US</t>
        </is>
      </c>
      <c r="C376" s="4" t="inlineStr">
        <is>
          <t>0955847D US</t>
        </is>
      </c>
      <c r="D376" s="7" t="n">
        <v>44993</v>
      </c>
      <c r="E376" s="3" t="n">
        <v>4558.05</v>
      </c>
      <c r="F376" s="4" t="inlineStr">
        <is>
          <t>Cash</t>
        </is>
      </c>
      <c r="G376" s="3" t="n">
        <v>21.49</v>
      </c>
      <c r="H376" s="4" t="inlineStr">
        <is>
          <t>Materials</t>
        </is>
      </c>
      <c r="I376" s="4" t="inlineStr">
        <is>
          <t>Materials</t>
        </is>
      </c>
      <c r="J376" s="4" t="inlineStr">
        <is>
          <t>Chemicals</t>
        </is>
      </c>
      <c r="K376" s="4" t="n"/>
      <c r="L376" s="4" t="n"/>
      <c r="M376" s="3" t="n">
        <v>41.84</v>
      </c>
      <c r="N376" s="3" t="n">
        <v>2724.25</v>
      </c>
      <c r="O376" s="4" t="inlineStr">
        <is>
          <t>United States</t>
        </is>
      </c>
      <c r="P376" s="4" t="inlineStr">
        <is>
          <t>United States</t>
        </is>
      </c>
      <c r="Q376" s="4" t="inlineStr">
        <is>
          <t>Friendly</t>
        </is>
      </c>
      <c r="R376" s="3" t="n">
        <v>2765.9</v>
      </c>
      <c r="S376" s="3" t="n">
        <v>-4.48981</v>
      </c>
      <c r="T376" s="4" t="inlineStr">
        <is>
          <t>Company Takeover, Going Private</t>
        </is>
      </c>
      <c r="U376" s="2" t="inlineStr">
        <is>
          <t>No</t>
        </is>
      </c>
      <c r="V376" s="2" t="inlineStr">
        <is>
          <t>No</t>
        </is>
      </c>
      <c r="W376" s="2" t="inlineStr">
        <is>
          <t>No</t>
        </is>
      </c>
      <c r="X376" s="2" t="inlineStr">
        <is>
          <t>Yes</t>
        </is>
      </c>
      <c r="Y376" s="2" t="inlineStr">
        <is>
          <t>No</t>
        </is>
      </c>
      <c r="Z376" s="2" t="inlineStr">
        <is>
          <t>No</t>
        </is>
      </c>
      <c r="AA376" s="6" t="n">
        <v>3.658779085</v>
      </c>
      <c r="AB376" s="6" t="n">
        <v>3.441836474</v>
      </c>
      <c r="AC376" s="6" t="n">
        <v>3.43524696</v>
      </c>
      <c r="AD376">
        <f t="array" ref="AD376">IF(SUMPRODUCT(--($AM$2:$AM$112=TRIM(LEFT($B376,IFERROR(FIND(" ",$B376)-1,LEN($B376))))))&gt;0,1,0)</f>
        <v/>
      </c>
      <c r="AE376">
        <f t="array" ref="AE376">IF(SUMPRODUCT(--($AO$2:$AO$145=TRIM(LEFT($B376,IFERROR(FIND(" ",$B376)-1,LEN($B376))))))&gt;0,1,0)</f>
        <v/>
      </c>
      <c r="AF376">
        <f t="array" ref="AF376">IF(SUMPRODUCT(--($AQ$2:$AQ$71=TRIM(LEFT($B376,IFERROR(FIND(" ",$B376)-1,LEN($B376))))))&gt;0,1,0)</f>
        <v/>
      </c>
    </row>
    <row r="377" ht="45.75" customHeight="1" thickBot="1">
      <c r="A377" s="13" t="n">
        <v>75</v>
      </c>
      <c r="B377" s="4" t="inlineStr">
        <is>
          <t>USX US</t>
        </is>
      </c>
      <c r="C377" s="4" t="inlineStr">
        <is>
          <t>KNX US</t>
        </is>
      </c>
      <c r="D377" s="7" t="n">
        <v>45006</v>
      </c>
      <c r="E377" s="3" t="n">
        <v>1043.48</v>
      </c>
      <c r="F377" s="4" t="inlineStr">
        <is>
          <t>Cash</t>
        </is>
      </c>
      <c r="G377" s="3" t="n">
        <v>6.31</v>
      </c>
      <c r="H377" s="4" t="inlineStr">
        <is>
          <t>Industrials</t>
        </is>
      </c>
      <c r="I377" s="4" t="inlineStr">
        <is>
          <t>Industrial Services</t>
        </is>
      </c>
      <c r="J377" s="4" t="inlineStr">
        <is>
          <t>Transportation &amp; Logistics</t>
        </is>
      </c>
      <c r="K377" s="4" t="n"/>
      <c r="L377" s="4" t="n"/>
      <c r="M377" s="3" t="n">
        <v>285.46</v>
      </c>
      <c r="N377" s="3" t="n">
        <v>222.06</v>
      </c>
      <c r="O377" s="4" t="inlineStr">
        <is>
          <t>United States</t>
        </is>
      </c>
      <c r="P377" s="4" t="inlineStr">
        <is>
          <t>United States</t>
        </is>
      </c>
      <c r="Q377" s="4" t="inlineStr">
        <is>
          <t>Friendly</t>
        </is>
      </c>
      <c r="R377" s="2" t="n"/>
      <c r="S377" s="2" t="n"/>
      <c r="T377" s="4" t="inlineStr">
        <is>
          <t>Company Takeover</t>
        </is>
      </c>
      <c r="U377" s="2" t="inlineStr">
        <is>
          <t>No</t>
        </is>
      </c>
      <c r="V377" s="2" t="inlineStr">
        <is>
          <t>No</t>
        </is>
      </c>
      <c r="W377" s="2" t="inlineStr">
        <is>
          <t>No</t>
        </is>
      </c>
      <c r="X377" s="2" t="inlineStr">
        <is>
          <t>No</t>
        </is>
      </c>
      <c r="Y377" s="2" t="inlineStr">
        <is>
          <t>No</t>
        </is>
      </c>
      <c r="Z377" s="2" t="inlineStr">
        <is>
          <t>No</t>
        </is>
      </c>
      <c r="AA377" s="6" t="n">
        <v>3.01848413</v>
      </c>
      <c r="AB377" s="2" t="n"/>
      <c r="AC377" s="6" t="n">
        <v>2.346470335</v>
      </c>
      <c r="AD377">
        <f t="array" ref="AD377">IF(SUMPRODUCT(--($AM$2:$AM$112=TRIM(LEFT($B377,IFERROR(FIND(" ",$B377)-1,LEN($B377))))))&gt;0,1,0)</f>
        <v/>
      </c>
      <c r="AE377">
        <f t="array" ref="AE377">IF(SUMPRODUCT(--($AO$2:$AO$145=TRIM(LEFT($B377,IFERROR(FIND(" ",$B377)-1,LEN($B377))))))&gt;0,1,0)</f>
        <v/>
      </c>
      <c r="AF377">
        <f t="array" ref="AF377">IF(SUMPRODUCT(--($AQ$2:$AQ$71=TRIM(LEFT($B377,IFERROR(FIND(" ",$B377)-1,LEN($B377))))))&gt;0,1,0)</f>
        <v/>
      </c>
    </row>
    <row r="378" ht="75.75" customHeight="1" thickBot="1">
      <c r="A378" s="13" t="n">
        <v>54</v>
      </c>
      <c r="B378" s="4" t="inlineStr">
        <is>
          <t>2563956D CN</t>
        </is>
      </c>
      <c r="C378" s="4" t="inlineStr">
        <is>
          <t>GSK LN</t>
        </is>
      </c>
      <c r="D378" s="7" t="n">
        <v>45034</v>
      </c>
      <c r="E378" s="3" t="n">
        <v>1531.24</v>
      </c>
      <c r="F378" s="4" t="inlineStr">
        <is>
          <t>Cash</t>
        </is>
      </c>
      <c r="G378" s="4" t="n"/>
      <c r="H378" s="4" t="inlineStr">
        <is>
          <t>Health Care</t>
        </is>
      </c>
      <c r="I378" s="4" t="inlineStr">
        <is>
          <t>Health Care</t>
        </is>
      </c>
      <c r="J378" s="4" t="inlineStr">
        <is>
          <t>Biotech &amp; Pharma</t>
        </is>
      </c>
      <c r="K378" s="4" t="n"/>
      <c r="L378" s="4" t="n"/>
      <c r="M378" s="3" t="n">
        <v>102.88</v>
      </c>
      <c r="N378" s="3" t="n">
        <v>1867.01</v>
      </c>
      <c r="O378" s="4" t="inlineStr">
        <is>
          <t>Canada</t>
        </is>
      </c>
      <c r="P378" s="4" t="inlineStr">
        <is>
          <t>United States</t>
        </is>
      </c>
      <c r="Q378" s="4" t="inlineStr">
        <is>
          <t>Friendly</t>
        </is>
      </c>
      <c r="R378" s="3" t="n">
        <v>0.016</v>
      </c>
      <c r="S378" s="3" t="n">
        <v>-602047</v>
      </c>
      <c r="T378" s="4" t="inlineStr">
        <is>
          <t>Company Takeover, Cross Border</t>
        </is>
      </c>
      <c r="U378" s="2" t="inlineStr">
        <is>
          <t>No</t>
        </is>
      </c>
      <c r="V378" s="2" t="inlineStr">
        <is>
          <t>No</t>
        </is>
      </c>
      <c r="W378" s="2" t="inlineStr">
        <is>
          <t>Yes</t>
        </is>
      </c>
      <c r="X378" s="2" t="inlineStr">
        <is>
          <t>No</t>
        </is>
      </c>
      <c r="Y378" s="2" t="inlineStr">
        <is>
          <t>No</t>
        </is>
      </c>
      <c r="Z378" s="2" t="inlineStr">
        <is>
          <t>No</t>
        </is>
      </c>
      <c r="AA378" s="6" t="n">
        <v>3.185043265</v>
      </c>
      <c r="AB378" s="6" t="n">
        <v>-1.795880017</v>
      </c>
      <c r="AC378" s="6" t="n">
        <v>3.271146644</v>
      </c>
      <c r="AD378">
        <f t="array" ref="AD378">IF(SUMPRODUCT(--($AM$2:$AM$112=TRIM(LEFT($B378,IFERROR(FIND(" ",$B378)-1,LEN($B378))))))&gt;0,1,0)</f>
        <v/>
      </c>
      <c r="AE378">
        <f t="array" ref="AE378">IF(SUMPRODUCT(--($AO$2:$AO$145=TRIM(LEFT($B378,IFERROR(FIND(" ",$B378)-1,LEN($B378))))))&gt;0,1,0)</f>
        <v/>
      </c>
      <c r="AF378">
        <f t="array" ref="AF378">IF(SUMPRODUCT(--($AQ$2:$AQ$71=TRIM(LEFT($B378,IFERROR(FIND(" ",$B378)-1,LEN($B378))))))&gt;0,1,0)</f>
        <v/>
      </c>
    </row>
    <row r="379" ht="195.75" customHeight="1" thickBot="1">
      <c r="A379" s="13" t="n">
        <v>93</v>
      </c>
      <c r="B379" s="4" t="inlineStr">
        <is>
          <t>INDT US</t>
        </is>
      </c>
      <c r="C379" s="2" t="n"/>
      <c r="D379" s="7" t="n">
        <v>44979</v>
      </c>
      <c r="E379" s="3" t="n">
        <v>614.74</v>
      </c>
      <c r="F379" s="4" t="inlineStr">
        <is>
          <t>Cash</t>
        </is>
      </c>
      <c r="G379" s="3" t="n">
        <v>32.52</v>
      </c>
      <c r="H379" s="4" t="inlineStr">
        <is>
          <t>Real Estate</t>
        </is>
      </c>
      <c r="I379" s="4" t="inlineStr">
        <is>
          <t>Real Estate</t>
        </is>
      </c>
      <c r="J379" s="4" t="inlineStr">
        <is>
          <t>REIT</t>
        </is>
      </c>
      <c r="K379" s="3" t="n">
        <v>62.8</v>
      </c>
      <c r="L379" s="3" t="n">
        <v>24.4</v>
      </c>
      <c r="M379" s="3" t="n">
        <v>5.3</v>
      </c>
      <c r="N379" s="3" t="n">
        <v>584.13</v>
      </c>
      <c r="O379" s="4" t="inlineStr">
        <is>
          <t>United States</t>
        </is>
      </c>
      <c r="P379" s="4" t="inlineStr">
        <is>
          <t>Singapore</t>
        </is>
      </c>
      <c r="Q379" s="4" t="inlineStr">
        <is>
          <t>Unsolicited to Friendly</t>
        </is>
      </c>
      <c r="R379" s="3" t="n">
        <v>49.195</v>
      </c>
      <c r="S379" s="3" t="n">
        <v>3.04024</v>
      </c>
      <c r="T379" s="4" t="inlineStr">
        <is>
          <t>Additional Stake Purchase, Company Takeover, PE Buyout, Private Equity, Going Private</t>
        </is>
      </c>
      <c r="U379" s="2" t="inlineStr">
        <is>
          <t>Yes</t>
        </is>
      </c>
      <c r="V379" s="2" t="inlineStr">
        <is>
          <t>No</t>
        </is>
      </c>
      <c r="W379" s="2" t="inlineStr">
        <is>
          <t>No</t>
        </is>
      </c>
      <c r="X379" s="2" t="inlineStr">
        <is>
          <t>Yes</t>
        </is>
      </c>
      <c r="Y379" s="2" t="inlineStr">
        <is>
          <t>Yes</t>
        </is>
      </c>
      <c r="Z379" s="2" t="inlineStr">
        <is>
          <t>No</t>
        </is>
      </c>
      <c r="AA379" s="6" t="n">
        <v>2.788691473</v>
      </c>
      <c r="AB379" s="6" t="n">
        <v>1.691920965</v>
      </c>
      <c r="AC379" s="6" t="n">
        <v>2.766509511</v>
      </c>
      <c r="AD379">
        <f t="array" ref="AD379">IF(SUMPRODUCT(--($AM$2:$AM$112=TRIM(LEFT($B379,IFERROR(FIND(" ",$B379)-1,LEN($B379))))))&gt;0,1,0)</f>
        <v/>
      </c>
      <c r="AE379">
        <f t="array" ref="AE379">IF(SUMPRODUCT(--($AO$2:$AO$145=TRIM(LEFT($B379,IFERROR(FIND(" ",$B379)-1,LEN($B379))))))&gt;0,1,0)</f>
        <v/>
      </c>
      <c r="AF379">
        <f t="array" ref="AF379">IF(SUMPRODUCT(--($AQ$2:$AQ$71=TRIM(LEFT($B379,IFERROR(FIND(" ",$B379)-1,LEN($B379))))))&gt;0,1,0)</f>
        <v/>
      </c>
    </row>
    <row r="380" ht="225.75" customHeight="1" thickBot="1">
      <c r="A380" s="13" t="n">
        <v>79</v>
      </c>
      <c r="B380" s="4" t="inlineStr">
        <is>
          <t>XM US</t>
        </is>
      </c>
      <c r="C380" s="2" t="n"/>
      <c r="D380" s="7" t="n">
        <v>44997</v>
      </c>
      <c r="E380" s="3" t="n">
        <v>10062.95</v>
      </c>
      <c r="F380" s="4" t="inlineStr">
        <is>
          <t>Cash</t>
        </is>
      </c>
      <c r="G380" s="4" t="n"/>
      <c r="H380" s="4" t="inlineStr">
        <is>
          <t>Technology</t>
        </is>
      </c>
      <c r="I380" s="4" t="inlineStr">
        <is>
          <t>Software &amp; Tech Services</t>
        </is>
      </c>
      <c r="J380" s="4" t="inlineStr">
        <is>
          <t>Software</t>
        </is>
      </c>
      <c r="K380" s="4" t="n"/>
      <c r="L380" s="3" t="n">
        <v>311.514</v>
      </c>
      <c r="M380" s="3" t="n">
        <v>9.19</v>
      </c>
      <c r="N380" s="3" t="n">
        <v>10504.67</v>
      </c>
      <c r="O380" s="4" t="inlineStr">
        <is>
          <t>United States</t>
        </is>
      </c>
      <c r="P380" s="4" t="inlineStr">
        <is>
          <t>Canada</t>
        </is>
      </c>
      <c r="Q380" s="4" t="inlineStr">
        <is>
          <t>Friendly</t>
        </is>
      </c>
      <c r="R380" s="3" t="n">
        <v>1458.63</v>
      </c>
      <c r="S380" s="3" t="n">
        <v>-66.04259999999999</v>
      </c>
      <c r="T380" s="4" t="inlineStr">
        <is>
          <t>Cross Border, Additional Stake Purchase, Company Takeover, Going Private, Private Equity, PE Buyout</t>
        </is>
      </c>
      <c r="U380" s="2" t="inlineStr">
        <is>
          <t>Yes</t>
        </is>
      </c>
      <c r="V380" s="2" t="inlineStr">
        <is>
          <t>No</t>
        </is>
      </c>
      <c r="W380" s="2" t="inlineStr">
        <is>
          <t>Yes</t>
        </is>
      </c>
      <c r="X380" s="2" t="inlineStr">
        <is>
          <t>Yes</t>
        </is>
      </c>
      <c r="Y380" s="2" t="inlineStr">
        <is>
          <t>Yes</t>
        </is>
      </c>
      <c r="Z380" s="2" t="inlineStr">
        <is>
          <t>No</t>
        </is>
      </c>
      <c r="AA380" s="6" t="n">
        <v>4.002725315</v>
      </c>
      <c r="AB380" s="6" t="n">
        <v>3.163945142</v>
      </c>
      <c r="AC380" s="6" t="n">
        <v>4.021382414</v>
      </c>
      <c r="AD380">
        <f t="array" ref="AD380">IF(SUMPRODUCT(--($AM$2:$AM$112=TRIM(LEFT($B380,IFERROR(FIND(" ",$B380)-1,LEN($B380))))))&gt;0,1,0)</f>
        <v/>
      </c>
      <c r="AE380">
        <f t="array" ref="AE380">IF(SUMPRODUCT(--($AO$2:$AO$145=TRIM(LEFT($B380,IFERROR(FIND(" ",$B380)-1,LEN($B380))))))&gt;0,1,0)</f>
        <v/>
      </c>
      <c r="AF380">
        <f t="array" ref="AF380">IF(SUMPRODUCT(--($AQ$2:$AQ$71=TRIM(LEFT($B380,IFERROR(FIND(" ",$B380)-1,LEN($B380))))))&gt;0,1,0)</f>
        <v/>
      </c>
    </row>
    <row r="381" ht="105.75" customHeight="1" thickBot="1">
      <c r="A381" s="13" t="n">
        <v>35</v>
      </c>
      <c r="B381" s="4" t="inlineStr">
        <is>
          <t>CTIC US</t>
        </is>
      </c>
      <c r="C381" s="4" t="inlineStr">
        <is>
          <t>SOBI SS</t>
        </is>
      </c>
      <c r="D381" s="7" t="n">
        <v>45056</v>
      </c>
      <c r="E381" s="3" t="n">
        <v>1166.27</v>
      </c>
      <c r="F381" s="4" t="inlineStr">
        <is>
          <t>Cash</t>
        </is>
      </c>
      <c r="G381" s="4" t="n"/>
      <c r="H381" s="4" t="inlineStr">
        <is>
          <t>Health Care</t>
        </is>
      </c>
      <c r="I381" s="4" t="inlineStr">
        <is>
          <t>Health Care</t>
        </is>
      </c>
      <c r="J381" s="4" t="inlineStr">
        <is>
          <t>Biotech &amp; Pharma</t>
        </is>
      </c>
      <c r="K381" s="4" t="n"/>
      <c r="L381" s="4" t="n"/>
      <c r="M381" s="3" t="n">
        <v>88.76000000000001</v>
      </c>
      <c r="N381" s="3" t="n">
        <v>1200.11</v>
      </c>
      <c r="O381" s="4" t="inlineStr">
        <is>
          <t>United States</t>
        </is>
      </c>
      <c r="P381" s="4" t="inlineStr">
        <is>
          <t>Sweden</t>
        </is>
      </c>
      <c r="Q381" s="4" t="inlineStr">
        <is>
          <t>Friendly</t>
        </is>
      </c>
      <c r="R381" s="3" t="n">
        <v>53.948</v>
      </c>
      <c r="S381" s="3" t="n">
        <v>-71.1755</v>
      </c>
      <c r="T381" s="4" t="inlineStr">
        <is>
          <t>Tender Offer, Company Takeover, Cross Border</t>
        </is>
      </c>
      <c r="U381" s="2" t="inlineStr">
        <is>
          <t>No</t>
        </is>
      </c>
      <c r="V381" s="2" t="inlineStr">
        <is>
          <t>No</t>
        </is>
      </c>
      <c r="W381" s="2" t="inlineStr">
        <is>
          <t>Yes</t>
        </is>
      </c>
      <c r="X381" s="2" t="inlineStr">
        <is>
          <t>No</t>
        </is>
      </c>
      <c r="Y381" s="2" t="inlineStr">
        <is>
          <t>No</t>
        </is>
      </c>
      <c r="Z381" s="2" t="inlineStr">
        <is>
          <t>Yes</t>
        </is>
      </c>
      <c r="AA381" s="6" t="n">
        <v>3.066799104</v>
      </c>
      <c r="AB381" s="6" t="n">
        <v>1.731975349</v>
      </c>
      <c r="AC381" s="6" t="n">
        <v>3.079221055</v>
      </c>
      <c r="AD381">
        <f t="array" ref="AD381">IF(SUMPRODUCT(--($AM$2:$AM$112=TRIM(LEFT($B381,IFERROR(FIND(" ",$B381)-1,LEN($B381))))))&gt;0,1,0)</f>
        <v/>
      </c>
      <c r="AE381">
        <f t="array" ref="AE381">IF(SUMPRODUCT(--($AO$2:$AO$145=TRIM(LEFT($B381,IFERROR(FIND(" ",$B381)-1,LEN($B381))))))&gt;0,1,0)</f>
        <v/>
      </c>
      <c r="AF381">
        <f t="array" ref="AF381">IF(SUMPRODUCT(--($AQ$2:$AQ$71=TRIM(LEFT($B381,IFERROR(FIND(" ",$B381)-1,LEN($B381))))))&gt;0,1,0)</f>
        <v/>
      </c>
    </row>
    <row r="382" ht="45.75" customHeight="1" thickBot="1">
      <c r="A382" s="13" t="n">
        <v>51</v>
      </c>
      <c r="B382" s="4" t="inlineStr">
        <is>
          <t>CMMC CN</t>
        </is>
      </c>
      <c r="C382" s="4" t="inlineStr">
        <is>
          <t>HBM CN</t>
        </is>
      </c>
      <c r="D382" s="7" t="n">
        <v>45029</v>
      </c>
      <c r="E382" s="3" t="n">
        <v>623.78</v>
      </c>
      <c r="F382" s="4" t="inlineStr">
        <is>
          <t>Stock</t>
        </is>
      </c>
      <c r="G382" s="3" t="n">
        <v>1986.84</v>
      </c>
      <c r="H382" s="4" t="inlineStr">
        <is>
          <t>Materials</t>
        </is>
      </c>
      <c r="I382" s="4" t="inlineStr">
        <is>
          <t>Materials</t>
        </is>
      </c>
      <c r="J382" s="4" t="inlineStr">
        <is>
          <t>Metals &amp; Mining</t>
        </is>
      </c>
      <c r="K382" s="4" t="n"/>
      <c r="L382" s="4" t="n"/>
      <c r="M382" s="3" t="n">
        <v>27.87</v>
      </c>
      <c r="N382" s="3" t="n">
        <v>411.4</v>
      </c>
      <c r="O382" s="4" t="inlineStr">
        <is>
          <t>Canada</t>
        </is>
      </c>
      <c r="P382" s="4" t="inlineStr">
        <is>
          <t>Canada</t>
        </is>
      </c>
      <c r="Q382" s="4" t="inlineStr">
        <is>
          <t>Friendly</t>
        </is>
      </c>
      <c r="R382" s="3" t="n">
        <v>231.781</v>
      </c>
      <c r="S382" s="3" t="n">
        <v>-6.47602</v>
      </c>
      <c r="T382" s="4" t="inlineStr">
        <is>
          <t>Company Takeover</t>
        </is>
      </c>
      <c r="U382" s="2" t="inlineStr">
        <is>
          <t>No</t>
        </is>
      </c>
      <c r="V382" s="2" t="inlineStr">
        <is>
          <t>No</t>
        </is>
      </c>
      <c r="W382" s="2" t="inlineStr">
        <is>
          <t>No</t>
        </is>
      </c>
      <c r="X382" s="2" t="inlineStr">
        <is>
          <t>No</t>
        </is>
      </c>
      <c r="Y382" s="2" t="inlineStr">
        <is>
          <t>No</t>
        </is>
      </c>
      <c r="Z382" s="2" t="inlineStr">
        <is>
          <t>No</t>
        </is>
      </c>
      <c r="AA382" s="6" t="n">
        <v>2.795031446</v>
      </c>
      <c r="AB382" s="6" t="n">
        <v>2.365077832</v>
      </c>
      <c r="AC382" s="6" t="n">
        <v>2.614264287</v>
      </c>
      <c r="AD382">
        <f t="array" ref="AD382">IF(SUMPRODUCT(--($AM$2:$AM$112=TRIM(LEFT($B382,IFERROR(FIND(" ",$B382)-1,LEN($B382))))))&gt;0,1,0)</f>
        <v/>
      </c>
      <c r="AE382">
        <f t="array" ref="AE382">IF(SUMPRODUCT(--($AO$2:$AO$145=TRIM(LEFT($B382,IFERROR(FIND(" ",$B382)-1,LEN($B382))))))&gt;0,1,0)</f>
        <v/>
      </c>
      <c r="AF382">
        <f t="array" ref="AF382">IF(SUMPRODUCT(--($AQ$2:$AQ$71=TRIM(LEFT($B382,IFERROR(FIND(" ",$B382)-1,LEN($B382))))))&gt;0,1,0)</f>
        <v/>
      </c>
    </row>
    <row r="383" ht="75.75" customHeight="1" thickBot="1">
      <c r="A383" s="13" t="n">
        <v>82</v>
      </c>
      <c r="B383" s="4" t="inlineStr">
        <is>
          <t>ROCC US</t>
        </is>
      </c>
      <c r="C383" s="4" t="inlineStr">
        <is>
          <t>BTE CN</t>
        </is>
      </c>
      <c r="D383" s="7" t="n">
        <v>44985</v>
      </c>
      <c r="E383" s="3" t="n">
        <v>1473.16</v>
      </c>
      <c r="F383" s="4" t="inlineStr">
        <is>
          <t>Cash and Stock</t>
        </is>
      </c>
      <c r="G383" s="3" t="n">
        <v>6.07</v>
      </c>
      <c r="H383" s="4" t="inlineStr">
        <is>
          <t>Energy</t>
        </is>
      </c>
      <c r="I383" s="4" t="inlineStr">
        <is>
          <t>Oil &amp; Gas</t>
        </is>
      </c>
      <c r="J383" s="4" t="inlineStr">
        <is>
          <t>Oil &amp; Gas Supply Chain</t>
        </is>
      </c>
      <c r="K383" s="4" t="n"/>
      <c r="L383" s="4" t="n"/>
      <c r="M383" s="3" t="n">
        <v>10.57</v>
      </c>
      <c r="N383" s="3" t="n">
        <v>875.5700000000001</v>
      </c>
      <c r="O383" s="4" t="inlineStr">
        <is>
          <t>United States</t>
        </is>
      </c>
      <c r="P383" s="4" t="inlineStr">
        <is>
          <t>Canada</t>
        </is>
      </c>
      <c r="Q383" s="4" t="inlineStr">
        <is>
          <t>Friendly</t>
        </is>
      </c>
      <c r="R383" s="3" t="n">
        <v>1145.19</v>
      </c>
      <c r="S383" s="3" t="n">
        <v>54.4397</v>
      </c>
      <c r="T383" s="4" t="inlineStr">
        <is>
          <t>Cross Border, Company Takeover</t>
        </is>
      </c>
      <c r="U383" s="2" t="inlineStr">
        <is>
          <t>No</t>
        </is>
      </c>
      <c r="V383" s="2" t="inlineStr">
        <is>
          <t>No</t>
        </is>
      </c>
      <c r="W383" s="2" t="inlineStr">
        <is>
          <t>Yes</t>
        </is>
      </c>
      <c r="X383" s="2" t="inlineStr">
        <is>
          <t>No</t>
        </is>
      </c>
      <c r="Y383" s="2" t="inlineStr">
        <is>
          <t>No</t>
        </is>
      </c>
      <c r="Z383" s="2" t="inlineStr">
        <is>
          <t>No</t>
        </is>
      </c>
      <c r="AA383" s="6" t="n">
        <v>3.168249918</v>
      </c>
      <c r="AB383" s="6" t="n">
        <v>3.058877547</v>
      </c>
      <c r="AC383" s="6" t="n">
        <v>2.942290873</v>
      </c>
      <c r="AD383">
        <f t="array" ref="AD383">IF(SUMPRODUCT(--($AM$2:$AM$112=TRIM(LEFT($B383,IFERROR(FIND(" ",$B383)-1,LEN($B383))))))&gt;0,1,0)</f>
        <v/>
      </c>
      <c r="AE383">
        <f t="array" ref="AE383">IF(SUMPRODUCT(--($AO$2:$AO$145=TRIM(LEFT($B383,IFERROR(FIND(" ",$B383)-1,LEN($B383))))))&gt;0,1,0)</f>
        <v/>
      </c>
      <c r="AF383">
        <f t="array" ref="AF383">IF(SUMPRODUCT(--($AQ$2:$AQ$71=TRIM(LEFT($B383,IFERROR(FIND(" ",$B383)-1,LEN($B383))))))&gt;0,1,0)</f>
        <v/>
      </c>
    </row>
    <row r="384" ht="45.75" customHeight="1" thickBot="1">
      <c r="A384" s="13" t="n">
        <v>47</v>
      </c>
      <c r="B384" s="4" t="inlineStr">
        <is>
          <t>RXDX US</t>
        </is>
      </c>
      <c r="C384" s="4" t="inlineStr">
        <is>
          <t>MRK US</t>
        </is>
      </c>
      <c r="D384" s="7" t="n">
        <v>45032</v>
      </c>
      <c r="E384" s="3" t="n">
        <v>8839.85</v>
      </c>
      <c r="F384" s="4" t="inlineStr">
        <is>
          <t>Cash</t>
        </is>
      </c>
      <c r="G384" s="4" t="n"/>
      <c r="H384" s="4" t="inlineStr">
        <is>
          <t>Health Care</t>
        </is>
      </c>
      <c r="I384" s="4" t="inlineStr">
        <is>
          <t>Health Care</t>
        </is>
      </c>
      <c r="J384" s="4" t="inlineStr">
        <is>
          <t>Biotech &amp; Pharma</t>
        </is>
      </c>
      <c r="K384" s="4" t="n"/>
      <c r="L384" s="4" t="n"/>
      <c r="M384" s="3" t="n">
        <v>80.7</v>
      </c>
      <c r="N384" s="3" t="n">
        <v>9506.07</v>
      </c>
      <c r="O384" s="4" t="inlineStr">
        <is>
          <t>United States</t>
        </is>
      </c>
      <c r="P384" s="4" t="inlineStr">
        <is>
          <t>United States</t>
        </is>
      </c>
      <c r="Q384" s="4" t="inlineStr">
        <is>
          <t>Friendly</t>
        </is>
      </c>
      <c r="R384" s="3" t="n">
        <v>6.809</v>
      </c>
      <c r="S384" s="3" t="n">
        <v>-4064.71</v>
      </c>
      <c r="T384" s="4" t="inlineStr">
        <is>
          <t>Company Takeover</t>
        </is>
      </c>
      <c r="U384" s="2" t="inlineStr">
        <is>
          <t>No</t>
        </is>
      </c>
      <c r="V384" s="2" t="inlineStr">
        <is>
          <t>No</t>
        </is>
      </c>
      <c r="W384" s="2" t="inlineStr">
        <is>
          <t>No</t>
        </is>
      </c>
      <c r="X384" s="2" t="inlineStr">
        <is>
          <t>No</t>
        </is>
      </c>
      <c r="Y384" s="2" t="inlineStr">
        <is>
          <t>No</t>
        </is>
      </c>
      <c r="Z384" s="2" t="inlineStr">
        <is>
          <t>No</t>
        </is>
      </c>
      <c r="AA384" s="6" t="n">
        <v>3.946444896</v>
      </c>
      <c r="AB384" s="6" t="n">
        <v>0.8330833342</v>
      </c>
      <c r="AC384" s="6" t="n">
        <v>3.978001008</v>
      </c>
      <c r="AD384">
        <f t="array" ref="AD384">IF(SUMPRODUCT(--($AM$2:$AM$112=TRIM(LEFT($B384,IFERROR(FIND(" ",$B384)-1,LEN($B384))))))&gt;0,1,0)</f>
        <v/>
      </c>
      <c r="AE384">
        <f t="array" ref="AE384">IF(SUMPRODUCT(--($AO$2:$AO$145=TRIM(LEFT($B384,IFERROR(FIND(" ",$B384)-1,LEN($B384))))))&gt;0,1,0)</f>
        <v/>
      </c>
      <c r="AF384">
        <f t="array" ref="AF384">IF(SUMPRODUCT(--($AQ$2:$AQ$71=TRIM(LEFT($B384,IFERROR(FIND(" ",$B384)-1,LEN($B384))))))&gt;0,1,0)</f>
        <v/>
      </c>
    </row>
    <row r="385" ht="135.75" customHeight="1" thickBot="1">
      <c r="A385" s="13" t="n">
        <v>69</v>
      </c>
      <c r="B385" s="4" t="inlineStr">
        <is>
          <t>CVT US</t>
        </is>
      </c>
      <c r="C385" s="2" t="n"/>
      <c r="D385" s="7" t="n">
        <v>44999</v>
      </c>
      <c r="E385" s="3" t="n">
        <v>4235.13</v>
      </c>
      <c r="F385" s="4" t="inlineStr">
        <is>
          <t>Cash</t>
        </is>
      </c>
      <c r="G385" s="3" t="n">
        <v>53.08</v>
      </c>
      <c r="H385" s="4" t="inlineStr">
        <is>
          <t>Technology</t>
        </is>
      </c>
      <c r="I385" s="4" t="inlineStr">
        <is>
          <t>Software &amp; Tech Services</t>
        </is>
      </c>
      <c r="J385" s="4" t="inlineStr">
        <is>
          <t>Software</t>
        </is>
      </c>
      <c r="K385" s="4" t="n"/>
      <c r="L385" s="4" t="n"/>
      <c r="M385" s="3" t="n">
        <v>13.82</v>
      </c>
      <c r="N385" s="3" t="n">
        <v>4147.33</v>
      </c>
      <c r="O385" s="4" t="inlineStr">
        <is>
          <t>United States</t>
        </is>
      </c>
      <c r="P385" s="4" t="inlineStr">
        <is>
          <t>United States</t>
        </is>
      </c>
      <c r="Q385" s="4" t="inlineStr">
        <is>
          <t>Friendly</t>
        </is>
      </c>
      <c r="R385" s="3" t="n">
        <v>630.558</v>
      </c>
      <c r="S385" s="3" t="n">
        <v>-11.4511</v>
      </c>
      <c r="T385" s="4" t="inlineStr">
        <is>
          <t>Company Takeover, PE Buyout, Private Equity, Going Private</t>
        </is>
      </c>
      <c r="U385" s="2" t="inlineStr">
        <is>
          <t>No</t>
        </is>
      </c>
      <c r="V385" s="2" t="inlineStr">
        <is>
          <t>No</t>
        </is>
      </c>
      <c r="W385" s="2" t="inlineStr">
        <is>
          <t>No</t>
        </is>
      </c>
      <c r="X385" s="2" t="inlineStr">
        <is>
          <t>Yes</t>
        </is>
      </c>
      <c r="Y385" s="2" t="inlineStr">
        <is>
          <t>Yes</t>
        </is>
      </c>
      <c r="Z385" s="2" t="inlineStr">
        <is>
          <t>No</t>
        </is>
      </c>
      <c r="AA385" s="6" t="n">
        <v>3.626866746</v>
      </c>
      <c r="AB385" s="6" t="n">
        <v>2.79972504</v>
      </c>
      <c r="AC385" s="6" t="n">
        <v>3.617768593</v>
      </c>
      <c r="AD385">
        <f t="array" ref="AD385">IF(SUMPRODUCT(--($AM$2:$AM$112=TRIM(LEFT($B385,IFERROR(FIND(" ",$B385)-1,LEN($B385))))))&gt;0,1,0)</f>
        <v/>
      </c>
      <c r="AE385">
        <f t="array" ref="AE385">IF(SUMPRODUCT(--($AO$2:$AO$145=TRIM(LEFT($B385,IFERROR(FIND(" ",$B385)-1,LEN($B385))))))&gt;0,1,0)</f>
        <v/>
      </c>
      <c r="AF385">
        <f t="array" ref="AF385">IF(SUMPRODUCT(--($AQ$2:$AQ$71=TRIM(LEFT($B385,IFERROR(FIND(" ",$B385)-1,LEN($B385))))))&gt;0,1,0)</f>
        <v/>
      </c>
    </row>
    <row r="386" ht="75.75" customHeight="1" thickBot="1">
      <c r="A386" s="13" t="n">
        <v>116</v>
      </c>
      <c r="B386" s="4" t="inlineStr">
        <is>
          <t>DCP US</t>
        </is>
      </c>
      <c r="C386" s="4" t="inlineStr">
        <is>
          <t>PSX US</t>
        </is>
      </c>
      <c r="D386" s="7" t="n">
        <v>44931</v>
      </c>
      <c r="E386" s="3" t="n">
        <v>3783.87</v>
      </c>
      <c r="F386" s="4" t="inlineStr">
        <is>
          <t>Cash</t>
        </is>
      </c>
      <c r="G386" s="3" t="n">
        <v>7.47</v>
      </c>
      <c r="H386" s="4" t="inlineStr">
        <is>
          <t>Energy</t>
        </is>
      </c>
      <c r="I386" s="4" t="inlineStr">
        <is>
          <t>Oil &amp; Gas</t>
        </is>
      </c>
      <c r="J386" s="4" t="inlineStr">
        <is>
          <t>Oil &amp; Gas Supply Chain</t>
        </is>
      </c>
      <c r="K386" s="4" t="n"/>
      <c r="L386" s="4" t="n"/>
      <c r="M386" s="3" t="n">
        <v>8.16</v>
      </c>
      <c r="N386" s="3" t="n">
        <v>3783.87</v>
      </c>
      <c r="O386" s="4" t="inlineStr">
        <is>
          <t>United States</t>
        </is>
      </c>
      <c r="P386" s="4" t="inlineStr">
        <is>
          <t>United States</t>
        </is>
      </c>
      <c r="Q386" s="4" t="inlineStr">
        <is>
          <t>Friendly</t>
        </is>
      </c>
      <c r="R386" s="3" t="n">
        <v>14900</v>
      </c>
      <c r="S386" s="3" t="n">
        <v>4.77856</v>
      </c>
      <c r="T386" s="4" t="inlineStr">
        <is>
          <t>Company Takeover, Joint Venture</t>
        </is>
      </c>
      <c r="U386" s="2" t="inlineStr">
        <is>
          <t>No</t>
        </is>
      </c>
      <c r="V386" s="2" t="inlineStr">
        <is>
          <t>No</t>
        </is>
      </c>
      <c r="W386" s="2" t="inlineStr">
        <is>
          <t>No</t>
        </is>
      </c>
      <c r="X386" s="2" t="inlineStr">
        <is>
          <t>No</t>
        </is>
      </c>
      <c r="Y386" s="2" t="inlineStr">
        <is>
          <t>No</t>
        </is>
      </c>
      <c r="Z386" s="2" t="inlineStr">
        <is>
          <t>No</t>
        </is>
      </c>
      <c r="AA386" s="6" t="n">
        <v>3.577936207</v>
      </c>
      <c r="AB386" s="6" t="n">
        <v>4.173186268</v>
      </c>
      <c r="AC386" s="6" t="n">
        <v>3.577936207</v>
      </c>
      <c r="AD386">
        <f t="array" ref="AD386">IF(SUMPRODUCT(--($AM$2:$AM$112=TRIM(LEFT($B386,IFERROR(FIND(" ",$B386)-1,LEN($B386))))))&gt;0,1,0)</f>
        <v/>
      </c>
      <c r="AE386">
        <f t="array" ref="AE386">IF(SUMPRODUCT(--($AO$2:$AO$145=TRIM(LEFT($B386,IFERROR(FIND(" ",$B386)-1,LEN($B386))))))&gt;0,1,0)</f>
        <v/>
      </c>
      <c r="AF386">
        <f t="array" ref="AF386">IF(SUMPRODUCT(--($AQ$2:$AQ$71=TRIM(LEFT($B386,IFERROR(FIND(" ",$B386)-1,LEN($B386))))))&gt;0,1,0)</f>
        <v/>
      </c>
    </row>
    <row r="387" ht="75.75" customHeight="1" thickBot="1">
      <c r="A387" s="13" t="n">
        <v>32</v>
      </c>
      <c r="B387" s="4" t="inlineStr">
        <is>
          <t>RUTH US</t>
        </is>
      </c>
      <c r="C387" s="4" t="inlineStr">
        <is>
          <t>DRI US</t>
        </is>
      </c>
      <c r="D387" s="7" t="n">
        <v>45049</v>
      </c>
      <c r="E387" s="3" t="n">
        <v>705.11</v>
      </c>
      <c r="F387" s="4" t="inlineStr">
        <is>
          <t>Cash</t>
        </is>
      </c>
      <c r="G387" s="3" t="n">
        <v>7.43</v>
      </c>
      <c r="H387" s="4" t="inlineStr">
        <is>
          <t>Consumer Discretionary</t>
        </is>
      </c>
      <c r="I387" s="4" t="inlineStr">
        <is>
          <t>Consumer Discretionary Services</t>
        </is>
      </c>
      <c r="J387" s="4" t="inlineStr">
        <is>
          <t>Leisure Facilities &amp; Services</t>
        </is>
      </c>
      <c r="K387" s="4" t="n"/>
      <c r="L387" s="3" t="n">
        <v>23.9</v>
      </c>
      <c r="M387" s="3" t="n">
        <v>32.8</v>
      </c>
      <c r="N387" s="3" t="n">
        <v>705.11</v>
      </c>
      <c r="O387" s="4" t="inlineStr">
        <is>
          <t>United States</t>
        </is>
      </c>
      <c r="P387" s="4" t="inlineStr">
        <is>
          <t>United States</t>
        </is>
      </c>
      <c r="Q387" s="4" t="inlineStr">
        <is>
          <t>Friendly</t>
        </is>
      </c>
      <c r="R387" s="3" t="n">
        <v>505.858</v>
      </c>
      <c r="S387" s="3" t="n">
        <v>9.27866</v>
      </c>
      <c r="T387" s="4" t="inlineStr">
        <is>
          <t>Tender Offer, Company Takeover</t>
        </is>
      </c>
      <c r="U387" s="2" t="inlineStr">
        <is>
          <t>No</t>
        </is>
      </c>
      <c r="V387" s="2" t="inlineStr">
        <is>
          <t>No</t>
        </is>
      </c>
      <c r="W387" s="2" t="inlineStr">
        <is>
          <t>No</t>
        </is>
      </c>
      <c r="X387" s="2" t="inlineStr">
        <is>
          <t>No</t>
        </is>
      </c>
      <c r="Y387" s="2" t="inlineStr">
        <is>
          <t>No</t>
        </is>
      </c>
      <c r="Z387" s="2" t="inlineStr">
        <is>
          <t>Yes</t>
        </is>
      </c>
      <c r="AA387" s="6" t="n">
        <v>2.848256874</v>
      </c>
      <c r="AB387" s="6" t="n">
        <v>2.704028623</v>
      </c>
      <c r="AC387" s="6" t="n">
        <v>2.848256874</v>
      </c>
      <c r="AD387">
        <f t="array" ref="AD387">IF(SUMPRODUCT(--($AM$2:$AM$112=TRIM(LEFT($B387,IFERROR(FIND(" ",$B387)-1,LEN($B387))))))&gt;0,1,0)</f>
        <v/>
      </c>
      <c r="AE387">
        <f t="array" ref="AE387">IF(SUMPRODUCT(--($AO$2:$AO$145=TRIM(LEFT($B387,IFERROR(FIND(" ",$B387)-1,LEN($B387))))))&gt;0,1,0)</f>
        <v/>
      </c>
      <c r="AF387">
        <f t="array" ref="AF387">IF(SUMPRODUCT(--($AQ$2:$AQ$71=TRIM(LEFT($B387,IFERROR(FIND(" ",$B387)-1,LEN($B387))))))&gt;0,1,0)</f>
        <v/>
      </c>
    </row>
    <row r="388" ht="75.75" customHeight="1" thickBot="1">
      <c r="A388" s="13" t="n">
        <v>53</v>
      </c>
      <c r="B388" s="4" t="inlineStr">
        <is>
          <t>HSKA US</t>
        </is>
      </c>
      <c r="C388" s="4" t="inlineStr">
        <is>
          <t>4614Z US</t>
        </is>
      </c>
      <c r="D388" s="7" t="n">
        <v>45019</v>
      </c>
      <c r="E388" s="3" t="n">
        <v>1251.47</v>
      </c>
      <c r="F388" s="4" t="inlineStr">
        <is>
          <t>Cash</t>
        </is>
      </c>
      <c r="G388" s="4" t="n"/>
      <c r="H388" s="4" t="inlineStr">
        <is>
          <t>Health Care</t>
        </is>
      </c>
      <c r="I388" s="4" t="inlineStr">
        <is>
          <t>Health Care</t>
        </is>
      </c>
      <c r="J388" s="4" t="inlineStr">
        <is>
          <t>Biotech &amp; Pharma</t>
        </is>
      </c>
      <c r="K388" s="4" t="n"/>
      <c r="L388" s="4" t="n"/>
      <c r="M388" s="3" t="n">
        <v>34.3</v>
      </c>
      <c r="N388" s="3" t="n">
        <v>1304.58</v>
      </c>
      <c r="O388" s="4" t="inlineStr">
        <is>
          <t>United States</t>
        </is>
      </c>
      <c r="P388" s="4" t="inlineStr">
        <is>
          <t>United States</t>
        </is>
      </c>
      <c r="Q388" s="4" t="inlineStr">
        <is>
          <t>Friendly</t>
        </is>
      </c>
      <c r="R388" s="3" t="n">
        <v>257.307</v>
      </c>
      <c r="S388" s="3" t="n">
        <v>-7.55822</v>
      </c>
      <c r="T388" s="4" t="inlineStr">
        <is>
          <t>Company Takeover, Going Private</t>
        </is>
      </c>
      <c r="U388" s="2" t="inlineStr">
        <is>
          <t>No</t>
        </is>
      </c>
      <c r="V388" s="2" t="inlineStr">
        <is>
          <t>No</t>
        </is>
      </c>
      <c r="W388" s="2" t="inlineStr">
        <is>
          <t>No</t>
        </is>
      </c>
      <c r="X388" s="2" t="inlineStr">
        <is>
          <t>Yes</t>
        </is>
      </c>
      <c r="Y388" s="2" t="inlineStr">
        <is>
          <t>No</t>
        </is>
      </c>
      <c r="Z388" s="2" t="inlineStr">
        <is>
          <t>No</t>
        </is>
      </c>
      <c r="AA388" s="6" t="n">
        <v>3.097420443</v>
      </c>
      <c r="AB388" s="6" t="n">
        <v>2.410451601</v>
      </c>
      <c r="AC388" s="6" t="n">
        <v>3.115470716</v>
      </c>
      <c r="AD388">
        <f t="array" ref="AD388">IF(SUMPRODUCT(--($AM$2:$AM$112=TRIM(LEFT($B388,IFERROR(FIND(" ",$B388)-1,LEN($B388))))))&gt;0,1,0)</f>
        <v/>
      </c>
      <c r="AE388">
        <f t="array" ref="AE388">IF(SUMPRODUCT(--($AO$2:$AO$145=TRIM(LEFT($B388,IFERROR(FIND(" ",$B388)-1,LEN($B388))))))&gt;0,1,0)</f>
        <v/>
      </c>
      <c r="AF388">
        <f t="array" ref="AF388">IF(SUMPRODUCT(--($AQ$2:$AQ$71=TRIM(LEFT($B388,IFERROR(FIND(" ",$B388)-1,LEN($B388))))))&gt;0,1,0)</f>
        <v/>
      </c>
    </row>
    <row r="389" ht="135.75" customHeight="1" thickBot="1">
      <c r="A389" s="13" t="n">
        <v>339</v>
      </c>
      <c r="B389" s="4" t="inlineStr">
        <is>
          <t>MGI US</t>
        </is>
      </c>
      <c r="C389" s="4" t="inlineStr">
        <is>
          <t>13716Z US</t>
        </is>
      </c>
      <c r="D389" s="7" t="n">
        <v>44607</v>
      </c>
      <c r="E389" s="3" t="n">
        <v>1800</v>
      </c>
      <c r="F389" s="4" t="inlineStr">
        <is>
          <t>Cash</t>
        </is>
      </c>
      <c r="G389" s="3" t="n">
        <v>12.5</v>
      </c>
      <c r="H389" s="4" t="inlineStr">
        <is>
          <t>Financials</t>
        </is>
      </c>
      <c r="I389" s="4" t="inlineStr">
        <is>
          <t>Financial Services</t>
        </is>
      </c>
      <c r="J389" s="4" t="inlineStr">
        <is>
          <t>Specialty Finance</t>
        </is>
      </c>
      <c r="K389" s="3" t="n">
        <v>65.5</v>
      </c>
      <c r="L389" s="3" t="n">
        <v>32.8</v>
      </c>
      <c r="M389" s="4" t="n"/>
      <c r="N389" s="3" t="n">
        <v>1094.1</v>
      </c>
      <c r="O389" s="4" t="inlineStr">
        <is>
          <t>United States</t>
        </is>
      </c>
      <c r="P389" s="4" t="inlineStr">
        <is>
          <t>United States</t>
        </is>
      </c>
      <c r="Q389" s="4" t="inlineStr">
        <is>
          <t>Friendly</t>
        </is>
      </c>
      <c r="R389" s="3" t="n">
        <v>1310.1</v>
      </c>
      <c r="S389" s="3" t="n">
        <v>7.08955</v>
      </c>
      <c r="T389" s="4" t="inlineStr">
        <is>
          <t>Private Equity, Company Takeover, PE Buyout, Going Private</t>
        </is>
      </c>
      <c r="U389" s="2" t="inlineStr">
        <is>
          <t>No</t>
        </is>
      </c>
      <c r="V389" s="2" t="inlineStr">
        <is>
          <t>No</t>
        </is>
      </c>
      <c r="W389" s="2" t="inlineStr">
        <is>
          <t>No</t>
        </is>
      </c>
      <c r="X389" s="2" t="inlineStr">
        <is>
          <t>Yes</t>
        </is>
      </c>
      <c r="Y389" s="2" t="inlineStr">
        <is>
          <t>Yes</t>
        </is>
      </c>
      <c r="Z389" s="2" t="inlineStr">
        <is>
          <t>No</t>
        </is>
      </c>
      <c r="AA389" s="6" t="n">
        <v>3.255272505</v>
      </c>
      <c r="AB389" s="6" t="n">
        <v>3.117304447</v>
      </c>
      <c r="AC389" s="6" t="n">
        <v>3.039057018</v>
      </c>
      <c r="AD389">
        <f t="array" ref="AD389">IF(SUMPRODUCT(--($AM$2:$AM$112=TRIM(LEFT($B389,IFERROR(FIND(" ",$B389)-1,LEN($B389))))))&gt;0,1,0)</f>
        <v/>
      </c>
      <c r="AE389">
        <f t="array" ref="AE389">IF(SUMPRODUCT(--($AO$2:$AO$145=TRIM(LEFT($B389,IFERROR(FIND(" ",$B389)-1,LEN($B389))))))&gt;0,1,0)</f>
        <v/>
      </c>
      <c r="AF389">
        <f t="array" ref="AF389">IF(SUMPRODUCT(--($AQ$2:$AQ$71=TRIM(LEFT($B389,IFERROR(FIND(" ",$B389)-1,LEN($B389))))))&gt;0,1,0)</f>
        <v/>
      </c>
    </row>
    <row r="390" ht="75.75" customHeight="1" thickBot="1">
      <c r="A390" s="13" t="n">
        <v>63</v>
      </c>
      <c r="B390" s="4" t="inlineStr">
        <is>
          <t>KBAL US</t>
        </is>
      </c>
      <c r="C390" s="4" t="inlineStr">
        <is>
          <t>HNI US</t>
        </is>
      </c>
      <c r="D390" s="7" t="n">
        <v>44993</v>
      </c>
      <c r="E390" s="3" t="n">
        <v>537.3099999999999</v>
      </c>
      <c r="F390" s="4" t="inlineStr">
        <is>
          <t>Cash and Stock</t>
        </is>
      </c>
      <c r="G390" s="3" t="n">
        <v>35.65</v>
      </c>
      <c r="H390" s="4" t="inlineStr">
        <is>
          <t>Consumer Discretionary</t>
        </is>
      </c>
      <c r="I390" s="4" t="inlineStr">
        <is>
          <t>Consumer Discretionary Products</t>
        </is>
      </c>
      <c r="J390" s="4" t="inlineStr">
        <is>
          <t>Home &amp; Office Products</t>
        </is>
      </c>
      <c r="K390" s="3" t="n">
        <v>24.2589</v>
      </c>
      <c r="L390" s="3" t="n">
        <v>15.7683</v>
      </c>
      <c r="M390" s="3" t="n">
        <v>86.7</v>
      </c>
      <c r="N390" s="3" t="n">
        <v>473.66</v>
      </c>
      <c r="O390" s="4" t="inlineStr">
        <is>
          <t>United States</t>
        </is>
      </c>
      <c r="P390" s="4" t="inlineStr">
        <is>
          <t>United States</t>
        </is>
      </c>
      <c r="Q390" s="4" t="inlineStr">
        <is>
          <t>Friendly</t>
        </is>
      </c>
      <c r="R390" s="3" t="n">
        <v>665.877</v>
      </c>
      <c r="S390" s="3" t="n">
        <v>-1.65637</v>
      </c>
      <c r="T390" s="4" t="inlineStr">
        <is>
          <t>Company Takeover</t>
        </is>
      </c>
      <c r="U390" s="2" t="inlineStr">
        <is>
          <t>No</t>
        </is>
      </c>
      <c r="V390" s="2" t="inlineStr">
        <is>
          <t>No</t>
        </is>
      </c>
      <c r="W390" s="2" t="inlineStr">
        <is>
          <t>No</t>
        </is>
      </c>
      <c r="X390" s="2" t="inlineStr">
        <is>
          <t>No</t>
        </is>
      </c>
      <c r="Y390" s="2" t="inlineStr">
        <is>
          <t>No</t>
        </is>
      </c>
      <c r="Z390" s="2" t="inlineStr">
        <is>
          <t>No</t>
        </is>
      </c>
      <c r="AA390" s="6" t="n">
        <v>2.730224923</v>
      </c>
      <c r="AB390" s="6" t="n">
        <v>2.823394014</v>
      </c>
      <c r="AC390" s="6" t="n">
        <v>2.675466711</v>
      </c>
      <c r="AD390">
        <f t="array" ref="AD390">IF(SUMPRODUCT(--($AM$2:$AM$112=TRIM(LEFT($B390,IFERROR(FIND(" ",$B390)-1,LEN($B390))))))&gt;0,1,0)</f>
        <v/>
      </c>
      <c r="AE390">
        <f t="array" ref="AE390">IF(SUMPRODUCT(--($AO$2:$AO$145=TRIM(LEFT($B390,IFERROR(FIND(" ",$B390)-1,LEN($B390))))))&gt;0,1,0)</f>
        <v/>
      </c>
      <c r="AF390">
        <f t="array" ref="AF390">IF(SUMPRODUCT(--($AQ$2:$AQ$71=TRIM(LEFT($B390,IFERROR(FIND(" ",$B390)-1,LEN($B390))))))&gt;0,1,0)</f>
        <v/>
      </c>
    </row>
    <row r="391" ht="135.75" customHeight="1" thickBot="1">
      <c r="A391" s="13" t="n">
        <v>59</v>
      </c>
      <c r="B391" s="4" t="inlineStr">
        <is>
          <t>MNTV US</t>
        </is>
      </c>
      <c r="C391" s="2" t="n"/>
      <c r="D391" s="7" t="n">
        <v>44998</v>
      </c>
      <c r="E391" s="3" t="n">
        <v>1445.89</v>
      </c>
      <c r="F391" s="4" t="inlineStr">
        <is>
          <t>Cash</t>
        </is>
      </c>
      <c r="G391" s="4" t="n"/>
      <c r="H391" s="4" t="inlineStr">
        <is>
          <t>Technology</t>
        </is>
      </c>
      <c r="I391" s="4" t="inlineStr">
        <is>
          <t>Software &amp; Tech Services</t>
        </is>
      </c>
      <c r="J391" s="4" t="inlineStr">
        <is>
          <t>Software</t>
        </is>
      </c>
      <c r="K391" s="4" t="n"/>
      <c r="L391" s="4" t="n"/>
      <c r="M391" s="3" t="n">
        <v>29.94</v>
      </c>
      <c r="N391" s="3" t="n">
        <v>1416.26</v>
      </c>
      <c r="O391" s="4" t="inlineStr">
        <is>
          <t>United States</t>
        </is>
      </c>
      <c r="P391" s="4" t="inlineStr">
        <is>
          <t>United States</t>
        </is>
      </c>
      <c r="Q391" s="4" t="inlineStr">
        <is>
          <t>Friendly</t>
        </is>
      </c>
      <c r="R391" s="3" t="n">
        <v>480.917</v>
      </c>
      <c r="S391" s="3" t="n">
        <v>-13.9869</v>
      </c>
      <c r="T391" s="4" t="inlineStr">
        <is>
          <t>Company Takeover, Going Private, PE Buyout, Private Equity</t>
        </is>
      </c>
      <c r="U391" s="2" t="inlineStr">
        <is>
          <t>No</t>
        </is>
      </c>
      <c r="V391" s="2" t="inlineStr">
        <is>
          <t>No</t>
        </is>
      </c>
      <c r="W391" s="2" t="inlineStr">
        <is>
          <t>No</t>
        </is>
      </c>
      <c r="X391" s="2" t="inlineStr">
        <is>
          <t>Yes</t>
        </is>
      </c>
      <c r="Y391" s="2" t="inlineStr">
        <is>
          <t>Yes</t>
        </is>
      </c>
      <c r="Z391" s="2" t="inlineStr">
        <is>
          <t>No</t>
        </is>
      </c>
      <c r="AA391" s="6" t="n">
        <v>3.160135254</v>
      </c>
      <c r="AB391" s="6" t="n">
        <v>2.682070129</v>
      </c>
      <c r="AC391" s="6" t="n">
        <v>3.151142989</v>
      </c>
      <c r="AD391">
        <f t="array" ref="AD391">IF(SUMPRODUCT(--($AM$2:$AM$112=TRIM(LEFT($B391,IFERROR(FIND(" ",$B391)-1,LEN($B391))))))&gt;0,1,0)</f>
        <v/>
      </c>
      <c r="AE391">
        <f t="array" ref="AE391">IF(SUMPRODUCT(--($AO$2:$AO$145=TRIM(LEFT($B391,IFERROR(FIND(" ",$B391)-1,LEN($B391))))))&gt;0,1,0)</f>
        <v/>
      </c>
      <c r="AF391">
        <f t="array" ref="AF391">IF(SUMPRODUCT(--($AQ$2:$AQ$71=TRIM(LEFT($B391,IFERROR(FIND(" ",$B391)-1,LEN($B391))))))&gt;0,1,0)</f>
        <v/>
      </c>
    </row>
    <row r="392" ht="45.75" customHeight="1" thickBot="1">
      <c r="A392" s="13" t="n">
        <v>68</v>
      </c>
      <c r="B392" s="4" t="inlineStr">
        <is>
          <t>BRMK US</t>
        </is>
      </c>
      <c r="C392" s="4" t="inlineStr">
        <is>
          <t>RC US</t>
        </is>
      </c>
      <c r="D392" s="7" t="n">
        <v>44984</v>
      </c>
      <c r="E392" s="3" t="n">
        <v>864.85</v>
      </c>
      <c r="F392" s="4" t="inlineStr">
        <is>
          <t>Stock</t>
        </is>
      </c>
      <c r="G392" s="3" t="n">
        <v>9.779999999999999</v>
      </c>
      <c r="H392" s="4" t="inlineStr">
        <is>
          <t>Financials</t>
        </is>
      </c>
      <c r="I392" s="4" t="inlineStr">
        <is>
          <t>Financial Services</t>
        </is>
      </c>
      <c r="J392" s="4" t="inlineStr">
        <is>
          <t>Specialty Finance</t>
        </is>
      </c>
      <c r="K392" s="3" t="n">
        <v>23.639</v>
      </c>
      <c r="L392" s="3" t="n">
        <v>15.76</v>
      </c>
      <c r="M392" s="3" t="n">
        <v>42.45</v>
      </c>
      <c r="N392" s="3" t="n">
        <v>820.7</v>
      </c>
      <c r="O392" s="4" t="inlineStr">
        <is>
          <t>United States</t>
        </is>
      </c>
      <c r="P392" s="4" t="inlineStr">
        <is>
          <t>United States</t>
        </is>
      </c>
      <c r="Q392" s="4" t="inlineStr">
        <is>
          <t>Friendly</t>
        </is>
      </c>
      <c r="R392" s="3" t="n">
        <v>108.877</v>
      </c>
      <c r="S392" s="3" t="n">
        <v>-115.605</v>
      </c>
      <c r="T392" s="4" t="inlineStr">
        <is>
          <t>Company Takeover</t>
        </is>
      </c>
      <c r="U392" s="2" t="inlineStr">
        <is>
          <t>No</t>
        </is>
      </c>
      <c r="V392" s="2" t="inlineStr">
        <is>
          <t>No</t>
        </is>
      </c>
      <c r="W392" s="2" t="inlineStr">
        <is>
          <t>No</t>
        </is>
      </c>
      <c r="X392" s="2" t="inlineStr">
        <is>
          <t>No</t>
        </is>
      </c>
      <c r="Y392" s="2" t="inlineStr">
        <is>
          <t>No</t>
        </is>
      </c>
      <c r="Z392" s="2" t="inlineStr">
        <is>
          <t>No</t>
        </is>
      </c>
      <c r="AA392" s="6" t="n">
        <v>2.93694079</v>
      </c>
      <c r="AB392" s="6" t="n">
        <v>2.036936146</v>
      </c>
      <c r="AC392" s="6" t="n">
        <v>2.914184433</v>
      </c>
      <c r="AD392">
        <f t="array" ref="AD392">IF(SUMPRODUCT(--($AM$2:$AM$112=TRIM(LEFT($B392,IFERROR(FIND(" ",$B392)-1,LEN($B392))))))&gt;0,1,0)</f>
        <v/>
      </c>
      <c r="AE392">
        <f t="array" ref="AE392">IF(SUMPRODUCT(--($AO$2:$AO$145=TRIM(LEFT($B392,IFERROR(FIND(" ",$B392)-1,LEN($B392))))))&gt;0,1,0)</f>
        <v/>
      </c>
      <c r="AF392">
        <f t="array" ref="AF392">IF(SUMPRODUCT(--($AQ$2:$AQ$71=TRIM(LEFT($B392,IFERROR(FIND(" ",$B392)-1,LEN($B392))))))&gt;0,1,0)</f>
        <v/>
      </c>
    </row>
    <row r="393" ht="45.75" customHeight="1" thickBot="1">
      <c r="A393" s="13" t="n">
        <v>88</v>
      </c>
      <c r="B393" s="4" t="inlineStr">
        <is>
          <t>AQUA US</t>
        </is>
      </c>
      <c r="C393" s="4" t="inlineStr">
        <is>
          <t>XYL US</t>
        </is>
      </c>
      <c r="D393" s="7" t="n">
        <v>44949</v>
      </c>
      <c r="E393" s="3" t="n">
        <v>7379.3</v>
      </c>
      <c r="F393" s="4" t="inlineStr">
        <is>
          <t>Stock</t>
        </is>
      </c>
      <c r="G393" s="3" t="n">
        <v>30.11</v>
      </c>
      <c r="H393" s="4" t="inlineStr">
        <is>
          <t>Industrials</t>
        </is>
      </c>
      <c r="I393" s="4" t="inlineStr">
        <is>
          <t>Industrial Products</t>
        </is>
      </c>
      <c r="J393" s="4" t="inlineStr">
        <is>
          <t>Machinery</t>
        </is>
      </c>
      <c r="K393" s="4" t="n"/>
      <c r="L393" s="4" t="n"/>
      <c r="M393" s="3" t="n">
        <v>32.65</v>
      </c>
      <c r="N393" s="3" t="n">
        <v>6534.55</v>
      </c>
      <c r="O393" s="4" t="inlineStr">
        <is>
          <t>United States</t>
        </is>
      </c>
      <c r="P393" s="4" t="inlineStr">
        <is>
          <t>United States</t>
        </is>
      </c>
      <c r="Q393" s="4" t="inlineStr">
        <is>
          <t>Friendly</t>
        </is>
      </c>
      <c r="R393" s="3" t="n">
        <v>1737.08</v>
      </c>
      <c r="S393" s="3" t="n">
        <v>6.28845</v>
      </c>
      <c r="T393" s="4" t="inlineStr">
        <is>
          <t>Company Takeover</t>
        </is>
      </c>
      <c r="U393" s="2" t="inlineStr">
        <is>
          <t>No</t>
        </is>
      </c>
      <c r="V393" s="2" t="inlineStr">
        <is>
          <t>No</t>
        </is>
      </c>
      <c r="W393" s="2" t="inlineStr">
        <is>
          <t>No</t>
        </is>
      </c>
      <c r="X393" s="2" t="inlineStr">
        <is>
          <t>No</t>
        </is>
      </c>
      <c r="Y393" s="2" t="inlineStr">
        <is>
          <t>No</t>
        </is>
      </c>
      <c r="Z393" s="2" t="inlineStr">
        <is>
          <t>No</t>
        </is>
      </c>
      <c r="AA393" s="6" t="n">
        <v>3.868015167</v>
      </c>
      <c r="AB393" s="6" t="n">
        <v>3.23981982</v>
      </c>
      <c r="AC393" s="6" t="n">
        <v>3.815215685</v>
      </c>
      <c r="AD393">
        <f t="array" ref="AD393">IF(SUMPRODUCT(--($AM$2:$AM$112=TRIM(LEFT($B393,IFERROR(FIND(" ",$B393)-1,LEN($B393))))))&gt;0,1,0)</f>
        <v/>
      </c>
      <c r="AE393">
        <f t="array" ref="AE393">IF(SUMPRODUCT(--($AO$2:$AO$145=TRIM(LEFT($B393,IFERROR(FIND(" ",$B393)-1,LEN($B393))))))&gt;0,1,0)</f>
        <v/>
      </c>
      <c r="AF393">
        <f t="array" ref="AF393">IF(SUMPRODUCT(--($AQ$2:$AQ$71=TRIM(LEFT($B393,IFERROR(FIND(" ",$B393)-1,LEN($B393))))))&gt;0,1,0)</f>
        <v/>
      </c>
    </row>
    <row r="394" ht="75.75" customHeight="1" thickBot="1">
      <c r="A394" s="13" t="n">
        <v>64</v>
      </c>
      <c r="B394" s="4" t="inlineStr">
        <is>
          <t>TA US</t>
        </is>
      </c>
      <c r="C394" s="4" t="inlineStr">
        <is>
          <t>BP/ LN</t>
        </is>
      </c>
      <c r="D394" s="7" t="n">
        <v>44973</v>
      </c>
      <c r="E394" s="3" t="n">
        <v>3034.94</v>
      </c>
      <c r="F394" s="4" t="inlineStr">
        <is>
          <t>Cash</t>
        </is>
      </c>
      <c r="G394" s="3" t="n">
        <v>5.47</v>
      </c>
      <c r="H394" s="4" t="inlineStr">
        <is>
          <t>Energy</t>
        </is>
      </c>
      <c r="I394" s="4" t="inlineStr">
        <is>
          <t>Oil &amp; Gas</t>
        </is>
      </c>
      <c r="J394" s="4" t="inlineStr">
        <is>
          <t>Oil &amp; Gas Supply Chain</t>
        </is>
      </c>
      <c r="K394" s="3" t="n">
        <v>90.90000000000001</v>
      </c>
      <c r="L394" s="3" t="n">
        <v>51.9</v>
      </c>
      <c r="M394" s="3" t="n">
        <v>83.41</v>
      </c>
      <c r="N394" s="3" t="n">
        <v>1277.41</v>
      </c>
      <c r="O394" s="4" t="inlineStr">
        <is>
          <t>United States</t>
        </is>
      </c>
      <c r="P394" s="4" t="inlineStr">
        <is>
          <t>United Kingdom</t>
        </is>
      </c>
      <c r="Q394" s="4" t="inlineStr">
        <is>
          <t>Friendly</t>
        </is>
      </c>
      <c r="R394" s="3" t="n">
        <v>10845</v>
      </c>
      <c r="S394" s="3" t="n">
        <v>2.04405</v>
      </c>
      <c r="T394" s="4" t="inlineStr">
        <is>
          <t>Cross Border, Company Takeover</t>
        </is>
      </c>
      <c r="U394" s="2" t="inlineStr">
        <is>
          <t>No</t>
        </is>
      </c>
      <c r="V394" s="2" t="inlineStr">
        <is>
          <t>No</t>
        </is>
      </c>
      <c r="W394" s="2" t="inlineStr">
        <is>
          <t>Yes</t>
        </is>
      </c>
      <c r="X394" s="2" t="inlineStr">
        <is>
          <t>No</t>
        </is>
      </c>
      <c r="Y394" s="2" t="inlineStr">
        <is>
          <t>No</t>
        </is>
      </c>
      <c r="Z394" s="2" t="inlineStr">
        <is>
          <t>No</t>
        </is>
      </c>
      <c r="AA394" s="6" t="n">
        <v>3.48215011</v>
      </c>
      <c r="AB394" s="6" t="n">
        <v>4.035229556</v>
      </c>
      <c r="AC394" s="6" t="n">
        <v>3.106330312</v>
      </c>
      <c r="AD394">
        <f t="array" ref="AD394">IF(SUMPRODUCT(--($AM$2:$AM$112=TRIM(LEFT($B394,IFERROR(FIND(" ",$B394)-1,LEN($B394))))))&gt;0,1,0)</f>
        <v/>
      </c>
      <c r="AE394">
        <f t="array" ref="AE394">IF(SUMPRODUCT(--($AO$2:$AO$145=TRIM(LEFT($B394,IFERROR(FIND(" ",$B394)-1,LEN($B394))))))&gt;0,1,0)</f>
        <v/>
      </c>
      <c r="AF394">
        <f t="array" ref="AF394">IF(SUMPRODUCT(--($AQ$2:$AQ$71=TRIM(LEFT($B394,IFERROR(FIND(" ",$B394)-1,LEN($B394))))))&gt;0,1,0)</f>
        <v/>
      </c>
    </row>
    <row r="395" ht="135.75" customHeight="1" thickBot="1">
      <c r="A395" s="13" t="n">
        <v>68</v>
      </c>
      <c r="B395" s="4" t="inlineStr">
        <is>
          <t>SUMO US</t>
        </is>
      </c>
      <c r="C395" s="4" t="inlineStr">
        <is>
          <t>20635Z US</t>
        </is>
      </c>
      <c r="D395" s="7" t="n">
        <v>44966</v>
      </c>
      <c r="E395" s="3" t="n">
        <v>1106.81</v>
      </c>
      <c r="F395" s="4" t="inlineStr">
        <is>
          <t>Cash</t>
        </is>
      </c>
      <c r="G395" s="4" t="n"/>
      <c r="H395" s="4" t="inlineStr">
        <is>
          <t>Technology</t>
        </is>
      </c>
      <c r="I395" s="4" t="inlineStr">
        <is>
          <t>Software &amp; Tech Services</t>
        </is>
      </c>
      <c r="J395" s="4" t="inlineStr">
        <is>
          <t>Software</t>
        </is>
      </c>
      <c r="K395" s="4" t="n"/>
      <c r="L395" s="3" t="n">
        <v>52</v>
      </c>
      <c r="M395" s="3" t="n">
        <v>17.17</v>
      </c>
      <c r="N395" s="3" t="n">
        <v>1446.15</v>
      </c>
      <c r="O395" s="4" t="inlineStr">
        <is>
          <t>United States</t>
        </is>
      </c>
      <c r="P395" s="4" t="inlineStr">
        <is>
          <t>United States</t>
        </is>
      </c>
      <c r="Q395" s="4" t="inlineStr">
        <is>
          <t>Friendly</t>
        </is>
      </c>
      <c r="R395" s="3" t="n">
        <v>300.668</v>
      </c>
      <c r="S395" s="3" t="n">
        <v>-42.194</v>
      </c>
      <c r="T395" s="4" t="inlineStr">
        <is>
          <t>Company Takeover, Private Equity, Going Private, PE Buyout</t>
        </is>
      </c>
      <c r="U395" s="2" t="inlineStr">
        <is>
          <t>No</t>
        </is>
      </c>
      <c r="V395" s="2" t="inlineStr">
        <is>
          <t>No</t>
        </is>
      </c>
      <c r="W395" s="2" t="inlineStr">
        <is>
          <t>No</t>
        </is>
      </c>
      <c r="X395" s="2" t="inlineStr">
        <is>
          <t>Yes</t>
        </is>
      </c>
      <c r="Y395" s="2" t="inlineStr">
        <is>
          <t>Yes</t>
        </is>
      </c>
      <c r="Z395" s="2" t="inlineStr">
        <is>
          <t>No</t>
        </is>
      </c>
      <c r="AA395" s="6" t="n">
        <v>3.044073074</v>
      </c>
      <c r="AB395" s="6" t="n">
        <v>2.478087209</v>
      </c>
      <c r="AC395" s="6" t="n">
        <v>3.160213342</v>
      </c>
      <c r="AD395">
        <f t="array" ref="AD395">IF(SUMPRODUCT(--($AM$2:$AM$112=TRIM(LEFT($B395,IFERROR(FIND(" ",$B395)-1,LEN($B395))))))&gt;0,1,0)</f>
        <v/>
      </c>
      <c r="AE395">
        <f t="array" ref="AE395">IF(SUMPRODUCT(--($AO$2:$AO$145=TRIM(LEFT($B395,IFERROR(FIND(" ",$B395)-1,LEN($B395))))))&gt;0,1,0)</f>
        <v/>
      </c>
      <c r="AF395">
        <f t="array" ref="AF395">IF(SUMPRODUCT(--($AQ$2:$AQ$71=TRIM(LEFT($B395,IFERROR(FIND(" ",$B395)-1,LEN($B395))))))&gt;0,1,0)</f>
        <v/>
      </c>
    </row>
    <row r="396" ht="135.75" customHeight="1" thickBot="1">
      <c r="A396" s="13" t="n">
        <v>99</v>
      </c>
      <c r="B396" s="4" t="inlineStr">
        <is>
          <t>MAXR US</t>
        </is>
      </c>
      <c r="C396" s="2" t="n"/>
      <c r="D396" s="7" t="n">
        <v>44911</v>
      </c>
      <c r="E396" s="3" t="n">
        <v>6286.76</v>
      </c>
      <c r="F396" s="4" t="inlineStr">
        <is>
          <t>Cash</t>
        </is>
      </c>
      <c r="G396" s="3" t="n">
        <v>13.7</v>
      </c>
      <c r="H396" s="4" t="inlineStr">
        <is>
          <t>Technology</t>
        </is>
      </c>
      <c r="I396" s="4" t="inlineStr">
        <is>
          <t>Tech Hardware &amp; Semiconductors</t>
        </is>
      </c>
      <c r="J396" s="4" t="inlineStr">
        <is>
          <t>Technology Hardware</t>
        </is>
      </c>
      <c r="K396" s="3" t="n">
        <v>249</v>
      </c>
      <c r="L396" s="3" t="n">
        <v>124.5</v>
      </c>
      <c r="M396" s="3" t="n">
        <v>116.23</v>
      </c>
      <c r="N396" s="3" t="n">
        <v>3951.76</v>
      </c>
      <c r="O396" s="4" t="inlineStr">
        <is>
          <t>United States</t>
        </is>
      </c>
      <c r="P396" s="4" t="inlineStr">
        <is>
          <t>United States</t>
        </is>
      </c>
      <c r="Q396" s="4" t="inlineStr">
        <is>
          <t>Friendly</t>
        </is>
      </c>
      <c r="R396" s="3" t="n">
        <v>1605</v>
      </c>
      <c r="S396" s="3" t="n">
        <v>0.679432</v>
      </c>
      <c r="T396" s="4" t="inlineStr">
        <is>
          <t>Private Equity, Company Takeover, PE Buyout, Going Private</t>
        </is>
      </c>
      <c r="U396" s="2" t="inlineStr">
        <is>
          <t>No</t>
        </is>
      </c>
      <c r="V396" s="2" t="inlineStr">
        <is>
          <t>No</t>
        </is>
      </c>
      <c r="W396" s="2" t="inlineStr">
        <is>
          <t>No</t>
        </is>
      </c>
      <c r="X396" s="2" t="inlineStr">
        <is>
          <t>Yes</t>
        </is>
      </c>
      <c r="Y396" s="2" t="inlineStr">
        <is>
          <t>Yes</t>
        </is>
      </c>
      <c r="Z396" s="2" t="inlineStr">
        <is>
          <t>No</t>
        </is>
      </c>
      <c r="AA396" s="6" t="n">
        <v>3.798426881</v>
      </c>
      <c r="AB396" s="6" t="n">
        <v>3.205475037</v>
      </c>
      <c r="AC396" s="6" t="n">
        <v>3.596790561</v>
      </c>
      <c r="AD396">
        <f t="array" ref="AD396">IF(SUMPRODUCT(--($AM$2:$AM$112=TRIM(LEFT($B396,IFERROR(FIND(" ",$B396)-1,LEN($B396))))))&gt;0,1,0)</f>
        <v/>
      </c>
      <c r="AE396">
        <f t="array" ref="AE396">IF(SUMPRODUCT(--($AO$2:$AO$145=TRIM(LEFT($B396,IFERROR(FIND(" ",$B396)-1,LEN($B396))))))&gt;0,1,0)</f>
        <v/>
      </c>
      <c r="AF396">
        <f t="array" ref="AF396">IF(SUMPRODUCT(--($AQ$2:$AQ$71=TRIM(LEFT($B396,IFERROR(FIND(" ",$B396)-1,LEN($B396))))))&gt;0,1,0)</f>
        <v/>
      </c>
    </row>
    <row r="397" ht="60.75" customHeight="1" thickBot="1">
      <c r="A397" s="13" t="n">
        <v>60</v>
      </c>
      <c r="B397" s="4" t="inlineStr">
        <is>
          <t>OSH US</t>
        </is>
      </c>
      <c r="C397" s="4" t="inlineStr">
        <is>
          <t>CVS US</t>
        </is>
      </c>
      <c r="D397" s="7" t="n">
        <v>44965</v>
      </c>
      <c r="E397" s="3" t="n">
        <v>10552.14</v>
      </c>
      <c r="F397" s="4" t="inlineStr">
        <is>
          <t>Cash</t>
        </is>
      </c>
      <c r="G397" s="4" t="n"/>
      <c r="H397" s="4" t="inlineStr">
        <is>
          <t>Health Care</t>
        </is>
      </c>
      <c r="I397" s="4" t="inlineStr">
        <is>
          <t>Health Care</t>
        </is>
      </c>
      <c r="J397" s="4" t="inlineStr">
        <is>
          <t>Health Care Facilities &amp; Svcs</t>
        </is>
      </c>
      <c r="K397" s="4" t="n"/>
      <c r="L397" s="4" t="n"/>
      <c r="M397" s="3" t="n">
        <v>35.98</v>
      </c>
      <c r="N397" s="3" t="n">
        <v>9752.74</v>
      </c>
      <c r="O397" s="4" t="inlineStr">
        <is>
          <t>United States</t>
        </is>
      </c>
      <c r="P397" s="4" t="inlineStr">
        <is>
          <t>United States</t>
        </is>
      </c>
      <c r="Q397" s="4" t="inlineStr">
        <is>
          <t>Friendly</t>
        </is>
      </c>
      <c r="R397" s="3" t="n">
        <v>2160.9</v>
      </c>
      <c r="S397" s="3" t="n">
        <v>-17.444</v>
      </c>
      <c r="T397" s="4" t="inlineStr">
        <is>
          <t>Company Takeover</t>
        </is>
      </c>
      <c r="U397" s="2" t="inlineStr">
        <is>
          <t>No</t>
        </is>
      </c>
      <c r="V397" s="2" t="inlineStr">
        <is>
          <t>No</t>
        </is>
      </c>
      <c r="W397" s="2" t="inlineStr">
        <is>
          <t>No</t>
        </is>
      </c>
      <c r="X397" s="2" t="inlineStr">
        <is>
          <t>No</t>
        </is>
      </c>
      <c r="Y397" s="2" t="inlineStr">
        <is>
          <t>No</t>
        </is>
      </c>
      <c r="Z397" s="2" t="inlineStr">
        <is>
          <t>No</t>
        </is>
      </c>
      <c r="AA397" s="6" t="n">
        <v>4.023340545</v>
      </c>
      <c r="AB397" s="6" t="n">
        <v>3.334634669</v>
      </c>
      <c r="AC397" s="6" t="n">
        <v>3.989126646</v>
      </c>
      <c r="AD397">
        <f t="array" ref="AD397">IF(SUMPRODUCT(--($AM$2:$AM$112=TRIM(LEFT($B397,IFERROR(FIND(" ",$B397)-1,LEN($B397))))))&gt;0,1,0)</f>
        <v/>
      </c>
      <c r="AE397">
        <f t="array" ref="AE397">IF(SUMPRODUCT(--($AO$2:$AO$145=TRIM(LEFT($B397,IFERROR(FIND(" ",$B397)-1,LEN($B397))))))&gt;0,1,0)</f>
        <v/>
      </c>
      <c r="AF397">
        <f t="array" ref="AF397">IF(SUMPRODUCT(--($AQ$2:$AQ$71=TRIM(LEFT($B397,IFERROR(FIND(" ",$B397)-1,LEN($B397))))))&gt;0,1,0)</f>
        <v/>
      </c>
    </row>
    <row r="398" ht="105.75" customHeight="1" thickBot="1">
      <c r="A398" s="13" t="n">
        <v>35</v>
      </c>
      <c r="B398" s="4" t="inlineStr">
        <is>
          <t>PRVB US</t>
        </is>
      </c>
      <c r="C398" s="4" t="inlineStr">
        <is>
          <t>SAN FP</t>
        </is>
      </c>
      <c r="D398" s="7" t="n">
        <v>44998</v>
      </c>
      <c r="E398" s="3" t="n">
        <v>2018.17</v>
      </c>
      <c r="F398" s="4" t="inlineStr">
        <is>
          <t>Cash</t>
        </is>
      </c>
      <c r="G398" s="4" t="n"/>
      <c r="H398" s="4" t="inlineStr">
        <is>
          <t>Health Care</t>
        </is>
      </c>
      <c r="I398" s="4" t="inlineStr">
        <is>
          <t>Health Care</t>
        </is>
      </c>
      <c r="J398" s="4" t="inlineStr">
        <is>
          <t>Biotech &amp; Pharma</t>
        </is>
      </c>
      <c r="K398" s="4" t="n"/>
      <c r="L398" s="4" t="n"/>
      <c r="M398" s="3" t="n">
        <v>191.2</v>
      </c>
      <c r="N398" s="3" t="n">
        <v>2179.77</v>
      </c>
      <c r="O398" s="4" t="inlineStr">
        <is>
          <t>United States</t>
        </is>
      </c>
      <c r="P398" s="4" t="inlineStr">
        <is>
          <t>United States</t>
        </is>
      </c>
      <c r="Q398" s="4" t="inlineStr">
        <is>
          <t>Friendly</t>
        </is>
      </c>
      <c r="R398" s="3" t="n">
        <v>12.895</v>
      </c>
      <c r="S398" s="3" t="n">
        <v>-993.881</v>
      </c>
      <c r="T398" s="4" t="inlineStr">
        <is>
          <t>Company Takeover, Tender Offer, Squeeze out</t>
        </is>
      </c>
      <c r="U398" s="2" t="inlineStr">
        <is>
          <t>No</t>
        </is>
      </c>
      <c r="V398" s="2" t="inlineStr">
        <is>
          <t>No</t>
        </is>
      </c>
      <c r="W398" s="2" t="inlineStr">
        <is>
          <t>No</t>
        </is>
      </c>
      <c r="X398" s="2" t="inlineStr">
        <is>
          <t>No</t>
        </is>
      </c>
      <c r="Y398" s="2" t="inlineStr">
        <is>
          <t>No</t>
        </is>
      </c>
      <c r="Z398" s="2" t="inlineStr">
        <is>
          <t>Yes</t>
        </is>
      </c>
      <c r="AA398" s="6" t="n">
        <v>3.304957746</v>
      </c>
      <c r="AB398" s="6" t="n">
        <v>1.110421346</v>
      </c>
      <c r="AC398" s="6" t="n">
        <v>3.338410671</v>
      </c>
      <c r="AD398">
        <f t="array" ref="AD398">IF(SUMPRODUCT(--($AM$2:$AM$112=TRIM(LEFT($B398,IFERROR(FIND(" ",$B398)-1,LEN($B398))))))&gt;0,1,0)</f>
        <v/>
      </c>
      <c r="AE398">
        <f t="array" ref="AE398">IF(SUMPRODUCT(--($AO$2:$AO$145=TRIM(LEFT($B398,IFERROR(FIND(" ",$B398)-1,LEN($B398))))))&gt;0,1,0)</f>
        <v/>
      </c>
      <c r="AF398">
        <f t="array" ref="AF398">IF(SUMPRODUCT(--($AQ$2:$AQ$71=TRIM(LEFT($B398,IFERROR(FIND(" ",$B398)-1,LEN($B398))))))&gt;0,1,0)</f>
        <v/>
      </c>
    </row>
    <row r="399" ht="60.75" customHeight="1" thickBot="1">
      <c r="A399" s="13" t="n">
        <v>58</v>
      </c>
      <c r="B399" s="4" t="inlineStr">
        <is>
          <t>CSII US</t>
        </is>
      </c>
      <c r="C399" s="4" t="inlineStr">
        <is>
          <t>ABT US</t>
        </is>
      </c>
      <c r="D399" s="7" t="n">
        <v>44965</v>
      </c>
      <c r="E399" s="3" t="n">
        <v>715.86</v>
      </c>
      <c r="F399" s="4" t="inlineStr">
        <is>
          <t>Cash</t>
        </is>
      </c>
      <c r="G399" s="4" t="n"/>
      <c r="H399" s="4" t="inlineStr">
        <is>
          <t>Health Care</t>
        </is>
      </c>
      <c r="I399" s="4" t="inlineStr">
        <is>
          <t>Health Care</t>
        </is>
      </c>
      <c r="J399" s="4" t="inlineStr">
        <is>
          <t>Medical Equipment &amp; Devices</t>
        </is>
      </c>
      <c r="K399" s="4" t="n"/>
      <c r="L399" s="4" t="n"/>
      <c r="M399" s="3" t="n">
        <v>44.46</v>
      </c>
      <c r="N399" s="3" t="n">
        <v>837.64</v>
      </c>
      <c r="O399" s="4" t="inlineStr">
        <is>
          <t>United States</t>
        </is>
      </c>
      <c r="P399" s="4" t="inlineStr">
        <is>
          <t>United States</t>
        </is>
      </c>
      <c r="Q399" s="4" t="inlineStr">
        <is>
          <t>Friendly</t>
        </is>
      </c>
      <c r="R399" s="3" t="n">
        <v>236.222</v>
      </c>
      <c r="S399" s="3" t="n">
        <v>-16.078</v>
      </c>
      <c r="T399" s="4" t="inlineStr">
        <is>
          <t>Company Takeover</t>
        </is>
      </c>
      <c r="U399" s="2" t="inlineStr">
        <is>
          <t>No</t>
        </is>
      </c>
      <c r="V399" s="2" t="inlineStr">
        <is>
          <t>No</t>
        </is>
      </c>
      <c r="W399" s="2" t="inlineStr">
        <is>
          <t>No</t>
        </is>
      </c>
      <c r="X399" s="2" t="inlineStr">
        <is>
          <t>No</t>
        </is>
      </c>
      <c r="Y399" s="2" t="inlineStr">
        <is>
          <t>No</t>
        </is>
      </c>
      <c r="Z399" s="2" t="inlineStr">
        <is>
          <t>No</t>
        </is>
      </c>
      <c r="AA399" s="6" t="n">
        <v>2.854828096</v>
      </c>
      <c r="AB399" s="6" t="n">
        <v>2.373320342</v>
      </c>
      <c r="AC399" s="6" t="n">
        <v>2.923057408</v>
      </c>
      <c r="AD399">
        <f t="array" ref="AD399">IF(SUMPRODUCT(--($AM$2:$AM$112=TRIM(LEFT($B399,IFERROR(FIND(" ",$B399)-1,LEN($B399))))))&gt;0,1,0)</f>
        <v/>
      </c>
      <c r="AE399">
        <f t="array" ref="AE399">IF(SUMPRODUCT(--($AO$2:$AO$145=TRIM(LEFT($B399,IFERROR(FIND(" ",$B399)-1,LEN($B399))))))&gt;0,1,0)</f>
        <v/>
      </c>
      <c r="AF399">
        <f t="array" ref="AF399">IF(SUMPRODUCT(--($AQ$2:$AQ$71=TRIM(LEFT($B399,IFERROR(FIND(" ",$B399)-1,LEN($B399))))))&gt;0,1,0)</f>
        <v/>
      </c>
    </row>
    <row r="400" ht="45.75" customHeight="1" thickBot="1">
      <c r="A400" s="13" t="n">
        <v>51</v>
      </c>
      <c r="B400" s="4" t="inlineStr">
        <is>
          <t>SBB CN</t>
        </is>
      </c>
      <c r="C400" s="4" t="inlineStr">
        <is>
          <t>BTO CN</t>
        </is>
      </c>
      <c r="D400" s="7" t="n">
        <v>44970</v>
      </c>
      <c r="E400" s="3" t="n">
        <v>810.03</v>
      </c>
      <c r="F400" s="4" t="inlineStr">
        <is>
          <t>Stock</t>
        </is>
      </c>
      <c r="G400" s="4" t="n"/>
      <c r="H400" s="4" t="inlineStr">
        <is>
          <t>Materials</t>
        </is>
      </c>
      <c r="I400" s="4" t="inlineStr">
        <is>
          <t>Materials</t>
        </is>
      </c>
      <c r="J400" s="4" t="inlineStr">
        <is>
          <t>Metals &amp; Mining</t>
        </is>
      </c>
      <c r="K400" s="4" t="n"/>
      <c r="L400" s="4" t="n"/>
      <c r="M400" s="3" t="n">
        <v>47.57</v>
      </c>
      <c r="N400" s="3" t="n">
        <v>860.6</v>
      </c>
      <c r="O400" s="4" t="inlineStr">
        <is>
          <t>Canada</t>
        </is>
      </c>
      <c r="P400" s="4" t="inlineStr">
        <is>
          <t>Canada</t>
        </is>
      </c>
      <c r="Q400" s="4" t="inlineStr">
        <is>
          <t>Friendly</t>
        </is>
      </c>
      <c r="R400" s="2" t="n"/>
      <c r="S400" s="2" t="n"/>
      <c r="T400" s="4" t="inlineStr">
        <is>
          <t>Company Takeover</t>
        </is>
      </c>
      <c r="U400" s="2" t="inlineStr">
        <is>
          <t>No</t>
        </is>
      </c>
      <c r="V400" s="2" t="inlineStr">
        <is>
          <t>No</t>
        </is>
      </c>
      <c r="W400" s="2" t="inlineStr">
        <is>
          <t>No</t>
        </is>
      </c>
      <c r="X400" s="2" t="inlineStr">
        <is>
          <t>No</t>
        </is>
      </c>
      <c r="Y400" s="2" t="inlineStr">
        <is>
          <t>No</t>
        </is>
      </c>
      <c r="Z400" s="2" t="inlineStr">
        <is>
          <t>No</t>
        </is>
      </c>
      <c r="AA400" s="6" t="n">
        <v>2.908501104</v>
      </c>
      <c r="AB400" s="2" t="n"/>
      <c r="AC400" s="6" t="n">
        <v>2.934801342</v>
      </c>
      <c r="AD400">
        <f t="array" ref="AD400">IF(SUMPRODUCT(--($AM$2:$AM$112=TRIM(LEFT($B400,IFERROR(FIND(" ",$B400)-1,LEN($B400))))))&gt;0,1,0)</f>
        <v/>
      </c>
      <c r="AE400">
        <f t="array" ref="AE400">IF(SUMPRODUCT(--($AO$2:$AO$145=TRIM(LEFT($B400,IFERROR(FIND(" ",$B400)-1,LEN($B400))))))&gt;0,1,0)</f>
        <v/>
      </c>
      <c r="AF400">
        <f t="array" ref="AF400">IF(SUMPRODUCT(--($AQ$2:$AQ$71=TRIM(LEFT($B400,IFERROR(FIND(" ",$B400)-1,LEN($B400))))))&gt;0,1,0)</f>
        <v/>
      </c>
    </row>
    <row r="401" ht="135.75" customHeight="1" thickBot="1">
      <c r="A401" s="13" t="n">
        <v>58</v>
      </c>
      <c r="B401" s="4" t="inlineStr">
        <is>
          <t>ATCX US</t>
        </is>
      </c>
      <c r="C401" s="4" t="inlineStr">
        <is>
          <t>395737Z US</t>
        </is>
      </c>
      <c r="D401" s="7" t="n">
        <v>44957</v>
      </c>
      <c r="E401" s="3" t="n">
        <v>998.96</v>
      </c>
      <c r="F401" s="4" t="inlineStr">
        <is>
          <t>Cash</t>
        </is>
      </c>
      <c r="G401" s="3" t="n">
        <v>14.02</v>
      </c>
      <c r="H401" s="4" t="inlineStr">
        <is>
          <t>Industrials</t>
        </is>
      </c>
      <c r="I401" s="4" t="inlineStr">
        <is>
          <t>Industrial Services</t>
        </is>
      </c>
      <c r="J401" s="4" t="inlineStr">
        <is>
          <t>Engineering &amp; Construction</t>
        </is>
      </c>
      <c r="K401" s="4" t="n"/>
      <c r="L401" s="4" t="n"/>
      <c r="M401" s="3" t="n">
        <v>115.4</v>
      </c>
      <c r="N401" s="3" t="n">
        <v>462.08</v>
      </c>
      <c r="O401" s="4" t="inlineStr">
        <is>
          <t>United States</t>
        </is>
      </c>
      <c r="P401" s="4" t="inlineStr">
        <is>
          <t>United States</t>
        </is>
      </c>
      <c r="Q401" s="4" t="inlineStr">
        <is>
          <t>Friendly</t>
        </is>
      </c>
      <c r="R401" s="3" t="n">
        <v>0.092491</v>
      </c>
      <c r="S401" s="2" t="n"/>
      <c r="T401" s="4" t="inlineStr">
        <is>
          <t>Company Takeover, Going Private, Private Equity, PE Buyout</t>
        </is>
      </c>
      <c r="U401" s="2" t="inlineStr">
        <is>
          <t>No</t>
        </is>
      </c>
      <c r="V401" s="2" t="inlineStr">
        <is>
          <t>No</t>
        </is>
      </c>
      <c r="W401" s="2" t="inlineStr">
        <is>
          <t>No</t>
        </is>
      </c>
      <c r="X401" s="2" t="inlineStr">
        <is>
          <t>Yes</t>
        </is>
      </c>
      <c r="Y401" s="2" t="inlineStr">
        <is>
          <t>Yes</t>
        </is>
      </c>
      <c r="Z401" s="2" t="inlineStr">
        <is>
          <t>No</t>
        </is>
      </c>
      <c r="AA401" s="6" t="n">
        <v>2.999548099</v>
      </c>
      <c r="AB401" s="6" t="n">
        <v>-1.033900525</v>
      </c>
      <c r="AC401" s="6" t="n">
        <v>2.664717172</v>
      </c>
      <c r="AD401">
        <f t="array" ref="AD401">IF(SUMPRODUCT(--($AM$2:$AM$112=TRIM(LEFT($B401,IFERROR(FIND(" ",$B401)-1,LEN($B401))))))&gt;0,1,0)</f>
        <v/>
      </c>
      <c r="AE401">
        <f t="array" ref="AE401">IF(SUMPRODUCT(--($AO$2:$AO$145=TRIM(LEFT($B401,IFERROR(FIND(" ",$B401)-1,LEN($B401))))))&gt;0,1,0)</f>
        <v/>
      </c>
      <c r="AF401">
        <f t="array" ref="AF401">IF(SUMPRODUCT(--($AQ$2:$AQ$71=TRIM(LEFT($B401,IFERROR(FIND(" ",$B401)-1,LEN($B401))))))&gt;0,1,0)</f>
        <v/>
      </c>
    </row>
    <row r="402" ht="165.75" customHeight="1" thickBot="1">
      <c r="A402" s="13" t="n">
        <v>59</v>
      </c>
      <c r="B402" s="4" t="inlineStr">
        <is>
          <t>MAGT CN</t>
        </is>
      </c>
      <c r="C402" s="4" t="inlineStr">
        <is>
          <t>129626Z US</t>
        </is>
      </c>
      <c r="D402" s="7" t="n">
        <v>44946</v>
      </c>
      <c r="E402" s="3" t="n">
        <v>1242.47</v>
      </c>
      <c r="F402" s="4" t="inlineStr">
        <is>
          <t>Cash</t>
        </is>
      </c>
      <c r="G402" s="3" t="n">
        <v>238.7</v>
      </c>
      <c r="H402" s="4" t="inlineStr">
        <is>
          <t>Technology</t>
        </is>
      </c>
      <c r="I402" s="4" t="inlineStr">
        <is>
          <t>Software &amp; Tech Services</t>
        </is>
      </c>
      <c r="J402" s="4" t="inlineStr">
        <is>
          <t>Software</t>
        </is>
      </c>
      <c r="K402" s="4" t="n"/>
      <c r="L402" s="4" t="n"/>
      <c r="M402" s="3" t="n">
        <v>14.51</v>
      </c>
      <c r="N402" s="3" t="n">
        <v>1242.47</v>
      </c>
      <c r="O402" s="4" t="inlineStr">
        <is>
          <t>Canada</t>
        </is>
      </c>
      <c r="P402" s="4" t="inlineStr">
        <is>
          <t>United States</t>
        </is>
      </c>
      <c r="Q402" s="4" t="inlineStr">
        <is>
          <t>Friendly</t>
        </is>
      </c>
      <c r="R402" s="3" t="n">
        <v>98.934</v>
      </c>
      <c r="S402" s="3" t="n">
        <v>5.60273</v>
      </c>
      <c r="T402" s="4" t="inlineStr">
        <is>
          <t>Cross Border, PE Buyout, Company Takeover, Going Private, Private Equity</t>
        </is>
      </c>
      <c r="U402" s="2" t="inlineStr">
        <is>
          <t>No</t>
        </is>
      </c>
      <c r="V402" s="2" t="inlineStr">
        <is>
          <t>No</t>
        </is>
      </c>
      <c r="W402" s="2" t="inlineStr">
        <is>
          <t>Yes</t>
        </is>
      </c>
      <c r="X402" s="2" t="inlineStr">
        <is>
          <t>Yes</t>
        </is>
      </c>
      <c r="Y402" s="2" t="inlineStr">
        <is>
          <t>Yes</t>
        </is>
      </c>
      <c r="Z402" s="2" t="inlineStr">
        <is>
          <t>No</t>
        </is>
      </c>
      <c r="AA402" s="6" t="n">
        <v>3.094285911</v>
      </c>
      <c r="AB402" s="6" t="n">
        <v>1.995345568</v>
      </c>
      <c r="AC402" s="6" t="n">
        <v>3.094285911</v>
      </c>
      <c r="AD402">
        <f t="array" ref="AD402">IF(SUMPRODUCT(--($AM$2:$AM$112=TRIM(LEFT($B402,IFERROR(FIND(" ",$B402)-1,LEN($B402))))))&gt;0,1,0)</f>
        <v/>
      </c>
      <c r="AE402">
        <f t="array" ref="AE402">IF(SUMPRODUCT(--($AO$2:$AO$145=TRIM(LEFT($B402,IFERROR(FIND(" ",$B402)-1,LEN($B402))))))&gt;0,1,0)</f>
        <v/>
      </c>
      <c r="AF402">
        <f t="array" ref="AF402">IF(SUMPRODUCT(--($AQ$2:$AQ$71=TRIM(LEFT($B402,IFERROR(FIND(" ",$B402)-1,LEN($B402))))))&gt;0,1,0)</f>
        <v/>
      </c>
    </row>
    <row r="403" ht="90.75" customHeight="1" thickBot="1">
      <c r="A403" s="13" t="n">
        <v>538</v>
      </c>
      <c r="B403" s="4" t="inlineStr">
        <is>
          <t>SJR/B CN</t>
        </is>
      </c>
      <c r="C403" s="4" t="inlineStr">
        <is>
          <t>RCI/B CN</t>
        </is>
      </c>
      <c r="D403" s="7" t="n">
        <v>44270</v>
      </c>
      <c r="E403" s="3" t="n">
        <v>20019.9</v>
      </c>
      <c r="F403" s="4" t="inlineStr">
        <is>
          <t>Cash</t>
        </is>
      </c>
      <c r="G403" s="3" t="n">
        <v>10.31</v>
      </c>
      <c r="H403" s="4" t="inlineStr">
        <is>
          <t>Communications</t>
        </is>
      </c>
      <c r="I403" s="4" t="inlineStr">
        <is>
          <t>Media</t>
        </is>
      </c>
      <c r="J403" s="4" t="inlineStr">
        <is>
          <t>Cable &amp; Satellite</t>
        </is>
      </c>
      <c r="K403" s="4" t="n"/>
      <c r="L403" s="4" t="n"/>
      <c r="M403" s="4" t="n"/>
      <c r="N403" s="3" t="n">
        <v>15619.37</v>
      </c>
      <c r="O403" s="4" t="inlineStr">
        <is>
          <t>Canada</t>
        </is>
      </c>
      <c r="P403" s="4" t="inlineStr">
        <is>
          <t>Canada</t>
        </is>
      </c>
      <c r="Q403" s="4" t="inlineStr">
        <is>
          <t>Friendly</t>
        </is>
      </c>
      <c r="R403" s="3" t="n">
        <v>4283.87</v>
      </c>
      <c r="S403" s="3" t="n">
        <v>23.5641</v>
      </c>
      <c r="T403" s="4" t="inlineStr">
        <is>
          <t>Company Takeover, Competing Bid</t>
        </is>
      </c>
      <c r="U403" s="2" t="inlineStr">
        <is>
          <t>No</t>
        </is>
      </c>
      <c r="V403" s="2" t="inlineStr">
        <is>
          <t>Yes</t>
        </is>
      </c>
      <c r="W403" s="2" t="inlineStr">
        <is>
          <t>No</t>
        </is>
      </c>
      <c r="X403" s="2" t="inlineStr">
        <is>
          <t>No</t>
        </is>
      </c>
      <c r="Y403" s="2" t="inlineStr">
        <is>
          <t>No</t>
        </is>
      </c>
      <c r="Z403" s="2" t="inlineStr">
        <is>
          <t>No</t>
        </is>
      </c>
      <c r="AA403" s="6" t="n">
        <v>4.301461904</v>
      </c>
      <c r="AB403" s="6" t="n">
        <v>3.631836283</v>
      </c>
      <c r="AC403" s="6" t="n">
        <v>4.193663513</v>
      </c>
      <c r="AD403">
        <f t="array" ref="AD403">IF(SUMPRODUCT(--($AM$2:$AM$112=TRIM(LEFT($B403,IFERROR(FIND(" ",$B403)-1,LEN($B403))))))&gt;0,1,0)</f>
        <v/>
      </c>
      <c r="AE403">
        <f t="array" ref="AE403">IF(SUMPRODUCT(--($AO$2:$AO$145=TRIM(LEFT($B403,IFERROR(FIND(" ",$B403)-1,LEN($B403))))))&gt;0,1,0)</f>
        <v/>
      </c>
      <c r="AF403">
        <f t="array" ref="AF403">IF(SUMPRODUCT(--($AQ$2:$AQ$71=TRIM(LEFT($B403,IFERROR(FIND(" ",$B403)-1,LEN($B403))))))&gt;0,1,0)</f>
        <v/>
      </c>
    </row>
    <row r="404" ht="75.75" customHeight="1" thickBot="1">
      <c r="A404" s="13" t="n">
        <v>108</v>
      </c>
      <c r="B404" s="4" t="inlineStr">
        <is>
          <t>YRI CN</t>
        </is>
      </c>
      <c r="C404" s="2" t="n"/>
      <c r="D404" s="7" t="n">
        <v>44869</v>
      </c>
      <c r="E404" s="3" t="n">
        <v>5219.16</v>
      </c>
      <c r="F404" s="4" t="inlineStr">
        <is>
          <t>Cash and Stock</t>
        </is>
      </c>
      <c r="G404" s="3" t="n">
        <v>5.82</v>
      </c>
      <c r="H404" s="4" t="inlineStr">
        <is>
          <t>Materials</t>
        </is>
      </c>
      <c r="I404" s="4" t="inlineStr">
        <is>
          <t>Materials</t>
        </is>
      </c>
      <c r="J404" s="4" t="inlineStr">
        <is>
          <t>Metals &amp; Mining</t>
        </is>
      </c>
      <c r="K404" s="3" t="n">
        <v>375</v>
      </c>
      <c r="L404" s="3" t="n">
        <v>250</v>
      </c>
      <c r="M404" s="3" t="n">
        <v>15.29</v>
      </c>
      <c r="N404" s="3" t="n">
        <v>4984.46</v>
      </c>
      <c r="O404" s="4" t="inlineStr">
        <is>
          <t>Canada</t>
        </is>
      </c>
      <c r="P404" s="4" t="inlineStr">
        <is>
          <t>Canada</t>
        </is>
      </c>
      <c r="Q404" s="4" t="inlineStr">
        <is>
          <t>Unsolicited</t>
        </is>
      </c>
      <c r="R404" s="3" t="n">
        <v>1807.1</v>
      </c>
      <c r="S404" s="3" t="n">
        <v>-97.3383</v>
      </c>
      <c r="T404" s="4" t="inlineStr">
        <is>
          <t>Competing Bid, Company Takeover</t>
        </is>
      </c>
      <c r="U404" s="2" t="inlineStr">
        <is>
          <t>No</t>
        </is>
      </c>
      <c r="V404" s="2" t="inlineStr">
        <is>
          <t>Yes</t>
        </is>
      </c>
      <c r="W404" s="2" t="inlineStr">
        <is>
          <t>No</t>
        </is>
      </c>
      <c r="X404" s="2" t="inlineStr">
        <is>
          <t>No</t>
        </is>
      </c>
      <c r="Y404" s="2" t="inlineStr">
        <is>
          <t>No</t>
        </is>
      </c>
      <c r="Z404" s="2" t="inlineStr">
        <is>
          <t>No</t>
        </is>
      </c>
      <c r="AA404" s="6" t="n">
        <v>3.717600611</v>
      </c>
      <c r="AB404" s="6" t="n">
        <v>3.256982186</v>
      </c>
      <c r="AC404" s="6" t="n">
        <v>3.697618115</v>
      </c>
      <c r="AD404">
        <f t="array" ref="AD404">IF(SUMPRODUCT(--($AM$2:$AM$112=TRIM(LEFT($B404,IFERROR(FIND(" ",$B404)-1,LEN($B404))))))&gt;0,1,0)</f>
        <v/>
      </c>
      <c r="AE404">
        <f t="array" ref="AE404">IF(SUMPRODUCT(--($AO$2:$AO$145=TRIM(LEFT($B404,IFERROR(FIND(" ",$B404)-1,LEN($B404))))))&gt;0,1,0)</f>
        <v/>
      </c>
      <c r="AF404">
        <f t="array" ref="AF404">IF(SUMPRODUCT(--($AQ$2:$AQ$71=TRIM(LEFT($B404,IFERROR(FIND(" ",$B404)-1,LEN($B404))))))&gt;0,1,0)</f>
        <v/>
      </c>
    </row>
    <row r="405" ht="135.75" customHeight="1" thickBot="1">
      <c r="A405" s="13" t="n">
        <v>60</v>
      </c>
      <c r="B405" s="4" t="inlineStr">
        <is>
          <t>DCT US</t>
        </is>
      </c>
      <c r="C405" s="4" t="inlineStr">
        <is>
          <t>389272Z US</t>
        </is>
      </c>
      <c r="D405" s="7" t="n">
        <v>44935</v>
      </c>
      <c r="E405" s="3" t="n">
        <v>2282.32</v>
      </c>
      <c r="F405" s="4" t="inlineStr">
        <is>
          <t>Cash</t>
        </is>
      </c>
      <c r="G405" s="3" t="n">
        <v>279.22</v>
      </c>
      <c r="H405" s="4" t="inlineStr">
        <is>
          <t>Technology</t>
        </is>
      </c>
      <c r="I405" s="4" t="inlineStr">
        <is>
          <t>Software &amp; Tech Services</t>
        </is>
      </c>
      <c r="J405" s="4" t="inlineStr">
        <is>
          <t>Software</t>
        </is>
      </c>
      <c r="K405" s="4" t="n"/>
      <c r="L405" s="4" t="n"/>
      <c r="M405" s="3" t="n">
        <v>61.25</v>
      </c>
      <c r="N405" s="3" t="n">
        <v>2524.88</v>
      </c>
      <c r="O405" s="4" t="inlineStr">
        <is>
          <t>United States</t>
        </is>
      </c>
      <c r="P405" s="4" t="inlineStr">
        <is>
          <t>United States</t>
        </is>
      </c>
      <c r="Q405" s="4" t="inlineStr">
        <is>
          <t>Friendly</t>
        </is>
      </c>
      <c r="R405" s="3" t="n">
        <v>302.917</v>
      </c>
      <c r="S405" s="3" t="n">
        <v>-4.45334</v>
      </c>
      <c r="T405" s="4" t="inlineStr">
        <is>
          <t>Company Takeover, Going Private, Private Equity, PE Buyout</t>
        </is>
      </c>
      <c r="U405" s="2" t="inlineStr">
        <is>
          <t>No</t>
        </is>
      </c>
      <c r="V405" s="2" t="inlineStr">
        <is>
          <t>No</t>
        </is>
      </c>
      <c r="W405" s="2" t="inlineStr">
        <is>
          <t>No</t>
        </is>
      </c>
      <c r="X405" s="2" t="inlineStr">
        <is>
          <t>Yes</t>
        </is>
      </c>
      <c r="Y405" s="2" t="inlineStr">
        <is>
          <t>Yes</t>
        </is>
      </c>
      <c r="Z405" s="2" t="inlineStr">
        <is>
          <t>No</t>
        </is>
      </c>
      <c r="AA405" s="6" t="n">
        <v>3.358376536</v>
      </c>
      <c r="AB405" s="6" t="n">
        <v>2.481323647</v>
      </c>
      <c r="AC405" s="6" t="n">
        <v>3.402240742</v>
      </c>
      <c r="AD405">
        <f t="array" ref="AD405">IF(SUMPRODUCT(--($AM$2:$AM$112=TRIM(LEFT($B405,IFERROR(FIND(" ",$B405)-1,LEN($B405))))))&gt;0,1,0)</f>
        <v/>
      </c>
      <c r="AE405">
        <f t="array" ref="AE405">IF(SUMPRODUCT(--($AO$2:$AO$145=TRIM(LEFT($B405,IFERROR(FIND(" ",$B405)-1,LEN($B405))))))&gt;0,1,0)</f>
        <v/>
      </c>
      <c r="AF405">
        <f t="array" ref="AF405">IF(SUMPRODUCT(--($AQ$2:$AQ$71=TRIM(LEFT($B405,IFERROR(FIND(" ",$B405)-1,LEN($B405))))))&gt;0,1,0)</f>
        <v/>
      </c>
    </row>
    <row r="406" ht="150.75" customHeight="1" thickBot="1">
      <c r="A406" s="13" t="n">
        <v>167</v>
      </c>
      <c r="B406" s="4" t="inlineStr">
        <is>
          <t>2238067D US</t>
        </is>
      </c>
      <c r="C406" s="4" t="inlineStr">
        <is>
          <t>SAFE US</t>
        </is>
      </c>
      <c r="D406" s="7" t="n">
        <v>44784</v>
      </c>
      <c r="E406" s="3" t="n">
        <v>2158.96</v>
      </c>
      <c r="F406" s="4" t="inlineStr">
        <is>
          <t>Stock</t>
        </is>
      </c>
      <c r="G406" s="3" t="n">
        <v>19.43</v>
      </c>
      <c r="H406" s="4" t="inlineStr">
        <is>
          <t>Real Estate</t>
        </is>
      </c>
      <c r="I406" s="4" t="inlineStr">
        <is>
          <t>Real Estate</t>
        </is>
      </c>
      <c r="J406" s="4" t="inlineStr">
        <is>
          <t>REIT</t>
        </is>
      </c>
      <c r="K406" s="4" t="n"/>
      <c r="L406" s="4" t="n"/>
      <c r="M406" s="3" t="n">
        <v>139.4</v>
      </c>
      <c r="N406" s="3" t="n">
        <v>2158.96</v>
      </c>
      <c r="O406" s="4" t="inlineStr">
        <is>
          <t>United States</t>
        </is>
      </c>
      <c r="P406" s="4" t="inlineStr">
        <is>
          <t>United States</t>
        </is>
      </c>
      <c r="Q406" s="4" t="inlineStr">
        <is>
          <t>Friendly</t>
        </is>
      </c>
      <c r="R406" s="3" t="n">
        <v>91.872</v>
      </c>
      <c r="S406" s="3" t="n">
        <v>77.239</v>
      </c>
      <c r="T406" s="4" t="inlineStr">
        <is>
          <t>Company Takeover, Additional Stake Purchase, Reverse Merger</t>
        </is>
      </c>
      <c r="U406" s="2" t="inlineStr">
        <is>
          <t>Yes</t>
        </is>
      </c>
      <c r="V406" s="2" t="inlineStr">
        <is>
          <t>No</t>
        </is>
      </c>
      <c r="W406" s="2" t="inlineStr">
        <is>
          <t>No</t>
        </is>
      </c>
      <c r="X406" s="2" t="inlineStr">
        <is>
          <t>No</t>
        </is>
      </c>
      <c r="Y406" s="2" t="inlineStr">
        <is>
          <t>No</t>
        </is>
      </c>
      <c r="Z406" s="2" t="inlineStr">
        <is>
          <t>No</t>
        </is>
      </c>
      <c r="AA406" s="6" t="n">
        <v>3.334244596</v>
      </c>
      <c r="AB406" s="6" t="n">
        <v>1.963183171</v>
      </c>
      <c r="AC406" s="6" t="n">
        <v>3.334244596</v>
      </c>
      <c r="AD406">
        <f t="array" ref="AD406">IF(SUMPRODUCT(--($AM$2:$AM$112=TRIM(LEFT($B406,IFERROR(FIND(" ",$B406)-1,LEN($B406))))))&gt;0,1,0)</f>
        <v/>
      </c>
      <c r="AE406">
        <f t="array" ref="AE406">IF(SUMPRODUCT(--($AO$2:$AO$145=TRIM(LEFT($B406,IFERROR(FIND(" ",$B406)-1,LEN($B406))))))&gt;0,1,0)</f>
        <v/>
      </c>
      <c r="AF406">
        <f t="array" ref="AF406">IF(SUMPRODUCT(--($AQ$2:$AQ$71=TRIM(LEFT($B406,IFERROR(FIND(" ",$B406)-1,LEN($B406))))))&gt;0,1,0)</f>
        <v/>
      </c>
    </row>
    <row r="407" ht="60.75" customHeight="1" thickBot="1">
      <c r="A407" s="13" t="n">
        <v>148</v>
      </c>
      <c r="B407" s="4" t="inlineStr">
        <is>
          <t>SGFY US</t>
        </is>
      </c>
      <c r="C407" s="4" t="inlineStr">
        <is>
          <t>CVS US</t>
        </is>
      </c>
      <c r="D407" s="7" t="n">
        <v>44809</v>
      </c>
      <c r="E407" s="3" t="n">
        <v>7076.94</v>
      </c>
      <c r="F407" s="4" t="inlineStr">
        <is>
          <t>Cash</t>
        </is>
      </c>
      <c r="G407" s="4" t="n"/>
      <c r="H407" s="4" t="inlineStr">
        <is>
          <t>Health Care</t>
        </is>
      </c>
      <c r="I407" s="4" t="inlineStr">
        <is>
          <t>Health Care</t>
        </is>
      </c>
      <c r="J407" s="4" t="inlineStr">
        <is>
          <t>Health Care Facilities &amp; Svcs</t>
        </is>
      </c>
      <c r="K407" s="4" t="n"/>
      <c r="L407" s="4" t="n"/>
      <c r="M407" s="3" t="n">
        <v>21.18</v>
      </c>
      <c r="N407" s="3" t="n">
        <v>7150.44</v>
      </c>
      <c r="O407" s="4" t="inlineStr">
        <is>
          <t>United States</t>
        </is>
      </c>
      <c r="P407" s="4" t="inlineStr">
        <is>
          <t>United States</t>
        </is>
      </c>
      <c r="Q407" s="4" t="inlineStr">
        <is>
          <t>Friendly</t>
        </is>
      </c>
      <c r="R407" s="3" t="n">
        <v>805.5</v>
      </c>
      <c r="S407" s="3" t="n">
        <v>9.906890000000001</v>
      </c>
      <c r="T407" s="4" t="inlineStr">
        <is>
          <t>Company Takeover</t>
        </is>
      </c>
      <c r="U407" s="2" t="inlineStr">
        <is>
          <t>No</t>
        </is>
      </c>
      <c r="V407" s="2" t="inlineStr">
        <is>
          <t>No</t>
        </is>
      </c>
      <c r="W407" s="2" t="inlineStr">
        <is>
          <t>No</t>
        </is>
      </c>
      <c r="X407" s="2" t="inlineStr">
        <is>
          <t>No</t>
        </is>
      </c>
      <c r="Y407" s="2" t="inlineStr">
        <is>
          <t>No</t>
        </is>
      </c>
      <c r="Z407" s="2" t="inlineStr">
        <is>
          <t>No</t>
        </is>
      </c>
      <c r="AA407" s="6" t="n">
        <v>3.849845514</v>
      </c>
      <c r="AB407" s="6" t="n">
        <v>2.906065545</v>
      </c>
      <c r="AC407" s="6" t="n">
        <v>3.854332767</v>
      </c>
      <c r="AD407">
        <f t="array" ref="AD407">IF(SUMPRODUCT(--($AM$2:$AM$112=TRIM(LEFT($B407,IFERROR(FIND(" ",$B407)-1,LEN($B407))))))&gt;0,1,0)</f>
        <v/>
      </c>
      <c r="AE407">
        <f t="array" ref="AE407">IF(SUMPRODUCT(--($AO$2:$AO$145=TRIM(LEFT($B407,IFERROR(FIND(" ",$B407)-1,LEN($B407))))))&gt;0,1,0)</f>
        <v/>
      </c>
      <c r="AF407">
        <f t="array" ref="AF407">IF(SUMPRODUCT(--($AQ$2:$AQ$71=TRIM(LEFT($B407,IFERROR(FIND(" ",$B407)-1,LEN($B407))))))&gt;0,1,0)</f>
        <v/>
      </c>
    </row>
    <row r="408" ht="45.75" customHeight="1" thickBot="1">
      <c r="A408" s="13" t="n">
        <v>109</v>
      </c>
      <c r="B408" s="4" t="inlineStr">
        <is>
          <t>AIMC US</t>
        </is>
      </c>
      <c r="C408" s="4" t="inlineStr">
        <is>
          <t>RRX US</t>
        </is>
      </c>
      <c r="D408" s="7" t="n">
        <v>44861</v>
      </c>
      <c r="E408" s="3" t="n">
        <v>4973.12</v>
      </c>
      <c r="F408" s="4" t="inlineStr">
        <is>
          <t>Cash</t>
        </is>
      </c>
      <c r="G408" s="3" t="n">
        <v>25.4</v>
      </c>
      <c r="H408" s="4" t="inlineStr">
        <is>
          <t>Industrials</t>
        </is>
      </c>
      <c r="I408" s="4" t="inlineStr">
        <is>
          <t>Industrial Products</t>
        </is>
      </c>
      <c r="J408" s="4" t="inlineStr">
        <is>
          <t>Machinery</t>
        </is>
      </c>
      <c r="K408" s="3" t="n">
        <v>200</v>
      </c>
      <c r="L408" s="3" t="n">
        <v>100</v>
      </c>
      <c r="M408" s="3" t="n">
        <v>69.73999999999999</v>
      </c>
      <c r="N408" s="3" t="n">
        <v>4034.12</v>
      </c>
      <c r="O408" s="4" t="inlineStr">
        <is>
          <t>United States</t>
        </is>
      </c>
      <c r="P408" s="4" t="inlineStr">
        <is>
          <t>United States</t>
        </is>
      </c>
      <c r="Q408" s="4" t="inlineStr">
        <is>
          <t>Friendly</t>
        </is>
      </c>
      <c r="R408" s="3" t="n">
        <v>1945.5</v>
      </c>
      <c r="S408" s="3" t="n">
        <v>12.3567</v>
      </c>
      <c r="T408" s="4" t="inlineStr">
        <is>
          <t>Company Takeover</t>
        </is>
      </c>
      <c r="U408" s="2" t="inlineStr">
        <is>
          <t>No</t>
        </is>
      </c>
      <c r="V408" s="2" t="inlineStr">
        <is>
          <t>No</t>
        </is>
      </c>
      <c r="W408" s="2" t="inlineStr">
        <is>
          <t>No</t>
        </is>
      </c>
      <c r="X408" s="2" t="inlineStr">
        <is>
          <t>No</t>
        </is>
      </c>
      <c r="Y408" s="2" t="inlineStr">
        <is>
          <t>No</t>
        </is>
      </c>
      <c r="Z408" s="2" t="inlineStr">
        <is>
          <t>No</t>
        </is>
      </c>
      <c r="AA408" s="6" t="n">
        <v>3.696628939</v>
      </c>
      <c r="AB408" s="6" t="n">
        <v>3.289031235</v>
      </c>
      <c r="AC408" s="6" t="n">
        <v>3.605748813</v>
      </c>
      <c r="AD408">
        <f t="array" ref="AD408">IF(SUMPRODUCT(--($AM$2:$AM$112=TRIM(LEFT($B408,IFERROR(FIND(" ",$B408)-1,LEN($B408))))))&gt;0,1,0)</f>
        <v/>
      </c>
      <c r="AE408">
        <f t="array" ref="AE408">IF(SUMPRODUCT(--($AO$2:$AO$145=TRIM(LEFT($B408,IFERROR(FIND(" ",$B408)-1,LEN($B408))))))&gt;0,1,0)</f>
        <v/>
      </c>
      <c r="AF408">
        <f t="array" ref="AF408">IF(SUMPRODUCT(--($AQ$2:$AQ$71=TRIM(LEFT($B408,IFERROR(FIND(" ",$B408)-1,LEN($B408))))))&gt;0,1,0)</f>
        <v/>
      </c>
    </row>
    <row r="409" ht="180.75" customHeight="1" thickBot="1">
      <c r="A409" s="13" t="n">
        <v>106</v>
      </c>
      <c r="B409" s="4" t="inlineStr">
        <is>
          <t>ATCO US</t>
        </is>
      </c>
      <c r="C409" s="2" t="n"/>
      <c r="D409" s="7" t="n">
        <v>44866</v>
      </c>
      <c r="E409" s="3" t="n">
        <v>1395.01</v>
      </c>
      <c r="F409" s="4" t="inlineStr">
        <is>
          <t>Cash</t>
        </is>
      </c>
      <c r="G409" s="3" t="n">
        <v>3.31</v>
      </c>
      <c r="H409" s="4" t="inlineStr">
        <is>
          <t>Industrials</t>
        </is>
      </c>
      <c r="I409" s="4" t="inlineStr">
        <is>
          <t>Industrial Services</t>
        </is>
      </c>
      <c r="J409" s="4" t="inlineStr">
        <is>
          <t>Transportation &amp; Logistics</t>
        </is>
      </c>
      <c r="K409" s="4" t="n"/>
      <c r="L409" s="4" t="n"/>
      <c r="M409" s="3" t="n">
        <v>5.51</v>
      </c>
      <c r="N409" s="3" t="n">
        <v>1395.01</v>
      </c>
      <c r="O409" s="4" t="inlineStr">
        <is>
          <t>Canada</t>
        </is>
      </c>
      <c r="P409" s="4" t="inlineStr">
        <is>
          <t>Canada</t>
        </is>
      </c>
      <c r="Q409" s="4" t="inlineStr">
        <is>
          <t>Friendly</t>
        </is>
      </c>
      <c r="R409" s="3" t="n">
        <v>2300.1</v>
      </c>
      <c r="S409" s="3" t="n">
        <v>54.1063</v>
      </c>
      <c r="T409" s="4" t="inlineStr">
        <is>
          <t>Company Takeover, Management Buyout, Additional Stake Purchase, Going Private</t>
        </is>
      </c>
      <c r="U409" s="2" t="inlineStr">
        <is>
          <t>Yes</t>
        </is>
      </c>
      <c r="V409" s="2" t="inlineStr">
        <is>
          <t>No</t>
        </is>
      </c>
      <c r="W409" s="2" t="inlineStr">
        <is>
          <t>No</t>
        </is>
      </c>
      <c r="X409" s="2" t="inlineStr">
        <is>
          <t>Yes</t>
        </is>
      </c>
      <c r="Y409" s="2" t="inlineStr">
        <is>
          <t>No</t>
        </is>
      </c>
      <c r="Z409" s="2" t="inlineStr">
        <is>
          <t>No</t>
        </is>
      </c>
      <c r="AA409" s="6" t="n">
        <v>3.144577321</v>
      </c>
      <c r="AB409" s="6" t="n">
        <v>3.361746718</v>
      </c>
      <c r="AC409" s="6" t="n">
        <v>3.144577321</v>
      </c>
      <c r="AD409">
        <f t="array" ref="AD409">IF(SUMPRODUCT(--($AM$2:$AM$112=TRIM(LEFT($B409,IFERROR(FIND(" ",$B409)-1,LEN($B409))))))&gt;0,1,0)</f>
        <v/>
      </c>
      <c r="AE409">
        <f t="array" ref="AE409">IF(SUMPRODUCT(--($AO$2:$AO$145=TRIM(LEFT($B409,IFERROR(FIND(" ",$B409)-1,LEN($B409))))))&gt;0,1,0)</f>
        <v/>
      </c>
      <c r="AF409">
        <f t="array" ref="AF409">IF(SUMPRODUCT(--($AQ$2:$AQ$71=TRIM(LEFT($B409,IFERROR(FIND(" ",$B409)-1,LEN($B409))))))&gt;0,1,0)</f>
        <v/>
      </c>
    </row>
    <row r="410" ht="45.75" customHeight="1" thickBot="1">
      <c r="A410" s="13" t="n">
        <v>171</v>
      </c>
      <c r="B410" s="4" t="inlineStr">
        <is>
          <t>EVOP US</t>
        </is>
      </c>
      <c r="C410" s="4" t="inlineStr">
        <is>
          <t>GPN US</t>
        </is>
      </c>
      <c r="D410" s="7" t="n">
        <v>44774</v>
      </c>
      <c r="E410" s="3" t="n">
        <v>1830.71</v>
      </c>
      <c r="F410" s="4" t="inlineStr">
        <is>
          <t>Cash</t>
        </is>
      </c>
      <c r="G410" s="3" t="n">
        <v>10.56</v>
      </c>
      <c r="H410" s="4" t="inlineStr">
        <is>
          <t>Financials</t>
        </is>
      </c>
      <c r="I410" s="4" t="inlineStr">
        <is>
          <t>Financial Services</t>
        </is>
      </c>
      <c r="J410" s="4" t="inlineStr">
        <is>
          <t>Specialty Finance</t>
        </is>
      </c>
      <c r="K410" s="4" t="n"/>
      <c r="L410" s="3" t="n">
        <v>100</v>
      </c>
      <c r="M410" s="3" t="n">
        <v>34.12</v>
      </c>
      <c r="N410" s="3" t="n">
        <v>1625.87</v>
      </c>
      <c r="O410" s="4" t="inlineStr">
        <is>
          <t>United States</t>
        </is>
      </c>
      <c r="P410" s="4" t="inlineStr">
        <is>
          <t>United States</t>
        </is>
      </c>
      <c r="Q410" s="4" t="inlineStr">
        <is>
          <t>Friendly</t>
        </is>
      </c>
      <c r="R410" s="3" t="n">
        <v>543.082</v>
      </c>
      <c r="S410" s="3" t="n">
        <v>12.3313</v>
      </c>
      <c r="T410" s="4" t="inlineStr">
        <is>
          <t>Company Takeover</t>
        </is>
      </c>
      <c r="U410" s="2" t="inlineStr">
        <is>
          <t>No</t>
        </is>
      </c>
      <c r="V410" s="2" t="inlineStr">
        <is>
          <t>No</t>
        </is>
      </c>
      <c r="W410" s="2" t="inlineStr">
        <is>
          <t>No</t>
        </is>
      </c>
      <c r="X410" s="2" t="inlineStr">
        <is>
          <t>No</t>
        </is>
      </c>
      <c r="Y410" s="2" t="inlineStr">
        <is>
          <t>No</t>
        </is>
      </c>
      <c r="Z410" s="2" t="inlineStr">
        <is>
          <t>No</t>
        </is>
      </c>
      <c r="AA410" s="6" t="n">
        <v>3.262619554</v>
      </c>
      <c r="AB410" s="6" t="n">
        <v>2.734865409</v>
      </c>
      <c r="AC410" s="6" t="n">
        <v>3.211085818</v>
      </c>
      <c r="AD410">
        <f t="array" ref="AD410">IF(SUMPRODUCT(--($AM$2:$AM$112=TRIM(LEFT($B410,IFERROR(FIND(" ",$B410)-1,LEN($B410))))))&gt;0,1,0)</f>
        <v/>
      </c>
      <c r="AE410">
        <f t="array" ref="AE410">IF(SUMPRODUCT(--($AO$2:$AO$145=TRIM(LEFT($B410,IFERROR(FIND(" ",$B410)-1,LEN($B410))))))&gt;0,1,0)</f>
        <v/>
      </c>
      <c r="AF410">
        <f t="array" ref="AF410">IF(SUMPRODUCT(--($AQ$2:$AQ$71=TRIM(LEFT($B410,IFERROR(FIND(" ",$B410)-1,LEN($B410))))))&gt;0,1,0)</f>
        <v/>
      </c>
    </row>
    <row r="411" ht="75.75" customHeight="1" thickBot="1">
      <c r="A411" s="13" t="n">
        <v>97</v>
      </c>
      <c r="B411" s="4" t="inlineStr">
        <is>
          <t>IAA US</t>
        </is>
      </c>
      <c r="C411" s="4" t="inlineStr">
        <is>
          <t>RBA CN</t>
        </is>
      </c>
      <c r="D411" s="7" t="n">
        <v>44872</v>
      </c>
      <c r="E411" s="3" t="n">
        <v>7965.55</v>
      </c>
      <c r="F411" s="4" t="inlineStr">
        <is>
          <t>Cash and Stock</t>
        </is>
      </c>
      <c r="G411" s="3" t="n">
        <v>11.44</v>
      </c>
      <c r="H411" s="4" t="inlineStr">
        <is>
          <t>Consumer Discretionary</t>
        </is>
      </c>
      <c r="I411" s="4" t="inlineStr">
        <is>
          <t>Retail &amp; Whsle - Discretionary</t>
        </is>
      </c>
      <c r="J411" s="4" t="inlineStr">
        <is>
          <t>Wholesale - Discretionary</t>
        </is>
      </c>
      <c r="K411" s="4" t="n"/>
      <c r="L411" s="4" t="n"/>
      <c r="M411" s="3" t="n">
        <v>9.94</v>
      </c>
      <c r="N411" s="3" t="n">
        <v>5805.75</v>
      </c>
      <c r="O411" s="4" t="inlineStr">
        <is>
          <t>United States</t>
        </is>
      </c>
      <c r="P411" s="4" t="inlineStr">
        <is>
          <t>Canada</t>
        </is>
      </c>
      <c r="Q411" s="4" t="inlineStr">
        <is>
          <t>Friendly</t>
        </is>
      </c>
      <c r="R411" s="3" t="n">
        <v>2098.9</v>
      </c>
      <c r="S411" s="3" t="n">
        <v>19.8675</v>
      </c>
      <c r="T411" s="4" t="inlineStr">
        <is>
          <t>Company Takeover, Cross Border</t>
        </is>
      </c>
      <c r="U411" s="2" t="inlineStr">
        <is>
          <t>No</t>
        </is>
      </c>
      <c r="V411" s="2" t="inlineStr">
        <is>
          <t>No</t>
        </is>
      </c>
      <c r="W411" s="2" t="inlineStr">
        <is>
          <t>Yes</t>
        </is>
      </c>
      <c r="X411" s="2" t="inlineStr">
        <is>
          <t>No</t>
        </is>
      </c>
      <c r="Y411" s="2" t="inlineStr">
        <is>
          <t>No</t>
        </is>
      </c>
      <c r="Z411" s="2" t="inlineStr">
        <is>
          <t>No</t>
        </is>
      </c>
      <c r="AA411" s="6" t="n">
        <v>3.901215768</v>
      </c>
      <c r="AB411" s="6" t="n">
        <v>3.321991748</v>
      </c>
      <c r="AC411" s="6" t="n">
        <v>3.763858331</v>
      </c>
      <c r="AD411">
        <f t="array" ref="AD411">IF(SUMPRODUCT(--($AM$2:$AM$112=TRIM(LEFT($B411,IFERROR(FIND(" ",$B411)-1,LEN($B411))))))&gt;0,1,0)</f>
        <v/>
      </c>
      <c r="AE411">
        <f t="array" ref="AE411">IF(SUMPRODUCT(--($AO$2:$AO$145=TRIM(LEFT($B411,IFERROR(FIND(" ",$B411)-1,LEN($B411))))))&gt;0,1,0)</f>
        <v/>
      </c>
      <c r="AF411">
        <f t="array" ref="AF411">IF(SUMPRODUCT(--($AQ$2:$AQ$71=TRIM(LEFT($B411,IFERROR(FIND(" ",$B411)-1,LEN($B411))))))&gt;0,1,0)</f>
        <v/>
      </c>
    </row>
    <row r="412" ht="135.75" customHeight="1" thickBot="1">
      <c r="A412" s="13" t="n">
        <v>163</v>
      </c>
      <c r="B412" s="4" t="inlineStr">
        <is>
          <t>AAWW US</t>
        </is>
      </c>
      <c r="C412" s="2" t="n"/>
      <c r="D412" s="7" t="n">
        <v>44777</v>
      </c>
      <c r="E412" s="3" t="n">
        <v>4603.67</v>
      </c>
      <c r="F412" s="4" t="inlineStr">
        <is>
          <t>Cash</t>
        </is>
      </c>
      <c r="G412" s="3" t="n">
        <v>4.35</v>
      </c>
      <c r="H412" s="4" t="inlineStr">
        <is>
          <t>Industrials</t>
        </is>
      </c>
      <c r="I412" s="4" t="inlineStr">
        <is>
          <t>Industrial Services</t>
        </is>
      </c>
      <c r="J412" s="4" t="inlineStr">
        <is>
          <t>Transportation &amp; Logistics</t>
        </is>
      </c>
      <c r="K412" s="4" t="n"/>
      <c r="L412" s="4" t="n"/>
      <c r="M412" s="3" t="n">
        <v>47.49</v>
      </c>
      <c r="N412" s="3" t="n">
        <v>2902.98</v>
      </c>
      <c r="O412" s="4" t="inlineStr">
        <is>
          <t>United States</t>
        </is>
      </c>
      <c r="P412" s="4" t="inlineStr">
        <is>
          <t>United States</t>
        </is>
      </c>
      <c r="Q412" s="4" t="inlineStr">
        <is>
          <t>Friendly</t>
        </is>
      </c>
      <c r="R412" s="3" t="n">
        <v>4549.1</v>
      </c>
      <c r="S412" s="3" t="n">
        <v>11.4834</v>
      </c>
      <c r="T412" s="4" t="inlineStr">
        <is>
          <t>PE Buyout, Company Takeover, Private Equity, Going Private</t>
        </is>
      </c>
      <c r="U412" s="2" t="inlineStr">
        <is>
          <t>No</t>
        </is>
      </c>
      <c r="V412" s="2" t="inlineStr">
        <is>
          <t>No</t>
        </is>
      </c>
      <c r="W412" s="2" t="inlineStr">
        <is>
          <t>No</t>
        </is>
      </c>
      <c r="X412" s="2" t="inlineStr">
        <is>
          <t>Yes</t>
        </is>
      </c>
      <c r="Y412" s="2" t="inlineStr">
        <is>
          <t>Yes</t>
        </is>
      </c>
      <c r="Z412" s="2" t="inlineStr">
        <is>
          <t>No</t>
        </is>
      </c>
      <c r="AA412" s="6" t="n">
        <v>3.663104185</v>
      </c>
      <c r="AB412" s="6" t="n">
        <v>3.657925484</v>
      </c>
      <c r="AC412" s="6" t="n">
        <v>3.462844044</v>
      </c>
      <c r="AD412">
        <f t="array" ref="AD412">IF(SUMPRODUCT(--($AM$2:$AM$112=TRIM(LEFT($B412,IFERROR(FIND(" ",$B412)-1,LEN($B412))))))&gt;0,1,0)</f>
        <v/>
      </c>
      <c r="AE412">
        <f t="array" ref="AE412">IF(SUMPRODUCT(--($AO$2:$AO$145=TRIM(LEFT($B412,IFERROR(FIND(" ",$B412)-1,LEN($B412))))))&gt;0,1,0)</f>
        <v/>
      </c>
      <c r="AF412">
        <f t="array" ref="AF412">IF(SUMPRODUCT(--($AQ$2:$AQ$71=TRIM(LEFT($B412,IFERROR(FIND(" ",$B412)-1,LEN($B412))))))&gt;0,1,0)</f>
        <v/>
      </c>
    </row>
    <row r="413" ht="60.75" customHeight="1" thickBot="1">
      <c r="A413" s="13" t="n">
        <v>69</v>
      </c>
      <c r="B413" s="4" t="inlineStr">
        <is>
          <t>VVNT US</t>
        </is>
      </c>
      <c r="C413" s="4" t="inlineStr">
        <is>
          <t>NRG US</t>
        </is>
      </c>
      <c r="D413" s="7" t="n">
        <v>44901</v>
      </c>
      <c r="E413" s="3" t="n">
        <v>5017.07</v>
      </c>
      <c r="F413" s="4" t="inlineStr">
        <is>
          <t>Cash</t>
        </is>
      </c>
      <c r="G413" s="3" t="n">
        <v>9.529999999999999</v>
      </c>
      <c r="H413" s="4" t="inlineStr">
        <is>
          <t>Industrials</t>
        </is>
      </c>
      <c r="I413" s="4" t="inlineStr">
        <is>
          <t>Industrial Services</t>
        </is>
      </c>
      <c r="J413" s="4" t="inlineStr">
        <is>
          <t>Commercial Support Services</t>
        </is>
      </c>
      <c r="K413" s="4" t="n"/>
      <c r="L413" s="4" t="n"/>
      <c r="M413" s="3" t="n">
        <v>35.05</v>
      </c>
      <c r="N413" s="3" t="n">
        <v>2560.59</v>
      </c>
      <c r="O413" s="4" t="inlineStr">
        <is>
          <t>United States</t>
        </is>
      </c>
      <c r="P413" s="4" t="inlineStr">
        <is>
          <t>United States</t>
        </is>
      </c>
      <c r="Q413" s="4" t="inlineStr">
        <is>
          <t>Friendly</t>
        </is>
      </c>
      <c r="R413" s="3" t="n">
        <v>1682.49</v>
      </c>
      <c r="S413" s="3" t="n">
        <v>4.25227</v>
      </c>
      <c r="T413" s="4" t="inlineStr">
        <is>
          <t>Company Takeover</t>
        </is>
      </c>
      <c r="U413" s="2" t="inlineStr">
        <is>
          <t>No</t>
        </is>
      </c>
      <c r="V413" s="2" t="inlineStr">
        <is>
          <t>No</t>
        </is>
      </c>
      <c r="W413" s="2" t="inlineStr">
        <is>
          <t>No</t>
        </is>
      </c>
      <c r="X413" s="2" t="inlineStr">
        <is>
          <t>No</t>
        </is>
      </c>
      <c r="Y413" s="2" t="inlineStr">
        <is>
          <t>No</t>
        </is>
      </c>
      <c r="Z413" s="2" t="inlineStr">
        <is>
          <t>No</t>
        </is>
      </c>
      <c r="AA413" s="6" t="n">
        <v>3.700450161</v>
      </c>
      <c r="AB413" s="6" t="n">
        <v>3.225952492</v>
      </c>
      <c r="AC413" s="6" t="n">
        <v>3.408340045</v>
      </c>
      <c r="AD413">
        <f t="array" ref="AD413">IF(SUMPRODUCT(--($AM$2:$AM$112=TRIM(LEFT($B413,IFERROR(FIND(" ",$B413)-1,LEN($B413))))))&gt;0,1,0)</f>
        <v/>
      </c>
      <c r="AE413">
        <f t="array" ref="AE413">IF(SUMPRODUCT(--($AO$2:$AO$145=TRIM(LEFT($B413,IFERROR(FIND(" ",$B413)-1,LEN($B413))))))&gt;0,1,0)</f>
        <v/>
      </c>
      <c r="AF413">
        <f t="array" ref="AF413">IF(SUMPRODUCT(--($AQ$2:$AQ$71=TRIM(LEFT($B413,IFERROR(FIND(" ",$B413)-1,LEN($B413))))))&gt;0,1,0)</f>
        <v/>
      </c>
    </row>
    <row r="414" ht="135.75" customHeight="1" thickBot="1">
      <c r="A414" s="13" t="n">
        <v>100</v>
      </c>
      <c r="B414" s="4" t="inlineStr">
        <is>
          <t>MYOV US</t>
        </is>
      </c>
      <c r="C414" s="4" t="inlineStr">
        <is>
          <t>4506 JP</t>
        </is>
      </c>
      <c r="D414" s="7" t="n">
        <v>44857</v>
      </c>
      <c r="E414" s="3" t="n">
        <v>1238.83</v>
      </c>
      <c r="F414" s="4" t="inlineStr">
        <is>
          <t>Cash</t>
        </is>
      </c>
      <c r="G414" s="4" t="n"/>
      <c r="H414" s="4" t="inlineStr">
        <is>
          <t>Health Care</t>
        </is>
      </c>
      <c r="I414" s="4" t="inlineStr">
        <is>
          <t>Health Care</t>
        </is>
      </c>
      <c r="J414" s="4" t="inlineStr">
        <is>
          <t>Biotech &amp; Pharma</t>
        </is>
      </c>
      <c r="K414" s="4" t="n"/>
      <c r="L414" s="3" t="n">
        <v>55.25</v>
      </c>
      <c r="M414" s="3" t="n">
        <v>18.03</v>
      </c>
      <c r="N414" s="3" t="n">
        <v>1238.83</v>
      </c>
      <c r="O414" s="4" t="inlineStr">
        <is>
          <t>United States</t>
        </is>
      </c>
      <c r="P414" s="4" t="inlineStr">
        <is>
          <t>Japan</t>
        </is>
      </c>
      <c r="Q414" s="4" t="inlineStr">
        <is>
          <t>Friendly</t>
        </is>
      </c>
      <c r="R414" s="3" t="n">
        <v>230.972</v>
      </c>
      <c r="S414" s="3" t="n">
        <v>-38.7498</v>
      </c>
      <c r="T414" s="4" t="inlineStr">
        <is>
          <t>Additional Stake Purchase, Company Takeover, Cross Border</t>
        </is>
      </c>
      <c r="U414" s="2" t="inlineStr">
        <is>
          <t>Yes</t>
        </is>
      </c>
      <c r="V414" s="2" t="inlineStr">
        <is>
          <t>No</t>
        </is>
      </c>
      <c r="W414" s="2" t="inlineStr">
        <is>
          <t>Yes</t>
        </is>
      </c>
      <c r="X414" s="2" t="inlineStr">
        <is>
          <t>No</t>
        </is>
      </c>
      <c r="Y414" s="2" t="inlineStr">
        <is>
          <t>No</t>
        </is>
      </c>
      <c r="Z414" s="2" t="inlineStr">
        <is>
          <t>No</t>
        </is>
      </c>
      <c r="AA414" s="6" t="n">
        <v>3.093011714</v>
      </c>
      <c r="AB414" s="6" t="n">
        <v>2.363559335</v>
      </c>
      <c r="AC414" s="6" t="n">
        <v>3.093011714</v>
      </c>
      <c r="AD414">
        <f t="array" ref="AD414">IF(SUMPRODUCT(--($AM$2:$AM$112=TRIM(LEFT($B414,IFERROR(FIND(" ",$B414)-1,LEN($B414))))))&gt;0,1,0)</f>
        <v/>
      </c>
      <c r="AE414">
        <f t="array" ref="AE414">IF(SUMPRODUCT(--($AO$2:$AO$145=TRIM(LEFT($B414,IFERROR(FIND(" ",$B414)-1,LEN($B414))))))&gt;0,1,0)</f>
        <v/>
      </c>
      <c r="AF414">
        <f t="array" ref="AF414">IF(SUMPRODUCT(--($AQ$2:$AQ$71=TRIM(LEFT($B414,IFERROR(FIND(" ",$B414)-1,LEN($B414))))))&gt;0,1,0)</f>
        <v/>
      </c>
    </row>
    <row r="415" ht="105.75" customHeight="1" thickBot="1">
      <c r="A415" s="13" t="n">
        <v>40</v>
      </c>
      <c r="B415" s="4" t="inlineStr">
        <is>
          <t>ALBO US</t>
        </is>
      </c>
      <c r="C415" s="4" t="inlineStr">
        <is>
          <t>IPN FP</t>
        </is>
      </c>
      <c r="D415" s="7" t="n">
        <v>44935</v>
      </c>
      <c r="E415" s="3" t="n">
        <v>606.61</v>
      </c>
      <c r="F415" s="4" t="inlineStr">
        <is>
          <t>Cash</t>
        </is>
      </c>
      <c r="G415" s="4" t="n"/>
      <c r="H415" s="4" t="inlineStr">
        <is>
          <t>Health Care</t>
        </is>
      </c>
      <c r="I415" s="4" t="inlineStr">
        <is>
          <t>Health Care</t>
        </is>
      </c>
      <c r="J415" s="4" t="inlineStr">
        <is>
          <t>Biotech &amp; Pharma</t>
        </is>
      </c>
      <c r="K415" s="4" t="n"/>
      <c r="L415" s="4" t="n"/>
      <c r="M415" s="3" t="n">
        <v>103.06</v>
      </c>
      <c r="N415" s="3" t="n">
        <v>869.45</v>
      </c>
      <c r="O415" s="4" t="inlineStr">
        <is>
          <t>United States</t>
        </is>
      </c>
      <c r="P415" s="4" t="inlineStr">
        <is>
          <t>France</t>
        </is>
      </c>
      <c r="Q415" s="4" t="inlineStr">
        <is>
          <t>Friendly</t>
        </is>
      </c>
      <c r="R415" s="3" t="n">
        <v>40.579</v>
      </c>
      <c r="S415" s="3" t="n">
        <v>-214.166</v>
      </c>
      <c r="T415" s="4" t="inlineStr">
        <is>
          <t>Company Takeover, Tender Offer, Cross Border</t>
        </is>
      </c>
      <c r="U415" s="2" t="inlineStr">
        <is>
          <t>No</t>
        </is>
      </c>
      <c r="V415" s="2" t="inlineStr">
        <is>
          <t>No</t>
        </is>
      </c>
      <c r="W415" s="2" t="inlineStr">
        <is>
          <t>Yes</t>
        </is>
      </c>
      <c r="X415" s="2" t="inlineStr">
        <is>
          <t>No</t>
        </is>
      </c>
      <c r="Y415" s="2" t="inlineStr">
        <is>
          <t>No</t>
        </is>
      </c>
      <c r="Z415" s="2" t="inlineStr">
        <is>
          <t>Yes</t>
        </is>
      </c>
      <c r="AA415" s="6" t="n">
        <v>2.782909565</v>
      </c>
      <c r="AB415" s="6" t="n">
        <v>1.60830134</v>
      </c>
      <c r="AC415" s="6" t="n">
        <v>2.939244612</v>
      </c>
      <c r="AD415">
        <f t="array" ref="AD415">IF(SUMPRODUCT(--($AM$2:$AM$112=TRIM(LEFT($B415,IFERROR(FIND(" ",$B415)-1,LEN($B415))))))&gt;0,1,0)</f>
        <v/>
      </c>
      <c r="AE415">
        <f t="array" ref="AE415">IF(SUMPRODUCT(--($AO$2:$AO$145=TRIM(LEFT($B415,IFERROR(FIND(" ",$B415)-1,LEN($B415))))))&gt;0,1,0)</f>
        <v/>
      </c>
      <c r="AF415">
        <f t="array" ref="AF415">IF(SUMPRODUCT(--($AQ$2:$AQ$71=TRIM(LEFT($B415,IFERROR(FIND(" ",$B415)-1,LEN($B415))))))&gt;0,1,0)</f>
        <v/>
      </c>
    </row>
    <row r="416" ht="45.75" customHeight="1" thickBot="1">
      <c r="A416" s="13" t="n">
        <v>363</v>
      </c>
      <c r="B416" s="4" t="inlineStr">
        <is>
          <t>UMPQ US</t>
        </is>
      </c>
      <c r="C416" s="4" t="inlineStr">
        <is>
          <t>COLB US</t>
        </is>
      </c>
      <c r="D416" s="7" t="n">
        <v>44481</v>
      </c>
      <c r="E416" s="3" t="n">
        <v>4847.91</v>
      </c>
      <c r="F416" s="4" t="inlineStr">
        <is>
          <t>Stock</t>
        </is>
      </c>
      <c r="G416" s="4" t="n"/>
      <c r="H416" s="4" t="inlineStr">
        <is>
          <t>Financials</t>
        </is>
      </c>
      <c r="I416" s="4" t="inlineStr">
        <is>
          <t>Banking</t>
        </is>
      </c>
      <c r="J416" s="4" t="inlineStr">
        <is>
          <t>Banking</t>
        </is>
      </c>
      <c r="K416" s="4" t="n"/>
      <c r="L416" s="4" t="n"/>
      <c r="M416" s="3" t="n">
        <v>9.5</v>
      </c>
      <c r="N416" s="3" t="n">
        <v>4847.91</v>
      </c>
      <c r="O416" s="4" t="inlineStr">
        <is>
          <t>United States</t>
        </is>
      </c>
      <c r="P416" s="4" t="inlineStr">
        <is>
          <t>United States</t>
        </is>
      </c>
      <c r="Q416" s="4" t="inlineStr">
        <is>
          <t>Friendly</t>
        </is>
      </c>
      <c r="R416" s="3" t="n">
        <v>1347.55</v>
      </c>
      <c r="S416" s="3" t="n">
        <v>35.4913</v>
      </c>
      <c r="T416" s="4" t="inlineStr">
        <is>
          <t>Company Takeover</t>
        </is>
      </c>
      <c r="U416" s="2" t="inlineStr">
        <is>
          <t>No</t>
        </is>
      </c>
      <c r="V416" s="2" t="inlineStr">
        <is>
          <t>No</t>
        </is>
      </c>
      <c r="W416" s="2" t="inlineStr">
        <is>
          <t>No</t>
        </is>
      </c>
      <c r="X416" s="2" t="inlineStr">
        <is>
          <t>No</t>
        </is>
      </c>
      <c r="Y416" s="2" t="inlineStr">
        <is>
          <t>No</t>
        </is>
      </c>
      <c r="Z416" s="2" t="inlineStr">
        <is>
          <t>No</t>
        </is>
      </c>
      <c r="AA416" s="6" t="n">
        <v>3.685554549</v>
      </c>
      <c r="AB416" s="6" t="n">
        <v>3.129544888</v>
      </c>
      <c r="AC416" s="6" t="n">
        <v>3.685554549</v>
      </c>
      <c r="AD416">
        <f t="array" ref="AD416">IF(SUMPRODUCT(--($AM$2:$AM$112=TRIM(LEFT($B416,IFERROR(FIND(" ",$B416)-1,LEN($B416))))))&gt;0,1,0)</f>
        <v/>
      </c>
      <c r="AE416">
        <f t="array" ref="AE416">IF(SUMPRODUCT(--($AO$2:$AO$145=TRIM(LEFT($B416,IFERROR(FIND(" ",$B416)-1,LEN($B416))))))&gt;0,1,0)</f>
        <v/>
      </c>
      <c r="AF416">
        <f t="array" ref="AF416">IF(SUMPRODUCT(--($AQ$2:$AQ$71=TRIM(LEFT($B416,IFERROR(FIND(" ",$B416)-1,LEN($B416))))))&gt;0,1,0)</f>
        <v/>
      </c>
    </row>
    <row r="417" ht="75.75" customHeight="1" thickBot="1">
      <c r="A417" s="13" t="n">
        <v>153</v>
      </c>
      <c r="B417" s="4" t="inlineStr">
        <is>
          <t>COWN US</t>
        </is>
      </c>
      <c r="C417" s="4" t="inlineStr">
        <is>
          <t>TD CN</t>
        </is>
      </c>
      <c r="D417" s="7" t="n">
        <v>44775</v>
      </c>
      <c r="E417" s="3" t="n">
        <v>1083.13</v>
      </c>
      <c r="F417" s="4" t="inlineStr">
        <is>
          <t>Cash</t>
        </is>
      </c>
      <c r="G417" s="3" t="n">
        <v>6.46</v>
      </c>
      <c r="H417" s="4" t="inlineStr">
        <is>
          <t>Financials</t>
        </is>
      </c>
      <c r="I417" s="4" t="inlineStr">
        <is>
          <t>Financial Services</t>
        </is>
      </c>
      <c r="J417" s="4" t="inlineStr">
        <is>
          <t>Institutional Financial Svcs</t>
        </is>
      </c>
      <c r="K417" s="4" t="n"/>
      <c r="L417" s="3" t="n">
        <v>42.25</v>
      </c>
      <c r="M417" s="3" t="n">
        <v>20.8</v>
      </c>
      <c r="N417" s="3" t="n">
        <v>1083.13</v>
      </c>
      <c r="O417" s="4" t="inlineStr">
        <is>
          <t>United States</t>
        </is>
      </c>
      <c r="P417" s="4" t="inlineStr">
        <is>
          <t>Canada</t>
        </is>
      </c>
      <c r="Q417" s="4" t="inlineStr">
        <is>
          <t>Friendly</t>
        </is>
      </c>
      <c r="R417" s="3" t="n">
        <v>1537.72</v>
      </c>
      <c r="S417" s="3" t="n">
        <v>4.47632</v>
      </c>
      <c r="T417" s="4" t="inlineStr">
        <is>
          <t>Cross Border, Company Takeover</t>
        </is>
      </c>
      <c r="U417" s="2" t="inlineStr">
        <is>
          <t>No</t>
        </is>
      </c>
      <c r="V417" s="2" t="inlineStr">
        <is>
          <t>No</t>
        </is>
      </c>
      <c r="W417" s="2" t="inlineStr">
        <is>
          <t>Yes</t>
        </is>
      </c>
      <c r="X417" s="2" t="inlineStr">
        <is>
          <t>No</t>
        </is>
      </c>
      <c r="Y417" s="2" t="inlineStr">
        <is>
          <t>No</t>
        </is>
      </c>
      <c r="Z417" s="2" t="inlineStr">
        <is>
          <t>No</t>
        </is>
      </c>
      <c r="AA417" s="6" t="n">
        <v>3.034680585</v>
      </c>
      <c r="AB417" s="6" t="n">
        <v>3.186877263</v>
      </c>
      <c r="AC417" s="6" t="n">
        <v>3.034680585</v>
      </c>
      <c r="AD417">
        <f t="array" ref="AD417">IF(SUMPRODUCT(--($AM$2:$AM$112=TRIM(LEFT($B417,IFERROR(FIND(" ",$B417)-1,LEN($B417))))))&gt;0,1,0)</f>
        <v/>
      </c>
      <c r="AE417">
        <f t="array" ref="AE417">IF(SUMPRODUCT(--($AO$2:$AO$145=TRIM(LEFT($B417,IFERROR(FIND(" ",$B417)-1,LEN($B417))))))&gt;0,1,0)</f>
        <v/>
      </c>
      <c r="AF417">
        <f t="array" ref="AF417">IF(SUMPRODUCT(--($AQ$2:$AQ$71=TRIM(LEFT($B417,IFERROR(FIND(" ",$B417)-1,LEN($B417))))))&gt;0,1,0)</f>
        <v/>
      </c>
    </row>
    <row r="418" ht="135.75" customHeight="1" thickBot="1">
      <c r="A418" s="13" t="n">
        <v>58</v>
      </c>
      <c r="B418" s="4" t="inlineStr">
        <is>
          <t>COUP US</t>
        </is>
      </c>
      <c r="C418" s="4" t="inlineStr">
        <is>
          <t>129626Z US</t>
        </is>
      </c>
      <c r="D418" s="7" t="n">
        <v>44907</v>
      </c>
      <c r="E418" s="3" t="n">
        <v>6150.35</v>
      </c>
      <c r="F418" s="4" t="inlineStr">
        <is>
          <t>Cash</t>
        </is>
      </c>
      <c r="G418" s="4" t="n"/>
      <c r="H418" s="4" t="inlineStr">
        <is>
          <t>Technology</t>
        </is>
      </c>
      <c r="I418" s="4" t="inlineStr">
        <is>
          <t>Software &amp; Tech Services</t>
        </is>
      </c>
      <c r="J418" s="4" t="inlineStr">
        <is>
          <t>Software</t>
        </is>
      </c>
      <c r="K418" s="4" t="n"/>
      <c r="L418" s="4" t="n"/>
      <c r="M418" s="3" t="n">
        <v>41.47</v>
      </c>
      <c r="N418" s="3" t="n">
        <v>6150.35</v>
      </c>
      <c r="O418" s="4" t="inlineStr">
        <is>
          <t>United States</t>
        </is>
      </c>
      <c r="P418" s="4" t="inlineStr">
        <is>
          <t>United States</t>
        </is>
      </c>
      <c r="Q418" s="4" t="inlineStr">
        <is>
          <t>Friendly</t>
        </is>
      </c>
      <c r="R418" s="3" t="n">
        <v>725.289</v>
      </c>
      <c r="S418" s="3" t="n">
        <v>-33.2615</v>
      </c>
      <c r="T418" s="4" t="inlineStr">
        <is>
          <t>PE Buyout, Going Private, Company Takeover, Private Equity</t>
        </is>
      </c>
      <c r="U418" s="2" t="inlineStr">
        <is>
          <t>No</t>
        </is>
      </c>
      <c r="V418" s="2" t="inlineStr">
        <is>
          <t>No</t>
        </is>
      </c>
      <c r="W418" s="2" t="inlineStr">
        <is>
          <t>No</t>
        </is>
      </c>
      <c r="X418" s="2" t="inlineStr">
        <is>
          <t>Yes</t>
        </is>
      </c>
      <c r="Y418" s="2" t="inlineStr">
        <is>
          <t>Yes</t>
        </is>
      </c>
      <c r="Z418" s="2" t="inlineStr">
        <is>
          <t>No</t>
        </is>
      </c>
      <c r="AA418" s="6" t="n">
        <v>3.788899831</v>
      </c>
      <c r="AB418" s="6" t="n">
        <v>2.860511091</v>
      </c>
      <c r="AC418" s="6" t="n">
        <v>3.788899831</v>
      </c>
      <c r="AD418">
        <f t="array" ref="AD418">IF(SUMPRODUCT(--($AM$2:$AM$112=TRIM(LEFT($B418,IFERROR(FIND(" ",$B418)-1,LEN($B418))))))&gt;0,1,0)</f>
        <v/>
      </c>
      <c r="AE418">
        <f t="array" ref="AE418">IF(SUMPRODUCT(--($AO$2:$AO$145=TRIM(LEFT($B418,IFERROR(FIND(" ",$B418)-1,LEN($B418))))))&gt;0,1,0)</f>
        <v/>
      </c>
      <c r="AF418">
        <f t="array" ref="AF418">IF(SUMPRODUCT(--($AQ$2:$AQ$71=TRIM(LEFT($B418,IFERROR(FIND(" ",$B418)-1,LEN($B418))))))&gt;0,1,0)</f>
        <v/>
      </c>
    </row>
    <row r="419" ht="105.75" customHeight="1" thickBot="1">
      <c r="A419" s="13" t="n">
        <v>171</v>
      </c>
      <c r="B419" s="4" t="inlineStr">
        <is>
          <t>RFP US</t>
        </is>
      </c>
      <c r="C419" s="4" t="inlineStr">
        <is>
          <t>8370997Z CN</t>
        </is>
      </c>
      <c r="D419" s="7" t="n">
        <v>44748</v>
      </c>
      <c r="E419" s="3" t="n">
        <v>1777.33</v>
      </c>
      <c r="F419" s="4" t="inlineStr">
        <is>
          <t>Cash</t>
        </is>
      </c>
      <c r="G419" s="3" t="n">
        <v>2.95</v>
      </c>
      <c r="H419" s="4" t="inlineStr">
        <is>
          <t>Materials</t>
        </is>
      </c>
      <c r="I419" s="4" t="inlineStr">
        <is>
          <t>Materials</t>
        </is>
      </c>
      <c r="J419" s="4" t="inlineStr">
        <is>
          <t>Forestry, Paper &amp; Wood Products</t>
        </is>
      </c>
      <c r="K419" s="4" t="n"/>
      <c r="L419" s="4" t="n"/>
      <c r="M419" s="3" t="n">
        <v>46.99</v>
      </c>
      <c r="N419" s="3" t="n">
        <v>1574.33</v>
      </c>
      <c r="O419" s="4" t="inlineStr">
        <is>
          <t>United States</t>
        </is>
      </c>
      <c r="P419" s="4" t="inlineStr">
        <is>
          <t>Canada</t>
        </is>
      </c>
      <c r="Q419" s="4" t="inlineStr">
        <is>
          <t>Friendly</t>
        </is>
      </c>
      <c r="R419" s="3" t="n">
        <v>3793</v>
      </c>
      <c r="S419" s="3" t="n">
        <v>15.4495</v>
      </c>
      <c r="T419" s="4" t="inlineStr">
        <is>
          <t>Company Takeover, Cross Border, Going Private</t>
        </is>
      </c>
      <c r="U419" s="2" t="inlineStr">
        <is>
          <t>No</t>
        </is>
      </c>
      <c r="V419" s="2" t="inlineStr">
        <is>
          <t>No</t>
        </is>
      </c>
      <c r="W419" s="2" t="inlineStr">
        <is>
          <t>Yes</t>
        </is>
      </c>
      <c r="X419" s="2" t="inlineStr">
        <is>
          <t>Yes</t>
        </is>
      </c>
      <c r="Y419" s="2" t="inlineStr">
        <is>
          <t>No</t>
        </is>
      </c>
      <c r="Z419" s="2" t="inlineStr">
        <is>
          <t>No</t>
        </is>
      </c>
      <c r="AA419" s="6" t="n">
        <v>3.249768072</v>
      </c>
      <c r="AB419" s="6" t="n">
        <v>3.578982843</v>
      </c>
      <c r="AC419" s="6" t="n">
        <v>3.197095771</v>
      </c>
      <c r="AD419">
        <f t="array" ref="AD419">IF(SUMPRODUCT(--($AM$2:$AM$112=TRIM(LEFT($B419,IFERROR(FIND(" ",$B419)-1,LEN($B419))))))&gt;0,1,0)</f>
        <v/>
      </c>
      <c r="AE419">
        <f t="array" ref="AE419">IF(SUMPRODUCT(--($AO$2:$AO$145=TRIM(LEFT($B419,IFERROR(FIND(" ",$B419)-1,LEN($B419))))))&gt;0,1,0)</f>
        <v/>
      </c>
      <c r="AF419">
        <f t="array" ref="AF419">IF(SUMPRODUCT(--($AQ$2:$AQ$71=TRIM(LEFT($B419,IFERROR(FIND(" ",$B419)-1,LEN($B419))))))&gt;0,1,0)</f>
        <v/>
      </c>
    </row>
    <row r="420" ht="105.75" customHeight="1" thickBot="1">
      <c r="A420" s="13" t="n">
        <v>36</v>
      </c>
      <c r="B420" s="4" t="inlineStr">
        <is>
          <t>CINC US</t>
        </is>
      </c>
      <c r="C420" s="4" t="inlineStr">
        <is>
          <t>AZN LN</t>
        </is>
      </c>
      <c r="D420" s="7" t="n">
        <v>44935</v>
      </c>
      <c r="E420" s="3" t="n">
        <v>1137.87</v>
      </c>
      <c r="F420" s="4" t="inlineStr">
        <is>
          <t>Cash</t>
        </is>
      </c>
      <c r="G420" s="4" t="n"/>
      <c r="H420" s="4" t="inlineStr">
        <is>
          <t>Health Care</t>
        </is>
      </c>
      <c r="I420" s="4" t="inlineStr">
        <is>
          <t>Health Care</t>
        </is>
      </c>
      <c r="J420" s="4" t="inlineStr">
        <is>
          <t>Biotech &amp; Pharma</t>
        </is>
      </c>
      <c r="K420" s="4" t="n"/>
      <c r="L420" s="4" t="n"/>
      <c r="M420" s="3" t="n">
        <v>121.18</v>
      </c>
      <c r="N420" s="3" t="n">
        <v>1137.87</v>
      </c>
      <c r="O420" s="4" t="inlineStr">
        <is>
          <t>United States</t>
        </is>
      </c>
      <c r="P420" s="4" t="inlineStr">
        <is>
          <t>United Kingdom</t>
        </is>
      </c>
      <c r="Q420" s="4" t="inlineStr">
        <is>
          <t>Friendly</t>
        </is>
      </c>
      <c r="R420" s="2" t="n"/>
      <c r="S420" s="2" t="n"/>
      <c r="T420" s="4" t="inlineStr">
        <is>
          <t>Company Takeover, Cross Border, Tender Offer</t>
        </is>
      </c>
      <c r="U420" s="2" t="inlineStr">
        <is>
          <t>No</t>
        </is>
      </c>
      <c r="V420" s="2" t="inlineStr">
        <is>
          <t>No</t>
        </is>
      </c>
      <c r="W420" s="2" t="inlineStr">
        <is>
          <t>Yes</t>
        </is>
      </c>
      <c r="X420" s="2" t="inlineStr">
        <is>
          <t>No</t>
        </is>
      </c>
      <c r="Y420" s="2" t="inlineStr">
        <is>
          <t>No</t>
        </is>
      </c>
      <c r="Z420" s="2" t="inlineStr">
        <is>
          <t>Yes</t>
        </is>
      </c>
      <c r="AA420" s="6" t="n">
        <v>3.056092647</v>
      </c>
      <c r="AB420" s="2" t="n"/>
      <c r="AC420" s="6" t="n">
        <v>3.056092647</v>
      </c>
      <c r="AD420">
        <f t="array" ref="AD420">IF(SUMPRODUCT(--($AM$2:$AM$112=TRIM(LEFT($B420,IFERROR(FIND(" ",$B420)-1,LEN($B420))))))&gt;0,1,0)</f>
        <v/>
      </c>
      <c r="AE420">
        <f t="array" ref="AE420">IF(SUMPRODUCT(--($AO$2:$AO$145=TRIM(LEFT($B420,IFERROR(FIND(" ",$B420)-1,LEN($B420))))))&gt;0,1,0)</f>
        <v/>
      </c>
      <c r="AF420">
        <f t="array" ref="AF420">IF(SUMPRODUCT(--($AQ$2:$AQ$71=TRIM(LEFT($B420,IFERROR(FIND(" ",$B420)-1,LEN($B420))))))&gt;0,1,0)</f>
        <v/>
      </c>
    </row>
    <row r="421" ht="60.75" customHeight="1" thickBot="1">
      <c r="A421" s="13" t="n">
        <v>238</v>
      </c>
      <c r="B421" s="4" t="inlineStr">
        <is>
          <t>LHCG US</t>
        </is>
      </c>
      <c r="C421" s="4" t="inlineStr">
        <is>
          <t>UNH US</t>
        </is>
      </c>
      <c r="D421" s="7" t="n">
        <v>44649</v>
      </c>
      <c r="E421" s="3" t="n">
        <v>6153.75</v>
      </c>
      <c r="F421" s="4" t="inlineStr">
        <is>
          <t>Cash</t>
        </is>
      </c>
      <c r="G421" s="3" t="n">
        <v>23.89</v>
      </c>
      <c r="H421" s="4" t="inlineStr">
        <is>
          <t>Health Care</t>
        </is>
      </c>
      <c r="I421" s="4" t="inlineStr">
        <is>
          <t>Health Care</t>
        </is>
      </c>
      <c r="J421" s="4" t="inlineStr">
        <is>
          <t>Health Care Facilities &amp; Svcs</t>
        </is>
      </c>
      <c r="K421" s="4" t="n"/>
      <c r="L421" s="4" t="n"/>
      <c r="M421" s="3" t="n">
        <v>18.52</v>
      </c>
      <c r="N421" s="3" t="n">
        <v>5386.04</v>
      </c>
      <c r="O421" s="4" t="inlineStr">
        <is>
          <t>United States</t>
        </is>
      </c>
      <c r="P421" s="4" t="inlineStr">
        <is>
          <t>United States</t>
        </is>
      </c>
      <c r="Q421" s="4" t="inlineStr">
        <is>
          <t>Friendly</t>
        </is>
      </c>
      <c r="R421" s="3" t="n">
        <v>2282.77</v>
      </c>
      <c r="S421" s="3" t="n">
        <v>4.75387</v>
      </c>
      <c r="T421" s="4" t="inlineStr">
        <is>
          <t>Company Takeover</t>
        </is>
      </c>
      <c r="U421" s="2" t="inlineStr">
        <is>
          <t>No</t>
        </is>
      </c>
      <c r="V421" s="2" t="inlineStr">
        <is>
          <t>No</t>
        </is>
      </c>
      <c r="W421" s="2" t="inlineStr">
        <is>
          <t>No</t>
        </is>
      </c>
      <c r="X421" s="2" t="inlineStr">
        <is>
          <t>No</t>
        </is>
      </c>
      <c r="Y421" s="2" t="inlineStr">
        <is>
          <t>No</t>
        </is>
      </c>
      <c r="Z421" s="2" t="inlineStr">
        <is>
          <t>No</t>
        </is>
      </c>
      <c r="AA421" s="6" t="n">
        <v>3.789139849</v>
      </c>
      <c r="AB421" s="6" t="n">
        <v>3.358462156</v>
      </c>
      <c r="AC421" s="6" t="n">
        <v>3.731269574</v>
      </c>
      <c r="AD421">
        <f t="array" ref="AD421">IF(SUMPRODUCT(--($AM$2:$AM$112=TRIM(LEFT($B421,IFERROR(FIND(" ",$B421)-1,LEN($B421))))))&gt;0,1,0)</f>
        <v/>
      </c>
      <c r="AE421">
        <f t="array" ref="AE421">IF(SUMPRODUCT(--($AO$2:$AO$145=TRIM(LEFT($B421,IFERROR(FIND(" ",$B421)-1,LEN($B421))))))&gt;0,1,0)</f>
        <v/>
      </c>
      <c r="AF421">
        <f t="array" ref="AF421">IF(SUMPRODUCT(--($AQ$2:$AQ$71=TRIM(LEFT($B421,IFERROR(FIND(" ",$B421)-1,LEN($B421))))))&gt;0,1,0)</f>
        <v/>
      </c>
    </row>
    <row r="422" ht="45.75" customHeight="1" thickBot="1">
      <c r="A422" s="13" t="n">
        <v>156</v>
      </c>
      <c r="B422" s="4" t="inlineStr">
        <is>
          <t>ONEM US</t>
        </is>
      </c>
      <c r="C422" s="4" t="inlineStr">
        <is>
          <t>AMZN US</t>
        </is>
      </c>
      <c r="D422" s="7" t="n">
        <v>44763</v>
      </c>
      <c r="E422" s="3" t="n">
        <v>3691.21</v>
      </c>
      <c r="F422" s="4" t="inlineStr">
        <is>
          <t>Cash</t>
        </is>
      </c>
      <c r="G422" s="4" t="n"/>
      <c r="H422" s="4" t="inlineStr">
        <is>
          <t>Technology</t>
        </is>
      </c>
      <c r="I422" s="4" t="inlineStr">
        <is>
          <t>Software &amp; Tech Services</t>
        </is>
      </c>
      <c r="J422" s="4" t="inlineStr">
        <is>
          <t>Software</t>
        </is>
      </c>
      <c r="K422" s="4" t="n"/>
      <c r="L422" s="4" t="n"/>
      <c r="M422" s="3" t="n">
        <v>88.13</v>
      </c>
      <c r="N422" s="3" t="n">
        <v>3492.86</v>
      </c>
      <c r="O422" s="4" t="inlineStr">
        <is>
          <t>United States</t>
        </is>
      </c>
      <c r="P422" s="4" t="inlineStr">
        <is>
          <t>United States</t>
        </is>
      </c>
      <c r="Q422" s="4" t="inlineStr">
        <is>
          <t>Friendly</t>
        </is>
      </c>
      <c r="R422" s="3" t="n">
        <v>1045.55</v>
      </c>
      <c r="S422" s="3" t="n">
        <v>-40.1412</v>
      </c>
      <c r="T422" s="4" t="inlineStr">
        <is>
          <t>Company Takeover</t>
        </is>
      </c>
      <c r="U422" s="2" t="inlineStr">
        <is>
          <t>No</t>
        </is>
      </c>
      <c r="V422" s="2" t="inlineStr">
        <is>
          <t>No</t>
        </is>
      </c>
      <c r="W422" s="2" t="inlineStr">
        <is>
          <t>No</t>
        </is>
      </c>
      <c r="X422" s="2" t="inlineStr">
        <is>
          <t>No</t>
        </is>
      </c>
      <c r="Y422" s="2" t="inlineStr">
        <is>
          <t>No</t>
        </is>
      </c>
      <c r="Z422" s="2" t="inlineStr">
        <is>
          <t>No</t>
        </is>
      </c>
      <c r="AA422" s="6" t="n">
        <v>3.567168754</v>
      </c>
      <c r="AB422" s="6" t="n">
        <v>3.019344806</v>
      </c>
      <c r="AC422" s="6" t="n">
        <v>3.543181179</v>
      </c>
      <c r="AD422">
        <f t="array" ref="AD422">IF(SUMPRODUCT(--($AM$2:$AM$112=TRIM(LEFT($B422,IFERROR(FIND(" ",$B422)-1,LEN($B422))))))&gt;0,1,0)</f>
        <v/>
      </c>
      <c r="AE422">
        <f t="array" ref="AE422">IF(SUMPRODUCT(--($AO$2:$AO$145=TRIM(LEFT($B422,IFERROR(FIND(" ",$B422)-1,LEN($B422))))))&gt;0,1,0)</f>
        <v/>
      </c>
      <c r="AF422">
        <f t="array" ref="AF422">IF(SUMPRODUCT(--($AQ$2:$AQ$71=TRIM(LEFT($B422,IFERROR(FIND(" ",$B422)-1,LEN($B422))))))&gt;0,1,0)</f>
        <v/>
      </c>
    </row>
    <row r="423" ht="105.75" customHeight="1" thickBot="1">
      <c r="A423" s="13" t="n">
        <v>34</v>
      </c>
      <c r="B423" s="4" t="inlineStr">
        <is>
          <t>PAYA US</t>
        </is>
      </c>
      <c r="C423" s="4" t="inlineStr">
        <is>
          <t>NVEI CN</t>
        </is>
      </c>
      <c r="D423" s="7" t="n">
        <v>44935</v>
      </c>
      <c r="E423" s="3" t="n">
        <v>1377.76</v>
      </c>
      <c r="F423" s="4" t="inlineStr">
        <is>
          <t>Cash</t>
        </is>
      </c>
      <c r="G423" s="3" t="n">
        <v>24.77</v>
      </c>
      <c r="H423" s="4" t="inlineStr">
        <is>
          <t>Financials</t>
        </is>
      </c>
      <c r="I423" s="4" t="inlineStr">
        <is>
          <t>Financial Services</t>
        </is>
      </c>
      <c r="J423" s="4" t="inlineStr">
        <is>
          <t>Specialty Finance</t>
        </is>
      </c>
      <c r="K423" s="4" t="n"/>
      <c r="L423" s="3" t="n">
        <v>38</v>
      </c>
      <c r="M423" s="3" t="n">
        <v>23.08</v>
      </c>
      <c r="N423" s="3" t="n">
        <v>1289.09</v>
      </c>
      <c r="O423" s="4" t="inlineStr">
        <is>
          <t>United States</t>
        </is>
      </c>
      <c r="P423" s="4" t="inlineStr">
        <is>
          <t>Canada</t>
        </is>
      </c>
      <c r="Q423" s="4" t="inlineStr">
        <is>
          <t>Friendly</t>
        </is>
      </c>
      <c r="R423" s="3" t="n">
        <v>282.743</v>
      </c>
      <c r="S423" s="3" t="n">
        <v>8.91516</v>
      </c>
      <c r="T423" s="4" t="inlineStr">
        <is>
          <t>Cross Border, Company Takeover, Tender Offer</t>
        </is>
      </c>
      <c r="U423" s="2" t="inlineStr">
        <is>
          <t>No</t>
        </is>
      </c>
      <c r="V423" s="2" t="inlineStr">
        <is>
          <t>No</t>
        </is>
      </c>
      <c r="W423" s="2" t="inlineStr">
        <is>
          <t>Yes</t>
        </is>
      </c>
      <c r="X423" s="2" t="inlineStr">
        <is>
          <t>No</t>
        </is>
      </c>
      <c r="Y423" s="2" t="inlineStr">
        <is>
          <t>No</t>
        </is>
      </c>
      <c r="Z423" s="2" t="inlineStr">
        <is>
          <t>Yes</t>
        </is>
      </c>
      <c r="AA423" s="6" t="n">
        <v>3.139173572</v>
      </c>
      <c r="AB423" s="6" t="n">
        <v>2.451391862</v>
      </c>
      <c r="AC423" s="6" t="n">
        <v>3.110283239</v>
      </c>
      <c r="AD423">
        <f t="array" ref="AD423">IF(SUMPRODUCT(--($AM$2:$AM$112=TRIM(LEFT($B423,IFERROR(FIND(" ",$B423)-1,LEN($B423))))))&gt;0,1,0)</f>
        <v/>
      </c>
      <c r="AE423">
        <f t="array" ref="AE423">IF(SUMPRODUCT(--($AO$2:$AO$145=TRIM(LEFT($B423,IFERROR(FIND(" ",$B423)-1,LEN($B423))))))&gt;0,1,0)</f>
        <v/>
      </c>
      <c r="AF423">
        <f t="array" ref="AF423">IF(SUMPRODUCT(--($AQ$2:$AQ$71=TRIM(LEFT($B423,IFERROR(FIND(" ",$B423)-1,LEN($B423))))))&gt;0,1,0)</f>
        <v/>
      </c>
    </row>
    <row r="424" ht="165.75" customHeight="1" thickBot="1">
      <c r="A424" s="13" t="n">
        <v>78</v>
      </c>
      <c r="B424" s="4" t="inlineStr">
        <is>
          <t>SMU-U CN</t>
        </is>
      </c>
      <c r="C424" s="2" t="n"/>
      <c r="D424" s="7" t="n">
        <v>44872</v>
      </c>
      <c r="E424" s="3" t="n">
        <v>3266.96</v>
      </c>
      <c r="F424" s="4" t="inlineStr">
        <is>
          <t>Cash</t>
        </is>
      </c>
      <c r="G424" s="4" t="n"/>
      <c r="H424" s="4" t="inlineStr">
        <is>
          <t>Real Estate</t>
        </is>
      </c>
      <c r="I424" s="4" t="inlineStr">
        <is>
          <t>Real Estate</t>
        </is>
      </c>
      <c r="J424" s="4" t="inlineStr">
        <is>
          <t>REIT</t>
        </is>
      </c>
      <c r="K424" s="4" t="n"/>
      <c r="L424" s="4" t="n"/>
      <c r="M424" s="3" t="n">
        <v>33.31</v>
      </c>
      <c r="N424" s="3" t="n">
        <v>3266.96</v>
      </c>
      <c r="O424" s="4" t="inlineStr">
        <is>
          <t>Canada</t>
        </is>
      </c>
      <c r="P424" s="4" t="inlineStr">
        <is>
          <t>Singapore</t>
        </is>
      </c>
      <c r="Q424" s="4" t="inlineStr">
        <is>
          <t>Friendly</t>
        </is>
      </c>
      <c r="R424" s="3" t="n">
        <v>192.463</v>
      </c>
      <c r="S424" s="3" t="n">
        <v>67.523</v>
      </c>
      <c r="T424" s="4" t="inlineStr">
        <is>
          <t>Company Takeover, Cross Border, Private Equity, PE Buyout, Going Private</t>
        </is>
      </c>
      <c r="U424" s="2" t="inlineStr">
        <is>
          <t>No</t>
        </is>
      </c>
      <c r="V424" s="2" t="inlineStr">
        <is>
          <t>No</t>
        </is>
      </c>
      <c r="W424" s="2" t="inlineStr">
        <is>
          <t>Yes</t>
        </is>
      </c>
      <c r="X424" s="2" t="inlineStr">
        <is>
          <t>Yes</t>
        </is>
      </c>
      <c r="Y424" s="2" t="inlineStr">
        <is>
          <t>Yes</t>
        </is>
      </c>
      <c r="Z424" s="2" t="inlineStr">
        <is>
          <t>No</t>
        </is>
      </c>
      <c r="AA424" s="6" t="n">
        <v>3.514143817</v>
      </c>
      <c r="AB424" s="6" t="n">
        <v>2.284347251</v>
      </c>
      <c r="AC424" s="6" t="n">
        <v>3.514143817</v>
      </c>
      <c r="AD424">
        <f t="array" ref="AD424">IF(SUMPRODUCT(--($AM$2:$AM$112=TRIM(LEFT($B424,IFERROR(FIND(" ",$B424)-1,LEN($B424))))))&gt;0,1,0)</f>
        <v/>
      </c>
      <c r="AE424">
        <f t="array" ref="AE424">IF(SUMPRODUCT(--($AO$2:$AO$145=TRIM(LEFT($B424,IFERROR(FIND(" ",$B424)-1,LEN($B424))))))&gt;0,1,0)</f>
        <v/>
      </c>
      <c r="AF424">
        <f t="array" ref="AF424">IF(SUMPRODUCT(--($AQ$2:$AQ$71=TRIM(LEFT($B424,IFERROR(FIND(" ",$B424)-1,LEN($B424))))))&gt;0,1,0)</f>
        <v/>
      </c>
    </row>
    <row r="425" ht="120.75" customHeight="1" thickBot="1">
      <c r="A425" s="13" t="n">
        <v>102</v>
      </c>
      <c r="B425" s="4" t="inlineStr">
        <is>
          <t>STOR US</t>
        </is>
      </c>
      <c r="C425" s="2" t="n"/>
      <c r="D425" s="7" t="n">
        <v>44819</v>
      </c>
      <c r="E425" s="3" t="n">
        <v>9116.68</v>
      </c>
      <c r="F425" s="4" t="inlineStr">
        <is>
          <t>Cash</t>
        </is>
      </c>
      <c r="G425" s="3" t="n">
        <v>18.5</v>
      </c>
      <c r="H425" s="4" t="inlineStr">
        <is>
          <t>Real Estate</t>
        </is>
      </c>
      <c r="I425" s="4" t="inlineStr">
        <is>
          <t>Real Estate</t>
        </is>
      </c>
      <c r="J425" s="4" t="inlineStr">
        <is>
          <t>REIT</t>
        </is>
      </c>
      <c r="K425" s="4" t="n"/>
      <c r="L425" s="4" t="n"/>
      <c r="M425" s="3" t="n">
        <v>17.37</v>
      </c>
      <c r="N425" s="3" t="n">
        <v>4431.63</v>
      </c>
      <c r="O425" s="4" t="inlineStr">
        <is>
          <t>United States</t>
        </is>
      </c>
      <c r="P425" s="4" t="inlineStr">
        <is>
          <t>Singapore</t>
        </is>
      </c>
      <c r="Q425" s="4" t="inlineStr">
        <is>
          <t>Friendly</t>
        </is>
      </c>
      <c r="R425" s="3" t="n">
        <v>1033.08</v>
      </c>
      <c r="S425" s="2" t="n"/>
      <c r="T425" s="4" t="inlineStr">
        <is>
          <t>PE Buyout, Private Equity, Cross Border, Going Private</t>
        </is>
      </c>
      <c r="U425" s="2" t="inlineStr">
        <is>
          <t>No</t>
        </is>
      </c>
      <c r="V425" s="2" t="inlineStr">
        <is>
          <t>No</t>
        </is>
      </c>
      <c r="W425" s="2" t="inlineStr">
        <is>
          <t>Yes</t>
        </is>
      </c>
      <c r="X425" s="2" t="inlineStr">
        <is>
          <t>Yes</t>
        </is>
      </c>
      <c r="Y425" s="2" t="inlineStr">
        <is>
          <t>Yes</t>
        </is>
      </c>
      <c r="Z425" s="2" t="inlineStr">
        <is>
          <t>No</t>
        </is>
      </c>
      <c r="AA425" s="6" t="n">
        <v>3.959836711</v>
      </c>
      <c r="AB425" s="6" t="n">
        <v>3.014133954</v>
      </c>
      <c r="AC425" s="6" t="n">
        <v>3.646563494</v>
      </c>
      <c r="AD425">
        <f t="array" ref="AD425">IF(SUMPRODUCT(--($AM$2:$AM$112=TRIM(LEFT($B425,IFERROR(FIND(" ",$B425)-1,LEN($B425))))))&gt;0,1,0)</f>
        <v/>
      </c>
      <c r="AE425">
        <f t="array" ref="AE425">IF(SUMPRODUCT(--($AO$2:$AO$145=TRIM(LEFT($B425,IFERROR(FIND(" ",$B425)-1,LEN($B425))))))&gt;0,1,0)</f>
        <v/>
      </c>
      <c r="AF425">
        <f t="array" ref="AF425">IF(SUMPRODUCT(--($AQ$2:$AQ$71=TRIM(LEFT($B425,IFERROR(FIND(" ",$B425)-1,LEN($B425))))))&gt;0,1,0)</f>
        <v/>
      </c>
    </row>
    <row r="426" ht="135.75" customHeight="1" thickBot="1">
      <c r="A426" s="13" t="n">
        <v>82</v>
      </c>
      <c r="B426" s="4" t="inlineStr">
        <is>
          <t>KNBE US</t>
        </is>
      </c>
      <c r="C426" s="4" t="inlineStr">
        <is>
          <t>389272Z US</t>
        </is>
      </c>
      <c r="D426" s="7" t="n">
        <v>44846</v>
      </c>
      <c r="E426" s="3" t="n">
        <v>4114.57</v>
      </c>
      <c r="F426" s="4" t="inlineStr">
        <is>
          <t>Cash</t>
        </is>
      </c>
      <c r="G426" s="3" t="n">
        <v>114.78</v>
      </c>
      <c r="H426" s="4" t="inlineStr">
        <is>
          <t>Technology</t>
        </is>
      </c>
      <c r="I426" s="4" t="inlineStr">
        <is>
          <t>Software &amp; Tech Services</t>
        </is>
      </c>
      <c r="J426" s="4" t="inlineStr">
        <is>
          <t>Software</t>
        </is>
      </c>
      <c r="K426" s="3" t="n">
        <v>276</v>
      </c>
      <c r="L426" s="3" t="n">
        <v>138</v>
      </c>
      <c r="M426" s="3" t="n">
        <v>17.56</v>
      </c>
      <c r="N426" s="3" t="n">
        <v>4374.87</v>
      </c>
      <c r="O426" s="4" t="inlineStr">
        <is>
          <t>United States</t>
        </is>
      </c>
      <c r="P426" s="4" t="inlineStr">
        <is>
          <t>United States</t>
        </is>
      </c>
      <c r="Q426" s="4" t="inlineStr">
        <is>
          <t>Unsolicited to Friendly</t>
        </is>
      </c>
      <c r="R426" s="3" t="n">
        <v>246.298</v>
      </c>
      <c r="S426" s="3" t="n">
        <v>-2.67481</v>
      </c>
      <c r="T426" s="4" t="inlineStr">
        <is>
          <t>Company Takeover, Going Private, Private Equity, PE Buyout</t>
        </is>
      </c>
      <c r="U426" s="2" t="inlineStr">
        <is>
          <t>No</t>
        </is>
      </c>
      <c r="V426" s="2" t="inlineStr">
        <is>
          <t>No</t>
        </is>
      </c>
      <c r="W426" s="2" t="inlineStr">
        <is>
          <t>No</t>
        </is>
      </c>
      <c r="X426" s="2" t="inlineStr">
        <is>
          <t>Yes</t>
        </is>
      </c>
      <c r="Y426" s="2" t="inlineStr">
        <is>
          <t>Yes</t>
        </is>
      </c>
      <c r="Z426" s="2" t="inlineStr">
        <is>
          <t>No</t>
        </is>
      </c>
      <c r="AA426" s="6" t="n">
        <v>3.614324455</v>
      </c>
      <c r="AB426" s="6" t="n">
        <v>2.391460885</v>
      </c>
      <c r="AC426" s="6" t="n">
        <v>3.640965152</v>
      </c>
      <c r="AD426">
        <f t="array" ref="AD426">IF(SUMPRODUCT(--($AM$2:$AM$112=TRIM(LEFT($B426,IFERROR(FIND(" ",$B426)-1,LEN($B426))))))&gt;0,1,0)</f>
        <v/>
      </c>
      <c r="AE426">
        <f t="array" ref="AE426">IF(SUMPRODUCT(--($AO$2:$AO$145=TRIM(LEFT($B426,IFERROR(FIND(" ",$B426)-1,LEN($B426))))))&gt;0,1,0)</f>
        <v/>
      </c>
      <c r="AF426">
        <f t="array" ref="AF426">IF(SUMPRODUCT(--($AQ$2:$AQ$71=TRIM(LEFT($B426,IFERROR(FIND(" ",$B426)-1,LEN($B426))))))&gt;0,1,0)</f>
        <v/>
      </c>
    </row>
    <row r="427" ht="75.75" customHeight="1" thickBot="1">
      <c r="A427" s="13" t="n">
        <v>245</v>
      </c>
      <c r="B427" s="4" t="inlineStr">
        <is>
          <t>SJI US</t>
        </is>
      </c>
      <c r="C427" s="2" t="n"/>
      <c r="D427" s="7" t="n">
        <v>44616</v>
      </c>
      <c r="E427" s="3" t="n">
        <v>7427.14</v>
      </c>
      <c r="F427" s="4" t="inlineStr">
        <is>
          <t>Cash</t>
        </is>
      </c>
      <c r="G427" s="3" t="n">
        <v>13.24</v>
      </c>
      <c r="H427" s="4" t="inlineStr">
        <is>
          <t>Utilities</t>
        </is>
      </c>
      <c r="I427" s="4" t="inlineStr">
        <is>
          <t>Utilities</t>
        </is>
      </c>
      <c r="J427" s="4" t="inlineStr">
        <is>
          <t>Gas &amp; Water Utilities</t>
        </is>
      </c>
      <c r="K427" s="4" t="n"/>
      <c r="L427" s="4" t="n"/>
      <c r="M427" s="3" t="n">
        <v>47.16</v>
      </c>
      <c r="N427" s="3" t="n">
        <v>4048.15</v>
      </c>
      <c r="O427" s="4" t="inlineStr">
        <is>
          <t>United States</t>
        </is>
      </c>
      <c r="P427" s="4" t="inlineStr">
        <is>
          <t>United States</t>
        </is>
      </c>
      <c r="Q427" s="4" t="inlineStr">
        <is>
          <t>Friendly</t>
        </is>
      </c>
      <c r="R427" s="3" t="n">
        <v>1992</v>
      </c>
      <c r="S427" s="3" t="n">
        <v>13.1653</v>
      </c>
      <c r="T427" s="4" t="inlineStr">
        <is>
          <t>Company Takeover, Going Private</t>
        </is>
      </c>
      <c r="U427" s="2" t="inlineStr">
        <is>
          <t>No</t>
        </is>
      </c>
      <c r="V427" s="2" t="inlineStr">
        <is>
          <t>No</t>
        </is>
      </c>
      <c r="W427" s="2" t="inlineStr">
        <is>
          <t>No</t>
        </is>
      </c>
      <c r="X427" s="2" t="inlineStr">
        <is>
          <t>Yes</t>
        </is>
      </c>
      <c r="Y427" s="2" t="inlineStr">
        <is>
          <t>No</t>
        </is>
      </c>
      <c r="Z427" s="2" t="inlineStr">
        <is>
          <t>No</t>
        </is>
      </c>
      <c r="AA427" s="6" t="n">
        <v>3.87082161</v>
      </c>
      <c r="AB427" s="6" t="n">
        <v>3.299289334</v>
      </c>
      <c r="AC427" s="6" t="n">
        <v>3.607256596</v>
      </c>
      <c r="AD427">
        <f t="array" ref="AD427">IF(SUMPRODUCT(--($AM$2:$AM$112=TRIM(LEFT($B427,IFERROR(FIND(" ",$B427)-1,LEN($B427))))))&gt;0,1,0)</f>
        <v/>
      </c>
      <c r="AE427">
        <f t="array" ref="AE427">IF(SUMPRODUCT(--($AO$2:$AO$145=TRIM(LEFT($B427,IFERROR(FIND(" ",$B427)-1,LEN($B427))))))&gt;0,1,0)</f>
        <v/>
      </c>
      <c r="AF427">
        <f t="array" ref="AF427">IF(SUMPRODUCT(--($AQ$2:$AQ$71=TRIM(LEFT($B427,IFERROR(FIND(" ",$B427)-1,LEN($B427))))))&gt;0,1,0)</f>
        <v/>
      </c>
    </row>
    <row r="428" ht="165.75" customHeight="1" thickBot="1">
      <c r="A428" s="13" t="n">
        <v>150</v>
      </c>
      <c r="B428" s="4" t="inlineStr">
        <is>
          <t>VIVO US</t>
        </is>
      </c>
      <c r="C428" s="2" t="n"/>
      <c r="D428" s="7" t="n">
        <v>44749</v>
      </c>
      <c r="E428" s="3" t="n">
        <v>1437.78</v>
      </c>
      <c r="F428" s="4" t="inlineStr">
        <is>
          <t>Cash</t>
        </is>
      </c>
      <c r="G428" s="3" t="n">
        <v>18.74</v>
      </c>
      <c r="H428" s="4" t="inlineStr">
        <is>
          <t>Health Care</t>
        </is>
      </c>
      <c r="I428" s="4" t="inlineStr">
        <is>
          <t>Health Care</t>
        </is>
      </c>
      <c r="J428" s="4" t="inlineStr">
        <is>
          <t>Medical Equipment &amp; Devices</t>
        </is>
      </c>
      <c r="K428" s="4" t="n"/>
      <c r="L428" s="3" t="n">
        <v>45.96</v>
      </c>
      <c r="M428" s="3" t="n">
        <v>16.01</v>
      </c>
      <c r="N428" s="3" t="n">
        <v>1481.55</v>
      </c>
      <c r="O428" s="4" t="inlineStr">
        <is>
          <t>United States</t>
        </is>
      </c>
      <c r="P428" s="4" t="inlineStr">
        <is>
          <t>South Korea</t>
        </is>
      </c>
      <c r="Q428" s="4" t="inlineStr">
        <is>
          <t>Friendly</t>
        </is>
      </c>
      <c r="R428" s="3" t="n">
        <v>0.061</v>
      </c>
      <c r="S428" s="3" t="n">
        <v>-14300</v>
      </c>
      <c r="T428" s="4" t="inlineStr">
        <is>
          <t>Company Takeover, PE Buyout, Private Equity, Cross Border, Going Private</t>
        </is>
      </c>
      <c r="U428" s="2" t="inlineStr">
        <is>
          <t>No</t>
        </is>
      </c>
      <c r="V428" s="2" t="inlineStr">
        <is>
          <t>No</t>
        </is>
      </c>
      <c r="W428" s="2" t="inlineStr">
        <is>
          <t>Yes</t>
        </is>
      </c>
      <c r="X428" s="2" t="inlineStr">
        <is>
          <t>Yes</t>
        </is>
      </c>
      <c r="Y428" s="2" t="inlineStr">
        <is>
          <t>Yes</t>
        </is>
      </c>
      <c r="Z428" s="2" t="inlineStr">
        <is>
          <t>No</t>
        </is>
      </c>
      <c r="AA428" s="6" t="n">
        <v>3.157692438</v>
      </c>
      <c r="AB428" s="6" t="n">
        <v>-1.214670165</v>
      </c>
      <c r="AC428" s="6" t="n">
        <v>3.170716313</v>
      </c>
      <c r="AD428">
        <f t="array" ref="AD428">IF(SUMPRODUCT(--($AM$2:$AM$112=TRIM(LEFT($B428,IFERROR(FIND(" ",$B428)-1,LEN($B428))))))&gt;0,1,0)</f>
        <v/>
      </c>
      <c r="AE428">
        <f t="array" ref="AE428">IF(SUMPRODUCT(--($AO$2:$AO$145=TRIM(LEFT($B428,IFERROR(FIND(" ",$B428)-1,LEN($B428))))))&gt;0,1,0)</f>
        <v/>
      </c>
      <c r="AF428">
        <f t="array" ref="AF428">IF(SUMPRODUCT(--($AQ$2:$AQ$71=TRIM(LEFT($B428,IFERROR(FIND(" ",$B428)-1,LEN($B428))))))&gt;0,1,0)</f>
        <v/>
      </c>
    </row>
    <row r="429" ht="75.75" customHeight="1" thickBot="1">
      <c r="A429" s="13" t="n">
        <v>62</v>
      </c>
      <c r="B429" s="4" t="inlineStr">
        <is>
          <t>BNFT US</t>
        </is>
      </c>
      <c r="C429" s="4" t="inlineStr">
        <is>
          <t>VOYA US</t>
        </is>
      </c>
      <c r="D429" s="7" t="n">
        <v>44866</v>
      </c>
      <c r="E429" s="3" t="n">
        <v>508.52</v>
      </c>
      <c r="F429" s="4" t="inlineStr">
        <is>
          <t>Cash</t>
        </is>
      </c>
      <c r="G429" s="3" t="n">
        <v>33.05</v>
      </c>
      <c r="H429" s="4" t="inlineStr">
        <is>
          <t>Technology</t>
        </is>
      </c>
      <c r="I429" s="4" t="inlineStr">
        <is>
          <t>Software &amp; Tech Services</t>
        </is>
      </c>
      <c r="J429" s="4" t="inlineStr">
        <is>
          <t>Software</t>
        </is>
      </c>
      <c r="K429" s="4" t="n"/>
      <c r="L429" s="4" t="n"/>
      <c r="M429" s="3" t="n">
        <v>67.09999999999999</v>
      </c>
      <c r="N429" s="3" t="n">
        <v>359.48</v>
      </c>
      <c r="O429" s="4" t="inlineStr">
        <is>
          <t>United States</t>
        </is>
      </c>
      <c r="P429" s="4" t="inlineStr">
        <is>
          <t>United States</t>
        </is>
      </c>
      <c r="Q429" s="4" t="inlineStr">
        <is>
          <t>Friendly</t>
        </is>
      </c>
      <c r="R429" s="3" t="n">
        <v>263.097</v>
      </c>
      <c r="S429" s="3" t="n">
        <v>-4.48564</v>
      </c>
      <c r="T429" s="4" t="inlineStr">
        <is>
          <t>Company Takeover, Going Private</t>
        </is>
      </c>
      <c r="U429" s="2" t="inlineStr">
        <is>
          <t>No</t>
        </is>
      </c>
      <c r="V429" s="2" t="inlineStr">
        <is>
          <t>No</t>
        </is>
      </c>
      <c r="W429" s="2" t="inlineStr">
        <is>
          <t>No</t>
        </is>
      </c>
      <c r="X429" s="2" t="inlineStr">
        <is>
          <t>Yes</t>
        </is>
      </c>
      <c r="Y429" s="2" t="inlineStr">
        <is>
          <t>No</t>
        </is>
      </c>
      <c r="Z429" s="2" t="inlineStr">
        <is>
          <t>No</t>
        </is>
      </c>
      <c r="AA429" s="6" t="n">
        <v>2.706308038</v>
      </c>
      <c r="AB429" s="6" t="n">
        <v>2.420115896</v>
      </c>
      <c r="AC429" s="6" t="n">
        <v>2.555674733</v>
      </c>
      <c r="AD429">
        <f t="array" ref="AD429">IF(SUMPRODUCT(--($AM$2:$AM$112=TRIM(LEFT($B429,IFERROR(FIND(" ",$B429)-1,LEN($B429))))))&gt;0,1,0)</f>
        <v/>
      </c>
      <c r="AE429">
        <f t="array" ref="AE429">IF(SUMPRODUCT(--($AO$2:$AO$145=TRIM(LEFT($B429,IFERROR(FIND(" ",$B429)-1,LEN($B429))))))&gt;0,1,0)</f>
        <v/>
      </c>
      <c r="AF429">
        <f t="array" ref="AF429">IF(SUMPRODUCT(--($AQ$2:$AQ$71=TRIM(LEFT($B429,IFERROR(FIND(" ",$B429)-1,LEN($B429))))))&gt;0,1,0)</f>
        <v/>
      </c>
    </row>
    <row r="430" ht="45.75" customHeight="1" thickBot="1">
      <c r="A430" s="13" t="n">
        <v>54</v>
      </c>
      <c r="B430" s="4" t="inlineStr">
        <is>
          <t>MMX CN</t>
        </is>
      </c>
      <c r="C430" s="4" t="inlineStr">
        <is>
          <t>TFPM CN</t>
        </is>
      </c>
      <c r="D430" s="7" t="n">
        <v>44875</v>
      </c>
      <c r="E430" s="3" t="n">
        <v>598.1900000000001</v>
      </c>
      <c r="F430" s="4" t="inlineStr">
        <is>
          <t>Cash or Stock</t>
        </is>
      </c>
      <c r="G430" s="3" t="n">
        <v>14.94</v>
      </c>
      <c r="H430" s="4" t="inlineStr">
        <is>
          <t>Materials</t>
        </is>
      </c>
      <c r="I430" s="4" t="inlineStr">
        <is>
          <t>Materials</t>
        </is>
      </c>
      <c r="J430" s="4" t="inlineStr">
        <is>
          <t>Metals &amp; Mining</t>
        </is>
      </c>
      <c r="K430" s="4" t="n"/>
      <c r="L430" s="4" t="n"/>
      <c r="M430" s="3" t="n">
        <v>25.99</v>
      </c>
      <c r="N430" s="3" t="n">
        <v>604.15</v>
      </c>
      <c r="O430" s="4" t="inlineStr">
        <is>
          <t>Canada</t>
        </is>
      </c>
      <c r="P430" s="4" t="inlineStr">
        <is>
          <t>Canada</t>
        </is>
      </c>
      <c r="Q430" s="4" t="inlineStr">
        <is>
          <t>Friendly</t>
        </is>
      </c>
      <c r="R430" s="2" t="n"/>
      <c r="S430" s="2" t="n"/>
      <c r="T430" s="4" t="inlineStr">
        <is>
          <t>Company Takeover</t>
        </is>
      </c>
      <c r="U430" s="2" t="inlineStr">
        <is>
          <t>No</t>
        </is>
      </c>
      <c r="V430" s="2" t="inlineStr">
        <is>
          <t>No</t>
        </is>
      </c>
      <c r="W430" s="2" t="inlineStr">
        <is>
          <t>No</t>
        </is>
      </c>
      <c r="X430" s="2" t="inlineStr">
        <is>
          <t>No</t>
        </is>
      </c>
      <c r="Y430" s="2" t="inlineStr">
        <is>
          <t>No</t>
        </is>
      </c>
      <c r="Z430" s="2" t="inlineStr">
        <is>
          <t>No</t>
        </is>
      </c>
      <c r="AA430" s="6" t="n">
        <v>2.776839149</v>
      </c>
      <c r="AB430" s="2" t="n"/>
      <c r="AC430" s="6" t="n">
        <v>2.78114478</v>
      </c>
      <c r="AD430">
        <f t="array" ref="AD430">IF(SUMPRODUCT(--($AM$2:$AM$112=TRIM(LEFT($B430,IFERROR(FIND(" ",$B430)-1,LEN($B430))))))&gt;0,1,0)</f>
        <v/>
      </c>
      <c r="AE430">
        <f t="array" ref="AE430">IF(SUMPRODUCT(--($AO$2:$AO$145=TRIM(LEFT($B430,IFERROR(FIND(" ",$B430)-1,LEN($B430))))))&gt;0,1,0)</f>
        <v/>
      </c>
      <c r="AF430">
        <f t="array" ref="AF430">IF(SUMPRODUCT(--($AQ$2:$AQ$71=TRIM(LEFT($B430,IFERROR(FIND(" ",$B430)-1,LEN($B430))))))&gt;0,1,0)</f>
        <v/>
      </c>
    </row>
    <row r="431" ht="75.75" customHeight="1" thickBot="1">
      <c r="A431" s="13" t="n">
        <v>121</v>
      </c>
      <c r="B431" s="4" t="inlineStr">
        <is>
          <t>SW CN</t>
        </is>
      </c>
      <c r="C431" s="4" t="inlineStr">
        <is>
          <t>SMTC US</t>
        </is>
      </c>
      <c r="D431" s="7" t="n">
        <v>44775</v>
      </c>
      <c r="E431" s="3" t="n">
        <v>1225.84</v>
      </c>
      <c r="F431" s="4" t="inlineStr">
        <is>
          <t>Cash</t>
        </is>
      </c>
      <c r="G431" s="4" t="n"/>
      <c r="H431" s="4" t="inlineStr">
        <is>
          <t>Technology</t>
        </is>
      </c>
      <c r="I431" s="4" t="inlineStr">
        <is>
          <t>Tech Hardware &amp; Semiconductors</t>
        </is>
      </c>
      <c r="J431" s="4" t="inlineStr">
        <is>
          <t>Technology Hardware</t>
        </is>
      </c>
      <c r="K431" s="4" t="n"/>
      <c r="L431" s="4" t="n"/>
      <c r="M431" s="3" t="n">
        <v>25.43</v>
      </c>
      <c r="N431" s="3" t="n">
        <v>1207.16</v>
      </c>
      <c r="O431" s="4" t="inlineStr">
        <is>
          <t>Canada</t>
        </is>
      </c>
      <c r="P431" s="4" t="inlineStr">
        <is>
          <t>United States</t>
        </is>
      </c>
      <c r="Q431" s="4" t="inlineStr">
        <is>
          <t>Friendly</t>
        </is>
      </c>
      <c r="R431" s="3" t="n">
        <v>473.209</v>
      </c>
      <c r="S431" s="3" t="n">
        <v>-0.794385</v>
      </c>
      <c r="T431" s="4" t="inlineStr">
        <is>
          <t>Company Takeover, Cross Border</t>
        </is>
      </c>
      <c r="U431" s="2" t="inlineStr">
        <is>
          <t>No</t>
        </is>
      </c>
      <c r="V431" s="2" t="inlineStr">
        <is>
          <t>No</t>
        </is>
      </c>
      <c r="W431" s="2" t="inlineStr">
        <is>
          <t>Yes</t>
        </is>
      </c>
      <c r="X431" s="2" t="inlineStr">
        <is>
          <t>No</t>
        </is>
      </c>
      <c r="Y431" s="2" t="inlineStr">
        <is>
          <t>No</t>
        </is>
      </c>
      <c r="Z431" s="2" t="inlineStr">
        <is>
          <t>No</t>
        </is>
      </c>
      <c r="AA431" s="6" t="n">
        <v>3.088433789</v>
      </c>
      <c r="AB431" s="6" t="n">
        <v>2.675052996</v>
      </c>
      <c r="AC431" s="6" t="n">
        <v>3.081764836</v>
      </c>
      <c r="AD431">
        <f t="array" ref="AD431">IF(SUMPRODUCT(--($AM$2:$AM$112=TRIM(LEFT($B431,IFERROR(FIND(" ",$B431)-1,LEN($B431))))))&gt;0,1,0)</f>
        <v/>
      </c>
      <c r="AE431">
        <f t="array" ref="AE431">IF(SUMPRODUCT(--($AO$2:$AO$145=TRIM(LEFT($B431,IFERROR(FIND(" ",$B431)-1,LEN($B431))))))&gt;0,1,0)</f>
        <v/>
      </c>
      <c r="AF431">
        <f t="array" ref="AF431">IF(SUMPRODUCT(--($AQ$2:$AQ$71=TRIM(LEFT($B431,IFERROR(FIND(" ",$B431)-1,LEN($B431))))))&gt;0,1,0)</f>
        <v/>
      </c>
    </row>
    <row r="432" ht="135.75" customHeight="1" thickBot="1">
      <c r="A432" s="13" t="n">
        <v>39</v>
      </c>
      <c r="B432" s="4" t="inlineStr">
        <is>
          <t>IMGO US</t>
        </is>
      </c>
      <c r="C432" s="4" t="inlineStr">
        <is>
          <t>MRK US</t>
        </is>
      </c>
      <c r="D432" s="7" t="n">
        <v>44886</v>
      </c>
      <c r="E432" s="3" t="n">
        <v>1000.19</v>
      </c>
      <c r="F432" s="4" t="inlineStr">
        <is>
          <t>Cash</t>
        </is>
      </c>
      <c r="G432" s="4" t="n"/>
      <c r="H432" s="4" t="inlineStr">
        <is>
          <t>Health Care</t>
        </is>
      </c>
      <c r="I432" s="4" t="inlineStr">
        <is>
          <t>Health Care</t>
        </is>
      </c>
      <c r="J432" s="4" t="inlineStr">
        <is>
          <t>Biotech &amp; Pharma</t>
        </is>
      </c>
      <c r="K432" s="4" t="n"/>
      <c r="L432" s="4" t="n"/>
      <c r="M432" s="3" t="n">
        <v>113.06</v>
      </c>
      <c r="N432" s="3" t="n">
        <v>1217.6</v>
      </c>
      <c r="O432" s="4" t="inlineStr">
        <is>
          <t>United States</t>
        </is>
      </c>
      <c r="P432" s="4" t="inlineStr">
        <is>
          <t>United States</t>
        </is>
      </c>
      <c r="Q432" s="4" t="inlineStr">
        <is>
          <t>Friendly</t>
        </is>
      </c>
      <c r="R432" s="2" t="n"/>
      <c r="S432" s="2" t="n"/>
      <c r="T432" s="4" t="inlineStr">
        <is>
          <t>Company Takeover, Tender Offer, Private Equity, PE Buyout</t>
        </is>
      </c>
      <c r="U432" s="2" t="inlineStr">
        <is>
          <t>No</t>
        </is>
      </c>
      <c r="V432" s="2" t="inlineStr">
        <is>
          <t>No</t>
        </is>
      </c>
      <c r="W432" s="2" t="inlineStr">
        <is>
          <t>No</t>
        </is>
      </c>
      <c r="X432" s="2" t="inlineStr">
        <is>
          <t>No</t>
        </is>
      </c>
      <c r="Y432" s="2" t="inlineStr">
        <is>
          <t>Yes</t>
        </is>
      </c>
      <c r="Z432" s="2" t="inlineStr">
        <is>
          <t>Yes</t>
        </is>
      </c>
      <c r="AA432" s="6" t="n">
        <v>3.000082508</v>
      </c>
      <c r="AB432" s="2" t="n"/>
      <c r="AC432" s="6" t="n">
        <v>3.085504639</v>
      </c>
      <c r="AD432">
        <f t="array" ref="AD432">IF(SUMPRODUCT(--($AM$2:$AM$112=TRIM(LEFT($B432,IFERROR(FIND(" ",$B432)-1,LEN($B432))))))&gt;0,1,0)</f>
        <v/>
      </c>
      <c r="AE432">
        <f t="array" ref="AE432">IF(SUMPRODUCT(--($AO$2:$AO$145=TRIM(LEFT($B432,IFERROR(FIND(" ",$B432)-1,LEN($B432))))))&gt;0,1,0)</f>
        <v/>
      </c>
      <c r="AF432">
        <f t="array" ref="AF432">IF(SUMPRODUCT(--($AQ$2:$AQ$71=TRIM(LEFT($B432,IFERROR(FIND(" ",$B432)-1,LEN($B432))))))&gt;0,1,0)</f>
        <v/>
      </c>
    </row>
    <row r="433" ht="135.75" customHeight="1" thickBot="1">
      <c r="A433" s="13" t="n">
        <v>56</v>
      </c>
      <c r="B433" s="4" t="inlineStr">
        <is>
          <t>USER US</t>
        </is>
      </c>
      <c r="C433" s="2" t="n"/>
      <c r="D433" s="7" t="n">
        <v>44861</v>
      </c>
      <c r="E433" s="3" t="n">
        <v>919.6799999999999</v>
      </c>
      <c r="F433" s="4" t="inlineStr">
        <is>
          <t>Cash</t>
        </is>
      </c>
      <c r="G433" s="4" t="n"/>
      <c r="H433" s="4" t="inlineStr">
        <is>
          <t>Technology</t>
        </is>
      </c>
      <c r="I433" s="4" t="inlineStr">
        <is>
          <t>Software &amp; Tech Services</t>
        </is>
      </c>
      <c r="J433" s="4" t="inlineStr">
        <is>
          <t>Software</t>
        </is>
      </c>
      <c r="K433" s="4" t="n"/>
      <c r="L433" s="4" t="n"/>
      <c r="M433" s="3" t="n">
        <v>95.19</v>
      </c>
      <c r="N433" s="3" t="n">
        <v>1079.84</v>
      </c>
      <c r="O433" s="4" t="inlineStr">
        <is>
          <t>United States</t>
        </is>
      </c>
      <c r="P433" s="4" t="inlineStr">
        <is>
          <t>United States</t>
        </is>
      </c>
      <c r="Q433" s="4" t="inlineStr">
        <is>
          <t>Friendly</t>
        </is>
      </c>
      <c r="R433" s="3" t="n">
        <v>147.398</v>
      </c>
      <c r="S433" s="3" t="n">
        <v>-34.7196</v>
      </c>
      <c r="T433" s="4" t="inlineStr">
        <is>
          <t>PE Buyout, Going Private, Company Takeover, Private Equity</t>
        </is>
      </c>
      <c r="U433" s="2" t="inlineStr">
        <is>
          <t>No</t>
        </is>
      </c>
      <c r="V433" s="2" t="inlineStr">
        <is>
          <t>No</t>
        </is>
      </c>
      <c r="W433" s="2" t="inlineStr">
        <is>
          <t>No</t>
        </is>
      </c>
      <c r="X433" s="2" t="inlineStr">
        <is>
          <t>Yes</t>
        </is>
      </c>
      <c r="Y433" s="2" t="inlineStr">
        <is>
          <t>Yes</t>
        </is>
      </c>
      <c r="Z433" s="2" t="inlineStr">
        <is>
          <t>No</t>
        </is>
      </c>
      <c r="AA433" s="6" t="n">
        <v>2.963636742</v>
      </c>
      <c r="AB433" s="6" t="n">
        <v>2.168491591</v>
      </c>
      <c r="AC433" s="6" t="n">
        <v>3.033359411</v>
      </c>
      <c r="AD433">
        <f t="array" ref="AD433">IF(SUMPRODUCT(--($AM$2:$AM$112=TRIM(LEFT($B433,IFERROR(FIND(" ",$B433)-1,LEN($B433))))))&gt;0,1,0)</f>
        <v/>
      </c>
      <c r="AE433">
        <f t="array" ref="AE433">IF(SUMPRODUCT(--($AO$2:$AO$145=TRIM(LEFT($B433,IFERROR(FIND(" ",$B433)-1,LEN($B433))))))&gt;0,1,0)</f>
        <v/>
      </c>
      <c r="AF433">
        <f t="array" ref="AF433">IF(SUMPRODUCT(--($AQ$2:$AQ$71=TRIM(LEFT($B433,IFERROR(FIND(" ",$B433)-1,LEN($B433))))))&gt;0,1,0)</f>
        <v/>
      </c>
    </row>
    <row r="434" ht="135.75" customHeight="1" thickBot="1">
      <c r="A434" s="13" t="n">
        <v>70</v>
      </c>
      <c r="B434" s="4" t="inlineStr">
        <is>
          <t>POSH US</t>
        </is>
      </c>
      <c r="C434" s="4" t="inlineStr">
        <is>
          <t>035420 KS</t>
        </is>
      </c>
      <c r="D434" s="7" t="n">
        <v>44837</v>
      </c>
      <c r="E434" s="3" t="n">
        <v>836.45</v>
      </c>
      <c r="F434" s="4" t="inlineStr">
        <is>
          <t>Cash</t>
        </is>
      </c>
      <c r="G434" s="4" t="n"/>
      <c r="H434" s="4" t="inlineStr">
        <is>
          <t>Consumer Discretionary</t>
        </is>
      </c>
      <c r="I434" s="4" t="inlineStr">
        <is>
          <t>Retail &amp; Whsle - Discretionary</t>
        </is>
      </c>
      <c r="J434" s="4" t="inlineStr">
        <is>
          <t>E-Commerce Discretionary</t>
        </is>
      </c>
      <c r="K434" s="4" t="n"/>
      <c r="L434" s="4" t="n"/>
      <c r="M434" s="3" t="n">
        <v>32.81</v>
      </c>
      <c r="N434" s="3" t="n">
        <v>1406.15</v>
      </c>
      <c r="O434" s="4" t="inlineStr">
        <is>
          <t>United States</t>
        </is>
      </c>
      <c r="P434" s="4" t="inlineStr">
        <is>
          <t>South Korea</t>
        </is>
      </c>
      <c r="Q434" s="4" t="inlineStr">
        <is>
          <t>Friendly</t>
        </is>
      </c>
      <c r="R434" s="3" t="n">
        <v>326.009</v>
      </c>
      <c r="S434" s="3" t="n">
        <v>-21.7302</v>
      </c>
      <c r="T434" s="4" t="inlineStr">
        <is>
          <t>Company Takeover, Cross Border, Private Equity, PE Buyout</t>
        </is>
      </c>
      <c r="U434" s="2" t="inlineStr">
        <is>
          <t>No</t>
        </is>
      </c>
      <c r="V434" s="2" t="inlineStr">
        <is>
          <t>No</t>
        </is>
      </c>
      <c r="W434" s="2" t="inlineStr">
        <is>
          <t>Yes</t>
        </is>
      </c>
      <c r="X434" s="2" t="inlineStr">
        <is>
          <t>No</t>
        </is>
      </c>
      <c r="Y434" s="2" t="inlineStr">
        <is>
          <t>Yes</t>
        </is>
      </c>
      <c r="Z434" s="2" t="inlineStr">
        <is>
          <t>No</t>
        </is>
      </c>
      <c r="AA434" s="6" t="n">
        <v>2.922439985</v>
      </c>
      <c r="AB434" s="6" t="n">
        <v>2.51322959</v>
      </c>
      <c r="AC434" s="6" t="n">
        <v>3.148031651</v>
      </c>
      <c r="AD434">
        <f t="array" ref="AD434">IF(SUMPRODUCT(--($AM$2:$AM$112=TRIM(LEFT($B434,IFERROR(FIND(" ",$B434)-1,LEN($B434))))))&gt;0,1,0)</f>
        <v/>
      </c>
      <c r="AE434">
        <f t="array" ref="AE434">IF(SUMPRODUCT(--($AO$2:$AO$145=TRIM(LEFT($B434,IFERROR(FIND(" ",$B434)-1,LEN($B434))))))&gt;0,1,0)</f>
        <v/>
      </c>
      <c r="AF434">
        <f t="array" ref="AF434">IF(SUMPRODUCT(--($AQ$2:$AQ$71=TRIM(LEFT($B434,IFERROR(FIND(" ",$B434)-1,LEN($B434))))))&gt;0,1,0)</f>
        <v/>
      </c>
    </row>
    <row r="435" ht="45.75" customHeight="1" thickBot="1">
      <c r="A435" s="13" t="n">
        <v>83</v>
      </c>
      <c r="B435" s="4" t="inlineStr">
        <is>
          <t>MNRL US</t>
        </is>
      </c>
      <c r="C435" s="4" t="inlineStr">
        <is>
          <t>STR US</t>
        </is>
      </c>
      <c r="D435" s="7" t="n">
        <v>44810</v>
      </c>
      <c r="E435" s="3" t="n">
        <v>1700.93</v>
      </c>
      <c r="F435" s="4" t="inlineStr">
        <is>
          <t>Stock</t>
        </is>
      </c>
      <c r="G435" s="3" t="n">
        <v>8.24</v>
      </c>
      <c r="H435" s="4" t="inlineStr">
        <is>
          <t>Energy</t>
        </is>
      </c>
      <c r="I435" s="4" t="inlineStr">
        <is>
          <t>Oil &amp; Gas</t>
        </is>
      </c>
      <c r="J435" s="4" t="inlineStr">
        <is>
          <t>Oil &amp; Gas Supply Chain</t>
        </is>
      </c>
      <c r="K435" s="4" t="n"/>
      <c r="L435" s="4" t="n"/>
      <c r="M435" s="4" t="n"/>
      <c r="N435" s="3" t="n">
        <v>1645.69</v>
      </c>
      <c r="O435" s="4" t="inlineStr">
        <is>
          <t>United States</t>
        </is>
      </c>
      <c r="P435" s="4" t="inlineStr">
        <is>
          <t>United States</t>
        </is>
      </c>
      <c r="Q435" s="4" t="inlineStr">
        <is>
          <t>Friendly</t>
        </is>
      </c>
      <c r="R435" s="3" t="n">
        <v>161.217</v>
      </c>
      <c r="S435" s="3" t="n">
        <v>64.5765</v>
      </c>
      <c r="T435" s="4" t="inlineStr">
        <is>
          <t>Company Takeover</t>
        </is>
      </c>
      <c r="U435" s="2" t="inlineStr">
        <is>
          <t>No</t>
        </is>
      </c>
      <c r="V435" s="2" t="inlineStr">
        <is>
          <t>No</t>
        </is>
      </c>
      <c r="W435" s="2" t="inlineStr">
        <is>
          <t>No</t>
        </is>
      </c>
      <c r="X435" s="2" t="inlineStr">
        <is>
          <t>No</t>
        </is>
      </c>
      <c r="Y435" s="2" t="inlineStr">
        <is>
          <t>No</t>
        </is>
      </c>
      <c r="Z435" s="2" t="inlineStr">
        <is>
          <t>No</t>
        </is>
      </c>
      <c r="AA435" s="6" t="n">
        <v>3.230686441</v>
      </c>
      <c r="AB435" s="6" t="n">
        <v>2.207410835</v>
      </c>
      <c r="AC435" s="6" t="n">
        <v>3.21634803</v>
      </c>
      <c r="AD435">
        <f t="array" ref="AD435">IF(SUMPRODUCT(--($AM$2:$AM$112=TRIM(LEFT($B435,IFERROR(FIND(" ",$B435)-1,LEN($B435))))))&gt;0,1,0)</f>
        <v/>
      </c>
      <c r="AE435">
        <f t="array" ref="AE435">IF(SUMPRODUCT(--($AO$2:$AO$145=TRIM(LEFT($B435,IFERROR(FIND(" ",$B435)-1,LEN($B435))))))&gt;0,1,0)</f>
        <v/>
      </c>
      <c r="AF435">
        <f t="array" ref="AF435">IF(SUMPRODUCT(--($AQ$2:$AQ$71=TRIM(LEFT($B435,IFERROR(FIND(" ",$B435)-1,LEN($B435))))))&gt;0,1,0)</f>
        <v/>
      </c>
    </row>
    <row r="436" ht="75.75" customHeight="1" thickBot="1">
      <c r="A436" s="13" t="n">
        <v>53</v>
      </c>
      <c r="B436" s="4" t="inlineStr">
        <is>
          <t>LFG US</t>
        </is>
      </c>
      <c r="C436" s="4" t="inlineStr">
        <is>
          <t>BP/ LN</t>
        </is>
      </c>
      <c r="D436" s="7" t="n">
        <v>44851</v>
      </c>
      <c r="E436" s="3" t="n">
        <v>3476.26</v>
      </c>
      <c r="F436" s="4" t="inlineStr">
        <is>
          <t>Cash</t>
        </is>
      </c>
      <c r="G436" s="3" t="n">
        <v>206.54</v>
      </c>
      <c r="H436" s="4" t="inlineStr">
        <is>
          <t>Industrials</t>
        </is>
      </c>
      <c r="I436" s="4" t="inlineStr">
        <is>
          <t>Industrial Services</t>
        </is>
      </c>
      <c r="J436" s="4" t="inlineStr">
        <is>
          <t>Commercial Support Services</t>
        </is>
      </c>
      <c r="K436" s="4" t="n"/>
      <c r="L436" s="4" t="n"/>
      <c r="M436" s="3" t="n">
        <v>40.73</v>
      </c>
      <c r="N436" s="3" t="n">
        <v>3114.23</v>
      </c>
      <c r="O436" s="4" t="inlineStr">
        <is>
          <t>United States</t>
        </is>
      </c>
      <c r="P436" s="4" t="inlineStr">
        <is>
          <t>United Kingdom</t>
        </is>
      </c>
      <c r="Q436" s="4" t="inlineStr">
        <is>
          <t>Friendly</t>
        </is>
      </c>
      <c r="R436" s="3" t="n">
        <v>77.126</v>
      </c>
      <c r="S436" s="3" t="n">
        <v>-11.5186</v>
      </c>
      <c r="T436" s="4" t="inlineStr">
        <is>
          <t>Cross Border, Company Takeover</t>
        </is>
      </c>
      <c r="U436" s="2" t="inlineStr">
        <is>
          <t>No</t>
        </is>
      </c>
      <c r="V436" s="2" t="inlineStr">
        <is>
          <t>No</t>
        </is>
      </c>
      <c r="W436" s="2" t="inlineStr">
        <is>
          <t>Yes</t>
        </is>
      </c>
      <c r="X436" s="2" t="inlineStr">
        <is>
          <t>No</t>
        </is>
      </c>
      <c r="Y436" s="2" t="inlineStr">
        <is>
          <t>No</t>
        </is>
      </c>
      <c r="Z436" s="2" t="inlineStr">
        <is>
          <t>No</t>
        </is>
      </c>
      <c r="AA436" s="6" t="n">
        <v>3.541112251</v>
      </c>
      <c r="AB436" s="6" t="n">
        <v>1.887200808</v>
      </c>
      <c r="AC436" s="6" t="n">
        <v>3.493350684</v>
      </c>
      <c r="AD436">
        <f t="array" ref="AD436">IF(SUMPRODUCT(--($AM$2:$AM$112=TRIM(LEFT($B436,IFERROR(FIND(" ",$B436)-1,LEN($B436))))))&gt;0,1,0)</f>
        <v/>
      </c>
      <c r="AE436">
        <f t="array" ref="AE436">IF(SUMPRODUCT(--($AO$2:$AO$145=TRIM(LEFT($B436,IFERROR(FIND(" ",$B436)-1,LEN($B436))))))&gt;0,1,0)</f>
        <v/>
      </c>
      <c r="AF436">
        <f t="array" ref="AF436">IF(SUMPRODUCT(--($AQ$2:$AQ$71=TRIM(LEFT($B436,IFERROR(FIND(" ",$B436)-1,LEN($B436))))))&gt;0,1,0)</f>
        <v/>
      </c>
    </row>
    <row r="437" ht="75.75" customHeight="1" thickBot="1">
      <c r="A437" s="13" t="n">
        <v>39</v>
      </c>
      <c r="B437" s="4" t="inlineStr">
        <is>
          <t>ABMD US</t>
        </is>
      </c>
      <c r="C437" s="4" t="inlineStr">
        <is>
          <t>JNJ US</t>
        </is>
      </c>
      <c r="D437" s="7" t="n">
        <v>44866</v>
      </c>
      <c r="E437" s="3" t="n">
        <v>16270.94</v>
      </c>
      <c r="F437" s="4" t="inlineStr">
        <is>
          <t>Cash</t>
        </is>
      </c>
      <c r="G437" s="3" t="n">
        <v>56.52</v>
      </c>
      <c r="H437" s="4" t="inlineStr">
        <is>
          <t>Health Care</t>
        </is>
      </c>
      <c r="I437" s="4" t="inlineStr">
        <is>
          <t>Health Care</t>
        </is>
      </c>
      <c r="J437" s="4" t="inlineStr">
        <is>
          <t>Medical Equipment &amp; Devices</t>
        </is>
      </c>
      <c r="K437" s="4" t="n"/>
      <c r="L437" s="4" t="n"/>
      <c r="M437" s="3" t="n">
        <v>47.79</v>
      </c>
      <c r="N437" s="3" t="n">
        <v>17275.14</v>
      </c>
      <c r="O437" s="4" t="inlineStr">
        <is>
          <t>United States</t>
        </is>
      </c>
      <c r="P437" s="4" t="inlineStr">
        <is>
          <t>United States</t>
        </is>
      </c>
      <c r="Q437" s="4" t="inlineStr">
        <is>
          <t>Friendly</t>
        </is>
      </c>
      <c r="R437" s="3" t="n">
        <v>1031.75</v>
      </c>
      <c r="S437" s="3" t="n">
        <v>23.6118</v>
      </c>
      <c r="T437" s="4" t="inlineStr">
        <is>
          <t>Tender Offer, Company Takeover</t>
        </is>
      </c>
      <c r="U437" s="2" t="inlineStr">
        <is>
          <t>No</t>
        </is>
      </c>
      <c r="V437" s="2" t="inlineStr">
        <is>
          <t>No</t>
        </is>
      </c>
      <c r="W437" s="2" t="inlineStr">
        <is>
          <t>No</t>
        </is>
      </c>
      <c r="X437" s="2" t="inlineStr">
        <is>
          <t>No</t>
        </is>
      </c>
      <c r="Y437" s="2" t="inlineStr">
        <is>
          <t>No</t>
        </is>
      </c>
      <c r="Z437" s="2" t="inlineStr">
        <is>
          <t>Yes</t>
        </is>
      </c>
      <c r="AA437" s="6" t="n">
        <v>4.211412644</v>
      </c>
      <c r="AB437" s="6" t="n">
        <v>3.013574478</v>
      </c>
      <c r="AC437" s="6" t="n">
        <v>4.237421576</v>
      </c>
      <c r="AD437">
        <f t="array" ref="AD437">IF(SUMPRODUCT(--($AM$2:$AM$112=TRIM(LEFT($B437,IFERROR(FIND(" ",$B437)-1,LEN($B437))))))&gt;0,1,0)</f>
        <v/>
      </c>
      <c r="AE437">
        <f t="array" ref="AE437">IF(SUMPRODUCT(--($AO$2:$AO$145=TRIM(LEFT($B437,IFERROR(FIND(" ",$B437)-1,LEN($B437))))))&gt;0,1,0)</f>
        <v/>
      </c>
      <c r="AF437">
        <f t="array" ref="AF437">IF(SUMPRODUCT(--($AQ$2:$AQ$71=TRIM(LEFT($B437,IFERROR(FIND(" ",$B437)-1,LEN($B437))))))&gt;0,1,0)</f>
        <v/>
      </c>
    </row>
    <row r="438" ht="165.75" customHeight="1" thickBot="1">
      <c r="A438" s="13" t="n">
        <v>58</v>
      </c>
      <c r="B438" s="4" t="inlineStr">
        <is>
          <t>BTRS US</t>
        </is>
      </c>
      <c r="C438" s="4" t="inlineStr">
        <is>
          <t>1071Z SS</t>
        </is>
      </c>
      <c r="D438" s="7" t="n">
        <v>44832</v>
      </c>
      <c r="E438" s="3" t="n">
        <v>1413.24</v>
      </c>
      <c r="F438" s="4" t="inlineStr">
        <is>
          <t>Cash</t>
        </is>
      </c>
      <c r="G438" s="4" t="n"/>
      <c r="H438" s="4" t="inlineStr">
        <is>
          <t>Technology</t>
        </is>
      </c>
      <c r="I438" s="4" t="inlineStr">
        <is>
          <t>Software &amp; Tech Services</t>
        </is>
      </c>
      <c r="J438" s="4" t="inlineStr">
        <is>
          <t>Software</t>
        </is>
      </c>
      <c r="K438" s="3" t="n">
        <v>100.491</v>
      </c>
      <c r="L438" s="3" t="n">
        <v>50.2455</v>
      </c>
      <c r="M438" s="3" t="n">
        <v>47.18</v>
      </c>
      <c r="N438" s="3" t="n">
        <v>1525.31</v>
      </c>
      <c r="O438" s="4" t="inlineStr">
        <is>
          <t>United States</t>
        </is>
      </c>
      <c r="P438" s="4" t="inlineStr">
        <is>
          <t>Sweden</t>
        </is>
      </c>
      <c r="Q438" s="4" t="inlineStr">
        <is>
          <t>Friendly</t>
        </is>
      </c>
      <c r="R438" s="3" t="n">
        <v>166.405</v>
      </c>
      <c r="S438" s="3" t="n">
        <v>-44.6918</v>
      </c>
      <c r="T438" s="4" t="inlineStr">
        <is>
          <t>PE Buyout, Private Equity, Cross Border, Going Private, Company Takeover</t>
        </is>
      </c>
      <c r="U438" s="2" t="inlineStr">
        <is>
          <t>No</t>
        </is>
      </c>
      <c r="V438" s="2" t="inlineStr">
        <is>
          <t>No</t>
        </is>
      </c>
      <c r="W438" s="2" t="inlineStr">
        <is>
          <t>Yes</t>
        </is>
      </c>
      <c r="X438" s="2" t="inlineStr">
        <is>
          <t>Yes</t>
        </is>
      </c>
      <c r="Y438" s="2" t="inlineStr">
        <is>
          <t>Yes</t>
        </is>
      </c>
      <c r="Z438" s="2" t="inlineStr">
        <is>
          <t>No</t>
        </is>
      </c>
      <c r="AA438" s="6" t="n">
        <v>3.150215921</v>
      </c>
      <c r="AB438" s="6" t="n">
        <v>2.221166371</v>
      </c>
      <c r="AC438" s="6" t="n">
        <v>3.183358118</v>
      </c>
      <c r="AD438">
        <f t="array" ref="AD438">IF(SUMPRODUCT(--($AM$2:$AM$112=TRIM(LEFT($B438,IFERROR(FIND(" ",$B438)-1,LEN($B438))))))&gt;0,1,0)</f>
        <v/>
      </c>
      <c r="AE438">
        <f t="array" ref="AE438">IF(SUMPRODUCT(--($AO$2:$AO$145=TRIM(LEFT($B438,IFERROR(FIND(" ",$B438)-1,LEN($B438))))))&gt;0,1,0)</f>
        <v/>
      </c>
      <c r="AF438">
        <f t="array" ref="AF438">IF(SUMPRODUCT(--($AQ$2:$AQ$71=TRIM(LEFT($B438,IFERROR(FIND(" ",$B438)-1,LEN($B438))))))&gt;0,1,0)</f>
        <v/>
      </c>
    </row>
    <row r="439" ht="45.75" customHeight="1" thickBot="1">
      <c r="A439" s="13" t="n">
        <v>150</v>
      </c>
      <c r="B439" s="4" t="inlineStr">
        <is>
          <t>SWCH US</t>
        </is>
      </c>
      <c r="C439" s="4" t="inlineStr">
        <is>
          <t>DBRG US</t>
        </is>
      </c>
      <c r="D439" s="7" t="n">
        <v>44692</v>
      </c>
      <c r="E439" s="3" t="n">
        <v>6930.25</v>
      </c>
      <c r="F439" s="4" t="inlineStr">
        <is>
          <t>Cash</t>
        </is>
      </c>
      <c r="G439" s="3" t="n">
        <v>26.92</v>
      </c>
      <c r="H439" s="4" t="inlineStr">
        <is>
          <t>Communications</t>
        </is>
      </c>
      <c r="I439" s="4" t="inlineStr">
        <is>
          <t>Telecommunications</t>
        </is>
      </c>
      <c r="J439" s="4" t="inlineStr">
        <is>
          <t>Telecommunications</t>
        </is>
      </c>
      <c r="K439" s="4" t="n"/>
      <c r="L439" s="4" t="n"/>
      <c r="M439" s="3" t="n">
        <v>11.56</v>
      </c>
      <c r="N439" s="3" t="n">
        <v>5150.79</v>
      </c>
      <c r="O439" s="4" t="inlineStr">
        <is>
          <t>United States</t>
        </is>
      </c>
      <c r="P439" s="4" t="inlineStr">
        <is>
          <t>United States</t>
        </is>
      </c>
      <c r="Q439" s="4" t="inlineStr">
        <is>
          <t>Friendly</t>
        </is>
      </c>
      <c r="R439" s="3" t="n">
        <v>592.045</v>
      </c>
      <c r="S439" s="3" t="n">
        <v>6.74961</v>
      </c>
      <c r="T439" s="4" t="inlineStr">
        <is>
          <t>Company Takeover</t>
        </is>
      </c>
      <c r="U439" s="2" t="inlineStr">
        <is>
          <t>No</t>
        </is>
      </c>
      <c r="V439" s="2" t="inlineStr">
        <is>
          <t>No</t>
        </is>
      </c>
      <c r="W439" s="2" t="inlineStr">
        <is>
          <t>No</t>
        </is>
      </c>
      <c r="X439" s="2" t="inlineStr">
        <is>
          <t>No</t>
        </is>
      </c>
      <c r="Y439" s="2" t="inlineStr">
        <is>
          <t>No</t>
        </is>
      </c>
      <c r="Z439" s="2" t="inlineStr">
        <is>
          <t>No</t>
        </is>
      </c>
      <c r="AA439" s="6" t="n">
        <v>3.840748902</v>
      </c>
      <c r="AB439" s="6" t="n">
        <v>2.772354718</v>
      </c>
      <c r="AC439" s="6" t="n">
        <v>3.711873844</v>
      </c>
      <c r="AD439">
        <f t="array" ref="AD439">IF(SUMPRODUCT(--($AM$2:$AM$112=TRIM(LEFT($B439,IFERROR(FIND(" ",$B439)-1,LEN($B439))))))&gt;0,1,0)</f>
        <v/>
      </c>
      <c r="AE439">
        <f t="array" ref="AE439">IF(SUMPRODUCT(--($AO$2:$AO$145=TRIM(LEFT($B439,IFERROR(FIND(" ",$B439)-1,LEN($B439))))))&gt;0,1,0)</f>
        <v/>
      </c>
      <c r="AF439">
        <f t="array" ref="AF439">IF(SUMPRODUCT(--($AQ$2:$AQ$71=TRIM(LEFT($B439,IFERROR(FIND(" ",$B439)-1,LEN($B439))))))&gt;0,1,0)</f>
        <v/>
      </c>
    </row>
    <row r="440" ht="45.75" customHeight="1" thickBot="1">
      <c r="A440" s="13" t="n">
        <v>419</v>
      </c>
      <c r="B440" s="4" t="inlineStr">
        <is>
          <t>FBC US</t>
        </is>
      </c>
      <c r="C440" s="4" t="inlineStr">
        <is>
          <t>FLG US</t>
        </is>
      </c>
      <c r="D440" s="7" t="n">
        <v>44312</v>
      </c>
      <c r="E440" s="3" t="n">
        <v>2626.15</v>
      </c>
      <c r="F440" s="4" t="inlineStr">
        <is>
          <t>Stock</t>
        </is>
      </c>
      <c r="G440" s="4" t="n"/>
      <c r="H440" s="4" t="inlineStr">
        <is>
          <t>Financials</t>
        </is>
      </c>
      <c r="I440" s="4" t="inlineStr">
        <is>
          <t>Banking</t>
        </is>
      </c>
      <c r="J440" s="4" t="inlineStr">
        <is>
          <t>Banking</t>
        </is>
      </c>
      <c r="K440" s="4" t="n"/>
      <c r="L440" s="4" t="n"/>
      <c r="M440" s="3" t="n">
        <v>11.67</v>
      </c>
      <c r="N440" s="3" t="n">
        <v>2626.15</v>
      </c>
      <c r="O440" s="4" t="inlineStr">
        <is>
          <t>United States</t>
        </is>
      </c>
      <c r="P440" s="4" t="inlineStr">
        <is>
          <t>United States</t>
        </is>
      </c>
      <c r="Q440" s="4" t="inlineStr">
        <is>
          <t>Friendly</t>
        </is>
      </c>
      <c r="R440" s="3" t="n">
        <v>1854</v>
      </c>
      <c r="S440" s="3" t="n">
        <v>25.2933</v>
      </c>
      <c r="T440" s="4" t="inlineStr">
        <is>
          <t>Company Takeover</t>
        </is>
      </c>
      <c r="U440" s="2" t="inlineStr">
        <is>
          <t>No</t>
        </is>
      </c>
      <c r="V440" s="2" t="inlineStr">
        <is>
          <t>No</t>
        </is>
      </c>
      <c r="W440" s="2" t="inlineStr">
        <is>
          <t>No</t>
        </is>
      </c>
      <c r="X440" s="2" t="inlineStr">
        <is>
          <t>No</t>
        </is>
      </c>
      <c r="Y440" s="2" t="inlineStr">
        <is>
          <t>No</t>
        </is>
      </c>
      <c r="Z440" s="2" t="inlineStr">
        <is>
          <t>No</t>
        </is>
      </c>
      <c r="AA440" s="6" t="n">
        <v>3.419319528</v>
      </c>
      <c r="AB440" s="6" t="n">
        <v>3.26810973</v>
      </c>
      <c r="AC440" s="6" t="n">
        <v>3.419319528</v>
      </c>
      <c r="AD440">
        <f t="array" ref="AD440">IF(SUMPRODUCT(--($AM$2:$AM$112=TRIM(LEFT($B440,IFERROR(FIND(" ",$B440)-1,LEN($B440))))))&gt;0,1,0)</f>
        <v/>
      </c>
      <c r="AE440">
        <f t="array" ref="AE440">IF(SUMPRODUCT(--($AO$2:$AO$145=TRIM(LEFT($B440,IFERROR(FIND(" ",$B440)-1,LEN($B440))))))&gt;0,1,0)</f>
        <v/>
      </c>
      <c r="AF440">
        <f t="array" ref="AF440">IF(SUMPRODUCT(--($AQ$2:$AQ$71=TRIM(LEFT($B440,IFERROR(FIND(" ",$B440)-1,LEN($B440))))))&gt;0,1,0)</f>
        <v/>
      </c>
    </row>
    <row r="441" ht="165.75" customHeight="1" thickBot="1">
      <c r="A441" s="13" t="n">
        <v>91</v>
      </c>
      <c r="B441" s="4" t="inlineStr">
        <is>
          <t>PBFX US</t>
        </is>
      </c>
      <c r="C441" s="4" t="inlineStr">
        <is>
          <t>PBF US</t>
        </is>
      </c>
      <c r="D441" s="7" t="n">
        <v>44770</v>
      </c>
      <c r="E441" s="3" t="n">
        <v>1096.91</v>
      </c>
      <c r="F441" s="4" t="inlineStr">
        <is>
          <t>Cash and Stock</t>
        </is>
      </c>
      <c r="G441" s="3" t="n">
        <v>6.88</v>
      </c>
      <c r="H441" s="4" t="inlineStr">
        <is>
          <t>Energy</t>
        </is>
      </c>
      <c r="I441" s="4" t="inlineStr">
        <is>
          <t>Oil &amp; Gas</t>
        </is>
      </c>
      <c r="J441" s="4" t="inlineStr">
        <is>
          <t>Oil &amp; Gas Supply Chain</t>
        </is>
      </c>
      <c r="K441" s="4" t="n"/>
      <c r="L441" s="4" t="n"/>
      <c r="M441" s="3" t="n">
        <v>4.27</v>
      </c>
      <c r="N441" s="3" t="n">
        <v>552.28</v>
      </c>
      <c r="O441" s="4" t="inlineStr">
        <is>
          <t>United States</t>
        </is>
      </c>
      <c r="P441" s="4" t="inlineStr">
        <is>
          <t>United States</t>
        </is>
      </c>
      <c r="Q441" s="4" t="inlineStr">
        <is>
          <t>Friendly</t>
        </is>
      </c>
      <c r="R441" s="3" t="n">
        <v>355.535</v>
      </c>
      <c r="S441" s="3" t="n">
        <v>53.3501</v>
      </c>
      <c r="T441" s="4" t="inlineStr">
        <is>
          <t>Company Takeover, Additional Stake Purchase, Majority purchase</t>
        </is>
      </c>
      <c r="U441" s="2" t="inlineStr">
        <is>
          <t>Yes</t>
        </is>
      </c>
      <c r="V441" s="2" t="inlineStr">
        <is>
          <t>No</t>
        </is>
      </c>
      <c r="W441" s="2" t="inlineStr">
        <is>
          <t>No</t>
        </is>
      </c>
      <c r="X441" s="2" t="inlineStr">
        <is>
          <t>No</t>
        </is>
      </c>
      <c r="Y441" s="2" t="inlineStr">
        <is>
          <t>No</t>
        </is>
      </c>
      <c r="Z441" s="2" t="inlineStr">
        <is>
          <t>No</t>
        </is>
      </c>
      <c r="AA441" s="6" t="n">
        <v>3.040170996</v>
      </c>
      <c r="AB441" s="6" t="n">
        <v>2.550882361</v>
      </c>
      <c r="AC441" s="6" t="n">
        <v>2.742159316</v>
      </c>
      <c r="AD441">
        <f t="array" ref="AD441">IF(SUMPRODUCT(--($AM$2:$AM$112=TRIM(LEFT($B441,IFERROR(FIND(" ",$B441)-1,LEN($B441))))))&gt;0,1,0)</f>
        <v/>
      </c>
      <c r="AE441">
        <f t="array" ref="AE441">IF(SUMPRODUCT(--($AO$2:$AO$145=TRIM(LEFT($B441,IFERROR(FIND(" ",$B441)-1,LEN($B441))))))&gt;0,1,0)</f>
        <v/>
      </c>
      <c r="AF441">
        <f t="array" ref="AF441">IF(SUMPRODUCT(--($AQ$2:$AQ$71=TRIM(LEFT($B441,IFERROR(FIND(" ",$B441)-1,LEN($B441))))))&gt;0,1,0)</f>
        <v/>
      </c>
    </row>
    <row r="442" ht="180.75" customHeight="1" thickBot="1">
      <c r="A442" s="13" t="n">
        <v>28</v>
      </c>
      <c r="B442" s="4" t="inlineStr">
        <is>
          <t>CLR US</t>
        </is>
      </c>
      <c r="C442" s="2" t="n"/>
      <c r="D442" s="7" t="n">
        <v>44851</v>
      </c>
      <c r="E442" s="3" t="n">
        <v>4583.83</v>
      </c>
      <c r="F442" s="4" t="inlineStr">
        <is>
          <t>Cash</t>
        </is>
      </c>
      <c r="G442" s="3" t="n">
        <v>3.93</v>
      </c>
      <c r="H442" s="4" t="inlineStr">
        <is>
          <t>Energy</t>
        </is>
      </c>
      <c r="I442" s="4" t="inlineStr">
        <is>
          <t>Oil &amp; Gas</t>
        </is>
      </c>
      <c r="J442" s="4" t="inlineStr">
        <is>
          <t>Oil &amp; Gas Supply Chain</t>
        </is>
      </c>
      <c r="K442" s="4" t="n"/>
      <c r="L442" s="4" t="n"/>
      <c r="M442" s="3" t="n">
        <v>9.18</v>
      </c>
      <c r="N442" s="3" t="n">
        <v>4583.83</v>
      </c>
      <c r="O442" s="4" t="inlineStr">
        <is>
          <t>United States</t>
        </is>
      </c>
      <c r="P442" s="4" t="inlineStr">
        <is>
          <t>United States</t>
        </is>
      </c>
      <c r="Q442" s="4" t="inlineStr">
        <is>
          <t>Unsolicited</t>
        </is>
      </c>
      <c r="R442" s="3" t="n">
        <v>7693.57</v>
      </c>
      <c r="S442" s="3" t="n">
        <v>27.6215</v>
      </c>
      <c r="T442" s="4" t="inlineStr">
        <is>
          <t>Company Takeover, Tender Offer, Additional Stake Purchase, Going Private, Tender Offer</t>
        </is>
      </c>
      <c r="U442" s="2" t="inlineStr">
        <is>
          <t>Yes</t>
        </is>
      </c>
      <c r="V442" s="2" t="inlineStr">
        <is>
          <t>No</t>
        </is>
      </c>
      <c r="W442" s="2" t="inlineStr">
        <is>
          <t>No</t>
        </is>
      </c>
      <c r="X442" s="2" t="inlineStr">
        <is>
          <t>Yes</t>
        </is>
      </c>
      <c r="Y442" s="2" t="inlineStr">
        <is>
          <t>No</t>
        </is>
      </c>
      <c r="Z442" s="2" t="inlineStr">
        <is>
          <t>Yes</t>
        </is>
      </c>
      <c r="AA442" s="6" t="n">
        <v>3.661228503</v>
      </c>
      <c r="AB442" s="6" t="n">
        <v>3.88612791</v>
      </c>
      <c r="AC442" s="6" t="n">
        <v>3.661228503</v>
      </c>
      <c r="AD442">
        <f t="array" ref="AD442">IF(SUMPRODUCT(--($AM$2:$AM$112=TRIM(LEFT($B442,IFERROR(FIND(" ",$B442)-1,LEN($B442))))))&gt;0,1,0)</f>
        <v/>
      </c>
      <c r="AE442">
        <f t="array" ref="AE442">IF(SUMPRODUCT(--($AO$2:$AO$145=TRIM(LEFT($B442,IFERROR(FIND(" ",$B442)-1,LEN($B442))))))&gt;0,1,0)</f>
        <v/>
      </c>
      <c r="AF442">
        <f t="array" ref="AF442">IF(SUMPRODUCT(--($AQ$2:$AQ$71=TRIM(LEFT($B442,IFERROR(FIND(" ",$B442)-1,LEN($B442))))))&gt;0,1,0)</f>
        <v/>
      </c>
    </row>
    <row r="443" ht="165.75" customHeight="1" thickBot="1">
      <c r="A443" s="13" t="n">
        <v>108</v>
      </c>
      <c r="B443" s="4" t="inlineStr">
        <is>
          <t>ZEN US</t>
        </is>
      </c>
      <c r="C443" s="2" t="n"/>
      <c r="D443" s="7" t="n">
        <v>44736</v>
      </c>
      <c r="E443" s="3" t="n">
        <v>9271.360000000001</v>
      </c>
      <c r="F443" s="4" t="inlineStr">
        <is>
          <t>Cash</t>
        </is>
      </c>
      <c r="G443" s="4" t="n"/>
      <c r="H443" s="4" t="inlineStr">
        <is>
          <t>Technology</t>
        </is>
      </c>
      <c r="I443" s="4" t="inlineStr">
        <is>
          <t>Software &amp; Tech Services</t>
        </is>
      </c>
      <c r="J443" s="4" t="inlineStr">
        <is>
          <t>Software</t>
        </is>
      </c>
      <c r="K443" s="4" t="n"/>
      <c r="L443" s="4" t="n"/>
      <c r="M443" s="4" t="n"/>
      <c r="N443" s="3" t="n">
        <v>9497.110000000001</v>
      </c>
      <c r="O443" s="4" t="inlineStr">
        <is>
          <t>United States</t>
        </is>
      </c>
      <c r="P443" s="4" t="inlineStr">
        <is>
          <t>Singapore</t>
        </is>
      </c>
      <c r="Q443" s="4" t="inlineStr">
        <is>
          <t>Friendly</t>
        </is>
      </c>
      <c r="R443" s="3" t="n">
        <v>1338.6</v>
      </c>
      <c r="S443" s="3" t="n">
        <v>-16.1623</v>
      </c>
      <c r="T443" s="4" t="inlineStr">
        <is>
          <t>PE Buyout, Company Takeover, Cross Border, Private Equity, Going Private</t>
        </is>
      </c>
      <c r="U443" s="2" t="inlineStr">
        <is>
          <t>No</t>
        </is>
      </c>
      <c r="V443" s="2" t="inlineStr">
        <is>
          <t>No</t>
        </is>
      </c>
      <c r="W443" s="2" t="inlineStr">
        <is>
          <t>Yes</t>
        </is>
      </c>
      <c r="X443" s="2" t="inlineStr">
        <is>
          <t>Yes</t>
        </is>
      </c>
      <c r="Y443" s="2" t="inlineStr">
        <is>
          <t>Yes</t>
        </is>
      </c>
      <c r="Z443" s="2" t="inlineStr">
        <is>
          <t>No</t>
        </is>
      </c>
      <c r="AA443" s="6" t="n">
        <v>3.967143445</v>
      </c>
      <c r="AB443" s="6" t="n">
        <v>3.126650821</v>
      </c>
      <c r="AC443" s="6" t="n">
        <v>3.977591468</v>
      </c>
      <c r="AD443">
        <f t="array" ref="AD443">IF(SUMPRODUCT(--($AM$2:$AM$112=TRIM(LEFT($B443,IFERROR(FIND(" ",$B443)-1,LEN($B443))))))&gt;0,1,0)</f>
        <v/>
      </c>
      <c r="AE443">
        <f t="array" ref="AE443">IF(SUMPRODUCT(--($AO$2:$AO$145=TRIM(LEFT($B443,IFERROR(FIND(" ",$B443)-1,LEN($B443))))))&gt;0,1,0)</f>
        <v/>
      </c>
      <c r="AF443">
        <f t="array" ref="AF443">IF(SUMPRODUCT(--($AQ$2:$AQ$71=TRIM(LEFT($B443,IFERROR(FIND(" ",$B443)-1,LEN($B443))))))&gt;0,1,0)</f>
        <v/>
      </c>
    </row>
    <row r="444" ht="75.75" customHeight="1" thickBot="1">
      <c r="A444" s="13" t="n">
        <v>67</v>
      </c>
      <c r="B444" s="4" t="inlineStr">
        <is>
          <t>AERI US</t>
        </is>
      </c>
      <c r="C444" s="4" t="inlineStr">
        <is>
          <t>ALC SW</t>
        </is>
      </c>
      <c r="D444" s="7" t="n">
        <v>44795</v>
      </c>
      <c r="E444" s="3" t="n">
        <v>905.66</v>
      </c>
      <c r="F444" s="4" t="inlineStr">
        <is>
          <t>Cash</t>
        </is>
      </c>
      <c r="G444" s="4" t="n"/>
      <c r="H444" s="4" t="inlineStr">
        <is>
          <t>Health Care</t>
        </is>
      </c>
      <c r="I444" s="4" t="inlineStr">
        <is>
          <t>Health Care</t>
        </is>
      </c>
      <c r="J444" s="4" t="inlineStr">
        <is>
          <t>Biotech &amp; Pharma</t>
        </is>
      </c>
      <c r="K444" s="4" t="n"/>
      <c r="L444" s="4" t="n"/>
      <c r="M444" s="3" t="n">
        <v>63.5</v>
      </c>
      <c r="N444" s="3" t="n">
        <v>752.74</v>
      </c>
      <c r="O444" s="4" t="inlineStr">
        <is>
          <t>United States</t>
        </is>
      </c>
      <c r="P444" s="4" t="inlineStr">
        <is>
          <t>Switzerland</t>
        </is>
      </c>
      <c r="Q444" s="4" t="inlineStr">
        <is>
          <t>Friendly</t>
        </is>
      </c>
      <c r="R444" s="3" t="n">
        <v>194.134</v>
      </c>
      <c r="S444" s="3" t="n">
        <v>-12.4857</v>
      </c>
      <c r="T444" s="4" t="inlineStr">
        <is>
          <t>Cross Border, Company Takeover</t>
        </is>
      </c>
      <c r="U444" s="2" t="inlineStr">
        <is>
          <t>No</t>
        </is>
      </c>
      <c r="V444" s="2" t="inlineStr">
        <is>
          <t>No</t>
        </is>
      </c>
      <c r="W444" s="2" t="inlineStr">
        <is>
          <t>Yes</t>
        </is>
      </c>
      <c r="X444" s="2" t="inlineStr">
        <is>
          <t>No</t>
        </is>
      </c>
      <c r="Y444" s="2" t="inlineStr">
        <is>
          <t>No</t>
        </is>
      </c>
      <c r="Z444" s="2" t="inlineStr">
        <is>
          <t>No</t>
        </is>
      </c>
      <c r="AA444" s="6" t="n">
        <v>2.956965187</v>
      </c>
      <c r="AB444" s="6" t="n">
        <v>2.288101603</v>
      </c>
      <c r="AC444" s="6" t="n">
        <v>2.876644995</v>
      </c>
      <c r="AD444">
        <f t="array" ref="AD444">IF(SUMPRODUCT(--($AM$2:$AM$112=TRIM(LEFT($B444,IFERROR(FIND(" ",$B444)-1,LEN($B444))))))&gt;0,1,0)</f>
        <v/>
      </c>
      <c r="AE444">
        <f t="array" ref="AE444">IF(SUMPRODUCT(--($AO$2:$AO$145=TRIM(LEFT($B444,IFERROR(FIND(" ",$B444)-1,LEN($B444))))))&gt;0,1,0)</f>
        <v/>
      </c>
      <c r="AF444">
        <f t="array" ref="AF444">IF(SUMPRODUCT(--($AQ$2:$AQ$71=TRIM(LEFT($B444,IFERROR(FIND(" ",$B444)-1,LEN($B444))))))&gt;0,1,0)</f>
        <v/>
      </c>
    </row>
    <row r="445" ht="135.75" customHeight="1" thickBot="1">
      <c r="A445" s="13" t="n">
        <v>192</v>
      </c>
      <c r="B445" s="4" t="inlineStr">
        <is>
          <t>2454227D US</t>
        </is>
      </c>
      <c r="C445" s="4" t="inlineStr">
        <is>
          <t>APO US</t>
        </is>
      </c>
      <c r="D445" s="7" t="n">
        <v>44615</v>
      </c>
      <c r="E445" s="3" t="n">
        <v>6181.26</v>
      </c>
      <c r="F445" s="4" t="inlineStr">
        <is>
          <t>Cash</t>
        </is>
      </c>
      <c r="G445" s="3" t="n">
        <v>5.51</v>
      </c>
      <c r="H445" s="4" t="inlineStr">
        <is>
          <t>Consumer Discretionary</t>
        </is>
      </c>
      <c r="I445" s="4" t="inlineStr">
        <is>
          <t>Consumer Discretionary Products</t>
        </is>
      </c>
      <c r="J445" s="4" t="inlineStr">
        <is>
          <t>Automotive</t>
        </is>
      </c>
      <c r="K445" s="4" t="n"/>
      <c r="L445" s="4" t="n"/>
      <c r="M445" s="3" t="n">
        <v>94</v>
      </c>
      <c r="N445" s="3" t="n">
        <v>1642.26</v>
      </c>
      <c r="O445" s="4" t="inlineStr">
        <is>
          <t>United States</t>
        </is>
      </c>
      <c r="P445" s="4" t="inlineStr">
        <is>
          <t>United States</t>
        </is>
      </c>
      <c r="Q445" s="4" t="inlineStr">
        <is>
          <t>Friendly</t>
        </is>
      </c>
      <c r="R445" s="3" t="n">
        <v>18035</v>
      </c>
      <c r="S445" s="3" t="n">
        <v>1.10014</v>
      </c>
      <c r="T445" s="4" t="inlineStr">
        <is>
          <t>Company Takeover, Private Equity, PE Buyout, Going Private</t>
        </is>
      </c>
      <c r="U445" s="2" t="inlineStr">
        <is>
          <t>No</t>
        </is>
      </c>
      <c r="V445" s="2" t="inlineStr">
        <is>
          <t>No</t>
        </is>
      </c>
      <c r="W445" s="2" t="inlineStr">
        <is>
          <t>No</t>
        </is>
      </c>
      <c r="X445" s="2" t="inlineStr">
        <is>
          <t>Yes</t>
        </is>
      </c>
      <c r="Y445" s="2" t="inlineStr">
        <is>
          <t>Yes</t>
        </is>
      </c>
      <c r="Z445" s="2" t="inlineStr">
        <is>
          <t>No</t>
        </is>
      </c>
      <c r="AA445" s="6" t="n">
        <v>3.791077012</v>
      </c>
      <c r="AB445" s="6" t="n">
        <v>4.256116147</v>
      </c>
      <c r="AC445" s="6" t="n">
        <v>3.215441915</v>
      </c>
      <c r="AD445">
        <f t="array" ref="AD445">IF(SUMPRODUCT(--($AM$2:$AM$112=TRIM(LEFT($B445,IFERROR(FIND(" ",$B445)-1,LEN($B445))))))&gt;0,1,0)</f>
        <v/>
      </c>
      <c r="AE445">
        <f t="array" ref="AE445">IF(SUMPRODUCT(--($AO$2:$AO$145=TRIM(LEFT($B445,IFERROR(FIND(" ",$B445)-1,LEN($B445))))))&gt;0,1,0)</f>
        <v/>
      </c>
      <c r="AF445">
        <f t="array" ref="AF445">IF(SUMPRODUCT(--($AQ$2:$AQ$71=TRIM(LEFT($B445,IFERROR(FIND(" ",$B445)-1,LEN($B445))))))&gt;0,1,0)</f>
        <v/>
      </c>
    </row>
    <row r="446" ht="135.75" customHeight="1" thickBot="1">
      <c r="A446" s="13" t="n">
        <v>62</v>
      </c>
      <c r="B446" s="4" t="inlineStr">
        <is>
          <t>CSVI US</t>
        </is>
      </c>
      <c r="C446" s="2" t="n"/>
      <c r="D446" s="7" t="n">
        <v>44795</v>
      </c>
      <c r="E446" s="3" t="n">
        <v>1579.34</v>
      </c>
      <c r="F446" s="4" t="inlineStr">
        <is>
          <t>Cash</t>
        </is>
      </c>
      <c r="G446" s="3" t="n">
        <v>14.73</v>
      </c>
      <c r="H446" s="4" t="inlineStr">
        <is>
          <t>Technology</t>
        </is>
      </c>
      <c r="I446" s="4" t="inlineStr">
        <is>
          <t>Software &amp; Tech Services</t>
        </is>
      </c>
      <c r="J446" s="4" t="inlineStr">
        <is>
          <t>IT Services</t>
        </is>
      </c>
      <c r="K446" s="4" t="n"/>
      <c r="L446" s="4" t="n"/>
      <c r="M446" s="3" t="n">
        <v>53.46</v>
      </c>
      <c r="N446" s="3" t="n">
        <v>1650.87</v>
      </c>
      <c r="O446" s="4" t="inlineStr">
        <is>
          <t>United States</t>
        </is>
      </c>
      <c r="P446" s="4" t="inlineStr">
        <is>
          <t>United States</t>
        </is>
      </c>
      <c r="Q446" s="4" t="inlineStr">
        <is>
          <t>Friendly</t>
        </is>
      </c>
      <c r="R446" s="3" t="n">
        <v>316.648</v>
      </c>
      <c r="S446" s="3" t="n">
        <v>23.6537</v>
      </c>
      <c r="T446" s="4" t="inlineStr">
        <is>
          <t>Private Equity, PE Buyout, Company Takeover, Going Private</t>
        </is>
      </c>
      <c r="U446" s="2" t="inlineStr">
        <is>
          <t>No</t>
        </is>
      </c>
      <c r="V446" s="2" t="inlineStr">
        <is>
          <t>No</t>
        </is>
      </c>
      <c r="W446" s="2" t="inlineStr">
        <is>
          <t>No</t>
        </is>
      </c>
      <c r="X446" s="2" t="inlineStr">
        <is>
          <t>Yes</t>
        </is>
      </c>
      <c r="Y446" s="2" t="inlineStr">
        <is>
          <t>Yes</t>
        </is>
      </c>
      <c r="Z446" s="2" t="inlineStr">
        <is>
          <t>No</t>
        </is>
      </c>
      <c r="AA446" s="6" t="n">
        <v>3.198475635</v>
      </c>
      <c r="AB446" s="6" t="n">
        <v>2.500576749</v>
      </c>
      <c r="AC446" s="6" t="n">
        <v>3.217712876</v>
      </c>
      <c r="AD446">
        <f t="array" ref="AD446">IF(SUMPRODUCT(--($AM$2:$AM$112=TRIM(LEFT($B446,IFERROR(FIND(" ",$B446)-1,LEN($B446))))))&gt;0,1,0)</f>
        <v/>
      </c>
      <c r="AE446">
        <f t="array" ref="AE446">IF(SUMPRODUCT(--($AO$2:$AO$145=TRIM(LEFT($B446,IFERROR(FIND(" ",$B446)-1,LEN($B446))))))&gt;0,1,0)</f>
        <v/>
      </c>
      <c r="AF446">
        <f t="array" ref="AF446">IF(SUMPRODUCT(--($AQ$2:$AQ$71=TRIM(LEFT($B446,IFERROR(FIND(" ",$B446)-1,LEN($B446))))))&gt;0,1,0)</f>
        <v/>
      </c>
    </row>
    <row r="447" ht="75.75" customHeight="1" thickBot="1">
      <c r="A447" s="13" t="n">
        <v>51</v>
      </c>
      <c r="B447" s="4" t="inlineStr">
        <is>
          <t>ECOM US</t>
        </is>
      </c>
      <c r="C447" s="4" t="inlineStr">
        <is>
          <t>CHUBA US</t>
        </is>
      </c>
      <c r="D447" s="7" t="n">
        <v>44810</v>
      </c>
      <c r="E447" s="3" t="n">
        <v>587.8</v>
      </c>
      <c r="F447" s="4" t="inlineStr">
        <is>
          <t>Cash</t>
        </is>
      </c>
      <c r="G447" s="3" t="n">
        <v>26.85</v>
      </c>
      <c r="H447" s="4" t="inlineStr">
        <is>
          <t>Technology</t>
        </is>
      </c>
      <c r="I447" s="4" t="inlineStr">
        <is>
          <t>Software &amp; Tech Services</t>
        </is>
      </c>
      <c r="J447" s="4" t="inlineStr">
        <is>
          <t>Software</t>
        </is>
      </c>
      <c r="K447" s="4" t="n"/>
      <c r="L447" s="4" t="n"/>
      <c r="M447" s="3" t="n">
        <v>50.32</v>
      </c>
      <c r="N447" s="3" t="n">
        <v>666.98</v>
      </c>
      <c r="O447" s="4" t="inlineStr">
        <is>
          <t>United States</t>
        </is>
      </c>
      <c r="P447" s="4" t="inlineStr">
        <is>
          <t>United States</t>
        </is>
      </c>
      <c r="Q447" s="4" t="inlineStr">
        <is>
          <t>Friendly</t>
        </is>
      </c>
      <c r="R447" s="3" t="n">
        <v>167.729</v>
      </c>
      <c r="S447" s="3" t="n">
        <v>8.03579</v>
      </c>
      <c r="T447" s="4" t="inlineStr">
        <is>
          <t>Company Takeover, Going Private</t>
        </is>
      </c>
      <c r="U447" s="2" t="inlineStr">
        <is>
          <t>No</t>
        </is>
      </c>
      <c r="V447" s="2" t="inlineStr">
        <is>
          <t>No</t>
        </is>
      </c>
      <c r="W447" s="2" t="inlineStr">
        <is>
          <t>No</t>
        </is>
      </c>
      <c r="X447" s="2" t="inlineStr">
        <is>
          <t>Yes</t>
        </is>
      </c>
      <c r="Y447" s="2" t="inlineStr">
        <is>
          <t>No</t>
        </is>
      </c>
      <c r="Z447" s="2" t="inlineStr">
        <is>
          <t>No</t>
        </is>
      </c>
      <c r="AA447" s="6" t="n">
        <v>2.769229582</v>
      </c>
      <c r="AB447" s="6" t="n">
        <v>2.224608158</v>
      </c>
      <c r="AC447" s="6" t="n">
        <v>2.824112811</v>
      </c>
      <c r="AD447">
        <f t="array" ref="AD447">IF(SUMPRODUCT(--($AM$2:$AM$112=TRIM(LEFT($B447,IFERROR(FIND(" ",$B447)-1,LEN($B447))))))&gt;0,1,0)</f>
        <v/>
      </c>
      <c r="AE447">
        <f t="array" ref="AE447">IF(SUMPRODUCT(--($AO$2:$AO$145=TRIM(LEFT($B447,IFERROR(FIND(" ",$B447)-1,LEN($B447))))))&gt;0,1,0)</f>
        <v/>
      </c>
      <c r="AF447">
        <f t="array" ref="AF447">IF(SUMPRODUCT(--($AQ$2:$AQ$71=TRIM(LEFT($B447,IFERROR(FIND(" ",$B447)-1,LEN($B447))))))&gt;0,1,0)</f>
        <v/>
      </c>
    </row>
    <row r="448" ht="75.75" customHeight="1" thickBot="1">
      <c r="A448" s="13" t="n">
        <v>45</v>
      </c>
      <c r="B448" s="4" t="inlineStr">
        <is>
          <t>RECP CN</t>
        </is>
      </c>
      <c r="C448" s="4" t="inlineStr">
        <is>
          <t>FFH CN</t>
        </is>
      </c>
      <c r="D448" s="7" t="n">
        <v>44805</v>
      </c>
      <c r="E448" s="3" t="n">
        <v>1692.29</v>
      </c>
      <c r="F448" s="4" t="inlineStr">
        <is>
          <t>Cash</t>
        </is>
      </c>
      <c r="G448" s="3" t="n">
        <v>12.41</v>
      </c>
      <c r="H448" s="4" t="inlineStr">
        <is>
          <t>Consumer Discretionary</t>
        </is>
      </c>
      <c r="I448" s="4" t="inlineStr">
        <is>
          <t>Consumer Discretionary Services</t>
        </is>
      </c>
      <c r="J448" s="4" t="inlineStr">
        <is>
          <t>Leisure Facilities &amp; Services</t>
        </is>
      </c>
      <c r="K448" s="4" t="n"/>
      <c r="L448" s="4" t="n"/>
      <c r="M448" s="3" t="n">
        <v>10.04</v>
      </c>
      <c r="N448" s="3" t="n">
        <v>933.26</v>
      </c>
      <c r="O448" s="4" t="inlineStr">
        <is>
          <t>Canada</t>
        </is>
      </c>
      <c r="P448" s="4" t="inlineStr">
        <is>
          <t>Canada</t>
        </is>
      </c>
      <c r="Q448" s="4" t="inlineStr">
        <is>
          <t>Friendly</t>
        </is>
      </c>
      <c r="R448" s="3" t="n">
        <v>805.153</v>
      </c>
      <c r="S448" s="3" t="n">
        <v>6.94973</v>
      </c>
      <c r="T448" s="4" t="inlineStr">
        <is>
          <t>Company Takeover, Going Private</t>
        </is>
      </c>
      <c r="U448" s="2" t="inlineStr">
        <is>
          <t>No</t>
        </is>
      </c>
      <c r="V448" s="2" t="inlineStr">
        <is>
          <t>No</t>
        </is>
      </c>
      <c r="W448" s="2" t="inlineStr">
        <is>
          <t>No</t>
        </is>
      </c>
      <c r="X448" s="2" t="inlineStr">
        <is>
          <t>Yes</t>
        </is>
      </c>
      <c r="Y448" s="2" t="inlineStr">
        <is>
          <t>No</t>
        </is>
      </c>
      <c r="Z448" s="2" t="inlineStr">
        <is>
          <t>No</t>
        </is>
      </c>
      <c r="AA448" s="6" t="n">
        <v>3.228474788</v>
      </c>
      <c r="AB448" s="6" t="n">
        <v>2.905878415</v>
      </c>
      <c r="AC448" s="6" t="n">
        <v>2.970002652</v>
      </c>
      <c r="AD448">
        <f t="array" ref="AD448">IF(SUMPRODUCT(--($AM$2:$AM$112=TRIM(LEFT($B448,IFERROR(FIND(" ",$B448)-1,LEN($B448))))))&gt;0,1,0)</f>
        <v/>
      </c>
      <c r="AE448">
        <f t="array" ref="AE448">IF(SUMPRODUCT(--($AO$2:$AO$145=TRIM(LEFT($B448,IFERROR(FIND(" ",$B448)-1,LEN($B448))))))&gt;0,1,0)</f>
        <v/>
      </c>
      <c r="AF448">
        <f t="array" ref="AF448">IF(SUMPRODUCT(--($AQ$2:$AQ$71=TRIM(LEFT($B448,IFERROR(FIND(" ",$B448)-1,LEN($B448))))))&gt;0,1,0)</f>
        <v/>
      </c>
    </row>
    <row r="449" ht="135.75" customHeight="1" thickBot="1">
      <c r="A449" s="13" t="n">
        <v>135</v>
      </c>
      <c r="B449" s="4" t="inlineStr">
        <is>
          <t>TWTR US</t>
        </is>
      </c>
      <c r="C449" s="2" t="n"/>
      <c r="D449" s="7" t="n">
        <v>44676</v>
      </c>
      <c r="E449" s="3" t="n">
        <v>36760.26</v>
      </c>
      <c r="F449" s="4" t="inlineStr">
        <is>
          <t>Cash</t>
        </is>
      </c>
      <c r="G449" s="4" t="n"/>
      <c r="H449" s="4" t="inlineStr">
        <is>
          <t>Communications</t>
        </is>
      </c>
      <c r="I449" s="4" t="inlineStr">
        <is>
          <t>Media</t>
        </is>
      </c>
      <c r="J449" s="4" t="inlineStr">
        <is>
          <t>Internet Media &amp; Services</t>
        </is>
      </c>
      <c r="K449" s="3" t="n">
        <v>1000</v>
      </c>
      <c r="L449" s="3" t="n">
        <v>1000</v>
      </c>
      <c r="M449" s="3" t="n">
        <v>20.29</v>
      </c>
      <c r="N449" s="3" t="n">
        <v>37607.37</v>
      </c>
      <c r="O449" s="4" t="inlineStr">
        <is>
          <t>United States</t>
        </is>
      </c>
      <c r="P449" s="4" t="inlineStr">
        <is>
          <t>United States</t>
        </is>
      </c>
      <c r="Q449" s="4" t="inlineStr">
        <is>
          <t>Unsolicited to Friendly</t>
        </is>
      </c>
      <c r="R449" s="3" t="n">
        <v>5077.48</v>
      </c>
      <c r="S449" s="3" t="n">
        <v>-20.0197</v>
      </c>
      <c r="T449" s="4" t="inlineStr">
        <is>
          <t>Company Takeover, Additional Stake Purchase, Going Private</t>
        </is>
      </c>
      <c r="U449" s="2" t="inlineStr">
        <is>
          <t>Yes</t>
        </is>
      </c>
      <c r="V449" s="2" t="inlineStr">
        <is>
          <t>No</t>
        </is>
      </c>
      <c r="W449" s="2" t="inlineStr">
        <is>
          <t>No</t>
        </is>
      </c>
      <c r="X449" s="2" t="inlineStr">
        <is>
          <t>Yes</t>
        </is>
      </c>
      <c r="Y449" s="2" t="inlineStr">
        <is>
          <t>No</t>
        </is>
      </c>
      <c r="Z449" s="2" t="inlineStr">
        <is>
          <t>No</t>
        </is>
      </c>
      <c r="AA449" s="6" t="n">
        <v>4.565378574</v>
      </c>
      <c r="AB449" s="6" t="n">
        <v>3.705648221</v>
      </c>
      <c r="AC449" s="6" t="n">
        <v>4.575272963</v>
      </c>
      <c r="AD449">
        <f t="array" ref="AD449">IF(SUMPRODUCT(--($AM$2:$AM$112=TRIM(LEFT($B449,IFERROR(FIND(" ",$B449)-1,LEN($B449))))))&gt;0,1,0)</f>
        <v/>
      </c>
      <c r="AE449">
        <f t="array" ref="AE449">IF(SUMPRODUCT(--($AO$2:$AO$145=TRIM(LEFT($B449,IFERROR(FIND(" ",$B449)-1,LEN($B449))))))&gt;0,1,0)</f>
        <v/>
      </c>
      <c r="AF449">
        <f t="array" ref="AF449">IF(SUMPRODUCT(--($AQ$2:$AQ$71=TRIM(LEFT($B449,IFERROR(FIND(" ",$B449)-1,LEN($B449))))))&gt;0,1,0)</f>
        <v/>
      </c>
    </row>
    <row r="450" ht="45.75" customHeight="1" thickBot="1">
      <c r="A450" s="13" t="n">
        <v>57</v>
      </c>
      <c r="B450" s="4" t="inlineStr">
        <is>
          <t>CCXI US</t>
        </is>
      </c>
      <c r="C450" s="4" t="inlineStr">
        <is>
          <t>AMGN US</t>
        </is>
      </c>
      <c r="D450" s="7" t="n">
        <v>44777</v>
      </c>
      <c r="E450" s="3" t="n">
        <v>3434.11</v>
      </c>
      <c r="F450" s="4" t="inlineStr">
        <is>
          <t>Cash</t>
        </is>
      </c>
      <c r="G450" s="4" t="n"/>
      <c r="H450" s="4" t="inlineStr">
        <is>
          <t>Health Care</t>
        </is>
      </c>
      <c r="I450" s="4" t="inlineStr">
        <is>
          <t>Health Care</t>
        </is>
      </c>
      <c r="J450" s="4" t="inlineStr">
        <is>
          <t>Biotech &amp; Pharma</t>
        </is>
      </c>
      <c r="K450" s="4" t="n"/>
      <c r="L450" s="4" t="n"/>
      <c r="M450" s="3" t="n">
        <v>123.51</v>
      </c>
      <c r="N450" s="3" t="n">
        <v>3702.05</v>
      </c>
      <c r="O450" s="4" t="inlineStr">
        <is>
          <t>United States</t>
        </is>
      </c>
      <c r="P450" s="4" t="inlineStr">
        <is>
          <t>United States</t>
        </is>
      </c>
      <c r="Q450" s="4" t="inlineStr">
        <is>
          <t>Friendly</t>
        </is>
      </c>
      <c r="R450" s="2" t="n"/>
      <c r="S450" s="2" t="n"/>
      <c r="T450" s="4" t="inlineStr">
        <is>
          <t>Company Takeover</t>
        </is>
      </c>
      <c r="U450" s="2" t="inlineStr">
        <is>
          <t>No</t>
        </is>
      </c>
      <c r="V450" s="2" t="inlineStr">
        <is>
          <t>No</t>
        </is>
      </c>
      <c r="W450" s="2" t="inlineStr">
        <is>
          <t>No</t>
        </is>
      </c>
      <c r="X450" s="2" t="inlineStr">
        <is>
          <t>No</t>
        </is>
      </c>
      <c r="Y450" s="2" t="inlineStr">
        <is>
          <t>No</t>
        </is>
      </c>
      <c r="Z450" s="2" t="inlineStr">
        <is>
          <t>No</t>
        </is>
      </c>
      <c r="AA450" s="6" t="n">
        <v>3.535814202</v>
      </c>
      <c r="AB450" s="2" t="n"/>
      <c r="AC450" s="6" t="n">
        <v>3.56844228</v>
      </c>
      <c r="AD450">
        <f t="array" ref="AD450">IF(SUMPRODUCT(--($AM$2:$AM$112=TRIM(LEFT($B450,IFERROR(FIND(" ",$B450)-1,LEN($B450))))))&gt;0,1,0)</f>
        <v/>
      </c>
      <c r="AE450">
        <f t="array" ref="AE450">IF(SUMPRODUCT(--($AO$2:$AO$145=TRIM(LEFT($B450,IFERROR(FIND(" ",$B450)-1,LEN($B450))))))&gt;0,1,0)</f>
        <v/>
      </c>
      <c r="AF450">
        <f t="array" ref="AF450">IF(SUMPRODUCT(--($AQ$2:$AQ$71=TRIM(LEFT($B450,IFERROR(FIND(" ",$B450)-1,LEN($B450))))))&gt;0,1,0)</f>
        <v/>
      </c>
    </row>
    <row r="451" ht="45.75" customHeight="1" thickBot="1">
      <c r="A451" s="13" t="n">
        <v>153</v>
      </c>
      <c r="B451" s="4" t="inlineStr">
        <is>
          <t>Y US</t>
        </is>
      </c>
      <c r="C451" s="4" t="inlineStr">
        <is>
          <t>BRK/A US</t>
        </is>
      </c>
      <c r="D451" s="7" t="n">
        <v>44641</v>
      </c>
      <c r="E451" s="3" t="n">
        <v>13661.06</v>
      </c>
      <c r="F451" s="4" t="inlineStr">
        <is>
          <t>Cash</t>
        </is>
      </c>
      <c r="G451" s="4" t="n"/>
      <c r="H451" s="4" t="inlineStr">
        <is>
          <t>Financials</t>
        </is>
      </c>
      <c r="I451" s="4" t="inlineStr">
        <is>
          <t>Insurance</t>
        </is>
      </c>
      <c r="J451" s="4" t="inlineStr">
        <is>
          <t>Insurance</t>
        </is>
      </c>
      <c r="K451" s="4" t="n"/>
      <c r="L451" s="4" t="n"/>
      <c r="M451" s="3" t="n">
        <v>29.02</v>
      </c>
      <c r="N451" s="3" t="n">
        <v>11473.33</v>
      </c>
      <c r="O451" s="4" t="inlineStr">
        <is>
          <t>United States</t>
        </is>
      </c>
      <c r="P451" s="4" t="inlineStr">
        <is>
          <t>United States</t>
        </is>
      </c>
      <c r="Q451" s="4" t="inlineStr">
        <is>
          <t>Friendly</t>
        </is>
      </c>
      <c r="R451" s="3" t="n">
        <v>12004.1</v>
      </c>
      <c r="S451" s="3" t="n">
        <v>6.468</v>
      </c>
      <c r="T451" s="4" t="inlineStr">
        <is>
          <t>Company Takeover</t>
        </is>
      </c>
      <c r="U451" s="2" t="inlineStr">
        <is>
          <t>No</t>
        </is>
      </c>
      <c r="V451" s="2" t="inlineStr">
        <is>
          <t>No</t>
        </is>
      </c>
      <c r="W451" s="2" t="inlineStr">
        <is>
          <t>No</t>
        </is>
      </c>
      <c r="X451" s="2" t="inlineStr">
        <is>
          <t>No</t>
        </is>
      </c>
      <c r="Y451" s="2" t="inlineStr">
        <is>
          <t>No</t>
        </is>
      </c>
      <c r="Z451" s="2" t="inlineStr">
        <is>
          <t>No</t>
        </is>
      </c>
      <c r="AA451" s="6" t="n">
        <v>4.135484399</v>
      </c>
      <c r="AB451" s="6" t="n">
        <v>4.079329605</v>
      </c>
      <c r="AC451" s="6" t="n">
        <v>4.059689485</v>
      </c>
      <c r="AD451">
        <f t="array" ref="AD451">IF(SUMPRODUCT(--($AM$2:$AM$112=TRIM(LEFT($B451,IFERROR(FIND(" ",$B451)-1,LEN($B451))))))&gt;0,1,0)</f>
        <v/>
      </c>
      <c r="AE451">
        <f t="array" ref="AE451">IF(SUMPRODUCT(--($AO$2:$AO$145=TRIM(LEFT($B451,IFERROR(FIND(" ",$B451)-1,LEN($B451))))))&gt;0,1,0)</f>
        <v/>
      </c>
      <c r="AF451">
        <f t="array" ref="AF451">IF(SUMPRODUCT(--($AQ$2:$AQ$71=TRIM(LEFT($B451,IFERROR(FIND(" ",$B451)-1,LEN($B451))))))&gt;0,1,0)</f>
        <v/>
      </c>
    </row>
    <row r="452" ht="135.75" customHeight="1" thickBot="1">
      <c r="A452" s="13" t="n">
        <v>53</v>
      </c>
      <c r="B452" s="4" t="inlineStr">
        <is>
          <t>AVLR US</t>
        </is>
      </c>
      <c r="C452" s="4" t="inlineStr">
        <is>
          <t>389272Z US</t>
        </is>
      </c>
      <c r="D452" s="7" t="n">
        <v>44781</v>
      </c>
      <c r="E452" s="3" t="n">
        <v>7750.57</v>
      </c>
      <c r="F452" s="4" t="inlineStr">
        <is>
          <t>Cash</t>
        </is>
      </c>
      <c r="G452" s="4" t="n"/>
      <c r="H452" s="4" t="inlineStr">
        <is>
          <t>Technology</t>
        </is>
      </c>
      <c r="I452" s="4" t="inlineStr">
        <is>
          <t>Software &amp; Tech Services</t>
        </is>
      </c>
      <c r="J452" s="4" t="inlineStr">
        <is>
          <t>Software</t>
        </is>
      </c>
      <c r="K452" s="4" t="n"/>
      <c r="L452" s="4" t="n"/>
      <c r="M452" s="3" t="n">
        <v>6.73</v>
      </c>
      <c r="N452" s="3" t="n">
        <v>8214.879999999999</v>
      </c>
      <c r="O452" s="4" t="inlineStr">
        <is>
          <t>United States</t>
        </is>
      </c>
      <c r="P452" s="4" t="inlineStr">
        <is>
          <t>United States</t>
        </is>
      </c>
      <c r="Q452" s="4" t="inlineStr">
        <is>
          <t>Friendly</t>
        </is>
      </c>
      <c r="R452" s="3" t="n">
        <v>698.977</v>
      </c>
      <c r="S452" s="3" t="n">
        <v>-18.4134</v>
      </c>
      <c r="T452" s="4" t="inlineStr">
        <is>
          <t>Company Takeover, Private Equity, Going Private, PE Buyout</t>
        </is>
      </c>
      <c r="U452" s="2" t="inlineStr">
        <is>
          <t>No</t>
        </is>
      </c>
      <c r="V452" s="2" t="inlineStr">
        <is>
          <t>No</t>
        </is>
      </c>
      <c r="W452" s="2" t="inlineStr">
        <is>
          <t>No</t>
        </is>
      </c>
      <c r="X452" s="2" t="inlineStr">
        <is>
          <t>Yes</t>
        </is>
      </c>
      <c r="Y452" s="2" t="inlineStr">
        <is>
          <t>Yes</t>
        </is>
      </c>
      <c r="Z452" s="2" t="inlineStr">
        <is>
          <t>No</t>
        </is>
      </c>
      <c r="AA452" s="6" t="n">
        <v>3.889333643</v>
      </c>
      <c r="AB452" s="6" t="n">
        <v>2.844462885</v>
      </c>
      <c r="AC452" s="6" t="n">
        <v>3.914601224</v>
      </c>
      <c r="AD452">
        <f t="array" ref="AD452">IF(SUMPRODUCT(--($AM$2:$AM$112=TRIM(LEFT($B452,IFERROR(FIND(" ",$B452)-1,LEN($B452))))))&gt;0,1,0)</f>
        <v/>
      </c>
      <c r="AE452">
        <f t="array" ref="AE452">IF(SUMPRODUCT(--($AO$2:$AO$145=TRIM(LEFT($B452,IFERROR(FIND(" ",$B452)-1,LEN($B452))))))&gt;0,1,0)</f>
        <v/>
      </c>
      <c r="AF452">
        <f t="array" ref="AF452">IF(SUMPRODUCT(--($AQ$2:$AQ$71=TRIM(LEFT($B452,IFERROR(FIND(" ",$B452)-1,LEN($B452))))))&gt;0,1,0)</f>
        <v/>
      </c>
    </row>
    <row r="453" ht="120.75" customHeight="1" thickBot="1">
      <c r="A453" s="13" t="n">
        <v>63</v>
      </c>
      <c r="B453" s="4" t="inlineStr">
        <is>
          <t>SHLX US</t>
        </is>
      </c>
      <c r="C453" s="4" t="inlineStr">
        <is>
          <t>SHEL LN</t>
        </is>
      </c>
      <c r="D453" s="7" t="n">
        <v>44767</v>
      </c>
      <c r="E453" s="3" t="n">
        <v>1963.6</v>
      </c>
      <c r="F453" s="4" t="inlineStr">
        <is>
          <t>Cash</t>
        </is>
      </c>
      <c r="G453" s="3" t="n">
        <v>23.35</v>
      </c>
      <c r="H453" s="4" t="inlineStr">
        <is>
          <t>Energy</t>
        </is>
      </c>
      <c r="I453" s="4" t="inlineStr">
        <is>
          <t>Oil &amp; Gas</t>
        </is>
      </c>
      <c r="J453" s="4" t="inlineStr">
        <is>
          <t>Oil &amp; Gas Supply Chain</t>
        </is>
      </c>
      <c r="K453" s="4" t="n"/>
      <c r="L453" s="4" t="n"/>
      <c r="M453" s="3" t="n">
        <v>11.24</v>
      </c>
      <c r="N453" s="3" t="n">
        <v>1963.6</v>
      </c>
      <c r="O453" s="4" t="inlineStr">
        <is>
          <t>United States</t>
        </is>
      </c>
      <c r="P453" s="4" t="inlineStr">
        <is>
          <t>Netherlands</t>
        </is>
      </c>
      <c r="Q453" s="4" t="inlineStr">
        <is>
          <t>Friendly</t>
        </is>
      </c>
      <c r="R453" s="3" t="n">
        <v>556</v>
      </c>
      <c r="S453" s="3" t="n">
        <v>39.2405</v>
      </c>
      <c r="T453" s="4" t="inlineStr">
        <is>
          <t>Additional Stake Purchase, Cross Border, Company Takeover</t>
        </is>
      </c>
      <c r="U453" s="2" t="inlineStr">
        <is>
          <t>Yes</t>
        </is>
      </c>
      <c r="V453" s="2" t="inlineStr">
        <is>
          <t>No</t>
        </is>
      </c>
      <c r="W453" s="2" t="inlineStr">
        <is>
          <t>Yes</t>
        </is>
      </c>
      <c r="X453" s="2" t="inlineStr">
        <is>
          <t>No</t>
        </is>
      </c>
      <c r="Y453" s="2" t="inlineStr">
        <is>
          <t>No</t>
        </is>
      </c>
      <c r="Z453" s="2" t="inlineStr">
        <is>
          <t>No</t>
        </is>
      </c>
      <c r="AA453" s="6" t="n">
        <v>3.293053023</v>
      </c>
      <c r="AB453" s="6" t="n">
        <v>2.745074792</v>
      </c>
      <c r="AC453" s="6" t="n">
        <v>3.293053023</v>
      </c>
      <c r="AD453">
        <f t="array" ref="AD453">IF(SUMPRODUCT(--($AM$2:$AM$112=TRIM(LEFT($B453,IFERROR(FIND(" ",$B453)-1,LEN($B453))))))&gt;0,1,0)</f>
        <v/>
      </c>
      <c r="AE453">
        <f t="array" ref="AE453">IF(SUMPRODUCT(--($AO$2:$AO$145=TRIM(LEFT($B453,IFERROR(FIND(" ",$B453)-1,LEN($B453))))))&gt;0,1,0)</f>
        <v/>
      </c>
      <c r="AF453">
        <f t="array" ref="AF453">IF(SUMPRODUCT(--($AQ$2:$AQ$71=TRIM(LEFT($B453,IFERROR(FIND(" ",$B453)-1,LEN($B453))))))&gt;0,1,0)</f>
        <v/>
      </c>
    </row>
    <row r="454" ht="135.75" customHeight="1" thickBot="1">
      <c r="A454" s="13" t="n">
        <v>55</v>
      </c>
      <c r="B454" s="4" t="inlineStr">
        <is>
          <t>PING US</t>
        </is>
      </c>
      <c r="C454" s="4" t="inlineStr">
        <is>
          <t>129626Z US</t>
        </is>
      </c>
      <c r="D454" s="7" t="n">
        <v>44776</v>
      </c>
      <c r="E454" s="3" t="n">
        <v>2527.36</v>
      </c>
      <c r="F454" s="4" t="inlineStr">
        <is>
          <t>Cash</t>
        </is>
      </c>
      <c r="G454" s="4" t="n"/>
      <c r="H454" s="4" t="inlineStr">
        <is>
          <t>Technology</t>
        </is>
      </c>
      <c r="I454" s="4" t="inlineStr">
        <is>
          <t>Software &amp; Tech Services</t>
        </is>
      </c>
      <c r="J454" s="4" t="inlineStr">
        <is>
          <t>Software</t>
        </is>
      </c>
      <c r="K454" s="4" t="n"/>
      <c r="L454" s="4" t="n"/>
      <c r="M454" s="3" t="n">
        <v>54.28</v>
      </c>
      <c r="N454" s="3" t="n">
        <v>2430.64</v>
      </c>
      <c r="O454" s="4" t="inlineStr">
        <is>
          <t>United States</t>
        </is>
      </c>
      <c r="P454" s="4" t="inlineStr">
        <is>
          <t>United States</t>
        </is>
      </c>
      <c r="Q454" s="4" t="inlineStr">
        <is>
          <t>Friendly</t>
        </is>
      </c>
      <c r="R454" s="3" t="n">
        <v>299.449</v>
      </c>
      <c r="S454" s="3" t="n">
        <v>-33.3606</v>
      </c>
      <c r="T454" s="4" t="inlineStr">
        <is>
          <t>Company Takeover, Private Equity, PE Buyout, Going Private</t>
        </is>
      </c>
      <c r="U454" s="2" t="inlineStr">
        <is>
          <t>No</t>
        </is>
      </c>
      <c r="V454" s="2" t="inlineStr">
        <is>
          <t>No</t>
        </is>
      </c>
      <c r="W454" s="2" t="inlineStr">
        <is>
          <t>No</t>
        </is>
      </c>
      <c r="X454" s="2" t="inlineStr">
        <is>
          <t>Yes</t>
        </is>
      </c>
      <c r="Y454" s="2" t="inlineStr">
        <is>
          <t>Yes</t>
        </is>
      </c>
      <c r="Z454" s="2" t="inlineStr">
        <is>
          <t>No</t>
        </is>
      </c>
      <c r="AA454" s="6" t="n">
        <v>3.402667108</v>
      </c>
      <c r="AB454" s="6" t="n">
        <v>2.476322867</v>
      </c>
      <c r="AC454" s="6" t="n">
        <v>3.385720641</v>
      </c>
      <c r="AD454">
        <f t="array" ref="AD454">IF(SUMPRODUCT(--($AM$2:$AM$112=TRIM(LEFT($B454,IFERROR(FIND(" ",$B454)-1,LEN($B454))))))&gt;0,1,0)</f>
        <v/>
      </c>
      <c r="AE454">
        <f t="array" ref="AE454">IF(SUMPRODUCT(--($AO$2:$AO$145=TRIM(LEFT($B454,IFERROR(FIND(" ",$B454)-1,LEN($B454))))))&gt;0,1,0)</f>
        <v/>
      </c>
      <c r="AF454">
        <f t="array" ref="AF454">IF(SUMPRODUCT(--($AQ$2:$AQ$71=TRIM(LEFT($B454,IFERROR(FIND(" ",$B454)-1,LEN($B454))))))&gt;0,1,0)</f>
        <v/>
      </c>
    </row>
    <row r="455" ht="105.75" customHeight="1" thickBot="1">
      <c r="A455" s="13" t="n">
        <v>33</v>
      </c>
      <c r="B455" s="4" t="inlineStr">
        <is>
          <t>FMTX US</t>
        </is>
      </c>
      <c r="C455" s="4" t="inlineStr">
        <is>
          <t>NOVOB DC</t>
        </is>
      </c>
      <c r="D455" s="7" t="n">
        <v>44805</v>
      </c>
      <c r="E455" s="3" t="n">
        <v>620.08</v>
      </c>
      <c r="F455" s="4" t="inlineStr">
        <is>
          <t>Cash</t>
        </is>
      </c>
      <c r="G455" s="4" t="n"/>
      <c r="H455" s="4" t="inlineStr">
        <is>
          <t>Health Care</t>
        </is>
      </c>
      <c r="I455" s="4" t="inlineStr">
        <is>
          <t>Health Care</t>
        </is>
      </c>
      <c r="J455" s="4" t="inlineStr">
        <is>
          <t>Biotech &amp; Pharma</t>
        </is>
      </c>
      <c r="K455" s="4" t="n"/>
      <c r="L455" s="3" t="n">
        <v>34.5</v>
      </c>
      <c r="M455" s="3" t="n">
        <v>71.18000000000001</v>
      </c>
      <c r="N455" s="3" t="n">
        <v>983.4400000000001</v>
      </c>
      <c r="O455" s="4" t="inlineStr">
        <is>
          <t>United States</t>
        </is>
      </c>
      <c r="P455" s="4" t="inlineStr">
        <is>
          <t>Denmark</t>
        </is>
      </c>
      <c r="Q455" s="4" t="inlineStr">
        <is>
          <t>Friendly</t>
        </is>
      </c>
      <c r="R455" s="2" t="n"/>
      <c r="S455" s="2" t="n"/>
      <c r="T455" s="4" t="inlineStr">
        <is>
          <t>Cross Border, Company Takeover, Tender Offer</t>
        </is>
      </c>
      <c r="U455" s="2" t="inlineStr">
        <is>
          <t>No</t>
        </is>
      </c>
      <c r="V455" s="2" t="inlineStr">
        <is>
          <t>No</t>
        </is>
      </c>
      <c r="W455" s="2" t="inlineStr">
        <is>
          <t>Yes</t>
        </is>
      </c>
      <c r="X455" s="2" t="inlineStr">
        <is>
          <t>No</t>
        </is>
      </c>
      <c r="Y455" s="2" t="inlineStr">
        <is>
          <t>No</t>
        </is>
      </c>
      <c r="Z455" s="2" t="inlineStr">
        <is>
          <t>Yes</t>
        </is>
      </c>
      <c r="AA455" s="6" t="n">
        <v>2.792447724</v>
      </c>
      <c r="AB455" s="2" t="n"/>
      <c r="AC455" s="6" t="n">
        <v>2.992747869</v>
      </c>
      <c r="AD455">
        <f t="array" ref="AD455">IF(SUMPRODUCT(--($AM$2:$AM$112=TRIM(LEFT($B455,IFERROR(FIND(" ",$B455)-1,LEN($B455))))))&gt;0,1,0)</f>
        <v/>
      </c>
      <c r="AE455">
        <f t="array" ref="AE455">IF(SUMPRODUCT(--($AO$2:$AO$145=TRIM(LEFT($B455,IFERROR(FIND(" ",$B455)-1,LEN($B455))))))&gt;0,1,0)</f>
        <v/>
      </c>
      <c r="AF455">
        <f t="array" ref="AF455">IF(SUMPRODUCT(--($AQ$2:$AQ$71=TRIM(LEFT($B455,IFERROR(FIND(" ",$B455)-1,LEN($B455))))))&gt;0,1,0)</f>
        <v/>
      </c>
    </row>
    <row r="456" ht="180.75" customHeight="1" thickBot="1">
      <c r="A456" s="13" t="n">
        <v>103</v>
      </c>
      <c r="B456" s="4" t="inlineStr">
        <is>
          <t>CVET US</t>
        </is>
      </c>
      <c r="C456" s="2" t="n"/>
      <c r="D456" s="7" t="n">
        <v>44706</v>
      </c>
      <c r="E456" s="3" t="n">
        <v>3150.52</v>
      </c>
      <c r="F456" s="4" t="inlineStr">
        <is>
          <t>Cash</t>
        </is>
      </c>
      <c r="G456" s="3" t="n">
        <v>25.05</v>
      </c>
      <c r="H456" s="4" t="inlineStr">
        <is>
          <t>Health Care</t>
        </is>
      </c>
      <c r="I456" s="4" t="inlineStr">
        <is>
          <t>Health Care</t>
        </is>
      </c>
      <c r="J456" s="4" t="inlineStr">
        <is>
          <t>Health Care Facilities &amp; Svcs</t>
        </is>
      </c>
      <c r="K456" s="4" t="n"/>
      <c r="L456" s="4" t="n"/>
      <c r="M456" s="3" t="n">
        <v>32.04</v>
      </c>
      <c r="N456" s="3" t="n">
        <v>2220.52</v>
      </c>
      <c r="O456" s="4" t="inlineStr">
        <is>
          <t>United States</t>
        </is>
      </c>
      <c r="P456" s="4" t="inlineStr">
        <is>
          <t>United States</t>
        </is>
      </c>
      <c r="Q456" s="4" t="inlineStr">
        <is>
          <t>Friendly</t>
        </is>
      </c>
      <c r="R456" s="3" t="n">
        <v>4575</v>
      </c>
      <c r="S456" s="3" t="n">
        <v>-0.02151</v>
      </c>
      <c r="T456" s="4" t="inlineStr">
        <is>
          <t>PE Buyout, Additional Stake Purchase, Private Equity, Company Takeover, Going Private</t>
        </is>
      </c>
      <c r="U456" s="2" t="inlineStr">
        <is>
          <t>Yes</t>
        </is>
      </c>
      <c r="V456" s="2" t="inlineStr">
        <is>
          <t>No</t>
        </is>
      </c>
      <c r="W456" s="2" t="inlineStr">
        <is>
          <t>No</t>
        </is>
      </c>
      <c r="X456" s="2" t="inlineStr">
        <is>
          <t>Yes</t>
        </is>
      </c>
      <c r="Y456" s="2" t="inlineStr">
        <is>
          <t>Yes</t>
        </is>
      </c>
      <c r="Z456" s="2" t="inlineStr">
        <is>
          <t>No</t>
        </is>
      </c>
      <c r="AA456" s="6" t="n">
        <v>3.498382241</v>
      </c>
      <c r="AB456" s="6" t="n">
        <v>3.660391098</v>
      </c>
      <c r="AC456" s="6" t="n">
        <v>3.346454689</v>
      </c>
      <c r="AD456">
        <f t="array" ref="AD456">IF(SUMPRODUCT(--($AM$2:$AM$112=TRIM(LEFT($B456,IFERROR(FIND(" ",$B456)-1,LEN($B456))))))&gt;0,1,0)</f>
        <v/>
      </c>
      <c r="AE456">
        <f t="array" ref="AE456">IF(SUMPRODUCT(--($AO$2:$AO$145=TRIM(LEFT($B456,IFERROR(FIND(" ",$B456)-1,LEN($B456))))))&gt;0,1,0)</f>
        <v/>
      </c>
      <c r="AF456">
        <f t="array" ref="AF456">IF(SUMPRODUCT(--($AQ$2:$AQ$71=TRIM(LEFT($B456,IFERROR(FIND(" ",$B456)-1,LEN($B456))))))&gt;0,1,0)</f>
        <v/>
      </c>
    </row>
    <row r="457" ht="75.75" customHeight="1" thickBot="1">
      <c r="A457" s="13" t="n">
        <v>189</v>
      </c>
      <c r="B457" s="4" t="inlineStr">
        <is>
          <t>EXTN US</t>
        </is>
      </c>
      <c r="C457" s="4" t="inlineStr">
        <is>
          <t>EFX CN</t>
        </is>
      </c>
      <c r="D457" s="7" t="n">
        <v>44585</v>
      </c>
      <c r="E457" s="3" t="n">
        <v>765.91</v>
      </c>
      <c r="F457" s="4" t="inlineStr">
        <is>
          <t>Stock</t>
        </is>
      </c>
      <c r="G457" s="3" t="n">
        <v>5.37</v>
      </c>
      <c r="H457" s="4" t="inlineStr">
        <is>
          <t>Energy</t>
        </is>
      </c>
      <c r="I457" s="4" t="inlineStr">
        <is>
          <t>Oil &amp; Gas</t>
        </is>
      </c>
      <c r="J457" s="4" t="inlineStr">
        <is>
          <t>Oil &amp; Gas Services &amp; Equip</t>
        </is>
      </c>
      <c r="K457" s="4" t="n"/>
      <c r="L457" s="4" t="n"/>
      <c r="M457" s="3" t="n">
        <v>102.27</v>
      </c>
      <c r="N457" s="3" t="n">
        <v>218.46</v>
      </c>
      <c r="O457" s="4" t="inlineStr">
        <is>
          <t>United States</t>
        </is>
      </c>
      <c r="P457" s="4" t="inlineStr">
        <is>
          <t>Canada</t>
        </is>
      </c>
      <c r="Q457" s="4" t="inlineStr">
        <is>
          <t>Friendly</t>
        </is>
      </c>
      <c r="R457" s="3" t="n">
        <v>630.245</v>
      </c>
      <c r="S457" s="3" t="n">
        <v>-0.571036</v>
      </c>
      <c r="T457" s="4" t="inlineStr">
        <is>
          <t>Company Takeover, Cross Border</t>
        </is>
      </c>
      <c r="U457" s="2" t="inlineStr">
        <is>
          <t>No</t>
        </is>
      </c>
      <c r="V457" s="2" t="inlineStr">
        <is>
          <t>No</t>
        </is>
      </c>
      <c r="W457" s="2" t="inlineStr">
        <is>
          <t>Yes</t>
        </is>
      </c>
      <c r="X457" s="2" t="inlineStr">
        <is>
          <t>No</t>
        </is>
      </c>
      <c r="Y457" s="2" t="inlineStr">
        <is>
          <t>No</t>
        </is>
      </c>
      <c r="Z457" s="2" t="inlineStr">
        <is>
          <t>No</t>
        </is>
      </c>
      <c r="AA457" s="6" t="n">
        <v>2.88417774</v>
      </c>
      <c r="AB457" s="6" t="n">
        <v>2.799509409</v>
      </c>
      <c r="AC457" s="6" t="n">
        <v>2.339371929</v>
      </c>
      <c r="AD457">
        <f t="array" ref="AD457">IF(SUMPRODUCT(--($AM$2:$AM$112=TRIM(LEFT($B457,IFERROR(FIND(" ",$B457)-1,LEN($B457))))))&gt;0,1,0)</f>
        <v/>
      </c>
      <c r="AE457">
        <f t="array" ref="AE457">IF(SUMPRODUCT(--($AO$2:$AO$145=TRIM(LEFT($B457,IFERROR(FIND(" ",$B457)-1,LEN($B457))))))&gt;0,1,0)</f>
        <v/>
      </c>
      <c r="AF457">
        <f t="array" ref="AF457">IF(SUMPRODUCT(--($AQ$2:$AQ$71=TRIM(LEFT($B457,IFERROR(FIND(" ",$B457)-1,LEN($B457))))))&gt;0,1,0)</f>
        <v/>
      </c>
    </row>
    <row r="458" ht="135.75" customHeight="1" thickBot="1">
      <c r="A458" s="13" t="n">
        <v>142</v>
      </c>
      <c r="B458" s="4" t="inlineStr">
        <is>
          <t>NLSN US</t>
        </is>
      </c>
      <c r="C458" s="2" t="n"/>
      <c r="D458" s="7" t="n">
        <v>44649</v>
      </c>
      <c r="E458" s="3" t="n">
        <v>15491.58</v>
      </c>
      <c r="F458" s="4" t="inlineStr">
        <is>
          <t>Cash</t>
        </is>
      </c>
      <c r="G458" s="3" t="n">
        <v>10.54</v>
      </c>
      <c r="H458" s="4" t="inlineStr">
        <is>
          <t>Communications</t>
        </is>
      </c>
      <c r="I458" s="4" t="inlineStr">
        <is>
          <t>Media</t>
        </is>
      </c>
      <c r="J458" s="4" t="inlineStr">
        <is>
          <t>Advertising &amp; Marketing</t>
        </is>
      </c>
      <c r="K458" s="4" t="n"/>
      <c r="L458" s="4" t="n"/>
      <c r="M458" s="3" t="n">
        <v>36.11</v>
      </c>
      <c r="N458" s="3" t="n">
        <v>10065.58</v>
      </c>
      <c r="O458" s="4" t="inlineStr">
        <is>
          <t>United States</t>
        </is>
      </c>
      <c r="P458" s="4" t="inlineStr">
        <is>
          <t>Canada</t>
        </is>
      </c>
      <c r="Q458" s="4" t="inlineStr">
        <is>
          <t>Unsolicited to Friendly</t>
        </is>
      </c>
      <c r="R458" s="3" t="n">
        <v>3500</v>
      </c>
      <c r="S458" s="3" t="n">
        <v>22.7619</v>
      </c>
      <c r="T458" s="4" t="inlineStr">
        <is>
          <t>Company Takeover, PE Buyout, Private Equity, Going Private</t>
        </is>
      </c>
      <c r="U458" s="2" t="inlineStr">
        <is>
          <t>No</t>
        </is>
      </c>
      <c r="V458" s="2" t="inlineStr">
        <is>
          <t>No</t>
        </is>
      </c>
      <c r="W458" s="2" t="inlineStr">
        <is>
          <t>No</t>
        </is>
      </c>
      <c r="X458" s="2" t="inlineStr">
        <is>
          <t>Yes</t>
        </is>
      </c>
      <c r="Y458" s="2" t="inlineStr">
        <is>
          <t>Yes</t>
        </is>
      </c>
      <c r="Z458" s="2" t="inlineStr">
        <is>
          <t>No</t>
        </is>
      </c>
      <c r="AA458" s="6" t="n">
        <v>4.190095714</v>
      </c>
      <c r="AB458" s="6" t="n">
        <v>3.544068044</v>
      </c>
      <c r="AC458" s="6" t="n">
        <v>4.002838805</v>
      </c>
      <c r="AD458">
        <f t="array" ref="AD458">IF(SUMPRODUCT(--($AM$2:$AM$112=TRIM(LEFT($B458,IFERROR(FIND(" ",$B458)-1,LEN($B458))))))&gt;0,1,0)</f>
        <v/>
      </c>
      <c r="AE458">
        <f t="array" ref="AE458">IF(SUMPRODUCT(--($AO$2:$AO$145=TRIM(LEFT($B458,IFERROR(FIND(" ",$B458)-1,LEN($B458))))))&gt;0,1,0)</f>
        <v/>
      </c>
      <c r="AF458">
        <f t="array" ref="AF458">IF(SUMPRODUCT(--($AQ$2:$AQ$71=TRIM(LEFT($B458,IFERROR(FIND(" ",$B458)-1,LEN($B458))))))&gt;0,1,0)</f>
        <v/>
      </c>
    </row>
    <row r="459" ht="105.75" customHeight="1" thickBot="1">
      <c r="A459" s="13" t="n">
        <v>217</v>
      </c>
      <c r="B459" s="4" t="inlineStr">
        <is>
          <t>TMX US</t>
        </is>
      </c>
      <c r="C459" s="4" t="inlineStr">
        <is>
          <t>RTO LN</t>
        </is>
      </c>
      <c r="D459" s="7" t="n">
        <v>44544</v>
      </c>
      <c r="E459" s="3" t="n">
        <v>7936.38</v>
      </c>
      <c r="F459" s="4" t="inlineStr">
        <is>
          <t>Cash or Stock</t>
        </is>
      </c>
      <c r="G459" s="3" t="n">
        <v>22.48</v>
      </c>
      <c r="H459" s="4" t="inlineStr">
        <is>
          <t>Industrials</t>
        </is>
      </c>
      <c r="I459" s="4" t="inlineStr">
        <is>
          <t>Industrial Services</t>
        </is>
      </c>
      <c r="J459" s="4" t="inlineStr">
        <is>
          <t>Commercial Support Services</t>
        </is>
      </c>
      <c r="K459" s="3" t="n">
        <v>150</v>
      </c>
      <c r="L459" s="3" t="n">
        <v>200</v>
      </c>
      <c r="M459" s="3" t="n">
        <v>51.11</v>
      </c>
      <c r="N459" s="3" t="n">
        <v>7071.38</v>
      </c>
      <c r="O459" s="4" t="inlineStr">
        <is>
          <t>United States</t>
        </is>
      </c>
      <c r="P459" s="4" t="inlineStr">
        <is>
          <t>United Kingdom</t>
        </is>
      </c>
      <c r="Q459" s="4" t="inlineStr">
        <is>
          <t>Friendly</t>
        </is>
      </c>
      <c r="R459" s="3" t="n">
        <v>2045</v>
      </c>
      <c r="S459" s="3" t="n">
        <v>7.39857</v>
      </c>
      <c r="T459" s="4" t="inlineStr">
        <is>
          <t>Company Takeover, Tender Offer, Cross Border</t>
        </is>
      </c>
      <c r="U459" s="2" t="inlineStr">
        <is>
          <t>No</t>
        </is>
      </c>
      <c r="V459" s="2" t="inlineStr">
        <is>
          <t>No</t>
        </is>
      </c>
      <c r="W459" s="2" t="inlineStr">
        <is>
          <t>Yes</t>
        </is>
      </c>
      <c r="X459" s="2" t="inlineStr">
        <is>
          <t>No</t>
        </is>
      </c>
      <c r="Y459" s="2" t="inlineStr">
        <is>
          <t>No</t>
        </is>
      </c>
      <c r="Z459" s="2" t="inlineStr">
        <is>
          <t>Yes</t>
        </is>
      </c>
      <c r="AA459" s="6" t="n">
        <v>3.899622454</v>
      </c>
      <c r="AB459" s="6" t="n">
        <v>3.310693312</v>
      </c>
      <c r="AC459" s="6" t="n">
        <v>3.849504176</v>
      </c>
      <c r="AD459">
        <f t="array" ref="AD459">IF(SUMPRODUCT(--($AM$2:$AM$112=TRIM(LEFT($B459,IFERROR(FIND(" ",$B459)-1,LEN($B459))))))&gt;0,1,0)</f>
        <v/>
      </c>
      <c r="AE459">
        <f t="array" ref="AE459">IF(SUMPRODUCT(--($AO$2:$AO$145=TRIM(LEFT($B459,IFERROR(FIND(" ",$B459)-1,LEN($B459))))))&gt;0,1,0)</f>
        <v/>
      </c>
      <c r="AF459">
        <f t="array" ref="AF459">IF(SUMPRODUCT(--($AQ$2:$AQ$71=TRIM(LEFT($B459,IFERROR(FIND(" ",$B459)-1,LEN($B459))))))&gt;0,1,0)</f>
        <v/>
      </c>
    </row>
    <row r="460" ht="60.75" customHeight="1" thickBot="1">
      <c r="A460" s="13" t="n">
        <v>56</v>
      </c>
      <c r="B460" s="4" t="inlineStr">
        <is>
          <t>IEA US</t>
        </is>
      </c>
      <c r="C460" s="4" t="inlineStr">
        <is>
          <t>MTZ US</t>
        </is>
      </c>
      <c r="D460" s="7" t="n">
        <v>44767</v>
      </c>
      <c r="E460" s="3" t="n">
        <v>1040.75</v>
      </c>
      <c r="F460" s="4" t="inlineStr">
        <is>
          <t>Cash and Stock</t>
        </is>
      </c>
      <c r="G460" s="3" t="n">
        <v>8.25</v>
      </c>
      <c r="H460" s="4" t="inlineStr">
        <is>
          <t>Industrials</t>
        </is>
      </c>
      <c r="I460" s="4" t="inlineStr">
        <is>
          <t>Industrial Services</t>
        </is>
      </c>
      <c r="J460" s="4" t="inlineStr">
        <is>
          <t>Engineering &amp; Construction</t>
        </is>
      </c>
      <c r="K460" s="4" t="n"/>
      <c r="L460" s="4" t="n"/>
      <c r="M460" s="3" t="n">
        <v>55.32</v>
      </c>
      <c r="N460" s="3" t="n">
        <v>676.08</v>
      </c>
      <c r="O460" s="4" t="inlineStr">
        <is>
          <t>United States</t>
        </is>
      </c>
      <c r="P460" s="4" t="inlineStr">
        <is>
          <t>United States</t>
        </is>
      </c>
      <c r="Q460" s="4" t="inlineStr">
        <is>
          <t>Friendly</t>
        </is>
      </c>
      <c r="R460" s="3" t="n">
        <v>2078.42</v>
      </c>
      <c r="S460" s="3" t="n">
        <v>2.74574</v>
      </c>
      <c r="T460" s="4" t="inlineStr">
        <is>
          <t>Company Takeover</t>
        </is>
      </c>
      <c r="U460" s="2" t="inlineStr">
        <is>
          <t>No</t>
        </is>
      </c>
      <c r="V460" s="2" t="inlineStr">
        <is>
          <t>No</t>
        </is>
      </c>
      <c r="W460" s="2" t="inlineStr">
        <is>
          <t>No</t>
        </is>
      </c>
      <c r="X460" s="2" t="inlineStr">
        <is>
          <t>No</t>
        </is>
      </c>
      <c r="Y460" s="2" t="inlineStr">
        <is>
          <t>No</t>
        </is>
      </c>
      <c r="Z460" s="2" t="inlineStr">
        <is>
          <t>No</t>
        </is>
      </c>
      <c r="AA460" s="6" t="n">
        <v>3.01734642</v>
      </c>
      <c r="AB460" s="6" t="n">
        <v>3.317733313</v>
      </c>
      <c r="AC460" s="6" t="n">
        <v>2.829998089</v>
      </c>
      <c r="AD460">
        <f t="array" ref="AD460">IF(SUMPRODUCT(--($AM$2:$AM$112=TRIM(LEFT($B460,IFERROR(FIND(" ",$B460)-1,LEN($B460))))))&gt;0,1,0)</f>
        <v/>
      </c>
      <c r="AE460">
        <f t="array" ref="AE460">IF(SUMPRODUCT(--($AO$2:$AO$145=TRIM(LEFT($B460,IFERROR(FIND(" ",$B460)-1,LEN($B460))))))&gt;0,1,0)</f>
        <v/>
      </c>
      <c r="AF460">
        <f t="array" ref="AF460">IF(SUMPRODUCT(--($AQ$2:$AQ$71=TRIM(LEFT($B460,IFERROR(FIND(" ",$B460)-1,LEN($B460))))))&gt;0,1,0)</f>
        <v/>
      </c>
    </row>
    <row r="461" ht="45.75" customHeight="1" thickBot="1">
      <c r="A461" s="13" t="n">
        <v>44</v>
      </c>
      <c r="B461" s="4" t="inlineStr">
        <is>
          <t>GBT US</t>
        </is>
      </c>
      <c r="C461" s="4" t="inlineStr">
        <is>
          <t>PFE US</t>
        </is>
      </c>
      <c r="D461" s="7" t="n">
        <v>44781</v>
      </c>
      <c r="E461" s="3" t="n">
        <v>4618.23</v>
      </c>
      <c r="F461" s="4" t="inlineStr">
        <is>
          <t>Cash</t>
        </is>
      </c>
      <c r="G461" s="4" t="n"/>
      <c r="H461" s="4" t="inlineStr">
        <is>
          <t>Health Care</t>
        </is>
      </c>
      <c r="I461" s="4" t="inlineStr">
        <is>
          <t>Health Care</t>
        </is>
      </c>
      <c r="J461" s="4" t="inlineStr">
        <is>
          <t>Biotech &amp; Pharma</t>
        </is>
      </c>
      <c r="K461" s="4" t="n"/>
      <c r="L461" s="4" t="n"/>
      <c r="M461" s="3" t="n">
        <v>88.81999999999999</v>
      </c>
      <c r="N461" s="3" t="n">
        <v>4621.26</v>
      </c>
      <c r="O461" s="4" t="inlineStr">
        <is>
          <t>United States</t>
        </is>
      </c>
      <c r="P461" s="4" t="inlineStr">
        <is>
          <t>United States</t>
        </is>
      </c>
      <c r="Q461" s="4" t="inlineStr">
        <is>
          <t>Friendly</t>
        </is>
      </c>
      <c r="R461" s="3" t="n">
        <v>194.749</v>
      </c>
      <c r="S461" s="3" t="n">
        <v>-127.413</v>
      </c>
      <c r="T461" s="4" t="inlineStr">
        <is>
          <t>Company Takeover</t>
        </is>
      </c>
      <c r="U461" s="2" t="inlineStr">
        <is>
          <t>No</t>
        </is>
      </c>
      <c r="V461" s="2" t="inlineStr">
        <is>
          <t>No</t>
        </is>
      </c>
      <c r="W461" s="2" t="inlineStr">
        <is>
          <t>No</t>
        </is>
      </c>
      <c r="X461" s="2" t="inlineStr">
        <is>
          <t>No</t>
        </is>
      </c>
      <c r="Y461" s="2" t="inlineStr">
        <is>
          <t>No</t>
        </is>
      </c>
      <c r="Z461" s="2" t="inlineStr">
        <is>
          <t>No</t>
        </is>
      </c>
      <c r="AA461" s="6" t="n">
        <v>3.664475558</v>
      </c>
      <c r="AB461" s="6" t="n">
        <v>2.289475236</v>
      </c>
      <c r="AC461" s="6" t="n">
        <v>3.664760403</v>
      </c>
      <c r="AD461">
        <f t="array" ref="AD461">IF(SUMPRODUCT(--($AM$2:$AM$112=TRIM(LEFT($B461,IFERROR(FIND(" ",$B461)-1,LEN($B461))))))&gt;0,1,0)</f>
        <v/>
      </c>
      <c r="AE461">
        <f t="array" ref="AE461">IF(SUMPRODUCT(--($AO$2:$AO$145=TRIM(LEFT($B461,IFERROR(FIND(" ",$B461)-1,LEN($B461))))))&gt;0,1,0)</f>
        <v/>
      </c>
      <c r="AF461">
        <f t="array" ref="AF461">IF(SUMPRODUCT(--($AQ$2:$AQ$71=TRIM(LEFT($B461,IFERROR(FIND(" ",$B461)-1,LEN($B461))))))&gt;0,1,0)</f>
        <v/>
      </c>
    </row>
    <row r="462" ht="135.75" customHeight="1" thickBot="1">
      <c r="A462" s="13" t="n">
        <v>209</v>
      </c>
      <c r="B462" s="4" t="inlineStr">
        <is>
          <t>BRG US</t>
        </is>
      </c>
      <c r="C462" s="4" t="inlineStr">
        <is>
          <t>BX US</t>
        </is>
      </c>
      <c r="D462" s="7" t="n">
        <v>44550</v>
      </c>
      <c r="E462" s="3" t="n">
        <v>1814.95</v>
      </c>
      <c r="F462" s="4" t="inlineStr">
        <is>
          <t>Cash</t>
        </is>
      </c>
      <c r="G462" s="3" t="n">
        <v>16.06</v>
      </c>
      <c r="H462" s="4" t="inlineStr">
        <is>
          <t>Real Estate</t>
        </is>
      </c>
      <c r="I462" s="4" t="inlineStr">
        <is>
          <t>Real Estate</t>
        </is>
      </c>
      <c r="J462" s="4" t="inlineStr">
        <is>
          <t>REIT</t>
        </is>
      </c>
      <c r="K462" s="4" t="n"/>
      <c r="L462" s="4" t="n"/>
      <c r="M462" s="3" t="n">
        <v>64.75</v>
      </c>
      <c r="N462" s="3" t="n">
        <v>637.0599999999999</v>
      </c>
      <c r="O462" s="4" t="inlineStr">
        <is>
          <t>United States</t>
        </is>
      </c>
      <c r="P462" s="4" t="inlineStr">
        <is>
          <t>United States</t>
        </is>
      </c>
      <c r="Q462" s="4" t="inlineStr">
        <is>
          <t>Friendly</t>
        </is>
      </c>
      <c r="R462" s="3" t="n">
        <v>220.651</v>
      </c>
      <c r="S462" s="3" t="n">
        <v>8.112399999999999</v>
      </c>
      <c r="T462" s="4" t="inlineStr">
        <is>
          <t>Private Equity, Company Takeover, PE Buyout, Going Private</t>
        </is>
      </c>
      <c r="U462" s="2" t="inlineStr">
        <is>
          <t>No</t>
        </is>
      </c>
      <c r="V462" s="2" t="inlineStr">
        <is>
          <t>No</t>
        </is>
      </c>
      <c r="W462" s="2" t="inlineStr">
        <is>
          <t>No</t>
        </is>
      </c>
      <c r="X462" s="2" t="inlineStr">
        <is>
          <t>Yes</t>
        </is>
      </c>
      <c r="Y462" s="2" t="inlineStr">
        <is>
          <t>Yes</t>
        </is>
      </c>
      <c r="Z462" s="2" t="inlineStr">
        <is>
          <t>No</t>
        </is>
      </c>
      <c r="AA462" s="6" t="n">
        <v>3.258864665</v>
      </c>
      <c r="AB462" s="6" t="n">
        <v>2.3437059</v>
      </c>
      <c r="AC462" s="6" t="n">
        <v>2.804180337</v>
      </c>
      <c r="AD462">
        <f t="array" ref="AD462">IF(SUMPRODUCT(--($AM$2:$AM$112=TRIM(LEFT($B462,IFERROR(FIND(" ",$B462)-1,LEN($B462))))))&gt;0,1,0)</f>
        <v/>
      </c>
      <c r="AE462">
        <f t="array" ref="AE462">IF(SUMPRODUCT(--($AO$2:$AO$145=TRIM(LEFT($B462,IFERROR(FIND(" ",$B462)-1,LEN($B462))))))&gt;0,1,0)</f>
        <v/>
      </c>
      <c r="AF462">
        <f t="array" ref="AF462">IF(SUMPRODUCT(--($AQ$2:$AQ$71=TRIM(LEFT($B462,IFERROR(FIND(" ",$B462)-1,LEN($B462))))))&gt;0,1,0)</f>
        <v/>
      </c>
    </row>
    <row r="463" ht="45.75" customHeight="1" thickBot="1">
      <c r="A463" s="13" t="n">
        <v>455</v>
      </c>
      <c r="B463" s="4" t="inlineStr">
        <is>
          <t>CHNG US</t>
        </is>
      </c>
      <c r="C463" s="4" t="inlineStr">
        <is>
          <t>UNH US</t>
        </is>
      </c>
      <c r="D463" s="7" t="n">
        <v>44202</v>
      </c>
      <c r="E463" s="3" t="n">
        <v>12806.69</v>
      </c>
      <c r="F463" s="4" t="inlineStr">
        <is>
          <t>Cash</t>
        </is>
      </c>
      <c r="G463" s="3" t="n">
        <v>22.39</v>
      </c>
      <c r="H463" s="4" t="inlineStr">
        <is>
          <t>Technology</t>
        </is>
      </c>
      <c r="I463" s="4" t="inlineStr">
        <is>
          <t>Software &amp; Tech Services</t>
        </is>
      </c>
      <c r="J463" s="4" t="inlineStr">
        <is>
          <t>Software</t>
        </is>
      </c>
      <c r="K463" s="4" t="n"/>
      <c r="L463" s="3" t="n">
        <v>300</v>
      </c>
      <c r="M463" s="3" t="n">
        <v>40.96</v>
      </c>
      <c r="N463" s="3" t="n">
        <v>7839.65</v>
      </c>
      <c r="O463" s="4" t="inlineStr">
        <is>
          <t>United States</t>
        </is>
      </c>
      <c r="P463" s="4" t="inlineStr">
        <is>
          <t>United States</t>
        </is>
      </c>
      <c r="Q463" s="4" t="inlineStr">
        <is>
          <t>Friendly</t>
        </is>
      </c>
      <c r="R463" s="3" t="n">
        <v>3480.82</v>
      </c>
      <c r="S463" s="3" t="n">
        <v>3.42892</v>
      </c>
      <c r="T463" s="4" t="inlineStr">
        <is>
          <t>Company Takeover</t>
        </is>
      </c>
      <c r="U463" s="2" t="inlineStr">
        <is>
          <t>No</t>
        </is>
      </c>
      <c r="V463" s="2" t="inlineStr">
        <is>
          <t>No</t>
        </is>
      </c>
      <c r="W463" s="2" t="inlineStr">
        <is>
          <t>No</t>
        </is>
      </c>
      <c r="X463" s="2" t="inlineStr">
        <is>
          <t>No</t>
        </is>
      </c>
      <c r="Y463" s="2" t="inlineStr">
        <is>
          <t>No</t>
        </is>
      </c>
      <c r="Z463" s="2" t="inlineStr">
        <is>
          <t>No</t>
        </is>
      </c>
      <c r="AA463" s="6" t="n">
        <v>4.107436897</v>
      </c>
      <c r="AB463" s="6" t="n">
        <v>3.541681566</v>
      </c>
      <c r="AC463" s="6" t="n">
        <v>3.894296674</v>
      </c>
      <c r="AD463">
        <f t="array" ref="AD463">IF(SUMPRODUCT(--($AM$2:$AM$112=TRIM(LEFT($B463,IFERROR(FIND(" ",$B463)-1,LEN($B463))))))&gt;0,1,0)</f>
        <v/>
      </c>
      <c r="AE463">
        <f t="array" ref="AE463">IF(SUMPRODUCT(--($AO$2:$AO$145=TRIM(LEFT($B463,IFERROR(FIND(" ",$B463)-1,LEN($B463))))))&gt;0,1,0)</f>
        <v/>
      </c>
      <c r="AF463">
        <f t="array" ref="AF463">IF(SUMPRODUCT(--($AQ$2:$AQ$71=TRIM(LEFT($B463,IFERROR(FIND(" ",$B463)-1,LEN($B463))))))&gt;0,1,0)</f>
        <v/>
      </c>
    </row>
    <row r="464" ht="105.75" customHeight="1" thickBot="1">
      <c r="A464" s="13" t="n">
        <v>106</v>
      </c>
      <c r="B464" s="4" t="inlineStr">
        <is>
          <t>2177859D US</t>
        </is>
      </c>
      <c r="C464" s="4" t="inlineStr">
        <is>
          <t>PFE US</t>
        </is>
      </c>
      <c r="D464" s="7" t="n">
        <v>44691</v>
      </c>
      <c r="E464" s="3" t="n">
        <v>10475.44</v>
      </c>
      <c r="F464" s="4" t="inlineStr">
        <is>
          <t>Cash</t>
        </is>
      </c>
      <c r="G464" s="4" t="n"/>
      <c r="H464" s="4" t="inlineStr">
        <is>
          <t>Health Care</t>
        </is>
      </c>
      <c r="I464" s="4" t="inlineStr">
        <is>
          <t>Health Care</t>
        </is>
      </c>
      <c r="J464" s="4" t="inlineStr">
        <is>
          <t>Biotech &amp; Pharma</t>
        </is>
      </c>
      <c r="K464" s="3" t="n">
        <v>450</v>
      </c>
      <c r="L464" s="3" t="n">
        <v>450</v>
      </c>
      <c r="M464" s="3" t="n">
        <v>46.96</v>
      </c>
      <c r="N464" s="3" t="n">
        <v>10200.94</v>
      </c>
      <c r="O464" s="4" t="inlineStr">
        <is>
          <t>United States</t>
        </is>
      </c>
      <c r="P464" s="4" t="inlineStr">
        <is>
          <t>United States</t>
        </is>
      </c>
      <c r="Q464" s="4" t="inlineStr">
        <is>
          <t>Friendly</t>
        </is>
      </c>
      <c r="R464" s="3" t="n">
        <v>462.509</v>
      </c>
      <c r="S464" s="3" t="n">
        <v>-74.4354</v>
      </c>
      <c r="T464" s="4" t="inlineStr">
        <is>
          <t>Additional Stake Purchase, Company Takeover</t>
        </is>
      </c>
      <c r="U464" s="2" t="inlineStr">
        <is>
          <t>Yes</t>
        </is>
      </c>
      <c r="V464" s="2" t="inlineStr">
        <is>
          <t>No</t>
        </is>
      </c>
      <c r="W464" s="2" t="inlineStr">
        <is>
          <t>No</t>
        </is>
      </c>
      <c r="X464" s="2" t="inlineStr">
        <is>
          <t>No</t>
        </is>
      </c>
      <c r="Y464" s="2" t="inlineStr">
        <is>
          <t>No</t>
        </is>
      </c>
      <c r="Z464" s="2" t="inlineStr">
        <is>
          <t>No</t>
        </is>
      </c>
      <c r="AA464" s="6" t="n">
        <v>4.020172274</v>
      </c>
      <c r="AB464" s="6" t="n">
        <v>2.665120188</v>
      </c>
      <c r="AC464" s="6" t="n">
        <v>4.008640193</v>
      </c>
      <c r="AD464">
        <f t="array" ref="AD464">IF(SUMPRODUCT(--($AM$2:$AM$112=TRIM(LEFT($B464,IFERROR(FIND(" ",$B464)-1,LEN($B464))))))&gt;0,1,0)</f>
        <v/>
      </c>
      <c r="AE464">
        <f t="array" ref="AE464">IF(SUMPRODUCT(--($AO$2:$AO$145=TRIM(LEFT($B464,IFERROR(FIND(" ",$B464)-1,LEN($B464))))))&gt;0,1,0)</f>
        <v/>
      </c>
      <c r="AF464">
        <f t="array" ref="AF464">IF(SUMPRODUCT(--($AQ$2:$AQ$71=TRIM(LEFT($B464,IFERROR(FIND(" ",$B464)-1,LEN($B464))))))&gt;0,1,0)</f>
        <v/>
      </c>
    </row>
    <row r="465" ht="45.75" customHeight="1" thickBot="1">
      <c r="A465" s="13" t="n">
        <v>81</v>
      </c>
      <c r="B465" s="4" t="inlineStr">
        <is>
          <t>DRE US</t>
        </is>
      </c>
      <c r="C465" s="4" t="inlineStr">
        <is>
          <t>PLD US</t>
        </is>
      </c>
      <c r="D465" s="7" t="n">
        <v>44725</v>
      </c>
      <c r="E465" s="3" t="n">
        <v>26315.78</v>
      </c>
      <c r="F465" s="4" t="inlineStr">
        <is>
          <t>Stock</t>
        </is>
      </c>
      <c r="G465" s="3" t="n">
        <v>39.67</v>
      </c>
      <c r="H465" s="4" t="inlineStr">
        <is>
          <t>Real Estate</t>
        </is>
      </c>
      <c r="I465" s="4" t="inlineStr">
        <is>
          <t>Real Estate</t>
        </is>
      </c>
      <c r="J465" s="4" t="inlineStr">
        <is>
          <t>REIT</t>
        </is>
      </c>
      <c r="K465" s="4" t="n"/>
      <c r="L465" s="4" t="n"/>
      <c r="M465" s="3" t="n">
        <v>12.77</v>
      </c>
      <c r="N465" s="3" t="n">
        <v>22673.87</v>
      </c>
      <c r="O465" s="4" t="inlineStr">
        <is>
          <t>United States</t>
        </is>
      </c>
      <c r="P465" s="4" t="inlineStr">
        <is>
          <t>United States</t>
        </is>
      </c>
      <c r="Q465" s="4" t="inlineStr">
        <is>
          <t>Friendly</t>
        </is>
      </c>
      <c r="R465" s="3" t="n">
        <v>1105.92</v>
      </c>
      <c r="S465" s="3" t="n">
        <v>32.683</v>
      </c>
      <c r="T465" s="4" t="inlineStr">
        <is>
          <t>Company Takeover</t>
        </is>
      </c>
      <c r="U465" s="2" t="inlineStr">
        <is>
          <t>No</t>
        </is>
      </c>
      <c r="V465" s="2" t="inlineStr">
        <is>
          <t>No</t>
        </is>
      </c>
      <c r="W465" s="2" t="inlineStr">
        <is>
          <t>No</t>
        </is>
      </c>
      <c r="X465" s="2" t="inlineStr">
        <is>
          <t>No</t>
        </is>
      </c>
      <c r="Y465" s="2" t="inlineStr">
        <is>
          <t>No</t>
        </is>
      </c>
      <c r="Z465" s="2" t="inlineStr">
        <is>
          <t>No</t>
        </is>
      </c>
      <c r="AA465" s="6" t="n">
        <v>4.420216247</v>
      </c>
      <c r="AB465" s="6" t="n">
        <v>3.043723712</v>
      </c>
      <c r="AC465" s="6" t="n">
        <v>4.355525652</v>
      </c>
      <c r="AD465">
        <f t="array" ref="AD465">IF(SUMPRODUCT(--($AM$2:$AM$112=TRIM(LEFT($B465,IFERROR(FIND(" ",$B465)-1,LEN($B465))))))&gt;0,1,0)</f>
        <v/>
      </c>
      <c r="AE465">
        <f t="array" ref="AE465">IF(SUMPRODUCT(--($AO$2:$AO$145=TRIM(LEFT($B465,IFERROR(FIND(" ",$B465)-1,LEN($B465))))))&gt;0,1,0)</f>
        <v/>
      </c>
      <c r="AF465">
        <f t="array" ref="AF465">IF(SUMPRODUCT(--($AQ$2:$AQ$71=TRIM(LEFT($B465,IFERROR(FIND(" ",$B465)-1,LEN($B465))))))&gt;0,1,0)</f>
        <v/>
      </c>
    </row>
    <row r="466" ht="180.75" customHeight="1" thickBot="1">
      <c r="A466" s="13" t="n">
        <v>176</v>
      </c>
      <c r="B466" s="4" t="inlineStr">
        <is>
          <t>CTXS US</t>
        </is>
      </c>
      <c r="C466" s="2" t="n"/>
      <c r="D466" s="7" t="n">
        <v>44592</v>
      </c>
      <c r="E466" s="3" t="n">
        <v>14436.81</v>
      </c>
      <c r="F466" s="4" t="inlineStr">
        <is>
          <t>Cash</t>
        </is>
      </c>
      <c r="G466" s="3" t="n">
        <v>26.98</v>
      </c>
      <c r="H466" s="4" t="inlineStr">
        <is>
          <t>Technology</t>
        </is>
      </c>
      <c r="I466" s="4" t="inlineStr">
        <is>
          <t>Software &amp; Tech Services</t>
        </is>
      </c>
      <c r="J466" s="4" t="inlineStr">
        <is>
          <t>Software</t>
        </is>
      </c>
      <c r="K466" s="4" t="n"/>
      <c r="L466" s="4" t="n"/>
      <c r="M466" s="3" t="n">
        <v>4.63</v>
      </c>
      <c r="N466" s="3" t="n">
        <v>11414.64</v>
      </c>
      <c r="O466" s="4" t="inlineStr">
        <is>
          <t>United States</t>
        </is>
      </c>
      <c r="P466" s="4" t="inlineStr">
        <is>
          <t>United States</t>
        </is>
      </c>
      <c r="Q466" s="4" t="inlineStr">
        <is>
          <t>Friendly</t>
        </is>
      </c>
      <c r="R466" s="3" t="n">
        <v>3217.17</v>
      </c>
      <c r="S466" s="3" t="n">
        <v>9.930949999999999</v>
      </c>
      <c r="T466" s="4" t="inlineStr">
        <is>
          <t>Company Takeover, Private Equity, PE Buyout, Additional Stake Purchase, Going Private</t>
        </is>
      </c>
      <c r="U466" s="2" t="inlineStr">
        <is>
          <t>Yes</t>
        </is>
      </c>
      <c r="V466" s="2" t="inlineStr">
        <is>
          <t>No</t>
        </is>
      </c>
      <c r="W466" s="2" t="inlineStr">
        <is>
          <t>No</t>
        </is>
      </c>
      <c r="X466" s="2" t="inlineStr">
        <is>
          <t>Yes</t>
        </is>
      </c>
      <c r="Y466" s="2" t="inlineStr">
        <is>
          <t>Yes</t>
        </is>
      </c>
      <c r="Z466" s="2" t="inlineStr">
        <is>
          <t>No</t>
        </is>
      </c>
      <c r="AA466" s="6" t="n">
        <v>4.159471241</v>
      </c>
      <c r="AB466" s="6" t="n">
        <v>3.50747401</v>
      </c>
      <c r="AC466" s="6" t="n">
        <v>4.057462219</v>
      </c>
      <c r="AD466">
        <f t="array" ref="AD466">IF(SUMPRODUCT(--($AM$2:$AM$112=TRIM(LEFT($B466,IFERROR(FIND(" ",$B466)-1,LEN($B466))))))&gt;0,1,0)</f>
        <v/>
      </c>
      <c r="AE466">
        <f t="array" ref="AE466">IF(SUMPRODUCT(--($AO$2:$AO$145=TRIM(LEFT($B466,IFERROR(FIND(" ",$B466)-1,LEN($B466))))))&gt;0,1,0)</f>
        <v/>
      </c>
      <c r="AF466">
        <f t="array" ref="AF466">IF(SUMPRODUCT(--($AQ$2:$AQ$71=TRIM(LEFT($B466,IFERROR(FIND(" ",$B466)-1,LEN($B466))))))&gt;0,1,0)</f>
        <v/>
      </c>
    </row>
    <row r="467" ht="135.75" customHeight="1" thickBot="1">
      <c r="A467" s="13" t="n">
        <v>53</v>
      </c>
      <c r="B467" s="4" t="inlineStr">
        <is>
          <t>HNGR US</t>
        </is>
      </c>
      <c r="C467" s="4" t="inlineStr">
        <is>
          <t>1822748D US</t>
        </is>
      </c>
      <c r="D467" s="7" t="n">
        <v>44763</v>
      </c>
      <c r="E467" s="3" t="n">
        <v>1363.37</v>
      </c>
      <c r="F467" s="4" t="inlineStr">
        <is>
          <t>Cash</t>
        </is>
      </c>
      <c r="G467" s="3" t="n">
        <v>13.45</v>
      </c>
      <c r="H467" s="4" t="inlineStr">
        <is>
          <t>Health Care</t>
        </is>
      </c>
      <c r="I467" s="4" t="inlineStr">
        <is>
          <t>Health Care</t>
        </is>
      </c>
      <c r="J467" s="4" t="inlineStr">
        <is>
          <t>Health Care Facilities &amp; Svcs</t>
        </is>
      </c>
      <c r="K467" s="4" t="n"/>
      <c r="L467" s="4" t="n"/>
      <c r="M467" s="3" t="n">
        <v>29.3</v>
      </c>
      <c r="N467" s="3" t="n">
        <v>731.79</v>
      </c>
      <c r="O467" s="4" t="inlineStr">
        <is>
          <t>United States</t>
        </is>
      </c>
      <c r="P467" s="4" t="inlineStr">
        <is>
          <t>United States</t>
        </is>
      </c>
      <c r="Q467" s="4" t="inlineStr">
        <is>
          <t>Friendly</t>
        </is>
      </c>
      <c r="R467" s="3" t="n">
        <v>1120.49</v>
      </c>
      <c r="S467" s="3" t="n">
        <v>5.85256</v>
      </c>
      <c r="T467" s="4" t="inlineStr">
        <is>
          <t>Company Takeover, Private Equity, PE Buyout, Going Private</t>
        </is>
      </c>
      <c r="U467" s="2" t="inlineStr">
        <is>
          <t>No</t>
        </is>
      </c>
      <c r="V467" s="2" t="inlineStr">
        <is>
          <t>No</t>
        </is>
      </c>
      <c r="W467" s="2" t="inlineStr">
        <is>
          <t>No</t>
        </is>
      </c>
      <c r="X467" s="2" t="inlineStr">
        <is>
          <t>Yes</t>
        </is>
      </c>
      <c r="Y467" s="2" t="inlineStr">
        <is>
          <t>Yes</t>
        </is>
      </c>
      <c r="Z467" s="2" t="inlineStr">
        <is>
          <t>No</t>
        </is>
      </c>
      <c r="AA467" s="6" t="n">
        <v>3.134613733</v>
      </c>
      <c r="AB467" s="6" t="n">
        <v>3.049407985</v>
      </c>
      <c r="AC467" s="6" t="n">
        <v>2.864386471</v>
      </c>
      <c r="AD467">
        <f t="array" ref="AD467">IF(SUMPRODUCT(--($AM$2:$AM$112=TRIM(LEFT($B467,IFERROR(FIND(" ",$B467)-1,LEN($B467))))))&gt;0,1,0)</f>
        <v/>
      </c>
      <c r="AE467">
        <f t="array" ref="AE467">IF(SUMPRODUCT(--($AO$2:$AO$145=TRIM(LEFT($B467,IFERROR(FIND(" ",$B467)-1,LEN($B467))))))&gt;0,1,0)</f>
        <v/>
      </c>
      <c r="AF467">
        <f t="array" ref="AF467">IF(SUMPRODUCT(--($AQ$2:$AQ$71=TRIM(LEFT($B467,IFERROR(FIND(" ",$B467)-1,LEN($B467))))))&gt;0,1,0)</f>
        <v/>
      </c>
    </row>
    <row r="468" ht="45.75" customHeight="1" thickBot="1">
      <c r="A468" s="13" t="n">
        <v>236</v>
      </c>
      <c r="B468" s="4" t="inlineStr">
        <is>
          <t>ABTX US</t>
        </is>
      </c>
      <c r="C468" s="4" t="inlineStr">
        <is>
          <t>STEL US</t>
        </is>
      </c>
      <c r="D468" s="7" t="n">
        <v>44508</v>
      </c>
      <c r="E468" s="3" t="n">
        <v>782.12</v>
      </c>
      <c r="F468" s="4" t="inlineStr">
        <is>
          <t>Stock</t>
        </is>
      </c>
      <c r="G468" s="4" t="n"/>
      <c r="H468" s="4" t="inlineStr">
        <is>
          <t>Financials</t>
        </is>
      </c>
      <c r="I468" s="4" t="inlineStr">
        <is>
          <t>Banking</t>
        </is>
      </c>
      <c r="J468" s="4" t="inlineStr">
        <is>
          <t>Banking</t>
        </is>
      </c>
      <c r="K468" s="3" t="n">
        <v>32.5</v>
      </c>
      <c r="L468" s="3" t="n">
        <v>32.5</v>
      </c>
      <c r="M468" s="3" t="n">
        <v>-1.33</v>
      </c>
      <c r="N468" s="3" t="n">
        <v>782.12</v>
      </c>
      <c r="O468" s="4" t="inlineStr">
        <is>
          <t>United States</t>
        </is>
      </c>
      <c r="P468" s="4" t="inlineStr">
        <is>
          <t>United States</t>
        </is>
      </c>
      <c r="Q468" s="4" t="inlineStr">
        <is>
          <t>Friendly</t>
        </is>
      </c>
      <c r="R468" s="3" t="n">
        <v>261.746</v>
      </c>
      <c r="S468" s="3" t="n">
        <v>38.7441</v>
      </c>
      <c r="T468" s="4" t="inlineStr">
        <is>
          <t>Company Takeover</t>
        </is>
      </c>
      <c r="U468" s="2" t="inlineStr">
        <is>
          <t>No</t>
        </is>
      </c>
      <c r="V468" s="2" t="inlineStr">
        <is>
          <t>No</t>
        </is>
      </c>
      <c r="W468" s="2" t="inlineStr">
        <is>
          <t>No</t>
        </is>
      </c>
      <c r="X468" s="2" t="inlineStr">
        <is>
          <t>No</t>
        </is>
      </c>
      <c r="Y468" s="2" t="inlineStr">
        <is>
          <t>No</t>
        </is>
      </c>
      <c r="Z468" s="2" t="inlineStr">
        <is>
          <t>No</t>
        </is>
      </c>
      <c r="AA468" s="6" t="n">
        <v>2.893273392</v>
      </c>
      <c r="AB468" s="6" t="n">
        <v>2.417880054</v>
      </c>
      <c r="AC468" s="6" t="n">
        <v>2.893273392</v>
      </c>
      <c r="AD468">
        <f t="array" ref="AD468">IF(SUMPRODUCT(--($AM$2:$AM$112=TRIM(LEFT($B468,IFERROR(FIND(" ",$B468)-1,LEN($B468))))))&gt;0,1,0)</f>
        <v/>
      </c>
      <c r="AE468">
        <f t="array" ref="AE468">IF(SUMPRODUCT(--($AO$2:$AO$145=TRIM(LEFT($B468,IFERROR(FIND(" ",$B468)-1,LEN($B468))))))&gt;0,1,0)</f>
        <v/>
      </c>
      <c r="AF468">
        <f t="array" ref="AF468">IF(SUMPRODUCT(--($AQ$2:$AQ$71=TRIM(LEFT($B468,IFERROR(FIND(" ",$B468)-1,LEN($B468))))))&gt;0,1,0)</f>
        <v/>
      </c>
    </row>
    <row r="469" ht="75.75" customHeight="1" thickBot="1">
      <c r="A469" s="13" t="n">
        <v>54</v>
      </c>
      <c r="B469" s="4" t="inlineStr">
        <is>
          <t>IBG CN</t>
        </is>
      </c>
      <c r="C469" s="4" t="inlineStr">
        <is>
          <t>ARCAD NA</t>
        </is>
      </c>
      <c r="D469" s="7" t="n">
        <v>44760</v>
      </c>
      <c r="E469" s="3" t="n">
        <v>538.92</v>
      </c>
      <c r="F469" s="4" t="inlineStr">
        <is>
          <t>Cash</t>
        </is>
      </c>
      <c r="G469" s="3" t="n">
        <v>10.08</v>
      </c>
      <c r="H469" s="4" t="inlineStr">
        <is>
          <t>Industrials</t>
        </is>
      </c>
      <c r="I469" s="4" t="inlineStr">
        <is>
          <t>Industrial Services</t>
        </is>
      </c>
      <c r="J469" s="4" t="inlineStr">
        <is>
          <t>Engineering &amp; Construction</t>
        </is>
      </c>
      <c r="K469" s="4" t="n"/>
      <c r="L469" s="4" t="n"/>
      <c r="M469" s="3" t="n">
        <v>37.36</v>
      </c>
      <c r="N469" s="3" t="n">
        <v>470.13</v>
      </c>
      <c r="O469" s="4" t="inlineStr">
        <is>
          <t>Canada</t>
        </is>
      </c>
      <c r="P469" s="4" t="inlineStr">
        <is>
          <t>Netherlands</t>
        </is>
      </c>
      <c r="Q469" s="4" t="inlineStr">
        <is>
          <t>Friendly</t>
        </is>
      </c>
      <c r="R469" s="3" t="n">
        <v>2786.24</v>
      </c>
      <c r="S469" s="3" t="n">
        <v>9.94666</v>
      </c>
      <c r="T469" s="4" t="inlineStr">
        <is>
          <t>Company Takeover, Cross Border</t>
        </is>
      </c>
      <c r="U469" s="2" t="inlineStr">
        <is>
          <t>No</t>
        </is>
      </c>
      <c r="V469" s="2" t="inlineStr">
        <is>
          <t>No</t>
        </is>
      </c>
      <c r="W469" s="2" t="inlineStr">
        <is>
          <t>Yes</t>
        </is>
      </c>
      <c r="X469" s="2" t="inlineStr">
        <is>
          <t>No</t>
        </is>
      </c>
      <c r="Y469" s="2" t="inlineStr">
        <is>
          <t>No</t>
        </is>
      </c>
      <c r="Z469" s="2" t="inlineStr">
        <is>
          <t>No</t>
        </is>
      </c>
      <c r="AA469" s="6" t="n">
        <v>2.731524301</v>
      </c>
      <c r="AB469" s="6" t="n">
        <v>3.445018523</v>
      </c>
      <c r="AC469" s="6" t="n">
        <v>2.672217965</v>
      </c>
      <c r="AD469">
        <f t="array" ref="AD469">IF(SUMPRODUCT(--($AM$2:$AM$112=TRIM(LEFT($B469,IFERROR(FIND(" ",$B469)-1,LEN($B469))))))&gt;0,1,0)</f>
        <v/>
      </c>
      <c r="AE469">
        <f t="array" ref="AE469">IF(SUMPRODUCT(--($AO$2:$AO$145=TRIM(LEFT($B469,IFERROR(FIND(" ",$B469)-1,LEN($B469))))))&gt;0,1,0)</f>
        <v/>
      </c>
      <c r="AF469">
        <f t="array" ref="AF469">IF(SUMPRODUCT(--($AQ$2:$AQ$71=TRIM(LEFT($B469,IFERROR(FIND(" ",$B469)-1,LEN($B469))))))&gt;0,1,0)</f>
        <v/>
      </c>
    </row>
    <row r="470" ht="75.75" customHeight="1" thickBot="1">
      <c r="A470" s="13" t="n">
        <v>212</v>
      </c>
      <c r="B470" s="4" t="inlineStr">
        <is>
          <t>GCP US</t>
        </is>
      </c>
      <c r="C470" s="4" t="inlineStr">
        <is>
          <t>SGO FP</t>
        </is>
      </c>
      <c r="D470" s="7" t="n">
        <v>44536</v>
      </c>
      <c r="E470" s="3" t="n">
        <v>2222.31</v>
      </c>
      <c r="F470" s="4" t="inlineStr">
        <is>
          <t>Cash</t>
        </is>
      </c>
      <c r="G470" s="3" t="n">
        <v>15.67</v>
      </c>
      <c r="H470" s="4" t="inlineStr">
        <is>
          <t>Materials</t>
        </is>
      </c>
      <c r="I470" s="4" t="inlineStr">
        <is>
          <t>Materials</t>
        </is>
      </c>
      <c r="J470" s="4" t="inlineStr">
        <is>
          <t>Chemicals</t>
        </is>
      </c>
      <c r="K470" s="4" t="n"/>
      <c r="L470" s="3" t="n">
        <v>71</v>
      </c>
      <c r="M470" s="3" t="n">
        <v>36.68</v>
      </c>
      <c r="N470" s="3" t="n">
        <v>2352.21</v>
      </c>
      <c r="O470" s="4" t="inlineStr">
        <is>
          <t>United States</t>
        </is>
      </c>
      <c r="P470" s="4" t="inlineStr">
        <is>
          <t>France</t>
        </is>
      </c>
      <c r="Q470" s="4" t="inlineStr">
        <is>
          <t>Friendly</t>
        </is>
      </c>
      <c r="R470" s="3" t="n">
        <v>970.1</v>
      </c>
      <c r="S470" s="3" t="n">
        <v>6.58263</v>
      </c>
      <c r="T470" s="4" t="inlineStr">
        <is>
          <t>Company Takeover, Cross Border</t>
        </is>
      </c>
      <c r="U470" s="2" t="inlineStr">
        <is>
          <t>No</t>
        </is>
      </c>
      <c r="V470" s="2" t="inlineStr">
        <is>
          <t>No</t>
        </is>
      </c>
      <c r="W470" s="2" t="inlineStr">
        <is>
          <t>Yes</t>
        </is>
      </c>
      <c r="X470" s="2" t="inlineStr">
        <is>
          <t>No</t>
        </is>
      </c>
      <c r="Y470" s="2" t="inlineStr">
        <is>
          <t>No</t>
        </is>
      </c>
      <c r="Z470" s="2" t="inlineStr">
        <is>
          <t>No</t>
        </is>
      </c>
      <c r="AA470" s="6" t="n">
        <v>3.346804641</v>
      </c>
      <c r="AB470" s="6" t="n">
        <v>2.986816505</v>
      </c>
      <c r="AC470" s="6" t="n">
        <v>3.371476092</v>
      </c>
      <c r="AD470">
        <f t="array" ref="AD470">IF(SUMPRODUCT(--($AM$2:$AM$112=TRIM(LEFT($B470,IFERROR(FIND(" ",$B470)-1,LEN($B470))))))&gt;0,1,0)</f>
        <v/>
      </c>
      <c r="AE470">
        <f t="array" ref="AE470">IF(SUMPRODUCT(--($AO$2:$AO$145=TRIM(LEFT($B470,IFERROR(FIND(" ",$B470)-1,LEN($B470))))))&gt;0,1,0)</f>
        <v/>
      </c>
      <c r="AF470">
        <f t="array" ref="AF470">IF(SUMPRODUCT(--($AQ$2:$AQ$71=TRIM(LEFT($B470,IFERROR(FIND(" ",$B470)-1,LEN($B470))))))&gt;0,1,0)</f>
        <v/>
      </c>
    </row>
    <row r="471" ht="105.75" customHeight="1" thickBot="1">
      <c r="A471" s="13" t="n">
        <v>89</v>
      </c>
      <c r="B471" s="4" t="inlineStr">
        <is>
          <t>HMLP US</t>
        </is>
      </c>
      <c r="C471" s="4" t="inlineStr">
        <is>
          <t>HLNG NO</t>
        </is>
      </c>
      <c r="D471" s="7" t="n">
        <v>44706</v>
      </c>
      <c r="E471" s="3" t="n">
        <v>500.26</v>
      </c>
      <c r="F471" s="4" t="inlineStr">
        <is>
          <t>Cash</t>
        </is>
      </c>
      <c r="G471" s="3" t="n">
        <v>6.8</v>
      </c>
      <c r="H471" s="4" t="inlineStr">
        <is>
          <t>Industrials</t>
        </is>
      </c>
      <c r="I471" s="4" t="inlineStr">
        <is>
          <t>Industrial Services</t>
        </is>
      </c>
      <c r="J471" s="4" t="inlineStr">
        <is>
          <t>Transportation &amp; Logistics</t>
        </is>
      </c>
      <c r="K471" s="4" t="n"/>
      <c r="L471" s="4" t="n"/>
      <c r="M471" s="3" t="n">
        <v>42.51</v>
      </c>
      <c r="N471" s="3" t="n">
        <v>167.62</v>
      </c>
      <c r="O471" s="4" t="inlineStr">
        <is>
          <t>Bermuda</t>
        </is>
      </c>
      <c r="P471" s="4" t="inlineStr">
        <is>
          <t>Norway</t>
        </is>
      </c>
      <c r="Q471" s="4" t="inlineStr">
        <is>
          <t>Unsolicited to Friendly</t>
        </is>
      </c>
      <c r="R471" s="3" t="n">
        <v>141.26</v>
      </c>
      <c r="S471" s="3" t="n">
        <v>55.5609</v>
      </c>
      <c r="T471" s="4" t="inlineStr">
        <is>
          <t>Cross Border, Company Takeover, Going Private</t>
        </is>
      </c>
      <c r="U471" s="2" t="inlineStr">
        <is>
          <t>No</t>
        </is>
      </c>
      <c r="V471" s="2" t="inlineStr">
        <is>
          <t>No</t>
        </is>
      </c>
      <c r="W471" s="2" t="inlineStr">
        <is>
          <t>Yes</t>
        </is>
      </c>
      <c r="X471" s="2" t="inlineStr">
        <is>
          <t>Yes</t>
        </is>
      </c>
      <c r="Y471" s="2" t="inlineStr">
        <is>
          <t>No</t>
        </is>
      </c>
      <c r="Z471" s="2" t="inlineStr">
        <is>
          <t>No</t>
        </is>
      </c>
      <c r="AA471" s="6" t="n">
        <v>2.699195779</v>
      </c>
      <c r="AB471" s="6" t="n">
        <v>2.150019202</v>
      </c>
      <c r="AC471" s="6" t="n">
        <v>2.224325836</v>
      </c>
      <c r="AD471">
        <f t="array" ref="AD471">IF(SUMPRODUCT(--($AM$2:$AM$112=TRIM(LEFT($B471,IFERROR(FIND(" ",$B471)-1,LEN($B471))))))&gt;0,1,0)</f>
        <v/>
      </c>
      <c r="AE471">
        <f t="array" ref="AE471">IF(SUMPRODUCT(--($AO$2:$AO$145=TRIM(LEFT($B471,IFERROR(FIND(" ",$B471)-1,LEN($B471))))))&gt;0,1,0)</f>
        <v/>
      </c>
      <c r="AF471">
        <f t="array" ref="AF471">IF(SUMPRODUCT(--($AQ$2:$AQ$71=TRIM(LEFT($B471,IFERROR(FIND(" ",$B471)-1,LEN($B471))))))&gt;0,1,0)</f>
        <v/>
      </c>
    </row>
    <row r="472" ht="135.75" customHeight="1" thickBot="1">
      <c r="A472" s="13" t="n">
        <v>89</v>
      </c>
      <c r="B472" s="4" t="inlineStr">
        <is>
          <t>MANT US</t>
        </is>
      </c>
      <c r="C472" s="4" t="inlineStr">
        <is>
          <t>CG US</t>
        </is>
      </c>
      <c r="D472" s="7" t="n">
        <v>44697</v>
      </c>
      <c r="E472" s="3" t="n">
        <v>3990</v>
      </c>
      <c r="F472" s="4" t="inlineStr">
        <is>
          <t>Cash</t>
        </is>
      </c>
      <c r="G472" s="3" t="n">
        <v>14.88</v>
      </c>
      <c r="H472" s="4" t="inlineStr">
        <is>
          <t>Technology</t>
        </is>
      </c>
      <c r="I472" s="4" t="inlineStr">
        <is>
          <t>Software &amp; Tech Services</t>
        </is>
      </c>
      <c r="J472" s="4" t="inlineStr">
        <is>
          <t>IT Services</t>
        </is>
      </c>
      <c r="K472" s="4" t="n"/>
      <c r="L472" s="4" t="n"/>
      <c r="M472" s="4" t="n"/>
      <c r="N472" s="3" t="n">
        <v>3648.87</v>
      </c>
      <c r="O472" s="4" t="inlineStr">
        <is>
          <t>United States</t>
        </is>
      </c>
      <c r="P472" s="4" t="inlineStr">
        <is>
          <t>United States</t>
        </is>
      </c>
      <c r="Q472" s="4" t="inlineStr">
        <is>
          <t>Friendly</t>
        </is>
      </c>
      <c r="R472" s="3" t="n">
        <v>2553.96</v>
      </c>
      <c r="S472" s="3" t="n">
        <v>6.66766</v>
      </c>
      <c r="T472" s="4" t="inlineStr">
        <is>
          <t>Private Equity, Company Takeover, PE Buyout, Going Private</t>
        </is>
      </c>
      <c r="U472" s="2" t="inlineStr">
        <is>
          <t>No</t>
        </is>
      </c>
      <c r="V472" s="2" t="inlineStr">
        <is>
          <t>No</t>
        </is>
      </c>
      <c r="W472" s="2" t="inlineStr">
        <is>
          <t>No</t>
        </is>
      </c>
      <c r="X472" s="2" t="inlineStr">
        <is>
          <t>Yes</t>
        </is>
      </c>
      <c r="Y472" s="2" t="inlineStr">
        <is>
          <t>Yes</t>
        </is>
      </c>
      <c r="Z472" s="2" t="inlineStr">
        <is>
          <t>No</t>
        </is>
      </c>
      <c r="AA472" s="6" t="n">
        <v>3.600972896</v>
      </c>
      <c r="AB472" s="6" t="n">
        <v>3.407214091</v>
      </c>
      <c r="AC472" s="6" t="n">
        <v>3.562158391</v>
      </c>
      <c r="AD472">
        <f t="array" ref="AD472">IF(SUMPRODUCT(--($AM$2:$AM$112=TRIM(LEFT($B472,IFERROR(FIND(" ",$B472)-1,LEN($B472))))))&gt;0,1,0)</f>
        <v/>
      </c>
      <c r="AE472">
        <f t="array" ref="AE472">IF(SUMPRODUCT(--($AO$2:$AO$145=TRIM(LEFT($B472,IFERROR(FIND(" ",$B472)-1,LEN($B472))))))&gt;0,1,0)</f>
        <v/>
      </c>
      <c r="AF472">
        <f t="array" ref="AF472">IF(SUMPRODUCT(--($AQ$2:$AQ$71=TRIM(LEFT($B472,IFERROR(FIND(" ",$B472)-1,LEN($B472))))))&gt;0,1,0)</f>
        <v/>
      </c>
    </row>
    <row r="473" ht="45.75" customHeight="1" thickBot="1">
      <c r="A473" s="13" t="n">
        <v>78</v>
      </c>
      <c r="B473" s="4" t="inlineStr">
        <is>
          <t>CTT US</t>
        </is>
      </c>
      <c r="C473" s="4" t="inlineStr">
        <is>
          <t>PCH US</t>
        </is>
      </c>
      <c r="D473" s="7" t="n">
        <v>44712</v>
      </c>
      <c r="E473" s="3" t="n">
        <v>886.12</v>
      </c>
      <c r="F473" s="4" t="inlineStr">
        <is>
          <t>Stock</t>
        </is>
      </c>
      <c r="G473" s="3" t="n">
        <v>24.32</v>
      </c>
      <c r="H473" s="4" t="inlineStr">
        <is>
          <t>Real Estate</t>
        </is>
      </c>
      <c r="I473" s="4" t="inlineStr">
        <is>
          <t>Real Estate</t>
        </is>
      </c>
      <c r="J473" s="4" t="inlineStr">
        <is>
          <t>REIT</t>
        </is>
      </c>
      <c r="K473" s="3" t="n">
        <v>9.692119999999999</v>
      </c>
      <c r="L473" s="4" t="n"/>
      <c r="M473" s="3" t="n">
        <v>54.12</v>
      </c>
      <c r="N473" s="3" t="n">
        <v>612.51</v>
      </c>
      <c r="O473" s="4" t="inlineStr">
        <is>
          <t>United States</t>
        </is>
      </c>
      <c r="P473" s="4" t="inlineStr">
        <is>
          <t>United States</t>
        </is>
      </c>
      <c r="Q473" s="4" t="inlineStr">
        <is>
          <t>Friendly</t>
        </is>
      </c>
      <c r="R473" s="3" t="n">
        <v>102.161</v>
      </c>
      <c r="S473" s="3" t="n">
        <v>9.56549</v>
      </c>
      <c r="T473" s="4" t="inlineStr">
        <is>
          <t>Company Takeover</t>
        </is>
      </c>
      <c r="U473" s="2" t="inlineStr">
        <is>
          <t>No</t>
        </is>
      </c>
      <c r="V473" s="2" t="inlineStr">
        <is>
          <t>No</t>
        </is>
      </c>
      <c r="W473" s="2" t="inlineStr">
        <is>
          <t>No</t>
        </is>
      </c>
      <c r="X473" s="2" t="inlineStr">
        <is>
          <t>No</t>
        </is>
      </c>
      <c r="Y473" s="2" t="inlineStr">
        <is>
          <t>No</t>
        </is>
      </c>
      <c r="Z473" s="2" t="inlineStr">
        <is>
          <t>No</t>
        </is>
      </c>
      <c r="AA473" s="6" t="n">
        <v>2.947492539</v>
      </c>
      <c r="AB473" s="6" t="n">
        <v>2.009285135</v>
      </c>
      <c r="AC473" s="6" t="n">
        <v>2.787113184</v>
      </c>
      <c r="AD473">
        <f t="array" ref="AD473">IF(SUMPRODUCT(--($AM$2:$AM$112=TRIM(LEFT($B473,IFERROR(FIND(" ",$B473)-1,LEN($B473))))))&gt;0,1,0)</f>
        <v/>
      </c>
      <c r="AE473">
        <f t="array" ref="AE473">IF(SUMPRODUCT(--($AO$2:$AO$145=TRIM(LEFT($B473,IFERROR(FIND(" ",$B473)-1,LEN($B473))))))&gt;0,1,0)</f>
        <v/>
      </c>
      <c r="AF473">
        <f t="array" ref="AF473">IF(SUMPRODUCT(--($AQ$2:$AQ$71=TRIM(LEFT($B473,IFERROR(FIND(" ",$B473)-1,LEN($B473))))))&gt;0,1,0)</f>
        <v/>
      </c>
    </row>
    <row r="474" ht="45.75" customHeight="1" thickBot="1">
      <c r="A474" s="13" t="n">
        <v>286</v>
      </c>
      <c r="B474" s="4" t="inlineStr">
        <is>
          <t>AVST LN</t>
        </is>
      </c>
      <c r="C474" s="4" t="inlineStr">
        <is>
          <t>GEN US</t>
        </is>
      </c>
      <c r="D474" s="7" t="n">
        <v>44418</v>
      </c>
      <c r="E474" s="3" t="n">
        <v>9363.059999999999</v>
      </c>
      <c r="F474" s="4" t="inlineStr">
        <is>
          <t>Cash and Stock</t>
        </is>
      </c>
      <c r="G474" s="3" t="n">
        <v>22.13</v>
      </c>
      <c r="H474" s="4" t="inlineStr">
        <is>
          <t>Technology</t>
        </is>
      </c>
      <c r="I474" s="4" t="inlineStr">
        <is>
          <t>Software &amp; Tech Services</t>
        </is>
      </c>
      <c r="J474" s="4" t="inlineStr">
        <is>
          <t>Software</t>
        </is>
      </c>
      <c r="K474" s="4" t="n"/>
      <c r="L474" s="4" t="n"/>
      <c r="M474" s="3" t="n">
        <v>5.17</v>
      </c>
      <c r="N474" s="3" t="n">
        <v>8640.26</v>
      </c>
      <c r="O474" s="4" t="inlineStr">
        <is>
          <t>United States</t>
        </is>
      </c>
      <c r="P474" s="4" t="inlineStr">
        <is>
          <t>United States</t>
        </is>
      </c>
      <c r="Q474" s="4" t="inlineStr">
        <is>
          <t>Friendly</t>
        </is>
      </c>
      <c r="R474" s="3" t="n">
        <v>941.1</v>
      </c>
      <c r="S474" s="3" t="n">
        <v>32.5816</v>
      </c>
      <c r="T474" s="4" t="inlineStr">
        <is>
          <t>Company Takeover</t>
        </is>
      </c>
      <c r="U474" s="2" t="inlineStr">
        <is>
          <t>No</t>
        </is>
      </c>
      <c r="V474" s="2" t="inlineStr">
        <is>
          <t>No</t>
        </is>
      </c>
      <c r="W474" s="2" t="inlineStr">
        <is>
          <t>No</t>
        </is>
      </c>
      <c r="X474" s="2" t="inlineStr">
        <is>
          <t>No</t>
        </is>
      </c>
      <c r="Y474" s="2" t="inlineStr">
        <is>
          <t>No</t>
        </is>
      </c>
      <c r="Z474" s="2" t="inlineStr">
        <is>
          <t>No</t>
        </is>
      </c>
      <c r="AA474" s="6" t="n">
        <v>3.971417806</v>
      </c>
      <c r="AB474" s="6" t="n">
        <v>2.973635773</v>
      </c>
      <c r="AC474" s="6" t="n">
        <v>3.936526811</v>
      </c>
      <c r="AD474">
        <f t="array" ref="AD474">IF(SUMPRODUCT(--($AM$2:$AM$112=TRIM(LEFT($B474,IFERROR(FIND(" ",$B474)-1,LEN($B474))))))&gt;0,1,0)</f>
        <v/>
      </c>
      <c r="AE474">
        <f t="array" ref="AE474">IF(SUMPRODUCT(--($AO$2:$AO$145=TRIM(LEFT($B474,IFERROR(FIND(" ",$B474)-1,LEN($B474))))))&gt;0,1,0)</f>
        <v/>
      </c>
      <c r="AF474">
        <f t="array" ref="AF474">IF(SUMPRODUCT(--($AQ$2:$AQ$71=TRIM(LEFT($B474,IFERROR(FIND(" ",$B474)-1,LEN($B474))))))&gt;0,1,0)</f>
        <v/>
      </c>
    </row>
    <row r="475" ht="60.75" customHeight="1" thickBot="1">
      <c r="A475" s="13" t="n">
        <v>59</v>
      </c>
      <c r="B475" s="4" t="inlineStr">
        <is>
          <t>LWRK CN</t>
        </is>
      </c>
      <c r="C475" s="4" t="inlineStr">
        <is>
          <t>T CN</t>
        </is>
      </c>
      <c r="D475" s="7" t="n">
        <v>44728</v>
      </c>
      <c r="E475" s="3" t="n">
        <v>2229.39</v>
      </c>
      <c r="F475" s="4" t="inlineStr">
        <is>
          <t>Cash or Stock</t>
        </is>
      </c>
      <c r="G475" s="3" t="n">
        <v>17.98</v>
      </c>
      <c r="H475" s="4" t="inlineStr">
        <is>
          <t>Industrials</t>
        </is>
      </c>
      <c r="I475" s="4" t="inlineStr">
        <is>
          <t>Industrial Services</t>
        </is>
      </c>
      <c r="J475" s="4" t="inlineStr">
        <is>
          <t>Commercial Support Services</t>
        </is>
      </c>
      <c r="K475" s="4" t="n"/>
      <c r="L475" s="4" t="n"/>
      <c r="M475" s="3" t="n">
        <v>87.78</v>
      </c>
      <c r="N475" s="3" t="n">
        <v>1777.54</v>
      </c>
      <c r="O475" s="4" t="inlineStr">
        <is>
          <t>Canada</t>
        </is>
      </c>
      <c r="P475" s="4" t="inlineStr">
        <is>
          <t>Canada</t>
        </is>
      </c>
      <c r="Q475" s="4" t="inlineStr">
        <is>
          <t>Friendly</t>
        </is>
      </c>
      <c r="R475" s="3" t="n">
        <v>813.312</v>
      </c>
      <c r="S475" s="3" t="n">
        <v>4.95257</v>
      </c>
      <c r="T475" s="4" t="inlineStr">
        <is>
          <t>Company Takeover</t>
        </is>
      </c>
      <c r="U475" s="2" t="inlineStr">
        <is>
          <t>No</t>
        </is>
      </c>
      <c r="V475" s="2" t="inlineStr">
        <is>
          <t>No</t>
        </is>
      </c>
      <c r="W475" s="2" t="inlineStr">
        <is>
          <t>No</t>
        </is>
      </c>
      <c r="X475" s="2" t="inlineStr">
        <is>
          <t>No</t>
        </is>
      </c>
      <c r="Y475" s="2" t="inlineStr">
        <is>
          <t>No</t>
        </is>
      </c>
      <c r="Z475" s="2" t="inlineStr">
        <is>
          <t>No</t>
        </is>
      </c>
      <c r="AA475" s="6" t="n">
        <v>3.348186049</v>
      </c>
      <c r="AB475" s="6" t="n">
        <v>2.91025718</v>
      </c>
      <c r="AC475" s="6" t="n">
        <v>3.249819382</v>
      </c>
      <c r="AD475">
        <f t="array" ref="AD475">IF(SUMPRODUCT(--($AM$2:$AM$112=TRIM(LEFT($B475,IFERROR(FIND(" ",$B475)-1,LEN($B475))))))&gt;0,1,0)</f>
        <v/>
      </c>
      <c r="AE475">
        <f t="array" ref="AE475">IF(SUMPRODUCT(--($AO$2:$AO$145=TRIM(LEFT($B475,IFERROR(FIND(" ",$B475)-1,LEN($B475))))))&gt;0,1,0)</f>
        <v/>
      </c>
      <c r="AF475">
        <f t="array" ref="AF475">IF(SUMPRODUCT(--($AQ$2:$AQ$71=TRIM(LEFT($B475,IFERROR(FIND(" ",$B475)-1,LEN($B475))))))&gt;0,1,0)</f>
        <v/>
      </c>
    </row>
    <row r="476" ht="45.75" customHeight="1" thickBot="1">
      <c r="A476" s="13" t="n">
        <v>330</v>
      </c>
      <c r="B476" s="4" t="inlineStr">
        <is>
          <t>MGMB US</t>
        </is>
      </c>
      <c r="C476" s="4" t="inlineStr">
        <is>
          <t>AMZN US</t>
        </is>
      </c>
      <c r="D476" s="7" t="n">
        <v>44342</v>
      </c>
      <c r="E476" s="3" t="n">
        <v>10230.94</v>
      </c>
      <c r="F476" s="4" t="inlineStr">
        <is>
          <t>Cash</t>
        </is>
      </c>
      <c r="G476" s="4" t="n"/>
      <c r="H476" s="4" t="inlineStr">
        <is>
          <t>Communications</t>
        </is>
      </c>
      <c r="I476" s="4" t="inlineStr">
        <is>
          <t>Media</t>
        </is>
      </c>
      <c r="J476" s="4" t="inlineStr">
        <is>
          <t>Entertainment Content</t>
        </is>
      </c>
      <c r="K476" s="4" t="n"/>
      <c r="L476" s="4" t="n"/>
      <c r="M476" s="4" t="n"/>
      <c r="N476" s="3" t="n">
        <v>8450</v>
      </c>
      <c r="O476" s="4" t="inlineStr">
        <is>
          <t>United States</t>
        </is>
      </c>
      <c r="P476" s="4" t="inlineStr">
        <is>
          <t>United States</t>
        </is>
      </c>
      <c r="Q476" s="4" t="inlineStr">
        <is>
          <t>Friendly</t>
        </is>
      </c>
      <c r="R476" s="3" t="n">
        <v>1574.36</v>
      </c>
      <c r="S476" s="2" t="n"/>
      <c r="T476" s="4" t="inlineStr">
        <is>
          <t>Company Takeover</t>
        </is>
      </c>
      <c r="U476" s="2" t="inlineStr">
        <is>
          <t>No</t>
        </is>
      </c>
      <c r="V476" s="2" t="inlineStr">
        <is>
          <t>No</t>
        </is>
      </c>
      <c r="W476" s="2" t="inlineStr">
        <is>
          <t>No</t>
        </is>
      </c>
      <c r="X476" s="2" t="inlineStr">
        <is>
          <t>No</t>
        </is>
      </c>
      <c r="Y476" s="2" t="inlineStr">
        <is>
          <t>No</t>
        </is>
      </c>
      <c r="Z476" s="2" t="inlineStr">
        <is>
          <t>No</t>
        </is>
      </c>
      <c r="AA476" s="6" t="n">
        <v>4.009915538</v>
      </c>
      <c r="AB476" s="6" t="n">
        <v>3.197104047</v>
      </c>
      <c r="AC476" s="6" t="n">
        <v>3.926856709</v>
      </c>
      <c r="AD476">
        <f t="array" ref="AD476">IF(SUMPRODUCT(--($AM$2:$AM$112=TRIM(LEFT($B476,IFERROR(FIND(" ",$B476)-1,LEN($B476))))))&gt;0,1,0)</f>
        <v/>
      </c>
      <c r="AE476">
        <f t="array" ref="AE476">IF(SUMPRODUCT(--($AO$2:$AO$145=TRIM(LEFT($B476,IFERROR(FIND(" ",$B476)-1,LEN($B476))))))&gt;0,1,0)</f>
        <v/>
      </c>
      <c r="AF476">
        <f t="array" ref="AF476">IF(SUMPRODUCT(--($AQ$2:$AQ$71=TRIM(LEFT($B476,IFERROR(FIND(" ",$B476)-1,LEN($B476))))))&gt;0,1,0)</f>
        <v/>
      </c>
    </row>
    <row r="477" ht="75.75" customHeight="1" thickBot="1">
      <c r="A477" s="13" t="n">
        <v>111</v>
      </c>
      <c r="B477" s="4" t="inlineStr">
        <is>
          <t>POLY US</t>
        </is>
      </c>
      <c r="C477" s="4" t="inlineStr">
        <is>
          <t>HPQ US</t>
        </is>
      </c>
      <c r="D477" s="7" t="n">
        <v>44648</v>
      </c>
      <c r="E477" s="3" t="n">
        <v>3072.46</v>
      </c>
      <c r="F477" s="4" t="inlineStr">
        <is>
          <t>Cash</t>
        </is>
      </c>
      <c r="G477" s="3" t="n">
        <v>17.91</v>
      </c>
      <c r="H477" s="4" t="inlineStr">
        <is>
          <t>Technology</t>
        </is>
      </c>
      <c r="I477" s="4" t="inlineStr">
        <is>
          <t>Tech Hardware &amp; Semiconductors</t>
        </is>
      </c>
      <c r="J477" s="4" t="inlineStr">
        <is>
          <t>Technology Hardware</t>
        </is>
      </c>
      <c r="K477" s="3" t="n">
        <v>66</v>
      </c>
      <c r="L477" s="4" t="n"/>
      <c r="M477" s="3" t="n">
        <v>48.55</v>
      </c>
      <c r="N477" s="3" t="n">
        <v>1711.15</v>
      </c>
      <c r="O477" s="4" t="inlineStr">
        <is>
          <t>United States</t>
        </is>
      </c>
      <c r="P477" s="4" t="inlineStr">
        <is>
          <t>United States</t>
        </is>
      </c>
      <c r="Q477" s="4" t="inlineStr">
        <is>
          <t>Friendly</t>
        </is>
      </c>
      <c r="R477" s="3" t="n">
        <v>1681.14</v>
      </c>
      <c r="S477" s="3" t="n">
        <v>-1.64122</v>
      </c>
      <c r="T477" s="4" t="inlineStr">
        <is>
          <t>Company Takeover</t>
        </is>
      </c>
      <c r="U477" s="2" t="inlineStr">
        <is>
          <t>No</t>
        </is>
      </c>
      <c r="V477" s="2" t="inlineStr">
        <is>
          <t>No</t>
        </is>
      </c>
      <c r="W477" s="2" t="inlineStr">
        <is>
          <t>No</t>
        </is>
      </c>
      <c r="X477" s="2" t="inlineStr">
        <is>
          <t>No</t>
        </is>
      </c>
      <c r="Y477" s="2" t="inlineStr">
        <is>
          <t>No</t>
        </is>
      </c>
      <c r="Z477" s="2" t="inlineStr">
        <is>
          <t>No</t>
        </is>
      </c>
      <c r="AA477" s="6" t="n">
        <v>3.487486238</v>
      </c>
      <c r="AB477" s="6" t="n">
        <v>3.225603882</v>
      </c>
      <c r="AC477" s="6" t="n">
        <v>3.233288082</v>
      </c>
      <c r="AD477">
        <f t="array" ref="AD477">IF(SUMPRODUCT(--($AM$2:$AM$112=TRIM(LEFT($B477,IFERROR(FIND(" ",$B477)-1,LEN($B477))))))&gt;0,1,0)</f>
        <v/>
      </c>
      <c r="AE477">
        <f t="array" ref="AE477">IF(SUMPRODUCT(--($AO$2:$AO$145=TRIM(LEFT($B477,IFERROR(FIND(" ",$B477)-1,LEN($B477))))))&gt;0,1,0)</f>
        <v/>
      </c>
      <c r="AF477">
        <f t="array" ref="AF477">IF(SUMPRODUCT(--($AQ$2:$AQ$71=TRIM(LEFT($B477,IFERROR(FIND(" ",$B477)-1,LEN($B477))))))&gt;0,1,0)</f>
        <v/>
      </c>
    </row>
    <row r="478" ht="45.75" customHeight="1" thickBot="1">
      <c r="A478" s="13" t="n">
        <v>74</v>
      </c>
      <c r="B478" s="4" t="inlineStr">
        <is>
          <t>RTLR US</t>
        </is>
      </c>
      <c r="C478" s="4" t="inlineStr">
        <is>
          <t>FANG US</t>
        </is>
      </c>
      <c r="D478" s="7" t="n">
        <v>44697</v>
      </c>
      <c r="E478" s="3" t="n">
        <v>1281.66</v>
      </c>
      <c r="F478" s="4" t="inlineStr">
        <is>
          <t>Stock</t>
        </is>
      </c>
      <c r="G478" s="3" t="n">
        <v>5.61</v>
      </c>
      <c r="H478" s="4" t="inlineStr">
        <is>
          <t>Energy</t>
        </is>
      </c>
      <c r="I478" s="4" t="inlineStr">
        <is>
          <t>Oil &amp; Gas</t>
        </is>
      </c>
      <c r="J478" s="4" t="inlineStr">
        <is>
          <t>Oil &amp; Gas Supply Chain</t>
        </is>
      </c>
      <c r="K478" s="4" t="n"/>
      <c r="L478" s="4" t="n"/>
      <c r="M478" s="3" t="n">
        <v>10.73</v>
      </c>
      <c r="N478" s="3" t="n">
        <v>571.9</v>
      </c>
      <c r="O478" s="4" t="inlineStr">
        <is>
          <t>United States</t>
        </is>
      </c>
      <c r="P478" s="4" t="inlineStr">
        <is>
          <t>United States</t>
        </is>
      </c>
      <c r="Q478" s="4" t="inlineStr">
        <is>
          <t>Friendly</t>
        </is>
      </c>
      <c r="R478" s="3" t="n">
        <v>396.341</v>
      </c>
      <c r="S478" s="3" t="n">
        <v>42.2369</v>
      </c>
      <c r="T478" s="4" t="inlineStr">
        <is>
          <t>Company Takeover</t>
        </is>
      </c>
      <c r="U478" s="2" t="inlineStr">
        <is>
          <t>No</t>
        </is>
      </c>
      <c r="V478" s="2" t="inlineStr">
        <is>
          <t>No</t>
        </is>
      </c>
      <c r="W478" s="2" t="inlineStr">
        <is>
          <t>No</t>
        </is>
      </c>
      <c r="X478" s="2" t="inlineStr">
        <is>
          <t>No</t>
        </is>
      </c>
      <c r="Y478" s="2" t="inlineStr">
        <is>
          <t>No</t>
        </is>
      </c>
      <c r="Z478" s="2" t="inlineStr">
        <is>
          <t>No</t>
        </is>
      </c>
      <c r="AA478" s="6" t="n">
        <v>3.10777283</v>
      </c>
      <c r="AB478" s="6" t="n">
        <v>2.598069001</v>
      </c>
      <c r="AC478" s="6" t="n">
        <v>2.757320097</v>
      </c>
      <c r="AD478">
        <f t="array" ref="AD478">IF(SUMPRODUCT(--($AM$2:$AM$112=TRIM(LEFT($B478,IFERROR(FIND(" ",$B478)-1,LEN($B478))))))&gt;0,1,0)</f>
        <v/>
      </c>
      <c r="AE478">
        <f t="array" ref="AE478">IF(SUMPRODUCT(--($AO$2:$AO$145=TRIM(LEFT($B478,IFERROR(FIND(" ",$B478)-1,LEN($B478))))))&gt;0,1,0)</f>
        <v/>
      </c>
      <c r="AF478">
        <f t="array" ref="AF478">IF(SUMPRODUCT(--($AQ$2:$AQ$71=TRIM(LEFT($B478,IFERROR(FIND(" ",$B478)-1,LEN($B478))))))&gt;0,1,0)</f>
        <v/>
      </c>
    </row>
    <row r="479" ht="75.75" customHeight="1" thickBot="1">
      <c r="A479" s="13" t="n">
        <v>55</v>
      </c>
      <c r="B479" s="4" t="inlineStr">
        <is>
          <t>TPTX US</t>
        </is>
      </c>
      <c r="C479" s="4" t="inlineStr">
        <is>
          <t>BMY US</t>
        </is>
      </c>
      <c r="D479" s="7" t="n">
        <v>44715</v>
      </c>
      <c r="E479" s="3" t="n">
        <v>2862.28</v>
      </c>
      <c r="F479" s="4" t="inlineStr">
        <is>
          <t>Cash</t>
        </is>
      </c>
      <c r="G479" s="4" t="n"/>
      <c r="H479" s="4" t="inlineStr">
        <is>
          <t>Health Care</t>
        </is>
      </c>
      <c r="I479" s="4" t="inlineStr">
        <is>
          <t>Health Care</t>
        </is>
      </c>
      <c r="J479" s="4" t="inlineStr">
        <is>
          <t>Biotech &amp; Pharma</t>
        </is>
      </c>
      <c r="K479" s="4" t="n"/>
      <c r="L479" s="4" t="n"/>
      <c r="M479" s="3" t="n">
        <v>135.81</v>
      </c>
      <c r="N479" s="3" t="n">
        <v>3774.64</v>
      </c>
      <c r="O479" s="4" t="inlineStr">
        <is>
          <t>United States</t>
        </is>
      </c>
      <c r="P479" s="4" t="inlineStr">
        <is>
          <t>United States</t>
        </is>
      </c>
      <c r="Q479" s="4" t="inlineStr">
        <is>
          <t>Friendly</t>
        </is>
      </c>
      <c r="R479" s="3" t="n">
        <v>30.829</v>
      </c>
      <c r="S479" s="3" t="n">
        <v>-34185.8</v>
      </c>
      <c r="T479" s="4" t="inlineStr">
        <is>
          <t>Company Takeover, Tender Offer</t>
        </is>
      </c>
      <c r="U479" s="2" t="inlineStr">
        <is>
          <t>No</t>
        </is>
      </c>
      <c r="V479" s="2" t="inlineStr">
        <is>
          <t>No</t>
        </is>
      </c>
      <c r="W479" s="2" t="inlineStr">
        <is>
          <t>No</t>
        </is>
      </c>
      <c r="X479" s="2" t="inlineStr">
        <is>
          <t>No</t>
        </is>
      </c>
      <c r="Y479" s="2" t="inlineStr">
        <is>
          <t>No</t>
        </is>
      </c>
      <c r="Z479" s="2" t="inlineStr">
        <is>
          <t>Yes</t>
        </is>
      </c>
      <c r="AA479" s="6" t="n">
        <v>3.456712116</v>
      </c>
      <c r="AB479" s="6" t="n">
        <v>1.488959438</v>
      </c>
      <c r="AC479" s="6" t="n">
        <v>3.576875538</v>
      </c>
      <c r="AD479">
        <f t="array" ref="AD479">IF(SUMPRODUCT(--($AM$2:$AM$112=TRIM(LEFT($B479,IFERROR(FIND(" ",$B479)-1,LEN($B479))))))&gt;0,1,0)</f>
        <v/>
      </c>
      <c r="AE479">
        <f t="array" ref="AE479">IF(SUMPRODUCT(--($AO$2:$AO$145=TRIM(LEFT($B479,IFERROR(FIND(" ",$B479)-1,LEN($B479))))))&gt;0,1,0)</f>
        <v/>
      </c>
      <c r="AF479">
        <f t="array" ref="AF479">IF(SUMPRODUCT(--($AQ$2:$AQ$71=TRIM(LEFT($B479,IFERROR(FIND(" ",$B479)-1,LEN($B479))))))&gt;0,1,0)</f>
        <v/>
      </c>
    </row>
    <row r="480" ht="45.75" customHeight="1" thickBot="1">
      <c r="A480" s="13" t="n">
        <v>78</v>
      </c>
      <c r="B480" s="4" t="inlineStr">
        <is>
          <t>NSR CN</t>
        </is>
      </c>
      <c r="C480" s="4" t="inlineStr">
        <is>
          <t>SSL CN</t>
        </is>
      </c>
      <c r="D480" s="7" t="n">
        <v>44683</v>
      </c>
      <c r="E480" s="3" t="n">
        <v>674.29</v>
      </c>
      <c r="F480" s="4" t="inlineStr">
        <is>
          <t>Stock</t>
        </is>
      </c>
      <c r="G480" s="3" t="n">
        <v>149.7</v>
      </c>
      <c r="H480" s="4" t="inlineStr">
        <is>
          <t>Materials</t>
        </is>
      </c>
      <c r="I480" s="4" t="inlineStr">
        <is>
          <t>Materials</t>
        </is>
      </c>
      <c r="J480" s="4" t="inlineStr">
        <is>
          <t>Metals &amp; Mining</t>
        </is>
      </c>
      <c r="K480" s="4" t="n"/>
      <c r="L480" s="4" t="n"/>
      <c r="M480" s="3" t="n">
        <v>32.82</v>
      </c>
      <c r="N480" s="3" t="n">
        <v>619.02</v>
      </c>
      <c r="O480" s="4" t="inlineStr">
        <is>
          <t>Canada</t>
        </is>
      </c>
      <c r="P480" s="4" t="inlineStr">
        <is>
          <t>Canada</t>
        </is>
      </c>
      <c r="Q480" s="4" t="inlineStr">
        <is>
          <t>Friendly</t>
        </is>
      </c>
      <c r="R480" s="3" t="n">
        <v>27.1598</v>
      </c>
      <c r="S480" s="3" t="n">
        <v>14.8168</v>
      </c>
      <c r="T480" s="4" t="inlineStr">
        <is>
          <t>Company Takeover</t>
        </is>
      </c>
      <c r="U480" s="2" t="inlineStr">
        <is>
          <t>No</t>
        </is>
      </c>
      <c r="V480" s="2" t="inlineStr">
        <is>
          <t>No</t>
        </is>
      </c>
      <c r="W480" s="2" t="inlineStr">
        <is>
          <t>No</t>
        </is>
      </c>
      <c r="X480" s="2" t="inlineStr">
        <is>
          <t>No</t>
        </is>
      </c>
      <c r="Y480" s="2" t="inlineStr">
        <is>
          <t>No</t>
        </is>
      </c>
      <c r="Z480" s="2" t="inlineStr">
        <is>
          <t>No</t>
        </is>
      </c>
      <c r="AA480" s="6" t="n">
        <v>2.828846719</v>
      </c>
      <c r="AB480" s="6" t="n">
        <v>1.433926568</v>
      </c>
      <c r="AC480" s="6" t="n">
        <v>2.791704681</v>
      </c>
      <c r="AD480">
        <f t="array" ref="AD480">IF(SUMPRODUCT(--($AM$2:$AM$112=TRIM(LEFT($B480,IFERROR(FIND(" ",$B480)-1,LEN($B480))))))&gt;0,1,0)</f>
        <v/>
      </c>
      <c r="AE480">
        <f t="array" ref="AE480">IF(SUMPRODUCT(--($AO$2:$AO$145=TRIM(LEFT($B480,IFERROR(FIND(" ",$B480)-1,LEN($B480))))))&gt;0,1,0)</f>
        <v/>
      </c>
      <c r="AF480">
        <f t="array" ref="AF480">IF(SUMPRODUCT(--($AQ$2:$AQ$71=TRIM(LEFT($B480,IFERROR(FIND(" ",$B480)-1,LEN($B480))))))&gt;0,1,0)</f>
        <v/>
      </c>
    </row>
    <row r="481" ht="135.75" customHeight="1" thickBot="1">
      <c r="A481" s="13" t="n">
        <v>92</v>
      </c>
      <c r="B481" s="4" t="inlineStr">
        <is>
          <t>2542797D US</t>
        </is>
      </c>
      <c r="C481" s="4" t="inlineStr">
        <is>
          <t>129626Z US</t>
        </is>
      </c>
      <c r="D481" s="7" t="n">
        <v>44662</v>
      </c>
      <c r="E481" s="3" t="n">
        <v>6130.68</v>
      </c>
      <c r="F481" s="4" t="inlineStr">
        <is>
          <t>Cash</t>
        </is>
      </c>
      <c r="G481" s="4" t="n"/>
      <c r="H481" s="4" t="inlineStr">
        <is>
          <t>Technology</t>
        </is>
      </c>
      <c r="I481" s="4" t="inlineStr">
        <is>
          <t>Software &amp; Tech Services</t>
        </is>
      </c>
      <c r="J481" s="4" t="inlineStr">
        <is>
          <t>Software</t>
        </is>
      </c>
      <c r="K481" s="4" t="n"/>
      <c r="L481" s="4" t="n"/>
      <c r="M481" s="3" t="n">
        <v>34.42</v>
      </c>
      <c r="N481" s="3" t="n">
        <v>6146.01</v>
      </c>
      <c r="O481" s="4" t="inlineStr">
        <is>
          <t>United States</t>
        </is>
      </c>
      <c r="P481" s="4" t="inlineStr">
        <is>
          <t>United States</t>
        </is>
      </c>
      <c r="Q481" s="4" t="inlineStr">
        <is>
          <t>Friendly</t>
        </is>
      </c>
      <c r="R481" s="3" t="n">
        <v>438.954</v>
      </c>
      <c r="S481" s="3" t="n">
        <v>-16.9161</v>
      </c>
      <c r="T481" s="4" t="inlineStr">
        <is>
          <t>PE Buyout, Company Takeover, Private Equity, Going Private</t>
        </is>
      </c>
      <c r="U481" s="2" t="inlineStr">
        <is>
          <t>No</t>
        </is>
      </c>
      <c r="V481" s="2" t="inlineStr">
        <is>
          <t>No</t>
        </is>
      </c>
      <c r="W481" s="2" t="inlineStr">
        <is>
          <t>No</t>
        </is>
      </c>
      <c r="X481" s="2" t="inlineStr">
        <is>
          <t>Yes</t>
        </is>
      </c>
      <c r="Y481" s="2" t="inlineStr">
        <is>
          <t>Yes</t>
        </is>
      </c>
      <c r="Z481" s="2" t="inlineStr">
        <is>
          <t>No</t>
        </is>
      </c>
      <c r="AA481" s="6" t="n">
        <v>3.787508648</v>
      </c>
      <c r="AB481" s="6" t="n">
        <v>2.642419011</v>
      </c>
      <c r="AC481" s="6" t="n">
        <v>3.788593263</v>
      </c>
      <c r="AD481">
        <f t="array" ref="AD481">IF(SUMPRODUCT(--($AM$2:$AM$112=TRIM(LEFT($B481,IFERROR(FIND(" ",$B481)-1,LEN($B481))))))&gt;0,1,0)</f>
        <v/>
      </c>
      <c r="AE481">
        <f t="array" ref="AE481">IF(SUMPRODUCT(--($AO$2:$AO$145=TRIM(LEFT($B481,IFERROR(FIND(" ",$B481)-1,LEN($B481))))))&gt;0,1,0)</f>
        <v/>
      </c>
      <c r="AF481">
        <f t="array" ref="AF481">IF(SUMPRODUCT(--($AQ$2:$AQ$71=TRIM(LEFT($B481,IFERROR(FIND(" ",$B481)-1,LEN($B481))))))&gt;0,1,0)</f>
        <v/>
      </c>
    </row>
    <row r="482" ht="180.75" customHeight="1" thickBot="1">
      <c r="A482" s="13" t="n">
        <v>38</v>
      </c>
      <c r="B482" s="4" t="inlineStr">
        <is>
          <t>2302767D US</t>
        </is>
      </c>
      <c r="C482" s="2" t="n"/>
      <c r="D482" s="7" t="n">
        <v>44735</v>
      </c>
      <c r="E482" s="3" t="n">
        <v>744.53</v>
      </c>
      <c r="F482" s="4" t="inlineStr">
        <is>
          <t>Cash</t>
        </is>
      </c>
      <c r="G482" s="4" t="n"/>
      <c r="H482" s="4" t="inlineStr">
        <is>
          <t>Health Care</t>
        </is>
      </c>
      <c r="I482" s="4" t="inlineStr">
        <is>
          <t>Health Care</t>
        </is>
      </c>
      <c r="J482" s="4" t="inlineStr">
        <is>
          <t>Biotech &amp; Pharma</t>
        </is>
      </c>
      <c r="K482" s="4" t="n"/>
      <c r="L482" s="4" t="n"/>
      <c r="M482" s="3" t="n">
        <v>41.21</v>
      </c>
      <c r="N482" s="3" t="n">
        <v>476.01</v>
      </c>
      <c r="O482" s="4" t="inlineStr">
        <is>
          <t>United States</t>
        </is>
      </c>
      <c r="P482" s="4" t="inlineStr">
        <is>
          <t>Switzerland</t>
        </is>
      </c>
      <c r="Q482" s="4" t="inlineStr">
        <is>
          <t>Friendly</t>
        </is>
      </c>
      <c r="R482" s="3" t="n">
        <v>229.973</v>
      </c>
      <c r="S482" s="3" t="n">
        <v>-22.7097</v>
      </c>
      <c r="T482" s="4" t="inlineStr">
        <is>
          <t>Cross Border, Company Takeover, Private Equity, Tender Offer, PE Buyout, Going Private</t>
        </is>
      </c>
      <c r="U482" s="2" t="inlineStr">
        <is>
          <t>No</t>
        </is>
      </c>
      <c r="V482" s="2" t="inlineStr">
        <is>
          <t>No</t>
        </is>
      </c>
      <c r="W482" s="2" t="inlineStr">
        <is>
          <t>Yes</t>
        </is>
      </c>
      <c r="X482" s="2" t="inlineStr">
        <is>
          <t>Yes</t>
        </is>
      </c>
      <c r="Y482" s="2" t="inlineStr">
        <is>
          <t>Yes</t>
        </is>
      </c>
      <c r="Z482" s="2" t="inlineStr">
        <is>
          <t>Yes</t>
        </is>
      </c>
      <c r="AA482" s="6" t="n">
        <v>2.871882202</v>
      </c>
      <c r="AB482" s="6" t="n">
        <v>2.361676851</v>
      </c>
      <c r="AC482" s="6" t="n">
        <v>2.677616076</v>
      </c>
      <c r="AD482">
        <f t="array" ref="AD482">IF(SUMPRODUCT(--($AM$2:$AM$112=TRIM(LEFT($B482,IFERROR(FIND(" ",$B482)-1,LEN($B482))))))&gt;0,1,0)</f>
        <v/>
      </c>
      <c r="AE482">
        <f t="array" ref="AE482">IF(SUMPRODUCT(--($AO$2:$AO$145=TRIM(LEFT($B482,IFERROR(FIND(" ",$B482)-1,LEN($B482))))))&gt;0,1,0)</f>
        <v/>
      </c>
      <c r="AF482">
        <f t="array" ref="AF482">IF(SUMPRODUCT(--($AQ$2:$AQ$71=TRIM(LEFT($B482,IFERROR(FIND(" ",$B482)-1,LEN($B482))))))&gt;0,1,0)</f>
        <v/>
      </c>
    </row>
    <row r="483" ht="135.75" customHeight="1" thickBot="1">
      <c r="A483" s="13" t="n">
        <v>82</v>
      </c>
      <c r="B483" s="4" t="inlineStr">
        <is>
          <t>ACC US</t>
        </is>
      </c>
      <c r="C483" s="4" t="inlineStr">
        <is>
          <t>BX US</t>
        </is>
      </c>
      <c r="D483" s="7" t="n">
        <v>44670</v>
      </c>
      <c r="E483" s="3" t="n">
        <v>12790.86</v>
      </c>
      <c r="F483" s="4" t="inlineStr">
        <is>
          <t>Cash</t>
        </is>
      </c>
      <c r="G483" s="3" t="n">
        <v>25.84</v>
      </c>
      <c r="H483" s="4" t="inlineStr">
        <is>
          <t>Real Estate</t>
        </is>
      </c>
      <c r="I483" s="4" t="inlineStr">
        <is>
          <t>Real Estate</t>
        </is>
      </c>
      <c r="J483" s="4" t="inlineStr">
        <is>
          <t>REIT</t>
        </is>
      </c>
      <c r="K483" s="4" t="n"/>
      <c r="L483" s="4" t="n"/>
      <c r="M483" s="3" t="n">
        <v>15.95</v>
      </c>
      <c r="N483" s="3" t="n">
        <v>9110.6</v>
      </c>
      <c r="O483" s="4" t="inlineStr">
        <is>
          <t>United States</t>
        </is>
      </c>
      <c r="P483" s="4" t="inlineStr">
        <is>
          <t>United States</t>
        </is>
      </c>
      <c r="Q483" s="4" t="inlineStr">
        <is>
          <t>Friendly</t>
        </is>
      </c>
      <c r="R483" s="3" t="n">
        <v>942.409</v>
      </c>
      <c r="S483" s="3" t="n">
        <v>19.5763</v>
      </c>
      <c r="T483" s="4" t="inlineStr">
        <is>
          <t>PE Buyout, Company Takeover, Private Equity, Going Private</t>
        </is>
      </c>
      <c r="U483" s="2" t="inlineStr">
        <is>
          <t>No</t>
        </is>
      </c>
      <c r="V483" s="2" t="inlineStr">
        <is>
          <t>No</t>
        </is>
      </c>
      <c r="W483" s="2" t="inlineStr">
        <is>
          <t>No</t>
        </is>
      </c>
      <c r="X483" s="2" t="inlineStr">
        <is>
          <t>Yes</t>
        </is>
      </c>
      <c r="Y483" s="2" t="inlineStr">
        <is>
          <t>Yes</t>
        </is>
      </c>
      <c r="Z483" s="2" t="inlineStr">
        <is>
          <t>No</t>
        </is>
      </c>
      <c r="AA483" s="6" t="n">
        <v>4.106899745</v>
      </c>
      <c r="AB483" s="6" t="n">
        <v>2.974239425</v>
      </c>
      <c r="AC483" s="6" t="n">
        <v>3.959546979</v>
      </c>
      <c r="AD483">
        <f t="array" ref="AD483">IF(SUMPRODUCT(--($AM$2:$AM$112=TRIM(LEFT($B483,IFERROR(FIND(" ",$B483)-1,LEN($B483))))))&gt;0,1,0)</f>
        <v/>
      </c>
      <c r="AE483">
        <f t="array" ref="AE483">IF(SUMPRODUCT(--($AO$2:$AO$145=TRIM(LEFT($B483,IFERROR(FIND(" ",$B483)-1,LEN($B483))))))&gt;0,1,0)</f>
        <v/>
      </c>
      <c r="AF483">
        <f t="array" ref="AF483">IF(SUMPRODUCT(--($AQ$2:$AQ$71=TRIM(LEFT($B483,IFERROR(FIND(" ",$B483)-1,LEN($B483))))))&gt;0,1,0)</f>
        <v/>
      </c>
    </row>
    <row r="484" ht="60.75" customHeight="1" thickBot="1">
      <c r="A484" s="13" t="n">
        <v>117</v>
      </c>
      <c r="B484" s="4" t="inlineStr">
        <is>
          <t>MTOR US</t>
        </is>
      </c>
      <c r="C484" s="4" t="inlineStr">
        <is>
          <t>CMI US</t>
        </is>
      </c>
      <c r="D484" s="7" t="n">
        <v>44614</v>
      </c>
      <c r="E484" s="3" t="n">
        <v>3571.28</v>
      </c>
      <c r="F484" s="4" t="inlineStr">
        <is>
          <t>Cash</t>
        </is>
      </c>
      <c r="G484" s="3" t="n">
        <v>10.57</v>
      </c>
      <c r="H484" s="4" t="inlineStr">
        <is>
          <t>Industrials</t>
        </is>
      </c>
      <c r="I484" s="4" t="inlineStr">
        <is>
          <t>Industrial Products</t>
        </is>
      </c>
      <c r="J484" s="4" t="inlineStr">
        <is>
          <t>Transportation Equipment</t>
        </is>
      </c>
      <c r="K484" s="3" t="n">
        <v>160</v>
      </c>
      <c r="L484" s="3" t="n">
        <v>73.5</v>
      </c>
      <c r="M484" s="3" t="n">
        <v>52.88</v>
      </c>
      <c r="N484" s="3" t="n">
        <v>2583.28</v>
      </c>
      <c r="O484" s="4" t="inlineStr">
        <is>
          <t>United States</t>
        </is>
      </c>
      <c r="P484" s="4" t="inlineStr">
        <is>
          <t>United States</t>
        </is>
      </c>
      <c r="Q484" s="4" t="inlineStr">
        <is>
          <t>Friendly</t>
        </is>
      </c>
      <c r="R484" s="3" t="n">
        <v>3833</v>
      </c>
      <c r="S484" s="3" t="n">
        <v>5.96042</v>
      </c>
      <c r="T484" s="4" t="inlineStr">
        <is>
          <t>Company Takeover</t>
        </is>
      </c>
      <c r="U484" s="2" t="inlineStr">
        <is>
          <t>No</t>
        </is>
      </c>
      <c r="V484" s="2" t="inlineStr">
        <is>
          <t>No</t>
        </is>
      </c>
      <c r="W484" s="2" t="inlineStr">
        <is>
          <t>No</t>
        </is>
      </c>
      <c r="X484" s="2" t="inlineStr">
        <is>
          <t>No</t>
        </is>
      </c>
      <c r="Y484" s="2" t="inlineStr">
        <is>
          <t>No</t>
        </is>
      </c>
      <c r="Z484" s="2" t="inlineStr">
        <is>
          <t>No</t>
        </is>
      </c>
      <c r="AA484" s="6" t="n">
        <v>3.552823902</v>
      </c>
      <c r="AB484" s="6" t="n">
        <v>3.583538819</v>
      </c>
      <c r="AC484" s="6" t="n">
        <v>3.412171482</v>
      </c>
      <c r="AD484">
        <f t="array" ref="AD484">IF(SUMPRODUCT(--($AM$2:$AM$112=TRIM(LEFT($B484,IFERROR(FIND(" ",$B484)-1,LEN($B484))))))&gt;0,1,0)</f>
        <v/>
      </c>
      <c r="AE484">
        <f t="array" ref="AE484">IF(SUMPRODUCT(--($AO$2:$AO$145=TRIM(LEFT($B484,IFERROR(FIND(" ",$B484)-1,LEN($B484))))))&gt;0,1,0)</f>
        <v/>
      </c>
      <c r="AF484">
        <f t="array" ref="AF484">IF(SUMPRODUCT(--($AQ$2:$AQ$71=TRIM(LEFT($B484,IFERROR(FIND(" ",$B484)-1,LEN($B484))))))&gt;0,1,0)</f>
        <v/>
      </c>
    </row>
    <row r="485" ht="75.75" customHeight="1" thickBot="1">
      <c r="A485" s="13" t="n">
        <v>195</v>
      </c>
      <c r="B485" s="4" t="inlineStr">
        <is>
          <t>NPTN US</t>
        </is>
      </c>
      <c r="C485" s="4" t="inlineStr">
        <is>
          <t>LITE US</t>
        </is>
      </c>
      <c r="D485" s="7" t="n">
        <v>44504</v>
      </c>
      <c r="E485" s="3" t="n">
        <v>796.35</v>
      </c>
      <c r="F485" s="4" t="inlineStr">
        <is>
          <t>Cash</t>
        </is>
      </c>
      <c r="G485" s="4" t="n"/>
      <c r="H485" s="4" t="inlineStr">
        <is>
          <t>Technology</t>
        </is>
      </c>
      <c r="I485" s="4" t="inlineStr">
        <is>
          <t>Tech Hardware &amp; Semiconductors</t>
        </is>
      </c>
      <c r="J485" s="4" t="inlineStr">
        <is>
          <t>Semiconductors</t>
        </is>
      </c>
      <c r="K485" s="4" t="n"/>
      <c r="L485" s="4" t="n"/>
      <c r="M485" s="3" t="n">
        <v>66.06</v>
      </c>
      <c r="N485" s="3" t="n">
        <v>843.13</v>
      </c>
      <c r="O485" s="4" t="inlineStr">
        <is>
          <t>United States</t>
        </is>
      </c>
      <c r="P485" s="4" t="inlineStr">
        <is>
          <t>United States</t>
        </is>
      </c>
      <c r="Q485" s="4" t="inlineStr">
        <is>
          <t>Friendly</t>
        </is>
      </c>
      <c r="R485" s="3" t="n">
        <v>290.289</v>
      </c>
      <c r="S485" s="3" t="n">
        <v>-1.99181</v>
      </c>
      <c r="T485" s="4" t="inlineStr">
        <is>
          <t>Company Takeover</t>
        </is>
      </c>
      <c r="U485" s="2" t="inlineStr">
        <is>
          <t>No</t>
        </is>
      </c>
      <c r="V485" s="2" t="inlineStr">
        <is>
          <t>No</t>
        </is>
      </c>
      <c r="W485" s="2" t="inlineStr">
        <is>
          <t>No</t>
        </is>
      </c>
      <c r="X485" s="2" t="inlineStr">
        <is>
          <t>No</t>
        </is>
      </c>
      <c r="Y485" s="2" t="inlineStr">
        <is>
          <t>No</t>
        </is>
      </c>
      <c r="Z485" s="2" t="inlineStr">
        <is>
          <t>No</t>
        </is>
      </c>
      <c r="AA485" s="6" t="n">
        <v>2.901103984</v>
      </c>
      <c r="AB485" s="6" t="n">
        <v>2.462830579</v>
      </c>
      <c r="AC485" s="6" t="n">
        <v>2.925894543</v>
      </c>
      <c r="AD485">
        <f t="array" ref="AD485">IF(SUMPRODUCT(--($AM$2:$AM$112=TRIM(LEFT($B485,IFERROR(FIND(" ",$B485)-1,LEN($B485))))))&gt;0,1,0)</f>
        <v/>
      </c>
      <c r="AE485">
        <f t="array" ref="AE485">IF(SUMPRODUCT(--($AO$2:$AO$145=TRIM(LEFT($B485,IFERROR(FIND(" ",$B485)-1,LEN($B485))))))&gt;0,1,0)</f>
        <v/>
      </c>
      <c r="AF485">
        <f t="array" ref="AF485">IF(SUMPRODUCT(--($AQ$2:$AQ$71=TRIM(LEFT($B485,IFERROR(FIND(" ",$B485)-1,LEN($B485))))))&gt;0,1,0)</f>
        <v/>
      </c>
    </row>
    <row r="486" ht="135.75" customHeight="1" thickBot="1">
      <c r="A486" s="13" t="n">
        <v>273</v>
      </c>
      <c r="B486" s="4" t="inlineStr">
        <is>
          <t>WBT US</t>
        </is>
      </c>
      <c r="C486" s="4" t="inlineStr">
        <is>
          <t>1483267D IM</t>
        </is>
      </c>
      <c r="D486" s="7" t="n">
        <v>44391</v>
      </c>
      <c r="E486" s="3" t="n">
        <v>4753.58</v>
      </c>
      <c r="F486" s="4" t="inlineStr">
        <is>
          <t>Cash</t>
        </is>
      </c>
      <c r="G486" s="3" t="n">
        <v>26.12</v>
      </c>
      <c r="H486" s="4" t="inlineStr">
        <is>
          <t>Industrials</t>
        </is>
      </c>
      <c r="I486" s="4" t="inlineStr">
        <is>
          <t>Industrial Products</t>
        </is>
      </c>
      <c r="J486" s="4" t="inlineStr">
        <is>
          <t>Machinery</t>
        </is>
      </c>
      <c r="K486" s="4" t="n"/>
      <c r="L486" s="4" t="n"/>
      <c r="M486" s="3" t="n">
        <v>-0.49</v>
      </c>
      <c r="N486" s="3" t="n">
        <v>3410.78</v>
      </c>
      <c r="O486" s="4" t="inlineStr">
        <is>
          <t>United States</t>
        </is>
      </c>
      <c r="P486" s="4" t="inlineStr">
        <is>
          <t>Italy</t>
        </is>
      </c>
      <c r="Q486" s="4" t="inlineStr">
        <is>
          <t>Unsolicited to Friendly</t>
        </is>
      </c>
      <c r="R486" s="3" t="n">
        <v>1546.9</v>
      </c>
      <c r="S486" s="3" t="n">
        <v>11.0805</v>
      </c>
      <c r="T486" s="4" t="inlineStr">
        <is>
          <t>Competing Bid, Company Takeover, Cross Border, Going Private</t>
        </is>
      </c>
      <c r="U486" s="2" t="inlineStr">
        <is>
          <t>No</t>
        </is>
      </c>
      <c r="V486" s="2" t="inlineStr">
        <is>
          <t>Yes</t>
        </is>
      </c>
      <c r="W486" s="2" t="inlineStr">
        <is>
          <t>Yes</t>
        </is>
      </c>
      <c r="X486" s="2" t="inlineStr">
        <is>
          <t>Yes</t>
        </is>
      </c>
      <c r="Y486" s="2" t="inlineStr">
        <is>
          <t>No</t>
        </is>
      </c>
      <c r="Z486" s="2" t="inlineStr">
        <is>
          <t>No</t>
        </is>
      </c>
      <c r="AA486" s="6" t="n">
        <v>3.677020807</v>
      </c>
      <c r="AB486" s="6" t="n">
        <v>3.189462239</v>
      </c>
      <c r="AC486" s="6" t="n">
        <v>3.532853708</v>
      </c>
      <c r="AD486">
        <f t="array" ref="AD486">IF(SUMPRODUCT(--($AM$2:$AM$112=TRIM(LEFT($B486,IFERROR(FIND(" ",$B486)-1,LEN($B486))))))&gt;0,1,0)</f>
        <v/>
      </c>
      <c r="AE486">
        <f t="array" ref="AE486">IF(SUMPRODUCT(--($AO$2:$AO$145=TRIM(LEFT($B486,IFERROR(FIND(" ",$B486)-1,LEN($B486))))))&gt;0,1,0)</f>
        <v/>
      </c>
      <c r="AF486">
        <f t="array" ref="AF486">IF(SUMPRODUCT(--($AQ$2:$AQ$71=TRIM(LEFT($B486,IFERROR(FIND(" ",$B486)-1,LEN($B486))))))&gt;0,1,0)</f>
        <v/>
      </c>
    </row>
    <row r="487" ht="195.75" customHeight="1" thickBot="1">
      <c r="A487" s="13" t="n">
        <v>101</v>
      </c>
      <c r="B487" s="4" t="inlineStr">
        <is>
          <t>2540264D US</t>
        </is>
      </c>
      <c r="C487" s="4" t="inlineStr">
        <is>
          <t>5056Z US</t>
        </is>
      </c>
      <c r="D487" s="7" t="n">
        <v>44627</v>
      </c>
      <c r="E487" s="3" t="n">
        <v>4560.44</v>
      </c>
      <c r="F487" s="4" t="inlineStr">
        <is>
          <t>Cash</t>
        </is>
      </c>
      <c r="G487" s="3" t="n">
        <v>3.96</v>
      </c>
      <c r="H487" s="4" t="inlineStr">
        <is>
          <t>Consumer Discretionary</t>
        </is>
      </c>
      <c r="I487" s="4" t="inlineStr">
        <is>
          <t>Consumer Discretionary Products</t>
        </is>
      </c>
      <c r="J487" s="4" t="inlineStr">
        <is>
          <t>Home Construction</t>
        </is>
      </c>
      <c r="K487" s="4" t="n"/>
      <c r="L487" s="4" t="n"/>
      <c r="M487" s="4" t="n"/>
      <c r="N487" s="3" t="n">
        <v>1596.59</v>
      </c>
      <c r="O487" s="4" t="inlineStr">
        <is>
          <t>United States</t>
        </is>
      </c>
      <c r="P487" s="4" t="inlineStr">
        <is>
          <t>United States</t>
        </is>
      </c>
      <c r="Q487" s="4" t="inlineStr">
        <is>
          <t>Friendly</t>
        </is>
      </c>
      <c r="R487" s="3" t="n">
        <v>5408.66</v>
      </c>
      <c r="S487" s="3" t="n">
        <v>-9.48194</v>
      </c>
      <c r="T487" s="4" t="inlineStr">
        <is>
          <t>PE Buyout, Company Takeover, Going Private, Private Equity, Additional Stake Purchase</t>
        </is>
      </c>
      <c r="U487" s="2" t="inlineStr">
        <is>
          <t>Yes</t>
        </is>
      </c>
      <c r="V487" s="2" t="inlineStr">
        <is>
          <t>No</t>
        </is>
      </c>
      <c r="W487" s="2" t="inlineStr">
        <is>
          <t>No</t>
        </is>
      </c>
      <c r="X487" s="2" t="inlineStr">
        <is>
          <t>Yes</t>
        </is>
      </c>
      <c r="Y487" s="2" t="inlineStr">
        <is>
          <t>Yes</t>
        </is>
      </c>
      <c r="Z487" s="2" t="inlineStr">
        <is>
          <t>No</t>
        </is>
      </c>
      <c r="AA487" s="6" t="n">
        <v>3.659006746</v>
      </c>
      <c r="AB487" s="6" t="n">
        <v>3.733089682</v>
      </c>
      <c r="AC487" s="6" t="n">
        <v>3.203193405</v>
      </c>
      <c r="AD487">
        <f t="array" ref="AD487">IF(SUMPRODUCT(--($AM$2:$AM$112=TRIM(LEFT($B487,IFERROR(FIND(" ",$B487)-1,LEN($B487))))))&gt;0,1,0)</f>
        <v/>
      </c>
      <c r="AE487">
        <f t="array" ref="AE487">IF(SUMPRODUCT(--($AO$2:$AO$145=TRIM(LEFT($B487,IFERROR(FIND(" ",$B487)-1,LEN($B487))))))&gt;0,1,0)</f>
        <v/>
      </c>
      <c r="AF487">
        <f t="array" ref="AF487">IF(SUMPRODUCT(--($AQ$2:$AQ$71=TRIM(LEFT($B487,IFERROR(FIND(" ",$B487)-1,LEN($B487))))))&gt;0,1,0)</f>
        <v/>
      </c>
    </row>
    <row r="488" ht="135.75" customHeight="1" thickBot="1">
      <c r="A488" s="13" t="n">
        <v>251</v>
      </c>
      <c r="B488" s="4" t="inlineStr">
        <is>
          <t>SAFM US</t>
        </is>
      </c>
      <c r="C488" s="2" t="n"/>
      <c r="D488" s="7" t="n">
        <v>44417</v>
      </c>
      <c r="E488" s="3" t="n">
        <v>4533.19</v>
      </c>
      <c r="F488" s="4" t="inlineStr">
        <is>
          <t>Cash</t>
        </is>
      </c>
      <c r="G488" s="3" t="n">
        <v>8.029999999999999</v>
      </c>
      <c r="H488" s="4" t="inlineStr">
        <is>
          <t>Consumer Staples</t>
        </is>
      </c>
      <c r="I488" s="4" t="inlineStr">
        <is>
          <t>Consumer Staple Products</t>
        </is>
      </c>
      <c r="J488" s="4" t="inlineStr">
        <is>
          <t>Food</t>
        </is>
      </c>
      <c r="K488" s="4" t="n"/>
      <c r="L488" s="4" t="n"/>
      <c r="M488" s="3" t="n">
        <v>10.98</v>
      </c>
      <c r="N488" s="3" t="n">
        <v>4533.19</v>
      </c>
      <c r="O488" s="4" t="inlineStr">
        <is>
          <t>United States</t>
        </is>
      </c>
      <c r="P488" s="4" t="inlineStr">
        <is>
          <t>United States</t>
        </is>
      </c>
      <c r="Q488" s="4" t="inlineStr">
        <is>
          <t>Friendly</t>
        </is>
      </c>
      <c r="R488" s="3" t="n">
        <v>4799.65</v>
      </c>
      <c r="S488" s="3" t="n">
        <v>20.1456</v>
      </c>
      <c r="T488" s="4" t="inlineStr">
        <is>
          <t>PE Buyout, Company Takeover, Private Equity, Going Private</t>
        </is>
      </c>
      <c r="U488" s="2" t="inlineStr">
        <is>
          <t>No</t>
        </is>
      </c>
      <c r="V488" s="2" t="inlineStr">
        <is>
          <t>No</t>
        </is>
      </c>
      <c r="W488" s="2" t="inlineStr">
        <is>
          <t>No</t>
        </is>
      </c>
      <c r="X488" s="2" t="inlineStr">
        <is>
          <t>Yes</t>
        </is>
      </c>
      <c r="Y488" s="2" t="inlineStr">
        <is>
          <t>Yes</t>
        </is>
      </c>
      <c r="Z488" s="2" t="inlineStr">
        <is>
          <t>No</t>
        </is>
      </c>
      <c r="AA488" s="6" t="n">
        <v>3.656403922</v>
      </c>
      <c r="AB488" s="6" t="n">
        <v>3.681209569</v>
      </c>
      <c r="AC488" s="6" t="n">
        <v>3.656403922</v>
      </c>
      <c r="AD488">
        <f t="array" ref="AD488">IF(SUMPRODUCT(--($AM$2:$AM$112=TRIM(LEFT($B488,IFERROR(FIND(" ",$B488)-1,LEN($B488))))))&gt;0,1,0)</f>
        <v/>
      </c>
      <c r="AE488">
        <f t="array" ref="AE488">IF(SUMPRODUCT(--($AO$2:$AO$145=TRIM(LEFT($B488,IFERROR(FIND(" ",$B488)-1,LEN($B488))))))&gt;0,1,0)</f>
        <v/>
      </c>
      <c r="AF488">
        <f t="array" ref="AF488">IF(SUMPRODUCT(--($AQ$2:$AQ$71=TRIM(LEFT($B488,IFERROR(FIND(" ",$B488)-1,LEN($B488))))))&gt;0,1,0)</f>
        <v/>
      </c>
    </row>
    <row r="489" ht="75.75" customHeight="1" thickBot="1">
      <c r="A489" s="13" t="n">
        <v>175</v>
      </c>
      <c r="B489" s="4" t="inlineStr">
        <is>
          <t>2536085D US</t>
        </is>
      </c>
      <c r="C489" s="4" t="inlineStr">
        <is>
          <t>ERICB SS</t>
        </is>
      </c>
      <c r="D489" s="7" t="n">
        <v>44522</v>
      </c>
      <c r="E489" s="3" t="n">
        <v>5747.01</v>
      </c>
      <c r="F489" s="4" t="inlineStr">
        <is>
          <t>Cash</t>
        </is>
      </c>
      <c r="G489" s="3" t="n">
        <v>57.62</v>
      </c>
      <c r="H489" s="4" t="inlineStr">
        <is>
          <t>Communications</t>
        </is>
      </c>
      <c r="I489" s="4" t="inlineStr">
        <is>
          <t>Telecommunications</t>
        </is>
      </c>
      <c r="J489" s="4" t="inlineStr">
        <is>
          <t>Telecommunications</t>
        </is>
      </c>
      <c r="K489" s="4" t="n"/>
      <c r="L489" s="4" t="n"/>
      <c r="M489" s="3" t="n">
        <v>26.76</v>
      </c>
      <c r="N489" s="3" t="n">
        <v>5298.97</v>
      </c>
      <c r="O489" s="4" t="inlineStr">
        <is>
          <t>United States</t>
        </is>
      </c>
      <c r="P489" s="4" t="inlineStr">
        <is>
          <t>Sweden</t>
        </is>
      </c>
      <c r="Q489" s="4" t="inlineStr">
        <is>
          <t>Friendly</t>
        </is>
      </c>
      <c r="R489" s="3" t="n">
        <v>1409.02</v>
      </c>
      <c r="S489" s="3" t="n">
        <v>-1.42124</v>
      </c>
      <c r="T489" s="4" t="inlineStr">
        <is>
          <t>Cross Border, Company Takeover</t>
        </is>
      </c>
      <c r="U489" s="2" t="inlineStr">
        <is>
          <t>No</t>
        </is>
      </c>
      <c r="V489" s="2" t="inlineStr">
        <is>
          <t>No</t>
        </is>
      </c>
      <c r="W489" s="2" t="inlineStr">
        <is>
          <t>Yes</t>
        </is>
      </c>
      <c r="X489" s="2" t="inlineStr">
        <is>
          <t>No</t>
        </is>
      </c>
      <c r="Y489" s="2" t="inlineStr">
        <is>
          <t>No</t>
        </is>
      </c>
      <c r="Z489" s="2" t="inlineStr">
        <is>
          <t>No</t>
        </is>
      </c>
      <c r="AA489" s="6" t="n">
        <v>3.759441953</v>
      </c>
      <c r="AB489" s="6" t="n">
        <v>3.148917158</v>
      </c>
      <c r="AC489" s="6" t="n">
        <v>3.724191461</v>
      </c>
      <c r="AD489">
        <f t="array" ref="AD489">IF(SUMPRODUCT(--($AM$2:$AM$112=TRIM(LEFT($B489,IFERROR(FIND(" ",$B489)-1,LEN($B489))))))&gt;0,1,0)</f>
        <v/>
      </c>
      <c r="AE489">
        <f t="array" ref="AE489">IF(SUMPRODUCT(--($AO$2:$AO$145=TRIM(LEFT($B489,IFERROR(FIND(" ",$B489)-1,LEN($B489))))))&gt;0,1,0)</f>
        <v/>
      </c>
      <c r="AF489">
        <f t="array" ref="AF489">IF(SUMPRODUCT(--($AQ$2:$AQ$71=TRIM(LEFT($B489,IFERROR(FIND(" ",$B489)-1,LEN($B489))))))&gt;0,1,0)</f>
        <v/>
      </c>
    </row>
    <row r="490" ht="165.75" customHeight="1" thickBot="1">
      <c r="A490" s="13" t="n">
        <v>70</v>
      </c>
      <c r="B490" s="4" t="inlineStr">
        <is>
          <t>NTUS US</t>
        </is>
      </c>
      <c r="C490" s="4" t="inlineStr">
        <is>
          <t>1011231D FP</t>
        </is>
      </c>
      <c r="D490" s="7" t="n">
        <v>44669</v>
      </c>
      <c r="E490" s="3" t="n">
        <v>1089.07</v>
      </c>
      <c r="F490" s="4" t="inlineStr">
        <is>
          <t>Cash</t>
        </is>
      </c>
      <c r="G490" s="3" t="n">
        <v>21.38</v>
      </c>
      <c r="H490" s="4" t="inlineStr">
        <is>
          <t>Health Care</t>
        </is>
      </c>
      <c r="I490" s="4" t="inlineStr">
        <is>
          <t>Health Care</t>
        </is>
      </c>
      <c r="J490" s="4" t="inlineStr">
        <is>
          <t>Medical Equipment &amp; Devices</t>
        </is>
      </c>
      <c r="K490" s="3" t="n">
        <v>79.0147</v>
      </c>
      <c r="L490" s="3" t="n">
        <v>19.7537</v>
      </c>
      <c r="M490" s="3" t="n">
        <v>30.62</v>
      </c>
      <c r="N490" s="3" t="n">
        <v>1152.67</v>
      </c>
      <c r="O490" s="4" t="inlineStr">
        <is>
          <t>United States</t>
        </is>
      </c>
      <c r="P490" s="4" t="inlineStr">
        <is>
          <t>France</t>
        </is>
      </c>
      <c r="Q490" s="4" t="inlineStr">
        <is>
          <t>Friendly</t>
        </is>
      </c>
      <c r="R490" s="3" t="n">
        <v>473.438</v>
      </c>
      <c r="S490" s="3" t="n">
        <v>4.90065</v>
      </c>
      <c r="T490" s="4" t="inlineStr">
        <is>
          <t>Company Takeover, Cross Border, Private Equity, PE Buyout, Going Private</t>
        </is>
      </c>
      <c r="U490" s="2" t="inlineStr">
        <is>
          <t>No</t>
        </is>
      </c>
      <c r="V490" s="2" t="inlineStr">
        <is>
          <t>No</t>
        </is>
      </c>
      <c r="W490" s="2" t="inlineStr">
        <is>
          <t>Yes</t>
        </is>
      </c>
      <c r="X490" s="2" t="inlineStr">
        <is>
          <t>Yes</t>
        </is>
      </c>
      <c r="Y490" s="2" t="inlineStr">
        <is>
          <t>Yes</t>
        </is>
      </c>
      <c r="Z490" s="2" t="inlineStr">
        <is>
          <t>No</t>
        </is>
      </c>
      <c r="AA490" s="6" t="n">
        <v>3.037055795</v>
      </c>
      <c r="AB490" s="6" t="n">
        <v>2.675263113</v>
      </c>
      <c r="AC490" s="6" t="n">
        <v>3.06170499</v>
      </c>
      <c r="AD490">
        <f t="array" ref="AD490">IF(SUMPRODUCT(--($AM$2:$AM$112=TRIM(LEFT($B490,IFERROR(FIND(" ",$B490)-1,LEN($B490))))))&gt;0,1,0)</f>
        <v/>
      </c>
      <c r="AE490">
        <f t="array" ref="AE490">IF(SUMPRODUCT(--($AO$2:$AO$145=TRIM(LEFT($B490,IFERROR(FIND(" ",$B490)-1,LEN($B490))))))&gt;0,1,0)</f>
        <v/>
      </c>
      <c r="AF490">
        <f t="array" ref="AF490">IF(SUMPRODUCT(--($AQ$2:$AQ$71=TRIM(LEFT($B490,IFERROR(FIND(" ",$B490)-1,LEN($B490))))))&gt;0,1,0)</f>
        <v/>
      </c>
    </row>
    <row r="491" ht="75.75" customHeight="1" thickBot="1">
      <c r="A491" s="13" t="n">
        <v>104</v>
      </c>
      <c r="B491" s="4" t="inlineStr">
        <is>
          <t>9990721D US</t>
        </is>
      </c>
      <c r="C491" s="4" t="inlineStr">
        <is>
          <t>HR US</t>
        </is>
      </c>
      <c r="D491" s="7" t="n">
        <v>44620</v>
      </c>
      <c r="E491" s="3" t="n">
        <v>6592.58</v>
      </c>
      <c r="F491" s="4" t="inlineStr">
        <is>
          <t>Stock</t>
        </is>
      </c>
      <c r="G491" s="3" t="n">
        <v>24.23</v>
      </c>
      <c r="H491" s="4" t="inlineStr">
        <is>
          <t>Real Estate</t>
        </is>
      </c>
      <c r="I491" s="4" t="inlineStr">
        <is>
          <t>Real Estate</t>
        </is>
      </c>
      <c r="J491" s="4" t="inlineStr">
        <is>
          <t>REIT</t>
        </is>
      </c>
      <c r="K491" s="4" t="n"/>
      <c r="L491" s="4" t="n"/>
      <c r="M491" s="3" t="n">
        <v>1.74</v>
      </c>
      <c r="N491" s="3" t="n">
        <v>4685.74</v>
      </c>
      <c r="O491" s="4" t="inlineStr">
        <is>
          <t>United States</t>
        </is>
      </c>
      <c r="P491" s="4" t="inlineStr">
        <is>
          <t>United States</t>
        </is>
      </c>
      <c r="Q491" s="4" t="inlineStr">
        <is>
          <t>Friendly</t>
        </is>
      </c>
      <c r="R491" s="3" t="n">
        <v>534.817</v>
      </c>
      <c r="S491" s="3" t="n">
        <v>10.8953</v>
      </c>
      <c r="T491" s="4" t="inlineStr">
        <is>
          <t>Company Takeover, Reverse Merger</t>
        </is>
      </c>
      <c r="U491" s="2" t="inlineStr">
        <is>
          <t>No</t>
        </is>
      </c>
      <c r="V491" s="2" t="inlineStr">
        <is>
          <t>No</t>
        </is>
      </c>
      <c r="W491" s="2" t="inlineStr">
        <is>
          <t>No</t>
        </is>
      </c>
      <c r="X491" s="2" t="inlineStr">
        <is>
          <t>No</t>
        </is>
      </c>
      <c r="Y491" s="2" t="inlineStr">
        <is>
          <t>No</t>
        </is>
      </c>
      <c r="Z491" s="2" t="inlineStr">
        <is>
          <t>No</t>
        </is>
      </c>
      <c r="AA491" s="6" t="n">
        <v>3.819055409</v>
      </c>
      <c r="AB491" s="6" t="n">
        <v>2.728205204</v>
      </c>
      <c r="AC491" s="6" t="n">
        <v>3.670778187</v>
      </c>
      <c r="AD491">
        <f t="array" ref="AD491">IF(SUMPRODUCT(--($AM$2:$AM$112=TRIM(LEFT($B491,IFERROR(FIND(" ",$B491)-1,LEN($B491))))))&gt;0,1,0)</f>
        <v/>
      </c>
      <c r="AE491">
        <f t="array" ref="AE491">IF(SUMPRODUCT(--($AO$2:$AO$145=TRIM(LEFT($B491,IFERROR(FIND(" ",$B491)-1,LEN($B491))))))&gt;0,1,0)</f>
        <v/>
      </c>
      <c r="AF491">
        <f t="array" ref="AF491">IF(SUMPRODUCT(--($AQ$2:$AQ$71=TRIM(LEFT($B491,IFERROR(FIND(" ",$B491)-1,LEN($B491))))))&gt;0,1,0)</f>
        <v/>
      </c>
    </row>
    <row r="492" ht="135.75" customHeight="1" thickBot="1">
      <c r="A492" s="13" t="n">
        <v>288</v>
      </c>
      <c r="B492" s="4" t="inlineStr">
        <is>
          <t>MIC US</t>
        </is>
      </c>
      <c r="C492" s="4" t="inlineStr">
        <is>
          <t>1264605D US</t>
        </is>
      </c>
      <c r="D492" s="7" t="n">
        <v>44362</v>
      </c>
      <c r="E492" s="3" t="n">
        <v>1381.75</v>
      </c>
      <c r="F492" s="4" t="inlineStr">
        <is>
          <t>Cash</t>
        </is>
      </c>
      <c r="G492" s="3" t="n">
        <v>10.57</v>
      </c>
      <c r="H492" s="4" t="inlineStr">
        <is>
          <t>Utilities</t>
        </is>
      </c>
      <c r="I492" s="4" t="inlineStr">
        <is>
          <t>Utilities</t>
        </is>
      </c>
      <c r="J492" s="4" t="inlineStr">
        <is>
          <t>Gas &amp; Water Utilities</t>
        </is>
      </c>
      <c r="K492" s="4" t="n"/>
      <c r="L492" s="4" t="n"/>
      <c r="M492" s="3" t="n">
        <v>-88.62</v>
      </c>
      <c r="N492" s="3" t="n">
        <v>360.48</v>
      </c>
      <c r="O492" s="4" t="inlineStr">
        <is>
          <t>United States</t>
        </is>
      </c>
      <c r="P492" s="4" t="inlineStr">
        <is>
          <t>United States</t>
        </is>
      </c>
      <c r="Q492" s="4" t="inlineStr">
        <is>
          <t>Friendly</t>
        </is>
      </c>
      <c r="R492" s="2" t="n"/>
      <c r="S492" s="2" t="n"/>
      <c r="T492" s="4" t="inlineStr">
        <is>
          <t>Company Takeover, PE Buyout, Private Equity, Going Private</t>
        </is>
      </c>
      <c r="U492" s="2" t="inlineStr">
        <is>
          <t>No</t>
        </is>
      </c>
      <c r="V492" s="2" t="inlineStr">
        <is>
          <t>No</t>
        </is>
      </c>
      <c r="W492" s="2" t="inlineStr">
        <is>
          <t>No</t>
        </is>
      </c>
      <c r="X492" s="2" t="inlineStr">
        <is>
          <t>Yes</t>
        </is>
      </c>
      <c r="Y492" s="2" t="inlineStr">
        <is>
          <t>Yes</t>
        </is>
      </c>
      <c r="Z492" s="2" t="inlineStr">
        <is>
          <t>No</t>
        </is>
      </c>
      <c r="AA492" s="6" t="n">
        <v>3.140429473</v>
      </c>
      <c r="AB492" s="2" t="n"/>
      <c r="AC492" s="6" t="n">
        <v>2.556881174</v>
      </c>
      <c r="AD492">
        <f t="array" ref="AD492">IF(SUMPRODUCT(--($AM$2:$AM$112=TRIM(LEFT($B492,IFERROR(FIND(" ",$B492)-1,LEN($B492))))))&gt;0,1,0)</f>
        <v/>
      </c>
      <c r="AE492">
        <f t="array" ref="AE492">IF(SUMPRODUCT(--($AO$2:$AO$145=TRIM(LEFT($B492,IFERROR(FIND(" ",$B492)-1,LEN($B492))))))&gt;0,1,0)</f>
        <v/>
      </c>
      <c r="AF492">
        <f t="array" ref="AF492">IF(SUMPRODUCT(--($AQ$2:$AQ$71=TRIM(LEFT($B492,IFERROR(FIND(" ",$B492)-1,LEN($B492))))))&gt;0,1,0)</f>
        <v/>
      </c>
    </row>
    <row r="493" ht="135.75" customHeight="1" thickBot="1">
      <c r="A493" s="13" t="n">
        <v>63</v>
      </c>
      <c r="B493" s="4" t="inlineStr">
        <is>
          <t>PSB US</t>
        </is>
      </c>
      <c r="C493" s="4" t="inlineStr">
        <is>
          <t>BX US</t>
        </is>
      </c>
      <c r="D493" s="7" t="n">
        <v>44676</v>
      </c>
      <c r="E493" s="3" t="n">
        <v>5004.14</v>
      </c>
      <c r="F493" s="4" t="inlineStr">
        <is>
          <t>Cash</t>
        </is>
      </c>
      <c r="G493" s="3" t="n">
        <v>17.18</v>
      </c>
      <c r="H493" s="4" t="inlineStr">
        <is>
          <t>Real Estate</t>
        </is>
      </c>
      <c r="I493" s="4" t="inlineStr">
        <is>
          <t>Real Estate</t>
        </is>
      </c>
      <c r="J493" s="4" t="inlineStr">
        <is>
          <t>REIT</t>
        </is>
      </c>
      <c r="K493" s="3" t="n">
        <v>735</v>
      </c>
      <c r="L493" s="3" t="n">
        <v>220</v>
      </c>
      <c r="M493" s="4" t="n"/>
      <c r="N493" s="3" t="n">
        <v>5031.22</v>
      </c>
      <c r="O493" s="4" t="inlineStr">
        <is>
          <t>United States</t>
        </is>
      </c>
      <c r="P493" s="4" t="inlineStr">
        <is>
          <t>United States</t>
        </is>
      </c>
      <c r="Q493" s="4" t="inlineStr">
        <is>
          <t>Friendly</t>
        </is>
      </c>
      <c r="R493" s="3" t="n">
        <v>422.679</v>
      </c>
      <c r="S493" s="3" t="n">
        <v>-30.5239</v>
      </c>
      <c r="T493" s="4" t="inlineStr">
        <is>
          <t>PE Buyout, Company Takeover, Private Equity, Going Private</t>
        </is>
      </c>
      <c r="U493" s="2" t="inlineStr">
        <is>
          <t>No</t>
        </is>
      </c>
      <c r="V493" s="2" t="inlineStr">
        <is>
          <t>No</t>
        </is>
      </c>
      <c r="W493" s="2" t="inlineStr">
        <is>
          <t>No</t>
        </is>
      </c>
      <c r="X493" s="2" t="inlineStr">
        <is>
          <t>Yes</t>
        </is>
      </c>
      <c r="Y493" s="2" t="inlineStr">
        <is>
          <t>Yes</t>
        </is>
      </c>
      <c r="Z493" s="2" t="inlineStr">
        <is>
          <t>No</t>
        </is>
      </c>
      <c r="AA493" s="6" t="n">
        <v>3.699329451</v>
      </c>
      <c r="AB493" s="6" t="n">
        <v>2.626010671</v>
      </c>
      <c r="AC493" s="6" t="n">
        <v>3.701673308</v>
      </c>
      <c r="AD493">
        <f t="array" ref="AD493">IF(SUMPRODUCT(--($AM$2:$AM$112=TRIM(LEFT($B493,IFERROR(FIND(" ",$B493)-1,LEN($B493))))))&gt;0,1,0)</f>
        <v/>
      </c>
      <c r="AE493">
        <f t="array" ref="AE493">IF(SUMPRODUCT(--($AO$2:$AO$145=TRIM(LEFT($B493,IFERROR(FIND(" ",$B493)-1,LEN($B493))))))&gt;0,1,0)</f>
        <v/>
      </c>
      <c r="AF493">
        <f t="array" ref="AF493">IF(SUMPRODUCT(--($AQ$2:$AQ$71=TRIM(LEFT($B493,IFERROR(FIND(" ",$B493)-1,LEN($B493))))))&gt;0,1,0)</f>
        <v/>
      </c>
    </row>
    <row r="494" ht="225.75" customHeight="1" thickBot="1">
      <c r="A494" s="13" t="n">
        <v>66</v>
      </c>
      <c r="B494" s="4" t="inlineStr">
        <is>
          <t>CDK US</t>
        </is>
      </c>
      <c r="C494" s="4" t="inlineStr">
        <is>
          <t>BN CN</t>
        </is>
      </c>
      <c r="D494" s="7" t="n">
        <v>44658</v>
      </c>
      <c r="E494" s="3" t="n">
        <v>8122.15</v>
      </c>
      <c r="F494" s="4" t="inlineStr">
        <is>
          <t>Cash</t>
        </is>
      </c>
      <c r="G494" s="3" t="n">
        <v>14.39</v>
      </c>
      <c r="H494" s="4" t="inlineStr">
        <is>
          <t>Technology</t>
        </is>
      </c>
      <c r="I494" s="4" t="inlineStr">
        <is>
          <t>Software &amp; Tech Services</t>
        </is>
      </c>
      <c r="J494" s="4" t="inlineStr">
        <is>
          <t>Software</t>
        </is>
      </c>
      <c r="K494" s="4" t="n"/>
      <c r="L494" s="4" t="n"/>
      <c r="M494" s="3" t="n">
        <v>14.18</v>
      </c>
      <c r="N494" s="3" t="n">
        <v>6407.95</v>
      </c>
      <c r="O494" s="4" t="inlineStr">
        <is>
          <t>United States</t>
        </is>
      </c>
      <c r="P494" s="4" t="inlineStr">
        <is>
          <t>Canada</t>
        </is>
      </c>
      <c r="Q494" s="4" t="inlineStr">
        <is>
          <t>Friendly</t>
        </is>
      </c>
      <c r="R494" s="3" t="n">
        <v>1673.2</v>
      </c>
      <c r="S494" s="3" t="n">
        <v>25.3345</v>
      </c>
      <c r="T494" s="4" t="inlineStr">
        <is>
          <t>Private Equity, PE Buyout, Company Takeover, Cross Border, Tender Offer, Squeeze out, Going Private</t>
        </is>
      </c>
      <c r="U494" s="2" t="inlineStr">
        <is>
          <t>No</t>
        </is>
      </c>
      <c r="V494" s="2" t="inlineStr">
        <is>
          <t>No</t>
        </is>
      </c>
      <c r="W494" s="2" t="inlineStr">
        <is>
          <t>Yes</t>
        </is>
      </c>
      <c r="X494" s="2" t="inlineStr">
        <is>
          <t>Yes</t>
        </is>
      </c>
      <c r="Y494" s="2" t="inlineStr">
        <is>
          <t>Yes</t>
        </is>
      </c>
      <c r="Z494" s="2" t="inlineStr">
        <is>
          <t>Yes</t>
        </is>
      </c>
      <c r="AA494" s="6" t="n">
        <v>3.909671006</v>
      </c>
      <c r="AB494" s="6" t="n">
        <v>3.223547856</v>
      </c>
      <c r="AC494" s="6" t="n">
        <v>3.806719114</v>
      </c>
      <c r="AD494">
        <f t="array" ref="AD494">IF(SUMPRODUCT(--($AM$2:$AM$112=TRIM(LEFT($B494,IFERROR(FIND(" ",$B494)-1,LEN($B494))))))&gt;0,1,0)</f>
        <v/>
      </c>
      <c r="AE494">
        <f t="array" ref="AE494">IF(SUMPRODUCT(--($AO$2:$AO$145=TRIM(LEFT($B494,IFERROR(FIND(" ",$B494)-1,LEN($B494))))))&gt;0,1,0)</f>
        <v/>
      </c>
      <c r="AF494">
        <f t="array" ref="AF494">IF(SUMPRODUCT(--($AQ$2:$AQ$71=TRIM(LEFT($B494,IFERROR(FIND(" ",$B494)-1,LEN($B494))))))&gt;0,1,0)</f>
        <v/>
      </c>
    </row>
    <row r="495" ht="75.75" customHeight="1" thickBot="1">
      <c r="A495" s="13" t="n">
        <v>147</v>
      </c>
      <c r="B495" s="4" t="inlineStr">
        <is>
          <t>CCMP US</t>
        </is>
      </c>
      <c r="C495" s="4" t="inlineStr">
        <is>
          <t>ENTG US</t>
        </is>
      </c>
      <c r="D495" s="7" t="n">
        <v>44545</v>
      </c>
      <c r="E495" s="3" t="n">
        <v>6473.22</v>
      </c>
      <c r="F495" s="4" t="inlineStr">
        <is>
          <t>Cash and Stock</t>
        </is>
      </c>
      <c r="G495" s="3" t="n">
        <v>51.71</v>
      </c>
      <c r="H495" s="4" t="inlineStr">
        <is>
          <t>Technology</t>
        </is>
      </c>
      <c r="I495" s="4" t="inlineStr">
        <is>
          <t>Tech Hardware &amp; Semiconductors</t>
        </is>
      </c>
      <c r="J495" s="4" t="inlineStr">
        <is>
          <t>Semiconductors</t>
        </is>
      </c>
      <c r="K495" s="4" t="n"/>
      <c r="L495" s="4" t="n"/>
      <c r="M495" s="3" t="n">
        <v>41.61</v>
      </c>
      <c r="N495" s="3" t="n">
        <v>5699.99</v>
      </c>
      <c r="O495" s="4" t="inlineStr">
        <is>
          <t>United States</t>
        </is>
      </c>
      <c r="P495" s="4" t="inlineStr">
        <is>
          <t>United States</t>
        </is>
      </c>
      <c r="Q495" s="4" t="inlineStr">
        <is>
          <t>Friendly</t>
        </is>
      </c>
      <c r="R495" s="3" t="n">
        <v>1199.83</v>
      </c>
      <c r="S495" s="3" t="n">
        <v>15.0875</v>
      </c>
      <c r="T495" s="4" t="inlineStr">
        <is>
          <t>Company Takeover</t>
        </is>
      </c>
      <c r="U495" s="2" t="inlineStr">
        <is>
          <t>No</t>
        </is>
      </c>
      <c r="V495" s="2" t="inlineStr">
        <is>
          <t>No</t>
        </is>
      </c>
      <c r="W495" s="2" t="inlineStr">
        <is>
          <t>No</t>
        </is>
      </c>
      <c r="X495" s="2" t="inlineStr">
        <is>
          <t>No</t>
        </is>
      </c>
      <c r="Y495" s="2" t="inlineStr">
        <is>
          <t>No</t>
        </is>
      </c>
      <c r="Z495" s="2" t="inlineStr">
        <is>
          <t>No</t>
        </is>
      </c>
      <c r="AA495" s="6" t="n">
        <v>3.811120367</v>
      </c>
      <c r="AB495" s="6" t="n">
        <v>3.079119717</v>
      </c>
      <c r="AC495" s="6" t="n">
        <v>3.755874094</v>
      </c>
      <c r="AD495">
        <f t="array" ref="AD495">IF(SUMPRODUCT(--($AM$2:$AM$112=TRIM(LEFT($B495,IFERROR(FIND(" ",$B495)-1,LEN($B495))))))&gt;0,1,0)</f>
        <v/>
      </c>
      <c r="AE495">
        <f t="array" ref="AE495">IF(SUMPRODUCT(--($AO$2:$AO$145=TRIM(LEFT($B495,IFERROR(FIND(" ",$B495)-1,LEN($B495))))))&gt;0,1,0)</f>
        <v/>
      </c>
      <c r="AF495">
        <f t="array" ref="AF495">IF(SUMPRODUCT(--($AQ$2:$AQ$71=TRIM(LEFT($B495,IFERROR(FIND(" ",$B495)-1,LEN($B495))))))&gt;0,1,0)</f>
        <v/>
      </c>
    </row>
    <row r="496" ht="60.75" customHeight="1" thickBot="1">
      <c r="A496" s="13" t="n">
        <v>73</v>
      </c>
      <c r="B496" s="4" t="inlineStr">
        <is>
          <t>2592541D US</t>
        </is>
      </c>
      <c r="C496" s="4" t="inlineStr">
        <is>
          <t>MATV US</t>
        </is>
      </c>
      <c r="D496" s="7" t="n">
        <v>44648</v>
      </c>
      <c r="E496" s="3" t="n">
        <v>1136.8</v>
      </c>
      <c r="F496" s="4" t="inlineStr">
        <is>
          <t>Stock</t>
        </is>
      </c>
      <c r="G496" s="3" t="n">
        <v>32.2</v>
      </c>
      <c r="H496" s="4" t="inlineStr">
        <is>
          <t>Materials</t>
        </is>
      </c>
      <c r="I496" s="4" t="inlineStr">
        <is>
          <t>Materials</t>
        </is>
      </c>
      <c r="J496" s="4" t="inlineStr">
        <is>
          <t>Forestry, Paper &amp; Wood Products</t>
        </is>
      </c>
      <c r="K496" s="3" t="n">
        <v>24</v>
      </c>
      <c r="L496" s="3" t="n">
        <v>24</v>
      </c>
      <c r="M496" s="3" t="n">
        <v>10.41</v>
      </c>
      <c r="N496" s="3" t="n">
        <v>679</v>
      </c>
      <c r="O496" s="4" t="inlineStr">
        <is>
          <t>United States</t>
        </is>
      </c>
      <c r="P496" s="4" t="inlineStr">
        <is>
          <t>United States</t>
        </is>
      </c>
      <c r="Q496" s="4" t="inlineStr">
        <is>
          <t>Friendly</t>
        </is>
      </c>
      <c r="R496" s="3" t="n">
        <v>2026</v>
      </c>
      <c r="S496" s="3" t="n">
        <v>-1.21513</v>
      </c>
      <c r="T496" s="4" t="inlineStr">
        <is>
          <t>Company Takeover</t>
        </is>
      </c>
      <c r="U496" s="2" t="inlineStr">
        <is>
          <t>No</t>
        </is>
      </c>
      <c r="V496" s="2" t="inlineStr">
        <is>
          <t>No</t>
        </is>
      </c>
      <c r="W496" s="2" t="inlineStr">
        <is>
          <t>No</t>
        </is>
      </c>
      <c r="X496" s="2" t="inlineStr">
        <is>
          <t>No</t>
        </is>
      </c>
      <c r="Y496" s="2" t="inlineStr">
        <is>
          <t>No</t>
        </is>
      </c>
      <c r="Z496" s="2" t="inlineStr">
        <is>
          <t>No</t>
        </is>
      </c>
      <c r="AA496" s="6" t="n">
        <v>3.055684065</v>
      </c>
      <c r="AB496" s="6" t="n">
        <v>3.306639441</v>
      </c>
      <c r="AC496" s="6" t="n">
        <v>2.831869774</v>
      </c>
      <c r="AD496">
        <f t="array" ref="AD496">IF(SUMPRODUCT(--($AM$2:$AM$112=TRIM(LEFT($B496,IFERROR(FIND(" ",$B496)-1,LEN($B496))))))&gt;0,1,0)</f>
        <v/>
      </c>
      <c r="AE496">
        <f t="array" ref="AE496">IF(SUMPRODUCT(--($AO$2:$AO$145=TRIM(LEFT($B496,IFERROR(FIND(" ",$B496)-1,LEN($B496))))))&gt;0,1,0)</f>
        <v/>
      </c>
      <c r="AF496">
        <f t="array" ref="AF496">IF(SUMPRODUCT(--($AQ$2:$AQ$71=TRIM(LEFT($B496,IFERROR(FIND(" ",$B496)-1,LEN($B496))))))&gt;0,1,0)</f>
        <v/>
      </c>
    </row>
    <row r="497" ht="75.75" customHeight="1" thickBot="1">
      <c r="A497" s="13" t="n">
        <v>334</v>
      </c>
      <c r="B497" s="4" t="inlineStr">
        <is>
          <t>2150994D US</t>
        </is>
      </c>
      <c r="C497" s="4" t="inlineStr">
        <is>
          <t>COHR US</t>
        </is>
      </c>
      <c r="D497" s="7" t="n">
        <v>44280</v>
      </c>
      <c r="E497" s="3" t="n">
        <v>7033.9</v>
      </c>
      <c r="F497" s="4" t="inlineStr">
        <is>
          <t>Cash and Stock</t>
        </is>
      </c>
      <c r="G497" s="4" t="n"/>
      <c r="H497" s="4" t="inlineStr">
        <is>
          <t>Technology</t>
        </is>
      </c>
      <c r="I497" s="4" t="inlineStr">
        <is>
          <t>Tech Hardware &amp; Semiconductors</t>
        </is>
      </c>
      <c r="J497" s="4" t="inlineStr">
        <is>
          <t>Semiconductors</t>
        </is>
      </c>
      <c r="K497" s="3" t="n">
        <v>108.8</v>
      </c>
      <c r="L497" s="3" t="n">
        <v>337.7</v>
      </c>
      <c r="M497" s="4" t="n"/>
      <c r="N497" s="3" t="n">
        <v>7040.89</v>
      </c>
      <c r="O497" s="4" t="inlineStr">
        <is>
          <t>United States</t>
        </is>
      </c>
      <c r="P497" s="4" t="inlineStr">
        <is>
          <t>United States</t>
        </is>
      </c>
      <c r="Q497" s="4" t="inlineStr">
        <is>
          <t>Unsolicited to Friendly</t>
        </is>
      </c>
      <c r="R497" s="3" t="n">
        <v>1487.47</v>
      </c>
      <c r="S497" s="3" t="n">
        <v>11.5607</v>
      </c>
      <c r="T497" s="4" t="inlineStr">
        <is>
          <t>Competing Bid, Company Takeover</t>
        </is>
      </c>
      <c r="U497" s="2" t="inlineStr">
        <is>
          <t>No</t>
        </is>
      </c>
      <c r="V497" s="2" t="inlineStr">
        <is>
          <t>Yes</t>
        </is>
      </c>
      <c r="W497" s="2" t="inlineStr">
        <is>
          <t>No</t>
        </is>
      </c>
      <c r="X497" s="2" t="inlineStr">
        <is>
          <t>No</t>
        </is>
      </c>
      <c r="Y497" s="2" t="inlineStr">
        <is>
          <t>No</t>
        </is>
      </c>
      <c r="Z497" s="2" t="inlineStr">
        <is>
          <t>No</t>
        </is>
      </c>
      <c r="AA497" s="6" t="n">
        <v>3.84719619</v>
      </c>
      <c r="AB497" s="6" t="n">
        <v>3.172448215</v>
      </c>
      <c r="AC497" s="6" t="n">
        <v>3.847627559</v>
      </c>
      <c r="AD497">
        <f t="array" ref="AD497">IF(SUMPRODUCT(--($AM$2:$AM$112=TRIM(LEFT($B497,IFERROR(FIND(" ",$B497)-1,LEN($B497))))))&gt;0,1,0)</f>
        <v/>
      </c>
      <c r="AE497">
        <f t="array" ref="AE497">IF(SUMPRODUCT(--($AO$2:$AO$145=TRIM(LEFT($B497,IFERROR(FIND(" ",$B497)-1,LEN($B497))))))&gt;0,1,0)</f>
        <v/>
      </c>
      <c r="AF497">
        <f t="array" ref="AF497">IF(SUMPRODUCT(--($AQ$2:$AQ$71=TRIM(LEFT($B497,IFERROR(FIND(" ",$B497)-1,LEN($B497))))))&gt;0,1,0)</f>
        <v/>
      </c>
    </row>
    <row r="498" ht="165.75" customHeight="1" thickBot="1">
      <c r="A498" s="13" t="n">
        <v>60</v>
      </c>
      <c r="B498" s="4" t="inlineStr">
        <is>
          <t>SRRA US</t>
        </is>
      </c>
      <c r="C498" s="4" t="inlineStr">
        <is>
          <t>GSK LN</t>
        </is>
      </c>
      <c r="D498" s="7" t="n">
        <v>44664</v>
      </c>
      <c r="E498" s="3" t="n">
        <v>1081.49</v>
      </c>
      <c r="F498" s="4" t="inlineStr">
        <is>
          <t>Cash</t>
        </is>
      </c>
      <c r="G498" s="4" t="n"/>
      <c r="H498" s="4" t="inlineStr">
        <is>
          <t>Health Care</t>
        </is>
      </c>
      <c r="I498" s="4" t="inlineStr">
        <is>
          <t>Health Care</t>
        </is>
      </c>
      <c r="J498" s="4" t="inlineStr">
        <is>
          <t>Biotech &amp; Pharma</t>
        </is>
      </c>
      <c r="K498" s="4" t="n"/>
      <c r="L498" s="4" t="n"/>
      <c r="M498" s="3" t="n">
        <v>55.53</v>
      </c>
      <c r="N498" s="3" t="n">
        <v>1349.41</v>
      </c>
      <c r="O498" s="4" t="inlineStr">
        <is>
          <t>Canada</t>
        </is>
      </c>
      <c r="P498" s="4" t="inlineStr">
        <is>
          <t>United Kingdom</t>
        </is>
      </c>
      <c r="Q498" s="4" t="inlineStr">
        <is>
          <t>Friendly</t>
        </is>
      </c>
      <c r="R498" s="2" t="n"/>
      <c r="S498" s="2" t="n"/>
      <c r="T498" s="4" t="inlineStr">
        <is>
          <t>Cross Border, Company Takeover, PE Buyout, Going Private, Private Equity</t>
        </is>
      </c>
      <c r="U498" s="2" t="inlineStr">
        <is>
          <t>No</t>
        </is>
      </c>
      <c r="V498" s="2" t="inlineStr">
        <is>
          <t>No</t>
        </is>
      </c>
      <c r="W498" s="2" t="inlineStr">
        <is>
          <t>Yes</t>
        </is>
      </c>
      <c r="X498" s="2" t="inlineStr">
        <is>
          <t>Yes</t>
        </is>
      </c>
      <c r="Y498" s="2" t="inlineStr">
        <is>
          <t>Yes</t>
        </is>
      </c>
      <c r="Z498" s="2" t="inlineStr">
        <is>
          <t>No</t>
        </is>
      </c>
      <c r="AA498" s="6" t="n">
        <v>3.034022508</v>
      </c>
      <c r="AB498" s="2" t="n"/>
      <c r="AC498" s="6" t="n">
        <v>3.130143924</v>
      </c>
      <c r="AD498">
        <f t="array" ref="AD498">IF(SUMPRODUCT(--($AM$2:$AM$112=TRIM(LEFT($B498,IFERROR(FIND(" ",$B498)-1,LEN($B498))))))&gt;0,1,0)</f>
        <v/>
      </c>
      <c r="AE498">
        <f t="array" ref="AE498">IF(SUMPRODUCT(--($AO$2:$AO$145=TRIM(LEFT($B498,IFERROR(FIND(" ",$B498)-1,LEN($B498))))))&gt;0,1,0)</f>
        <v/>
      </c>
      <c r="AF498">
        <f t="array" ref="AF498">IF(SUMPRODUCT(--($AQ$2:$AQ$71=TRIM(LEFT($B498,IFERROR(FIND(" ",$B498)-1,LEN($B498))))))&gt;0,1,0)</f>
        <v/>
      </c>
    </row>
    <row r="499" ht="45.75" customHeight="1" thickBot="1">
      <c r="A499" s="13" t="n">
        <v>85</v>
      </c>
      <c r="B499" s="4" t="inlineStr">
        <is>
          <t>WLL US</t>
        </is>
      </c>
      <c r="C499" s="4" t="inlineStr">
        <is>
          <t>CHRD US</t>
        </is>
      </c>
      <c r="D499" s="7" t="n">
        <v>44627</v>
      </c>
      <c r="E499" s="3" t="n">
        <v>3247</v>
      </c>
      <c r="F499" s="4" t="inlineStr">
        <is>
          <t>Cash and Stock</t>
        </is>
      </c>
      <c r="G499" s="3" t="n">
        <v>2.77</v>
      </c>
      <c r="H499" s="4" t="inlineStr">
        <is>
          <t>Energy</t>
        </is>
      </c>
      <c r="I499" s="4" t="inlineStr">
        <is>
          <t>Oil &amp; Gas</t>
        </is>
      </c>
      <c r="J499" s="4" t="inlineStr">
        <is>
          <t>Oil &amp; Gas Supply Chain</t>
        </is>
      </c>
      <c r="K499" s="4" t="n"/>
      <c r="L499" s="4" t="n"/>
      <c r="M499" s="3" t="n">
        <v>16.28</v>
      </c>
      <c r="N499" s="3" t="n">
        <v>3268.41</v>
      </c>
      <c r="O499" s="4" t="inlineStr">
        <is>
          <t>United States</t>
        </is>
      </c>
      <c r="P499" s="4" t="inlineStr">
        <is>
          <t>United States</t>
        </is>
      </c>
      <c r="Q499" s="4" t="inlineStr">
        <is>
          <t>Friendly</t>
        </is>
      </c>
      <c r="R499" s="3" t="n">
        <v>1533.48</v>
      </c>
      <c r="S499" s="3" t="n">
        <v>41.0097</v>
      </c>
      <c r="T499" s="4" t="inlineStr">
        <is>
          <t>Company Takeover</t>
        </is>
      </c>
      <c r="U499" s="2" t="inlineStr">
        <is>
          <t>No</t>
        </is>
      </c>
      <c r="V499" s="2" t="inlineStr">
        <is>
          <t>No</t>
        </is>
      </c>
      <c r="W499" s="2" t="inlineStr">
        <is>
          <t>No</t>
        </is>
      </c>
      <c r="X499" s="2" t="inlineStr">
        <is>
          <t>No</t>
        </is>
      </c>
      <c r="Y499" s="2" t="inlineStr">
        <is>
          <t>No</t>
        </is>
      </c>
      <c r="Z499" s="2" t="inlineStr">
        <is>
          <t>No</t>
        </is>
      </c>
      <c r="AA499" s="6" t="n">
        <v>3.511482289</v>
      </c>
      <c r="AB499" s="6" t="n">
        <v>3.185678116</v>
      </c>
      <c r="AC499" s="6" t="n">
        <v>3.514336531</v>
      </c>
      <c r="AD499">
        <f t="array" ref="AD499">IF(SUMPRODUCT(--($AM$2:$AM$112=TRIM(LEFT($B499,IFERROR(FIND(" ",$B499)-1,LEN($B499))))))&gt;0,1,0)</f>
        <v/>
      </c>
      <c r="AE499">
        <f t="array" ref="AE499">IF(SUMPRODUCT(--($AO$2:$AO$145=TRIM(LEFT($B499,IFERROR(FIND(" ",$B499)-1,LEN($B499))))))&gt;0,1,0)</f>
        <v/>
      </c>
      <c r="AF499">
        <f t="array" ref="AF499">IF(SUMPRODUCT(--($AQ$2:$AQ$71=TRIM(LEFT($B499,IFERROR(FIND(" ",$B499)-1,LEN($B499))))))&gt;0,1,0)</f>
        <v/>
      </c>
    </row>
    <row r="500" ht="135.75" customHeight="1" thickBot="1">
      <c r="A500" s="13" t="n">
        <v>62</v>
      </c>
      <c r="B500" s="4" t="inlineStr">
        <is>
          <t>TVTY US</t>
        </is>
      </c>
      <c r="C500" s="4" t="inlineStr">
        <is>
          <t>574765Z US</t>
        </is>
      </c>
      <c r="D500" s="7" t="n">
        <v>44656</v>
      </c>
      <c r="E500" s="3" t="n">
        <v>1912</v>
      </c>
      <c r="F500" s="4" t="inlineStr">
        <is>
          <t>Cash</t>
        </is>
      </c>
      <c r="G500" s="3" t="n">
        <v>12.57</v>
      </c>
      <c r="H500" s="4" t="inlineStr">
        <is>
          <t>Health Care</t>
        </is>
      </c>
      <c r="I500" s="4" t="inlineStr">
        <is>
          <t>Health Care</t>
        </is>
      </c>
      <c r="J500" s="4" t="inlineStr">
        <is>
          <t>Health Care Facilities &amp; Svcs</t>
        </is>
      </c>
      <c r="K500" s="4" t="n"/>
      <c r="L500" s="4" t="n"/>
      <c r="M500" s="3" t="n">
        <v>7.24</v>
      </c>
      <c r="N500" s="3" t="n">
        <v>1619.26</v>
      </c>
      <c r="O500" s="4" t="inlineStr">
        <is>
          <t>United States</t>
        </is>
      </c>
      <c r="P500" s="4" t="inlineStr">
        <is>
          <t>United States</t>
        </is>
      </c>
      <c r="Q500" s="4" t="inlineStr">
        <is>
          <t>Friendly</t>
        </is>
      </c>
      <c r="R500" s="3" t="n">
        <v>481.252</v>
      </c>
      <c r="S500" s="3" t="n">
        <v>27.6426</v>
      </c>
      <c r="T500" s="4" t="inlineStr">
        <is>
          <t>Company Takeover, Private Equity, PE Buyout, Going Private</t>
        </is>
      </c>
      <c r="U500" s="2" t="inlineStr">
        <is>
          <t>No</t>
        </is>
      </c>
      <c r="V500" s="2" t="inlineStr">
        <is>
          <t>No</t>
        </is>
      </c>
      <c r="W500" s="2" t="inlineStr">
        <is>
          <t>No</t>
        </is>
      </c>
      <c r="X500" s="2" t="inlineStr">
        <is>
          <t>Yes</t>
        </is>
      </c>
      <c r="Y500" s="2" t="inlineStr">
        <is>
          <t>Yes</t>
        </is>
      </c>
      <c r="Z500" s="2" t="inlineStr">
        <is>
          <t>No</t>
        </is>
      </c>
      <c r="AA500" s="6" t="n">
        <v>3.281487888</v>
      </c>
      <c r="AB500" s="6" t="n">
        <v>2.682372547</v>
      </c>
      <c r="AC500" s="6" t="n">
        <v>3.209316588</v>
      </c>
      <c r="AD500">
        <f t="array" ref="AD500">IF(SUMPRODUCT(--($AM$2:$AM$112=TRIM(LEFT($B500,IFERROR(FIND(" ",$B500)-1,LEN($B500))))))&gt;0,1,0)</f>
        <v/>
      </c>
      <c r="AE500">
        <f t="array" ref="AE500">IF(SUMPRODUCT(--($AO$2:$AO$145=TRIM(LEFT($B500,IFERROR(FIND(" ",$B500)-1,LEN($B500))))))&gt;0,1,0)</f>
        <v/>
      </c>
      <c r="AF500">
        <f t="array" ref="AF500">IF(SUMPRODUCT(--($AQ$2:$AQ$71=TRIM(LEFT($B500,IFERROR(FIND(" ",$B500)-1,LEN($B500))))))&gt;0,1,0)</f>
        <v/>
      </c>
    </row>
    <row r="501" ht="165.75" customHeight="1" thickBot="1">
      <c r="A501" s="13" t="n">
        <v>81</v>
      </c>
      <c r="B501" s="4" t="inlineStr">
        <is>
          <t>ITP CN</t>
        </is>
      </c>
      <c r="C501" s="4" t="inlineStr">
        <is>
          <t>8376046Z US</t>
        </is>
      </c>
      <c r="D501" s="7" t="n">
        <v>44628</v>
      </c>
      <c r="E501" s="3" t="n">
        <v>2450.51</v>
      </c>
      <c r="F501" s="4" t="inlineStr">
        <is>
          <t>Cash</t>
        </is>
      </c>
      <c r="G501" s="3" t="n">
        <v>11.32</v>
      </c>
      <c r="H501" s="4" t="inlineStr">
        <is>
          <t>Materials</t>
        </is>
      </c>
      <c r="I501" s="4" t="inlineStr">
        <is>
          <t>Materials</t>
        </is>
      </c>
      <c r="J501" s="4" t="inlineStr">
        <is>
          <t>Containers &amp; Packaging</t>
        </is>
      </c>
      <c r="K501" s="4" t="n"/>
      <c r="L501" s="4" t="n"/>
      <c r="M501" s="3" t="n">
        <v>67.31999999999999</v>
      </c>
      <c r="N501" s="3" t="n">
        <v>1863.69</v>
      </c>
      <c r="O501" s="4" t="inlineStr">
        <is>
          <t>Canada</t>
        </is>
      </c>
      <c r="P501" s="4" t="inlineStr">
        <is>
          <t>United States</t>
        </is>
      </c>
      <c r="Q501" s="4" t="inlineStr">
        <is>
          <t>Friendly</t>
        </is>
      </c>
      <c r="R501" s="3" t="n">
        <v>1531.47</v>
      </c>
      <c r="S501" s="3" t="n">
        <v>4.08152</v>
      </c>
      <c r="T501" s="4" t="inlineStr">
        <is>
          <t>Cross Border, Company Takeover, Private Equity, PE Buyout, Going Private</t>
        </is>
      </c>
      <c r="U501" s="2" t="inlineStr">
        <is>
          <t>No</t>
        </is>
      </c>
      <c r="V501" s="2" t="inlineStr">
        <is>
          <t>No</t>
        </is>
      </c>
      <c r="W501" s="2" t="inlineStr">
        <is>
          <t>Yes</t>
        </is>
      </c>
      <c r="X501" s="2" t="inlineStr">
        <is>
          <t>Yes</t>
        </is>
      </c>
      <c r="Y501" s="2" t="inlineStr">
        <is>
          <t>Yes</t>
        </is>
      </c>
      <c r="Z501" s="2" t="inlineStr">
        <is>
          <t>No</t>
        </is>
      </c>
      <c r="AA501" s="6" t="n">
        <v>3.389256479</v>
      </c>
      <c r="AB501" s="6" t="n">
        <v>3.185108494</v>
      </c>
      <c r="AC501" s="6" t="n">
        <v>3.270373675</v>
      </c>
      <c r="AD501">
        <f t="array" ref="AD501">IF(SUMPRODUCT(--($AM$2:$AM$112=TRIM(LEFT($B501,IFERROR(FIND(" ",$B501)-1,LEN($B501))))))&gt;0,1,0)</f>
        <v/>
      </c>
      <c r="AE501">
        <f t="array" ref="AE501">IF(SUMPRODUCT(--($AO$2:$AO$145=TRIM(LEFT($B501,IFERROR(FIND(" ",$B501)-1,LEN($B501))))))&gt;0,1,0)</f>
        <v/>
      </c>
      <c r="AF501">
        <f t="array" ref="AF501">IF(SUMPRODUCT(--($AQ$2:$AQ$71=TRIM(LEFT($B501,IFERROR(FIND(" ",$B501)-1,LEN($B501))))))&gt;0,1,0)</f>
        <v/>
      </c>
    </row>
    <row r="502" ht="135.75" customHeight="1" thickBot="1">
      <c r="A502" s="13" t="n">
        <v>93</v>
      </c>
      <c r="B502" s="4" t="inlineStr">
        <is>
          <t>APTS US</t>
        </is>
      </c>
      <c r="C502" s="4" t="inlineStr">
        <is>
          <t>BX US</t>
        </is>
      </c>
      <c r="D502" s="7" t="n">
        <v>44608</v>
      </c>
      <c r="E502" s="3" t="n">
        <v>3653.67</v>
      </c>
      <c r="F502" s="4" t="inlineStr">
        <is>
          <t>Cash</t>
        </is>
      </c>
      <c r="G502" s="3" t="n">
        <v>13.45</v>
      </c>
      <c r="H502" s="4" t="inlineStr">
        <is>
          <t>Real Estate</t>
        </is>
      </c>
      <c r="I502" s="4" t="inlineStr">
        <is>
          <t>Real Estate</t>
        </is>
      </c>
      <c r="J502" s="4" t="inlineStr">
        <is>
          <t>REIT</t>
        </is>
      </c>
      <c r="K502" s="4" t="n"/>
      <c r="L502" s="4" t="n"/>
      <c r="M502" s="3" t="n">
        <v>37.74</v>
      </c>
      <c r="N502" s="3" t="n">
        <v>1323.65</v>
      </c>
      <c r="O502" s="4" t="inlineStr">
        <is>
          <t>United States</t>
        </is>
      </c>
      <c r="P502" s="4" t="inlineStr">
        <is>
          <t>United States</t>
        </is>
      </c>
      <c r="Q502" s="4" t="inlineStr">
        <is>
          <t>Friendly</t>
        </is>
      </c>
      <c r="R502" s="3" t="n">
        <v>451.142</v>
      </c>
      <c r="S502" s="3" t="n">
        <v>21.4945</v>
      </c>
      <c r="T502" s="4" t="inlineStr">
        <is>
          <t>Company Takeover, Private Equity, PE Buyout, Going Private</t>
        </is>
      </c>
      <c r="U502" s="2" t="inlineStr">
        <is>
          <t>No</t>
        </is>
      </c>
      <c r="V502" s="2" t="inlineStr">
        <is>
          <t>No</t>
        </is>
      </c>
      <c r="W502" s="2" t="inlineStr">
        <is>
          <t>No</t>
        </is>
      </c>
      <c r="X502" s="2" t="inlineStr">
        <is>
          <t>Yes</t>
        </is>
      </c>
      <c r="Y502" s="2" t="inlineStr">
        <is>
          <t>Yes</t>
        </is>
      </c>
      <c r="Z502" s="2" t="inlineStr">
        <is>
          <t>No</t>
        </is>
      </c>
      <c r="AA502" s="6" t="n">
        <v>3.562729319</v>
      </c>
      <c r="AB502" s="6" t="n">
        <v>2.654313261</v>
      </c>
      <c r="AC502" s="6" t="n">
        <v>3.121773164</v>
      </c>
      <c r="AD502">
        <f t="array" ref="AD502">IF(SUMPRODUCT(--($AM$2:$AM$112=TRIM(LEFT($B502,IFERROR(FIND(" ",$B502)-1,LEN($B502))))))&gt;0,1,0)</f>
        <v/>
      </c>
      <c r="AE502">
        <f t="array" ref="AE502">IF(SUMPRODUCT(--($AO$2:$AO$145=TRIM(LEFT($B502,IFERROR(FIND(" ",$B502)-1,LEN($B502))))))&gt;0,1,0)</f>
        <v/>
      </c>
      <c r="AF502">
        <f t="array" ref="AF502">IF(SUMPRODUCT(--($AQ$2:$AQ$71=TRIM(LEFT($B502,IFERROR(FIND(" ",$B502)-1,LEN($B502))))))&gt;0,1,0)</f>
        <v/>
      </c>
    </row>
    <row r="503" ht="75.75" customHeight="1" thickBot="1">
      <c r="A503" s="13" t="n">
        <v>54</v>
      </c>
      <c r="B503" s="4" t="inlineStr">
        <is>
          <t>MSP US</t>
        </is>
      </c>
      <c r="C503" s="4" t="inlineStr">
        <is>
          <t>1651738D US</t>
        </is>
      </c>
      <c r="D503" s="7" t="n">
        <v>44662</v>
      </c>
      <c r="E503" s="3" t="n">
        <v>5640.04</v>
      </c>
      <c r="F503" s="4" t="inlineStr">
        <is>
          <t>Cash</t>
        </is>
      </c>
      <c r="G503" s="3" t="n">
        <v>41.22</v>
      </c>
      <c r="H503" s="4" t="inlineStr">
        <is>
          <t>Technology</t>
        </is>
      </c>
      <c r="I503" s="4" t="inlineStr">
        <is>
          <t>Software &amp; Tech Services</t>
        </is>
      </c>
      <c r="J503" s="4" t="inlineStr">
        <is>
          <t>Software</t>
        </is>
      </c>
      <c r="K503" s="4" t="n"/>
      <c r="L503" s="4" t="n"/>
      <c r="M503" s="3" t="n">
        <v>35.25</v>
      </c>
      <c r="N503" s="3" t="n">
        <v>5830.13</v>
      </c>
      <c r="O503" s="4" t="inlineStr">
        <is>
          <t>United States</t>
        </is>
      </c>
      <c r="P503" s="4" t="inlineStr">
        <is>
          <t>United States</t>
        </is>
      </c>
      <c r="Q503" s="4" t="inlineStr">
        <is>
          <t>Friendly</t>
        </is>
      </c>
      <c r="R503" s="3" t="n">
        <v>618.657</v>
      </c>
      <c r="S503" s="3" t="n">
        <v>7.67848</v>
      </c>
      <c r="T503" s="4" t="inlineStr">
        <is>
          <t>Company Takeover, Going Private</t>
        </is>
      </c>
      <c r="U503" s="2" t="inlineStr">
        <is>
          <t>No</t>
        </is>
      </c>
      <c r="V503" s="2" t="inlineStr">
        <is>
          <t>No</t>
        </is>
      </c>
      <c r="W503" s="2" t="inlineStr">
        <is>
          <t>No</t>
        </is>
      </c>
      <c r="X503" s="2" t="inlineStr">
        <is>
          <t>Yes</t>
        </is>
      </c>
      <c r="Y503" s="2" t="inlineStr">
        <is>
          <t>No</t>
        </is>
      </c>
      <c r="Z503" s="2" t="inlineStr">
        <is>
          <t>No</t>
        </is>
      </c>
      <c r="AA503" s="6" t="n">
        <v>3.751282184</v>
      </c>
      <c r="AB503" s="6" t="n">
        <v>2.791449931</v>
      </c>
      <c r="AC503" s="6" t="n">
        <v>3.765678239</v>
      </c>
      <c r="AD503">
        <f t="array" ref="AD503">IF(SUMPRODUCT(--($AM$2:$AM$112=TRIM(LEFT($B503,IFERROR(FIND(" ",$B503)-1,LEN($B503))))))&gt;0,1,0)</f>
        <v/>
      </c>
      <c r="AE503">
        <f t="array" ref="AE503">IF(SUMPRODUCT(--($AO$2:$AO$145=TRIM(LEFT($B503,IFERROR(FIND(" ",$B503)-1,LEN($B503))))))&gt;0,1,0)</f>
        <v/>
      </c>
      <c r="AF503">
        <f t="array" ref="AF503">IF(SUMPRODUCT(--($AQ$2:$AQ$71=TRIM(LEFT($B503,IFERROR(FIND(" ",$B503)-1,LEN($B503))))))&gt;0,1,0)</f>
        <v/>
      </c>
    </row>
    <row r="504" ht="135.75" customHeight="1" thickBot="1">
      <c r="A504" s="13" t="n">
        <v>68</v>
      </c>
      <c r="B504" s="4" t="inlineStr">
        <is>
          <t>PLAN US</t>
        </is>
      </c>
      <c r="C504" s="4" t="inlineStr">
        <is>
          <t>129626Z US</t>
        </is>
      </c>
      <c r="D504" s="7" t="n">
        <v>44641</v>
      </c>
      <c r="E504" s="3" t="n">
        <v>9327.25</v>
      </c>
      <c r="F504" s="4" t="inlineStr">
        <is>
          <t>Cash</t>
        </is>
      </c>
      <c r="G504" s="4" t="n"/>
      <c r="H504" s="4" t="inlineStr">
        <is>
          <t>Technology</t>
        </is>
      </c>
      <c r="I504" s="4" t="inlineStr">
        <is>
          <t>Software &amp; Tech Services</t>
        </is>
      </c>
      <c r="J504" s="4" t="inlineStr">
        <is>
          <t>Software</t>
        </is>
      </c>
      <c r="K504" s="4" t="n"/>
      <c r="L504" s="4" t="n"/>
      <c r="M504" s="3" t="n">
        <v>-1.98</v>
      </c>
      <c r="N504" s="3" t="n">
        <v>9575.870000000001</v>
      </c>
      <c r="O504" s="4" t="inlineStr">
        <is>
          <t>United States</t>
        </is>
      </c>
      <c r="P504" s="4" t="inlineStr">
        <is>
          <t>United States</t>
        </is>
      </c>
      <c r="Q504" s="4" t="inlineStr">
        <is>
          <t>Friendly</t>
        </is>
      </c>
      <c r="R504" s="3" t="n">
        <v>592.176</v>
      </c>
      <c r="S504" s="3" t="n">
        <v>-33.4435</v>
      </c>
      <c r="T504" s="4" t="inlineStr">
        <is>
          <t>Company Takeover, PE Buyout, Private Equity, Going Private</t>
        </is>
      </c>
      <c r="U504" s="2" t="inlineStr">
        <is>
          <t>No</t>
        </is>
      </c>
      <c r="V504" s="2" t="inlineStr">
        <is>
          <t>No</t>
        </is>
      </c>
      <c r="W504" s="2" t="inlineStr">
        <is>
          <t>No</t>
        </is>
      </c>
      <c r="X504" s="2" t="inlineStr">
        <is>
          <t>Yes</t>
        </is>
      </c>
      <c r="Y504" s="2" t="inlineStr">
        <is>
          <t>Yes</t>
        </is>
      </c>
      <c r="Z504" s="2" t="inlineStr">
        <is>
          <t>No</t>
        </is>
      </c>
      <c r="AA504" s="6" t="n">
        <v>3.969753617</v>
      </c>
      <c r="AB504" s="6" t="n">
        <v>2.772450802</v>
      </c>
      <c r="AC504" s="6" t="n">
        <v>3.981178242</v>
      </c>
      <c r="AD504">
        <f t="array" ref="AD504">IF(SUMPRODUCT(--($AM$2:$AM$112=TRIM(LEFT($B504,IFERROR(FIND(" ",$B504)-1,LEN($B504))))))&gt;0,1,0)</f>
        <v/>
      </c>
      <c r="AE504">
        <f t="array" ref="AE504">IF(SUMPRODUCT(--($AO$2:$AO$145=TRIM(LEFT($B504,IFERROR(FIND(" ",$B504)-1,LEN($B504))))))&gt;0,1,0)</f>
        <v/>
      </c>
      <c r="AF504">
        <f t="array" ref="AF504">IF(SUMPRODUCT(--($AQ$2:$AQ$71=TRIM(LEFT($B504,IFERROR(FIND(" ",$B504)-1,LEN($B504))))))&gt;0,1,0)</f>
        <v/>
      </c>
    </row>
    <row r="505" ht="45.75" customHeight="1" thickBot="1">
      <c r="A505" s="13" t="n">
        <v>77</v>
      </c>
      <c r="B505" s="4" t="inlineStr">
        <is>
          <t>REGI US</t>
        </is>
      </c>
      <c r="C505" s="4" t="inlineStr">
        <is>
          <t>CVX US</t>
        </is>
      </c>
      <c r="D505" s="7" t="n">
        <v>44620</v>
      </c>
      <c r="E505" s="3" t="n">
        <v>2769.66</v>
      </c>
      <c r="F505" s="4" t="inlineStr">
        <is>
          <t>Cash</t>
        </is>
      </c>
      <c r="G505" s="3" t="n">
        <v>8.869999999999999</v>
      </c>
      <c r="H505" s="4" t="inlineStr">
        <is>
          <t>Energy</t>
        </is>
      </c>
      <c r="I505" s="4" t="inlineStr">
        <is>
          <t>Renewable Energy</t>
        </is>
      </c>
      <c r="J505" s="4" t="inlineStr">
        <is>
          <t>Renewable Energy</t>
        </is>
      </c>
      <c r="K505" s="4" t="n"/>
      <c r="L505" s="4" t="n"/>
      <c r="M505" s="3" t="n">
        <v>62.52</v>
      </c>
      <c r="N505" s="3" t="n">
        <v>3091.64</v>
      </c>
      <c r="O505" s="4" t="inlineStr">
        <is>
          <t>United States</t>
        </is>
      </c>
      <c r="P505" s="4" t="inlineStr">
        <is>
          <t>United States</t>
        </is>
      </c>
      <c r="Q505" s="4" t="inlineStr">
        <is>
          <t>Friendly</t>
        </is>
      </c>
      <c r="R505" s="3" t="n">
        <v>3244.05</v>
      </c>
      <c r="S505" s="3" t="n">
        <v>5.49151</v>
      </c>
      <c r="T505" s="4" t="inlineStr">
        <is>
          <t>Company Takeover</t>
        </is>
      </c>
      <c r="U505" s="2" t="inlineStr">
        <is>
          <t>No</t>
        </is>
      </c>
      <c r="V505" s="2" t="inlineStr">
        <is>
          <t>No</t>
        </is>
      </c>
      <c r="W505" s="2" t="inlineStr">
        <is>
          <t>No</t>
        </is>
      </c>
      <c r="X505" s="2" t="inlineStr">
        <is>
          <t>No</t>
        </is>
      </c>
      <c r="Y505" s="2" t="inlineStr">
        <is>
          <t>No</t>
        </is>
      </c>
      <c r="Z505" s="2" t="inlineStr">
        <is>
          <t>No</t>
        </is>
      </c>
      <c r="AA505" s="6" t="n">
        <v>3.442426459</v>
      </c>
      <c r="AB505" s="6" t="n">
        <v>3.511087539</v>
      </c>
      <c r="AC505" s="6" t="n">
        <v>3.490188918</v>
      </c>
      <c r="AD505">
        <f t="array" ref="AD505">IF(SUMPRODUCT(--($AM$2:$AM$112=TRIM(LEFT($B505,IFERROR(FIND(" ",$B505)-1,LEN($B505))))))&gt;0,1,0)</f>
        <v/>
      </c>
      <c r="AE505">
        <f t="array" ref="AE505">IF(SUMPRODUCT(--($AO$2:$AO$145=TRIM(LEFT($B505,IFERROR(FIND(" ",$B505)-1,LEN($B505))))))&gt;0,1,0)</f>
        <v/>
      </c>
      <c r="AF505">
        <f t="array" ref="AF505">IF(SUMPRODUCT(--($AQ$2:$AQ$71=TRIM(LEFT($B505,IFERROR(FIND(" ",$B505)-1,LEN($B505))))))&gt;0,1,0)</f>
        <v/>
      </c>
    </row>
    <row r="506" ht="105.75" customHeight="1" thickBot="1">
      <c r="A506" s="13" t="n">
        <v>124</v>
      </c>
      <c r="B506" s="4" t="inlineStr">
        <is>
          <t>CERN US</t>
        </is>
      </c>
      <c r="C506" s="4" t="inlineStr">
        <is>
          <t>ORCL US</t>
        </is>
      </c>
      <c r="D506" s="7" t="n">
        <v>44550</v>
      </c>
      <c r="E506" s="3" t="n">
        <v>29005.19</v>
      </c>
      <c r="F506" s="4" t="inlineStr">
        <is>
          <t>Cash</t>
        </is>
      </c>
      <c r="G506" s="3" t="n">
        <v>20.95</v>
      </c>
      <c r="H506" s="4" t="inlineStr">
        <is>
          <t>Technology</t>
        </is>
      </c>
      <c r="I506" s="4" t="inlineStr">
        <is>
          <t>Software &amp; Tech Services</t>
        </is>
      </c>
      <c r="J506" s="4" t="inlineStr">
        <is>
          <t>Software</t>
        </is>
      </c>
      <c r="K506" s="4" t="n"/>
      <c r="L506" s="4" t="n"/>
      <c r="M506" s="4" t="n"/>
      <c r="N506" s="3" t="n">
        <v>27951.16</v>
      </c>
      <c r="O506" s="4" t="inlineStr">
        <is>
          <t>United States</t>
        </is>
      </c>
      <c r="P506" s="4" t="inlineStr">
        <is>
          <t>United States</t>
        </is>
      </c>
      <c r="Q506" s="4" t="inlineStr">
        <is>
          <t>Friendly</t>
        </is>
      </c>
      <c r="R506" s="3" t="n">
        <v>5764.82</v>
      </c>
      <c r="S506" s="3" t="n">
        <v>12.7815</v>
      </c>
      <c r="T506" s="4" t="inlineStr">
        <is>
          <t>Company Takeover, Tender Offer, Squeeze out</t>
        </is>
      </c>
      <c r="U506" s="2" t="inlineStr">
        <is>
          <t>No</t>
        </is>
      </c>
      <c r="V506" s="2" t="inlineStr">
        <is>
          <t>No</t>
        </is>
      </c>
      <c r="W506" s="2" t="inlineStr">
        <is>
          <t>No</t>
        </is>
      </c>
      <c r="X506" s="2" t="inlineStr">
        <is>
          <t>No</t>
        </is>
      </c>
      <c r="Y506" s="2" t="inlineStr">
        <is>
          <t>No</t>
        </is>
      </c>
      <c r="Z506" s="2" t="inlineStr">
        <is>
          <t>Yes</t>
        </is>
      </c>
      <c r="AA506" s="6" t="n">
        <v>4.462475715</v>
      </c>
      <c r="AB506" s="6" t="n">
        <v>3.760785751</v>
      </c>
      <c r="AC506" s="6" t="n">
        <v>4.446399836</v>
      </c>
      <c r="AD506">
        <f t="array" ref="AD506">IF(SUMPRODUCT(--($AM$2:$AM$112=TRIM(LEFT($B506,IFERROR(FIND(" ",$B506)-1,LEN($B506))))))&gt;0,1,0)</f>
        <v/>
      </c>
      <c r="AE506">
        <f t="array" ref="AE506">IF(SUMPRODUCT(--($AO$2:$AO$145=TRIM(LEFT($B506,IFERROR(FIND(" ",$B506)-1,LEN($B506))))))&gt;0,1,0)</f>
        <v/>
      </c>
      <c r="AF506">
        <f t="array" ref="AF506">IF(SUMPRODUCT(--($AQ$2:$AQ$71=TRIM(LEFT($B506,IFERROR(FIND(" ",$B506)-1,LEN($B506))))))&gt;0,1,0)</f>
        <v/>
      </c>
    </row>
    <row r="507" ht="45.75" customHeight="1" thickBot="1">
      <c r="A507" s="13" t="n">
        <v>162</v>
      </c>
      <c r="B507" s="4" t="inlineStr">
        <is>
          <t>TSC US</t>
        </is>
      </c>
      <c r="C507" s="4" t="inlineStr">
        <is>
          <t>RJF US</t>
        </is>
      </c>
      <c r="D507" s="7" t="n">
        <v>44489</v>
      </c>
      <c r="E507" s="3" t="n">
        <v>873.54</v>
      </c>
      <c r="F507" s="4" t="inlineStr">
        <is>
          <t>Cash and Stock</t>
        </is>
      </c>
      <c r="G507" s="4" t="n"/>
      <c r="H507" s="4" t="inlineStr">
        <is>
          <t>Financials</t>
        </is>
      </c>
      <c r="I507" s="4" t="inlineStr">
        <is>
          <t>Banking</t>
        </is>
      </c>
      <c r="J507" s="4" t="inlineStr">
        <is>
          <t>Banking</t>
        </is>
      </c>
      <c r="K507" s="4" t="n"/>
      <c r="L507" s="4" t="n"/>
      <c r="M507" s="3" t="n">
        <v>39.81</v>
      </c>
      <c r="N507" s="3" t="n">
        <v>987.8200000000001</v>
      </c>
      <c r="O507" s="4" t="inlineStr">
        <is>
          <t>United States</t>
        </is>
      </c>
      <c r="P507" s="4" t="inlineStr">
        <is>
          <t>United States</t>
        </is>
      </c>
      <c r="Q507" s="4" t="inlineStr">
        <is>
          <t>Friendly</t>
        </is>
      </c>
      <c r="R507" s="3" t="n">
        <v>289.943</v>
      </c>
      <c r="S507" s="3" t="n">
        <v>38.0698</v>
      </c>
      <c r="T507" s="4" t="inlineStr">
        <is>
          <t>Company Takeover</t>
        </is>
      </c>
      <c r="U507" s="2" t="inlineStr">
        <is>
          <t>No</t>
        </is>
      </c>
      <c r="V507" s="2" t="inlineStr">
        <is>
          <t>No</t>
        </is>
      </c>
      <c r="W507" s="2" t="inlineStr">
        <is>
          <t>No</t>
        </is>
      </c>
      <c r="X507" s="2" t="inlineStr">
        <is>
          <t>No</t>
        </is>
      </c>
      <c r="Y507" s="2" t="inlineStr">
        <is>
          <t>No</t>
        </is>
      </c>
      <c r="Z507" s="2" t="inlineStr">
        <is>
          <t>No</t>
        </is>
      </c>
      <c r="AA507" s="6" t="n">
        <v>2.941282796</v>
      </c>
      <c r="AB507" s="6" t="n">
        <v>2.462312628</v>
      </c>
      <c r="AC507" s="6" t="n">
        <v>2.994677815</v>
      </c>
      <c r="AD507">
        <f t="array" ref="AD507">IF(SUMPRODUCT(--($AM$2:$AM$112=TRIM(LEFT($B507,IFERROR(FIND(" ",$B507)-1,LEN($B507))))))&gt;0,1,0)</f>
        <v/>
      </c>
      <c r="AE507">
        <f t="array" ref="AE507">IF(SUMPRODUCT(--($AO$2:$AO$145=TRIM(LEFT($B507,IFERROR(FIND(" ",$B507)-1,LEN($B507))))))&gt;0,1,0)</f>
        <v/>
      </c>
      <c r="AF507">
        <f t="array" ref="AF507">IF(SUMPRODUCT(--($AQ$2:$AQ$71=TRIM(LEFT($B507,IFERROR(FIND(" ",$B507)-1,LEN($B507))))))&gt;0,1,0)</f>
        <v/>
      </c>
    </row>
    <row r="508" ht="60.75" customHeight="1" thickBot="1">
      <c r="A508" s="13" t="n">
        <v>112</v>
      </c>
      <c r="B508" s="4" t="inlineStr">
        <is>
          <t>OCDX US</t>
        </is>
      </c>
      <c r="C508" s="4" t="inlineStr">
        <is>
          <t>QDEL US</t>
        </is>
      </c>
      <c r="D508" s="7" t="n">
        <v>44553</v>
      </c>
      <c r="E508" s="3" t="n">
        <v>7412.58</v>
      </c>
      <c r="F508" s="4" t="inlineStr">
        <is>
          <t>Cash and Stock</t>
        </is>
      </c>
      <c r="G508" s="3" t="n">
        <v>17.06</v>
      </c>
      <c r="H508" s="4" t="inlineStr">
        <is>
          <t>Health Care</t>
        </is>
      </c>
      <c r="I508" s="4" t="inlineStr">
        <is>
          <t>Health Care</t>
        </is>
      </c>
      <c r="J508" s="4" t="inlineStr">
        <is>
          <t>Health Care Facilities &amp; Svcs</t>
        </is>
      </c>
      <c r="K508" s="4" t="n"/>
      <c r="L508" s="4" t="n"/>
      <c r="M508" s="3" t="n">
        <v>19</v>
      </c>
      <c r="N508" s="3" t="n">
        <v>5397.18</v>
      </c>
      <c r="O508" s="4" t="inlineStr">
        <is>
          <t>United States</t>
        </is>
      </c>
      <c r="P508" s="4" t="inlineStr">
        <is>
          <t>United States</t>
        </is>
      </c>
      <c r="Q508" s="4" t="inlineStr">
        <is>
          <t>Friendly</t>
        </is>
      </c>
      <c r="R508" s="3" t="n">
        <v>2042.8</v>
      </c>
      <c r="S508" s="3" t="n">
        <v>8.030060000000001</v>
      </c>
      <c r="T508" s="4" t="inlineStr">
        <is>
          <t>Company Takeover</t>
        </is>
      </c>
      <c r="U508" s="2" t="inlineStr">
        <is>
          <t>No</t>
        </is>
      </c>
      <c r="V508" s="2" t="inlineStr">
        <is>
          <t>No</t>
        </is>
      </c>
      <c r="W508" s="2" t="inlineStr">
        <is>
          <t>No</t>
        </is>
      </c>
      <c r="X508" s="2" t="inlineStr">
        <is>
          <t>No</t>
        </is>
      </c>
      <c r="Y508" s="2" t="inlineStr">
        <is>
          <t>No</t>
        </is>
      </c>
      <c r="Z508" s="2" t="inlineStr">
        <is>
          <t>No</t>
        </is>
      </c>
      <c r="AA508" s="6" t="n">
        <v>3.869969394</v>
      </c>
      <c r="AB508" s="6" t="n">
        <v>3.310225849</v>
      </c>
      <c r="AC508" s="6" t="n">
        <v>3.732166902</v>
      </c>
      <c r="AD508">
        <f t="array" ref="AD508">IF(SUMPRODUCT(--($AM$2:$AM$112=TRIM(LEFT($B508,IFERROR(FIND(" ",$B508)-1,LEN($B508))))))&gt;0,1,0)</f>
        <v/>
      </c>
      <c r="AE508">
        <f t="array" ref="AE508">IF(SUMPRODUCT(--($AO$2:$AO$145=TRIM(LEFT($B508,IFERROR(FIND(" ",$B508)-1,LEN($B508))))))&gt;0,1,0)</f>
        <v/>
      </c>
      <c r="AF508">
        <f t="array" ref="AF508">IF(SUMPRODUCT(--($AQ$2:$AQ$71=TRIM(LEFT($B508,IFERROR(FIND(" ",$B508)-1,LEN($B508))))))&gt;0,1,0)</f>
        <v/>
      </c>
    </row>
    <row r="509" ht="45.75" customHeight="1" thickBot="1">
      <c r="A509" s="13" t="n">
        <v>209</v>
      </c>
      <c r="B509" s="4" t="inlineStr">
        <is>
          <t>ANAT US</t>
        </is>
      </c>
      <c r="C509" s="4" t="inlineStr">
        <is>
          <t>BNT CN</t>
        </is>
      </c>
      <c r="D509" s="7" t="n">
        <v>44417</v>
      </c>
      <c r="E509" s="3" t="n">
        <v>5108.57</v>
      </c>
      <c r="F509" s="4" t="inlineStr">
        <is>
          <t>Cash</t>
        </is>
      </c>
      <c r="G509" s="4" t="n"/>
      <c r="H509" s="4" t="inlineStr">
        <is>
          <t>Financials</t>
        </is>
      </c>
      <c r="I509" s="4" t="inlineStr">
        <is>
          <t>Insurance</t>
        </is>
      </c>
      <c r="J509" s="4" t="inlineStr">
        <is>
          <t>Insurance</t>
        </is>
      </c>
      <c r="K509" s="4" t="n"/>
      <c r="L509" s="3" t="n">
        <v>178.5</v>
      </c>
      <c r="M509" s="4" t="n"/>
      <c r="N509" s="3" t="n">
        <v>5108.57</v>
      </c>
      <c r="O509" s="4" t="inlineStr">
        <is>
          <t>United States</t>
        </is>
      </c>
      <c r="P509" s="4" t="inlineStr">
        <is>
          <t>Canada</t>
        </is>
      </c>
      <c r="Q509" s="4" t="inlineStr">
        <is>
          <t>Friendly</t>
        </is>
      </c>
      <c r="R509" s="3" t="n">
        <v>4391.79</v>
      </c>
      <c r="S509" s="3" t="n">
        <v>18.3594</v>
      </c>
      <c r="T509" s="4" t="inlineStr">
        <is>
          <t>Company Takeover</t>
        </is>
      </c>
      <c r="U509" s="2" t="inlineStr">
        <is>
          <t>No</t>
        </is>
      </c>
      <c r="V509" s="2" t="inlineStr">
        <is>
          <t>No</t>
        </is>
      </c>
      <c r="W509" s="2" t="inlineStr">
        <is>
          <t>No</t>
        </is>
      </c>
      <c r="X509" s="2" t="inlineStr">
        <is>
          <t>No</t>
        </is>
      </c>
      <c r="Y509" s="2" t="inlineStr">
        <is>
          <t>No</t>
        </is>
      </c>
      <c r="Z509" s="2" t="inlineStr">
        <is>
          <t>No</t>
        </is>
      </c>
      <c r="AA509" s="6" t="n">
        <v>3.708299349</v>
      </c>
      <c r="AB509" s="6" t="n">
        <v>3.642641565</v>
      </c>
      <c r="AC509" s="6" t="n">
        <v>3.708299349</v>
      </c>
      <c r="AD509">
        <f t="array" ref="AD509">IF(SUMPRODUCT(--($AM$2:$AM$112=TRIM(LEFT($B509,IFERROR(FIND(" ",$B509)-1,LEN($B509))))))&gt;0,1,0)</f>
        <v/>
      </c>
      <c r="AE509">
        <f t="array" ref="AE509">IF(SUMPRODUCT(--($AO$2:$AO$145=TRIM(LEFT($B509,IFERROR(FIND(" ",$B509)-1,LEN($B509))))))&gt;0,1,0)</f>
        <v/>
      </c>
      <c r="AF509">
        <f t="array" ref="AF509">IF(SUMPRODUCT(--($AQ$2:$AQ$71=TRIM(LEFT($B509,IFERROR(FIND(" ",$B509)-1,LEN($B509))))))&gt;0,1,0)</f>
        <v/>
      </c>
    </row>
    <row r="510" ht="105.75" customHeight="1" thickBot="1">
      <c r="A510" s="13" t="n">
        <v>31</v>
      </c>
      <c r="B510" s="4" t="inlineStr">
        <is>
          <t>ATRS US</t>
        </is>
      </c>
      <c r="C510" s="4" t="inlineStr">
        <is>
          <t>HALO US</t>
        </is>
      </c>
      <c r="D510" s="7" t="n">
        <v>44664</v>
      </c>
      <c r="E510" s="3" t="n">
        <v>910.66</v>
      </c>
      <c r="F510" s="4" t="inlineStr">
        <is>
          <t>Cash</t>
        </is>
      </c>
      <c r="G510" s="3" t="n">
        <v>14.77</v>
      </c>
      <c r="H510" s="4" t="inlineStr">
        <is>
          <t>Health Care</t>
        </is>
      </c>
      <c r="I510" s="4" t="inlineStr">
        <is>
          <t>Health Care</t>
        </is>
      </c>
      <c r="J510" s="4" t="inlineStr">
        <is>
          <t>Biotech &amp; Pharma</t>
        </is>
      </c>
      <c r="K510" s="4" t="n"/>
      <c r="L510" s="4" t="n"/>
      <c r="M510" s="3" t="n">
        <v>40.79</v>
      </c>
      <c r="N510" s="3" t="n">
        <v>952.6</v>
      </c>
      <c r="O510" s="4" t="inlineStr">
        <is>
          <t>United States</t>
        </is>
      </c>
      <c r="P510" s="4" t="inlineStr">
        <is>
          <t>United States</t>
        </is>
      </c>
      <c r="Q510" s="4" t="inlineStr">
        <is>
          <t>Friendly</t>
        </is>
      </c>
      <c r="R510" s="3" t="n">
        <v>183.982</v>
      </c>
      <c r="S510" s="3" t="n">
        <v>31.4637</v>
      </c>
      <c r="T510" s="4" t="inlineStr">
        <is>
          <t>Company Takeover, Tender Offer, Squeeze out</t>
        </is>
      </c>
      <c r="U510" s="2" t="inlineStr">
        <is>
          <t>No</t>
        </is>
      </c>
      <c r="V510" s="2" t="inlineStr">
        <is>
          <t>No</t>
        </is>
      </c>
      <c r="W510" s="2" t="inlineStr">
        <is>
          <t>No</t>
        </is>
      </c>
      <c r="X510" s="2" t="inlineStr">
        <is>
          <t>No</t>
        </is>
      </c>
      <c r="Y510" s="2" t="inlineStr">
        <is>
          <t>No</t>
        </is>
      </c>
      <c r="Z510" s="2" t="inlineStr">
        <is>
          <t>Yes</t>
        </is>
      </c>
      <c r="AA510" s="6" t="n">
        <v>2.959356261</v>
      </c>
      <c r="AB510" s="6" t="n">
        <v>2.264775336</v>
      </c>
      <c r="AC510" s="6" t="n">
        <v>2.978910577</v>
      </c>
      <c r="AD510">
        <f t="array" ref="AD510">IF(SUMPRODUCT(--($AM$2:$AM$112=TRIM(LEFT($B510,IFERROR(FIND(" ",$B510)-1,LEN($B510))))))&gt;0,1,0)</f>
        <v/>
      </c>
      <c r="AE510">
        <f t="array" ref="AE510">IF(SUMPRODUCT(--($AO$2:$AO$145=TRIM(LEFT($B510,IFERROR(FIND(" ",$B510)-1,LEN($B510))))))&gt;0,1,0)</f>
        <v/>
      </c>
      <c r="AF510">
        <f t="array" ref="AF510">IF(SUMPRODUCT(--($AQ$2:$AQ$71=TRIM(LEFT($B510,IFERROR(FIND(" ",$B510)-1,LEN($B510))))))&gt;0,1,0)</f>
        <v/>
      </c>
    </row>
    <row r="511" ht="45.75" customHeight="1" thickBot="1">
      <c r="A511" s="13" t="n">
        <v>97</v>
      </c>
      <c r="B511" s="4" t="inlineStr">
        <is>
          <t>ZNGA US</t>
        </is>
      </c>
      <c r="C511" s="4" t="inlineStr">
        <is>
          <t>TTWO US</t>
        </is>
      </c>
      <c r="D511" s="7" t="n">
        <v>44571</v>
      </c>
      <c r="E511" s="3" t="n">
        <v>12006.42</v>
      </c>
      <c r="F511" s="4" t="inlineStr">
        <is>
          <t>Cash and Stock</t>
        </is>
      </c>
      <c r="G511" s="3" t="n">
        <v>37.79</v>
      </c>
      <c r="H511" s="4" t="inlineStr">
        <is>
          <t>Communications</t>
        </is>
      </c>
      <c r="I511" s="4" t="inlineStr">
        <is>
          <t>Media</t>
        </is>
      </c>
      <c r="J511" s="4" t="inlineStr">
        <is>
          <t>Entertainment Content</t>
        </is>
      </c>
      <c r="K511" s="4" t="n"/>
      <c r="L511" s="4" t="n"/>
      <c r="M511" s="3" t="n">
        <v>66.68000000000001</v>
      </c>
      <c r="N511" s="3" t="n">
        <v>11861.01</v>
      </c>
      <c r="O511" s="4" t="inlineStr">
        <is>
          <t>United States</t>
        </is>
      </c>
      <c r="P511" s="4" t="inlineStr">
        <is>
          <t>United States</t>
        </is>
      </c>
      <c r="Q511" s="4" t="inlineStr">
        <is>
          <t>Friendly</t>
        </is>
      </c>
      <c r="R511" s="3" t="n">
        <v>2800.5</v>
      </c>
      <c r="S511" s="3" t="n">
        <v>2.71049</v>
      </c>
      <c r="T511" s="4" t="inlineStr">
        <is>
          <t>Company Takeover</t>
        </is>
      </c>
      <c r="U511" s="2" t="inlineStr">
        <is>
          <t>No</t>
        </is>
      </c>
      <c r="V511" s="2" t="inlineStr">
        <is>
          <t>No</t>
        </is>
      </c>
      <c r="W511" s="2" t="inlineStr">
        <is>
          <t>No</t>
        </is>
      </c>
      <c r="X511" s="2" t="inlineStr">
        <is>
          <t>No</t>
        </is>
      </c>
      <c r="Y511" s="2" t="inlineStr">
        <is>
          <t>No</t>
        </is>
      </c>
      <c r="Z511" s="2" t="inlineStr">
        <is>
          <t>No</t>
        </is>
      </c>
      <c r="AA511" s="6" t="n">
        <v>4.079413531</v>
      </c>
      <c r="AB511" s="6" t="n">
        <v>3.447235577</v>
      </c>
      <c r="AC511" s="6" t="n">
        <v>4.074121672</v>
      </c>
      <c r="AD511">
        <f t="array" ref="AD511">IF(SUMPRODUCT(--($AM$2:$AM$112=TRIM(LEFT($B511,IFERROR(FIND(" ",$B511)-1,LEN($B511))))))&gt;0,1,0)</f>
        <v/>
      </c>
      <c r="AE511">
        <f t="array" ref="AE511">IF(SUMPRODUCT(--($AO$2:$AO$145=TRIM(LEFT($B511,IFERROR(FIND(" ",$B511)-1,LEN($B511))))))&gt;0,1,0)</f>
        <v/>
      </c>
      <c r="AF511">
        <f t="array" ref="AF511">IF(SUMPRODUCT(--($AQ$2:$AQ$71=TRIM(LEFT($B511,IFERROR(FIND(" ",$B511)-1,LEN($B511))))))&gt;0,1,0)</f>
        <v/>
      </c>
    </row>
    <row r="512" ht="165.75" customHeight="1" thickBot="1">
      <c r="A512" s="13" t="n">
        <v>119</v>
      </c>
      <c r="B512" s="4" t="inlineStr">
        <is>
          <t>MIME US</t>
        </is>
      </c>
      <c r="C512" s="4" t="inlineStr">
        <is>
          <t>727032Z LN</t>
        </is>
      </c>
      <c r="D512" s="7" t="n">
        <v>44537</v>
      </c>
      <c r="E512" s="3" t="n">
        <v>5155.66</v>
      </c>
      <c r="F512" s="4" t="inlineStr">
        <is>
          <t>Cash</t>
        </is>
      </c>
      <c r="G512" s="3" t="n">
        <v>39.85</v>
      </c>
      <c r="H512" s="4" t="inlineStr">
        <is>
          <t>Technology</t>
        </is>
      </c>
      <c r="I512" s="4" t="inlineStr">
        <is>
          <t>Software &amp; Tech Services</t>
        </is>
      </c>
      <c r="J512" s="4" t="inlineStr">
        <is>
          <t>Software</t>
        </is>
      </c>
      <c r="K512" s="4" t="n"/>
      <c r="L512" s="4" t="n"/>
      <c r="M512" s="3" t="n">
        <v>0.07000000000000001</v>
      </c>
      <c r="N512" s="3" t="n">
        <v>5311.58</v>
      </c>
      <c r="O512" s="4" t="inlineStr">
        <is>
          <t>United States</t>
        </is>
      </c>
      <c r="P512" s="4" t="inlineStr">
        <is>
          <t>United Kingdom</t>
        </is>
      </c>
      <c r="Q512" s="4" t="inlineStr">
        <is>
          <t>Friendly</t>
        </is>
      </c>
      <c r="R512" s="3" t="n">
        <v>501.399</v>
      </c>
      <c r="S512" s="3" t="n">
        <v>9.98357</v>
      </c>
      <c r="T512" s="4" t="inlineStr">
        <is>
          <t>PE Buyout, Company Takeover, Cross Border, Private Equity, Going Private</t>
        </is>
      </c>
      <c r="U512" s="2" t="inlineStr">
        <is>
          <t>No</t>
        </is>
      </c>
      <c r="V512" s="2" t="inlineStr">
        <is>
          <t>No</t>
        </is>
      </c>
      <c r="W512" s="2" t="inlineStr">
        <is>
          <t>Yes</t>
        </is>
      </c>
      <c r="X512" s="2" t="inlineStr">
        <is>
          <t>Yes</t>
        </is>
      </c>
      <c r="Y512" s="2" t="inlineStr">
        <is>
          <t>Yes</t>
        </is>
      </c>
      <c r="Z512" s="2" t="inlineStr">
        <is>
          <t>No</t>
        </is>
      </c>
      <c r="AA512" s="6" t="n">
        <v>3.712284269</v>
      </c>
      <c r="AB512" s="6" t="n">
        <v>2.700183463</v>
      </c>
      <c r="AC512" s="6" t="n">
        <v>3.725223727</v>
      </c>
      <c r="AD512">
        <f t="array" ref="AD512">IF(SUMPRODUCT(--($AM$2:$AM$112=TRIM(LEFT($B512,IFERROR(FIND(" ",$B512)-1,LEN($B512))))))&gt;0,1,0)</f>
        <v/>
      </c>
      <c r="AE512">
        <f t="array" ref="AE512">IF(SUMPRODUCT(--($AO$2:$AO$145=TRIM(LEFT($B512,IFERROR(FIND(" ",$B512)-1,LEN($B512))))))&gt;0,1,0)</f>
        <v/>
      </c>
      <c r="AF512">
        <f t="array" ref="AF512">IF(SUMPRODUCT(--($AQ$2:$AQ$71=TRIM(LEFT($B512,IFERROR(FIND(" ",$B512)-1,LEN($B512))))))&gt;0,1,0)</f>
        <v/>
      </c>
    </row>
    <row r="513" ht="45.75" customHeight="1" thickBot="1">
      <c r="A513" s="13" t="n">
        <v>157</v>
      </c>
      <c r="B513" s="4" t="inlineStr">
        <is>
          <t>2061517D US</t>
        </is>
      </c>
      <c r="C513" s="4" t="inlineStr">
        <is>
          <t>EMR US</t>
        </is>
      </c>
      <c r="D513" s="7" t="n">
        <v>44480</v>
      </c>
      <c r="E513" s="3" t="n">
        <v>5959.13</v>
      </c>
      <c r="F513" s="4" t="inlineStr">
        <is>
          <t>Cash and Stock</t>
        </is>
      </c>
      <c r="G513" s="3" t="n">
        <v>15.5</v>
      </c>
      <c r="H513" s="4" t="inlineStr">
        <is>
          <t>Technology</t>
        </is>
      </c>
      <c r="I513" s="4" t="inlineStr">
        <is>
          <t>Software &amp; Tech Services</t>
        </is>
      </c>
      <c r="J513" s="4" t="inlineStr">
        <is>
          <t>Software</t>
        </is>
      </c>
      <c r="K513" s="4" t="n"/>
      <c r="L513" s="3" t="n">
        <v>325</v>
      </c>
      <c r="M513" s="4" t="n"/>
      <c r="N513" s="3" t="n">
        <v>5881.97</v>
      </c>
      <c r="O513" s="4" t="inlineStr">
        <is>
          <t>United States</t>
        </is>
      </c>
      <c r="P513" s="4" t="inlineStr">
        <is>
          <t>United States</t>
        </is>
      </c>
      <c r="Q513" s="4" t="inlineStr">
        <is>
          <t>Friendly</t>
        </is>
      </c>
      <c r="R513" s="3" t="n">
        <v>709.376</v>
      </c>
      <c r="S513" s="3" t="n">
        <v>42.5633</v>
      </c>
      <c r="T513" s="4" t="inlineStr">
        <is>
          <t>Company Takeover</t>
        </is>
      </c>
      <c r="U513" s="2" t="inlineStr">
        <is>
          <t>No</t>
        </is>
      </c>
      <c r="V513" s="2" t="inlineStr">
        <is>
          <t>No</t>
        </is>
      </c>
      <c r="W513" s="2" t="inlineStr">
        <is>
          <t>No</t>
        </is>
      </c>
      <c r="X513" s="2" t="inlineStr">
        <is>
          <t>No</t>
        </is>
      </c>
      <c r="Y513" s="2" t="inlineStr">
        <is>
          <t>No</t>
        </is>
      </c>
      <c r="Z513" s="2" t="inlineStr">
        <is>
          <t>No</t>
        </is>
      </c>
      <c r="AA513" s="6" t="n">
        <v>3.77518286</v>
      </c>
      <c r="AB513" s="6" t="n">
        <v>2.850876491</v>
      </c>
      <c r="AC513" s="6" t="n">
        <v>3.769522805</v>
      </c>
      <c r="AD513">
        <f t="array" ref="AD513">IF(SUMPRODUCT(--($AM$2:$AM$112=TRIM(LEFT($B513,IFERROR(FIND(" ",$B513)-1,LEN($B513))))))&gt;0,1,0)</f>
        <v/>
      </c>
      <c r="AE513">
        <f t="array" ref="AE513">IF(SUMPRODUCT(--($AO$2:$AO$145=TRIM(LEFT($B513,IFERROR(FIND(" ",$B513)-1,LEN($B513))))))&gt;0,1,0)</f>
        <v/>
      </c>
      <c r="AF513">
        <f t="array" ref="AF513">IF(SUMPRODUCT(--($AQ$2:$AQ$71=TRIM(LEFT($B513,IFERROR(FIND(" ",$B513)-1,LEN($B513))))))&gt;0,1,0)</f>
        <v/>
      </c>
    </row>
    <row r="514" ht="135.75" customHeight="1" thickBot="1">
      <c r="A514" s="13" t="n">
        <v>107</v>
      </c>
      <c r="B514" s="4" t="inlineStr">
        <is>
          <t>EPAY US</t>
        </is>
      </c>
      <c r="C514" s="4" t="inlineStr">
        <is>
          <t>129626Z US</t>
        </is>
      </c>
      <c r="D514" s="7" t="n">
        <v>44547</v>
      </c>
      <c r="E514" s="3" t="n">
        <v>2594.15</v>
      </c>
      <c r="F514" s="4" t="inlineStr">
        <is>
          <t>Cash</t>
        </is>
      </c>
      <c r="G514" s="3" t="n">
        <v>56.5</v>
      </c>
      <c r="H514" s="4" t="inlineStr">
        <is>
          <t>Technology</t>
        </is>
      </c>
      <c r="I514" s="4" t="inlineStr">
        <is>
          <t>Software &amp; Tech Services</t>
        </is>
      </c>
      <c r="J514" s="4" t="inlineStr">
        <is>
          <t>Software</t>
        </is>
      </c>
      <c r="K514" s="4" t="n"/>
      <c r="L514" s="4" t="n"/>
      <c r="M514" s="4" t="n"/>
      <c r="N514" s="3" t="n">
        <v>2562.73</v>
      </c>
      <c r="O514" s="4" t="inlineStr">
        <is>
          <t>United States</t>
        </is>
      </c>
      <c r="P514" s="4" t="inlineStr">
        <is>
          <t>United States</t>
        </is>
      </c>
      <c r="Q514" s="4" t="inlineStr">
        <is>
          <t>Friendly</t>
        </is>
      </c>
      <c r="R514" s="3" t="n">
        <v>471.403</v>
      </c>
      <c r="S514" s="3" t="n">
        <v>-6.36863</v>
      </c>
      <c r="T514" s="4" t="inlineStr">
        <is>
          <t>PE Buyout, Company Takeover, Private Equity, Going Private</t>
        </is>
      </c>
      <c r="U514" s="2" t="inlineStr">
        <is>
          <t>No</t>
        </is>
      </c>
      <c r="V514" s="2" t="inlineStr">
        <is>
          <t>No</t>
        </is>
      </c>
      <c r="W514" s="2" t="inlineStr">
        <is>
          <t>No</t>
        </is>
      </c>
      <c r="X514" s="2" t="inlineStr">
        <is>
          <t>Yes</t>
        </is>
      </c>
      <c r="Y514" s="2" t="inlineStr">
        <is>
          <t>Yes</t>
        </is>
      </c>
      <c r="Z514" s="2" t="inlineStr">
        <is>
          <t>No</t>
        </is>
      </c>
      <c r="AA514" s="6" t="n">
        <v>3.413995084</v>
      </c>
      <c r="AB514" s="6" t="n">
        <v>2.673392342</v>
      </c>
      <c r="AC514" s="6" t="n">
        <v>3.408702853</v>
      </c>
      <c r="AD514">
        <f t="array" ref="AD514">IF(SUMPRODUCT(--($AM$2:$AM$112=TRIM(LEFT($B514,IFERROR(FIND(" ",$B514)-1,LEN($B514))))))&gt;0,1,0)</f>
        <v/>
      </c>
      <c r="AE514">
        <f t="array" ref="AE514">IF(SUMPRODUCT(--($AO$2:$AO$145=TRIM(LEFT($B514,IFERROR(FIND(" ",$B514)-1,LEN($B514))))))&gt;0,1,0)</f>
        <v/>
      </c>
      <c r="AF514">
        <f t="array" ref="AF514">IF(SUMPRODUCT(--($AQ$2:$AQ$71=TRIM(LEFT($B514,IFERROR(FIND(" ",$B514)-1,LEN($B514))))))&gt;0,1,0)</f>
        <v/>
      </c>
    </row>
    <row r="515" ht="45.75" customHeight="1" thickBot="1">
      <c r="A515" s="13" t="n">
        <v>202</v>
      </c>
      <c r="B515" s="4" t="inlineStr">
        <is>
          <t>XENT US</t>
        </is>
      </c>
      <c r="C515" s="4" t="inlineStr">
        <is>
          <t>MDT US</t>
        </is>
      </c>
      <c r="D515" s="7" t="n">
        <v>44414</v>
      </c>
      <c r="E515" s="3" t="n">
        <v>950.74</v>
      </c>
      <c r="F515" s="4" t="inlineStr">
        <is>
          <t>Cash</t>
        </is>
      </c>
      <c r="G515" s="4" t="n"/>
      <c r="H515" s="4" t="inlineStr">
        <is>
          <t>Health Care</t>
        </is>
      </c>
      <c r="I515" s="4" t="inlineStr">
        <is>
          <t>Health Care</t>
        </is>
      </c>
      <c r="J515" s="4" t="inlineStr">
        <is>
          <t>Biotech &amp; Pharma</t>
        </is>
      </c>
      <c r="K515" s="4" t="n"/>
      <c r="L515" s="3" t="n">
        <v>29.25</v>
      </c>
      <c r="M515" s="3" t="n">
        <v>34.1</v>
      </c>
      <c r="N515" s="3" t="n">
        <v>941.14</v>
      </c>
      <c r="O515" s="4" t="inlineStr">
        <is>
          <t>United States</t>
        </is>
      </c>
      <c r="P515" s="4" t="inlineStr">
        <is>
          <t>Ireland</t>
        </is>
      </c>
      <c r="Q515" s="4" t="inlineStr">
        <is>
          <t>Friendly</t>
        </is>
      </c>
      <c r="R515" s="3" t="n">
        <v>106.748</v>
      </c>
      <c r="S515" s="3" t="n">
        <v>-143.412</v>
      </c>
      <c r="T515" s="4" t="inlineStr">
        <is>
          <t>Company Takeover</t>
        </is>
      </c>
      <c r="U515" s="2" t="inlineStr">
        <is>
          <t>No</t>
        </is>
      </c>
      <c r="V515" s="2" t="inlineStr">
        <is>
          <t>No</t>
        </is>
      </c>
      <c r="W515" s="2" t="inlineStr">
        <is>
          <t>No</t>
        </is>
      </c>
      <c r="X515" s="2" t="inlineStr">
        <is>
          <t>No</t>
        </is>
      </c>
      <c r="Y515" s="2" t="inlineStr">
        <is>
          <t>No</t>
        </is>
      </c>
      <c r="Z515" s="2" t="inlineStr">
        <is>
          <t>No</t>
        </is>
      </c>
      <c r="AA515" s="6" t="n">
        <v>2.978061766</v>
      </c>
      <c r="AB515" s="6" t="n">
        <v>2.028359747</v>
      </c>
      <c r="AC515" s="6" t="n">
        <v>2.973654232</v>
      </c>
      <c r="AD515">
        <f t="array" ref="AD515">IF(SUMPRODUCT(--($AM$2:$AM$112=TRIM(LEFT($B515,IFERROR(FIND(" ",$B515)-1,LEN($B515))))))&gt;0,1,0)</f>
        <v/>
      </c>
      <c r="AE515">
        <f t="array" ref="AE515">IF(SUMPRODUCT(--($AO$2:$AO$145=TRIM(LEFT($B515,IFERROR(FIND(" ",$B515)-1,LEN($B515))))))&gt;0,1,0)</f>
        <v/>
      </c>
      <c r="AF515">
        <f t="array" ref="AF515">IF(SUMPRODUCT(--($AQ$2:$AQ$71=TRIM(LEFT($B515,IFERROR(FIND(" ",$B515)-1,LEN($B515))))))&gt;0,1,0)</f>
        <v/>
      </c>
    </row>
    <row r="516" ht="105.75" customHeight="1" thickBot="1">
      <c r="A516" s="13" t="n">
        <v>34</v>
      </c>
      <c r="B516" s="4" t="inlineStr">
        <is>
          <t>1337 HK</t>
        </is>
      </c>
      <c r="C516" s="2" t="n"/>
      <c r="D516" s="7" t="n">
        <v>44649</v>
      </c>
      <c r="E516" s="3" t="n">
        <v>2643.6</v>
      </c>
      <c r="F516" s="4" t="inlineStr">
        <is>
          <t>Cash</t>
        </is>
      </c>
      <c r="G516" s="3" t="n">
        <v>33.06</v>
      </c>
      <c r="H516" s="4" t="inlineStr">
        <is>
          <t>Technology</t>
        </is>
      </c>
      <c r="I516" s="4" t="inlineStr">
        <is>
          <t>Tech Hardware &amp; Semiconductors</t>
        </is>
      </c>
      <c r="J516" s="4" t="inlineStr">
        <is>
          <t>Technology Hardware</t>
        </is>
      </c>
      <c r="K516" s="4" t="n"/>
      <c r="L516" s="4" t="n"/>
      <c r="M516" s="3" t="n">
        <v>21.08</v>
      </c>
      <c r="N516" s="3" t="n">
        <v>3179.69</v>
      </c>
      <c r="O516" s="4" t="inlineStr">
        <is>
          <t>United States</t>
        </is>
      </c>
      <c r="P516" s="4" t="inlineStr">
        <is>
          <t>United Kingdom</t>
        </is>
      </c>
      <c r="Q516" s="4" t="inlineStr">
        <is>
          <t>Unsolicited</t>
        </is>
      </c>
      <c r="R516" s="3" t="n">
        <v>1619.59</v>
      </c>
      <c r="S516" s="3" t="n">
        <v>3.20167</v>
      </c>
      <c r="T516" s="4" t="inlineStr">
        <is>
          <t>Company Takeover, Going Private, Cross Border</t>
        </is>
      </c>
      <c r="U516" s="2" t="inlineStr">
        <is>
          <t>No</t>
        </is>
      </c>
      <c r="V516" s="2" t="inlineStr">
        <is>
          <t>No</t>
        </is>
      </c>
      <c r="W516" s="2" t="inlineStr">
        <is>
          <t>Yes</t>
        </is>
      </c>
      <c r="X516" s="2" t="inlineStr">
        <is>
          <t>Yes</t>
        </is>
      </c>
      <c r="Y516" s="2" t="inlineStr">
        <is>
          <t>No</t>
        </is>
      </c>
      <c r="Z516" s="2" t="inlineStr">
        <is>
          <t>No</t>
        </is>
      </c>
      <c r="AA516" s="6" t="n">
        <v>3.422195743</v>
      </c>
      <c r="AB516" s="6" t="n">
        <v>3.209405087</v>
      </c>
      <c r="AC516" s="6" t="n">
        <v>3.502384781</v>
      </c>
      <c r="AD516">
        <f t="array" ref="AD516">IF(SUMPRODUCT(--($AM$2:$AM$112=TRIM(LEFT($B516,IFERROR(FIND(" ",$B516)-1,LEN($B516))))))&gt;0,1,0)</f>
        <v/>
      </c>
      <c r="AE516">
        <f t="array" ref="AE516">IF(SUMPRODUCT(--($AO$2:$AO$145=TRIM(LEFT($B516,IFERROR(FIND(" ",$B516)-1,LEN($B516))))))&gt;0,1,0)</f>
        <v/>
      </c>
      <c r="AF516">
        <f t="array" ref="AF516">IF(SUMPRODUCT(--($AQ$2:$AQ$71=TRIM(LEFT($B516,IFERROR(FIND(" ",$B516)-1,LEN($B516))))))&gt;0,1,0)</f>
        <v/>
      </c>
    </row>
    <row r="517" ht="60.75" customHeight="1" thickBot="1">
      <c r="A517" s="13" t="n">
        <v>60</v>
      </c>
      <c r="B517" s="4" t="inlineStr">
        <is>
          <t>ECOL US</t>
        </is>
      </c>
      <c r="C517" s="4" t="inlineStr">
        <is>
          <t>RSG US</t>
        </is>
      </c>
      <c r="D517" s="7" t="n">
        <v>44601</v>
      </c>
      <c r="E517" s="3" t="n">
        <v>2262.65</v>
      </c>
      <c r="F517" s="4" t="inlineStr">
        <is>
          <t>Cash</t>
        </is>
      </c>
      <c r="G517" s="3" t="n">
        <v>14.26</v>
      </c>
      <c r="H517" s="4" t="inlineStr">
        <is>
          <t>Industrials</t>
        </is>
      </c>
      <c r="I517" s="4" t="inlineStr">
        <is>
          <t>Industrial Services</t>
        </is>
      </c>
      <c r="J517" s="4" t="inlineStr">
        <is>
          <t>Commercial Support Services</t>
        </is>
      </c>
      <c r="K517" s="4" t="n"/>
      <c r="L517" s="4" t="n"/>
      <c r="M517" s="3" t="n">
        <v>65.15000000000001</v>
      </c>
      <c r="N517" s="3" t="n">
        <v>1512.59</v>
      </c>
      <c r="O517" s="4" t="inlineStr">
        <is>
          <t>United States</t>
        </is>
      </c>
      <c r="P517" s="4" t="inlineStr">
        <is>
          <t>United States</t>
        </is>
      </c>
      <c r="Q517" s="4" t="inlineStr">
        <is>
          <t>Friendly</t>
        </is>
      </c>
      <c r="R517" s="3" t="n">
        <v>988.001</v>
      </c>
      <c r="S517" s="3" t="n">
        <v>2.79079</v>
      </c>
      <c r="T517" s="4" t="inlineStr">
        <is>
          <t>Company Takeover</t>
        </is>
      </c>
      <c r="U517" s="2" t="inlineStr">
        <is>
          <t>No</t>
        </is>
      </c>
      <c r="V517" s="2" t="inlineStr">
        <is>
          <t>No</t>
        </is>
      </c>
      <c r="W517" s="2" t="inlineStr">
        <is>
          <t>No</t>
        </is>
      </c>
      <c r="X517" s="2" t="inlineStr">
        <is>
          <t>No</t>
        </is>
      </c>
      <c r="Y517" s="2" t="inlineStr">
        <is>
          <t>No</t>
        </is>
      </c>
      <c r="Z517" s="2" t="inlineStr">
        <is>
          <t>No</t>
        </is>
      </c>
      <c r="AA517" s="6" t="n">
        <v>3.35461738</v>
      </c>
      <c r="AB517" s="6" t="n">
        <v>2.994757384</v>
      </c>
      <c r="AC517" s="6" t="n">
        <v>3.179721225</v>
      </c>
      <c r="AD517">
        <f t="array" ref="AD517">IF(SUMPRODUCT(--($AM$2:$AM$112=TRIM(LEFT($B517,IFERROR(FIND(" ",$B517)-1,LEN($B517))))))&gt;0,1,0)</f>
        <v/>
      </c>
      <c r="AE517">
        <f t="array" ref="AE517">IF(SUMPRODUCT(--($AO$2:$AO$145=TRIM(LEFT($B517,IFERROR(FIND(" ",$B517)-1,LEN($B517))))))&gt;0,1,0)</f>
        <v/>
      </c>
      <c r="AF517">
        <f t="array" ref="AF517">IF(SUMPRODUCT(--($AQ$2:$AQ$71=TRIM(LEFT($B517,IFERROR(FIND(" ",$B517)-1,LEN($B517))))))&gt;0,1,0)</f>
        <v/>
      </c>
    </row>
    <row r="518" ht="45.75" customHeight="1" thickBot="1">
      <c r="A518" s="13" t="n">
        <v>193</v>
      </c>
      <c r="B518" s="4" t="inlineStr">
        <is>
          <t>MGP US</t>
        </is>
      </c>
      <c r="C518" s="4" t="inlineStr">
        <is>
          <t>VICI US</t>
        </is>
      </c>
      <c r="D518" s="7" t="n">
        <v>44412</v>
      </c>
      <c r="E518" s="3" t="n">
        <v>15516.32</v>
      </c>
      <c r="F518" s="4" t="inlineStr">
        <is>
          <t>Stock</t>
        </is>
      </c>
      <c r="G518" s="3" t="n">
        <v>14.68</v>
      </c>
      <c r="H518" s="4" t="inlineStr">
        <is>
          <t>Real Estate</t>
        </is>
      </c>
      <c r="I518" s="4" t="inlineStr">
        <is>
          <t>Real Estate</t>
        </is>
      </c>
      <c r="J518" s="4" t="inlineStr">
        <is>
          <t>REIT</t>
        </is>
      </c>
      <c r="K518" s="3" t="n">
        <v>709</v>
      </c>
      <c r="L518" s="3" t="n">
        <v>421</v>
      </c>
      <c r="M518" s="3" t="n">
        <v>15.13</v>
      </c>
      <c r="N518" s="3" t="n">
        <v>11309.93</v>
      </c>
      <c r="O518" s="4" t="inlineStr">
        <is>
          <t>United States</t>
        </is>
      </c>
      <c r="P518" s="4" t="inlineStr">
        <is>
          <t>United States</t>
        </is>
      </c>
      <c r="Q518" s="4" t="inlineStr">
        <is>
          <t>Friendly</t>
        </is>
      </c>
      <c r="R518" s="3" t="n">
        <v>782.063</v>
      </c>
      <c r="S518" s="3" t="n">
        <v>63.0295</v>
      </c>
      <c r="T518" s="4" t="inlineStr">
        <is>
          <t>Company Takeover</t>
        </is>
      </c>
      <c r="U518" s="2" t="inlineStr">
        <is>
          <t>No</t>
        </is>
      </c>
      <c r="V518" s="2" t="inlineStr">
        <is>
          <t>No</t>
        </is>
      </c>
      <c r="W518" s="2" t="inlineStr">
        <is>
          <t>No</t>
        </is>
      </c>
      <c r="X518" s="2" t="inlineStr">
        <is>
          <t>No</t>
        </is>
      </c>
      <c r="Y518" s="2" t="inlineStr">
        <is>
          <t>No</t>
        </is>
      </c>
      <c r="Z518" s="2" t="inlineStr">
        <is>
          <t>No</t>
        </is>
      </c>
      <c r="AA518" s="6" t="n">
        <v>4.190788728</v>
      </c>
      <c r="AB518" s="6" t="n">
        <v>2.89324174</v>
      </c>
      <c r="AC518" s="6" t="n">
        <v>4.053459917</v>
      </c>
      <c r="AD518">
        <f t="array" ref="AD518">IF(SUMPRODUCT(--($AM$2:$AM$112=TRIM(LEFT($B518,IFERROR(FIND(" ",$B518)-1,LEN($B518))))))&gt;0,1,0)</f>
        <v/>
      </c>
      <c r="AE518">
        <f t="array" ref="AE518">IF(SUMPRODUCT(--($AO$2:$AO$145=TRIM(LEFT($B518,IFERROR(FIND(" ",$B518)-1,LEN($B518))))))&gt;0,1,0)</f>
        <v/>
      </c>
      <c r="AF518">
        <f t="array" ref="AF518">IF(SUMPRODUCT(--($AQ$2:$AQ$71=TRIM(LEFT($B518,IFERROR(FIND(" ",$B518)-1,LEN($B518))))))&gt;0,1,0)</f>
        <v/>
      </c>
    </row>
    <row r="519" ht="75.75" customHeight="1" thickBot="1">
      <c r="A519" s="13" t="n">
        <v>249</v>
      </c>
      <c r="B519" s="4" t="inlineStr">
        <is>
          <t>FOE US</t>
        </is>
      </c>
      <c r="C519" s="4" t="inlineStr">
        <is>
          <t>1583377D US</t>
        </is>
      </c>
      <c r="D519" s="7" t="n">
        <v>44327</v>
      </c>
      <c r="E519" s="3" t="n">
        <v>2459.51</v>
      </c>
      <c r="F519" s="4" t="inlineStr">
        <is>
          <t>Cash</t>
        </is>
      </c>
      <c r="G519" s="3" t="n">
        <v>18.54</v>
      </c>
      <c r="H519" s="4" t="inlineStr">
        <is>
          <t>Materials</t>
        </is>
      </c>
      <c r="I519" s="4" t="inlineStr">
        <is>
          <t>Materials</t>
        </is>
      </c>
      <c r="J519" s="4" t="inlineStr">
        <is>
          <t>Chemicals</t>
        </is>
      </c>
      <c r="K519" s="3" t="n">
        <v>93.43000000000001</v>
      </c>
      <c r="L519" s="3" t="n">
        <v>55.12</v>
      </c>
      <c r="M519" s="4" t="n"/>
      <c r="N519" s="3" t="n">
        <v>1817.74</v>
      </c>
      <c r="O519" s="4" t="inlineStr">
        <is>
          <t>United States</t>
        </is>
      </c>
      <c r="P519" s="4" t="inlineStr">
        <is>
          <t>United States</t>
        </is>
      </c>
      <c r="Q519" s="4" t="inlineStr">
        <is>
          <t>Friendly</t>
        </is>
      </c>
      <c r="R519" s="3" t="n">
        <v>1126.26</v>
      </c>
      <c r="S519" s="3" t="n">
        <v>9.979900000000001</v>
      </c>
      <c r="T519" s="4" t="inlineStr">
        <is>
          <t>Company Takeover, Going Private</t>
        </is>
      </c>
      <c r="U519" s="2" t="inlineStr">
        <is>
          <t>No</t>
        </is>
      </c>
      <c r="V519" s="2" t="inlineStr">
        <is>
          <t>No</t>
        </is>
      </c>
      <c r="W519" s="2" t="inlineStr">
        <is>
          <t>No</t>
        </is>
      </c>
      <c r="X519" s="2" t="inlineStr">
        <is>
          <t>Yes</t>
        </is>
      </c>
      <c r="Y519" s="2" t="inlineStr">
        <is>
          <t>No</t>
        </is>
      </c>
      <c r="Z519" s="2" t="inlineStr">
        <is>
          <t>No</t>
        </is>
      </c>
      <c r="AA519" s="6" t="n">
        <v>3.390848593</v>
      </c>
      <c r="AB519" s="6" t="n">
        <v>3.05163866</v>
      </c>
      <c r="AC519" s="6" t="n">
        <v>3.259531764</v>
      </c>
      <c r="AD519">
        <f t="array" ref="AD519">IF(SUMPRODUCT(--($AM$2:$AM$112=TRIM(LEFT($B519,IFERROR(FIND(" ",$B519)-1,LEN($B519))))))&gt;0,1,0)</f>
        <v/>
      </c>
      <c r="AE519">
        <f t="array" ref="AE519">IF(SUMPRODUCT(--($AO$2:$AO$145=TRIM(LEFT($B519,IFERROR(FIND(" ",$B519)-1,LEN($B519))))))&gt;0,1,0)</f>
        <v/>
      </c>
      <c r="AF519">
        <f t="array" ref="AF519">IF(SUMPRODUCT(--($AQ$2:$AQ$71=TRIM(LEFT($B519,IFERROR(FIND(" ",$B519)-1,LEN($B519))))))&gt;0,1,0)</f>
        <v/>
      </c>
    </row>
    <row r="520" ht="45.75" customHeight="1" thickBot="1">
      <c r="A520" s="13" t="n">
        <v>102</v>
      </c>
      <c r="B520" s="4" t="inlineStr">
        <is>
          <t>STXB US</t>
        </is>
      </c>
      <c r="C520" s="4" t="inlineStr">
        <is>
          <t>SFNC US</t>
        </is>
      </c>
      <c r="D520" s="7" t="n">
        <v>44519</v>
      </c>
      <c r="E520" s="3" t="n">
        <v>526.0599999999999</v>
      </c>
      <c r="F520" s="4" t="inlineStr">
        <is>
          <t>Stock</t>
        </is>
      </c>
      <c r="G520" s="3" t="n">
        <v>6.86</v>
      </c>
      <c r="H520" s="4" t="inlineStr">
        <is>
          <t>Financials</t>
        </is>
      </c>
      <c r="I520" s="4" t="inlineStr">
        <is>
          <t>Banking</t>
        </is>
      </c>
      <c r="J520" s="4" t="inlineStr">
        <is>
          <t>Banking</t>
        </is>
      </c>
      <c r="K520" s="4" t="n"/>
      <c r="L520" s="4" t="n"/>
      <c r="M520" s="3" t="n">
        <v>24.66</v>
      </c>
      <c r="N520" s="3" t="n">
        <v>537.0700000000001</v>
      </c>
      <c r="O520" s="4" t="inlineStr">
        <is>
          <t>United States</t>
        </is>
      </c>
      <c r="P520" s="4" t="inlineStr">
        <is>
          <t>United States</t>
        </is>
      </c>
      <c r="Q520" s="4" t="inlineStr">
        <is>
          <t>Friendly</t>
        </is>
      </c>
      <c r="R520" s="3" t="n">
        <v>139.595</v>
      </c>
      <c r="S520" s="3" t="n">
        <v>37.77</v>
      </c>
      <c r="T520" s="4" t="inlineStr">
        <is>
          <t>Company Takeover</t>
        </is>
      </c>
      <c r="U520" s="2" t="inlineStr">
        <is>
          <t>No</t>
        </is>
      </c>
      <c r="V520" s="2" t="inlineStr">
        <is>
          <t>No</t>
        </is>
      </c>
      <c r="W520" s="2" t="inlineStr">
        <is>
          <t>No</t>
        </is>
      </c>
      <c r="X520" s="2" t="inlineStr">
        <is>
          <t>No</t>
        </is>
      </c>
      <c r="Y520" s="2" t="inlineStr">
        <is>
          <t>No</t>
        </is>
      </c>
      <c r="Z520" s="2" t="inlineStr">
        <is>
          <t>No</t>
        </is>
      </c>
      <c r="AA520" s="6" t="n">
        <v>2.721035281</v>
      </c>
      <c r="AB520" s="6" t="n">
        <v>2.144869863</v>
      </c>
      <c r="AC520" s="6" t="n">
        <v>2.730030894</v>
      </c>
      <c r="AD520">
        <f t="array" ref="AD520">IF(SUMPRODUCT(--($AM$2:$AM$112=TRIM(LEFT($B520,IFERROR(FIND(" ",$B520)-1,LEN($B520))))))&gt;0,1,0)</f>
        <v/>
      </c>
      <c r="AE520">
        <f t="array" ref="AE520">IF(SUMPRODUCT(--($AO$2:$AO$145=TRIM(LEFT($B520,IFERROR(FIND(" ",$B520)-1,LEN($B520))))))&gt;0,1,0)</f>
        <v/>
      </c>
      <c r="AF520">
        <f t="array" ref="AF520">IF(SUMPRODUCT(--($AQ$2:$AQ$71=TRIM(LEFT($B520,IFERROR(FIND(" ",$B520)-1,LEN($B520))))))&gt;0,1,0)</f>
        <v/>
      </c>
    </row>
    <row r="521" ht="165.75" customHeight="1" thickBot="1">
      <c r="A521" s="13" t="n">
        <v>34</v>
      </c>
      <c r="B521" s="4" t="inlineStr">
        <is>
          <t>HMHC US</t>
        </is>
      </c>
      <c r="C521" s="4" t="inlineStr">
        <is>
          <t>3311331Z US</t>
        </is>
      </c>
      <c r="D521" s="7" t="n">
        <v>44614</v>
      </c>
      <c r="E521" s="3" t="n">
        <v>2720.16</v>
      </c>
      <c r="F521" s="4" t="inlineStr">
        <is>
          <t>Cash</t>
        </is>
      </c>
      <c r="G521" s="3" t="n">
        <v>9.91</v>
      </c>
      <c r="H521" s="4" t="inlineStr">
        <is>
          <t>Communications</t>
        </is>
      </c>
      <c r="I521" s="4" t="inlineStr">
        <is>
          <t>Media</t>
        </is>
      </c>
      <c r="J521" s="4" t="inlineStr">
        <is>
          <t>Publishing &amp; Broadcasting</t>
        </is>
      </c>
      <c r="K521" s="3" t="n">
        <v>130</v>
      </c>
      <c r="L521" s="4" t="n"/>
      <c r="M521" s="3" t="n">
        <v>17.34</v>
      </c>
      <c r="N521" s="3" t="n">
        <v>2681.3</v>
      </c>
      <c r="O521" s="4" t="inlineStr">
        <is>
          <t>United States</t>
        </is>
      </c>
      <c r="P521" s="4" t="inlineStr">
        <is>
          <t>United States</t>
        </is>
      </c>
      <c r="Q521" s="4" t="inlineStr">
        <is>
          <t>Friendly</t>
        </is>
      </c>
      <c r="R521" s="3" t="n">
        <v>1050.8</v>
      </c>
      <c r="S521" s="3" t="n">
        <v>4.58526</v>
      </c>
      <c r="T521" s="4" t="inlineStr">
        <is>
          <t>Private Equity, Company Takeover, PE Buyout, Tender Offer, Going Private</t>
        </is>
      </c>
      <c r="U521" s="2" t="inlineStr">
        <is>
          <t>No</t>
        </is>
      </c>
      <c r="V521" s="2" t="inlineStr">
        <is>
          <t>No</t>
        </is>
      </c>
      <c r="W521" s="2" t="inlineStr">
        <is>
          <t>No</t>
        </is>
      </c>
      <c r="X521" s="2" t="inlineStr">
        <is>
          <t>Yes</t>
        </is>
      </c>
      <c r="Y521" s="2" t="inlineStr">
        <is>
          <t>Yes</t>
        </is>
      </c>
      <c r="Z521" s="2" t="inlineStr">
        <is>
          <t>Yes</t>
        </is>
      </c>
      <c r="AA521" s="6" t="n">
        <v>3.43459445</v>
      </c>
      <c r="AB521" s="6" t="n">
        <v>3.021520064</v>
      </c>
      <c r="AC521" s="6" t="n">
        <v>3.428345408</v>
      </c>
      <c r="AD521">
        <f t="array" ref="AD521">IF(SUMPRODUCT(--($AM$2:$AM$112=TRIM(LEFT($B521,IFERROR(FIND(" ",$B521)-1,LEN($B521))))))&gt;0,1,0)</f>
        <v/>
      </c>
      <c r="AE521">
        <f t="array" ref="AE521">IF(SUMPRODUCT(--($AO$2:$AO$145=TRIM(LEFT($B521,IFERROR(FIND(" ",$B521)-1,LEN($B521))))))&gt;0,1,0)</f>
        <v/>
      </c>
      <c r="AF521">
        <f t="array" ref="AF521">IF(SUMPRODUCT(--($AQ$2:$AQ$71=TRIM(LEFT($B521,IFERROR(FIND(" ",$B521)-1,LEN($B521))))))&gt;0,1,0)</f>
        <v/>
      </c>
    </row>
    <row r="522" ht="45.75" customHeight="1" thickBot="1">
      <c r="A522" s="13" t="n">
        <v>182</v>
      </c>
      <c r="B522" s="4" t="inlineStr">
        <is>
          <t>ISBC US</t>
        </is>
      </c>
      <c r="C522" s="4" t="inlineStr">
        <is>
          <t>CFG US</t>
        </is>
      </c>
      <c r="D522" s="7" t="n">
        <v>44405</v>
      </c>
      <c r="E522" s="3" t="n">
        <v>3630.55</v>
      </c>
      <c r="F522" s="4" t="inlineStr">
        <is>
          <t>Cash and Stock</t>
        </is>
      </c>
      <c r="G522" s="4" t="n"/>
      <c r="H522" s="4" t="inlineStr">
        <is>
          <t>Financials</t>
        </is>
      </c>
      <c r="I522" s="4" t="inlineStr">
        <is>
          <t>Banking</t>
        </is>
      </c>
      <c r="J522" s="4" t="inlineStr">
        <is>
          <t>Banking</t>
        </is>
      </c>
      <c r="K522" s="4" t="n"/>
      <c r="L522" s="3" t="n">
        <v>140</v>
      </c>
      <c r="M522" s="4" t="n"/>
      <c r="N522" s="3" t="n">
        <v>3630.55</v>
      </c>
      <c r="O522" s="4" t="inlineStr">
        <is>
          <t>United States</t>
        </is>
      </c>
      <c r="P522" s="4" t="inlineStr">
        <is>
          <t>United States</t>
        </is>
      </c>
      <c r="Q522" s="4" t="inlineStr">
        <is>
          <t>Friendly</t>
        </is>
      </c>
      <c r="R522" s="3" t="n">
        <v>983.101</v>
      </c>
      <c r="S522" s="3" t="n">
        <v>51.2777</v>
      </c>
      <c r="T522" s="4" t="inlineStr">
        <is>
          <t>Company Takeover</t>
        </is>
      </c>
      <c r="U522" s="2" t="inlineStr">
        <is>
          <t>No</t>
        </is>
      </c>
      <c r="V522" s="2" t="inlineStr">
        <is>
          <t>No</t>
        </is>
      </c>
      <c r="W522" s="2" t="inlineStr">
        <is>
          <t>No</t>
        </is>
      </c>
      <c r="X522" s="2" t="inlineStr">
        <is>
          <t>No</t>
        </is>
      </c>
      <c r="Y522" s="2" t="inlineStr">
        <is>
          <t>No</t>
        </is>
      </c>
      <c r="Z522" s="2" t="inlineStr">
        <is>
          <t>No</t>
        </is>
      </c>
      <c r="AA522" s="6" t="n">
        <v>3.559972422</v>
      </c>
      <c r="AB522" s="6" t="n">
        <v>2.992598138</v>
      </c>
      <c r="AC522" s="6" t="n">
        <v>3.559972422</v>
      </c>
      <c r="AD522">
        <f t="array" ref="AD522">IF(SUMPRODUCT(--($AM$2:$AM$112=TRIM(LEFT($B522,IFERROR(FIND(" ",$B522)-1,LEN($B522))))))&gt;0,1,0)</f>
        <v/>
      </c>
      <c r="AE522">
        <f t="array" ref="AE522">IF(SUMPRODUCT(--($AO$2:$AO$145=TRIM(LEFT($B522,IFERROR(FIND(" ",$B522)-1,LEN($B522))))))&gt;0,1,0)</f>
        <v/>
      </c>
      <c r="AF522">
        <f t="array" ref="AF522">IF(SUMPRODUCT(--($AQ$2:$AQ$71=TRIM(LEFT($B522,IFERROR(FIND(" ",$B522)-1,LEN($B522))))))&gt;0,1,0)</f>
        <v/>
      </c>
    </row>
    <row r="523" ht="45.75" customHeight="1" thickBot="1">
      <c r="A523" s="13" t="n">
        <v>292</v>
      </c>
      <c r="B523" s="4" t="inlineStr">
        <is>
          <t>PBCT US</t>
        </is>
      </c>
      <c r="C523" s="4" t="inlineStr">
        <is>
          <t>MTB US</t>
        </is>
      </c>
      <c r="D523" s="7" t="n">
        <v>44249</v>
      </c>
      <c r="E523" s="3" t="n">
        <v>5245.72</v>
      </c>
      <c r="F523" s="4" t="inlineStr">
        <is>
          <t>Stock</t>
        </is>
      </c>
      <c r="G523" s="4" t="n"/>
      <c r="H523" s="4" t="inlineStr">
        <is>
          <t>Financials</t>
        </is>
      </c>
      <c r="I523" s="4" t="inlineStr">
        <is>
          <t>Banking</t>
        </is>
      </c>
      <c r="J523" s="4" t="inlineStr">
        <is>
          <t>Banking</t>
        </is>
      </c>
      <c r="K523" s="4" t="n"/>
      <c r="L523" s="3" t="n">
        <v>280</v>
      </c>
      <c r="M523" s="4" t="n"/>
      <c r="N523" s="3" t="n">
        <v>7061.42</v>
      </c>
      <c r="O523" s="4" t="inlineStr">
        <is>
          <t>United States</t>
        </is>
      </c>
      <c r="P523" s="4" t="inlineStr">
        <is>
          <t>United States</t>
        </is>
      </c>
      <c r="Q523" s="4" t="inlineStr">
        <is>
          <t>Friendly</t>
        </is>
      </c>
      <c r="R523" s="3" t="n">
        <v>1994.9</v>
      </c>
      <c r="S523" s="3" t="n">
        <v>40.0063</v>
      </c>
      <c r="T523" s="4" t="inlineStr">
        <is>
          <t>Company Takeover</t>
        </is>
      </c>
      <c r="U523" s="2" t="inlineStr">
        <is>
          <t>No</t>
        </is>
      </c>
      <c r="V523" s="2" t="inlineStr">
        <is>
          <t>No</t>
        </is>
      </c>
      <c r="W523" s="2" t="inlineStr">
        <is>
          <t>No</t>
        </is>
      </c>
      <c r="X523" s="2" t="inlineStr">
        <is>
          <t>No</t>
        </is>
      </c>
      <c r="Y523" s="2" t="inlineStr">
        <is>
          <t>No</t>
        </is>
      </c>
      <c r="Z523" s="2" t="inlineStr">
        <is>
          <t>No</t>
        </is>
      </c>
      <c r="AA523" s="6" t="n">
        <v>3.719805106</v>
      </c>
      <c r="AB523" s="6" t="n">
        <v>3.29992113</v>
      </c>
      <c r="AC523" s="6" t="n">
        <v>3.848892043</v>
      </c>
      <c r="AD523">
        <f t="array" ref="AD523">IF(SUMPRODUCT(--($AM$2:$AM$112=TRIM(LEFT($B523,IFERROR(FIND(" ",$B523)-1,LEN($B523))))))&gt;0,1,0)</f>
        <v/>
      </c>
      <c r="AE523">
        <f t="array" ref="AE523">IF(SUMPRODUCT(--($AO$2:$AO$145=TRIM(LEFT($B523,IFERROR(FIND(" ",$B523)-1,LEN($B523))))))&gt;0,1,0)</f>
        <v/>
      </c>
      <c r="AF523">
        <f t="array" ref="AF523">IF(SUMPRODUCT(--($AQ$2:$AQ$71=TRIM(LEFT($B523,IFERROR(FIND(" ",$B523)-1,LEN($B523))))))&gt;0,1,0)</f>
        <v/>
      </c>
    </row>
    <row r="524" ht="135.75" customHeight="1" thickBot="1">
      <c r="A524" s="13" t="n">
        <v>82</v>
      </c>
      <c r="B524" s="4" t="inlineStr">
        <is>
          <t>2289879D US</t>
        </is>
      </c>
      <c r="C524" s="4" t="inlineStr">
        <is>
          <t>71194Z US</t>
        </is>
      </c>
      <c r="D524" s="7" t="n">
        <v>44543</v>
      </c>
      <c r="E524" s="3" t="n">
        <v>3731.39</v>
      </c>
      <c r="F524" s="4" t="inlineStr">
        <is>
          <t>Cash</t>
        </is>
      </c>
      <c r="G524" s="3" t="n">
        <v>21.8</v>
      </c>
      <c r="H524" s="4" t="inlineStr">
        <is>
          <t>Industrials</t>
        </is>
      </c>
      <c r="I524" s="4" t="inlineStr">
        <is>
          <t>Industrial Products</t>
        </is>
      </c>
      <c r="J524" s="4" t="inlineStr">
        <is>
          <t>Machinery</t>
        </is>
      </c>
      <c r="K524" s="4" t="n"/>
      <c r="L524" s="4" t="n"/>
      <c r="M524" s="3" t="n">
        <v>3.71</v>
      </c>
      <c r="N524" s="3" t="n">
        <v>3630.49</v>
      </c>
      <c r="O524" s="4" t="inlineStr">
        <is>
          <t>United States</t>
        </is>
      </c>
      <c r="P524" s="4" t="inlineStr">
        <is>
          <t>United States</t>
        </is>
      </c>
      <c r="Q524" s="4" t="inlineStr">
        <is>
          <t>Friendly</t>
        </is>
      </c>
      <c r="R524" s="3" t="n">
        <v>1529</v>
      </c>
      <c r="S524" s="3" t="n">
        <v>8.20144</v>
      </c>
      <c r="T524" s="4" t="inlineStr">
        <is>
          <t>PE Buyout, Company Takeover, Private Equity, Going Private</t>
        </is>
      </c>
      <c r="U524" s="2" t="inlineStr">
        <is>
          <t>No</t>
        </is>
      </c>
      <c r="V524" s="2" t="inlineStr">
        <is>
          <t>No</t>
        </is>
      </c>
      <c r="W524" s="2" t="inlineStr">
        <is>
          <t>No</t>
        </is>
      </c>
      <c r="X524" s="2" t="inlineStr">
        <is>
          <t>Yes</t>
        </is>
      </c>
      <c r="Y524" s="2" t="inlineStr">
        <is>
          <t>Yes</t>
        </is>
      </c>
      <c r="Z524" s="2" t="inlineStr">
        <is>
          <t>No</t>
        </is>
      </c>
      <c r="AA524" s="6" t="n">
        <v>3.571870643</v>
      </c>
      <c r="AB524" s="6" t="n">
        <v>3.184407485</v>
      </c>
      <c r="AC524" s="6" t="n">
        <v>3.559965245</v>
      </c>
      <c r="AD524">
        <f t="array" ref="AD524">IF(SUMPRODUCT(--($AM$2:$AM$112=TRIM(LEFT($B524,IFERROR(FIND(" ",$B524)-1,LEN($B524))))))&gt;0,1,0)</f>
        <v/>
      </c>
      <c r="AE524">
        <f t="array" ref="AE524">IF(SUMPRODUCT(--($AO$2:$AO$145=TRIM(LEFT($B524,IFERROR(FIND(" ",$B524)-1,LEN($B524))))))&gt;0,1,0)</f>
        <v/>
      </c>
      <c r="AF524">
        <f t="array" ref="AF524">IF(SUMPRODUCT(--($AQ$2:$AQ$71=TRIM(LEFT($B524,IFERROR(FIND(" ",$B524)-1,LEN($B524))))))&gt;0,1,0)</f>
        <v/>
      </c>
    </row>
    <row r="525" ht="135.75" customHeight="1" thickBot="1">
      <c r="A525" s="13" t="n">
        <v>77</v>
      </c>
      <c r="B525" s="4" t="inlineStr">
        <is>
          <t>BPMP US</t>
        </is>
      </c>
      <c r="C525" s="4" t="inlineStr">
        <is>
          <t>BP/ LN</t>
        </is>
      </c>
      <c r="D525" s="7" t="n">
        <v>44550</v>
      </c>
      <c r="E525" s="3" t="n">
        <v>736.5599999999999</v>
      </c>
      <c r="F525" s="4" t="inlineStr">
        <is>
          <t>Stock</t>
        </is>
      </c>
      <c r="G525" s="3" t="n">
        <v>21.6</v>
      </c>
      <c r="H525" s="4" t="inlineStr">
        <is>
          <t>Energy</t>
        </is>
      </c>
      <c r="I525" s="4" t="inlineStr">
        <is>
          <t>Oil &amp; Gas</t>
        </is>
      </c>
      <c r="J525" s="4" t="inlineStr">
        <is>
          <t>Oil &amp; Gas Supply Chain</t>
        </is>
      </c>
      <c r="K525" s="4" t="n"/>
      <c r="L525" s="4" t="n"/>
      <c r="M525" s="4" t="n"/>
      <c r="N525" s="3" t="n">
        <v>736.5599999999999</v>
      </c>
      <c r="O525" s="4" t="inlineStr">
        <is>
          <t>United States</t>
        </is>
      </c>
      <c r="P525" s="4" t="inlineStr">
        <is>
          <t>United Kingdom</t>
        </is>
      </c>
      <c r="Q525" s="4" t="inlineStr">
        <is>
          <t>Friendly</t>
        </is>
      </c>
      <c r="R525" s="3" t="n">
        <v>119.9</v>
      </c>
      <c r="S525" s="3" t="n">
        <v>60.2168</v>
      </c>
      <c r="T525" s="4" t="inlineStr">
        <is>
          <t>Company Takeover, Cross Border, Additional Stake Purchase</t>
        </is>
      </c>
      <c r="U525" s="2" t="inlineStr">
        <is>
          <t>Yes</t>
        </is>
      </c>
      <c r="V525" s="2" t="inlineStr">
        <is>
          <t>No</t>
        </is>
      </c>
      <c r="W525" s="2" t="inlineStr">
        <is>
          <t>Yes</t>
        </is>
      </c>
      <c r="X525" s="2" t="inlineStr">
        <is>
          <t>No</t>
        </is>
      </c>
      <c r="Y525" s="2" t="inlineStr">
        <is>
          <t>No</t>
        </is>
      </c>
      <c r="Z525" s="2" t="inlineStr">
        <is>
          <t>No</t>
        </is>
      </c>
      <c r="AA525" s="6" t="n">
        <v>2.86720813</v>
      </c>
      <c r="AB525" s="6" t="n">
        <v>2.078819183</v>
      </c>
      <c r="AC525" s="6" t="n">
        <v>2.86720813</v>
      </c>
      <c r="AD525">
        <f t="array" ref="AD525">IF(SUMPRODUCT(--($AM$2:$AM$112=TRIM(LEFT($B525,IFERROR(FIND(" ",$B525)-1,LEN($B525))))))&gt;0,1,0)</f>
        <v/>
      </c>
      <c r="AE525">
        <f t="array" ref="AE525">IF(SUMPRODUCT(--($AO$2:$AO$145=TRIM(LEFT($B525,IFERROR(FIND(" ",$B525)-1,LEN($B525))))))&gt;0,1,0)</f>
        <v/>
      </c>
      <c r="AF525">
        <f t="array" ref="AF525">IF(SUMPRODUCT(--($AQ$2:$AQ$71=TRIM(LEFT($B525,IFERROR(FIND(" ",$B525)-1,LEN($B525))))))&gt;0,1,0)</f>
        <v/>
      </c>
    </row>
    <row r="526" ht="75.75" customHeight="1" thickBot="1">
      <c r="A526" s="13" t="n">
        <v>74</v>
      </c>
      <c r="B526" s="4" t="inlineStr">
        <is>
          <t>VRS US</t>
        </is>
      </c>
      <c r="C526" s="4" t="inlineStr">
        <is>
          <t>BILL SS</t>
        </is>
      </c>
      <c r="D526" s="7" t="n">
        <v>44549</v>
      </c>
      <c r="E526" s="3" t="n">
        <v>623.6799999999999</v>
      </c>
      <c r="F526" s="4" t="inlineStr">
        <is>
          <t>Cash</t>
        </is>
      </c>
      <c r="G526" s="3" t="n">
        <v>14.5</v>
      </c>
      <c r="H526" s="4" t="inlineStr">
        <is>
          <t>Materials</t>
        </is>
      </c>
      <c r="I526" s="4" t="inlineStr">
        <is>
          <t>Materials</t>
        </is>
      </c>
      <c r="J526" s="4" t="inlineStr">
        <is>
          <t>Forestry, Paper &amp; Wood Products</t>
        </is>
      </c>
      <c r="K526" s="4" t="n"/>
      <c r="L526" s="4" t="n"/>
      <c r="M526" s="4" t="n"/>
      <c r="N526" s="3" t="n">
        <v>784.6799999999999</v>
      </c>
      <c r="O526" s="4" t="inlineStr">
        <is>
          <t>United States</t>
        </is>
      </c>
      <c r="P526" s="4" t="inlineStr">
        <is>
          <t>Sweden</t>
        </is>
      </c>
      <c r="Q526" s="4" t="inlineStr">
        <is>
          <t>Unsolicited to Friendly</t>
        </is>
      </c>
      <c r="R526" s="3" t="n">
        <v>1278</v>
      </c>
      <c r="S526" s="3" t="n">
        <v>-2.26917</v>
      </c>
      <c r="T526" s="4" t="inlineStr">
        <is>
          <t>Company Takeover, Cross Border</t>
        </is>
      </c>
      <c r="U526" s="2" t="inlineStr">
        <is>
          <t>No</t>
        </is>
      </c>
      <c r="V526" s="2" t="inlineStr">
        <is>
          <t>No</t>
        </is>
      </c>
      <c r="W526" s="2" t="inlineStr">
        <is>
          <t>Yes</t>
        </is>
      </c>
      <c r="X526" s="2" t="inlineStr">
        <is>
          <t>No</t>
        </is>
      </c>
      <c r="Y526" s="2" t="inlineStr">
        <is>
          <t>No</t>
        </is>
      </c>
      <c r="Z526" s="2" t="inlineStr">
        <is>
          <t>No</t>
        </is>
      </c>
      <c r="AA526" s="6" t="n">
        <v>2.794961817</v>
      </c>
      <c r="AB526" s="6" t="n">
        <v>3.106530854</v>
      </c>
      <c r="AC526" s="6" t="n">
        <v>2.894692583</v>
      </c>
      <c r="AD526">
        <f t="array" ref="AD526">IF(SUMPRODUCT(--($AM$2:$AM$112=TRIM(LEFT($B526,IFERROR(FIND(" ",$B526)-1,LEN($B526))))))&gt;0,1,0)</f>
        <v/>
      </c>
      <c r="AE526">
        <f t="array" ref="AE526">IF(SUMPRODUCT(--($AO$2:$AO$145=TRIM(LEFT($B526,IFERROR(FIND(" ",$B526)-1,LEN($B526))))))&gt;0,1,0)</f>
        <v/>
      </c>
      <c r="AF526">
        <f t="array" ref="AF526">IF(SUMPRODUCT(--($AQ$2:$AQ$71=TRIM(LEFT($B526,IFERROR(FIND(" ",$B526)-1,LEN($B526))))))&gt;0,1,0)</f>
        <v/>
      </c>
    </row>
    <row r="527" ht="60.75" customHeight="1" thickBot="1">
      <c r="A527" s="13" t="n">
        <v>58</v>
      </c>
      <c r="B527" s="4" t="inlineStr">
        <is>
          <t>APR US</t>
        </is>
      </c>
      <c r="C527" s="4" t="inlineStr">
        <is>
          <t>ACH US</t>
        </is>
      </c>
      <c r="D527" s="7" t="n">
        <v>44571</v>
      </c>
      <c r="E527" s="3" t="n">
        <v>1557.82</v>
      </c>
      <c r="F527" s="4" t="inlineStr">
        <is>
          <t>Cash</t>
        </is>
      </c>
      <c r="G527" s="3" t="n">
        <v>6.27</v>
      </c>
      <c r="H527" s="4" t="inlineStr">
        <is>
          <t>Health Care</t>
        </is>
      </c>
      <c r="I527" s="4" t="inlineStr">
        <is>
          <t>Health Care</t>
        </is>
      </c>
      <c r="J527" s="4" t="inlineStr">
        <is>
          <t>Medical Equipment &amp; Devices</t>
        </is>
      </c>
      <c r="K527" s="4" t="n"/>
      <c r="L527" s="4" t="n"/>
      <c r="M527" s="3" t="n">
        <v>20.75</v>
      </c>
      <c r="N527" s="3" t="n">
        <v>1330.19</v>
      </c>
      <c r="O527" s="4" t="inlineStr">
        <is>
          <t>United States</t>
        </is>
      </c>
      <c r="P527" s="4" t="inlineStr">
        <is>
          <t>United States</t>
        </is>
      </c>
      <c r="Q527" s="4" t="inlineStr">
        <is>
          <t>Friendly</t>
        </is>
      </c>
      <c r="R527" s="3" t="n">
        <v>1145.28</v>
      </c>
      <c r="S527" s="3" t="n">
        <v>8.500489999999999</v>
      </c>
      <c r="T527" s="4" t="inlineStr">
        <is>
          <t>Company Takeover</t>
        </is>
      </c>
      <c r="U527" s="2" t="inlineStr">
        <is>
          <t>No</t>
        </is>
      </c>
      <c r="V527" s="2" t="inlineStr">
        <is>
          <t>No</t>
        </is>
      </c>
      <c r="W527" s="2" t="inlineStr">
        <is>
          <t>No</t>
        </is>
      </c>
      <c r="X527" s="2" t="inlineStr">
        <is>
          <t>No</t>
        </is>
      </c>
      <c r="Y527" s="2" t="inlineStr">
        <is>
          <t>No</t>
        </is>
      </c>
      <c r="Z527" s="2" t="inlineStr">
        <is>
          <t>No</t>
        </is>
      </c>
      <c r="AA527" s="6" t="n">
        <v>3.192517275</v>
      </c>
      <c r="AB527" s="6" t="n">
        <v>3.058911677</v>
      </c>
      <c r="AC527" s="6" t="n">
        <v>3.123913679</v>
      </c>
      <c r="AD527">
        <f t="array" ref="AD527">IF(SUMPRODUCT(--($AM$2:$AM$112=TRIM(LEFT($B527,IFERROR(FIND(" ",$B527)-1,LEN($B527))))))&gt;0,1,0)</f>
        <v/>
      </c>
      <c r="AE527">
        <f t="array" ref="AE527">IF(SUMPRODUCT(--($AO$2:$AO$145=TRIM(LEFT($B527,IFERROR(FIND(" ",$B527)-1,LEN($B527))))))&gt;0,1,0)</f>
        <v/>
      </c>
      <c r="AF527">
        <f t="array" ref="AF527">IF(SUMPRODUCT(--($AQ$2:$AQ$71=TRIM(LEFT($B527,IFERROR(FIND(" ",$B527)-1,LEN($B527))))))&gt;0,1,0)</f>
        <v/>
      </c>
    </row>
    <row r="528" ht="105.75" customHeight="1" thickBot="1">
      <c r="A528" s="13" t="n">
        <v>141</v>
      </c>
      <c r="B528" s="4" t="inlineStr">
        <is>
          <t>GSKY US</t>
        </is>
      </c>
      <c r="C528" s="4" t="inlineStr">
        <is>
          <t>GS US</t>
        </is>
      </c>
      <c r="D528" s="7" t="n">
        <v>44454</v>
      </c>
      <c r="E528" s="3" t="n">
        <v>1277.74</v>
      </c>
      <c r="F528" s="4" t="inlineStr">
        <is>
          <t>Stock</t>
        </is>
      </c>
      <c r="G528" s="3" t="n">
        <v>9.26</v>
      </c>
      <c r="H528" s="4" t="inlineStr">
        <is>
          <t>Financials</t>
        </is>
      </c>
      <c r="I528" s="4" t="inlineStr">
        <is>
          <t>Financial Services</t>
        </is>
      </c>
      <c r="J528" s="4" t="inlineStr">
        <is>
          <t>Specialty Finance</t>
        </is>
      </c>
      <c r="K528" s="4" t="n"/>
      <c r="L528" s="3" t="n">
        <v>75</v>
      </c>
      <c r="M528" s="3" t="n">
        <v>53.42</v>
      </c>
      <c r="N528" s="3" t="n">
        <v>962.6</v>
      </c>
      <c r="O528" s="4" t="inlineStr">
        <is>
          <t>United States</t>
        </is>
      </c>
      <c r="P528" s="4" t="inlineStr">
        <is>
          <t>United States</t>
        </is>
      </c>
      <c r="Q528" s="4" t="inlineStr">
        <is>
          <t>Friendly</t>
        </is>
      </c>
      <c r="R528" s="3" t="n">
        <v>518.074</v>
      </c>
      <c r="S528" s="3" t="n">
        <v>31.1156</v>
      </c>
      <c r="T528" s="4" t="inlineStr">
        <is>
          <t>Company Takeover, Private Equity, PE Buyout</t>
        </is>
      </c>
      <c r="U528" s="2" t="inlineStr">
        <is>
          <t>No</t>
        </is>
      </c>
      <c r="V528" s="2" t="inlineStr">
        <is>
          <t>No</t>
        </is>
      </c>
      <c r="W528" s="2" t="inlineStr">
        <is>
          <t>No</t>
        </is>
      </c>
      <c r="X528" s="2" t="inlineStr">
        <is>
          <t>No</t>
        </is>
      </c>
      <c r="Y528" s="2" t="inlineStr">
        <is>
          <t>Yes</t>
        </is>
      </c>
      <c r="Z528" s="2" t="inlineStr">
        <is>
          <t>No</t>
        </is>
      </c>
      <c r="AA528" s="6" t="n">
        <v>3.106442491</v>
      </c>
      <c r="AB528" s="6" t="n">
        <v>2.714391797</v>
      </c>
      <c r="AC528" s="6" t="n">
        <v>2.983445857</v>
      </c>
      <c r="AD528">
        <f t="array" ref="AD528">IF(SUMPRODUCT(--($AM$2:$AM$112=TRIM(LEFT($B528,IFERROR(FIND(" ",$B528)-1,LEN($B528))))))&gt;0,1,0)</f>
        <v/>
      </c>
      <c r="AE528">
        <f t="array" ref="AE528">IF(SUMPRODUCT(--($AO$2:$AO$145=TRIM(LEFT($B528,IFERROR(FIND(" ",$B528)-1,LEN($B528))))))&gt;0,1,0)</f>
        <v/>
      </c>
      <c r="AF528">
        <f t="array" ref="AF528">IF(SUMPRODUCT(--($AQ$2:$AQ$71=TRIM(LEFT($B528,IFERROR(FIND(" ",$B528)-1,LEN($B528))))))&gt;0,1,0)</f>
        <v/>
      </c>
    </row>
    <row r="529" ht="135.75" customHeight="1" thickBot="1">
      <c r="A529" s="13" t="n">
        <v>96</v>
      </c>
      <c r="B529" s="4" t="inlineStr">
        <is>
          <t>CONE US</t>
        </is>
      </c>
      <c r="C529" s="2" t="n"/>
      <c r="D529" s="7" t="n">
        <v>44515</v>
      </c>
      <c r="E529" s="3" t="n">
        <v>11485.69</v>
      </c>
      <c r="F529" s="4" t="inlineStr">
        <is>
          <t>Cash</t>
        </is>
      </c>
      <c r="G529" s="3" t="n">
        <v>20.39</v>
      </c>
      <c r="H529" s="4" t="inlineStr">
        <is>
          <t>Real Estate</t>
        </is>
      </c>
      <c r="I529" s="4" t="inlineStr">
        <is>
          <t>Real Estate</t>
        </is>
      </c>
      <c r="J529" s="4" t="inlineStr">
        <is>
          <t>REIT</t>
        </is>
      </c>
      <c r="K529" s="4" t="n"/>
      <c r="L529" s="4" t="n"/>
      <c r="M529" s="3" t="n">
        <v>10.65</v>
      </c>
      <c r="N529" s="3" t="n">
        <v>11485.69</v>
      </c>
      <c r="O529" s="4" t="inlineStr">
        <is>
          <t>United States</t>
        </is>
      </c>
      <c r="P529" s="4" t="inlineStr">
        <is>
          <t>United States</t>
        </is>
      </c>
      <c r="Q529" s="4" t="inlineStr">
        <is>
          <t>Friendly</t>
        </is>
      </c>
      <c r="R529" s="3" t="n">
        <v>1205.7</v>
      </c>
      <c r="S529" s="3" t="n">
        <v>3.25952</v>
      </c>
      <c r="T529" s="4" t="inlineStr">
        <is>
          <t>Private Equity, Company Takeover, PE Buyout, Going Private</t>
        </is>
      </c>
      <c r="U529" s="2" t="inlineStr">
        <is>
          <t>No</t>
        </is>
      </c>
      <c r="V529" s="2" t="inlineStr">
        <is>
          <t>No</t>
        </is>
      </c>
      <c r="W529" s="2" t="inlineStr">
        <is>
          <t>No</t>
        </is>
      </c>
      <c r="X529" s="2" t="inlineStr">
        <is>
          <t>Yes</t>
        </is>
      </c>
      <c r="Y529" s="2" t="inlineStr">
        <is>
          <t>Yes</t>
        </is>
      </c>
      <c r="Z529" s="2" t="inlineStr">
        <is>
          <t>No</t>
        </is>
      </c>
      <c r="AA529" s="6" t="n">
        <v>4.06015709</v>
      </c>
      <c r="AB529" s="6" t="n">
        <v>3.081239261</v>
      </c>
      <c r="AC529" s="6" t="n">
        <v>4.06015709</v>
      </c>
      <c r="AD529">
        <f t="array" ref="AD529">IF(SUMPRODUCT(--($AM$2:$AM$112=TRIM(LEFT($B529,IFERROR(FIND(" ",$B529)-1,LEN($B529))))))&gt;0,1,0)</f>
        <v/>
      </c>
      <c r="AE529">
        <f t="array" ref="AE529">IF(SUMPRODUCT(--($AO$2:$AO$145=TRIM(LEFT($B529,IFERROR(FIND(" ",$B529)-1,LEN($B529))))))&gt;0,1,0)</f>
        <v/>
      </c>
      <c r="AF529">
        <f t="array" ref="AF529">IF(SUMPRODUCT(--($AQ$2:$AQ$71=TRIM(LEFT($B529,IFERROR(FIND(" ",$B529)-1,LEN($B529))))))&gt;0,1,0)</f>
        <v/>
      </c>
    </row>
    <row r="530" ht="75.75" customHeight="1" thickBot="1">
      <c r="A530" s="13" t="n">
        <v>281</v>
      </c>
      <c r="B530" s="4" t="inlineStr">
        <is>
          <t>FRTA US</t>
        </is>
      </c>
      <c r="C530" s="4" t="inlineStr">
        <is>
          <t>0873823D US</t>
        </is>
      </c>
      <c r="D530" s="7" t="n">
        <v>44249</v>
      </c>
      <c r="E530" s="3" t="n">
        <v>2697.24</v>
      </c>
      <c r="F530" s="4" t="inlineStr">
        <is>
          <t>Cash</t>
        </is>
      </c>
      <c r="G530" s="3" t="n">
        <v>10.42</v>
      </c>
      <c r="H530" s="4" t="inlineStr">
        <is>
          <t>Materials</t>
        </is>
      </c>
      <c r="I530" s="4" t="inlineStr">
        <is>
          <t>Materials</t>
        </is>
      </c>
      <c r="J530" s="4" t="inlineStr">
        <is>
          <t>Construction Materials</t>
        </is>
      </c>
      <c r="K530" s="3" t="n">
        <v>85</v>
      </c>
      <c r="L530" s="3" t="n">
        <v>50</v>
      </c>
      <c r="M530" s="3" t="n">
        <v>16.69</v>
      </c>
      <c r="N530" s="3" t="n">
        <v>1576.17</v>
      </c>
      <c r="O530" s="4" t="inlineStr">
        <is>
          <t>United States</t>
        </is>
      </c>
      <c r="P530" s="4" t="inlineStr">
        <is>
          <t>United States</t>
        </is>
      </c>
      <c r="Q530" s="4" t="inlineStr">
        <is>
          <t>Friendly</t>
        </is>
      </c>
      <c r="R530" s="3" t="n">
        <v>1858.27</v>
      </c>
      <c r="S530" s="3" t="n">
        <v>11.699</v>
      </c>
      <c r="T530" s="4" t="inlineStr">
        <is>
          <t>Company Takeover, Going Private</t>
        </is>
      </c>
      <c r="U530" s="2" t="inlineStr">
        <is>
          <t>No</t>
        </is>
      </c>
      <c r="V530" s="2" t="inlineStr">
        <is>
          <t>No</t>
        </is>
      </c>
      <c r="W530" s="2" t="inlineStr">
        <is>
          <t>No</t>
        </is>
      </c>
      <c r="X530" s="2" t="inlineStr">
        <is>
          <t>Yes</t>
        </is>
      </c>
      <c r="Y530" s="2" t="inlineStr">
        <is>
          <t>No</t>
        </is>
      </c>
      <c r="Z530" s="2" t="inlineStr">
        <is>
          <t>No</t>
        </is>
      </c>
      <c r="AA530" s="6" t="n">
        <v>3.430919592</v>
      </c>
      <c r="AB530" s="6" t="n">
        <v>3.269108816</v>
      </c>
      <c r="AC530" s="6" t="n">
        <v>3.197603057</v>
      </c>
      <c r="AD530">
        <f t="array" ref="AD530">IF(SUMPRODUCT(--($AM$2:$AM$112=TRIM(LEFT($B530,IFERROR(FIND(" ",$B530)-1,LEN($B530))))))&gt;0,1,0)</f>
        <v/>
      </c>
      <c r="AE530">
        <f t="array" ref="AE530">IF(SUMPRODUCT(--($AO$2:$AO$145=TRIM(LEFT($B530,IFERROR(FIND(" ",$B530)-1,LEN($B530))))))&gt;0,1,0)</f>
        <v/>
      </c>
      <c r="AF530">
        <f t="array" ref="AF530">IF(SUMPRODUCT(--($AQ$2:$AQ$71=TRIM(LEFT($B530,IFERROR(FIND(" ",$B530)-1,LEN($B530))))))&gt;0,1,0)</f>
        <v/>
      </c>
    </row>
    <row r="531" ht="165.75" customHeight="1" thickBot="1">
      <c r="A531" s="13" t="n">
        <v>62</v>
      </c>
      <c r="B531" s="4" t="inlineStr">
        <is>
          <t>HXOH US</t>
        </is>
      </c>
      <c r="C531" s="4" t="inlineStr">
        <is>
          <t>0704811D US</t>
        </is>
      </c>
      <c r="D531" s="7" t="n">
        <v>44550</v>
      </c>
      <c r="E531" s="3" t="n">
        <v>3141.05</v>
      </c>
      <c r="F531" s="4" t="inlineStr">
        <is>
          <t>Cash</t>
        </is>
      </c>
      <c r="G531" s="4" t="n"/>
      <c r="H531" s="4" t="inlineStr">
        <is>
          <t>Materials</t>
        </is>
      </c>
      <c r="I531" s="4" t="inlineStr">
        <is>
          <t>Materials</t>
        </is>
      </c>
      <c r="J531" s="4" t="inlineStr">
        <is>
          <t>Chemicals</t>
        </is>
      </c>
      <c r="K531" s="4" t="n"/>
      <c r="L531" s="4" t="n"/>
      <c r="M531" s="3" t="n">
        <v>22.39</v>
      </c>
      <c r="N531" s="3" t="n">
        <v>1727.05</v>
      </c>
      <c r="O531" s="4" t="inlineStr">
        <is>
          <t>United States</t>
        </is>
      </c>
      <c r="P531" s="4" t="inlineStr">
        <is>
          <t>United States</t>
        </is>
      </c>
      <c r="Q531" s="4" t="inlineStr">
        <is>
          <t>Friendly</t>
        </is>
      </c>
      <c r="R531" s="3" t="n">
        <v>2510</v>
      </c>
      <c r="S531" s="3" t="n">
        <v>-2.5498</v>
      </c>
      <c r="T531" s="4" t="inlineStr">
        <is>
          <t>Company Takeover, PE Buyout, Competing Bid, Private Equity, Going Private</t>
        </is>
      </c>
      <c r="U531" s="2" t="inlineStr">
        <is>
          <t>No</t>
        </is>
      </c>
      <c r="V531" s="2" t="inlineStr">
        <is>
          <t>Yes</t>
        </is>
      </c>
      <c r="W531" s="2" t="inlineStr">
        <is>
          <t>No</t>
        </is>
      </c>
      <c r="X531" s="2" t="inlineStr">
        <is>
          <t>Yes</t>
        </is>
      </c>
      <c r="Y531" s="2" t="inlineStr">
        <is>
          <t>Yes</t>
        </is>
      </c>
      <c r="Z531" s="2" t="inlineStr">
        <is>
          <t>No</t>
        </is>
      </c>
      <c r="AA531" s="6" t="n">
        <v>3.49707485</v>
      </c>
      <c r="AB531" s="6" t="n">
        <v>3.399673721</v>
      </c>
      <c r="AC531" s="6" t="n">
        <v>3.237304911</v>
      </c>
      <c r="AD531">
        <f t="array" ref="AD531">IF(SUMPRODUCT(--($AM$2:$AM$112=TRIM(LEFT($B531,IFERROR(FIND(" ",$B531)-1,LEN($B531))))))&gt;0,1,0)</f>
        <v/>
      </c>
      <c r="AE531">
        <f t="array" ref="AE531">IF(SUMPRODUCT(--($AO$2:$AO$145=TRIM(LEFT($B531,IFERROR(FIND(" ",$B531)-1,LEN($B531))))))&gt;0,1,0)</f>
        <v/>
      </c>
      <c r="AF531">
        <f t="array" ref="AF531">IF(SUMPRODUCT(--($AQ$2:$AQ$71=TRIM(LEFT($B531,IFERROR(FIND(" ",$B531)-1,LEN($B531))))))&gt;0,1,0)</f>
        <v/>
      </c>
    </row>
    <row r="532" ht="45.75" customHeight="1" thickBot="1">
      <c r="A532" s="13" t="n">
        <v>122</v>
      </c>
      <c r="B532" s="4" t="inlineStr">
        <is>
          <t>KRA US</t>
        </is>
      </c>
      <c r="C532" s="4" t="inlineStr">
        <is>
          <t>000210 KS</t>
        </is>
      </c>
      <c r="D532" s="7" t="n">
        <v>44466</v>
      </c>
      <c r="E532" s="3" t="n">
        <v>2442.76</v>
      </c>
      <c r="F532" s="4" t="inlineStr">
        <is>
          <t>Cash</t>
        </is>
      </c>
      <c r="G532" s="4" t="n"/>
      <c r="H532" s="4" t="inlineStr">
        <is>
          <t>Materials</t>
        </is>
      </c>
      <c r="I532" s="4" t="inlineStr">
        <is>
          <t>Materials</t>
        </is>
      </c>
      <c r="J532" s="4" t="inlineStr">
        <is>
          <t>Chemicals</t>
        </is>
      </c>
      <c r="K532" s="3" t="n">
        <v>63</v>
      </c>
      <c r="L532" s="4" t="n"/>
      <c r="M532" s="3" t="n">
        <v>12.27</v>
      </c>
      <c r="N532" s="3" t="n">
        <v>1494.89</v>
      </c>
      <c r="O532" s="4" t="inlineStr">
        <is>
          <t>United States</t>
        </is>
      </c>
      <c r="P532" s="4" t="inlineStr">
        <is>
          <t>South Korea</t>
        </is>
      </c>
      <c r="Q532" s="4" t="inlineStr">
        <is>
          <t>Friendly</t>
        </is>
      </c>
      <c r="R532" s="3" t="n">
        <v>1970.13</v>
      </c>
      <c r="S532" s="3" t="n">
        <v>13.0362</v>
      </c>
      <c r="T532" s="4" t="inlineStr">
        <is>
          <t>Company Takeover</t>
        </is>
      </c>
      <c r="U532" s="2" t="inlineStr">
        <is>
          <t>No</t>
        </is>
      </c>
      <c r="V532" s="2" t="inlineStr">
        <is>
          <t>No</t>
        </is>
      </c>
      <c r="W532" s="2" t="inlineStr">
        <is>
          <t>No</t>
        </is>
      </c>
      <c r="X532" s="2" t="inlineStr">
        <is>
          <t>No</t>
        </is>
      </c>
      <c r="Y532" s="2" t="inlineStr">
        <is>
          <t>No</t>
        </is>
      </c>
      <c r="Z532" s="2" t="inlineStr">
        <is>
          <t>No</t>
        </is>
      </c>
      <c r="AA532" s="6" t="n">
        <v>3.3878808</v>
      </c>
      <c r="AB532" s="6" t="n">
        <v>3.294494884</v>
      </c>
      <c r="AC532" s="6" t="n">
        <v>3.174609237</v>
      </c>
      <c r="AD532">
        <f t="array" ref="AD532">IF(SUMPRODUCT(--($AM$2:$AM$112=TRIM(LEFT($B532,IFERROR(FIND(" ",$B532)-1,LEN($B532))))))&gt;0,1,0)</f>
        <v/>
      </c>
      <c r="AE532">
        <f t="array" ref="AE532">IF(SUMPRODUCT(--($AO$2:$AO$145=TRIM(LEFT($B532,IFERROR(FIND(" ",$B532)-1,LEN($B532))))))&gt;0,1,0)</f>
        <v/>
      </c>
      <c r="AF532">
        <f t="array" ref="AF532">IF(SUMPRODUCT(--($AQ$2:$AQ$71=TRIM(LEFT($B532,IFERROR(FIND(" ",$B532)-1,LEN($B532))))))&gt;0,1,0)</f>
        <v/>
      </c>
    </row>
    <row r="533" ht="45.75" customHeight="1" thickBot="1">
      <c r="A533" s="13" t="n">
        <v>66</v>
      </c>
      <c r="B533" s="4" t="inlineStr">
        <is>
          <t>ARNA US</t>
        </is>
      </c>
      <c r="C533" s="4" t="inlineStr">
        <is>
          <t>PFE US</t>
        </is>
      </c>
      <c r="D533" s="7" t="n">
        <v>44543</v>
      </c>
      <c r="E533" s="3" t="n">
        <v>5403.53</v>
      </c>
      <c r="F533" s="4" t="inlineStr">
        <is>
          <t>Cash</t>
        </is>
      </c>
      <c r="G533" s="4" t="n"/>
      <c r="H533" s="4" t="inlineStr">
        <is>
          <t>Health Care</t>
        </is>
      </c>
      <c r="I533" s="4" t="inlineStr">
        <is>
          <t>Health Care</t>
        </is>
      </c>
      <c r="J533" s="4" t="inlineStr">
        <is>
          <t>Biotech &amp; Pharma</t>
        </is>
      </c>
      <c r="K533" s="3" t="n">
        <v>350</v>
      </c>
      <c r="L533" s="3" t="n">
        <v>235</v>
      </c>
      <c r="M533" s="3" t="n">
        <v>79.16</v>
      </c>
      <c r="N533" s="3" t="n">
        <v>6132.83</v>
      </c>
      <c r="O533" s="4" t="inlineStr">
        <is>
          <t>United States</t>
        </is>
      </c>
      <c r="P533" s="4" t="inlineStr">
        <is>
          <t>United States</t>
        </is>
      </c>
      <c r="Q533" s="4" t="inlineStr">
        <is>
          <t>Friendly</t>
        </is>
      </c>
      <c r="R533" s="3" t="n">
        <v>0.054</v>
      </c>
      <c r="S533" s="9" t="n">
        <v>-1160000</v>
      </c>
      <c r="T533" s="4" t="inlineStr">
        <is>
          <t>Company Takeover</t>
        </is>
      </c>
      <c r="U533" s="2" t="inlineStr">
        <is>
          <t>No</t>
        </is>
      </c>
      <c r="V533" s="2" t="inlineStr">
        <is>
          <t>No</t>
        </is>
      </c>
      <c r="W533" s="2" t="inlineStr">
        <is>
          <t>No</t>
        </is>
      </c>
      <c r="X533" s="2" t="inlineStr">
        <is>
          <t>No</t>
        </is>
      </c>
      <c r="Y533" s="2" t="inlineStr">
        <is>
          <t>No</t>
        </is>
      </c>
      <c r="Z533" s="2" t="inlineStr">
        <is>
          <t>No</t>
        </is>
      </c>
      <c r="AA533" s="6" t="n">
        <v>3.732677567</v>
      </c>
      <c r="AB533" s="6" t="n">
        <v>-1.26760624</v>
      </c>
      <c r="AC533" s="6" t="n">
        <v>3.787660926</v>
      </c>
      <c r="AD533">
        <f t="array" ref="AD533">IF(SUMPRODUCT(--($AM$2:$AM$112=TRIM(LEFT($B533,IFERROR(FIND(" ",$B533)-1,LEN($B533))))))&gt;0,1,0)</f>
        <v/>
      </c>
      <c r="AE533">
        <f t="array" ref="AE533">IF(SUMPRODUCT(--($AO$2:$AO$145=TRIM(LEFT($B533,IFERROR(FIND(" ",$B533)-1,LEN($B533))))))&gt;0,1,0)</f>
        <v/>
      </c>
      <c r="AF533">
        <f t="array" ref="AF533">IF(SUMPRODUCT(--($AQ$2:$AQ$71=TRIM(LEFT($B533,IFERROR(FIND(" ",$B533)-1,LEN($B533))))))&gt;0,1,0)</f>
        <v/>
      </c>
    </row>
    <row r="534" ht="150.75" customHeight="1" thickBot="1">
      <c r="A534" s="13" t="n">
        <v>91</v>
      </c>
      <c r="B534" s="4" t="inlineStr">
        <is>
          <t>PVG CN</t>
        </is>
      </c>
      <c r="C534" s="4" t="inlineStr">
        <is>
          <t>NCM AU</t>
        </is>
      </c>
      <c r="D534" s="7" t="n">
        <v>44508</v>
      </c>
      <c r="E534" s="3" t="n">
        <v>2644.94</v>
      </c>
      <c r="F534" s="4" t="inlineStr">
        <is>
          <t>Cash or Stock</t>
        </is>
      </c>
      <c r="G534" s="3" t="n">
        <v>9.4</v>
      </c>
      <c r="H534" s="4" t="inlineStr">
        <is>
          <t>Materials</t>
        </is>
      </c>
      <c r="I534" s="4" t="inlineStr">
        <is>
          <t>Materials</t>
        </is>
      </c>
      <c r="J534" s="4" t="inlineStr">
        <is>
          <t>Metals &amp; Mining</t>
        </is>
      </c>
      <c r="K534" s="4" t="n"/>
      <c r="L534" s="4" t="n"/>
      <c r="M534" s="3" t="n">
        <v>29.58</v>
      </c>
      <c r="N534" s="3" t="n">
        <v>2644.94</v>
      </c>
      <c r="O534" s="4" t="inlineStr">
        <is>
          <t>Canada</t>
        </is>
      </c>
      <c r="P534" s="4" t="inlineStr">
        <is>
          <t>Australia</t>
        </is>
      </c>
      <c r="Q534" s="4" t="inlineStr">
        <is>
          <t>Friendly</t>
        </is>
      </c>
      <c r="R534" s="3" t="n">
        <v>617.585</v>
      </c>
      <c r="S534" s="3" t="n">
        <v>31.681</v>
      </c>
      <c r="T534" s="4" t="inlineStr">
        <is>
          <t>Cross Border, Company Takeover, Additional Stake Purchase</t>
        </is>
      </c>
      <c r="U534" s="2" t="inlineStr">
        <is>
          <t>Yes</t>
        </is>
      </c>
      <c r="V534" s="2" t="inlineStr">
        <is>
          <t>No</t>
        </is>
      </c>
      <c r="W534" s="2" t="inlineStr">
        <is>
          <t>Yes</t>
        </is>
      </c>
      <c r="X534" s="2" t="inlineStr">
        <is>
          <t>No</t>
        </is>
      </c>
      <c r="Y534" s="2" t="inlineStr">
        <is>
          <t>No</t>
        </is>
      </c>
      <c r="Z534" s="2" t="inlineStr">
        <is>
          <t>No</t>
        </is>
      </c>
      <c r="AA534" s="6" t="n">
        <v>3.422415825</v>
      </c>
      <c r="AB534" s="6" t="n">
        <v>2.790696739</v>
      </c>
      <c r="AC534" s="6" t="n">
        <v>3.422415825</v>
      </c>
      <c r="AD534">
        <f t="array" ref="AD534">IF(SUMPRODUCT(--($AM$2:$AM$112=TRIM(LEFT($B534,IFERROR(FIND(" ",$B534)-1,LEN($B534))))))&gt;0,1,0)</f>
        <v/>
      </c>
      <c r="AE534">
        <f t="array" ref="AE534">IF(SUMPRODUCT(--($AO$2:$AO$145=TRIM(LEFT($B534,IFERROR(FIND(" ",$B534)-1,LEN($B534))))))&gt;0,1,0)</f>
        <v/>
      </c>
      <c r="AF534">
        <f t="array" ref="AF534">IF(SUMPRODUCT(--($AQ$2:$AQ$71=TRIM(LEFT($B534,IFERROR(FIND(" ",$B534)-1,LEN($B534))))))&gt;0,1,0)</f>
        <v/>
      </c>
    </row>
    <row r="535" ht="120.75" customHeight="1" thickBot="1">
      <c r="A535" s="13" t="n">
        <v>96</v>
      </c>
      <c r="B535" s="4" t="inlineStr">
        <is>
          <t>PSXP US</t>
        </is>
      </c>
      <c r="C535" s="4" t="inlineStr">
        <is>
          <t>PSX US</t>
        </is>
      </c>
      <c r="D535" s="7" t="n">
        <v>44496</v>
      </c>
      <c r="E535" s="3" t="n">
        <v>2333.84</v>
      </c>
      <c r="F535" s="4" t="inlineStr">
        <is>
          <t>Stock</t>
        </is>
      </c>
      <c r="G535" s="3" t="n">
        <v>29.83</v>
      </c>
      <c r="H535" s="4" t="inlineStr">
        <is>
          <t>Energy</t>
        </is>
      </c>
      <c r="I535" s="4" t="inlineStr">
        <is>
          <t>Oil &amp; Gas</t>
        </is>
      </c>
      <c r="J535" s="4" t="inlineStr">
        <is>
          <t>Oil &amp; Gas Supply Chain</t>
        </is>
      </c>
      <c r="K535" s="4" t="n"/>
      <c r="L535" s="4" t="n"/>
      <c r="M535" s="3" t="n">
        <v>3.41</v>
      </c>
      <c r="N535" s="3" t="n">
        <v>2333.84</v>
      </c>
      <c r="O535" s="4" t="inlineStr">
        <is>
          <t>United States</t>
        </is>
      </c>
      <c r="P535" s="4" t="inlineStr">
        <is>
          <t>United States</t>
        </is>
      </c>
      <c r="Q535" s="4" t="inlineStr">
        <is>
          <t>Friendly</t>
        </is>
      </c>
      <c r="R535" s="3" t="n">
        <v>1146</v>
      </c>
      <c r="S535" s="3" t="n">
        <v>26.2653</v>
      </c>
      <c r="T535" s="4" t="inlineStr">
        <is>
          <t>Company Takeover, Additional Stake Purchase</t>
        </is>
      </c>
      <c r="U535" s="2" t="inlineStr">
        <is>
          <t>Yes</t>
        </is>
      </c>
      <c r="V535" s="2" t="inlineStr">
        <is>
          <t>No</t>
        </is>
      </c>
      <c r="W535" s="2" t="inlineStr">
        <is>
          <t>No</t>
        </is>
      </c>
      <c r="X535" s="2" t="inlineStr">
        <is>
          <t>No</t>
        </is>
      </c>
      <c r="Y535" s="2" t="inlineStr">
        <is>
          <t>No</t>
        </is>
      </c>
      <c r="Z535" s="2" t="inlineStr">
        <is>
          <t>No</t>
        </is>
      </c>
      <c r="AA535" s="6" t="n">
        <v>3.368071079</v>
      </c>
      <c r="AB535" s="6" t="n">
        <v>3.059184618</v>
      </c>
      <c r="AC535" s="6" t="n">
        <v>3.368071079</v>
      </c>
      <c r="AD535">
        <f t="array" ref="AD535">IF(SUMPRODUCT(--($AM$2:$AM$112=TRIM(LEFT($B535,IFERROR(FIND(" ",$B535)-1,LEN($B535))))))&gt;0,1,0)</f>
        <v/>
      </c>
      <c r="AE535">
        <f t="array" ref="AE535">IF(SUMPRODUCT(--($AO$2:$AO$145=TRIM(LEFT($B535,IFERROR(FIND(" ",$B535)-1,LEN($B535))))))&gt;0,1,0)</f>
        <v/>
      </c>
      <c r="AF535">
        <f t="array" ref="AF535">IF(SUMPRODUCT(--($AQ$2:$AQ$71=TRIM(LEFT($B535,IFERROR(FIND(" ",$B535)-1,LEN($B535))))))&gt;0,1,0)</f>
        <v/>
      </c>
    </row>
    <row r="536" ht="75.75" customHeight="1" thickBot="1">
      <c r="A536" s="13" t="n">
        <v>68</v>
      </c>
      <c r="B536" s="4" t="inlineStr">
        <is>
          <t>2564126D US</t>
        </is>
      </c>
      <c r="C536" s="4" t="inlineStr">
        <is>
          <t>JACK US</t>
        </is>
      </c>
      <c r="D536" s="7" t="n">
        <v>44536</v>
      </c>
      <c r="E536" s="3" t="n">
        <v>825.03</v>
      </c>
      <c r="F536" s="4" t="inlineStr">
        <is>
          <t>Cash</t>
        </is>
      </c>
      <c r="G536" s="3" t="n">
        <v>8.02</v>
      </c>
      <c r="H536" s="4" t="inlineStr">
        <is>
          <t>Consumer Discretionary</t>
        </is>
      </c>
      <c r="I536" s="4" t="inlineStr">
        <is>
          <t>Consumer Discretionary Services</t>
        </is>
      </c>
      <c r="J536" s="4" t="inlineStr">
        <is>
          <t>Leisure Facilities &amp; Services</t>
        </is>
      </c>
      <c r="K536" s="4" t="n"/>
      <c r="L536" s="4" t="n"/>
      <c r="M536" s="3" t="n">
        <v>52.64</v>
      </c>
      <c r="N536" s="3" t="n">
        <v>455.27</v>
      </c>
      <c r="O536" s="4" t="inlineStr">
        <is>
          <t>United States</t>
        </is>
      </c>
      <c r="P536" s="4" t="inlineStr">
        <is>
          <t>United States</t>
        </is>
      </c>
      <c r="Q536" s="4" t="inlineStr">
        <is>
          <t>Friendly</t>
        </is>
      </c>
      <c r="R536" s="3" t="n">
        <v>527.355</v>
      </c>
      <c r="S536" s="3" t="n">
        <v>2.28461</v>
      </c>
      <c r="T536" s="4" t="inlineStr">
        <is>
          <t>Company Takeover</t>
        </is>
      </c>
      <c r="U536" s="2" t="inlineStr">
        <is>
          <t>No</t>
        </is>
      </c>
      <c r="V536" s="2" t="inlineStr">
        <is>
          <t>No</t>
        </is>
      </c>
      <c r="W536" s="2" t="inlineStr">
        <is>
          <t>No</t>
        </is>
      </c>
      <c r="X536" s="2" t="inlineStr">
        <is>
          <t>No</t>
        </is>
      </c>
      <c r="Y536" s="2" t="inlineStr">
        <is>
          <t>No</t>
        </is>
      </c>
      <c r="Z536" s="2" t="inlineStr">
        <is>
          <t>No</t>
        </is>
      </c>
      <c r="AA536" s="6" t="n">
        <v>2.916469741</v>
      </c>
      <c r="AB536" s="6" t="n">
        <v>2.722103068</v>
      </c>
      <c r="AC536" s="6" t="n">
        <v>2.658269033</v>
      </c>
      <c r="AD536">
        <f t="array" ref="AD536">IF(SUMPRODUCT(--($AM$2:$AM$112=TRIM(LEFT($B536,IFERROR(FIND(" ",$B536)-1,LEN($B536))))))&gt;0,1,0)</f>
        <v/>
      </c>
      <c r="AE536">
        <f t="array" ref="AE536">IF(SUMPRODUCT(--($AO$2:$AO$145=TRIM(LEFT($B536,IFERROR(FIND(" ",$B536)-1,LEN($B536))))))&gt;0,1,0)</f>
        <v/>
      </c>
      <c r="AF536">
        <f t="array" ref="AF536">IF(SUMPRODUCT(--($AQ$2:$AQ$71=TRIM(LEFT($B536,IFERROR(FIND(" ",$B536)-1,LEN($B536))))))&gt;0,1,0)</f>
        <v/>
      </c>
    </row>
    <row r="537" ht="105.75" customHeight="1" thickBot="1">
      <c r="A537" s="13" t="n">
        <v>35</v>
      </c>
      <c r="B537" s="4" t="inlineStr">
        <is>
          <t>ZGNX US</t>
        </is>
      </c>
      <c r="C537" s="4" t="inlineStr">
        <is>
          <t>UCB BB</t>
        </is>
      </c>
      <c r="D537" s="7" t="n">
        <v>44580</v>
      </c>
      <c r="E537" s="3" t="n">
        <v>1279.35</v>
      </c>
      <c r="F537" s="4" t="inlineStr">
        <is>
          <t>Cash</t>
        </is>
      </c>
      <c r="G537" s="4" t="n"/>
      <c r="H537" s="4" t="inlineStr">
        <is>
          <t>Health Care</t>
        </is>
      </c>
      <c r="I537" s="4" t="inlineStr">
        <is>
          <t>Health Care</t>
        </is>
      </c>
      <c r="J537" s="4" t="inlineStr">
        <is>
          <t>Biotech &amp; Pharma</t>
        </is>
      </c>
      <c r="K537" s="4" t="n"/>
      <c r="L537" s="4" t="n"/>
      <c r="M537" s="3" t="n">
        <v>61.88</v>
      </c>
      <c r="N537" s="3" t="n">
        <v>1455.79</v>
      </c>
      <c r="O537" s="4" t="inlineStr">
        <is>
          <t>United States</t>
        </is>
      </c>
      <c r="P537" s="4" t="inlineStr">
        <is>
          <t>Belgium</t>
        </is>
      </c>
      <c r="Q537" s="4" t="inlineStr">
        <is>
          <t>Friendly</t>
        </is>
      </c>
      <c r="R537" s="3" t="n">
        <v>81.69</v>
      </c>
      <c r="S537" s="3" t="n">
        <v>-274.323</v>
      </c>
      <c r="T537" s="4" t="inlineStr">
        <is>
          <t>Cross Border, Company Takeover, Tender Offer</t>
        </is>
      </c>
      <c r="U537" s="2" t="inlineStr">
        <is>
          <t>No</t>
        </is>
      </c>
      <c r="V537" s="2" t="inlineStr">
        <is>
          <t>No</t>
        </is>
      </c>
      <c r="W537" s="2" t="inlineStr">
        <is>
          <t>Yes</t>
        </is>
      </c>
      <c r="X537" s="2" t="inlineStr">
        <is>
          <t>No</t>
        </is>
      </c>
      <c r="Y537" s="2" t="inlineStr">
        <is>
          <t>No</t>
        </is>
      </c>
      <c r="Z537" s="2" t="inlineStr">
        <is>
          <t>Yes</t>
        </is>
      </c>
      <c r="AA537" s="6" t="n">
        <v>3.106989373</v>
      </c>
      <c r="AB537" s="6" t="n">
        <v>1.912168896</v>
      </c>
      <c r="AC537" s="6" t="n">
        <v>3.163098732</v>
      </c>
      <c r="AD537">
        <f t="array" ref="AD537">IF(SUMPRODUCT(--($AM$2:$AM$112=TRIM(LEFT($B537,IFERROR(FIND(" ",$B537)-1,LEN($B537))))))&gt;0,1,0)</f>
        <v/>
      </c>
      <c r="AE537">
        <f t="array" ref="AE537">IF(SUMPRODUCT(--($AO$2:$AO$145=TRIM(LEFT($B537,IFERROR(FIND(" ",$B537)-1,LEN($B537))))))&gt;0,1,0)</f>
        <v/>
      </c>
      <c r="AF537">
        <f t="array" ref="AF537">IF(SUMPRODUCT(--($AQ$2:$AQ$71=TRIM(LEFT($B537,IFERROR(FIND(" ",$B537)-1,LEN($B537))))))&gt;0,1,0)</f>
        <v/>
      </c>
    </row>
    <row r="538" ht="45.75" customHeight="1" thickBot="1">
      <c r="A538" s="13" t="n">
        <v>236</v>
      </c>
      <c r="B538" s="4" t="inlineStr">
        <is>
          <t>NUAN US</t>
        </is>
      </c>
      <c r="C538" s="4" t="inlineStr">
        <is>
          <t>MSFT US</t>
        </is>
      </c>
      <c r="D538" s="7" t="n">
        <v>44298</v>
      </c>
      <c r="E538" s="3" t="n">
        <v>17241.47</v>
      </c>
      <c r="F538" s="4" t="inlineStr">
        <is>
          <t>Cash</t>
        </is>
      </c>
      <c r="G538" s="3" t="n">
        <v>82.75</v>
      </c>
      <c r="H538" s="4" t="inlineStr">
        <is>
          <t>Technology</t>
        </is>
      </c>
      <c r="I538" s="4" t="inlineStr">
        <is>
          <t>Software &amp; Tech Services</t>
        </is>
      </c>
      <c r="J538" s="4" t="inlineStr">
        <is>
          <t>Software</t>
        </is>
      </c>
      <c r="K538" s="4" t="n"/>
      <c r="L538" s="3" t="n">
        <v>515</v>
      </c>
      <c r="M538" s="4" t="n"/>
      <c r="N538" s="3" t="n">
        <v>15963.36</v>
      </c>
      <c r="O538" s="4" t="inlineStr">
        <is>
          <t>United States</t>
        </is>
      </c>
      <c r="P538" s="4" t="inlineStr">
        <is>
          <t>United States</t>
        </is>
      </c>
      <c r="Q538" s="4" t="inlineStr">
        <is>
          <t>Friendly</t>
        </is>
      </c>
      <c r="R538" s="3" t="n">
        <v>1362.38</v>
      </c>
      <c r="S538" s="3" t="n">
        <v>2.13279</v>
      </c>
      <c r="T538" s="4" t="inlineStr">
        <is>
          <t>Company Takeover</t>
        </is>
      </c>
      <c r="U538" s="2" t="inlineStr">
        <is>
          <t>No</t>
        </is>
      </c>
      <c r="V538" s="2" t="inlineStr">
        <is>
          <t>No</t>
        </is>
      </c>
      <c r="W538" s="2" t="inlineStr">
        <is>
          <t>No</t>
        </is>
      </c>
      <c r="X538" s="2" t="inlineStr">
        <is>
          <t>No</t>
        </is>
      </c>
      <c r="Y538" s="2" t="inlineStr">
        <is>
          <t>No</t>
        </is>
      </c>
      <c r="Z538" s="2" t="inlineStr">
        <is>
          <t>No</t>
        </is>
      </c>
      <c r="AA538" s="6" t="n">
        <v>4.236574291</v>
      </c>
      <c r="AB538" s="6" t="n">
        <v>3.134298259</v>
      </c>
      <c r="AC538" s="6" t="n">
        <v>4.203124308</v>
      </c>
      <c r="AD538">
        <f t="array" ref="AD538">IF(SUMPRODUCT(--($AM$2:$AM$112=TRIM(LEFT($B538,IFERROR(FIND(" ",$B538)-1,LEN($B538))))))&gt;0,1,0)</f>
        <v/>
      </c>
      <c r="AE538">
        <f t="array" ref="AE538">IF(SUMPRODUCT(--($AO$2:$AO$145=TRIM(LEFT($B538,IFERROR(FIND(" ",$B538)-1,LEN($B538))))))&gt;0,1,0)</f>
        <v/>
      </c>
      <c r="AF538">
        <f t="array" ref="AF538">IF(SUMPRODUCT(--($AQ$2:$AQ$71=TRIM(LEFT($B538,IFERROR(FIND(" ",$B538)-1,LEN($B538))))))&gt;0,1,0)</f>
        <v/>
      </c>
    </row>
    <row r="539" ht="165.75" customHeight="1" thickBot="1">
      <c r="A539" s="13" t="n">
        <v>94</v>
      </c>
      <c r="B539" s="4" t="inlineStr">
        <is>
          <t>CUF-U CN</t>
        </is>
      </c>
      <c r="C539" s="2" t="n"/>
      <c r="D539" s="7" t="n">
        <v>44493</v>
      </c>
      <c r="E539" s="3" t="n">
        <v>4551.82</v>
      </c>
      <c r="F539" s="4" t="inlineStr">
        <is>
          <t>Cash</t>
        </is>
      </c>
      <c r="G539" s="4" t="n"/>
      <c r="H539" s="4" t="inlineStr">
        <is>
          <t>Real Estate</t>
        </is>
      </c>
      <c r="I539" s="4" t="inlineStr">
        <is>
          <t>Real Estate</t>
        </is>
      </c>
      <c r="J539" s="4" t="inlineStr">
        <is>
          <t>REIT</t>
        </is>
      </c>
      <c r="K539" s="4" t="n"/>
      <c r="L539" s="4" t="n"/>
      <c r="M539" s="3" t="n">
        <v>15.93</v>
      </c>
      <c r="N539" s="3" t="n">
        <v>1737.74</v>
      </c>
      <c r="O539" s="4" t="inlineStr">
        <is>
          <t>Canada</t>
        </is>
      </c>
      <c r="P539" s="4" t="inlineStr">
        <is>
          <t>United States</t>
        </is>
      </c>
      <c r="Q539" s="4" t="inlineStr">
        <is>
          <t>Unsolicited</t>
        </is>
      </c>
      <c r="R539" s="3" t="n">
        <v>154.497</v>
      </c>
      <c r="S539" s="3" t="n">
        <v>37.0852</v>
      </c>
      <c r="T539" s="4" t="inlineStr">
        <is>
          <t>Company Takeover, Private Equity, PE Buyout, Cross Border, Going Private</t>
        </is>
      </c>
      <c r="U539" s="2" t="inlineStr">
        <is>
          <t>No</t>
        </is>
      </c>
      <c r="V539" s="2" t="inlineStr">
        <is>
          <t>No</t>
        </is>
      </c>
      <c r="W539" s="2" t="inlineStr">
        <is>
          <t>Yes</t>
        </is>
      </c>
      <c r="X539" s="2" t="inlineStr">
        <is>
          <t>Yes</t>
        </is>
      </c>
      <c r="Y539" s="2" t="inlineStr">
        <is>
          <t>Yes</t>
        </is>
      </c>
      <c r="Z539" s="2" t="inlineStr">
        <is>
          <t>No</t>
        </is>
      </c>
      <c r="AA539" s="6" t="n">
        <v>3.65818508</v>
      </c>
      <c r="AB539" s="6" t="n">
        <v>2.188920051</v>
      </c>
      <c r="AC539" s="6" t="n">
        <v>3.239984798</v>
      </c>
      <c r="AD539">
        <f t="array" ref="AD539">IF(SUMPRODUCT(--($AM$2:$AM$112=TRIM(LEFT($B539,IFERROR(FIND(" ",$B539)-1,LEN($B539))))))&gt;0,1,0)</f>
        <v/>
      </c>
      <c r="AE539">
        <f t="array" ref="AE539">IF(SUMPRODUCT(--($AO$2:$AO$145=TRIM(LEFT($B539,IFERROR(FIND(" ",$B539)-1,LEN($B539))))))&gt;0,1,0)</f>
        <v/>
      </c>
      <c r="AF539">
        <f t="array" ref="AF539">IF(SUMPRODUCT(--($AQ$2:$AQ$71=TRIM(LEFT($B539,IFERROR(FIND(" ",$B539)-1,LEN($B539))))))&gt;0,1,0)</f>
        <v/>
      </c>
    </row>
    <row r="540" ht="135.75" customHeight="1" thickBot="1">
      <c r="A540" s="13" t="n">
        <v>84</v>
      </c>
      <c r="B540" s="4" t="inlineStr">
        <is>
          <t>CPLG US</t>
        </is>
      </c>
      <c r="C540" s="2" t="n"/>
      <c r="D540" s="7" t="n">
        <v>44508</v>
      </c>
      <c r="E540" s="3" t="n">
        <v>1429.42</v>
      </c>
      <c r="F540" s="4" t="inlineStr">
        <is>
          <t>Cash</t>
        </is>
      </c>
      <c r="G540" s="3" t="n">
        <v>10.83</v>
      </c>
      <c r="H540" s="4" t="inlineStr">
        <is>
          <t>Real Estate</t>
        </is>
      </c>
      <c r="I540" s="4" t="inlineStr">
        <is>
          <t>Real Estate</t>
        </is>
      </c>
      <c r="J540" s="4" t="inlineStr">
        <is>
          <t>REIT</t>
        </is>
      </c>
      <c r="K540" s="4" t="n"/>
      <c r="L540" s="4" t="n"/>
      <c r="M540" s="3" t="n">
        <v>1.4</v>
      </c>
      <c r="N540" s="3" t="n">
        <v>935.41</v>
      </c>
      <c r="O540" s="4" t="inlineStr">
        <is>
          <t>United States</t>
        </is>
      </c>
      <c r="P540" s="4" t="inlineStr">
        <is>
          <t>United States</t>
        </is>
      </c>
      <c r="Q540" s="4" t="inlineStr">
        <is>
          <t>Friendly</t>
        </is>
      </c>
      <c r="R540" s="3" t="n">
        <v>411</v>
      </c>
      <c r="S540" s="3" t="n">
        <v>-3.45572</v>
      </c>
      <c r="T540" s="4" t="inlineStr">
        <is>
          <t>PE Buyout, Company Takeover, Private Equity, Going Private</t>
        </is>
      </c>
      <c r="U540" s="2" t="inlineStr">
        <is>
          <t>No</t>
        </is>
      </c>
      <c r="V540" s="2" t="inlineStr">
        <is>
          <t>No</t>
        </is>
      </c>
      <c r="W540" s="2" t="inlineStr">
        <is>
          <t>No</t>
        </is>
      </c>
      <c r="X540" s="2" t="inlineStr">
        <is>
          <t>Yes</t>
        </is>
      </c>
      <c r="Y540" s="2" t="inlineStr">
        <is>
          <t>Yes</t>
        </is>
      </c>
      <c r="Z540" s="2" t="inlineStr">
        <is>
          <t>No</t>
        </is>
      </c>
      <c r="AA540" s="6" t="n">
        <v>3.155159854</v>
      </c>
      <c r="AB540" s="6" t="n">
        <v>2.613841822</v>
      </c>
      <c r="AC540" s="6" t="n">
        <v>2.971002008</v>
      </c>
      <c r="AD540">
        <f t="array" ref="AD540">IF(SUMPRODUCT(--($AM$2:$AM$112=TRIM(LEFT($B540,IFERROR(FIND(" ",$B540)-1,LEN($B540))))))&gt;0,1,0)</f>
        <v/>
      </c>
      <c r="AE540">
        <f t="array" ref="AE540">IF(SUMPRODUCT(--($AO$2:$AO$145=TRIM(LEFT($B540,IFERROR(FIND(" ",$B540)-1,LEN($B540))))))&gt;0,1,0)</f>
        <v/>
      </c>
      <c r="AF540">
        <f t="array" ref="AF540">IF(SUMPRODUCT(--($AQ$2:$AQ$71=TRIM(LEFT($B540,IFERROR(FIND(" ",$B540)-1,LEN($B540))))))&gt;0,1,0)</f>
        <v/>
      </c>
    </row>
    <row r="541" ht="165.75" customHeight="1" thickBot="1">
      <c r="A541" s="13" t="n">
        <v>84</v>
      </c>
      <c r="B541" s="4" t="inlineStr">
        <is>
          <t>MCFE US</t>
        </is>
      </c>
      <c r="C541" s="2" t="n"/>
      <c r="D541" s="7" t="n">
        <v>44505</v>
      </c>
      <c r="E541" s="3" t="n">
        <v>13300.92</v>
      </c>
      <c r="F541" s="4" t="inlineStr">
        <is>
          <t>Cash</t>
        </is>
      </c>
      <c r="G541" s="3" t="n">
        <v>12.61</v>
      </c>
      <c r="H541" s="4" t="inlineStr">
        <is>
          <t>Technology</t>
        </is>
      </c>
      <c r="I541" s="4" t="inlineStr">
        <is>
          <t>Software &amp; Tech Services</t>
        </is>
      </c>
      <c r="J541" s="4" t="inlineStr">
        <is>
          <t>Software</t>
        </is>
      </c>
      <c r="K541" s="3" t="n">
        <v>582.53</v>
      </c>
      <c r="L541" s="3" t="n">
        <v>291.265</v>
      </c>
      <c r="M541" s="3" t="n">
        <v>19.99</v>
      </c>
      <c r="N541" s="3" t="n">
        <v>11215.92</v>
      </c>
      <c r="O541" s="4" t="inlineStr">
        <is>
          <t>United States</t>
        </is>
      </c>
      <c r="P541" s="4" t="inlineStr">
        <is>
          <t>United Kingdom</t>
        </is>
      </c>
      <c r="Q541" s="4" t="inlineStr">
        <is>
          <t>Friendly</t>
        </is>
      </c>
      <c r="R541" s="3" t="n">
        <v>1920</v>
      </c>
      <c r="S541" s="3" t="n">
        <v>28.5938</v>
      </c>
      <c r="T541" s="4" t="inlineStr">
        <is>
          <t>Private Equity, PE Buyout, Going Private, Company Takeover, Cross Border</t>
        </is>
      </c>
      <c r="U541" s="2" t="inlineStr">
        <is>
          <t>No</t>
        </is>
      </c>
      <c r="V541" s="2" t="inlineStr">
        <is>
          <t>No</t>
        </is>
      </c>
      <c r="W541" s="2" t="inlineStr">
        <is>
          <t>Yes</t>
        </is>
      </c>
      <c r="X541" s="2" t="inlineStr">
        <is>
          <t>Yes</t>
        </is>
      </c>
      <c r="Y541" s="2" t="inlineStr">
        <is>
          <t>Yes</t>
        </is>
      </c>
      <c r="Z541" s="2" t="inlineStr">
        <is>
          <t>No</t>
        </is>
      </c>
      <c r="AA541" s="6" t="n">
        <v>4.123881681</v>
      </c>
      <c r="AB541" s="6" t="n">
        <v>3.283301229</v>
      </c>
      <c r="AC541" s="6" t="n">
        <v>4.049834903</v>
      </c>
      <c r="AD541">
        <f t="array" ref="AD541">IF(SUMPRODUCT(--($AM$2:$AM$112=TRIM(LEFT($B541,IFERROR(FIND(" ",$B541)-1,LEN($B541))))))&gt;0,1,0)</f>
        <v/>
      </c>
      <c r="AE541">
        <f t="array" ref="AE541">IF(SUMPRODUCT(--($AO$2:$AO$145=TRIM(LEFT($B541,IFERROR(FIND(" ",$B541)-1,LEN($B541))))))&gt;0,1,0)</f>
        <v/>
      </c>
      <c r="AF541">
        <f t="array" ref="AF541">IF(SUMPRODUCT(--($AQ$2:$AQ$71=TRIM(LEFT($B541,IFERROR(FIND(" ",$B541)-1,LEN($B541))))))&gt;0,1,0)</f>
        <v/>
      </c>
    </row>
    <row r="542" ht="75.75" customHeight="1" thickBot="1">
      <c r="A542" s="13" t="n">
        <v>168</v>
      </c>
      <c r="B542" s="4" t="inlineStr">
        <is>
          <t>STFC US</t>
        </is>
      </c>
      <c r="C542" s="4" t="inlineStr">
        <is>
          <t>2262691Z US</t>
        </is>
      </c>
      <c r="D542" s="7" t="n">
        <v>44389</v>
      </c>
      <c r="E542" s="3" t="n">
        <v>2353.69</v>
      </c>
      <c r="F542" s="4" t="inlineStr">
        <is>
          <t>Cash</t>
        </is>
      </c>
      <c r="G542" s="4" t="n"/>
      <c r="H542" s="4" t="inlineStr">
        <is>
          <t>Financials</t>
        </is>
      </c>
      <c r="I542" s="4" t="inlineStr">
        <is>
          <t>Insurance</t>
        </is>
      </c>
      <c r="J542" s="4" t="inlineStr">
        <is>
          <t>Insurance</t>
        </is>
      </c>
      <c r="K542" s="4" t="n"/>
      <c r="L542" s="3" t="n">
        <v>70.7933</v>
      </c>
      <c r="M542" s="4" t="n"/>
      <c r="N542" s="3" t="n">
        <v>2290.69</v>
      </c>
      <c r="O542" s="4" t="inlineStr">
        <is>
          <t>United States</t>
        </is>
      </c>
      <c r="P542" s="4" t="inlineStr">
        <is>
          <t>United States</t>
        </is>
      </c>
      <c r="Q542" s="4" t="inlineStr">
        <is>
          <t>Friendly</t>
        </is>
      </c>
      <c r="R542" s="3" t="n">
        <v>1482.4</v>
      </c>
      <c r="S542" s="3" t="n">
        <v>5.45444</v>
      </c>
      <c r="T542" s="4" t="inlineStr">
        <is>
          <t>Company Takeover, Going Private</t>
        </is>
      </c>
      <c r="U542" s="2" t="inlineStr">
        <is>
          <t>No</t>
        </is>
      </c>
      <c r="V542" s="2" t="inlineStr">
        <is>
          <t>No</t>
        </is>
      </c>
      <c r="W542" s="2" t="inlineStr">
        <is>
          <t>No</t>
        </is>
      </c>
      <c r="X542" s="2" t="inlineStr">
        <is>
          <t>Yes</t>
        </is>
      </c>
      <c r="Y542" s="2" t="inlineStr">
        <is>
          <t>No</t>
        </is>
      </c>
      <c r="Z542" s="2" t="inlineStr">
        <is>
          <t>No</t>
        </is>
      </c>
      <c r="AA542" s="6" t="n">
        <v>3.371749262</v>
      </c>
      <c r="AB542" s="6" t="n">
        <v>3.170965406</v>
      </c>
      <c r="AC542" s="6" t="n">
        <v>3.35996632</v>
      </c>
      <c r="AD542">
        <f t="array" ref="AD542">IF(SUMPRODUCT(--($AM$2:$AM$112=TRIM(LEFT($B542,IFERROR(FIND(" ",$B542)-1,LEN($B542))))))&gt;0,1,0)</f>
        <v/>
      </c>
      <c r="AE542">
        <f t="array" ref="AE542">IF(SUMPRODUCT(--($AO$2:$AO$145=TRIM(LEFT($B542,IFERROR(FIND(" ",$B542)-1,LEN($B542))))))&gt;0,1,0)</f>
        <v/>
      </c>
      <c r="AF542">
        <f t="array" ref="AF542">IF(SUMPRODUCT(--($AQ$2:$AQ$71=TRIM(LEFT($B542,IFERROR(FIND(" ",$B542)-1,LEN($B542))))))&gt;0,1,0)</f>
        <v/>
      </c>
    </row>
    <row r="543" ht="45.75" customHeight="1" thickBot="1">
      <c r="A543" s="13" t="n">
        <v>326</v>
      </c>
      <c r="B543" s="4" t="inlineStr">
        <is>
          <t>2499073D US</t>
        </is>
      </c>
      <c r="C543" s="4" t="inlineStr">
        <is>
          <t>SPGI US</t>
        </is>
      </c>
      <c r="D543" s="7" t="n">
        <v>44165</v>
      </c>
      <c r="E543" s="3" t="n">
        <v>43598.58</v>
      </c>
      <c r="F543" s="4" t="inlineStr">
        <is>
          <t>Stock</t>
        </is>
      </c>
      <c r="G543" s="3" t="n">
        <v>25.03</v>
      </c>
      <c r="H543" s="4" t="inlineStr">
        <is>
          <t>Financials</t>
        </is>
      </c>
      <c r="I543" s="4" t="inlineStr">
        <is>
          <t>Financial Services</t>
        </is>
      </c>
      <c r="J543" s="4" t="inlineStr">
        <is>
          <t>Specialty Finance</t>
        </is>
      </c>
      <c r="K543" s="3" t="n">
        <v>2380</v>
      </c>
      <c r="L543" s="3" t="n">
        <v>1075</v>
      </c>
      <c r="M543" s="3" t="n">
        <v>7.25</v>
      </c>
      <c r="N543" s="3" t="n">
        <v>38419.08</v>
      </c>
      <c r="O543" s="4" t="inlineStr">
        <is>
          <t>United States</t>
        </is>
      </c>
      <c r="P543" s="4" t="inlineStr">
        <is>
          <t>United States</t>
        </is>
      </c>
      <c r="Q543" s="4" t="inlineStr">
        <is>
          <t>Friendly</t>
        </is>
      </c>
      <c r="R543" s="3" t="n">
        <v>4658.1</v>
      </c>
      <c r="S543" s="3" t="n">
        <v>33.5201</v>
      </c>
      <c r="T543" s="4" t="inlineStr">
        <is>
          <t>Company Takeover</t>
        </is>
      </c>
      <c r="U543" s="2" t="inlineStr">
        <is>
          <t>No</t>
        </is>
      </c>
      <c r="V543" s="2" t="inlineStr">
        <is>
          <t>No</t>
        </is>
      </c>
      <c r="W543" s="2" t="inlineStr">
        <is>
          <t>No</t>
        </is>
      </c>
      <c r="X543" s="2" t="inlineStr">
        <is>
          <t>No</t>
        </is>
      </c>
      <c r="Y543" s="2" t="inlineStr">
        <is>
          <t>No</t>
        </is>
      </c>
      <c r="Z543" s="2" t="inlineStr">
        <is>
          <t>No</t>
        </is>
      </c>
      <c r="AA543" s="6" t="n">
        <v>4.639472345</v>
      </c>
      <c r="AB543" s="6" t="n">
        <v>3.668208808</v>
      </c>
      <c r="AC543" s="6" t="n">
        <v>4.584546961</v>
      </c>
      <c r="AD543">
        <f t="array" ref="AD543">IF(SUMPRODUCT(--($AM$2:$AM$112=TRIM(LEFT($B543,IFERROR(FIND(" ",$B543)-1,LEN($B543))))))&gt;0,1,0)</f>
        <v/>
      </c>
      <c r="AE543">
        <f t="array" ref="AE543">IF(SUMPRODUCT(--($AO$2:$AO$145=TRIM(LEFT($B543,IFERROR(FIND(" ",$B543)-1,LEN($B543))))))&gt;0,1,0)</f>
        <v/>
      </c>
      <c r="AF543">
        <f t="array" ref="AF543">IF(SUMPRODUCT(--($AQ$2:$AQ$71=TRIM(LEFT($B543,IFERROR(FIND(" ",$B543)-1,LEN($B543))))))&gt;0,1,0)</f>
        <v/>
      </c>
    </row>
    <row r="544" ht="45.75" customHeight="1" thickBot="1">
      <c r="A544" s="13" t="n">
        <v>82</v>
      </c>
      <c r="B544" s="4" t="inlineStr">
        <is>
          <t>MNR US</t>
        </is>
      </c>
      <c r="C544" s="4" t="inlineStr">
        <is>
          <t>ILPT US</t>
        </is>
      </c>
      <c r="D544" s="7" t="n">
        <v>44505</v>
      </c>
      <c r="E544" s="3" t="n">
        <v>2987.44</v>
      </c>
      <c r="F544" s="4" t="inlineStr">
        <is>
          <t>Cash</t>
        </is>
      </c>
      <c r="G544" s="3" t="n">
        <v>25.57</v>
      </c>
      <c r="H544" s="4" t="inlineStr">
        <is>
          <t>Real Estate</t>
        </is>
      </c>
      <c r="I544" s="4" t="inlineStr">
        <is>
          <t>Real Estate</t>
        </is>
      </c>
      <c r="J544" s="4" t="inlineStr">
        <is>
          <t>REIT</t>
        </is>
      </c>
      <c r="K544" s="4" t="n"/>
      <c r="L544" s="4" t="n"/>
      <c r="M544" s="3" t="n">
        <v>10.26</v>
      </c>
      <c r="N544" s="3" t="n">
        <v>2064.34</v>
      </c>
      <c r="O544" s="4" t="inlineStr">
        <is>
          <t>United States</t>
        </is>
      </c>
      <c r="P544" s="4" t="inlineStr">
        <is>
          <t>United States</t>
        </is>
      </c>
      <c r="Q544" s="4" t="inlineStr">
        <is>
          <t>Friendly</t>
        </is>
      </c>
      <c r="R544" s="3" t="n">
        <v>1175.39</v>
      </c>
      <c r="S544" s="3" t="n">
        <v>14.8693</v>
      </c>
      <c r="T544" s="4" t="inlineStr">
        <is>
          <t>Company Takeover</t>
        </is>
      </c>
      <c r="U544" s="2" t="inlineStr">
        <is>
          <t>No</t>
        </is>
      </c>
      <c r="V544" s="2" t="inlineStr">
        <is>
          <t>No</t>
        </is>
      </c>
      <c r="W544" s="2" t="inlineStr">
        <is>
          <t>No</t>
        </is>
      </c>
      <c r="X544" s="2" t="inlineStr">
        <is>
          <t>No</t>
        </is>
      </c>
      <c r="Y544" s="2" t="inlineStr">
        <is>
          <t>No</t>
        </is>
      </c>
      <c r="Z544" s="2" t="inlineStr">
        <is>
          <t>No</t>
        </is>
      </c>
      <c r="AA544" s="6" t="n">
        <v>3.475299192</v>
      </c>
      <c r="AB544" s="6" t="n">
        <v>3.070181991</v>
      </c>
      <c r="AC544" s="6" t="n">
        <v>3.314781228</v>
      </c>
      <c r="AD544">
        <f t="array" ref="AD544">IF(SUMPRODUCT(--($AM$2:$AM$112=TRIM(LEFT($B544,IFERROR(FIND(" ",$B544)-1,LEN($B544))))))&gt;0,1,0)</f>
        <v/>
      </c>
      <c r="AE544">
        <f t="array" ref="AE544">IF(SUMPRODUCT(--($AO$2:$AO$145=TRIM(LEFT($B544,IFERROR(FIND(" ",$B544)-1,LEN($B544))))))&gt;0,1,0)</f>
        <v/>
      </c>
      <c r="AF544">
        <f t="array" ref="AF544">IF(SUMPRODUCT(--($AQ$2:$AQ$71=TRIM(LEFT($B544,IFERROR(FIND(" ",$B544)-1,LEN($B544))))))&gt;0,1,0)</f>
        <v/>
      </c>
    </row>
    <row r="545" ht="195.75" customHeight="1" thickBot="1">
      <c r="A545" s="13" t="n">
        <v>55</v>
      </c>
      <c r="B545" s="4" t="inlineStr">
        <is>
          <t>RRD US</t>
        </is>
      </c>
      <c r="C545" s="4" t="inlineStr">
        <is>
          <t>0221781D US</t>
        </is>
      </c>
      <c r="D545" s="7" t="n">
        <v>44544</v>
      </c>
      <c r="E545" s="3" t="n">
        <v>2164.81</v>
      </c>
      <c r="F545" s="4" t="inlineStr">
        <is>
          <t>Cash</t>
        </is>
      </c>
      <c r="G545" s="3" t="n">
        <v>6.77</v>
      </c>
      <c r="H545" s="4" t="inlineStr">
        <is>
          <t>Industrials</t>
        </is>
      </c>
      <c r="I545" s="4" t="inlineStr">
        <is>
          <t>Industrial Services</t>
        </is>
      </c>
      <c r="J545" s="4" t="inlineStr">
        <is>
          <t>Commercial Support Services</t>
        </is>
      </c>
      <c r="K545" s="4" t="n"/>
      <c r="L545" s="4" t="n"/>
      <c r="M545" s="3" t="n">
        <v>8.43</v>
      </c>
      <c r="N545" s="3" t="n">
        <v>673.11</v>
      </c>
      <c r="O545" s="4" t="inlineStr">
        <is>
          <t>United States</t>
        </is>
      </c>
      <c r="P545" s="4" t="inlineStr">
        <is>
          <t>United States</t>
        </is>
      </c>
      <c r="Q545" s="4" t="inlineStr">
        <is>
          <t>Unsolicited</t>
        </is>
      </c>
      <c r="R545" s="3" t="n">
        <v>5366.7</v>
      </c>
      <c r="S545" s="3" t="n">
        <v>6.79188</v>
      </c>
      <c r="T545" s="4" t="inlineStr">
        <is>
          <t>Additional Stake Purchase, Company Takeover, PE Buyout, Competing Bid, Going Private</t>
        </is>
      </c>
      <c r="U545" s="2" t="inlineStr">
        <is>
          <t>Yes</t>
        </is>
      </c>
      <c r="V545" s="2" t="inlineStr">
        <is>
          <t>Yes</t>
        </is>
      </c>
      <c r="W545" s="2" t="inlineStr">
        <is>
          <t>No</t>
        </is>
      </c>
      <c r="X545" s="2" t="inlineStr">
        <is>
          <t>Yes</t>
        </is>
      </c>
      <c r="Y545" s="2" t="inlineStr">
        <is>
          <t>Yes</t>
        </is>
      </c>
      <c r="Z545" s="2" t="inlineStr">
        <is>
          <t>No</t>
        </is>
      </c>
      <c r="AA545" s="6" t="n">
        <v>3.335419785</v>
      </c>
      <c r="AB545" s="6" t="n">
        <v>3.729707319</v>
      </c>
      <c r="AC545" s="6" t="n">
        <v>2.828086043</v>
      </c>
      <c r="AD545">
        <f t="array" ref="AD545">IF(SUMPRODUCT(--($AM$2:$AM$112=TRIM(LEFT($B545,IFERROR(FIND(" ",$B545)-1,LEN($B545))))))&gt;0,1,0)</f>
        <v/>
      </c>
      <c r="AE545">
        <f t="array" ref="AE545">IF(SUMPRODUCT(--($AO$2:$AO$145=TRIM(LEFT($B545,IFERROR(FIND(" ",$B545)-1,LEN($B545))))))&gt;0,1,0)</f>
        <v/>
      </c>
      <c r="AF545">
        <f t="array" ref="AF545">IF(SUMPRODUCT(--($AQ$2:$AQ$71=TRIM(LEFT($B545,IFERROR(FIND(" ",$B545)-1,LEN($B545))))))&gt;0,1,0)</f>
        <v/>
      </c>
    </row>
    <row r="546" ht="45.75" customHeight="1" thickBot="1">
      <c r="A546" s="13" t="n">
        <v>59</v>
      </c>
      <c r="B546" s="4" t="inlineStr">
        <is>
          <t>GBR CN</t>
        </is>
      </c>
      <c r="C546" s="4" t="inlineStr">
        <is>
          <t>K CN</t>
        </is>
      </c>
      <c r="D546" s="7" t="n">
        <v>44538</v>
      </c>
      <c r="E546" s="3" t="n">
        <v>1265.81</v>
      </c>
      <c r="F546" s="4" t="inlineStr">
        <is>
          <t>Cash or Stock</t>
        </is>
      </c>
      <c r="G546" s="4" t="n"/>
      <c r="H546" s="4" t="inlineStr">
        <is>
          <t>Materials</t>
        </is>
      </c>
      <c r="I546" s="4" t="inlineStr">
        <is>
          <t>Materials</t>
        </is>
      </c>
      <c r="J546" s="4" t="inlineStr">
        <is>
          <t>Metals &amp; Mining</t>
        </is>
      </c>
      <c r="K546" s="4" t="n"/>
      <c r="L546" s="4" t="n"/>
      <c r="M546" s="3" t="n">
        <v>38.76</v>
      </c>
      <c r="N546" s="3" t="n">
        <v>1326.6</v>
      </c>
      <c r="O546" s="4" t="inlineStr">
        <is>
          <t>Canada</t>
        </is>
      </c>
      <c r="P546" s="4" t="inlineStr">
        <is>
          <t>Canada</t>
        </is>
      </c>
      <c r="Q546" s="4" t="inlineStr">
        <is>
          <t>Friendly</t>
        </is>
      </c>
      <c r="R546" s="2" t="n"/>
      <c r="S546" s="2" t="n"/>
      <c r="T546" s="4" t="inlineStr">
        <is>
          <t>Company Takeover</t>
        </is>
      </c>
      <c r="U546" s="2" t="inlineStr">
        <is>
          <t>No</t>
        </is>
      </c>
      <c r="V546" s="2" t="inlineStr">
        <is>
          <t>No</t>
        </is>
      </c>
      <c r="W546" s="2" t="inlineStr">
        <is>
          <t>No</t>
        </is>
      </c>
      <c r="X546" s="2" t="inlineStr">
        <is>
          <t>No</t>
        </is>
      </c>
      <c r="Y546" s="2" t="inlineStr">
        <is>
          <t>No</t>
        </is>
      </c>
      <c r="Z546" s="2" t="inlineStr">
        <is>
          <t>No</t>
        </is>
      </c>
      <c r="AA546" s="6" t="n">
        <v>3.102368522</v>
      </c>
      <c r="AB546" s="2" t="n"/>
      <c r="AC546" s="6" t="n">
        <v>3.122739993</v>
      </c>
      <c r="AD546">
        <f t="array" ref="AD546">IF(SUMPRODUCT(--($AM$2:$AM$112=TRIM(LEFT($B546,IFERROR(FIND(" ",$B546)-1,LEN($B546))))))&gt;0,1,0)</f>
        <v/>
      </c>
      <c r="AE546">
        <f t="array" ref="AE546">IF(SUMPRODUCT(--($AO$2:$AO$145=TRIM(LEFT($B546,IFERROR(FIND(" ",$B546)-1,LEN($B546))))))&gt;0,1,0)</f>
        <v/>
      </c>
      <c r="AF546">
        <f t="array" ref="AF546">IF(SUMPRODUCT(--($AQ$2:$AQ$71=TRIM(LEFT($B546,IFERROR(FIND(" ",$B546)-1,LEN($B546))))))&gt;0,1,0)</f>
        <v/>
      </c>
    </row>
    <row r="547" ht="45.75" customHeight="1" thickBot="1">
      <c r="A547" s="13" t="n">
        <v>114</v>
      </c>
      <c r="B547" s="4" t="inlineStr">
        <is>
          <t>SIRR US</t>
        </is>
      </c>
      <c r="C547" s="4" t="inlineStr">
        <is>
          <t>BBDC US</t>
        </is>
      </c>
      <c r="D547" s="7" t="n">
        <v>44460</v>
      </c>
      <c r="E547" s="3" t="n">
        <v>545.64</v>
      </c>
      <c r="F547" s="4" t="inlineStr">
        <is>
          <t>Cash and Stock</t>
        </is>
      </c>
      <c r="G547" s="4" t="n"/>
      <c r="H547" s="4" t="inlineStr">
        <is>
          <t>Financials</t>
        </is>
      </c>
      <c r="I547" s="4" t="inlineStr">
        <is>
          <t>Financial Services</t>
        </is>
      </c>
      <c r="J547" s="4" t="inlineStr">
        <is>
          <t>Asset Management</t>
        </is>
      </c>
      <c r="K547" s="4" t="n"/>
      <c r="L547" s="4" t="n"/>
      <c r="M547" s="4" t="n"/>
      <c r="N547" s="3" t="n">
        <v>599.77</v>
      </c>
      <c r="O547" s="4" t="inlineStr">
        <is>
          <t>United States</t>
        </is>
      </c>
      <c r="P547" s="4" t="inlineStr">
        <is>
          <t>United States</t>
        </is>
      </c>
      <c r="Q547" s="4" t="inlineStr">
        <is>
          <t>Friendly</t>
        </is>
      </c>
      <c r="R547" s="3" t="n">
        <v>-2.75066</v>
      </c>
      <c r="S547" s="3" t="n">
        <v>62.0527</v>
      </c>
      <c r="T547" s="4" t="inlineStr">
        <is>
          <t>Company Takeover</t>
        </is>
      </c>
      <c r="U547" s="2" t="inlineStr">
        <is>
          <t>No</t>
        </is>
      </c>
      <c r="V547" s="2" t="inlineStr">
        <is>
          <t>No</t>
        </is>
      </c>
      <c r="W547" s="2" t="inlineStr">
        <is>
          <t>No</t>
        </is>
      </c>
      <c r="X547" s="2" t="inlineStr">
        <is>
          <t>No</t>
        </is>
      </c>
      <c r="Y547" s="2" t="inlineStr">
        <is>
          <t>No</t>
        </is>
      </c>
      <c r="Z547" s="2" t="inlineStr">
        <is>
          <t>No</t>
        </is>
      </c>
      <c r="AA547" s="6" t="n">
        <v>2.7369062</v>
      </c>
      <c r="AB547" s="2" t="n"/>
      <c r="AC547" s="6" t="n">
        <v>2.777984739</v>
      </c>
      <c r="AD547">
        <f t="array" ref="AD547">IF(SUMPRODUCT(--($AM$2:$AM$112=TRIM(LEFT($B547,IFERROR(FIND(" ",$B547)-1,LEN($B547))))))&gt;0,1,0)</f>
        <v/>
      </c>
      <c r="AE547">
        <f t="array" ref="AE547">IF(SUMPRODUCT(--($AO$2:$AO$145=TRIM(LEFT($B547,IFERROR(FIND(" ",$B547)-1,LEN($B547))))))&gt;0,1,0)</f>
        <v/>
      </c>
      <c r="AF547">
        <f t="array" ref="AF547">IF(SUMPRODUCT(--($AQ$2:$AQ$71=TRIM(LEFT($B547,IFERROR(FIND(" ",$B547)-1,LEN($B547))))))&gt;0,1,0)</f>
        <v/>
      </c>
    </row>
    <row r="548" ht="45.75" customHeight="1" thickBot="1">
      <c r="A548" s="13" t="n">
        <v>187</v>
      </c>
      <c r="B548" s="4" t="inlineStr">
        <is>
          <t>FMBI US</t>
        </is>
      </c>
      <c r="C548" s="4" t="inlineStr">
        <is>
          <t>ONB US</t>
        </is>
      </c>
      <c r="D548" s="7" t="n">
        <v>44348</v>
      </c>
      <c r="E548" s="3" t="n">
        <v>2494.86</v>
      </c>
      <c r="F548" s="4" t="inlineStr">
        <is>
          <t>Stock</t>
        </is>
      </c>
      <c r="G548" s="4" t="n"/>
      <c r="H548" s="4" t="inlineStr">
        <is>
          <t>Financials</t>
        </is>
      </c>
      <c r="I548" s="4" t="inlineStr">
        <is>
          <t>Banking</t>
        </is>
      </c>
      <c r="J548" s="4" t="inlineStr">
        <is>
          <t>Banking</t>
        </is>
      </c>
      <c r="K548" s="3" t="n">
        <v>97</v>
      </c>
      <c r="L548" s="3" t="n">
        <v>97</v>
      </c>
      <c r="M548" s="4" t="n"/>
      <c r="N548" s="3" t="n">
        <v>2494.86</v>
      </c>
      <c r="O548" s="4" t="inlineStr">
        <is>
          <t>United States</t>
        </is>
      </c>
      <c r="P548" s="4" t="inlineStr">
        <is>
          <t>United States</t>
        </is>
      </c>
      <c r="Q548" s="4" t="inlineStr">
        <is>
          <t>Friendly</t>
        </is>
      </c>
      <c r="R548" s="3" t="n">
        <v>789.557</v>
      </c>
      <c r="S548" s="3" t="n">
        <v>34.0475</v>
      </c>
      <c r="T548" s="4" t="inlineStr">
        <is>
          <t>Company Takeover</t>
        </is>
      </c>
      <c r="U548" s="2" t="inlineStr">
        <is>
          <t>No</t>
        </is>
      </c>
      <c r="V548" s="2" t="inlineStr">
        <is>
          <t>No</t>
        </is>
      </c>
      <c r="W548" s="2" t="inlineStr">
        <is>
          <t>No</t>
        </is>
      </c>
      <c r="X548" s="2" t="inlineStr">
        <is>
          <t>No</t>
        </is>
      </c>
      <c r="Y548" s="2" t="inlineStr">
        <is>
          <t>No</t>
        </is>
      </c>
      <c r="Z548" s="2" t="inlineStr">
        <is>
          <t>No</t>
        </is>
      </c>
      <c r="AA548" s="6" t="n">
        <v>3.39704618</v>
      </c>
      <c r="AB548" s="6" t="n">
        <v>2.897383488</v>
      </c>
      <c r="AC548" s="6" t="n">
        <v>3.39704618</v>
      </c>
      <c r="AD548">
        <f t="array" ref="AD548">IF(SUMPRODUCT(--($AM$2:$AM$112=TRIM(LEFT($B548,IFERROR(FIND(" ",$B548)-1,LEN($B548))))))&gt;0,1,0)</f>
        <v/>
      </c>
      <c r="AE548">
        <f t="array" ref="AE548">IF(SUMPRODUCT(--($AO$2:$AO$145=TRIM(LEFT($B548,IFERROR(FIND(" ",$B548)-1,LEN($B548))))))&gt;0,1,0)</f>
        <v/>
      </c>
      <c r="AF548">
        <f t="array" ref="AF548">IF(SUMPRODUCT(--($AQ$2:$AQ$71=TRIM(LEFT($B548,IFERROR(FIND(" ",$B548)-1,LEN($B548))))))&gt;0,1,0)</f>
        <v/>
      </c>
    </row>
    <row r="549" ht="75.75" customHeight="1" thickBot="1">
      <c r="A549" s="13" t="n">
        <v>83</v>
      </c>
      <c r="B549" s="4" t="inlineStr">
        <is>
          <t>PAE US</t>
        </is>
      </c>
      <c r="C549" s="4" t="inlineStr">
        <is>
          <t>1777945D US</t>
        </is>
      </c>
      <c r="D549" s="7" t="n">
        <v>44494</v>
      </c>
      <c r="E549" s="3" t="n">
        <v>1909.23</v>
      </c>
      <c r="F549" s="4" t="inlineStr">
        <is>
          <t>Cash</t>
        </is>
      </c>
      <c r="G549" s="3" t="n">
        <v>8.66</v>
      </c>
      <c r="H549" s="4" t="inlineStr">
        <is>
          <t>Technology</t>
        </is>
      </c>
      <c r="I549" s="4" t="inlineStr">
        <is>
          <t>Software &amp; Tech Services</t>
        </is>
      </c>
      <c r="J549" s="4" t="inlineStr">
        <is>
          <t>IT Services</t>
        </is>
      </c>
      <c r="K549" s="4" t="n"/>
      <c r="L549" s="4" t="n"/>
      <c r="M549" s="3" t="n">
        <v>68.98</v>
      </c>
      <c r="N549" s="3" t="n">
        <v>935.35</v>
      </c>
      <c r="O549" s="4" t="inlineStr">
        <is>
          <t>United States</t>
        </is>
      </c>
      <c r="P549" s="4" t="inlineStr">
        <is>
          <t>United States</t>
        </is>
      </c>
      <c r="Q549" s="4" t="inlineStr">
        <is>
          <t>Friendly</t>
        </is>
      </c>
      <c r="R549" s="3" t="n">
        <v>2714.63</v>
      </c>
      <c r="S549" s="3" t="n">
        <v>3.48036</v>
      </c>
      <c r="T549" s="4" t="inlineStr">
        <is>
          <t>Company Takeover, Going Private</t>
        </is>
      </c>
      <c r="U549" s="2" t="inlineStr">
        <is>
          <t>No</t>
        </is>
      </c>
      <c r="V549" s="2" t="inlineStr">
        <is>
          <t>No</t>
        </is>
      </c>
      <c r="W549" s="2" t="inlineStr">
        <is>
          <t>No</t>
        </is>
      </c>
      <c r="X549" s="2" t="inlineStr">
        <is>
          <t>Yes</t>
        </is>
      </c>
      <c r="Y549" s="2" t="inlineStr">
        <is>
          <t>No</t>
        </is>
      </c>
      <c r="Z549" s="2" t="inlineStr">
        <is>
          <t>No</t>
        </is>
      </c>
      <c r="AA549" s="6" t="n">
        <v>3.28085825</v>
      </c>
      <c r="AB549" s="6" t="n">
        <v>3.433710644</v>
      </c>
      <c r="AC549" s="6" t="n">
        <v>2.970974151</v>
      </c>
      <c r="AD549">
        <f t="array" ref="AD549">IF(SUMPRODUCT(--($AM$2:$AM$112=TRIM(LEFT($B549,IFERROR(FIND(" ",$B549)-1,LEN($B549))))))&gt;0,1,0)</f>
        <v/>
      </c>
      <c r="AE549">
        <f t="array" ref="AE549">IF(SUMPRODUCT(--($AO$2:$AO$145=TRIM(LEFT($B549,IFERROR(FIND(" ",$B549)-1,LEN($B549))))))&gt;0,1,0)</f>
        <v/>
      </c>
      <c r="AF549">
        <f t="array" ref="AF549">IF(SUMPRODUCT(--($AQ$2:$AQ$71=TRIM(LEFT($B549,IFERROR(FIND(" ",$B549)-1,LEN($B549))))))&gt;0,1,0)</f>
        <v/>
      </c>
    </row>
    <row r="550" ht="75.75" customHeight="1" thickBot="1">
      <c r="A550" s="13" t="n">
        <v>341</v>
      </c>
      <c r="B550" s="4" t="inlineStr">
        <is>
          <t>XLNX US</t>
        </is>
      </c>
      <c r="C550" s="4" t="inlineStr">
        <is>
          <t>AMD US</t>
        </is>
      </c>
      <c r="D550" s="7" t="n">
        <v>44131</v>
      </c>
      <c r="E550" s="3" t="n">
        <v>34092.3</v>
      </c>
      <c r="F550" s="4" t="inlineStr">
        <is>
          <t>Stock</t>
        </is>
      </c>
      <c r="G550" s="3" t="n">
        <v>37.23</v>
      </c>
      <c r="H550" s="4" t="inlineStr">
        <is>
          <t>Technology</t>
        </is>
      </c>
      <c r="I550" s="4" t="inlineStr">
        <is>
          <t>Tech Hardware &amp; Semiconductors</t>
        </is>
      </c>
      <c r="J550" s="4" t="inlineStr">
        <is>
          <t>Semiconductors</t>
        </is>
      </c>
      <c r="K550" s="3" t="n">
        <v>1500</v>
      </c>
      <c r="L550" s="3" t="n">
        <v>1000</v>
      </c>
      <c r="M550" s="3" t="n">
        <v>28.27</v>
      </c>
      <c r="N550" s="3" t="n">
        <v>35143.02</v>
      </c>
      <c r="O550" s="4" t="inlineStr">
        <is>
          <t>United States</t>
        </is>
      </c>
      <c r="P550" s="4" t="inlineStr">
        <is>
          <t>United States</t>
        </is>
      </c>
      <c r="Q550" s="4" t="inlineStr">
        <is>
          <t>Friendly</t>
        </is>
      </c>
      <c r="R550" s="3" t="n">
        <v>3147.6</v>
      </c>
      <c r="S550" s="3" t="n">
        <v>26.387</v>
      </c>
      <c r="T550" s="4" t="inlineStr">
        <is>
          <t>Company Takeover</t>
        </is>
      </c>
      <c r="U550" s="2" t="inlineStr">
        <is>
          <t>No</t>
        </is>
      </c>
      <c r="V550" s="2" t="inlineStr">
        <is>
          <t>No</t>
        </is>
      </c>
      <c r="W550" s="2" t="inlineStr">
        <is>
          <t>No</t>
        </is>
      </c>
      <c r="X550" s="2" t="inlineStr">
        <is>
          <t>No</t>
        </is>
      </c>
      <c r="Y550" s="2" t="inlineStr">
        <is>
          <t>No</t>
        </is>
      </c>
      <c r="Z550" s="2" t="inlineStr">
        <is>
          <t>No</t>
        </is>
      </c>
      <c r="AA550" s="6" t="n">
        <v>4.532656301</v>
      </c>
      <c r="AB550" s="6" t="n">
        <v>3.497979537</v>
      </c>
      <c r="AC550" s="6" t="n">
        <v>4.54583908</v>
      </c>
      <c r="AD550">
        <f t="array" ref="AD550">IF(SUMPRODUCT(--($AM$2:$AM$112=TRIM(LEFT($B550,IFERROR(FIND(" ",$B550)-1,LEN($B550))))))&gt;0,1,0)</f>
        <v/>
      </c>
      <c r="AE550">
        <f t="array" ref="AE550">IF(SUMPRODUCT(--($AO$2:$AO$145=TRIM(LEFT($B550,IFERROR(FIND(" ",$B550)-1,LEN($B550))))))&gt;0,1,0)</f>
        <v/>
      </c>
      <c r="AF550">
        <f t="array" ref="AF550">IF(SUMPRODUCT(--($AQ$2:$AQ$71=TRIM(LEFT($B550,IFERROR(FIND(" ",$B550)-1,LEN($B550))))))&gt;0,1,0)</f>
        <v/>
      </c>
    </row>
    <row r="551" ht="45.75" customHeight="1" thickBot="1">
      <c r="A551" s="13" t="n">
        <v>98</v>
      </c>
      <c r="B551" s="4" t="inlineStr">
        <is>
          <t>KL CN</t>
        </is>
      </c>
      <c r="C551" s="4" t="inlineStr">
        <is>
          <t>AEM CN</t>
        </is>
      </c>
      <c r="D551" s="7" t="n">
        <v>44467</v>
      </c>
      <c r="E551" s="3" t="n">
        <v>10731.2</v>
      </c>
      <c r="F551" s="4" t="inlineStr">
        <is>
          <t>Stock</t>
        </is>
      </c>
      <c r="G551" s="3" t="n">
        <v>6.32</v>
      </c>
      <c r="H551" s="4" t="inlineStr">
        <is>
          <t>Materials</t>
        </is>
      </c>
      <c r="I551" s="4" t="inlineStr">
        <is>
          <t>Materials</t>
        </is>
      </c>
      <c r="J551" s="4" t="inlineStr">
        <is>
          <t>Metals &amp; Mining</t>
        </is>
      </c>
      <c r="K551" s="4" t="n"/>
      <c r="L551" s="4" t="n"/>
      <c r="M551" s="3" t="n">
        <v>4.73</v>
      </c>
      <c r="N551" s="3" t="n">
        <v>11560.49</v>
      </c>
      <c r="O551" s="4" t="inlineStr">
        <is>
          <t>Canada</t>
        </is>
      </c>
      <c r="P551" s="4" t="inlineStr">
        <is>
          <t>Canada</t>
        </is>
      </c>
      <c r="Q551" s="4" t="inlineStr">
        <is>
          <t>Friendly</t>
        </is>
      </c>
      <c r="R551" s="3" t="n">
        <v>2460.1</v>
      </c>
      <c r="S551" s="3" t="n">
        <v>50.3445</v>
      </c>
      <c r="T551" s="4" t="inlineStr">
        <is>
          <t>Company Takeover</t>
        </is>
      </c>
      <c r="U551" s="2" t="inlineStr">
        <is>
          <t>No</t>
        </is>
      </c>
      <c r="V551" s="2" t="inlineStr">
        <is>
          <t>No</t>
        </is>
      </c>
      <c r="W551" s="2" t="inlineStr">
        <is>
          <t>No</t>
        </is>
      </c>
      <c r="X551" s="2" t="inlineStr">
        <is>
          <t>No</t>
        </is>
      </c>
      <c r="Y551" s="2" t="inlineStr">
        <is>
          <t>No</t>
        </is>
      </c>
      <c r="Z551" s="2" t="inlineStr">
        <is>
          <t>No</t>
        </is>
      </c>
      <c r="AA551" s="6" t="n">
        <v>4.030648289</v>
      </c>
      <c r="AB551" s="6" t="n">
        <v>3.390952761</v>
      </c>
      <c r="AC551" s="6" t="n">
        <v>4.062976242</v>
      </c>
      <c r="AD551">
        <f t="array" ref="AD551">IF(SUMPRODUCT(--($AM$2:$AM$112=TRIM(LEFT($B551,IFERROR(FIND(" ",$B551)-1,LEN($B551))))))&gt;0,1,0)</f>
        <v/>
      </c>
      <c r="AE551">
        <f t="array" ref="AE551">IF(SUMPRODUCT(--($AO$2:$AO$145=TRIM(LEFT($B551,IFERROR(FIND(" ",$B551)-1,LEN($B551))))))&gt;0,1,0)</f>
        <v/>
      </c>
      <c r="AF551">
        <f t="array" ref="AF551">IF(SUMPRODUCT(--($AQ$2:$AQ$71=TRIM(LEFT($B551,IFERROR(FIND(" ",$B551)-1,LEN($B551))))))&gt;0,1,0)</f>
        <v/>
      </c>
    </row>
    <row r="552" ht="45.75" customHeight="1" thickBot="1">
      <c r="A552" s="13" t="n">
        <v>72</v>
      </c>
      <c r="B552" s="4" t="inlineStr">
        <is>
          <t>OMP US</t>
        </is>
      </c>
      <c r="C552" s="4" t="inlineStr">
        <is>
          <t>CEQP US</t>
        </is>
      </c>
      <c r="D552" s="7" t="n">
        <v>44495</v>
      </c>
      <c r="E552" s="3" t="n">
        <v>1879.65</v>
      </c>
      <c r="F552" s="4" t="inlineStr">
        <is>
          <t>Stock</t>
        </is>
      </c>
      <c r="G552" s="3" t="n">
        <v>8.130000000000001</v>
      </c>
      <c r="H552" s="4" t="inlineStr">
        <is>
          <t>Energy</t>
        </is>
      </c>
      <c r="I552" s="4" t="inlineStr">
        <is>
          <t>Oil &amp; Gas</t>
        </is>
      </c>
      <c r="J552" s="4" t="inlineStr">
        <is>
          <t>Oil &amp; Gas Supply Chain</t>
        </is>
      </c>
      <c r="K552" s="4" t="n"/>
      <c r="L552" s="4" t="n"/>
      <c r="M552" s="3" t="n">
        <v>7.21</v>
      </c>
      <c r="N552" s="3" t="n">
        <v>1219.65</v>
      </c>
      <c r="O552" s="4" t="inlineStr">
        <is>
          <t>United States</t>
        </is>
      </c>
      <c r="P552" s="4" t="inlineStr">
        <is>
          <t>United States</t>
        </is>
      </c>
      <c r="Q552" s="4" t="inlineStr">
        <is>
          <t>Friendly</t>
        </is>
      </c>
      <c r="R552" s="3" t="n">
        <v>347.859</v>
      </c>
      <c r="S552" s="3" t="n">
        <v>49.3778</v>
      </c>
      <c r="T552" s="4" t="inlineStr">
        <is>
          <t>Company Takeover</t>
        </is>
      </c>
      <c r="U552" s="2" t="inlineStr">
        <is>
          <t>No</t>
        </is>
      </c>
      <c r="V552" s="2" t="inlineStr">
        <is>
          <t>No</t>
        </is>
      </c>
      <c r="W552" s="2" t="inlineStr">
        <is>
          <t>No</t>
        </is>
      </c>
      <c r="X552" s="2" t="inlineStr">
        <is>
          <t>No</t>
        </is>
      </c>
      <c r="Y552" s="2" t="inlineStr">
        <is>
          <t>No</t>
        </is>
      </c>
      <c r="Z552" s="2" t="inlineStr">
        <is>
          <t>No</t>
        </is>
      </c>
      <c r="AA552" s="6" t="n">
        <v>3.274076989</v>
      </c>
      <c r="AB552" s="6" t="n">
        <v>2.541403244</v>
      </c>
      <c r="AC552" s="6" t="n">
        <v>3.08623522</v>
      </c>
      <c r="AD552">
        <f t="array" ref="AD552">IF(SUMPRODUCT(--($AM$2:$AM$112=TRIM(LEFT($B552,IFERROR(FIND(" ",$B552)-1,LEN($B552))))))&gt;0,1,0)</f>
        <v/>
      </c>
      <c r="AE552">
        <f t="array" ref="AE552">IF(SUMPRODUCT(--($AO$2:$AO$145=TRIM(LEFT($B552,IFERROR(FIND(" ",$B552)-1,LEN($B552))))))&gt;0,1,0)</f>
        <v/>
      </c>
      <c r="AF552">
        <f t="array" ref="AF552">IF(SUMPRODUCT(--($AQ$2:$AQ$71=TRIM(LEFT($B552,IFERROR(FIND(" ",$B552)-1,LEN($B552))))))&gt;0,1,0)</f>
        <v/>
      </c>
    </row>
    <row r="553" ht="45.75" customHeight="1" thickBot="1">
      <c r="A553" s="13" t="n">
        <v>207</v>
      </c>
      <c r="B553" s="4" t="inlineStr">
        <is>
          <t>STL US</t>
        </is>
      </c>
      <c r="C553" s="4" t="inlineStr">
        <is>
          <t>WBS US</t>
        </is>
      </c>
      <c r="D553" s="7" t="n">
        <v>44305</v>
      </c>
      <c r="E553" s="3" t="n">
        <v>5887.24</v>
      </c>
      <c r="F553" s="4" t="inlineStr">
        <is>
          <t>Stock</t>
        </is>
      </c>
      <c r="G553" s="4" t="n"/>
      <c r="H553" s="4" t="inlineStr">
        <is>
          <t>Financials</t>
        </is>
      </c>
      <c r="I553" s="4" t="inlineStr">
        <is>
          <t>Banking</t>
        </is>
      </c>
      <c r="J553" s="4" t="inlineStr">
        <is>
          <t>Banking</t>
        </is>
      </c>
      <c r="K553" s="4" t="n"/>
      <c r="L553" s="4" t="n"/>
      <c r="M553" s="3" t="n">
        <v>11.86</v>
      </c>
      <c r="N553" s="3" t="n">
        <v>5034.13</v>
      </c>
      <c r="O553" s="4" t="inlineStr">
        <is>
          <t>United States</t>
        </is>
      </c>
      <c r="P553" s="4" t="inlineStr">
        <is>
          <t>United States</t>
        </is>
      </c>
      <c r="Q553" s="4" t="inlineStr">
        <is>
          <t>Friendly</t>
        </is>
      </c>
      <c r="R553" s="3" t="n">
        <v>1053.95</v>
      </c>
      <c r="S553" s="3" t="n">
        <v>51.1091</v>
      </c>
      <c r="T553" s="4" t="inlineStr">
        <is>
          <t>Company Takeover</t>
        </is>
      </c>
      <c r="U553" s="2" t="inlineStr">
        <is>
          <t>No</t>
        </is>
      </c>
      <c r="V553" s="2" t="inlineStr">
        <is>
          <t>No</t>
        </is>
      </c>
      <c r="W553" s="2" t="inlineStr">
        <is>
          <t>No</t>
        </is>
      </c>
      <c r="X553" s="2" t="inlineStr">
        <is>
          <t>No</t>
        </is>
      </c>
      <c r="Y553" s="2" t="inlineStr">
        <is>
          <t>No</t>
        </is>
      </c>
      <c r="Z553" s="2" t="inlineStr">
        <is>
          <t>No</t>
        </is>
      </c>
      <c r="AA553" s="6" t="n">
        <v>3.769911741</v>
      </c>
      <c r="AB553" s="6" t="n">
        <v>3.022820008</v>
      </c>
      <c r="AC553" s="6" t="n">
        <v>3.701924426</v>
      </c>
      <c r="AD553">
        <f t="array" ref="AD553">IF(SUMPRODUCT(--($AM$2:$AM$112=TRIM(LEFT($B553,IFERROR(FIND(" ",$B553)-1,LEN($B553))))))&gt;0,1,0)</f>
        <v/>
      </c>
      <c r="AE553">
        <f t="array" ref="AE553">IF(SUMPRODUCT(--($AO$2:$AO$145=TRIM(LEFT($B553,IFERROR(FIND(" ",$B553)-1,LEN($B553))))))&gt;0,1,0)</f>
        <v/>
      </c>
      <c r="AF553">
        <f t="array" ref="AF553">IF(SUMPRODUCT(--($AQ$2:$AQ$71=TRIM(LEFT($B553,IFERROR(FIND(" ",$B553)-1,LEN($B553))))))&gt;0,1,0)</f>
        <v/>
      </c>
    </row>
    <row r="554" ht="45.75" customHeight="1" thickBot="1">
      <c r="A554" s="13" t="n">
        <v>99</v>
      </c>
      <c r="B554" s="4" t="inlineStr">
        <is>
          <t>GWB US</t>
        </is>
      </c>
      <c r="C554" s="4" t="inlineStr">
        <is>
          <t>FIBK US</t>
        </is>
      </c>
      <c r="D554" s="7" t="n">
        <v>44455</v>
      </c>
      <c r="E554" s="3" t="n">
        <v>2021.07</v>
      </c>
      <c r="F554" s="4" t="inlineStr">
        <is>
          <t>Stock</t>
        </is>
      </c>
      <c r="G554" s="4" t="n"/>
      <c r="H554" s="4" t="inlineStr">
        <is>
          <t>Financials</t>
        </is>
      </c>
      <c r="I554" s="4" t="inlineStr">
        <is>
          <t>Banking</t>
        </is>
      </c>
      <c r="J554" s="4" t="inlineStr">
        <is>
          <t>Banking</t>
        </is>
      </c>
      <c r="K554" s="3" t="n">
        <v>105</v>
      </c>
      <c r="L554" s="3" t="n">
        <v>70</v>
      </c>
      <c r="M554" s="4" t="n"/>
      <c r="N554" s="3" t="n">
        <v>2021.07</v>
      </c>
      <c r="O554" s="4" t="inlineStr">
        <is>
          <t>United States</t>
        </is>
      </c>
      <c r="P554" s="4" t="inlineStr">
        <is>
          <t>United States</t>
        </is>
      </c>
      <c r="Q554" s="4" t="inlineStr">
        <is>
          <t>Friendly</t>
        </is>
      </c>
      <c r="R554" s="3" t="n">
        <v>491.708</v>
      </c>
      <c r="S554" s="3" t="n">
        <v>56.5046</v>
      </c>
      <c r="T554" s="4" t="inlineStr">
        <is>
          <t>Company Takeover</t>
        </is>
      </c>
      <c r="U554" s="2" t="inlineStr">
        <is>
          <t>No</t>
        </is>
      </c>
      <c r="V554" s="2" t="inlineStr">
        <is>
          <t>No</t>
        </is>
      </c>
      <c r="W554" s="2" t="inlineStr">
        <is>
          <t>No</t>
        </is>
      </c>
      <c r="X554" s="2" t="inlineStr">
        <is>
          <t>No</t>
        </is>
      </c>
      <c r="Y554" s="2" t="inlineStr">
        <is>
          <t>No</t>
        </is>
      </c>
      <c r="Z554" s="2" t="inlineStr">
        <is>
          <t>No</t>
        </is>
      </c>
      <c r="AA554" s="6" t="n">
        <v>3.305581356</v>
      </c>
      <c r="AB554" s="6" t="n">
        <v>2.691707274</v>
      </c>
      <c r="AC554" s="6" t="n">
        <v>3.305581356</v>
      </c>
      <c r="AD554">
        <f t="array" ref="AD554">IF(SUMPRODUCT(--($AM$2:$AM$112=TRIM(LEFT($B554,IFERROR(FIND(" ",$B554)-1,LEN($B554))))))&gt;0,1,0)</f>
        <v/>
      </c>
      <c r="AE554">
        <f t="array" ref="AE554">IF(SUMPRODUCT(--($AO$2:$AO$145=TRIM(LEFT($B554,IFERROR(FIND(" ",$B554)-1,LEN($B554))))))&gt;0,1,0)</f>
        <v/>
      </c>
      <c r="AF554">
        <f t="array" ref="AF554">IF(SUMPRODUCT(--($AQ$2:$AQ$71=TRIM(LEFT($B554,IFERROR(FIND(" ",$B554)-1,LEN($B554))))))&gt;0,1,0)</f>
        <v/>
      </c>
    </row>
    <row r="555" ht="75.75" customHeight="1" thickBot="1">
      <c r="A555" s="13" t="n">
        <v>83</v>
      </c>
      <c r="B555" s="4" t="inlineStr">
        <is>
          <t>NLC CN</t>
        </is>
      </c>
      <c r="C555" s="4" t="inlineStr">
        <is>
          <t>2899 HK</t>
        </is>
      </c>
      <c r="D555" s="7" t="n">
        <v>44477</v>
      </c>
      <c r="E555" s="3" t="n">
        <v>690.71</v>
      </c>
      <c r="F555" s="4" t="inlineStr">
        <is>
          <t>Cash</t>
        </is>
      </c>
      <c r="G555" s="3" t="n">
        <v>58.39</v>
      </c>
      <c r="H555" s="4" t="inlineStr">
        <is>
          <t>Materials</t>
        </is>
      </c>
      <c r="I555" s="4" t="inlineStr">
        <is>
          <t>Materials</t>
        </is>
      </c>
      <c r="J555" s="4" t="inlineStr">
        <is>
          <t>Metals &amp; Mining</t>
        </is>
      </c>
      <c r="K555" s="4" t="n"/>
      <c r="L555" s="4" t="n"/>
      <c r="M555" s="4" t="n"/>
      <c r="N555" s="3" t="n">
        <v>736.37</v>
      </c>
      <c r="O555" s="4" t="inlineStr">
        <is>
          <t>Canada</t>
        </is>
      </c>
      <c r="P555" s="4" t="inlineStr">
        <is>
          <t>China</t>
        </is>
      </c>
      <c r="Q555" s="4" t="inlineStr">
        <is>
          <t>Friendly</t>
        </is>
      </c>
      <c r="R555" s="2" t="n"/>
      <c r="S555" s="2" t="n"/>
      <c r="T555" s="4" t="inlineStr">
        <is>
          <t>Company Takeover, Cross Border</t>
        </is>
      </c>
      <c r="U555" s="2" t="inlineStr">
        <is>
          <t>No</t>
        </is>
      </c>
      <c r="V555" s="2" t="inlineStr">
        <is>
          <t>No</t>
        </is>
      </c>
      <c r="W555" s="2" t="inlineStr">
        <is>
          <t>Yes</t>
        </is>
      </c>
      <c r="X555" s="2" t="inlineStr">
        <is>
          <t>No</t>
        </is>
      </c>
      <c r="Y555" s="2" t="inlineStr">
        <is>
          <t>No</t>
        </is>
      </c>
      <c r="Z555" s="2" t="inlineStr">
        <is>
          <t>No</t>
        </is>
      </c>
      <c r="AA555" s="6" t="n">
        <v>2.839295744</v>
      </c>
      <c r="AB555" s="2" t="n"/>
      <c r="AC555" s="6" t="n">
        <v>2.867096087</v>
      </c>
      <c r="AD555">
        <f t="array" ref="AD555">IF(SUMPRODUCT(--($AM$2:$AM$112=TRIM(LEFT($B555,IFERROR(FIND(" ",$B555)-1,LEN($B555))))))&gt;0,1,0)</f>
        <v/>
      </c>
      <c r="AE555">
        <f t="array" ref="AE555">IF(SUMPRODUCT(--($AO$2:$AO$145=TRIM(LEFT($B555,IFERROR(FIND(" ",$B555)-1,LEN($B555))))))&gt;0,1,0)</f>
        <v/>
      </c>
      <c r="AF555">
        <f t="array" ref="AF555">IF(SUMPRODUCT(--($AQ$2:$AQ$71=TRIM(LEFT($B555,IFERROR(FIND(" ",$B555)-1,LEN($B555))))))&gt;0,1,0)</f>
        <v/>
      </c>
    </row>
    <row r="556" ht="75.75" customHeight="1" thickBot="1">
      <c r="A556" s="13" t="n">
        <v>67</v>
      </c>
      <c r="B556" s="4" t="inlineStr">
        <is>
          <t>GSC CN</t>
        </is>
      </c>
      <c r="C556" s="4" t="inlineStr">
        <is>
          <t>600988 CH</t>
        </is>
      </c>
      <c r="D556" s="7" t="n">
        <v>44501</v>
      </c>
      <c r="E556" s="3" t="n">
        <v>518.6900000000001</v>
      </c>
      <c r="F556" s="4" t="inlineStr">
        <is>
          <t>Cash</t>
        </is>
      </c>
      <c r="G556" s="3" t="n">
        <v>4.7</v>
      </c>
      <c r="H556" s="4" t="inlineStr">
        <is>
          <t>Materials</t>
        </is>
      </c>
      <c r="I556" s="4" t="inlineStr">
        <is>
          <t>Materials</t>
        </is>
      </c>
      <c r="J556" s="4" t="inlineStr">
        <is>
          <t>Metals &amp; Mining</t>
        </is>
      </c>
      <c r="K556" s="4" t="n"/>
      <c r="L556" s="4" t="n"/>
      <c r="M556" s="3" t="n">
        <v>43.5</v>
      </c>
      <c r="N556" s="3" t="n">
        <v>452.48</v>
      </c>
      <c r="O556" s="4" t="inlineStr">
        <is>
          <t>United States</t>
        </is>
      </c>
      <c r="P556" s="4" t="inlineStr">
        <is>
          <t>China</t>
        </is>
      </c>
      <c r="Q556" s="4" t="inlineStr">
        <is>
          <t>Friendly</t>
        </is>
      </c>
      <c r="R556" s="3" t="n">
        <v>259.068</v>
      </c>
      <c r="S556" s="3" t="n">
        <v>23.9559</v>
      </c>
      <c r="T556" s="4" t="inlineStr">
        <is>
          <t>Company Takeover, Cross Border</t>
        </is>
      </c>
      <c r="U556" s="2" t="inlineStr">
        <is>
          <t>No</t>
        </is>
      </c>
      <c r="V556" s="2" t="inlineStr">
        <is>
          <t>No</t>
        </is>
      </c>
      <c r="W556" s="2" t="inlineStr">
        <is>
          <t>Yes</t>
        </is>
      </c>
      <c r="X556" s="2" t="inlineStr">
        <is>
          <t>No</t>
        </is>
      </c>
      <c r="Y556" s="2" t="inlineStr">
        <is>
          <t>No</t>
        </is>
      </c>
      <c r="Z556" s="2" t="inlineStr">
        <is>
          <t>No</t>
        </is>
      </c>
      <c r="AA556" s="6" t="n">
        <v>2.714907875</v>
      </c>
      <c r="AB556" s="6" t="n">
        <v>2.413413772</v>
      </c>
      <c r="AC556" s="6" t="n">
        <v>2.655599388</v>
      </c>
      <c r="AD556">
        <f t="array" ref="AD556">IF(SUMPRODUCT(--($AM$2:$AM$112=TRIM(LEFT($B556,IFERROR(FIND(" ",$B556)-1,LEN($B556))))))&gt;0,1,0)</f>
        <v/>
      </c>
      <c r="AE556">
        <f t="array" ref="AE556">IF(SUMPRODUCT(--($AO$2:$AO$145=TRIM(LEFT($B556,IFERROR(FIND(" ",$B556)-1,LEN($B556))))))&gt;0,1,0)</f>
        <v/>
      </c>
      <c r="AF556">
        <f t="array" ref="AF556">IF(SUMPRODUCT(--($AQ$2:$AQ$71=TRIM(LEFT($B556,IFERROR(FIND(" ",$B556)-1,LEN($B556))))))&gt;0,1,0)</f>
        <v/>
      </c>
    </row>
    <row r="557" ht="135.75" customHeight="1" thickBot="1">
      <c r="A557" s="13" t="n">
        <v>115</v>
      </c>
      <c r="B557" s="4" t="inlineStr">
        <is>
          <t>SC US</t>
        </is>
      </c>
      <c r="C557" s="4" t="inlineStr">
        <is>
          <t>SAN SM</t>
        </is>
      </c>
      <c r="D557" s="7" t="n">
        <v>44432</v>
      </c>
      <c r="E557" s="3" t="n">
        <v>2540.47</v>
      </c>
      <c r="F557" s="4" t="inlineStr">
        <is>
          <t>Cash</t>
        </is>
      </c>
      <c r="G557" s="3" t="n">
        <v>1.54</v>
      </c>
      <c r="H557" s="4" t="inlineStr">
        <is>
          <t>Financials</t>
        </is>
      </c>
      <c r="I557" s="4" t="inlineStr">
        <is>
          <t>Financial Services</t>
        </is>
      </c>
      <c r="J557" s="4" t="inlineStr">
        <is>
          <t>Specialty Finance</t>
        </is>
      </c>
      <c r="K557" s="4" t="n"/>
      <c r="L557" s="4" t="n"/>
      <c r="M557" s="3" t="n">
        <v>0.2</v>
      </c>
      <c r="N557" s="3" t="n">
        <v>2540.47</v>
      </c>
      <c r="O557" s="4" t="inlineStr">
        <is>
          <t>United States</t>
        </is>
      </c>
      <c r="P557" s="4" t="inlineStr">
        <is>
          <t>Spain</t>
        </is>
      </c>
      <c r="Q557" s="4" t="inlineStr">
        <is>
          <t>Friendly</t>
        </is>
      </c>
      <c r="R557" s="3" t="n">
        <v>8108.46</v>
      </c>
      <c r="S557" s="3" t="n">
        <v>49.2481</v>
      </c>
      <c r="T557" s="4" t="inlineStr">
        <is>
          <t>Company Takeover, Additional Stake Purchase, Tender Offer</t>
        </is>
      </c>
      <c r="U557" s="2" t="inlineStr">
        <is>
          <t>Yes</t>
        </is>
      </c>
      <c r="V557" s="2" t="inlineStr">
        <is>
          <t>No</t>
        </is>
      </c>
      <c r="W557" s="2" t="inlineStr">
        <is>
          <t>No</t>
        </is>
      </c>
      <c r="X557" s="2" t="inlineStr">
        <is>
          <t>No</t>
        </is>
      </c>
      <c r="Y557" s="2" t="inlineStr">
        <is>
          <t>No</t>
        </is>
      </c>
      <c r="Z557" s="2" t="inlineStr">
        <is>
          <t>Yes</t>
        </is>
      </c>
      <c r="AA557" s="6" t="n">
        <v>3.404914071</v>
      </c>
      <c r="AB557" s="6" t="n">
        <v>3.908938379</v>
      </c>
      <c r="AC557" s="6" t="n">
        <v>3.404914071</v>
      </c>
      <c r="AD557">
        <f t="array" ref="AD557">IF(SUMPRODUCT(--($AM$2:$AM$112=TRIM(LEFT($B557,IFERROR(FIND(" ",$B557)-1,LEN($B557))))))&gt;0,1,0)</f>
        <v/>
      </c>
      <c r="AE557">
        <f t="array" ref="AE557">IF(SUMPRODUCT(--($AO$2:$AO$145=TRIM(LEFT($B557,IFERROR(FIND(" ",$B557)-1,LEN($B557))))))&gt;0,1,0)</f>
        <v/>
      </c>
      <c r="AF557">
        <f t="array" ref="AF557">IF(SUMPRODUCT(--($AQ$2:$AQ$71=TRIM(LEFT($B557,IFERROR(FIND(" ",$B557)-1,LEN($B557))))))&gt;0,1,0)</f>
        <v/>
      </c>
    </row>
    <row r="558" ht="165.75" customHeight="1" thickBot="1">
      <c r="A558" s="13" t="n">
        <v>74</v>
      </c>
      <c r="B558" s="4" t="inlineStr">
        <is>
          <t>TGP US</t>
        </is>
      </c>
      <c r="C558" s="4" t="inlineStr">
        <is>
          <t>0599141D US</t>
        </is>
      </c>
      <c r="D558" s="7" t="n">
        <v>44473</v>
      </c>
      <c r="E558" s="3" t="n">
        <v>4071.11</v>
      </c>
      <c r="F558" s="4" t="inlineStr">
        <is>
          <t>Cash</t>
        </is>
      </c>
      <c r="G558" s="3" t="n">
        <v>10.18</v>
      </c>
      <c r="H558" s="4" t="inlineStr">
        <is>
          <t>Industrials</t>
        </is>
      </c>
      <c r="I558" s="4" t="inlineStr">
        <is>
          <t>Industrial Services</t>
        </is>
      </c>
      <c r="J558" s="4" t="inlineStr">
        <is>
          <t>Transportation &amp; Logistics</t>
        </is>
      </c>
      <c r="K558" s="4" t="n"/>
      <c r="L558" s="4" t="n"/>
      <c r="M558" s="3" t="n">
        <v>6.31</v>
      </c>
      <c r="N558" s="3" t="n">
        <v>1479</v>
      </c>
      <c r="O558" s="4" t="inlineStr">
        <is>
          <t>Bermuda</t>
        </is>
      </c>
      <c r="P558" s="4" t="inlineStr">
        <is>
          <t>United States</t>
        </is>
      </c>
      <c r="Q558" s="4" t="inlineStr">
        <is>
          <t>Friendly</t>
        </is>
      </c>
      <c r="R558" s="3" t="n">
        <v>636.958</v>
      </c>
      <c r="S558" s="3" t="n">
        <v>20.5461</v>
      </c>
      <c r="T558" s="4" t="inlineStr">
        <is>
          <t>PE Buyout, Company Takeover, Cross Border, Private Equity, Going Private</t>
        </is>
      </c>
      <c r="U558" s="2" t="inlineStr">
        <is>
          <t>No</t>
        </is>
      </c>
      <c r="V558" s="2" t="inlineStr">
        <is>
          <t>No</t>
        </is>
      </c>
      <c r="W558" s="2" t="inlineStr">
        <is>
          <t>Yes</t>
        </is>
      </c>
      <c r="X558" s="2" t="inlineStr">
        <is>
          <t>Yes</t>
        </is>
      </c>
      <c r="Y558" s="2" t="inlineStr">
        <is>
          <t>Yes</t>
        </is>
      </c>
      <c r="Z558" s="2" t="inlineStr">
        <is>
          <t>No</t>
        </is>
      </c>
      <c r="AA558" s="6" t="n">
        <v>3.609712837</v>
      </c>
      <c r="AB558" s="6" t="n">
        <v>2.804110797</v>
      </c>
      <c r="AC558" s="6" t="n">
        <v>3.169968174</v>
      </c>
      <c r="AD558">
        <f t="array" ref="AD558">IF(SUMPRODUCT(--($AM$2:$AM$112=TRIM(LEFT($B558,IFERROR(FIND(" ",$B558)-1,LEN($B558))))))&gt;0,1,0)</f>
        <v/>
      </c>
      <c r="AE558">
        <f t="array" ref="AE558">IF(SUMPRODUCT(--($AO$2:$AO$145=TRIM(LEFT($B558,IFERROR(FIND(" ",$B558)-1,LEN($B558))))))&gt;0,1,0)</f>
        <v/>
      </c>
      <c r="AF558">
        <f t="array" ref="AF558">IF(SUMPRODUCT(--($AQ$2:$AQ$71=TRIM(LEFT($B558,IFERROR(FIND(" ",$B558)-1,LEN($B558))))))&gt;0,1,0)</f>
        <v/>
      </c>
    </row>
    <row r="559" ht="60.75" customHeight="1" thickBot="1">
      <c r="A559" s="13" t="n">
        <v>263</v>
      </c>
      <c r="B559" s="4" t="inlineStr">
        <is>
          <t>MGLN US</t>
        </is>
      </c>
      <c r="C559" s="4" t="inlineStr">
        <is>
          <t>CNC US</t>
        </is>
      </c>
      <c r="D559" s="7" t="n">
        <v>44200</v>
      </c>
      <c r="E559" s="3" t="n">
        <v>2432.69</v>
      </c>
      <c r="F559" s="4" t="inlineStr">
        <is>
          <t>Cash</t>
        </is>
      </c>
      <c r="G559" s="3" t="n">
        <v>21.28</v>
      </c>
      <c r="H559" s="4" t="inlineStr">
        <is>
          <t>Health Care</t>
        </is>
      </c>
      <c r="I559" s="4" t="inlineStr">
        <is>
          <t>Health Care</t>
        </is>
      </c>
      <c r="J559" s="4" t="inlineStr">
        <is>
          <t>Health Care Facilities &amp; Svcs</t>
        </is>
      </c>
      <c r="K559" s="4" t="n"/>
      <c r="L559" s="3" t="n">
        <v>76.53</v>
      </c>
      <c r="M559" s="4" t="n"/>
      <c r="N559" s="3" t="n">
        <v>2432.69</v>
      </c>
      <c r="O559" s="4" t="inlineStr">
        <is>
          <t>United States</t>
        </is>
      </c>
      <c r="P559" s="4" t="inlineStr">
        <is>
          <t>United States</t>
        </is>
      </c>
      <c r="Q559" s="4" t="inlineStr">
        <is>
          <t>Friendly</t>
        </is>
      </c>
      <c r="R559" s="3" t="n">
        <v>4577.53</v>
      </c>
      <c r="S559" s="3" t="n">
        <v>0.386664</v>
      </c>
      <c r="T559" s="4" t="inlineStr">
        <is>
          <t>Company Takeover</t>
        </is>
      </c>
      <c r="U559" s="2" t="inlineStr">
        <is>
          <t>No</t>
        </is>
      </c>
      <c r="V559" s="2" t="inlineStr">
        <is>
          <t>No</t>
        </is>
      </c>
      <c r="W559" s="2" t="inlineStr">
        <is>
          <t>No</t>
        </is>
      </c>
      <c r="X559" s="2" t="inlineStr">
        <is>
          <t>No</t>
        </is>
      </c>
      <c r="Y559" s="2" t="inlineStr">
        <is>
          <t>No</t>
        </is>
      </c>
      <c r="Z559" s="2" t="inlineStr">
        <is>
          <t>No</t>
        </is>
      </c>
      <c r="AA559" s="6" t="n">
        <v>3.38608677</v>
      </c>
      <c r="AB559" s="6" t="n">
        <v>3.660631199</v>
      </c>
      <c r="AC559" s="6" t="n">
        <v>3.38608677</v>
      </c>
      <c r="AD559">
        <f t="array" ref="AD559">IF(SUMPRODUCT(--($AM$2:$AM$112=TRIM(LEFT($B559,IFERROR(FIND(" ",$B559)-1,LEN($B559))))))&gt;0,1,0)</f>
        <v/>
      </c>
      <c r="AE559">
        <f t="array" ref="AE559">IF(SUMPRODUCT(--($AO$2:$AO$145=TRIM(LEFT($B559,IFERROR(FIND(" ",$B559)-1,LEN($B559))))))&gt;0,1,0)</f>
        <v/>
      </c>
      <c r="AF559">
        <f t="array" ref="AF559">IF(SUMPRODUCT(--($AQ$2:$AQ$71=TRIM(LEFT($B559,IFERROR(FIND(" ",$B559)-1,LEN($B559))))))&gt;0,1,0)</f>
        <v/>
      </c>
    </row>
    <row r="560" ht="45.75" customHeight="1" thickBot="1">
      <c r="A560" s="13" t="n">
        <v>318</v>
      </c>
      <c r="B560" s="4" t="inlineStr">
        <is>
          <t>CIT US</t>
        </is>
      </c>
      <c r="C560" s="4" t="inlineStr">
        <is>
          <t>FCNCA US</t>
        </is>
      </c>
      <c r="D560" s="7" t="n">
        <v>44120</v>
      </c>
      <c r="E560" s="3" t="n">
        <v>2031.57</v>
      </c>
      <c r="F560" s="4" t="inlineStr">
        <is>
          <t>Stock</t>
        </is>
      </c>
      <c r="G560" s="3" t="n">
        <v>3.23</v>
      </c>
      <c r="H560" s="4" t="inlineStr">
        <is>
          <t>Financials</t>
        </is>
      </c>
      <c r="I560" s="4" t="inlineStr">
        <is>
          <t>Banking</t>
        </is>
      </c>
      <c r="J560" s="4" t="inlineStr">
        <is>
          <t>Banking</t>
        </is>
      </c>
      <c r="K560" s="4" t="n"/>
      <c r="L560" s="4" t="n"/>
      <c r="M560" s="3" t="n">
        <v>11.92</v>
      </c>
      <c r="N560" s="3" t="n">
        <v>2031.57</v>
      </c>
      <c r="O560" s="4" t="inlineStr">
        <is>
          <t>United States</t>
        </is>
      </c>
      <c r="P560" s="4" t="inlineStr">
        <is>
          <t>United States</t>
        </is>
      </c>
      <c r="Q560" s="4" t="inlineStr">
        <is>
          <t>Friendly</t>
        </is>
      </c>
      <c r="R560" s="3" t="n">
        <v>3150.4</v>
      </c>
      <c r="S560" s="3" t="n">
        <v>32.3806</v>
      </c>
      <c r="T560" s="4" t="inlineStr">
        <is>
          <t>Company Takeover</t>
        </is>
      </c>
      <c r="U560" s="2" t="inlineStr">
        <is>
          <t>No</t>
        </is>
      </c>
      <c r="V560" s="2" t="inlineStr">
        <is>
          <t>No</t>
        </is>
      </c>
      <c r="W560" s="2" t="inlineStr">
        <is>
          <t>No</t>
        </is>
      </c>
      <c r="X560" s="2" t="inlineStr">
        <is>
          <t>No</t>
        </is>
      </c>
      <c r="Y560" s="2" t="inlineStr">
        <is>
          <t>No</t>
        </is>
      </c>
      <c r="Z560" s="2" t="inlineStr">
        <is>
          <t>No</t>
        </is>
      </c>
      <c r="AA560" s="6" t="n">
        <v>3.307831791</v>
      </c>
      <c r="AB560" s="6" t="n">
        <v>3.498365699</v>
      </c>
      <c r="AC560" s="6" t="n">
        <v>3.307831791</v>
      </c>
      <c r="AD560">
        <f t="array" ref="AD560">IF(SUMPRODUCT(--($AM$2:$AM$112=TRIM(LEFT($B560,IFERROR(FIND(" ",$B560)-1,LEN($B560))))))&gt;0,1,0)</f>
        <v/>
      </c>
      <c r="AE560">
        <f t="array" ref="AE560">IF(SUMPRODUCT(--($AO$2:$AO$145=TRIM(LEFT($B560,IFERROR(FIND(" ",$B560)-1,LEN($B560))))))&gt;0,1,0)</f>
        <v/>
      </c>
      <c r="AF560">
        <f t="array" ref="AF560">IF(SUMPRODUCT(--($AQ$2:$AQ$71=TRIM(LEFT($B560,IFERROR(FIND(" ",$B560)-1,LEN($B560))))))&gt;0,1,0)</f>
        <v/>
      </c>
    </row>
    <row r="561" ht="165.75" customHeight="1" thickBot="1">
      <c r="A561" s="13" t="n">
        <v>216</v>
      </c>
      <c r="B561" s="4" t="inlineStr">
        <is>
          <t>ATH US</t>
        </is>
      </c>
      <c r="C561" s="4" t="inlineStr">
        <is>
          <t>APO US</t>
        </is>
      </c>
      <c r="D561" s="7" t="n">
        <v>44263</v>
      </c>
      <c r="E561" s="3" t="n">
        <v>7249.22</v>
      </c>
      <c r="F561" s="4" t="inlineStr">
        <is>
          <t>Stock</t>
        </is>
      </c>
      <c r="G561" s="4" t="n"/>
      <c r="H561" s="4" t="inlineStr">
        <is>
          <t>Financials</t>
        </is>
      </c>
      <c r="I561" s="4" t="inlineStr">
        <is>
          <t>Insurance</t>
        </is>
      </c>
      <c r="J561" s="4" t="inlineStr">
        <is>
          <t>Insurance</t>
        </is>
      </c>
      <c r="K561" s="3" t="n">
        <v>81.90000000000001</v>
      </c>
      <c r="L561" s="4" t="n"/>
      <c r="M561" s="3" t="n">
        <v>26.46</v>
      </c>
      <c r="N561" s="3" t="n">
        <v>7249.22</v>
      </c>
      <c r="O561" s="4" t="inlineStr">
        <is>
          <t>United States</t>
        </is>
      </c>
      <c r="P561" s="4" t="inlineStr">
        <is>
          <t>United States</t>
        </is>
      </c>
      <c r="Q561" s="4" t="inlineStr">
        <is>
          <t>Friendly</t>
        </is>
      </c>
      <c r="R561" s="3" t="n">
        <v>25677</v>
      </c>
      <c r="S561" s="3" t="n">
        <v>17.3457</v>
      </c>
      <c r="T561" s="4" t="inlineStr">
        <is>
          <t>PE Buyout, Company Takeover, Private Equity, Additional Stake Purchase</t>
        </is>
      </c>
      <c r="U561" s="2" t="inlineStr">
        <is>
          <t>Yes</t>
        </is>
      </c>
      <c r="V561" s="2" t="inlineStr">
        <is>
          <t>No</t>
        </is>
      </c>
      <c r="W561" s="2" t="inlineStr">
        <is>
          <t>No</t>
        </is>
      </c>
      <c r="X561" s="2" t="inlineStr">
        <is>
          <t>No</t>
        </is>
      </c>
      <c r="Y561" s="2" t="inlineStr">
        <is>
          <t>Yes</t>
        </is>
      </c>
      <c r="Z561" s="2" t="inlineStr">
        <is>
          <t>No</t>
        </is>
      </c>
      <c r="AA561" s="6" t="n">
        <v>3.86029128</v>
      </c>
      <c r="AB561" s="6" t="n">
        <v>4.409544281</v>
      </c>
      <c r="AC561" s="6" t="n">
        <v>3.86029128</v>
      </c>
      <c r="AD561">
        <f t="array" ref="AD561">IF(SUMPRODUCT(--($AM$2:$AM$112=TRIM(LEFT($B561,IFERROR(FIND(" ",$B561)-1,LEN($B561))))))&gt;0,1,0)</f>
        <v/>
      </c>
      <c r="AE561">
        <f t="array" ref="AE561">IF(SUMPRODUCT(--($AO$2:$AO$145=TRIM(LEFT($B561,IFERROR(FIND(" ",$B561)-1,LEN($B561))))))&gt;0,1,0)</f>
        <v/>
      </c>
      <c r="AF561">
        <f t="array" ref="AF561">IF(SUMPRODUCT(--($AQ$2:$AQ$71=TRIM(LEFT($B561,IFERROR(FIND(" ",$B561)-1,LEN($B561))))))&gt;0,1,0)</f>
        <v/>
      </c>
    </row>
    <row r="562" ht="45.75" customHeight="1" thickBot="1">
      <c r="A562" s="13" t="n">
        <v>214</v>
      </c>
      <c r="B562" s="4" t="inlineStr">
        <is>
          <t>BMTC US</t>
        </is>
      </c>
      <c r="C562" s="4" t="inlineStr">
        <is>
          <t>WSFS US</t>
        </is>
      </c>
      <c r="D562" s="7" t="n">
        <v>44265</v>
      </c>
      <c r="E562" s="3" t="n">
        <v>880.15</v>
      </c>
      <c r="F562" s="4" t="inlineStr">
        <is>
          <t>Stock</t>
        </is>
      </c>
      <c r="G562" s="4" t="n"/>
      <c r="H562" s="4" t="inlineStr">
        <is>
          <t>Financials</t>
        </is>
      </c>
      <c r="I562" s="4" t="inlineStr">
        <is>
          <t>Banking</t>
        </is>
      </c>
      <c r="J562" s="4" t="inlineStr">
        <is>
          <t>Banking</t>
        </is>
      </c>
      <c r="K562" s="4" t="n"/>
      <c r="L562" s="3" t="n">
        <v>37.725</v>
      </c>
      <c r="M562" s="4" t="n"/>
      <c r="N562" s="3" t="n">
        <v>880.15</v>
      </c>
      <c r="O562" s="4" t="inlineStr">
        <is>
          <t>United States</t>
        </is>
      </c>
      <c r="P562" s="4" t="inlineStr">
        <is>
          <t>United States</t>
        </is>
      </c>
      <c r="Q562" s="4" t="inlineStr">
        <is>
          <t>Friendly</t>
        </is>
      </c>
      <c r="R562" s="3" t="n">
        <v>249.652</v>
      </c>
      <c r="S562" s="3" t="n">
        <v>41.2401</v>
      </c>
      <c r="T562" s="4" t="inlineStr">
        <is>
          <t>Company Takeover</t>
        </is>
      </c>
      <c r="U562" s="2" t="inlineStr">
        <is>
          <t>No</t>
        </is>
      </c>
      <c r="V562" s="2" t="inlineStr">
        <is>
          <t>No</t>
        </is>
      </c>
      <c r="W562" s="2" t="inlineStr">
        <is>
          <t>No</t>
        </is>
      </c>
      <c r="X562" s="2" t="inlineStr">
        <is>
          <t>No</t>
        </is>
      </c>
      <c r="Y562" s="2" t="inlineStr">
        <is>
          <t>No</t>
        </is>
      </c>
      <c r="Z562" s="2" t="inlineStr">
        <is>
          <t>No</t>
        </is>
      </c>
      <c r="AA562" s="6" t="n">
        <v>2.944556693</v>
      </c>
      <c r="AB562" s="6" t="n">
        <v>2.39733505</v>
      </c>
      <c r="AC562" s="6" t="n">
        <v>2.944556693</v>
      </c>
      <c r="AD562">
        <f t="array" ref="AD562">IF(SUMPRODUCT(--($AM$2:$AM$112=TRIM(LEFT($B562,IFERROR(FIND(" ",$B562)-1,LEN($B562))))))&gt;0,1,0)</f>
        <v/>
      </c>
      <c r="AE562">
        <f t="array" ref="AE562">IF(SUMPRODUCT(--($AO$2:$AO$145=TRIM(LEFT($B562,IFERROR(FIND(" ",$B562)-1,LEN($B562))))))&gt;0,1,0)</f>
        <v/>
      </c>
      <c r="AF562">
        <f t="array" ref="AF562">IF(SUMPRODUCT(--($AQ$2:$AQ$71=TRIM(LEFT($B562,IFERROR(FIND(" ",$B562)-1,LEN($B562))))))&gt;0,1,0)</f>
        <v/>
      </c>
    </row>
    <row r="563" ht="45.75" customHeight="1" thickBot="1">
      <c r="A563" s="13" t="n">
        <v>124</v>
      </c>
      <c r="B563" s="4" t="inlineStr">
        <is>
          <t>RBNC US</t>
        </is>
      </c>
      <c r="C563" s="4" t="inlineStr">
        <is>
          <t>UCB US</t>
        </is>
      </c>
      <c r="D563" s="7" t="n">
        <v>44391</v>
      </c>
      <c r="E563" s="3" t="n">
        <v>518.02</v>
      </c>
      <c r="F563" s="4" t="inlineStr">
        <is>
          <t>Stock</t>
        </is>
      </c>
      <c r="G563" s="4" t="n"/>
      <c r="H563" s="4" t="inlineStr">
        <is>
          <t>Financials</t>
        </is>
      </c>
      <c r="I563" s="4" t="inlineStr">
        <is>
          <t>Banking</t>
        </is>
      </c>
      <c r="J563" s="4" t="inlineStr">
        <is>
          <t>Banking</t>
        </is>
      </c>
      <c r="K563" s="4" t="n"/>
      <c r="L563" s="4" t="n"/>
      <c r="M563" s="3" t="n">
        <v>14.09</v>
      </c>
      <c r="N563" s="3" t="n">
        <v>518.02</v>
      </c>
      <c r="O563" s="4" t="inlineStr">
        <is>
          <t>United States</t>
        </is>
      </c>
      <c r="P563" s="4" t="inlineStr">
        <is>
          <t>United States</t>
        </is>
      </c>
      <c r="Q563" s="4" t="inlineStr">
        <is>
          <t>Friendly</t>
        </is>
      </c>
      <c r="R563" s="3" t="n">
        <v>151.83</v>
      </c>
      <c r="S563" s="3" t="n">
        <v>43.2447</v>
      </c>
      <c r="T563" s="4" t="inlineStr">
        <is>
          <t>Company Takeover</t>
        </is>
      </c>
      <c r="U563" s="2" t="inlineStr">
        <is>
          <t>No</t>
        </is>
      </c>
      <c r="V563" s="2" t="inlineStr">
        <is>
          <t>No</t>
        </is>
      </c>
      <c r="W563" s="2" t="inlineStr">
        <is>
          <t>No</t>
        </is>
      </c>
      <c r="X563" s="2" t="inlineStr">
        <is>
          <t>No</t>
        </is>
      </c>
      <c r="Y563" s="2" t="inlineStr">
        <is>
          <t>No</t>
        </is>
      </c>
      <c r="Z563" s="2" t="inlineStr">
        <is>
          <t>No</t>
        </is>
      </c>
      <c r="AA563" s="6" t="n">
        <v>2.714346528</v>
      </c>
      <c r="AB563" s="6" t="n">
        <v>2.181357592</v>
      </c>
      <c r="AC563" s="6" t="n">
        <v>2.714346528</v>
      </c>
      <c r="AD563">
        <f t="array" ref="AD563">IF(SUMPRODUCT(--($AM$2:$AM$112=TRIM(LEFT($B563,IFERROR(FIND(" ",$B563)-1,LEN($B563))))))&gt;0,1,0)</f>
        <v/>
      </c>
      <c r="AE563">
        <f t="array" ref="AE563">IF(SUMPRODUCT(--($AO$2:$AO$145=TRIM(LEFT($B563,IFERROR(FIND(" ",$B563)-1,LEN($B563))))))&gt;0,1,0)</f>
        <v/>
      </c>
      <c r="AF563">
        <f t="array" ref="AF563">IF(SUMPRODUCT(--($AQ$2:$AQ$71=TRIM(LEFT($B563,IFERROR(FIND(" ",$B563)-1,LEN($B563))))))&gt;0,1,0)</f>
        <v/>
      </c>
    </row>
    <row r="564" ht="105.75" customHeight="1" thickBot="1">
      <c r="A564" s="13" t="n">
        <v>30</v>
      </c>
      <c r="B564" s="4" t="inlineStr">
        <is>
          <t>DRNA US</t>
        </is>
      </c>
      <c r="C564" s="4" t="inlineStr">
        <is>
          <t>NOVOB DC</t>
        </is>
      </c>
      <c r="D564" s="7" t="n">
        <v>44518</v>
      </c>
      <c r="E564" s="3" t="n">
        <v>2506.42</v>
      </c>
      <c r="F564" s="4" t="inlineStr">
        <is>
          <t>Cash</t>
        </is>
      </c>
      <c r="G564" s="4" t="n"/>
      <c r="H564" s="4" t="inlineStr">
        <is>
          <t>Health Care</t>
        </is>
      </c>
      <c r="I564" s="4" t="inlineStr">
        <is>
          <t>Health Care</t>
        </is>
      </c>
      <c r="J564" s="4" t="inlineStr">
        <is>
          <t>Biotech &amp; Pharma</t>
        </is>
      </c>
      <c r="K564" s="4" t="n"/>
      <c r="L564" s="4" t="n"/>
      <c r="M564" s="3" t="n">
        <v>77.18000000000001</v>
      </c>
      <c r="N564" s="3" t="n">
        <v>3007.51</v>
      </c>
      <c r="O564" s="4" t="inlineStr">
        <is>
          <t>United States</t>
        </is>
      </c>
      <c r="P564" s="4" t="inlineStr">
        <is>
          <t>Denmark</t>
        </is>
      </c>
      <c r="Q564" s="4" t="inlineStr">
        <is>
          <t>Friendly</t>
        </is>
      </c>
      <c r="R564" s="3" t="n">
        <v>164.307</v>
      </c>
      <c r="S564" s="3" t="n">
        <v>-62.8841</v>
      </c>
      <c r="T564" s="4" t="inlineStr">
        <is>
          <t>Company Takeover, Tender Offer, Squeeze out</t>
        </is>
      </c>
      <c r="U564" s="2" t="inlineStr">
        <is>
          <t>No</t>
        </is>
      </c>
      <c r="V564" s="2" t="inlineStr">
        <is>
          <t>No</t>
        </is>
      </c>
      <c r="W564" s="2" t="inlineStr">
        <is>
          <t>No</t>
        </is>
      </c>
      <c r="X564" s="2" t="inlineStr">
        <is>
          <t>No</t>
        </is>
      </c>
      <c r="Y564" s="2" t="inlineStr">
        <is>
          <t>No</t>
        </is>
      </c>
      <c r="Z564" s="2" t="inlineStr">
        <is>
          <t>Yes</t>
        </is>
      </c>
      <c r="AA564" s="6" t="n">
        <v>3.399053847</v>
      </c>
      <c r="AB564" s="6" t="n">
        <v>2.215656066</v>
      </c>
      <c r="AC564" s="6" t="n">
        <v>3.47820708</v>
      </c>
      <c r="AD564">
        <f t="array" ref="AD564">IF(SUMPRODUCT(--($AM$2:$AM$112=TRIM(LEFT($B564,IFERROR(FIND(" ",$B564)-1,LEN($B564))))))&gt;0,1,0)</f>
        <v/>
      </c>
      <c r="AE564">
        <f t="array" ref="AE564">IF(SUMPRODUCT(--($AO$2:$AO$145=TRIM(LEFT($B564,IFERROR(FIND(" ",$B564)-1,LEN($B564))))))&gt;0,1,0)</f>
        <v/>
      </c>
      <c r="AF564">
        <f t="array" ref="AF564">IF(SUMPRODUCT(--($AQ$2:$AQ$71=TRIM(LEFT($B564,IFERROR(FIND(" ",$B564)-1,LEN($B564))))))&gt;0,1,0)</f>
        <v/>
      </c>
    </row>
    <row r="565" ht="75.75" customHeight="1" thickBot="1">
      <c r="A565" s="13" t="n">
        <v>32</v>
      </c>
      <c r="B565" s="4" t="inlineStr">
        <is>
          <t>2297634D US</t>
        </is>
      </c>
      <c r="C565" s="4" t="inlineStr">
        <is>
          <t>AMT US</t>
        </is>
      </c>
      <c r="D565" s="7" t="n">
        <v>44515</v>
      </c>
      <c r="E565" s="3" t="n">
        <v>9480.440000000001</v>
      </c>
      <c r="F565" s="4" t="inlineStr">
        <is>
          <t>Cash</t>
        </is>
      </c>
      <c r="G565" s="3" t="n">
        <v>26.84</v>
      </c>
      <c r="H565" s="4" t="inlineStr">
        <is>
          <t>Real Estate</t>
        </is>
      </c>
      <c r="I565" s="4" t="inlineStr">
        <is>
          <t>Real Estate</t>
        </is>
      </c>
      <c r="J565" s="4" t="inlineStr">
        <is>
          <t>REIT</t>
        </is>
      </c>
      <c r="K565" s="4" t="n"/>
      <c r="L565" s="4" t="n"/>
      <c r="M565" s="4" t="n"/>
      <c r="N565" s="3" t="n">
        <v>7513.22</v>
      </c>
      <c r="O565" s="4" t="inlineStr">
        <is>
          <t>United States</t>
        </is>
      </c>
      <c r="P565" s="4" t="inlineStr">
        <is>
          <t>United States</t>
        </is>
      </c>
      <c r="Q565" s="4" t="inlineStr">
        <is>
          <t>Friendly</t>
        </is>
      </c>
      <c r="R565" s="3" t="n">
        <v>606.824</v>
      </c>
      <c r="S565" s="3" t="n">
        <v>22.6727</v>
      </c>
      <c r="T565" s="4" t="inlineStr">
        <is>
          <t>Company Takeover, Tender Offer</t>
        </is>
      </c>
      <c r="U565" s="2" t="inlineStr">
        <is>
          <t>No</t>
        </is>
      </c>
      <c r="V565" s="2" t="inlineStr">
        <is>
          <t>No</t>
        </is>
      </c>
      <c r="W565" s="2" t="inlineStr">
        <is>
          <t>No</t>
        </is>
      </c>
      <c r="X565" s="2" t="inlineStr">
        <is>
          <t>No</t>
        </is>
      </c>
      <c r="Y565" s="2" t="inlineStr">
        <is>
          <t>No</t>
        </is>
      </c>
      <c r="Z565" s="2" t="inlineStr">
        <is>
          <t>Yes</t>
        </is>
      </c>
      <c r="AA565" s="6" t="n">
        <v>3.976828494</v>
      </c>
      <c r="AB565" s="6" t="n">
        <v>2.783062749</v>
      </c>
      <c r="AC565" s="6" t="n">
        <v>3.875826106</v>
      </c>
      <c r="AD565">
        <f t="array" ref="AD565">IF(SUMPRODUCT(--($AM$2:$AM$112=TRIM(LEFT($B565,IFERROR(FIND(" ",$B565)-1,LEN($B565))))))&gt;0,1,0)</f>
        <v/>
      </c>
      <c r="AE565">
        <f t="array" ref="AE565">IF(SUMPRODUCT(--($AO$2:$AO$145=TRIM(LEFT($B565,IFERROR(FIND(" ",$B565)-1,LEN($B565))))))&gt;0,1,0)</f>
        <v/>
      </c>
      <c r="AF565">
        <f t="array" ref="AF565">IF(SUMPRODUCT(--($AQ$2:$AQ$71=TRIM(LEFT($B565,IFERROR(FIND(" ",$B565)-1,LEN($B565))))))&gt;0,1,0)</f>
        <v/>
      </c>
    </row>
    <row r="566" ht="135.75" customHeight="1" thickBot="1">
      <c r="A566" s="13" t="n">
        <v>36</v>
      </c>
      <c r="B566" s="4" t="inlineStr">
        <is>
          <t>ZIXI US</t>
        </is>
      </c>
      <c r="C566" s="4" t="inlineStr">
        <is>
          <t>OTEX CN</t>
        </is>
      </c>
      <c r="D566" s="7" t="n">
        <v>44508</v>
      </c>
      <c r="E566" s="3" t="n">
        <v>674.61</v>
      </c>
      <c r="F566" s="4" t="inlineStr">
        <is>
          <t>Cash</t>
        </is>
      </c>
      <c r="G566" s="3" t="n">
        <v>15.94</v>
      </c>
      <c r="H566" s="4" t="inlineStr">
        <is>
          <t>Communications</t>
        </is>
      </c>
      <c r="I566" s="4" t="inlineStr">
        <is>
          <t>Telecommunications</t>
        </is>
      </c>
      <c r="J566" s="4" t="inlineStr">
        <is>
          <t>Telecommunications</t>
        </is>
      </c>
      <c r="K566" s="4" t="n"/>
      <c r="L566" s="4" t="n"/>
      <c r="M566" s="3" t="n">
        <v>4.26</v>
      </c>
      <c r="N566" s="3" t="n">
        <v>483.78</v>
      </c>
      <c r="O566" s="4" t="inlineStr">
        <is>
          <t>United States</t>
        </is>
      </c>
      <c r="P566" s="4" t="inlineStr">
        <is>
          <t>Canada</t>
        </is>
      </c>
      <c r="Q566" s="4" t="inlineStr">
        <is>
          <t>Friendly</t>
        </is>
      </c>
      <c r="R566" s="3" t="n">
        <v>218.478</v>
      </c>
      <c r="S566" s="3" t="n">
        <v>-0.243931</v>
      </c>
      <c r="T566" s="4" t="inlineStr">
        <is>
          <t>Tender Offer, Cross Border, Company Takeover, Squeeze out</t>
        </is>
      </c>
      <c r="U566" s="2" t="inlineStr">
        <is>
          <t>No</t>
        </is>
      </c>
      <c r="V566" s="2" t="inlineStr">
        <is>
          <t>No</t>
        </is>
      </c>
      <c r="W566" s="2" t="inlineStr">
        <is>
          <t>Yes</t>
        </is>
      </c>
      <c r="X566" s="2" t="inlineStr">
        <is>
          <t>No</t>
        </is>
      </c>
      <c r="Y566" s="2" t="inlineStr">
        <is>
          <t>No</t>
        </is>
      </c>
      <c r="Z566" s="2" t="inlineStr">
        <is>
          <t>Yes</t>
        </is>
      </c>
      <c r="AA566" s="6" t="n">
        <v>2.829052775</v>
      </c>
      <c r="AB566" s="6" t="n">
        <v>2.339407712</v>
      </c>
      <c r="AC566" s="6" t="n">
        <v>2.68464791</v>
      </c>
      <c r="AD566">
        <f t="array" ref="AD566">IF(SUMPRODUCT(--($AM$2:$AM$112=TRIM(LEFT($B566,IFERROR(FIND(" ",$B566)-1,LEN($B566))))))&gt;0,1,0)</f>
        <v/>
      </c>
      <c r="AE566">
        <f t="array" ref="AE566">IF(SUMPRODUCT(--($AO$2:$AO$145=TRIM(LEFT($B566,IFERROR(FIND(" ",$B566)-1,LEN($B566))))))&gt;0,1,0)</f>
        <v/>
      </c>
      <c r="AF566">
        <f t="array" ref="AF566">IF(SUMPRODUCT(--($AQ$2:$AQ$71=TRIM(LEFT($B566,IFERROR(FIND(" ",$B566)-1,LEN($B566))))))&gt;0,1,0)</f>
        <v/>
      </c>
    </row>
    <row r="567" ht="75.75" customHeight="1" thickBot="1">
      <c r="A567" s="13" t="n">
        <v>89</v>
      </c>
      <c r="B567" s="4" t="inlineStr">
        <is>
          <t>LMRK US</t>
        </is>
      </c>
      <c r="C567" s="4" t="inlineStr">
        <is>
          <t>0717654D US</t>
        </is>
      </c>
      <c r="D567" s="7" t="n">
        <v>44431</v>
      </c>
      <c r="E567" s="3" t="n">
        <v>917.8200000000001</v>
      </c>
      <c r="F567" s="4" t="inlineStr">
        <is>
          <t>Cash</t>
        </is>
      </c>
      <c r="G567" s="3" t="n">
        <v>15.66</v>
      </c>
      <c r="H567" s="4" t="inlineStr">
        <is>
          <t>Real Estate</t>
        </is>
      </c>
      <c r="I567" s="4" t="inlineStr">
        <is>
          <t>Real Estate</t>
        </is>
      </c>
      <c r="J567" s="4" t="inlineStr">
        <is>
          <t>REIT</t>
        </is>
      </c>
      <c r="K567" s="4" t="n"/>
      <c r="L567" s="4" t="n"/>
      <c r="M567" s="4" t="n"/>
      <c r="N567" s="3" t="n">
        <v>420.57</v>
      </c>
      <c r="O567" s="4" t="inlineStr">
        <is>
          <t>United States</t>
        </is>
      </c>
      <c r="P567" s="4" t="inlineStr">
        <is>
          <t>United States</t>
        </is>
      </c>
      <c r="Q567" s="4" t="inlineStr">
        <is>
          <t>Friendly</t>
        </is>
      </c>
      <c r="R567" s="3" t="n">
        <v>58.839</v>
      </c>
      <c r="S567" s="3" t="n">
        <v>53.8169</v>
      </c>
      <c r="T567" s="4" t="inlineStr">
        <is>
          <t>Company Takeover, Going Private</t>
        </is>
      </c>
      <c r="U567" s="2" t="inlineStr">
        <is>
          <t>No</t>
        </is>
      </c>
      <c r="V567" s="2" t="inlineStr">
        <is>
          <t>No</t>
        </is>
      </c>
      <c r="W567" s="2" t="inlineStr">
        <is>
          <t>No</t>
        </is>
      </c>
      <c r="X567" s="2" t="inlineStr">
        <is>
          <t>Yes</t>
        </is>
      </c>
      <c r="Y567" s="2" t="inlineStr">
        <is>
          <t>No</t>
        </is>
      </c>
      <c r="Z567" s="2" t="inlineStr">
        <is>
          <t>No</t>
        </is>
      </c>
      <c r="AA567" s="6" t="n">
        <v>2.962757517</v>
      </c>
      <c r="AB567" s="6" t="n">
        <v>1.769665283</v>
      </c>
      <c r="AC567" s="6" t="n">
        <v>2.62383829</v>
      </c>
      <c r="AD567">
        <f t="array" ref="AD567">IF(SUMPRODUCT(--($AM$2:$AM$112=TRIM(LEFT($B567,IFERROR(FIND(" ",$B567)-1,LEN($B567))))))&gt;0,1,0)</f>
        <v/>
      </c>
      <c r="AE567">
        <f t="array" ref="AE567">IF(SUMPRODUCT(--($AO$2:$AO$145=TRIM(LEFT($B567,IFERROR(FIND(" ",$B567)-1,LEN($B567))))))&gt;0,1,0)</f>
        <v/>
      </c>
      <c r="AF567">
        <f t="array" ref="AF567">IF(SUMPRODUCT(--($AQ$2:$AQ$71=TRIM(LEFT($B567,IFERROR(FIND(" ",$B567)-1,LEN($B567))))))&gt;0,1,0)</f>
        <v/>
      </c>
    </row>
    <row r="568" ht="45.75" customHeight="1" thickBot="1">
      <c r="A568" s="13" t="n">
        <v>32</v>
      </c>
      <c r="B568" s="4" t="inlineStr">
        <is>
          <t>SRX CN</t>
        </is>
      </c>
      <c r="C568" s="4" t="inlineStr">
        <is>
          <t>CNQ CN</t>
        </is>
      </c>
      <c r="D568" s="7" t="n">
        <v>44510</v>
      </c>
      <c r="E568" s="3" t="n">
        <v>704.88</v>
      </c>
      <c r="F568" s="4" t="inlineStr">
        <is>
          <t>Cash</t>
        </is>
      </c>
      <c r="G568" s="3" t="n">
        <v>12.46</v>
      </c>
      <c r="H568" s="4" t="inlineStr">
        <is>
          <t>Energy</t>
        </is>
      </c>
      <c r="I568" s="4" t="inlineStr">
        <is>
          <t>Oil &amp; Gas</t>
        </is>
      </c>
      <c r="J568" s="4" t="inlineStr">
        <is>
          <t>Oil &amp; Gas Supply Chain</t>
        </is>
      </c>
      <c r="K568" s="4" t="n"/>
      <c r="L568" s="3" t="n">
        <v>43.5</v>
      </c>
      <c r="M568" s="3" t="n">
        <v>8.56</v>
      </c>
      <c r="N568" s="3" t="n">
        <v>615.74</v>
      </c>
      <c r="O568" s="4" t="inlineStr">
        <is>
          <t>Canada</t>
        </is>
      </c>
      <c r="P568" s="4" t="inlineStr">
        <is>
          <t>Canada</t>
        </is>
      </c>
      <c r="Q568" s="4" t="inlineStr">
        <is>
          <t>Friendly</t>
        </is>
      </c>
      <c r="R568" s="3" t="n">
        <v>116.457</v>
      </c>
      <c r="S568" s="3" t="n">
        <v>9.075670000000001</v>
      </c>
      <c r="T568" s="4" t="inlineStr">
        <is>
          <t>Company Takeover</t>
        </is>
      </c>
      <c r="U568" s="2" t="inlineStr">
        <is>
          <t>No</t>
        </is>
      </c>
      <c r="V568" s="2" t="inlineStr">
        <is>
          <t>No</t>
        </is>
      </c>
      <c r="W568" s="2" t="inlineStr">
        <is>
          <t>No</t>
        </is>
      </c>
      <c r="X568" s="2" t="inlineStr">
        <is>
          <t>No</t>
        </is>
      </c>
      <c r="Y568" s="2" t="inlineStr">
        <is>
          <t>No</t>
        </is>
      </c>
      <c r="Z568" s="2" t="inlineStr">
        <is>
          <t>No</t>
        </is>
      </c>
      <c r="AA568" s="6" t="n">
        <v>2.848115188</v>
      </c>
      <c r="AB568" s="6" t="n">
        <v>2.066165598</v>
      </c>
      <c r="AC568" s="6" t="n">
        <v>2.789397367</v>
      </c>
      <c r="AD568">
        <f t="array" ref="AD568">IF(SUMPRODUCT(--($AM$2:$AM$112=TRIM(LEFT($B568,IFERROR(FIND(" ",$B568)-1,LEN($B568))))))&gt;0,1,0)</f>
        <v/>
      </c>
      <c r="AE568">
        <f t="array" ref="AE568">IF(SUMPRODUCT(--($AO$2:$AO$145=TRIM(LEFT($B568,IFERROR(FIND(" ",$B568)-1,LEN($B568))))))&gt;0,1,0)</f>
        <v/>
      </c>
      <c r="AF568">
        <f t="array" ref="AF568">IF(SUMPRODUCT(--($AQ$2:$AQ$71=TRIM(LEFT($B568,IFERROR(FIND(" ",$B568)-1,LEN($B568))))))&gt;0,1,0)</f>
        <v/>
      </c>
    </row>
    <row r="569" ht="45.75" customHeight="1" thickBot="1">
      <c r="A569" s="13" t="n">
        <v>24</v>
      </c>
      <c r="B569" s="4" t="inlineStr">
        <is>
          <t>LAACZ US</t>
        </is>
      </c>
      <c r="C569" s="4" t="inlineStr">
        <is>
          <t>CUBE US</t>
        </is>
      </c>
      <c r="D569" s="7" t="n">
        <v>44515</v>
      </c>
      <c r="E569" s="3" t="n">
        <v>1690</v>
      </c>
      <c r="F569" s="4" t="inlineStr">
        <is>
          <t>Cash</t>
        </is>
      </c>
      <c r="G569" s="4" t="n"/>
      <c r="H569" s="4" t="inlineStr">
        <is>
          <t>Real Estate</t>
        </is>
      </c>
      <c r="I569" s="4" t="inlineStr">
        <is>
          <t>Real Estate</t>
        </is>
      </c>
      <c r="J569" s="4" t="inlineStr">
        <is>
          <t>Real Estate Services</t>
        </is>
      </c>
      <c r="K569" s="4" t="n"/>
      <c r="L569" s="4" t="n"/>
      <c r="M569" s="4" t="n"/>
      <c r="N569" s="3" t="n">
        <v>1649.1</v>
      </c>
      <c r="O569" s="4" t="inlineStr">
        <is>
          <t>United States</t>
        </is>
      </c>
      <c r="P569" s="4" t="inlineStr">
        <is>
          <t>United States</t>
        </is>
      </c>
      <c r="Q569" s="4" t="inlineStr">
        <is>
          <t>Friendly</t>
        </is>
      </c>
      <c r="R569" s="2" t="n"/>
      <c r="S569" s="2" t="n"/>
      <c r="T569" s="4" t="inlineStr">
        <is>
          <t>Company Takeover</t>
        </is>
      </c>
      <c r="U569" s="2" t="inlineStr">
        <is>
          <t>No</t>
        </is>
      </c>
      <c r="V569" s="2" t="inlineStr">
        <is>
          <t>No</t>
        </is>
      </c>
      <c r="W569" s="2" t="inlineStr">
        <is>
          <t>No</t>
        </is>
      </c>
      <c r="X569" s="2" t="inlineStr">
        <is>
          <t>No</t>
        </is>
      </c>
      <c r="Y569" s="2" t="inlineStr">
        <is>
          <t>No</t>
        </is>
      </c>
      <c r="Z569" s="2" t="inlineStr">
        <is>
          <t>No</t>
        </is>
      </c>
      <c r="AA569" s="6" t="n">
        <v>3.227886705</v>
      </c>
      <c r="AB569" s="2" t="n"/>
      <c r="AC569" s="6" t="n">
        <v>3.217246992</v>
      </c>
      <c r="AD569">
        <f t="array" ref="AD569">IF(SUMPRODUCT(--($AM$2:$AM$112=TRIM(LEFT($B569,IFERROR(FIND(" ",$B569)-1,LEN($B569))))))&gt;0,1,0)</f>
        <v/>
      </c>
      <c r="AE569">
        <f t="array" ref="AE569">IF(SUMPRODUCT(--($AO$2:$AO$145=TRIM(LEFT($B569,IFERROR(FIND(" ",$B569)-1,LEN($B569))))))&gt;0,1,0)</f>
        <v/>
      </c>
      <c r="AF569">
        <f t="array" ref="AF569">IF(SUMPRODUCT(--($AQ$2:$AQ$71=TRIM(LEFT($B569,IFERROR(FIND(" ",$B569)-1,LEN($B569))))))&gt;0,1,0)</f>
        <v/>
      </c>
    </row>
    <row r="570" ht="75.75" customHeight="1" thickBot="1">
      <c r="A570" s="13" t="n">
        <v>65</v>
      </c>
      <c r="B570" s="4" t="inlineStr">
        <is>
          <t>KSU US</t>
        </is>
      </c>
      <c r="C570" s="4" t="inlineStr">
        <is>
          <t>CP CN</t>
        </is>
      </c>
      <c r="D570" s="7" t="n">
        <v>44454</v>
      </c>
      <c r="E570" s="3" t="n">
        <v>30206.99</v>
      </c>
      <c r="F570" s="4" t="inlineStr">
        <is>
          <t>Cash and Stock</t>
        </is>
      </c>
      <c r="G570" s="3" t="n">
        <v>42.1</v>
      </c>
      <c r="H570" s="4" t="inlineStr">
        <is>
          <t>Industrials</t>
        </is>
      </c>
      <c r="I570" s="4" t="inlineStr">
        <is>
          <t>Industrial Services</t>
        </is>
      </c>
      <c r="J570" s="4" t="inlineStr">
        <is>
          <t>Transportation &amp; Logistics</t>
        </is>
      </c>
      <c r="K570" s="3" t="n">
        <v>1400</v>
      </c>
      <c r="L570" s="3" t="n">
        <v>1400</v>
      </c>
      <c r="M570" s="3" t="n">
        <v>1.45</v>
      </c>
      <c r="N570" s="3" t="n">
        <v>26704.99</v>
      </c>
      <c r="O570" s="4" t="inlineStr">
        <is>
          <t>United States</t>
        </is>
      </c>
      <c r="P570" s="4" t="inlineStr">
        <is>
          <t>Canada</t>
        </is>
      </c>
      <c r="Q570" s="4" t="inlineStr">
        <is>
          <t>Unsolicited</t>
        </is>
      </c>
      <c r="R570" s="3" t="n">
        <v>3370.4</v>
      </c>
      <c r="S570" s="3" t="n">
        <v>35.6708</v>
      </c>
      <c r="T570" s="4" t="inlineStr">
        <is>
          <t>Company Takeover, Cross Border</t>
        </is>
      </c>
      <c r="U570" s="2" t="inlineStr">
        <is>
          <t>No</t>
        </is>
      </c>
      <c r="V570" s="2" t="inlineStr">
        <is>
          <t>No</t>
        </is>
      </c>
      <c r="W570" s="2" t="inlineStr">
        <is>
          <t>Yes</t>
        </is>
      </c>
      <c r="X570" s="2" t="inlineStr">
        <is>
          <t>No</t>
        </is>
      </c>
      <c r="Y570" s="2" t="inlineStr">
        <is>
          <t>No</t>
        </is>
      </c>
      <c r="Z570" s="2" t="inlineStr">
        <is>
          <t>No</t>
        </is>
      </c>
      <c r="AA570" s="6" t="n">
        <v>4.480107452</v>
      </c>
      <c r="AB570" s="6" t="n">
        <v>3.527681446</v>
      </c>
      <c r="AC570" s="6" t="n">
        <v>4.42659242</v>
      </c>
      <c r="AD570">
        <f t="array" ref="AD570">IF(SUMPRODUCT(--($AM$2:$AM$112=TRIM(LEFT($B570,IFERROR(FIND(" ",$B570)-1,LEN($B570))))))&gt;0,1,0)</f>
        <v/>
      </c>
      <c r="AE570">
        <f t="array" ref="AE570">IF(SUMPRODUCT(--($AO$2:$AO$145=TRIM(LEFT($B570,IFERROR(FIND(" ",$B570)-1,LEN($B570))))))&gt;0,1,0)</f>
        <v/>
      </c>
      <c r="AF570">
        <f t="array" ref="AF570">IF(SUMPRODUCT(--($AQ$2:$AQ$71=TRIM(LEFT($B570,IFERROR(FIND(" ",$B570)-1,LEN($B570))))))&gt;0,1,0)</f>
        <v/>
      </c>
    </row>
    <row r="571" ht="60.75" customHeight="1" thickBot="1">
      <c r="A571" s="13" t="n">
        <v>73</v>
      </c>
      <c r="B571" s="4" t="inlineStr">
        <is>
          <t>HRC US</t>
        </is>
      </c>
      <c r="C571" s="4" t="inlineStr">
        <is>
          <t>BAX US</t>
        </is>
      </c>
      <c r="D571" s="7" t="n">
        <v>44441</v>
      </c>
      <c r="E571" s="3" t="n">
        <v>11716.56</v>
      </c>
      <c r="F571" s="4" t="inlineStr">
        <is>
          <t>Cash</t>
        </is>
      </c>
      <c r="G571" s="3" t="n">
        <v>21.87</v>
      </c>
      <c r="H571" s="4" t="inlineStr">
        <is>
          <t>Health Care</t>
        </is>
      </c>
      <c r="I571" s="4" t="inlineStr">
        <is>
          <t>Health Care</t>
        </is>
      </c>
      <c r="J571" s="4" t="inlineStr">
        <is>
          <t>Medical Equipment &amp; Devices</t>
        </is>
      </c>
      <c r="K571" s="3" t="n">
        <v>420</v>
      </c>
      <c r="L571" s="3" t="n">
        <v>367</v>
      </c>
      <c r="M571" s="3" t="n">
        <v>16.32</v>
      </c>
      <c r="N571" s="3" t="n">
        <v>10268.46</v>
      </c>
      <c r="O571" s="4" t="inlineStr">
        <is>
          <t>United States</t>
        </is>
      </c>
      <c r="P571" s="4" t="inlineStr">
        <is>
          <t>United States</t>
        </is>
      </c>
      <c r="Q571" s="4" t="inlineStr">
        <is>
          <t>Friendly</t>
        </is>
      </c>
      <c r="R571" s="3" t="n">
        <v>3018.7</v>
      </c>
      <c r="S571" s="3" t="n">
        <v>13.2574</v>
      </c>
      <c r="T571" s="4" t="inlineStr">
        <is>
          <t>Company Takeover</t>
        </is>
      </c>
      <c r="U571" s="2" t="inlineStr">
        <is>
          <t>No</t>
        </is>
      </c>
      <c r="V571" s="2" t="inlineStr">
        <is>
          <t>No</t>
        </is>
      </c>
      <c r="W571" s="2" t="inlineStr">
        <is>
          <t>No</t>
        </is>
      </c>
      <c r="X571" s="2" t="inlineStr">
        <is>
          <t>No</t>
        </is>
      </c>
      <c r="Y571" s="2" t="inlineStr">
        <is>
          <t>No</t>
        </is>
      </c>
      <c r="Z571" s="2" t="inlineStr">
        <is>
          <t>No</t>
        </is>
      </c>
      <c r="AA571" s="6" t="n">
        <v>4.068800121</v>
      </c>
      <c r="AB571" s="6" t="n">
        <v>3.479819955</v>
      </c>
      <c r="AC571" s="6" t="n">
        <v>4.011505316</v>
      </c>
      <c r="AD571">
        <f t="array" ref="AD571">IF(SUMPRODUCT(--($AM$2:$AM$112=TRIM(LEFT($B571,IFERROR(FIND(" ",$B571)-1,LEN($B571))))))&gt;0,1,0)</f>
        <v/>
      </c>
      <c r="AE571">
        <f t="array" ref="AE571">IF(SUMPRODUCT(--($AO$2:$AO$145=TRIM(LEFT($B571,IFERROR(FIND(" ",$B571)-1,LEN($B571))))))&gt;0,1,0)</f>
        <v/>
      </c>
      <c r="AF571">
        <f t="array" ref="AF571">IF(SUMPRODUCT(--($AQ$2:$AQ$71=TRIM(LEFT($B571,IFERROR(FIND(" ",$B571)-1,LEN($B571))))))&gt;0,1,0)</f>
        <v/>
      </c>
    </row>
    <row r="572" ht="60.75" customHeight="1" thickBot="1">
      <c r="A572" s="13" t="n">
        <v>171</v>
      </c>
      <c r="B572" s="4" t="inlineStr">
        <is>
          <t>PPD US</t>
        </is>
      </c>
      <c r="C572" s="4" t="inlineStr">
        <is>
          <t>TMO US</t>
        </is>
      </c>
      <c r="D572" s="7" t="n">
        <v>44301</v>
      </c>
      <c r="E572" s="3" t="n">
        <v>20329.1</v>
      </c>
      <c r="F572" s="4" t="inlineStr">
        <is>
          <t>Cash</t>
        </is>
      </c>
      <c r="G572" s="3" t="n">
        <v>23.86</v>
      </c>
      <c r="H572" s="4" t="inlineStr">
        <is>
          <t>Health Care</t>
        </is>
      </c>
      <c r="I572" s="4" t="inlineStr">
        <is>
          <t>Health Care</t>
        </is>
      </c>
      <c r="J572" s="4" t="inlineStr">
        <is>
          <t>Health Care Facilities &amp; Svcs</t>
        </is>
      </c>
      <c r="K572" s="4" t="n"/>
      <c r="L572" s="3" t="n">
        <v>520.354</v>
      </c>
      <c r="M572" s="3" t="n">
        <v>24.75</v>
      </c>
      <c r="N572" s="3" t="n">
        <v>16645.37</v>
      </c>
      <c r="O572" s="4" t="inlineStr">
        <is>
          <t>United States</t>
        </is>
      </c>
      <c r="P572" s="4" t="inlineStr">
        <is>
          <t>United States</t>
        </is>
      </c>
      <c r="Q572" s="4" t="inlineStr">
        <is>
          <t>Friendly</t>
        </is>
      </c>
      <c r="R572" s="3" t="n">
        <v>4681.47</v>
      </c>
      <c r="S572" s="3" t="n">
        <v>11.1315</v>
      </c>
      <c r="T572" s="4" t="inlineStr">
        <is>
          <t>Company Takeover</t>
        </is>
      </c>
      <c r="U572" s="2" t="inlineStr">
        <is>
          <t>No</t>
        </is>
      </c>
      <c r="V572" s="2" t="inlineStr">
        <is>
          <t>No</t>
        </is>
      </c>
      <c r="W572" s="2" t="inlineStr">
        <is>
          <t>No</t>
        </is>
      </c>
      <c r="X572" s="2" t="inlineStr">
        <is>
          <t>No</t>
        </is>
      </c>
      <c r="Y572" s="2" t="inlineStr">
        <is>
          <t>No</t>
        </is>
      </c>
      <c r="Z572" s="2" t="inlineStr">
        <is>
          <t>No</t>
        </is>
      </c>
      <c r="AA572" s="6" t="n">
        <v>4.308118152</v>
      </c>
      <c r="AB572" s="6" t="n">
        <v>3.670382245</v>
      </c>
      <c r="AC572" s="6" t="n">
        <v>4.221293453</v>
      </c>
      <c r="AD572">
        <f t="array" ref="AD572">IF(SUMPRODUCT(--($AM$2:$AM$112=TRIM(LEFT($B572,IFERROR(FIND(" ",$B572)-1,LEN($B572))))))&gt;0,1,0)</f>
        <v/>
      </c>
      <c r="AE572">
        <f t="array" ref="AE572">IF(SUMPRODUCT(--($AO$2:$AO$145=TRIM(LEFT($B572,IFERROR(FIND(" ",$B572)-1,LEN($B572))))))&gt;0,1,0)</f>
        <v/>
      </c>
      <c r="AF572">
        <f t="array" ref="AF572">IF(SUMPRODUCT(--($AQ$2:$AQ$71=TRIM(LEFT($B572,IFERROR(FIND(" ",$B572)-1,LEN($B572))))))&gt;0,1,0)</f>
        <v/>
      </c>
    </row>
    <row r="573" ht="165.75" customHeight="1" thickBot="1">
      <c r="A573" s="13" t="n">
        <v>67</v>
      </c>
      <c r="B573" s="4" t="inlineStr">
        <is>
          <t>CXP US</t>
        </is>
      </c>
      <c r="C573" s="4" t="inlineStr">
        <is>
          <t>21429Z US</t>
        </is>
      </c>
      <c r="D573" s="7" t="n">
        <v>44446</v>
      </c>
      <c r="E573" s="3" t="n">
        <v>3235.63</v>
      </c>
      <c r="F573" s="4" t="inlineStr">
        <is>
          <t>Cash</t>
        </is>
      </c>
      <c r="G573" s="3" t="n">
        <v>102.7</v>
      </c>
      <c r="H573" s="4" t="inlineStr">
        <is>
          <t>Real Estate</t>
        </is>
      </c>
      <c r="I573" s="4" t="inlineStr">
        <is>
          <t>Real Estate</t>
        </is>
      </c>
      <c r="J573" s="4" t="inlineStr">
        <is>
          <t>REIT</t>
        </is>
      </c>
      <c r="K573" s="3" t="n">
        <v>196</v>
      </c>
      <c r="L573" s="3" t="n">
        <v>86</v>
      </c>
      <c r="M573" s="3" t="n">
        <v>3.47</v>
      </c>
      <c r="N573" s="3" t="n">
        <v>1968.22</v>
      </c>
      <c r="O573" s="4" t="inlineStr">
        <is>
          <t>United States</t>
        </is>
      </c>
      <c r="P573" s="4" t="inlineStr">
        <is>
          <t>Germany</t>
        </is>
      </c>
      <c r="Q573" s="4" t="inlineStr">
        <is>
          <t>Friendly</t>
        </is>
      </c>
      <c r="R573" s="3" t="n">
        <v>300.566</v>
      </c>
      <c r="S573" s="3" t="n">
        <v>-26.3035</v>
      </c>
      <c r="T573" s="4" t="inlineStr">
        <is>
          <t>PE Buyout, Company Takeover, Cross Border, Private Equity, Going Private</t>
        </is>
      </c>
      <c r="U573" s="2" t="inlineStr">
        <is>
          <t>No</t>
        </is>
      </c>
      <c r="V573" s="2" t="inlineStr">
        <is>
          <t>No</t>
        </is>
      </c>
      <c r="W573" s="2" t="inlineStr">
        <is>
          <t>Yes</t>
        </is>
      </c>
      <c r="X573" s="2" t="inlineStr">
        <is>
          <t>Yes</t>
        </is>
      </c>
      <c r="Y573" s="2" t="inlineStr">
        <is>
          <t>Yes</t>
        </is>
      </c>
      <c r="Z573" s="2" t="inlineStr">
        <is>
          <t>No</t>
        </is>
      </c>
      <c r="AA573" s="6" t="n">
        <v>3.509958853</v>
      </c>
      <c r="AB573" s="6" t="n">
        <v>2.477939852</v>
      </c>
      <c r="AC573" s="6" t="n">
        <v>3.294073641</v>
      </c>
      <c r="AD573">
        <f t="array" ref="AD573">IF(SUMPRODUCT(--($AM$2:$AM$112=TRIM(LEFT($B573,IFERROR(FIND(" ",$B573)-1,LEN($B573))))))&gt;0,1,0)</f>
        <v/>
      </c>
      <c r="AE573">
        <f t="array" ref="AE573">IF(SUMPRODUCT(--($AO$2:$AO$145=TRIM(LEFT($B573,IFERROR(FIND(" ",$B573)-1,LEN($B573))))))&gt;0,1,0)</f>
        <v/>
      </c>
      <c r="AF573">
        <f t="array" ref="AF573">IF(SUMPRODUCT(--($AQ$2:$AQ$71=TRIM(LEFT($B573,IFERROR(FIND(" ",$B573)-1,LEN($B573))))))&gt;0,1,0)</f>
        <v/>
      </c>
    </row>
    <row r="574" ht="45.75" customHeight="1" thickBot="1">
      <c r="A574" s="13" t="n">
        <v>208</v>
      </c>
      <c r="B574" s="4" t="inlineStr">
        <is>
          <t>ENBL US</t>
        </is>
      </c>
      <c r="C574" s="4" t="inlineStr">
        <is>
          <t>ET US</t>
        </is>
      </c>
      <c r="D574" s="7" t="n">
        <v>44244</v>
      </c>
      <c r="E574" s="3" t="n">
        <v>6792.52</v>
      </c>
      <c r="F574" s="4" t="inlineStr">
        <is>
          <t>Stock</t>
        </is>
      </c>
      <c r="G574" s="3" t="n">
        <v>7.61</v>
      </c>
      <c r="H574" s="4" t="inlineStr">
        <is>
          <t>Energy</t>
        </is>
      </c>
      <c r="I574" s="4" t="inlineStr">
        <is>
          <t>Oil &amp; Gas</t>
        </is>
      </c>
      <c r="J574" s="4" t="inlineStr">
        <is>
          <t>Oil &amp; Gas Supply Chain</t>
        </is>
      </c>
      <c r="K574" s="4" t="n"/>
      <c r="L574" s="4" t="n"/>
      <c r="M574" s="3" t="n">
        <v>0.4</v>
      </c>
      <c r="N574" s="3" t="n">
        <v>2496.52</v>
      </c>
      <c r="O574" s="4" t="inlineStr">
        <is>
          <t>United States</t>
        </is>
      </c>
      <c r="P574" s="4" t="inlineStr">
        <is>
          <t>United States</t>
        </is>
      </c>
      <c r="Q574" s="4" t="inlineStr">
        <is>
          <t>Friendly</t>
        </is>
      </c>
      <c r="R574" s="3" t="n">
        <v>2463</v>
      </c>
      <c r="S574" s="3" t="n">
        <v>18.1738</v>
      </c>
      <c r="T574" s="4" t="inlineStr">
        <is>
          <t>Company Takeover</t>
        </is>
      </c>
      <c r="U574" s="2" t="inlineStr">
        <is>
          <t>No</t>
        </is>
      </c>
      <c r="V574" s="2" t="inlineStr">
        <is>
          <t>No</t>
        </is>
      </c>
      <c r="W574" s="2" t="inlineStr">
        <is>
          <t>No</t>
        </is>
      </c>
      <c r="X574" s="2" t="inlineStr">
        <is>
          <t>No</t>
        </is>
      </c>
      <c r="Y574" s="2" t="inlineStr">
        <is>
          <t>No</t>
        </is>
      </c>
      <c r="Z574" s="2" t="inlineStr">
        <is>
          <t>No</t>
        </is>
      </c>
      <c r="AA574" s="6" t="n">
        <v>3.832030926</v>
      </c>
      <c r="AB574" s="6" t="n">
        <v>3.391464412</v>
      </c>
      <c r="AC574" s="6" t="n">
        <v>3.39733505</v>
      </c>
      <c r="AD574">
        <f t="array" ref="AD574">IF(SUMPRODUCT(--($AM$2:$AM$112=TRIM(LEFT($B574,IFERROR(FIND(" ",$B574)-1,LEN($B574))))))&gt;0,1,0)</f>
        <v/>
      </c>
      <c r="AE574">
        <f t="array" ref="AE574">IF(SUMPRODUCT(--($AO$2:$AO$145=TRIM(LEFT($B574,IFERROR(FIND(" ",$B574)-1,LEN($B574))))))&gt;0,1,0)</f>
        <v/>
      </c>
      <c r="AF574">
        <f t="array" ref="AF574">IF(SUMPRODUCT(--($AQ$2:$AQ$71=TRIM(LEFT($B574,IFERROR(FIND(" ",$B574)-1,LEN($B574))))))&gt;0,1,0)</f>
        <v/>
      </c>
    </row>
    <row r="575" ht="60.75" customHeight="1" thickBot="1">
      <c r="A575" s="13" t="n">
        <v>154</v>
      </c>
      <c r="B575" s="4" t="inlineStr">
        <is>
          <t>MDP US</t>
        </is>
      </c>
      <c r="C575" s="4" t="inlineStr">
        <is>
          <t>GTN US</t>
        </is>
      </c>
      <c r="D575" s="7" t="n">
        <v>44319</v>
      </c>
      <c r="E575" s="3" t="n">
        <v>3766.63</v>
      </c>
      <c r="F575" s="4" t="inlineStr">
        <is>
          <t>Cash and Stock</t>
        </is>
      </c>
      <c r="G575" s="3" t="n">
        <v>5.36</v>
      </c>
      <c r="H575" s="4" t="inlineStr">
        <is>
          <t>Communications</t>
        </is>
      </c>
      <c r="I575" s="4" t="inlineStr">
        <is>
          <t>Media</t>
        </is>
      </c>
      <c r="J575" s="4" t="inlineStr">
        <is>
          <t>Publishing &amp; Broadcasting</t>
        </is>
      </c>
      <c r="K575" s="3" t="n">
        <v>125</v>
      </c>
      <c r="L575" s="3" t="n">
        <v>36</v>
      </c>
      <c r="M575" s="4" t="n"/>
      <c r="N575" s="3" t="n">
        <v>775.73</v>
      </c>
      <c r="O575" s="4" t="inlineStr">
        <is>
          <t>United States</t>
        </is>
      </c>
      <c r="P575" s="4" t="inlineStr">
        <is>
          <t>United States</t>
        </is>
      </c>
      <c r="Q575" s="4" t="inlineStr">
        <is>
          <t>Friendly</t>
        </is>
      </c>
      <c r="R575" s="3" t="n">
        <v>2977.4</v>
      </c>
      <c r="S575" s="3" t="n">
        <v>18.6901</v>
      </c>
      <c r="T575" s="4" t="inlineStr">
        <is>
          <t>Company Takeover</t>
        </is>
      </c>
      <c r="U575" s="2" t="inlineStr">
        <is>
          <t>No</t>
        </is>
      </c>
      <c r="V575" s="2" t="inlineStr">
        <is>
          <t>No</t>
        </is>
      </c>
      <c r="W575" s="2" t="inlineStr">
        <is>
          <t>No</t>
        </is>
      </c>
      <c r="X575" s="2" t="inlineStr">
        <is>
          <t>No</t>
        </is>
      </c>
      <c r="Y575" s="2" t="inlineStr">
        <is>
          <t>No</t>
        </is>
      </c>
      <c r="Z575" s="2" t="inlineStr">
        <is>
          <t>No</t>
        </is>
      </c>
      <c r="AA575" s="6" t="n">
        <v>3.575952961</v>
      </c>
      <c r="AB575" s="6" t="n">
        <v>3.473837184</v>
      </c>
      <c r="AC575" s="6" t="n">
        <v>2.889710587</v>
      </c>
      <c r="AD575">
        <f t="array" ref="AD575">IF(SUMPRODUCT(--($AM$2:$AM$112=TRIM(LEFT($B575,IFERROR(FIND(" ",$B575)-1,LEN($B575))))))&gt;0,1,0)</f>
        <v/>
      </c>
      <c r="AE575">
        <f t="array" ref="AE575">IF(SUMPRODUCT(--($AO$2:$AO$145=TRIM(LEFT($B575,IFERROR(FIND(" ",$B575)-1,LEN($B575))))))&gt;0,1,0)</f>
        <v/>
      </c>
      <c r="AF575">
        <f t="array" ref="AF575">IF(SUMPRODUCT(--($AQ$2:$AQ$71=TRIM(LEFT($B575,IFERROR(FIND(" ",$B575)-1,LEN($B575))))))&gt;0,1,0)</f>
        <v/>
      </c>
    </row>
    <row r="576" ht="75.75" customHeight="1" thickBot="1">
      <c r="A576" s="13" t="n">
        <v>118</v>
      </c>
      <c r="B576" s="4" t="inlineStr">
        <is>
          <t>RAVN US</t>
        </is>
      </c>
      <c r="C576" s="4" t="inlineStr">
        <is>
          <t>CNH US</t>
        </is>
      </c>
      <c r="D576" s="7" t="n">
        <v>44368</v>
      </c>
      <c r="E576" s="3" t="n">
        <v>2075.48</v>
      </c>
      <c r="F576" s="4" t="inlineStr">
        <is>
          <t>Cash</t>
        </is>
      </c>
      <c r="G576" s="3" t="n">
        <v>43.93</v>
      </c>
      <c r="H576" s="4" t="inlineStr">
        <is>
          <t>Industrials</t>
        </is>
      </c>
      <c r="I576" s="4" t="inlineStr">
        <is>
          <t>Industrial Products</t>
        </is>
      </c>
      <c r="J576" s="4" t="inlineStr">
        <is>
          <t>Industrial Intermediate Prod</t>
        </is>
      </c>
      <c r="K576" s="3" t="n">
        <v>64</v>
      </c>
      <c r="L576" s="3" t="n">
        <v>200</v>
      </c>
      <c r="M576" s="4" t="n"/>
      <c r="N576" s="3" t="n">
        <v>2083.22</v>
      </c>
      <c r="O576" s="4" t="inlineStr">
        <is>
          <t>United States</t>
        </is>
      </c>
      <c r="P576" s="4" t="inlineStr">
        <is>
          <t>United Kingdom</t>
        </is>
      </c>
      <c r="Q576" s="4" t="inlineStr">
        <is>
          <t>Friendly</t>
        </is>
      </c>
      <c r="R576" s="3" t="n">
        <v>348.359</v>
      </c>
      <c r="S576" s="3" t="n">
        <v>7.30334</v>
      </c>
      <c r="T576" s="4" t="inlineStr">
        <is>
          <t>Company Takeover, Cross Border</t>
        </is>
      </c>
      <c r="U576" s="2" t="inlineStr">
        <is>
          <t>No</t>
        </is>
      </c>
      <c r="V576" s="2" t="inlineStr">
        <is>
          <t>No</t>
        </is>
      </c>
      <c r="W576" s="2" t="inlineStr">
        <is>
          <t>Yes</t>
        </is>
      </c>
      <c r="X576" s="2" t="inlineStr">
        <is>
          <t>No</t>
        </is>
      </c>
      <c r="Y576" s="2" t="inlineStr">
        <is>
          <t>No</t>
        </is>
      </c>
      <c r="Z576" s="2" t="inlineStr">
        <is>
          <t>No</t>
        </is>
      </c>
      <c r="AA576" s="6" t="n">
        <v>3.317118553</v>
      </c>
      <c r="AB576" s="6" t="n">
        <v>2.542027035</v>
      </c>
      <c r="AC576" s="6" t="n">
        <v>3.318735136</v>
      </c>
      <c r="AD576">
        <f t="array" ref="AD576">IF(SUMPRODUCT(--($AM$2:$AM$112=TRIM(LEFT($B576,IFERROR(FIND(" ",$B576)-1,LEN($B576))))))&gt;0,1,0)</f>
        <v/>
      </c>
      <c r="AE576">
        <f t="array" ref="AE576">IF(SUMPRODUCT(--($AO$2:$AO$145=TRIM(LEFT($B576,IFERROR(FIND(" ",$B576)-1,LEN($B576))))))&gt;0,1,0)</f>
        <v/>
      </c>
      <c r="AF576">
        <f t="array" ref="AF576">IF(SUMPRODUCT(--($AQ$2:$AQ$71=TRIM(LEFT($B576,IFERROR(FIND(" ",$B576)-1,LEN($B576))))))&gt;0,1,0)</f>
        <v/>
      </c>
    </row>
    <row r="577" ht="165.75" customHeight="1" thickBot="1">
      <c r="A577" s="13" t="n">
        <v>100</v>
      </c>
      <c r="B577" s="4" t="inlineStr">
        <is>
          <t>CVA US</t>
        </is>
      </c>
      <c r="C577" s="4" t="inlineStr">
        <is>
          <t>1071Z SS</t>
        </is>
      </c>
      <c r="D577" s="7" t="n">
        <v>44391</v>
      </c>
      <c r="E577" s="3" t="n">
        <v>5247.7</v>
      </c>
      <c r="F577" s="4" t="inlineStr">
        <is>
          <t>Cash</t>
        </is>
      </c>
      <c r="G577" s="3" t="n">
        <v>15.57</v>
      </c>
      <c r="H577" s="4" t="inlineStr">
        <is>
          <t>Industrials</t>
        </is>
      </c>
      <c r="I577" s="4" t="inlineStr">
        <is>
          <t>Industrial Services</t>
        </is>
      </c>
      <c r="J577" s="4" t="inlineStr">
        <is>
          <t>Commercial Support Services</t>
        </is>
      </c>
      <c r="K577" s="3" t="n">
        <v>162.6</v>
      </c>
      <c r="L577" s="3" t="n">
        <v>81.3</v>
      </c>
      <c r="M577" s="3" t="n">
        <v>14.5</v>
      </c>
      <c r="N577" s="3" t="n">
        <v>2692.7</v>
      </c>
      <c r="O577" s="4" t="inlineStr">
        <is>
          <t>United States</t>
        </is>
      </c>
      <c r="P577" s="4" t="inlineStr">
        <is>
          <t>Sweden</t>
        </is>
      </c>
      <c r="Q577" s="4" t="inlineStr">
        <is>
          <t>Friendly</t>
        </is>
      </c>
      <c r="R577" s="3" t="n">
        <v>1904</v>
      </c>
      <c r="S577" s="3" t="n">
        <v>6.19469</v>
      </c>
      <c r="T577" s="4" t="inlineStr">
        <is>
          <t>PE Buyout, Company Takeover, Cross Border, Private Equity, Going Private</t>
        </is>
      </c>
      <c r="U577" s="2" t="inlineStr">
        <is>
          <t>No</t>
        </is>
      </c>
      <c r="V577" s="2" t="inlineStr">
        <is>
          <t>No</t>
        </is>
      </c>
      <c r="W577" s="2" t="inlineStr">
        <is>
          <t>Yes</t>
        </is>
      </c>
      <c r="X577" s="2" t="inlineStr">
        <is>
          <t>Yes</t>
        </is>
      </c>
      <c r="Y577" s="2" t="inlineStr">
        <is>
          <t>Yes</t>
        </is>
      </c>
      <c r="Z577" s="2" t="inlineStr">
        <is>
          <t>No</t>
        </is>
      </c>
      <c r="AA577" s="6" t="n">
        <v>3.719968999</v>
      </c>
      <c r="AB577" s="6" t="n">
        <v>3.279666944</v>
      </c>
      <c r="AC577" s="6" t="n">
        <v>3.43018797</v>
      </c>
      <c r="AD577">
        <f t="array" ref="AD577">IF(SUMPRODUCT(--($AM$2:$AM$112=TRIM(LEFT($B577,IFERROR(FIND(" ",$B577)-1,LEN($B577))))))&gt;0,1,0)</f>
        <v/>
      </c>
      <c r="AE577">
        <f t="array" ref="AE577">IF(SUMPRODUCT(--($AO$2:$AO$145=TRIM(LEFT($B577,IFERROR(FIND(" ",$B577)-1,LEN($B577))))))&gt;0,1,0)</f>
        <v/>
      </c>
      <c r="AF577">
        <f t="array" ref="AF577">IF(SUMPRODUCT(--($AQ$2:$AQ$71=TRIM(LEFT($B577,IFERROR(FIND(" ",$B577)-1,LEN($B577))))))&gt;0,1,0)</f>
        <v/>
      </c>
    </row>
    <row r="578" ht="105.75" customHeight="1" thickBot="1">
      <c r="A578" s="13" t="n">
        <v>146</v>
      </c>
      <c r="B578" s="4" t="inlineStr">
        <is>
          <t>UFS US</t>
        </is>
      </c>
      <c r="C578" s="4" t="inlineStr">
        <is>
          <t>8370997Z CN</t>
        </is>
      </c>
      <c r="D578" s="7" t="n">
        <v>44327</v>
      </c>
      <c r="E578" s="3" t="n">
        <v>2991.62</v>
      </c>
      <c r="F578" s="4" t="inlineStr">
        <is>
          <t>Cash</t>
        </is>
      </c>
      <c r="G578" s="3" t="n">
        <v>21.84</v>
      </c>
      <c r="H578" s="4" t="inlineStr">
        <is>
          <t>Materials</t>
        </is>
      </c>
      <c r="I578" s="4" t="inlineStr">
        <is>
          <t>Materials</t>
        </is>
      </c>
      <c r="J578" s="4" t="inlineStr">
        <is>
          <t>Forestry, Paper &amp; Wood Products</t>
        </is>
      </c>
      <c r="K578" s="3" t="n">
        <v>171.1</v>
      </c>
      <c r="L578" s="3" t="n">
        <v>82.7</v>
      </c>
      <c r="M578" s="4" t="n"/>
      <c r="N578" s="3" t="n">
        <v>2788.62</v>
      </c>
      <c r="O578" s="4" t="inlineStr">
        <is>
          <t>United States</t>
        </is>
      </c>
      <c r="P578" s="4" t="inlineStr">
        <is>
          <t>Canada</t>
        </is>
      </c>
      <c r="Q578" s="4" t="inlineStr">
        <is>
          <t>Friendly</t>
        </is>
      </c>
      <c r="R578" s="3" t="n">
        <v>6943</v>
      </c>
      <c r="S578" s="3" t="n">
        <v>-8.56382</v>
      </c>
      <c r="T578" s="4" t="inlineStr">
        <is>
          <t>Company Takeover, Cross Border, Going Private</t>
        </is>
      </c>
      <c r="U578" s="2" t="inlineStr">
        <is>
          <t>No</t>
        </is>
      </c>
      <c r="V578" s="2" t="inlineStr">
        <is>
          <t>No</t>
        </is>
      </c>
      <c r="W578" s="2" t="inlineStr">
        <is>
          <t>Yes</t>
        </is>
      </c>
      <c r="X578" s="2" t="inlineStr">
        <is>
          <t>Yes</t>
        </is>
      </c>
      <c r="Y578" s="2" t="inlineStr">
        <is>
          <t>No</t>
        </is>
      </c>
      <c r="Z578" s="2" t="inlineStr">
        <is>
          <t>No</t>
        </is>
      </c>
      <c r="AA578" s="6" t="n">
        <v>3.475906428</v>
      </c>
      <c r="AB578" s="6" t="n">
        <v>3.841547165</v>
      </c>
      <c r="AC578" s="6" t="n">
        <v>3.445389338</v>
      </c>
      <c r="AD578">
        <f t="array" ref="AD578">IF(SUMPRODUCT(--($AM$2:$AM$112=TRIM(LEFT($B578,IFERROR(FIND(" ",$B578)-1,LEN($B578))))))&gt;0,1,0)</f>
        <v/>
      </c>
      <c r="AE578">
        <f t="array" ref="AE578">IF(SUMPRODUCT(--($AO$2:$AO$145=TRIM(LEFT($B578,IFERROR(FIND(" ",$B578)-1,LEN($B578))))))&gt;0,1,0)</f>
        <v/>
      </c>
      <c r="AF578">
        <f t="array" ref="AF578">IF(SUMPRODUCT(--($AQ$2:$AQ$71=TRIM(LEFT($B578,IFERROR(FIND(" ",$B578)-1,LEN($B578))))))&gt;0,1,0)</f>
        <v/>
      </c>
    </row>
    <row r="579" ht="210.75" customHeight="1" thickBot="1">
      <c r="A579" s="13" t="n">
        <v>70</v>
      </c>
      <c r="B579" s="4" t="inlineStr">
        <is>
          <t>2318624D US</t>
        </is>
      </c>
      <c r="C579" s="2" t="n"/>
      <c r="D579" s="7" t="n">
        <v>44427</v>
      </c>
      <c r="E579" s="3" t="n">
        <v>7250.09</v>
      </c>
      <c r="F579" s="4" t="inlineStr">
        <is>
          <t>Cash</t>
        </is>
      </c>
      <c r="G579" s="3" t="n">
        <v>18.76</v>
      </c>
      <c r="H579" s="4" t="inlineStr">
        <is>
          <t>Technology</t>
        </is>
      </c>
      <c r="I579" s="4" t="inlineStr">
        <is>
          <t>Software &amp; Tech Services</t>
        </is>
      </c>
      <c r="J579" s="4" t="inlineStr">
        <is>
          <t>Software</t>
        </is>
      </c>
      <c r="K579" s="4" t="n"/>
      <c r="L579" s="3" t="n">
        <v>176.385</v>
      </c>
      <c r="M579" s="3" t="n">
        <v>10.48</v>
      </c>
      <c r="N579" s="3" t="n">
        <v>6409.81</v>
      </c>
      <c r="O579" s="4" t="inlineStr">
        <is>
          <t>United States</t>
        </is>
      </c>
      <c r="P579" s="4" t="inlineStr">
        <is>
          <t>Switzerland</t>
        </is>
      </c>
      <c r="Q579" s="4" t="inlineStr">
        <is>
          <t>Friendly</t>
        </is>
      </c>
      <c r="R579" s="3" t="n">
        <v>667.524</v>
      </c>
      <c r="S579" s="3" t="n">
        <v>12.97</v>
      </c>
      <c r="T579" s="4" t="inlineStr">
        <is>
          <t>PE Buyout, Company Takeover, Cross Border, Private Equity, Going Private, Management Buyout</t>
        </is>
      </c>
      <c r="U579" s="2" t="inlineStr">
        <is>
          <t>No</t>
        </is>
      </c>
      <c r="V579" s="2" t="inlineStr">
        <is>
          <t>No</t>
        </is>
      </c>
      <c r="W579" s="2" t="inlineStr">
        <is>
          <t>Yes</t>
        </is>
      </c>
      <c r="X579" s="2" t="inlineStr">
        <is>
          <t>Yes</t>
        </is>
      </c>
      <c r="Y579" s="2" t="inlineStr">
        <is>
          <t>Yes</t>
        </is>
      </c>
      <c r="Z579" s="2" t="inlineStr">
        <is>
          <t>No</t>
        </is>
      </c>
      <c r="AA579" s="6" t="n">
        <v>3.860343398</v>
      </c>
      <c r="AB579" s="6" t="n">
        <v>2.824466885</v>
      </c>
      <c r="AC579" s="6" t="n">
        <v>3.806845156</v>
      </c>
      <c r="AD579">
        <f t="array" ref="AD579">IF(SUMPRODUCT(--($AM$2:$AM$112=TRIM(LEFT($B579,IFERROR(FIND(" ",$B579)-1,LEN($B579))))))&gt;0,1,0)</f>
        <v/>
      </c>
      <c r="AE579">
        <f t="array" ref="AE579">IF(SUMPRODUCT(--($AO$2:$AO$145=TRIM(LEFT($B579,IFERROR(FIND(" ",$B579)-1,LEN($B579))))))&gt;0,1,0)</f>
        <v/>
      </c>
      <c r="AF579">
        <f t="array" ref="AF579">IF(SUMPRODUCT(--($AQ$2:$AQ$71=TRIM(LEFT($B579,IFERROR(FIND(" ",$B579)-1,LEN($B579))))))&gt;0,1,0)</f>
        <v/>
      </c>
    </row>
    <row r="580" ht="45.75" customHeight="1" thickBot="1">
      <c r="A580" s="13" t="n">
        <v>39</v>
      </c>
      <c r="B580" s="4" t="inlineStr">
        <is>
          <t>XLRN US</t>
        </is>
      </c>
      <c r="C580" s="4" t="inlineStr">
        <is>
          <t>MRK US</t>
        </is>
      </c>
      <c r="D580" s="7" t="n">
        <v>44469</v>
      </c>
      <c r="E580" s="3" t="n">
        <v>10962.09</v>
      </c>
      <c r="F580" s="4" t="inlineStr">
        <is>
          <t>Cash</t>
        </is>
      </c>
      <c r="G580" s="4" t="n"/>
      <c r="H580" s="4" t="inlineStr">
        <is>
          <t>Health Care</t>
        </is>
      </c>
      <c r="I580" s="4" t="inlineStr">
        <is>
          <t>Health Care</t>
        </is>
      </c>
      <c r="J580" s="4" t="inlineStr">
        <is>
          <t>Biotech &amp; Pharma</t>
        </is>
      </c>
      <c r="K580" s="4" t="n"/>
      <c r="L580" s="3" t="n">
        <v>750</v>
      </c>
      <c r="M580" s="3" t="n">
        <v>24.26</v>
      </c>
      <c r="N580" s="3" t="n">
        <v>10962.09</v>
      </c>
      <c r="O580" s="4" t="inlineStr">
        <is>
          <t>United States</t>
        </is>
      </c>
      <c r="P580" s="4" t="inlineStr">
        <is>
          <t>United States</t>
        </is>
      </c>
      <c r="Q580" s="4" t="inlineStr">
        <is>
          <t>Friendly</t>
        </is>
      </c>
      <c r="R580" s="3" t="n">
        <v>92.523</v>
      </c>
      <c r="S580" s="3" t="n">
        <v>-226.573</v>
      </c>
      <c r="T580" s="4" t="inlineStr">
        <is>
          <t>Tender Offer</t>
        </is>
      </c>
      <c r="U580" s="2" t="inlineStr">
        <is>
          <t>No</t>
        </is>
      </c>
      <c r="V580" s="2" t="inlineStr">
        <is>
          <t>No</t>
        </is>
      </c>
      <c r="W580" s="2" t="inlineStr">
        <is>
          <t>No</t>
        </is>
      </c>
      <c r="X580" s="2" t="inlineStr">
        <is>
          <t>No</t>
        </is>
      </c>
      <c r="Y580" s="2" t="inlineStr">
        <is>
          <t>No</t>
        </is>
      </c>
      <c r="Z580" s="2" t="inlineStr">
        <is>
          <t>Yes</t>
        </is>
      </c>
      <c r="AA580" s="6" t="n">
        <v>4.039893363</v>
      </c>
      <c r="AB580" s="6" t="n">
        <v>1.966249706</v>
      </c>
      <c r="AC580" s="6" t="n">
        <v>4.039893363</v>
      </c>
      <c r="AD580">
        <f t="array" ref="AD580">IF(SUMPRODUCT(--($AM$2:$AM$112=TRIM(LEFT($B580,IFERROR(FIND(" ",$B580)-1,LEN($B580))))))&gt;0,1,0)</f>
        <v/>
      </c>
      <c r="AE580">
        <f t="array" ref="AE580">IF(SUMPRODUCT(--($AO$2:$AO$145=TRIM(LEFT($B580,IFERROR(FIND(" ",$B580)-1,LEN($B580))))))&gt;0,1,0)</f>
        <v/>
      </c>
      <c r="AF580">
        <f t="array" ref="AF580">IF(SUMPRODUCT(--($AQ$2:$AQ$71=TRIM(LEFT($B580,IFERROR(FIND(" ",$B580)-1,LEN($B580))))))&gt;0,1,0)</f>
        <v/>
      </c>
    </row>
    <row r="581" ht="135.75" customHeight="1" thickBot="1">
      <c r="A581" s="13" t="n">
        <v>53</v>
      </c>
      <c r="B581" s="4" t="inlineStr">
        <is>
          <t>ECHO US</t>
        </is>
      </c>
      <c r="C581" s="4" t="inlineStr">
        <is>
          <t>384877Z US</t>
        </is>
      </c>
      <c r="D581" s="7" t="n">
        <v>44449</v>
      </c>
      <c r="E581" s="3" t="n">
        <v>1371.2</v>
      </c>
      <c r="F581" s="4" t="inlineStr">
        <is>
          <t>Cash</t>
        </is>
      </c>
      <c r="G581" s="3" t="n">
        <v>13.49</v>
      </c>
      <c r="H581" s="4" t="inlineStr">
        <is>
          <t>Industrials</t>
        </is>
      </c>
      <c r="I581" s="4" t="inlineStr">
        <is>
          <t>Industrial Services</t>
        </is>
      </c>
      <c r="J581" s="4" t="inlineStr">
        <is>
          <t>Transportation &amp; Logistics</t>
        </is>
      </c>
      <c r="K581" s="4" t="n"/>
      <c r="L581" s="4" t="n"/>
      <c r="M581" s="3" t="n">
        <v>49.82</v>
      </c>
      <c r="N581" s="3" t="n">
        <v>1285.15</v>
      </c>
      <c r="O581" s="4" t="inlineStr">
        <is>
          <t>United States</t>
        </is>
      </c>
      <c r="P581" s="4" t="inlineStr">
        <is>
          <t>United States</t>
        </is>
      </c>
      <c r="Q581" s="4" t="inlineStr">
        <is>
          <t>Friendly</t>
        </is>
      </c>
      <c r="R581" s="3" t="n">
        <v>15005</v>
      </c>
      <c r="S581" s="3" t="n">
        <v>-116.48</v>
      </c>
      <c r="T581" s="4" t="inlineStr">
        <is>
          <t>PE Buyout, Company Takeover, Private Equity, Going Private</t>
        </is>
      </c>
      <c r="U581" s="2" t="inlineStr">
        <is>
          <t>No</t>
        </is>
      </c>
      <c r="V581" s="2" t="inlineStr">
        <is>
          <t>No</t>
        </is>
      </c>
      <c r="W581" s="2" t="inlineStr">
        <is>
          <t>No</t>
        </is>
      </c>
      <c r="X581" s="2" t="inlineStr">
        <is>
          <t>Yes</t>
        </is>
      </c>
      <c r="Y581" s="2" t="inlineStr">
        <is>
          <t>Yes</t>
        </is>
      </c>
      <c r="Z581" s="2" t="inlineStr">
        <is>
          <t>No</t>
        </is>
      </c>
      <c r="AA581" s="6" t="n">
        <v>3.137100805</v>
      </c>
      <c r="AB581" s="6" t="n">
        <v>4.176236</v>
      </c>
      <c r="AC581" s="6" t="n">
        <v>3.108953821</v>
      </c>
      <c r="AD581">
        <f t="array" ref="AD581">IF(SUMPRODUCT(--($AM$2:$AM$112=TRIM(LEFT($B581,IFERROR(FIND(" ",$B581)-1,LEN($B581))))))&gt;0,1,0)</f>
        <v/>
      </c>
      <c r="AE581">
        <f t="array" ref="AE581">IF(SUMPRODUCT(--($AO$2:$AO$145=TRIM(LEFT($B581,IFERROR(FIND(" ",$B581)-1,LEN($B581))))))&gt;0,1,0)</f>
        <v/>
      </c>
      <c r="AF581">
        <f t="array" ref="AF581">IF(SUMPRODUCT(--($AQ$2:$AQ$71=TRIM(LEFT($B581,IFERROR(FIND(" ",$B581)-1,LEN($B581))))))&gt;0,1,0)</f>
        <v/>
      </c>
    </row>
    <row r="582" ht="75.75" customHeight="1" thickBot="1">
      <c r="A582" s="13" t="n">
        <v>114</v>
      </c>
      <c r="B582" s="4" t="inlineStr">
        <is>
          <t>CAI US</t>
        </is>
      </c>
      <c r="C582" s="4" t="inlineStr">
        <is>
          <t>8593 JP</t>
        </is>
      </c>
      <c r="D582" s="7" t="n">
        <v>44364</v>
      </c>
      <c r="E582" s="3" t="n">
        <v>969.03</v>
      </c>
      <c r="F582" s="4" t="inlineStr">
        <is>
          <t>Cash</t>
        </is>
      </c>
      <c r="G582" s="3" t="n">
        <v>3.42</v>
      </c>
      <c r="H582" s="4" t="inlineStr">
        <is>
          <t>Industrials</t>
        </is>
      </c>
      <c r="I582" s="4" t="inlineStr">
        <is>
          <t>Industrial Services</t>
        </is>
      </c>
      <c r="J582" s="4" t="inlineStr">
        <is>
          <t>Industrial Support Services</t>
        </is>
      </c>
      <c r="K582" s="3" t="n">
        <v>35</v>
      </c>
      <c r="L582" s="3" t="n">
        <v>35</v>
      </c>
      <c r="M582" s="3" t="n">
        <v>37.76</v>
      </c>
      <c r="N582" s="3" t="n">
        <v>969.03</v>
      </c>
      <c r="O582" s="4" t="inlineStr">
        <is>
          <t>United States</t>
        </is>
      </c>
      <c r="P582" s="4" t="inlineStr">
        <is>
          <t>Japan</t>
        </is>
      </c>
      <c r="Q582" s="4" t="inlineStr">
        <is>
          <t>Friendly</t>
        </is>
      </c>
      <c r="R582" s="3" t="n">
        <v>812.033</v>
      </c>
      <c r="S582" s="3" t="n">
        <v>11.9417</v>
      </c>
      <c r="T582" s="4" t="inlineStr">
        <is>
          <t>Company Takeover, Cross Border</t>
        </is>
      </c>
      <c r="U582" s="2" t="inlineStr">
        <is>
          <t>No</t>
        </is>
      </c>
      <c r="V582" s="2" t="inlineStr">
        <is>
          <t>No</t>
        </is>
      </c>
      <c r="W582" s="2" t="inlineStr">
        <is>
          <t>Yes</t>
        </is>
      </c>
      <c r="X582" s="2" t="inlineStr">
        <is>
          <t>No</t>
        </is>
      </c>
      <c r="Y582" s="2" t="inlineStr">
        <is>
          <t>No</t>
        </is>
      </c>
      <c r="Z582" s="2" t="inlineStr">
        <is>
          <t>No</t>
        </is>
      </c>
      <c r="AA582" s="6" t="n">
        <v>2.986337222</v>
      </c>
      <c r="AB582" s="6" t="n">
        <v>2.909573679</v>
      </c>
      <c r="AC582" s="6" t="n">
        <v>2.986337222</v>
      </c>
      <c r="AD582">
        <f t="array" ref="AD582">IF(SUMPRODUCT(--($AM$2:$AM$112=TRIM(LEFT($B582,IFERROR(FIND(" ",$B582)-1,LEN($B582))))))&gt;0,1,0)</f>
        <v/>
      </c>
      <c r="AE582">
        <f t="array" ref="AE582">IF(SUMPRODUCT(--($AO$2:$AO$145=TRIM(LEFT($B582,IFERROR(FIND(" ",$B582)-1,LEN($B582))))))&gt;0,1,0)</f>
        <v/>
      </c>
      <c r="AF582">
        <f t="array" ref="AF582">IF(SUMPRODUCT(--($AQ$2:$AQ$71=TRIM(LEFT($B582,IFERROR(FIND(" ",$B582)-1,LEN($B582))))))&gt;0,1,0)</f>
        <v/>
      </c>
    </row>
    <row r="583" ht="135.75" customHeight="1" thickBot="1">
      <c r="A583" s="13" t="n">
        <v>66</v>
      </c>
      <c r="B583" s="4" t="inlineStr">
        <is>
          <t>TRIL CN</t>
        </is>
      </c>
      <c r="C583" s="4" t="inlineStr">
        <is>
          <t>PFE US</t>
        </is>
      </c>
      <c r="D583" s="7" t="n">
        <v>44431</v>
      </c>
      <c r="E583" s="3" t="n">
        <v>1896.56</v>
      </c>
      <c r="F583" s="4" t="inlineStr">
        <is>
          <t>Cash</t>
        </is>
      </c>
      <c r="G583" s="4" t="n"/>
      <c r="H583" s="4" t="inlineStr">
        <is>
          <t>Health Care</t>
        </is>
      </c>
      <c r="I583" s="4" t="inlineStr">
        <is>
          <t>Health Care</t>
        </is>
      </c>
      <c r="J583" s="4" t="inlineStr">
        <is>
          <t>Biotech &amp; Pharma</t>
        </is>
      </c>
      <c r="K583" s="4" t="n"/>
      <c r="L583" s="4" t="n"/>
      <c r="M583" s="4" t="n"/>
      <c r="N583" s="3" t="n">
        <v>1896.56</v>
      </c>
      <c r="O583" s="4" t="inlineStr">
        <is>
          <t>Canada</t>
        </is>
      </c>
      <c r="P583" s="4" t="inlineStr">
        <is>
          <t>United States</t>
        </is>
      </c>
      <c r="Q583" s="4" t="inlineStr">
        <is>
          <t>Friendly</t>
        </is>
      </c>
      <c r="R583" s="3" t="n">
        <v>0.148</v>
      </c>
      <c r="S583" s="3" t="n">
        <v>-161184</v>
      </c>
      <c r="T583" s="4" t="inlineStr">
        <is>
          <t>Company Takeover, Cross Border, Additional Stake Purchase</t>
        </is>
      </c>
      <c r="U583" s="2" t="inlineStr">
        <is>
          <t>Yes</t>
        </is>
      </c>
      <c r="V583" s="2" t="inlineStr">
        <is>
          <t>No</t>
        </is>
      </c>
      <c r="W583" s="2" t="inlineStr">
        <is>
          <t>Yes</t>
        </is>
      </c>
      <c r="X583" s="2" t="inlineStr">
        <is>
          <t>No</t>
        </is>
      </c>
      <c r="Y583" s="2" t="inlineStr">
        <is>
          <t>No</t>
        </is>
      </c>
      <c r="Z583" s="2" t="inlineStr">
        <is>
          <t>No</t>
        </is>
      </c>
      <c r="AA583" s="6" t="n">
        <v>3.277966587</v>
      </c>
      <c r="AB583" s="6" t="n">
        <v>-0.8297382846</v>
      </c>
      <c r="AC583" s="6" t="n">
        <v>3.277966587</v>
      </c>
      <c r="AD583">
        <f t="array" ref="AD583">IF(SUMPRODUCT(--($AM$2:$AM$112=TRIM(LEFT($B583,IFERROR(FIND(" ",$B583)-1,LEN($B583))))))&gt;0,1,0)</f>
        <v/>
      </c>
      <c r="AE583">
        <f t="array" ref="AE583">IF(SUMPRODUCT(--($AO$2:$AO$145=TRIM(LEFT($B583,IFERROR(FIND(" ",$B583)-1,LEN($B583))))))&gt;0,1,0)</f>
        <v/>
      </c>
      <c r="AF583">
        <f t="array" ref="AF583">IF(SUMPRODUCT(--($AQ$2:$AQ$71=TRIM(LEFT($B583,IFERROR(FIND(" ",$B583)-1,LEN($B583))))))&gt;0,1,0)</f>
        <v/>
      </c>
    </row>
    <row r="584" ht="45.75" customHeight="1" thickBot="1">
      <c r="A584" s="13" t="n">
        <v>148</v>
      </c>
      <c r="B584" s="4" t="inlineStr">
        <is>
          <t>EBSB US</t>
        </is>
      </c>
      <c r="C584" s="4" t="inlineStr">
        <is>
          <t>INDB US</t>
        </is>
      </c>
      <c r="D584" s="7" t="n">
        <v>44308</v>
      </c>
      <c r="E584" s="3" t="n">
        <v>1200.12</v>
      </c>
      <c r="F584" s="4" t="inlineStr">
        <is>
          <t>Stock</t>
        </is>
      </c>
      <c r="G584" s="4" t="n"/>
      <c r="H584" s="4" t="inlineStr">
        <is>
          <t>Financials</t>
        </is>
      </c>
      <c r="I584" s="4" t="inlineStr">
        <is>
          <t>Banking</t>
        </is>
      </c>
      <c r="J584" s="4" t="inlineStr">
        <is>
          <t>Banking</t>
        </is>
      </c>
      <c r="K584" s="4" t="n"/>
      <c r="L584" s="4" t="n"/>
      <c r="M584" s="3" t="n">
        <v>24.29</v>
      </c>
      <c r="N584" s="3" t="n">
        <v>1200.12</v>
      </c>
      <c r="O584" s="4" t="inlineStr">
        <is>
          <t>United States</t>
        </is>
      </c>
      <c r="P584" s="4" t="inlineStr">
        <is>
          <t>United States</t>
        </is>
      </c>
      <c r="Q584" s="4" t="inlineStr">
        <is>
          <t>Friendly</t>
        </is>
      </c>
      <c r="R584" s="3" t="n">
        <v>269.379</v>
      </c>
      <c r="S584" s="3" t="n">
        <v>49.2476</v>
      </c>
      <c r="T584" s="4" t="inlineStr">
        <is>
          <t>Company Takeover</t>
        </is>
      </c>
      <c r="U584" s="2" t="inlineStr">
        <is>
          <t>No</t>
        </is>
      </c>
      <c r="V584" s="2" t="inlineStr">
        <is>
          <t>No</t>
        </is>
      </c>
      <c r="W584" s="2" t="inlineStr">
        <is>
          <t>No</t>
        </is>
      </c>
      <c r="X584" s="2" t="inlineStr">
        <is>
          <t>No</t>
        </is>
      </c>
      <c r="Y584" s="2" t="inlineStr">
        <is>
          <t>No</t>
        </is>
      </c>
      <c r="Z584" s="2" t="inlineStr">
        <is>
          <t>No</t>
        </is>
      </c>
      <c r="AA584" s="6" t="n">
        <v>3.079224673</v>
      </c>
      <c r="AB584" s="6" t="n">
        <v>2.430363736</v>
      </c>
      <c r="AC584" s="6" t="n">
        <v>3.079224673</v>
      </c>
      <c r="AD584">
        <f t="array" ref="AD584">IF(SUMPRODUCT(--($AM$2:$AM$112=TRIM(LEFT($B584,IFERROR(FIND(" ",$B584)-1,LEN($B584))))))&gt;0,1,0)</f>
        <v/>
      </c>
      <c r="AE584">
        <f t="array" ref="AE584">IF(SUMPRODUCT(--($AO$2:$AO$145=TRIM(LEFT($B584,IFERROR(FIND(" ",$B584)-1,LEN($B584))))))&gt;0,1,0)</f>
        <v/>
      </c>
      <c r="AF584">
        <f t="array" ref="AF584">IF(SUMPRODUCT(--($AQ$2:$AQ$71=TRIM(LEFT($B584,IFERROR(FIND(" ",$B584)-1,LEN($B584))))))&gt;0,1,0)</f>
        <v/>
      </c>
    </row>
    <row r="585" ht="45.75" customHeight="1" thickBot="1">
      <c r="A585" s="13" t="n">
        <v>158</v>
      </c>
      <c r="B585" s="4" t="inlineStr">
        <is>
          <t>CNBKA US</t>
        </is>
      </c>
      <c r="C585" s="4" t="inlineStr">
        <is>
          <t>EBC US</t>
        </is>
      </c>
      <c r="D585" s="7" t="n">
        <v>44294</v>
      </c>
      <c r="E585" s="3" t="n">
        <v>862.33</v>
      </c>
      <c r="F585" s="4" t="inlineStr">
        <is>
          <t>Cash</t>
        </is>
      </c>
      <c r="G585" s="4" t="n"/>
      <c r="H585" s="4" t="inlineStr">
        <is>
          <t>Financials</t>
        </is>
      </c>
      <c r="I585" s="4" t="inlineStr">
        <is>
          <t>Banking</t>
        </is>
      </c>
      <c r="J585" s="4" t="inlineStr">
        <is>
          <t>Banking</t>
        </is>
      </c>
      <c r="K585" s="4" t="n"/>
      <c r="L585" s="3" t="n">
        <v>25.7</v>
      </c>
      <c r="M585" s="3" t="n">
        <v>20.42</v>
      </c>
      <c r="N585" s="3" t="n">
        <v>862.33</v>
      </c>
      <c r="O585" s="4" t="inlineStr">
        <is>
          <t>United States</t>
        </is>
      </c>
      <c r="P585" s="4" t="inlineStr">
        <is>
          <t>United States</t>
        </is>
      </c>
      <c r="Q585" s="4" t="inlineStr">
        <is>
          <t>Friendly</t>
        </is>
      </c>
      <c r="R585" s="3" t="n">
        <v>168.136</v>
      </c>
      <c r="S585" s="3" t="n">
        <v>38.3578</v>
      </c>
      <c r="T585" s="4" t="inlineStr">
        <is>
          <t>Company Takeover</t>
        </is>
      </c>
      <c r="U585" s="2" t="inlineStr">
        <is>
          <t>No</t>
        </is>
      </c>
      <c r="V585" s="2" t="inlineStr">
        <is>
          <t>No</t>
        </is>
      </c>
      <c r="W585" s="2" t="inlineStr">
        <is>
          <t>No</t>
        </is>
      </c>
      <c r="X585" s="2" t="inlineStr">
        <is>
          <t>No</t>
        </is>
      </c>
      <c r="Y585" s="2" t="inlineStr">
        <is>
          <t>No</t>
        </is>
      </c>
      <c r="Z585" s="2" t="inlineStr">
        <is>
          <t>No</t>
        </is>
      </c>
      <c r="AA585" s="6" t="n">
        <v>2.935673495</v>
      </c>
      <c r="AB585" s="6" t="n">
        <v>2.225660711</v>
      </c>
      <c r="AC585" s="6" t="n">
        <v>2.935673495</v>
      </c>
      <c r="AD585">
        <f t="array" ref="AD585">IF(SUMPRODUCT(--($AM$2:$AM$112=TRIM(LEFT($B585,IFERROR(FIND(" ",$B585)-1,LEN($B585))))))&gt;0,1,0)</f>
        <v/>
      </c>
      <c r="AE585">
        <f t="array" ref="AE585">IF(SUMPRODUCT(--($AO$2:$AO$145=TRIM(LEFT($B585,IFERROR(FIND(" ",$B585)-1,LEN($B585))))))&gt;0,1,0)</f>
        <v/>
      </c>
      <c r="AF585">
        <f t="array" ref="AF585">IF(SUMPRODUCT(--($AQ$2:$AQ$71=TRIM(LEFT($B585,IFERROR(FIND(" ",$B585)-1,LEN($B585))))))&gt;0,1,0)</f>
        <v/>
      </c>
    </row>
    <row r="586" ht="75.75" customHeight="1" thickBot="1">
      <c r="A586" s="13" t="n">
        <v>69</v>
      </c>
      <c r="B586" s="4" t="inlineStr">
        <is>
          <t>XONE US</t>
        </is>
      </c>
      <c r="C586" s="4" t="inlineStr">
        <is>
          <t>DM US</t>
        </is>
      </c>
      <c r="D586" s="7" t="n">
        <v>44419</v>
      </c>
      <c r="E586" s="3" t="n">
        <v>626.83</v>
      </c>
      <c r="F586" s="4" t="inlineStr">
        <is>
          <t>Cash and Stock</t>
        </is>
      </c>
      <c r="G586" s="4" t="n"/>
      <c r="H586" s="4" t="inlineStr">
        <is>
          <t>Technology</t>
        </is>
      </c>
      <c r="I586" s="4" t="inlineStr">
        <is>
          <t>Tech Hardware &amp; Semiconductors</t>
        </is>
      </c>
      <c r="J586" s="4" t="inlineStr">
        <is>
          <t>Technology Hardware</t>
        </is>
      </c>
      <c r="K586" s="3" t="n">
        <v>11.5</v>
      </c>
      <c r="L586" s="3" t="n">
        <v>11.5</v>
      </c>
      <c r="M586" s="3" t="n">
        <v>67.76000000000001</v>
      </c>
      <c r="N586" s="3" t="n">
        <v>626.83</v>
      </c>
      <c r="O586" s="4" t="inlineStr">
        <is>
          <t>United States</t>
        </is>
      </c>
      <c r="P586" s="4" t="inlineStr">
        <is>
          <t>United States</t>
        </is>
      </c>
      <c r="Q586" s="4" t="inlineStr">
        <is>
          <t>Friendly</t>
        </is>
      </c>
      <c r="R586" s="2" t="n"/>
      <c r="S586" s="2" t="n"/>
      <c r="T586" s="4" t="inlineStr">
        <is>
          <t>Company Takeover</t>
        </is>
      </c>
      <c r="U586" s="2" t="inlineStr">
        <is>
          <t>No</t>
        </is>
      </c>
      <c r="V586" s="2" t="inlineStr">
        <is>
          <t>No</t>
        </is>
      </c>
      <c r="W586" s="2" t="inlineStr">
        <is>
          <t>No</t>
        </is>
      </c>
      <c r="X586" s="2" t="inlineStr">
        <is>
          <t>No</t>
        </is>
      </c>
      <c r="Y586" s="2" t="inlineStr">
        <is>
          <t>No</t>
        </is>
      </c>
      <c r="Z586" s="2" t="inlineStr">
        <is>
          <t>No</t>
        </is>
      </c>
      <c r="AA586" s="6" t="n">
        <v>2.797149774</v>
      </c>
      <c r="AB586" s="2" t="n"/>
      <c r="AC586" s="6" t="n">
        <v>2.797149774</v>
      </c>
      <c r="AD586">
        <f t="array" ref="AD586">IF(SUMPRODUCT(--($AM$2:$AM$112=TRIM(LEFT($B586,IFERROR(FIND(" ",$B586)-1,LEN($B586))))))&gt;0,1,0)</f>
        <v/>
      </c>
      <c r="AE586">
        <f t="array" ref="AE586">IF(SUMPRODUCT(--($AO$2:$AO$145=TRIM(LEFT($B586,IFERROR(FIND(" ",$B586)-1,LEN($B586))))))&gt;0,1,0)</f>
        <v/>
      </c>
      <c r="AF586">
        <f t="array" ref="AF586">IF(SUMPRODUCT(--($AQ$2:$AQ$71=TRIM(LEFT($B586,IFERROR(FIND(" ",$B586)-1,LEN($B586))))))&gt;0,1,0)</f>
        <v/>
      </c>
    </row>
    <row r="587" ht="75.75" customHeight="1" thickBot="1">
      <c r="A587" s="13" t="n">
        <v>46</v>
      </c>
      <c r="B587" s="4" t="inlineStr">
        <is>
          <t>KDMN US</t>
        </is>
      </c>
      <c r="C587" s="4" t="inlineStr">
        <is>
          <t>SAN FP</t>
        </is>
      </c>
      <c r="D587" s="7" t="n">
        <v>44447</v>
      </c>
      <c r="E587" s="3" t="n">
        <v>1373.86</v>
      </c>
      <c r="F587" s="4" t="inlineStr">
        <is>
          <t>Cash</t>
        </is>
      </c>
      <c r="G587" s="4" t="n"/>
      <c r="H587" s="4" t="inlineStr">
        <is>
          <t>Health Care</t>
        </is>
      </c>
      <c r="I587" s="4" t="inlineStr">
        <is>
          <t>Health Care</t>
        </is>
      </c>
      <c r="J587" s="4" t="inlineStr">
        <is>
          <t>Biotech &amp; Pharma</t>
        </is>
      </c>
      <c r="K587" s="4" t="n"/>
      <c r="L587" s="4" t="n"/>
      <c r="M587" s="3" t="n">
        <v>82.78</v>
      </c>
      <c r="N587" s="3" t="n">
        <v>1637.33</v>
      </c>
      <c r="O587" s="4" t="inlineStr">
        <is>
          <t>United States</t>
        </is>
      </c>
      <c r="P587" s="4" t="inlineStr">
        <is>
          <t>France</t>
        </is>
      </c>
      <c r="Q587" s="4" t="inlineStr">
        <is>
          <t>Friendly</t>
        </is>
      </c>
      <c r="R587" s="3" t="n">
        <v>8.288</v>
      </c>
      <c r="S587" s="3" t="n">
        <v>-727.71</v>
      </c>
      <c r="T587" s="4" t="inlineStr">
        <is>
          <t>Company Takeover, Cross Border</t>
        </is>
      </c>
      <c r="U587" s="2" t="inlineStr">
        <is>
          <t>No</t>
        </is>
      </c>
      <c r="V587" s="2" t="inlineStr">
        <is>
          <t>No</t>
        </is>
      </c>
      <c r="W587" s="2" t="inlineStr">
        <is>
          <t>Yes</t>
        </is>
      </c>
      <c r="X587" s="2" t="inlineStr">
        <is>
          <t>No</t>
        </is>
      </c>
      <c r="Y587" s="2" t="inlineStr">
        <is>
          <t>No</t>
        </is>
      </c>
      <c r="Z587" s="2" t="inlineStr">
        <is>
          <t>No</t>
        </is>
      </c>
      <c r="AA587" s="6" t="n">
        <v>3.137942479</v>
      </c>
      <c r="AB587" s="6" t="n">
        <v>0.9184497424</v>
      </c>
      <c r="AC587" s="6" t="n">
        <v>3.214136219</v>
      </c>
      <c r="AD587">
        <f t="array" ref="AD587">IF(SUMPRODUCT(--($AM$2:$AM$112=TRIM(LEFT($B587,IFERROR(FIND(" ",$B587)-1,LEN($B587))))))&gt;0,1,0)</f>
        <v/>
      </c>
      <c r="AE587">
        <f t="array" ref="AE587">IF(SUMPRODUCT(--($AO$2:$AO$145=TRIM(LEFT($B587,IFERROR(FIND(" ",$B587)-1,LEN($B587))))))&gt;0,1,0)</f>
        <v/>
      </c>
      <c r="AF587">
        <f t="array" ref="AF587">IF(SUMPRODUCT(--($AQ$2:$AQ$71=TRIM(LEFT($B587,IFERROR(FIND(" ",$B587)-1,LEN($B587))))))&gt;0,1,0)</f>
        <v/>
      </c>
    </row>
    <row r="588" ht="135.75" customHeight="1" thickBot="1">
      <c r="A588" s="13" t="n">
        <v>96</v>
      </c>
      <c r="B588" s="4" t="inlineStr">
        <is>
          <t>QADB US</t>
        </is>
      </c>
      <c r="C588" s="4" t="inlineStr">
        <is>
          <t>129626Z US</t>
        </is>
      </c>
      <c r="D588" s="7" t="n">
        <v>44375</v>
      </c>
      <c r="E588" s="3" t="n">
        <v>1692.8</v>
      </c>
      <c r="F588" s="4" t="inlineStr">
        <is>
          <t>Cash</t>
        </is>
      </c>
      <c r="G588" s="3" t="n">
        <v>61.34</v>
      </c>
      <c r="H588" s="4" t="inlineStr">
        <is>
          <t>Technology</t>
        </is>
      </c>
      <c r="I588" s="4" t="inlineStr">
        <is>
          <t>Software &amp; Tech Services</t>
        </is>
      </c>
      <c r="J588" s="4" t="inlineStr">
        <is>
          <t>Software</t>
        </is>
      </c>
      <c r="K588" s="3" t="n">
        <v>127</v>
      </c>
      <c r="L588" s="3" t="n">
        <v>59</v>
      </c>
      <c r="M588" s="3" t="n">
        <v>82.09</v>
      </c>
      <c r="N588" s="3" t="n">
        <v>1812.29</v>
      </c>
      <c r="O588" s="4" t="inlineStr">
        <is>
          <t>United States</t>
        </is>
      </c>
      <c r="P588" s="4" t="inlineStr">
        <is>
          <t>United States</t>
        </is>
      </c>
      <c r="Q588" s="4" t="inlineStr">
        <is>
          <t>Friendly</t>
        </is>
      </c>
      <c r="R588" s="3" t="n">
        <v>307.865</v>
      </c>
      <c r="S588" s="3" t="n">
        <v>1.931</v>
      </c>
      <c r="T588" s="4" t="inlineStr">
        <is>
          <t>PE Buyout, Company Takeover, Going Private, Private Equity</t>
        </is>
      </c>
      <c r="U588" s="2" t="inlineStr">
        <is>
          <t>No</t>
        </is>
      </c>
      <c r="V588" s="2" t="inlineStr">
        <is>
          <t>No</t>
        </is>
      </c>
      <c r="W588" s="2" t="inlineStr">
        <is>
          <t>No</t>
        </is>
      </c>
      <c r="X588" s="2" t="inlineStr">
        <is>
          <t>Yes</t>
        </is>
      </c>
      <c r="Y588" s="2" t="inlineStr">
        <is>
          <t>Yes</t>
        </is>
      </c>
      <c r="Z588" s="2" t="inlineStr">
        <is>
          <t>No</t>
        </is>
      </c>
      <c r="AA588" s="6" t="n">
        <v>3.22860565</v>
      </c>
      <c r="AB588" s="6" t="n">
        <v>2.488360318</v>
      </c>
      <c r="AC588" s="6" t="n">
        <v>3.258227694</v>
      </c>
      <c r="AD588">
        <f t="array" ref="AD588">IF(SUMPRODUCT(--($AM$2:$AM$112=TRIM(LEFT($B588,IFERROR(FIND(" ",$B588)-1,LEN($B588))))))&gt;0,1,0)</f>
        <v/>
      </c>
      <c r="AE588">
        <f t="array" ref="AE588">IF(SUMPRODUCT(--($AO$2:$AO$145=TRIM(LEFT($B588,IFERROR(FIND(" ",$B588)-1,LEN($B588))))))&gt;0,1,0)</f>
        <v/>
      </c>
      <c r="AF588">
        <f t="array" ref="AF588">IF(SUMPRODUCT(--($AQ$2:$AQ$71=TRIM(LEFT($B588,IFERROR(FIND(" ",$B588)-1,LEN($B588))))))&gt;0,1,0)</f>
        <v/>
      </c>
    </row>
    <row r="589" ht="135.75" customHeight="1" thickBot="1">
      <c r="A589" s="13" t="n">
        <v>182</v>
      </c>
      <c r="B589" s="4" t="inlineStr">
        <is>
          <t>IPL CN</t>
        </is>
      </c>
      <c r="C589" s="4" t="inlineStr">
        <is>
          <t>BIPC CN</t>
        </is>
      </c>
      <c r="D589" s="7" t="n">
        <v>44249</v>
      </c>
      <c r="E589" s="3" t="n">
        <v>10949.35</v>
      </c>
      <c r="F589" s="4" t="inlineStr">
        <is>
          <t>Cash or Stock</t>
        </is>
      </c>
      <c r="G589" s="3" t="n">
        <v>15.14</v>
      </c>
      <c r="H589" s="4" t="inlineStr">
        <is>
          <t>Energy</t>
        </is>
      </c>
      <c r="I589" s="4" t="inlineStr">
        <is>
          <t>Oil &amp; Gas</t>
        </is>
      </c>
      <c r="J589" s="4" t="inlineStr">
        <is>
          <t>Oil &amp; Gas Supply Chain</t>
        </is>
      </c>
      <c r="K589" s="4" t="n"/>
      <c r="L589" s="4" t="n"/>
      <c r="M589" s="3" t="n">
        <v>-1.41</v>
      </c>
      <c r="N589" s="3" t="n">
        <v>5475.97</v>
      </c>
      <c r="O589" s="4" t="inlineStr">
        <is>
          <t>Canada</t>
        </is>
      </c>
      <c r="P589" s="4" t="inlineStr">
        <is>
          <t>Canada</t>
        </is>
      </c>
      <c r="Q589" s="4" t="inlineStr">
        <is>
          <t>Hostile</t>
        </is>
      </c>
      <c r="R589" s="3" t="n">
        <v>3050.68</v>
      </c>
      <c r="S589" s="3" t="n">
        <v>13.7424</v>
      </c>
      <c r="T589" s="4" t="inlineStr">
        <is>
          <t>Company Takeover, Additional Stake Purchase, Tender Offer</t>
        </is>
      </c>
      <c r="U589" s="2" t="inlineStr">
        <is>
          <t>Yes</t>
        </is>
      </c>
      <c r="V589" s="2" t="inlineStr">
        <is>
          <t>No</t>
        </is>
      </c>
      <c r="W589" s="2" t="inlineStr">
        <is>
          <t>No</t>
        </is>
      </c>
      <c r="X589" s="2" t="inlineStr">
        <is>
          <t>No</t>
        </is>
      </c>
      <c r="Y589" s="2" t="inlineStr">
        <is>
          <t>No</t>
        </is>
      </c>
      <c r="Z589" s="2" t="inlineStr">
        <is>
          <t>Yes</t>
        </is>
      </c>
      <c r="AA589" s="6" t="n">
        <v>4.039388338</v>
      </c>
      <c r="AB589" s="6" t="n">
        <v>3.484396655</v>
      </c>
      <c r="AC589" s="6" t="n">
        <v>3.73846106</v>
      </c>
      <c r="AD589">
        <f t="array" ref="AD589">IF(SUMPRODUCT(--($AM$2:$AM$112=TRIM(LEFT($B589,IFERROR(FIND(" ",$B589)-1,LEN($B589))))))&gt;0,1,0)</f>
        <v/>
      </c>
      <c r="AE589">
        <f t="array" ref="AE589">IF(SUMPRODUCT(--($AO$2:$AO$145=TRIM(LEFT($B589,IFERROR(FIND(" ",$B589)-1,LEN($B589))))))&gt;0,1,0)</f>
        <v/>
      </c>
      <c r="AF589">
        <f t="array" ref="AF589">IF(SUMPRODUCT(--($AQ$2:$AQ$71=TRIM(LEFT($B589,IFERROR(FIND(" ",$B589)-1,LEN($B589))))))&gt;0,1,0)</f>
        <v/>
      </c>
    </row>
    <row r="590" ht="45.75" customHeight="1" thickBot="1">
      <c r="A590" s="13" t="n">
        <v>60</v>
      </c>
      <c r="B590" s="4" t="inlineStr">
        <is>
          <t>VEI US</t>
        </is>
      </c>
      <c r="C590" s="4" t="inlineStr">
        <is>
          <t>EXE US</t>
        </is>
      </c>
      <c r="D590" s="7" t="n">
        <v>44419</v>
      </c>
      <c r="E590" s="3" t="n">
        <v>1459.77</v>
      </c>
      <c r="F590" s="4" t="inlineStr">
        <is>
          <t>Cash and Stock</t>
        </is>
      </c>
      <c r="G590" s="4" t="n"/>
      <c r="H590" s="4" t="inlineStr">
        <is>
          <t>Energy</t>
        </is>
      </c>
      <c r="I590" s="4" t="inlineStr">
        <is>
          <t>Oil &amp; Gas</t>
        </is>
      </c>
      <c r="J590" s="4" t="inlineStr">
        <is>
          <t>Oil &amp; Gas Supply Chain</t>
        </is>
      </c>
      <c r="K590" s="4" t="n"/>
      <c r="L590" s="3" t="n">
        <v>45</v>
      </c>
      <c r="M590" s="3" t="n">
        <v>2.23</v>
      </c>
      <c r="N590" s="3" t="n">
        <v>594.72</v>
      </c>
      <c r="O590" s="4" t="inlineStr">
        <is>
          <t>United States</t>
        </is>
      </c>
      <c r="P590" s="4" t="inlineStr">
        <is>
          <t>United States</t>
        </is>
      </c>
      <c r="Q590" s="4" t="inlineStr">
        <is>
          <t>Friendly</t>
        </is>
      </c>
      <c r="R590" s="3" t="n">
        <v>528.51</v>
      </c>
      <c r="S590" s="3" t="n">
        <v>-13.8699</v>
      </c>
      <c r="T590" s="4" t="inlineStr">
        <is>
          <t>Company Takeover</t>
        </is>
      </c>
      <c r="U590" s="2" t="inlineStr">
        <is>
          <t>No</t>
        </is>
      </c>
      <c r="V590" s="2" t="inlineStr">
        <is>
          <t>No</t>
        </is>
      </c>
      <c r="W590" s="2" t="inlineStr">
        <is>
          <t>No</t>
        </is>
      </c>
      <c r="X590" s="2" t="inlineStr">
        <is>
          <t>No</t>
        </is>
      </c>
      <c r="Y590" s="2" t="inlineStr">
        <is>
          <t>No</t>
        </is>
      </c>
      <c r="Z590" s="2" t="inlineStr">
        <is>
          <t>No</t>
        </is>
      </c>
      <c r="AA590" s="6" t="n">
        <v>3.164284434</v>
      </c>
      <c r="AB590" s="6" t="n">
        <v>2.723053209</v>
      </c>
      <c r="AC590" s="6" t="n">
        <v>2.774312544</v>
      </c>
      <c r="AD590">
        <f t="array" ref="AD590">IF(SUMPRODUCT(--($AM$2:$AM$112=TRIM(LEFT($B590,IFERROR(FIND(" ",$B590)-1,LEN($B590))))))&gt;0,1,0)</f>
        <v/>
      </c>
      <c r="AE590">
        <f t="array" ref="AE590">IF(SUMPRODUCT(--($AO$2:$AO$145=TRIM(LEFT($B590,IFERROR(FIND(" ",$B590)-1,LEN($B590))))))&gt;0,1,0)</f>
        <v/>
      </c>
      <c r="AF590">
        <f t="array" ref="AF590">IF(SUMPRODUCT(--($AQ$2:$AQ$71=TRIM(LEFT($B590,IFERROR(FIND(" ",$B590)-1,LEN($B590))))))&gt;0,1,0)</f>
        <v/>
      </c>
    </row>
    <row r="591" ht="45.75" customHeight="1" thickBot="1">
      <c r="A591" s="13" t="n">
        <v>127</v>
      </c>
      <c r="B591" s="4" t="inlineStr">
        <is>
          <t>XOG US</t>
        </is>
      </c>
      <c r="C591" s="4" t="inlineStr">
        <is>
          <t>CIVI US</t>
        </is>
      </c>
      <c r="D591" s="7" t="n">
        <v>44326</v>
      </c>
      <c r="E591" s="3" t="n">
        <v>1382.69</v>
      </c>
      <c r="F591" s="4" t="inlineStr">
        <is>
          <t>Stock</t>
        </is>
      </c>
      <c r="G591" s="4" t="n"/>
      <c r="H591" s="4" t="inlineStr">
        <is>
          <t>Energy</t>
        </is>
      </c>
      <c r="I591" s="4" t="inlineStr">
        <is>
          <t>Oil &amp; Gas</t>
        </is>
      </c>
      <c r="J591" s="4" t="inlineStr">
        <is>
          <t>Oil &amp; Gas Supply Chain</t>
        </is>
      </c>
      <c r="K591" s="3" t="n">
        <v>37.5</v>
      </c>
      <c r="L591" s="3" t="n">
        <v>37.5</v>
      </c>
      <c r="M591" s="3" t="n">
        <v>-2.04</v>
      </c>
      <c r="N591" s="3" t="n">
        <v>1019.47</v>
      </c>
      <c r="O591" s="4" t="inlineStr">
        <is>
          <t>United States</t>
        </is>
      </c>
      <c r="P591" s="4" t="inlineStr">
        <is>
          <t>United States</t>
        </is>
      </c>
      <c r="Q591" s="4" t="inlineStr">
        <is>
          <t>Friendly</t>
        </is>
      </c>
      <c r="R591" s="3" t="n">
        <v>557.904</v>
      </c>
      <c r="S591" s="3" t="n">
        <v>-3.6312</v>
      </c>
      <c r="T591" s="4" t="inlineStr">
        <is>
          <t>Company Takeover</t>
        </is>
      </c>
      <c r="U591" s="2" t="inlineStr">
        <is>
          <t>No</t>
        </is>
      </c>
      <c r="V591" s="2" t="inlineStr">
        <is>
          <t>No</t>
        </is>
      </c>
      <c r="W591" s="2" t="inlineStr">
        <is>
          <t>No</t>
        </is>
      </c>
      <c r="X591" s="2" t="inlineStr">
        <is>
          <t>No</t>
        </is>
      </c>
      <c r="Y591" s="2" t="inlineStr">
        <is>
          <t>No</t>
        </is>
      </c>
      <c r="Z591" s="2" t="inlineStr">
        <is>
          <t>No</t>
        </is>
      </c>
      <c r="AA591" s="6" t="n">
        <v>3.140724822</v>
      </c>
      <c r="AB591" s="6" t="n">
        <v>2.746559475</v>
      </c>
      <c r="AC591" s="6" t="n">
        <v>3.00837445</v>
      </c>
      <c r="AD591">
        <f t="array" ref="AD591">IF(SUMPRODUCT(--($AM$2:$AM$112=TRIM(LEFT($B591,IFERROR(FIND(" ",$B591)-1,LEN($B591))))))&gt;0,1,0)</f>
        <v/>
      </c>
      <c r="AE591">
        <f t="array" ref="AE591">IF(SUMPRODUCT(--($AO$2:$AO$145=TRIM(LEFT($B591,IFERROR(FIND(" ",$B591)-1,LEN($B591))))))&gt;0,1,0)</f>
        <v/>
      </c>
      <c r="AF591">
        <f t="array" ref="AF591">IF(SUMPRODUCT(--($AQ$2:$AQ$71=TRIM(LEFT($B591,IFERROR(FIND(" ",$B591)-1,LEN($B591))))))&gt;0,1,0)</f>
        <v/>
      </c>
    </row>
    <row r="592" ht="45.75" customHeight="1" thickBot="1">
      <c r="A592" s="13" t="n">
        <v>133</v>
      </c>
      <c r="B592" s="4" t="inlineStr">
        <is>
          <t>VER US</t>
        </is>
      </c>
      <c r="C592" s="4" t="inlineStr">
        <is>
          <t>O US</t>
        </is>
      </c>
      <c r="D592" s="7" t="n">
        <v>44315</v>
      </c>
      <c r="E592" s="3" t="n">
        <v>16394.41</v>
      </c>
      <c r="F592" s="4" t="inlineStr">
        <is>
          <t>Stock</t>
        </is>
      </c>
      <c r="G592" s="3" t="n">
        <v>19.04</v>
      </c>
      <c r="H592" s="4" t="inlineStr">
        <is>
          <t>Real Estate</t>
        </is>
      </c>
      <c r="I592" s="4" t="inlineStr">
        <is>
          <t>Real Estate</t>
        </is>
      </c>
      <c r="J592" s="4" t="inlineStr">
        <is>
          <t>REIT</t>
        </is>
      </c>
      <c r="K592" s="4" t="n"/>
      <c r="L592" s="3" t="n">
        <v>365</v>
      </c>
      <c r="M592" s="3" t="n">
        <v>15.53</v>
      </c>
      <c r="N592" s="3" t="n">
        <v>10795.78</v>
      </c>
      <c r="O592" s="4" t="inlineStr">
        <is>
          <t>United States</t>
        </is>
      </c>
      <c r="P592" s="4" t="inlineStr">
        <is>
          <t>United States</t>
        </is>
      </c>
      <c r="Q592" s="4" t="inlineStr">
        <is>
          <t>Friendly</t>
        </is>
      </c>
      <c r="R592" s="3" t="n">
        <v>1161.37</v>
      </c>
      <c r="S592" s="3" t="n">
        <v>37.2643</v>
      </c>
      <c r="T592" s="4" t="inlineStr">
        <is>
          <t>Company Takeover</t>
        </is>
      </c>
      <c r="U592" s="2" t="inlineStr">
        <is>
          <t>No</t>
        </is>
      </c>
      <c r="V592" s="2" t="inlineStr">
        <is>
          <t>No</t>
        </is>
      </c>
      <c r="W592" s="2" t="inlineStr">
        <is>
          <t>No</t>
        </is>
      </c>
      <c r="X592" s="2" t="inlineStr">
        <is>
          <t>No</t>
        </is>
      </c>
      <c r="Y592" s="2" t="inlineStr">
        <is>
          <t>No</t>
        </is>
      </c>
      <c r="Z592" s="2" t="inlineStr">
        <is>
          <t>No</t>
        </is>
      </c>
      <c r="AA592" s="6" t="n">
        <v>4.214695792</v>
      </c>
      <c r="AB592" s="6" t="n">
        <v>3.064970603</v>
      </c>
      <c r="AC592" s="6" t="n">
        <v>4.033254026</v>
      </c>
      <c r="AD592">
        <f t="array" ref="AD592">IF(SUMPRODUCT(--($AM$2:$AM$112=TRIM(LEFT($B592,IFERROR(FIND(" ",$B592)-1,LEN($B592))))))&gt;0,1,0)</f>
        <v/>
      </c>
      <c r="AE592">
        <f t="array" ref="AE592">IF(SUMPRODUCT(--($AO$2:$AO$145=TRIM(LEFT($B592,IFERROR(FIND(" ",$B592)-1,LEN($B592))))))&gt;0,1,0)</f>
        <v/>
      </c>
      <c r="AF592">
        <f t="array" ref="AF592">IF(SUMPRODUCT(--($AQ$2:$AQ$71=TRIM(LEFT($B592,IFERROR(FIND(" ",$B592)-1,LEN($B592))))))&gt;0,1,0)</f>
        <v/>
      </c>
    </row>
    <row r="593" ht="135.75" customHeight="1" thickBot="1">
      <c r="A593" s="13" t="n">
        <v>70</v>
      </c>
      <c r="B593" s="4" t="inlineStr">
        <is>
          <t>MDLA US</t>
        </is>
      </c>
      <c r="C593" s="4" t="inlineStr">
        <is>
          <t>129626Z US</t>
        </is>
      </c>
      <c r="D593" s="7" t="n">
        <v>44403</v>
      </c>
      <c r="E593" s="3" t="n">
        <v>5477.39</v>
      </c>
      <c r="F593" s="4" t="inlineStr">
        <is>
          <t>Cash</t>
        </is>
      </c>
      <c r="G593" s="4" t="n"/>
      <c r="H593" s="4" t="inlineStr">
        <is>
          <t>Technology</t>
        </is>
      </c>
      <c r="I593" s="4" t="inlineStr">
        <is>
          <t>Software &amp; Tech Services</t>
        </is>
      </c>
      <c r="J593" s="4" t="inlineStr">
        <is>
          <t>Software</t>
        </is>
      </c>
      <c r="K593" s="3" t="n">
        <v>382.22</v>
      </c>
      <c r="L593" s="3" t="n">
        <v>191.11</v>
      </c>
      <c r="M593" s="3" t="n">
        <v>4.2</v>
      </c>
      <c r="N593" s="3" t="n">
        <v>5392.07</v>
      </c>
      <c r="O593" s="4" t="inlineStr">
        <is>
          <t>United States</t>
        </is>
      </c>
      <c r="P593" s="4" t="inlineStr">
        <is>
          <t>United States</t>
        </is>
      </c>
      <c r="Q593" s="4" t="inlineStr">
        <is>
          <t>Friendly</t>
        </is>
      </c>
      <c r="R593" s="3" t="n">
        <v>477.221</v>
      </c>
      <c r="S593" s="3" t="n">
        <v>-34.4411</v>
      </c>
      <c r="T593" s="4" t="inlineStr">
        <is>
          <t>PE Buyout, Company Takeover, Private Equity, Going Private</t>
        </is>
      </c>
      <c r="U593" s="2" t="inlineStr">
        <is>
          <t>No</t>
        </is>
      </c>
      <c r="V593" s="2" t="inlineStr">
        <is>
          <t>No</t>
        </is>
      </c>
      <c r="W593" s="2" t="inlineStr">
        <is>
          <t>No</t>
        </is>
      </c>
      <c r="X593" s="2" t="inlineStr">
        <is>
          <t>Yes</t>
        </is>
      </c>
      <c r="Y593" s="2" t="inlineStr">
        <is>
          <t>Yes</t>
        </is>
      </c>
      <c r="Z593" s="2" t="inlineStr">
        <is>
          <t>No</t>
        </is>
      </c>
      <c r="AA593" s="6" t="n">
        <v>3.738573665</v>
      </c>
      <c r="AB593" s="6" t="n">
        <v>2.678719546</v>
      </c>
      <c r="AC593" s="6" t="n">
        <v>3.731755522</v>
      </c>
      <c r="AD593">
        <f t="array" ref="AD593">IF(SUMPRODUCT(--($AM$2:$AM$112=TRIM(LEFT($B593,IFERROR(FIND(" ",$B593)-1,LEN($B593))))))&gt;0,1,0)</f>
        <v/>
      </c>
      <c r="AE593">
        <f t="array" ref="AE593">IF(SUMPRODUCT(--($AO$2:$AO$145=TRIM(LEFT($B593,IFERROR(FIND(" ",$B593)-1,LEN($B593))))))&gt;0,1,0)</f>
        <v/>
      </c>
      <c r="AF593">
        <f t="array" ref="AF593">IF(SUMPRODUCT(--($AQ$2:$AQ$71=TRIM(LEFT($B593,IFERROR(FIND(" ",$B593)-1,LEN($B593))))))&gt;0,1,0)</f>
        <v/>
      </c>
    </row>
    <row r="594" ht="45.75" customHeight="1" thickBot="1">
      <c r="A594" s="13" t="n">
        <v>145</v>
      </c>
      <c r="B594" s="4" t="inlineStr">
        <is>
          <t>9966911D US</t>
        </is>
      </c>
      <c r="C594" s="4" t="inlineStr">
        <is>
          <t>CADE US</t>
        </is>
      </c>
      <c r="D594" s="7" t="n">
        <v>44298</v>
      </c>
      <c r="E594" s="3" t="n">
        <v>2869.75</v>
      </c>
      <c r="F594" s="4" t="inlineStr">
        <is>
          <t>Stock</t>
        </is>
      </c>
      <c r="G594" s="4" t="n"/>
      <c r="H594" s="4" t="inlineStr">
        <is>
          <t>Financials</t>
        </is>
      </c>
      <c r="I594" s="4" t="inlineStr">
        <is>
          <t>Banking</t>
        </is>
      </c>
      <c r="J594" s="4" t="inlineStr">
        <is>
          <t>Banking</t>
        </is>
      </c>
      <c r="K594" s="4" t="n"/>
      <c r="L594" s="4" t="n"/>
      <c r="M594" s="3" t="n">
        <v>7.6</v>
      </c>
      <c r="N594" s="3" t="n">
        <v>2869.75</v>
      </c>
      <c r="O594" s="4" t="inlineStr">
        <is>
          <t>United States</t>
        </is>
      </c>
      <c r="P594" s="4" t="inlineStr">
        <is>
          <t>United States</t>
        </is>
      </c>
      <c r="Q594" s="4" t="inlineStr">
        <is>
          <t>Friendly</t>
        </is>
      </c>
      <c r="R594" s="3" t="n">
        <v>1018.52</v>
      </c>
      <c r="S594" s="3" t="n">
        <v>67.8806</v>
      </c>
      <c r="T594" s="4" t="inlineStr">
        <is>
          <t>Company Takeover</t>
        </is>
      </c>
      <c r="U594" s="2" t="inlineStr">
        <is>
          <t>No</t>
        </is>
      </c>
      <c r="V594" s="2" t="inlineStr">
        <is>
          <t>No</t>
        </is>
      </c>
      <c r="W594" s="2" t="inlineStr">
        <is>
          <t>No</t>
        </is>
      </c>
      <c r="X594" s="2" t="inlineStr">
        <is>
          <t>No</t>
        </is>
      </c>
      <c r="Y594" s="2" t="inlineStr">
        <is>
          <t>No</t>
        </is>
      </c>
      <c r="Z594" s="2" t="inlineStr">
        <is>
          <t>No</t>
        </is>
      </c>
      <c r="AA594" s="6" t="n">
        <v>3.457844065</v>
      </c>
      <c r="AB594" s="6" t="n">
        <v>3.007969561</v>
      </c>
      <c r="AC594" s="6" t="n">
        <v>3.457844065</v>
      </c>
      <c r="AD594">
        <f t="array" ref="AD594">IF(SUMPRODUCT(--($AM$2:$AM$112=TRIM(LEFT($B594,IFERROR(FIND(" ",$B594)-1,LEN($B594))))))&gt;0,1,0)</f>
        <v/>
      </c>
      <c r="AE594">
        <f t="array" ref="AE594">IF(SUMPRODUCT(--($AO$2:$AO$145=TRIM(LEFT($B594,IFERROR(FIND(" ",$B594)-1,LEN($B594))))))&gt;0,1,0)</f>
        <v/>
      </c>
      <c r="AF594">
        <f t="array" ref="AF594">IF(SUMPRODUCT(--($AQ$2:$AQ$71=TRIM(LEFT($B594,IFERROR(FIND(" ",$B594)-1,LEN($B594))))))&gt;0,1,0)</f>
        <v/>
      </c>
    </row>
    <row r="595" ht="45.75" customHeight="1" thickBot="1">
      <c r="A595" s="13" t="n">
        <v>70</v>
      </c>
      <c r="B595" s="4" t="inlineStr">
        <is>
          <t>RPAI US</t>
        </is>
      </c>
      <c r="C595" s="4" t="inlineStr">
        <is>
          <t>KRG US</t>
        </is>
      </c>
      <c r="D595" s="7" t="n">
        <v>44396</v>
      </c>
      <c r="E595" s="3" t="n">
        <v>2892.16</v>
      </c>
      <c r="F595" s="4" t="inlineStr">
        <is>
          <t>Stock</t>
        </is>
      </c>
      <c r="G595" s="3" t="n">
        <v>10.47</v>
      </c>
      <c r="H595" s="4" t="inlineStr">
        <is>
          <t>Real Estate</t>
        </is>
      </c>
      <c r="I595" s="4" t="inlineStr">
        <is>
          <t>Real Estate</t>
        </is>
      </c>
      <c r="J595" s="4" t="inlineStr">
        <is>
          <t>REIT</t>
        </is>
      </c>
      <c r="K595" s="4" t="n"/>
      <c r="L595" s="4" t="n"/>
      <c r="M595" s="3" t="n">
        <v>16.3</v>
      </c>
      <c r="N595" s="3" t="n">
        <v>2892.16</v>
      </c>
      <c r="O595" s="4" t="inlineStr">
        <is>
          <t>United States</t>
        </is>
      </c>
      <c r="P595" s="4" t="inlineStr">
        <is>
          <t>United States</t>
        </is>
      </c>
      <c r="Q595" s="4" t="inlineStr">
        <is>
          <t>Friendly</t>
        </is>
      </c>
      <c r="R595" s="3" t="n">
        <v>430.043</v>
      </c>
      <c r="S595" s="3" t="n">
        <v>21.4053</v>
      </c>
      <c r="T595" s="4" t="inlineStr">
        <is>
          <t>Company Takeover</t>
        </is>
      </c>
      <c r="U595" s="2" t="inlineStr">
        <is>
          <t>No</t>
        </is>
      </c>
      <c r="V595" s="2" t="inlineStr">
        <is>
          <t>No</t>
        </is>
      </c>
      <c r="W595" s="2" t="inlineStr">
        <is>
          <t>No</t>
        </is>
      </c>
      <c r="X595" s="2" t="inlineStr">
        <is>
          <t>No</t>
        </is>
      </c>
      <c r="Y595" s="2" t="inlineStr">
        <is>
          <t>No</t>
        </is>
      </c>
      <c r="Z595" s="2" t="inlineStr">
        <is>
          <t>No</t>
        </is>
      </c>
      <c r="AA595" s="6" t="n">
        <v>3.461222315</v>
      </c>
      <c r="AB595" s="6" t="n">
        <v>2.633511883</v>
      </c>
      <c r="AC595" s="6" t="n">
        <v>3.461222315</v>
      </c>
      <c r="AD595">
        <f t="array" ref="AD595">IF(SUMPRODUCT(--($AM$2:$AM$112=TRIM(LEFT($B595,IFERROR(FIND(" ",$B595)-1,LEN($B595))))))&gt;0,1,0)</f>
        <v/>
      </c>
      <c r="AE595">
        <f t="array" ref="AE595">IF(SUMPRODUCT(--($AO$2:$AO$145=TRIM(LEFT($B595,IFERROR(FIND(" ",$B595)-1,LEN($B595))))))&gt;0,1,0)</f>
        <v/>
      </c>
      <c r="AF595">
        <f t="array" ref="AF595">IF(SUMPRODUCT(--($AQ$2:$AQ$71=TRIM(LEFT($B595,IFERROR(FIND(" ",$B595)-1,LEN($B595))))))&gt;0,1,0)</f>
        <v/>
      </c>
    </row>
    <row r="596" ht="135.75" customHeight="1" thickBot="1">
      <c r="A596" s="13" t="n">
        <v>55</v>
      </c>
      <c r="B596" s="4" t="inlineStr">
        <is>
          <t>SIC US</t>
        </is>
      </c>
      <c r="C596" s="4" t="inlineStr">
        <is>
          <t>53815Z US</t>
        </is>
      </c>
      <c r="D596" s="7" t="n">
        <v>44417</v>
      </c>
      <c r="E596" s="3" t="n">
        <v>530.89</v>
      </c>
      <c r="F596" s="4" t="inlineStr">
        <is>
          <t>Cash</t>
        </is>
      </c>
      <c r="G596" s="3" t="n">
        <v>16.35</v>
      </c>
      <c r="H596" s="4" t="inlineStr">
        <is>
          <t>Consumer Discretionary</t>
        </is>
      </c>
      <c r="I596" s="4" t="inlineStr">
        <is>
          <t>Consumer Discretionary Services</t>
        </is>
      </c>
      <c r="J596" s="4" t="inlineStr">
        <is>
          <t>Consumer Services</t>
        </is>
      </c>
      <c r="K596" s="3" t="n">
        <v>30.8</v>
      </c>
      <c r="L596" s="3" t="n">
        <v>15.4</v>
      </c>
      <c r="M596" s="3" t="n">
        <v>39.5</v>
      </c>
      <c r="N596" s="3" t="n">
        <v>370.31</v>
      </c>
      <c r="O596" s="4" t="inlineStr">
        <is>
          <t>United States</t>
        </is>
      </c>
      <c r="P596" s="4" t="inlineStr">
        <is>
          <t>United States</t>
        </is>
      </c>
      <c r="Q596" s="4" t="inlineStr">
        <is>
          <t>Friendly</t>
        </is>
      </c>
      <c r="R596" s="3" t="n">
        <v>554.025</v>
      </c>
      <c r="S596" s="3" t="n">
        <v>2.01371</v>
      </c>
      <c r="T596" s="4" t="inlineStr">
        <is>
          <t>PE Buyout, Company Takeover, Private Equity, Going Private</t>
        </is>
      </c>
      <c r="U596" s="2" t="inlineStr">
        <is>
          <t>No</t>
        </is>
      </c>
      <c r="V596" s="2" t="inlineStr">
        <is>
          <t>No</t>
        </is>
      </c>
      <c r="W596" s="2" t="inlineStr">
        <is>
          <t>No</t>
        </is>
      </c>
      <c r="X596" s="2" t="inlineStr">
        <is>
          <t>Yes</t>
        </is>
      </c>
      <c r="Y596" s="2" t="inlineStr">
        <is>
          <t>Yes</t>
        </is>
      </c>
      <c r="Z596" s="2" t="inlineStr">
        <is>
          <t>No</t>
        </is>
      </c>
      <c r="AA596" s="6" t="n">
        <v>2.725004545</v>
      </c>
      <c r="AB596" s="6" t="n">
        <v>2.743529362</v>
      </c>
      <c r="AC596" s="6" t="n">
        <v>2.56856544</v>
      </c>
      <c r="AD596">
        <f t="array" ref="AD596">IF(SUMPRODUCT(--($AM$2:$AM$112=TRIM(LEFT($B596,IFERROR(FIND(" ",$B596)-1,LEN($B596))))))&gt;0,1,0)</f>
        <v/>
      </c>
      <c r="AE596">
        <f t="array" ref="AE596">IF(SUMPRODUCT(--($AO$2:$AO$145=TRIM(LEFT($B596,IFERROR(FIND(" ",$B596)-1,LEN($B596))))))&gt;0,1,0)</f>
        <v/>
      </c>
      <c r="AF596">
        <f t="array" ref="AF596">IF(SUMPRODUCT(--($AQ$2:$AQ$71=TRIM(LEFT($B596,IFERROR(FIND(" ",$B596)-1,LEN($B596))))))&gt;0,1,0)</f>
        <v/>
      </c>
    </row>
    <row r="597" ht="105.75" customHeight="1" thickBot="1">
      <c r="A597" s="13" t="n">
        <v>54</v>
      </c>
      <c r="B597" s="4" t="inlineStr">
        <is>
          <t>WIR/U CN</t>
        </is>
      </c>
      <c r="C597" s="4" t="inlineStr">
        <is>
          <t>BREITII US</t>
        </is>
      </c>
      <c r="D597" s="7" t="n">
        <v>44417</v>
      </c>
      <c r="E597" s="3" t="n">
        <v>2931.75</v>
      </c>
      <c r="F597" s="4" t="inlineStr">
        <is>
          <t>Cash</t>
        </is>
      </c>
      <c r="G597" s="3" t="n">
        <v>24.57</v>
      </c>
      <c r="H597" s="4" t="inlineStr">
        <is>
          <t>Real Estate</t>
        </is>
      </c>
      <c r="I597" s="4" t="inlineStr">
        <is>
          <t>Real Estate</t>
        </is>
      </c>
      <c r="J597" s="4" t="inlineStr">
        <is>
          <t>REIT</t>
        </is>
      </c>
      <c r="K597" s="4" t="n"/>
      <c r="L597" s="4" t="n"/>
      <c r="M597" s="3" t="n">
        <v>18.41</v>
      </c>
      <c r="N597" s="3" t="n">
        <v>1831.66</v>
      </c>
      <c r="O597" s="4" t="inlineStr">
        <is>
          <t>Canada</t>
        </is>
      </c>
      <c r="P597" s="4" t="inlineStr">
        <is>
          <t>United States</t>
        </is>
      </c>
      <c r="Q597" s="4" t="inlineStr">
        <is>
          <t>Friendly</t>
        </is>
      </c>
      <c r="R597" s="3" t="n">
        <v>171.421</v>
      </c>
      <c r="S597" s="3" t="n">
        <v>57.4294</v>
      </c>
      <c r="T597" s="4" t="inlineStr">
        <is>
          <t>Company Takeover, Cross Border, Going Private</t>
        </is>
      </c>
      <c r="U597" s="2" t="inlineStr">
        <is>
          <t>No</t>
        </is>
      </c>
      <c r="V597" s="2" t="inlineStr">
        <is>
          <t>No</t>
        </is>
      </c>
      <c r="W597" s="2" t="inlineStr">
        <is>
          <t>Yes</t>
        </is>
      </c>
      <c r="X597" s="2" t="inlineStr">
        <is>
          <t>Yes</t>
        </is>
      </c>
      <c r="Y597" s="2" t="inlineStr">
        <is>
          <t>No</t>
        </is>
      </c>
      <c r="Z597" s="2" t="inlineStr">
        <is>
          <t>No</t>
        </is>
      </c>
      <c r="AA597" s="6" t="n">
        <v>3.467126934</v>
      </c>
      <c r="AB597" s="6" t="n">
        <v>2.234064024</v>
      </c>
      <c r="AC597" s="6" t="n">
        <v>3.262844861</v>
      </c>
      <c r="AD597">
        <f t="array" ref="AD597">IF(SUMPRODUCT(--($AM$2:$AM$112=TRIM(LEFT($B597,IFERROR(FIND(" ",$B597)-1,LEN($B597))))))&gt;0,1,0)</f>
        <v/>
      </c>
      <c r="AE597">
        <f t="array" ref="AE597">IF(SUMPRODUCT(--($AO$2:$AO$145=TRIM(LEFT($B597,IFERROR(FIND(" ",$B597)-1,LEN($B597))))))&gt;0,1,0)</f>
        <v/>
      </c>
      <c r="AF597">
        <f t="array" ref="AF597">IF(SUMPRODUCT(--($AQ$2:$AQ$71=TRIM(LEFT($B597,IFERROR(FIND(" ",$B597)-1,LEN($B597))))))&gt;0,1,0)</f>
        <v/>
      </c>
    </row>
    <row r="598" ht="75.75" customHeight="1" thickBot="1">
      <c r="A598" s="13" t="n">
        <v>56</v>
      </c>
      <c r="B598" s="4" t="inlineStr">
        <is>
          <t>2311171D CN</t>
        </is>
      </c>
      <c r="C598" s="4" t="inlineStr">
        <is>
          <t>PENN US</t>
        </is>
      </c>
      <c r="D598" s="7" t="n">
        <v>44413</v>
      </c>
      <c r="E598" s="3" t="n">
        <v>1618.96</v>
      </c>
      <c r="F598" s="4" t="inlineStr">
        <is>
          <t>Cash and Stock</t>
        </is>
      </c>
      <c r="G598" s="4" t="n"/>
      <c r="H598" s="4" t="inlineStr">
        <is>
          <t>Communications</t>
        </is>
      </c>
      <c r="I598" s="4" t="inlineStr">
        <is>
          <t>Media</t>
        </is>
      </c>
      <c r="J598" s="4" t="inlineStr">
        <is>
          <t>Internet Media &amp; Services</t>
        </is>
      </c>
      <c r="K598" s="4" t="n"/>
      <c r="L598" s="4" t="n"/>
      <c r="M598" s="3" t="n">
        <v>108.53</v>
      </c>
      <c r="N598" s="3" t="n">
        <v>1784.96</v>
      </c>
      <c r="O598" s="4" t="inlineStr">
        <is>
          <t>Canada</t>
        </is>
      </c>
      <c r="P598" s="4" t="inlineStr">
        <is>
          <t>United States</t>
        </is>
      </c>
      <c r="Q598" s="4" t="inlineStr">
        <is>
          <t>Friendly</t>
        </is>
      </c>
      <c r="R598" s="3" t="n">
        <v>15.4097</v>
      </c>
      <c r="S598" s="3" t="n">
        <v>-248.723</v>
      </c>
      <c r="T598" s="4" t="inlineStr">
        <is>
          <t>Company Takeover, Cross Border</t>
        </is>
      </c>
      <c r="U598" s="2" t="inlineStr">
        <is>
          <t>No</t>
        </is>
      </c>
      <c r="V598" s="2" t="inlineStr">
        <is>
          <t>No</t>
        </is>
      </c>
      <c r="W598" s="2" t="inlineStr">
        <is>
          <t>Yes</t>
        </is>
      </c>
      <c r="X598" s="2" t="inlineStr">
        <is>
          <t>No</t>
        </is>
      </c>
      <c r="Y598" s="2" t="inlineStr">
        <is>
          <t>No</t>
        </is>
      </c>
      <c r="Z598" s="2" t="inlineStr">
        <is>
          <t>No</t>
        </is>
      </c>
      <c r="AA598" s="6" t="n">
        <v>3.209236119</v>
      </c>
      <c r="AB598" s="6" t="n">
        <v>1.187794184</v>
      </c>
      <c r="AC598" s="6" t="n">
        <v>3.251628488</v>
      </c>
      <c r="AD598">
        <f t="array" ref="AD598">IF(SUMPRODUCT(--($AM$2:$AM$112=TRIM(LEFT($B598,IFERROR(FIND(" ",$B598)-1,LEN($B598))))))&gt;0,1,0)</f>
        <v/>
      </c>
      <c r="AE598">
        <f t="array" ref="AE598">IF(SUMPRODUCT(--($AO$2:$AO$145=TRIM(LEFT($B598,IFERROR(FIND(" ",$B598)-1,LEN($B598))))))&gt;0,1,0)</f>
        <v/>
      </c>
      <c r="AF598">
        <f t="array" ref="AF598">IF(SUMPRODUCT(--($AQ$2:$AQ$71=TRIM(LEFT($B598,IFERROR(FIND(" ",$B598)-1,LEN($B598))))))&gt;0,1,0)</f>
        <v/>
      </c>
    </row>
    <row r="599" ht="135.75" customHeight="1" thickBot="1">
      <c r="A599" s="13" t="n">
        <v>53</v>
      </c>
      <c r="B599" s="4" t="inlineStr">
        <is>
          <t>CSOD US</t>
        </is>
      </c>
      <c r="C599" s="4" t="inlineStr">
        <is>
          <t>8376046Z US</t>
        </is>
      </c>
      <c r="D599" s="7" t="n">
        <v>44413</v>
      </c>
      <c r="E599" s="3" t="n">
        <v>4839.8</v>
      </c>
      <c r="F599" s="4" t="inlineStr">
        <is>
          <t>Cash</t>
        </is>
      </c>
      <c r="G599" s="3" t="n">
        <v>25.79</v>
      </c>
      <c r="H599" s="4" t="inlineStr">
        <is>
          <t>Technology</t>
        </is>
      </c>
      <c r="I599" s="4" t="inlineStr">
        <is>
          <t>Software &amp; Tech Services</t>
        </is>
      </c>
      <c r="J599" s="4" t="inlineStr">
        <is>
          <t>Software</t>
        </is>
      </c>
      <c r="K599" s="3" t="n">
        <v>320</v>
      </c>
      <c r="L599" s="3" t="n">
        <v>150</v>
      </c>
      <c r="M599" s="3" t="n">
        <v>16.1</v>
      </c>
      <c r="N599" s="3" t="n">
        <v>3806.48</v>
      </c>
      <c r="O599" s="4" t="inlineStr">
        <is>
          <t>United States</t>
        </is>
      </c>
      <c r="P599" s="4" t="inlineStr">
        <is>
          <t>United States</t>
        </is>
      </c>
      <c r="Q599" s="4" t="inlineStr">
        <is>
          <t>Friendly</t>
        </is>
      </c>
      <c r="R599" s="3" t="n">
        <v>740.9160000000001</v>
      </c>
      <c r="S599" s="3" t="n">
        <v>2.83421</v>
      </c>
      <c r="T599" s="4" t="inlineStr">
        <is>
          <t>PE Buyout, Company Takeover, Private Equity, Going Private</t>
        </is>
      </c>
      <c r="U599" s="2" t="inlineStr">
        <is>
          <t>No</t>
        </is>
      </c>
      <c r="V599" s="2" t="inlineStr">
        <is>
          <t>No</t>
        </is>
      </c>
      <c r="W599" s="2" t="inlineStr">
        <is>
          <t>No</t>
        </is>
      </c>
      <c r="X599" s="2" t="inlineStr">
        <is>
          <t>Yes</t>
        </is>
      </c>
      <c r="Y599" s="2" t="inlineStr">
        <is>
          <t>Yes</t>
        </is>
      </c>
      <c r="Z599" s="2" t="inlineStr">
        <is>
          <t>No</t>
        </is>
      </c>
      <c r="AA599" s="6" t="n">
        <v>3.684827415</v>
      </c>
      <c r="AB599" s="6" t="n">
        <v>2.869768973</v>
      </c>
      <c r="AC599" s="6" t="n">
        <v>3.580523552</v>
      </c>
      <c r="AD599">
        <f t="array" ref="AD599">IF(SUMPRODUCT(--($AM$2:$AM$112=TRIM(LEFT($B599,IFERROR(FIND(" ",$B599)-1,LEN($B599))))))&gt;0,1,0)</f>
        <v/>
      </c>
      <c r="AE599">
        <f t="array" ref="AE599">IF(SUMPRODUCT(--($AO$2:$AO$145=TRIM(LEFT($B599,IFERROR(FIND(" ",$B599)-1,LEN($B599))))))&gt;0,1,0)</f>
        <v/>
      </c>
      <c r="AF599">
        <f t="array" ref="AF599">IF(SUMPRODUCT(--($AQ$2:$AQ$71=TRIM(LEFT($B599,IFERROR(FIND(" ",$B599)-1,LEN($B599))))))&gt;0,1,0)</f>
        <v/>
      </c>
    </row>
    <row r="600" ht="135.75" customHeight="1" thickBot="1">
      <c r="A600" s="13" t="n">
        <v>94</v>
      </c>
      <c r="B600" s="4" t="inlineStr">
        <is>
          <t>CLDR US</t>
        </is>
      </c>
      <c r="C600" s="2" t="n"/>
      <c r="D600" s="7" t="n">
        <v>44348</v>
      </c>
      <c r="E600" s="3" t="n">
        <v>4703.66</v>
      </c>
      <c r="F600" s="4" t="inlineStr">
        <is>
          <t>Cash</t>
        </is>
      </c>
      <c r="G600" s="4" t="n"/>
      <c r="H600" s="4" t="inlineStr">
        <is>
          <t>Technology</t>
        </is>
      </c>
      <c r="I600" s="4" t="inlineStr">
        <is>
          <t>Software &amp; Tech Services</t>
        </is>
      </c>
      <c r="J600" s="4" t="inlineStr">
        <is>
          <t>Software</t>
        </is>
      </c>
      <c r="K600" s="3" t="n">
        <v>290.626</v>
      </c>
      <c r="L600" s="3" t="n">
        <v>171.734</v>
      </c>
      <c r="M600" s="3" t="n">
        <v>31.33</v>
      </c>
      <c r="N600" s="3" t="n">
        <v>4797.38</v>
      </c>
      <c r="O600" s="4" t="inlineStr">
        <is>
          <t>United States</t>
        </is>
      </c>
      <c r="P600" s="4" t="inlineStr">
        <is>
          <t>United States</t>
        </is>
      </c>
      <c r="Q600" s="4" t="inlineStr">
        <is>
          <t>Friendly</t>
        </is>
      </c>
      <c r="R600" s="3" t="n">
        <v>869.258</v>
      </c>
      <c r="S600" s="3" t="n">
        <v>-14.4263</v>
      </c>
      <c r="T600" s="4" t="inlineStr">
        <is>
          <t>PE Buyout, Company Takeover, Private Equity, Going Private</t>
        </is>
      </c>
      <c r="U600" s="2" t="inlineStr">
        <is>
          <t>No</t>
        </is>
      </c>
      <c r="V600" s="2" t="inlineStr">
        <is>
          <t>No</t>
        </is>
      </c>
      <c r="W600" s="2" t="inlineStr">
        <is>
          <t>No</t>
        </is>
      </c>
      <c r="X600" s="2" t="inlineStr">
        <is>
          <t>Yes</t>
        </is>
      </c>
      <c r="Y600" s="2" t="inlineStr">
        <is>
          <t>Yes</t>
        </is>
      </c>
      <c r="Z600" s="2" t="inlineStr">
        <is>
          <t>No</t>
        </is>
      </c>
      <c r="AA600" s="6" t="n">
        <v>3.672435922</v>
      </c>
      <c r="AB600" s="6" t="n">
        <v>2.939148696</v>
      </c>
      <c r="AC600" s="6" t="n">
        <v>3.68100412</v>
      </c>
      <c r="AD600">
        <f t="array" ref="AD600">IF(SUMPRODUCT(--($AM$2:$AM$112=TRIM(LEFT($B600,IFERROR(FIND(" ",$B600)-1,LEN($B600))))))&gt;0,1,0)</f>
        <v/>
      </c>
      <c r="AE600">
        <f t="array" ref="AE600">IF(SUMPRODUCT(--($AO$2:$AO$145=TRIM(LEFT($B600,IFERROR(FIND(" ",$B600)-1,LEN($B600))))))&gt;0,1,0)</f>
        <v/>
      </c>
      <c r="AF600">
        <f t="array" ref="AF600">IF(SUMPRODUCT(--($AQ$2:$AQ$71=TRIM(LEFT($B600,IFERROR(FIND(" ",$B600)-1,LEN($B600))))))&gt;0,1,0)</f>
        <v/>
      </c>
    </row>
    <row r="601" ht="45.75" customHeight="1" thickBot="1">
      <c r="A601" s="13" t="n">
        <v>64</v>
      </c>
      <c r="B601" s="4" t="inlineStr">
        <is>
          <t>LONE US</t>
        </is>
      </c>
      <c r="C601" s="4" t="inlineStr">
        <is>
          <t>ROCC US</t>
        </is>
      </c>
      <c r="D601" s="7" t="n">
        <v>44389</v>
      </c>
      <c r="E601" s="3" t="n">
        <v>558.86</v>
      </c>
      <c r="F601" s="4" t="inlineStr">
        <is>
          <t>Stock</t>
        </is>
      </c>
      <c r="G601" s="3" t="n">
        <v>6.74</v>
      </c>
      <c r="H601" s="4" t="inlineStr">
        <is>
          <t>Energy</t>
        </is>
      </c>
      <c r="I601" s="4" t="inlineStr">
        <is>
          <t>Oil &amp; Gas</t>
        </is>
      </c>
      <c r="J601" s="4" t="inlineStr">
        <is>
          <t>Oil &amp; Gas Supply Chain</t>
        </is>
      </c>
      <c r="K601" s="3" t="n">
        <v>6</v>
      </c>
      <c r="L601" s="3" t="n">
        <v>3</v>
      </c>
      <c r="M601" s="3" t="n">
        <v>25.12</v>
      </c>
      <c r="N601" s="3" t="n">
        <v>308.02</v>
      </c>
      <c r="O601" s="4" t="inlineStr">
        <is>
          <t>United States</t>
        </is>
      </c>
      <c r="P601" s="4" t="inlineStr">
        <is>
          <t>United States</t>
        </is>
      </c>
      <c r="Q601" s="4" t="inlineStr">
        <is>
          <t>Friendly</t>
        </is>
      </c>
      <c r="R601" s="3" t="n">
        <v>116.227</v>
      </c>
      <c r="S601" s="3" t="n">
        <v>27.3348</v>
      </c>
      <c r="T601" s="4" t="inlineStr">
        <is>
          <t>Company Takeover</t>
        </is>
      </c>
      <c r="U601" s="2" t="inlineStr">
        <is>
          <t>No</t>
        </is>
      </c>
      <c r="V601" s="2" t="inlineStr">
        <is>
          <t>No</t>
        </is>
      </c>
      <c r="W601" s="2" t="inlineStr">
        <is>
          <t>No</t>
        </is>
      </c>
      <c r="X601" s="2" t="inlineStr">
        <is>
          <t>No</t>
        </is>
      </c>
      <c r="Y601" s="2" t="inlineStr">
        <is>
          <t>No</t>
        </is>
      </c>
      <c r="Z601" s="2" t="inlineStr">
        <is>
          <t>No</t>
        </is>
      </c>
      <c r="AA601" s="6" t="n">
        <v>2.747303026</v>
      </c>
      <c r="AB601" s="6" t="n">
        <v>2.065307028</v>
      </c>
      <c r="AC601" s="6" t="n">
        <v>2.488578917</v>
      </c>
      <c r="AD601">
        <f t="array" ref="AD601">IF(SUMPRODUCT(--($AM$2:$AM$112=TRIM(LEFT($B601,IFERROR(FIND(" ",$B601)-1,LEN($B601))))))&gt;0,1,0)</f>
        <v/>
      </c>
      <c r="AE601">
        <f t="array" ref="AE601">IF(SUMPRODUCT(--($AO$2:$AO$145=TRIM(LEFT($B601,IFERROR(FIND(" ",$B601)-1,LEN($B601))))))&gt;0,1,0)</f>
        <v/>
      </c>
      <c r="AF601">
        <f t="array" ref="AF601">IF(SUMPRODUCT(--($AQ$2:$AQ$71=TRIM(LEFT($B601,IFERROR(FIND(" ",$B601)-1,LEN($B601))))))&gt;0,1,0)</f>
        <v/>
      </c>
    </row>
    <row r="602" ht="135.75" customHeight="1" thickBot="1">
      <c r="A602" s="13" t="n">
        <v>64</v>
      </c>
      <c r="B602" s="4" t="inlineStr">
        <is>
          <t>STMP US</t>
        </is>
      </c>
      <c r="C602" s="4" t="inlineStr">
        <is>
          <t>129626Z US</t>
        </is>
      </c>
      <c r="D602" s="7" t="n">
        <v>44386</v>
      </c>
      <c r="E602" s="3" t="n">
        <v>5537.7</v>
      </c>
      <c r="F602" s="4" t="inlineStr">
        <is>
          <t>Cash</t>
        </is>
      </c>
      <c r="G602" s="3" t="n">
        <v>35.06</v>
      </c>
      <c r="H602" s="4" t="inlineStr">
        <is>
          <t>Communications</t>
        </is>
      </c>
      <c r="I602" s="4" t="inlineStr">
        <is>
          <t>Media</t>
        </is>
      </c>
      <c r="J602" s="4" t="inlineStr">
        <is>
          <t>Internet Media &amp; Services</t>
        </is>
      </c>
      <c r="K602" s="4" t="n"/>
      <c r="L602" s="3" t="n">
        <v>99.5</v>
      </c>
      <c r="M602" s="3" t="n">
        <v>63.93</v>
      </c>
      <c r="N602" s="3" t="n">
        <v>6045.32</v>
      </c>
      <c r="O602" s="4" t="inlineStr">
        <is>
          <t>United States</t>
        </is>
      </c>
      <c r="P602" s="4" t="inlineStr">
        <is>
          <t>United States</t>
        </is>
      </c>
      <c r="Q602" s="4" t="inlineStr">
        <is>
          <t>Friendly</t>
        </is>
      </c>
      <c r="R602" s="3" t="n">
        <v>757.98</v>
      </c>
      <c r="S602" s="3" t="n">
        <v>15.7836</v>
      </c>
      <c r="T602" s="4" t="inlineStr">
        <is>
          <t>PE Buyout, Company Takeover, Private Equity, Going Private</t>
        </is>
      </c>
      <c r="U602" s="2" t="inlineStr">
        <is>
          <t>No</t>
        </is>
      </c>
      <c r="V602" s="2" t="inlineStr">
        <is>
          <t>No</t>
        </is>
      </c>
      <c r="W602" s="2" t="inlineStr">
        <is>
          <t>No</t>
        </is>
      </c>
      <c r="X602" s="2" t="inlineStr">
        <is>
          <t>Yes</t>
        </is>
      </c>
      <c r="Y602" s="2" t="inlineStr">
        <is>
          <t>Yes</t>
        </is>
      </c>
      <c r="Z602" s="2" t="inlineStr">
        <is>
          <t>No</t>
        </is>
      </c>
      <c r="AA602" s="6" t="n">
        <v>3.743329425</v>
      </c>
      <c r="AB602" s="6" t="n">
        <v>2.879657747</v>
      </c>
      <c r="AC602" s="6" t="n">
        <v>3.781419295</v>
      </c>
      <c r="AD602">
        <f t="array" ref="AD602">IF(SUMPRODUCT(--($AM$2:$AM$112=TRIM(LEFT($B602,IFERROR(FIND(" ",$B602)-1,LEN($B602))))))&gt;0,1,0)</f>
        <v/>
      </c>
      <c r="AE602">
        <f t="array" ref="AE602">IF(SUMPRODUCT(--($AO$2:$AO$145=TRIM(LEFT($B602,IFERROR(FIND(" ",$B602)-1,LEN($B602))))))&gt;0,1,0)</f>
        <v/>
      </c>
      <c r="AF602">
        <f t="array" ref="AF602">IF(SUMPRODUCT(--($AQ$2:$AQ$71=TRIM(LEFT($B602,IFERROR(FIND(" ",$B602)-1,LEN($B602))))))&gt;0,1,0)</f>
        <v/>
      </c>
    </row>
    <row r="603" ht="45.75" customHeight="1" thickBot="1">
      <c r="A603" s="13" t="n">
        <v>107</v>
      </c>
      <c r="B603" s="4" t="inlineStr">
        <is>
          <t>HARV CN</t>
        </is>
      </c>
      <c r="C603" s="4" t="inlineStr">
        <is>
          <t>TRUL CN</t>
        </is>
      </c>
      <c r="D603" s="7" t="n">
        <v>44326</v>
      </c>
      <c r="E603" s="3" t="n">
        <v>1449.15</v>
      </c>
      <c r="F603" s="4" t="inlineStr">
        <is>
          <t>Stock</t>
        </is>
      </c>
      <c r="G603" s="3" t="n">
        <v>47.23</v>
      </c>
      <c r="H603" s="4" t="inlineStr">
        <is>
          <t>Materials</t>
        </is>
      </c>
      <c r="I603" s="4" t="inlineStr">
        <is>
          <t>Materials</t>
        </is>
      </c>
      <c r="J603" s="4" t="inlineStr">
        <is>
          <t>Metals &amp; Mining</t>
        </is>
      </c>
      <c r="K603" s="4" t="n"/>
      <c r="L603" s="4" t="n"/>
      <c r="M603" s="3" t="n">
        <v>57.41</v>
      </c>
      <c r="N603" s="3" t="n">
        <v>1180.65</v>
      </c>
      <c r="O603" s="4" t="inlineStr">
        <is>
          <t>United States</t>
        </is>
      </c>
      <c r="P603" s="4" t="inlineStr">
        <is>
          <t>United States</t>
        </is>
      </c>
      <c r="Q603" s="4" t="inlineStr">
        <is>
          <t>Friendly</t>
        </is>
      </c>
      <c r="R603" s="3" t="n">
        <v>231.672</v>
      </c>
      <c r="S603" s="3" t="n">
        <v>10.5983</v>
      </c>
      <c r="T603" s="4" t="inlineStr">
        <is>
          <t>Company Takeover</t>
        </is>
      </c>
      <c r="U603" s="2" t="inlineStr">
        <is>
          <t>No</t>
        </is>
      </c>
      <c r="V603" s="2" t="inlineStr">
        <is>
          <t>No</t>
        </is>
      </c>
      <c r="W603" s="2" t="inlineStr">
        <is>
          <t>No</t>
        </is>
      </c>
      <c r="X603" s="2" t="inlineStr">
        <is>
          <t>No</t>
        </is>
      </c>
      <c r="Y603" s="2" t="inlineStr">
        <is>
          <t>No</t>
        </is>
      </c>
      <c r="Z603" s="2" t="inlineStr">
        <is>
          <t>No</t>
        </is>
      </c>
      <c r="AA603" s="6" t="n">
        <v>3.161113341</v>
      </c>
      <c r="AB603" s="6" t="n">
        <v>2.364873548</v>
      </c>
      <c r="AC603" s="6" t="n">
        <v>3.072121171</v>
      </c>
      <c r="AD603">
        <f t="array" ref="AD603">IF(SUMPRODUCT(--($AM$2:$AM$112=TRIM(LEFT($B603,IFERROR(FIND(" ",$B603)-1,LEN($B603))))))&gt;0,1,0)</f>
        <v/>
      </c>
      <c r="AE603">
        <f t="array" ref="AE603">IF(SUMPRODUCT(--($AO$2:$AO$145=TRIM(LEFT($B603,IFERROR(FIND(" ",$B603)-1,LEN($B603))))))&gt;0,1,0)</f>
        <v/>
      </c>
      <c r="AF603">
        <f t="array" ref="AF603">IF(SUMPRODUCT(--($AQ$2:$AQ$71=TRIM(LEFT($B603,IFERROR(FIND(" ",$B603)-1,LEN($B603))))))&gt;0,1,0)</f>
        <v/>
      </c>
    </row>
    <row r="604" ht="45.75" customHeight="1" thickBot="1">
      <c r="A604" s="13" t="n">
        <v>95</v>
      </c>
      <c r="B604" s="4" t="inlineStr">
        <is>
          <t>XEC US</t>
        </is>
      </c>
      <c r="C604" s="4" t="inlineStr">
        <is>
          <t>CTRA US</t>
        </is>
      </c>
      <c r="D604" s="7" t="n">
        <v>44340</v>
      </c>
      <c r="E604" s="3" t="n">
        <v>8815.27</v>
      </c>
      <c r="F604" s="4" t="inlineStr">
        <is>
          <t>Stock</t>
        </is>
      </c>
      <c r="G604" s="4" t="n"/>
      <c r="H604" s="4" t="inlineStr">
        <is>
          <t>Energy</t>
        </is>
      </c>
      <c r="I604" s="4" t="inlineStr">
        <is>
          <t>Oil &amp; Gas</t>
        </is>
      </c>
      <c r="J604" s="4" t="inlineStr">
        <is>
          <t>Oil &amp; Gas Supply Chain</t>
        </is>
      </c>
      <c r="K604" s="3" t="n">
        <v>250</v>
      </c>
      <c r="L604" s="3" t="n">
        <v>250</v>
      </c>
      <c r="M604" s="3" t="n">
        <v>0.9399999999999999</v>
      </c>
      <c r="N604" s="3" t="n">
        <v>7171.41</v>
      </c>
      <c r="O604" s="4" t="inlineStr">
        <is>
          <t>United States</t>
        </is>
      </c>
      <c r="P604" s="4" t="inlineStr">
        <is>
          <t>United States</t>
        </is>
      </c>
      <c r="Q604" s="4" t="inlineStr">
        <is>
          <t>Friendly</t>
        </is>
      </c>
      <c r="R604" s="3" t="n">
        <v>1677.84</v>
      </c>
      <c r="S604" s="3" t="n">
        <v>0.967993</v>
      </c>
      <c r="T604" s="4" t="inlineStr">
        <is>
          <t>Company Takeover</t>
        </is>
      </c>
      <c r="U604" s="2" t="inlineStr">
        <is>
          <t>No</t>
        </is>
      </c>
      <c r="V604" s="2" t="inlineStr">
        <is>
          <t>No</t>
        </is>
      </c>
      <c r="W604" s="2" t="inlineStr">
        <is>
          <t>No</t>
        </is>
      </c>
      <c r="X604" s="2" t="inlineStr">
        <is>
          <t>No</t>
        </is>
      </c>
      <c r="Y604" s="2" t="inlineStr">
        <is>
          <t>No</t>
        </is>
      </c>
      <c r="Z604" s="2" t="inlineStr">
        <is>
          <t>No</t>
        </is>
      </c>
      <c r="AA604" s="6" t="n">
        <v>3.945235619</v>
      </c>
      <c r="AB604" s="6" t="n">
        <v>3.224750544</v>
      </c>
      <c r="AC604" s="6" t="n">
        <v>3.855604552</v>
      </c>
      <c r="AD604">
        <f t="array" ref="AD604">IF(SUMPRODUCT(--($AM$2:$AM$112=TRIM(LEFT($B604,IFERROR(FIND(" ",$B604)-1,LEN($B604))))))&gt;0,1,0)</f>
        <v/>
      </c>
      <c r="AE604">
        <f t="array" ref="AE604">IF(SUMPRODUCT(--($AO$2:$AO$145=TRIM(LEFT($B604,IFERROR(FIND(" ",$B604)-1,LEN($B604))))))&gt;0,1,0)</f>
        <v/>
      </c>
      <c r="AF604">
        <f t="array" ref="AF604">IF(SUMPRODUCT(--($AQ$2:$AQ$71=TRIM(LEFT($B604,IFERROR(FIND(" ",$B604)-1,LEN($B604))))))&gt;0,1,0)</f>
        <v/>
      </c>
    </row>
    <row r="605" ht="75.75" customHeight="1" thickBot="1">
      <c r="A605" s="13" t="n">
        <v>75</v>
      </c>
      <c r="B605" s="4" t="inlineStr">
        <is>
          <t>LDL US</t>
        </is>
      </c>
      <c r="C605" s="4" t="inlineStr">
        <is>
          <t>1657605D US</t>
        </is>
      </c>
      <c r="D605" s="7" t="n">
        <v>44368</v>
      </c>
      <c r="E605" s="3" t="n">
        <v>1312.47</v>
      </c>
      <c r="F605" s="4" t="inlineStr">
        <is>
          <t>Cash</t>
        </is>
      </c>
      <c r="G605" s="3" t="n">
        <v>21.91</v>
      </c>
      <c r="H605" s="4" t="inlineStr">
        <is>
          <t>Materials</t>
        </is>
      </c>
      <c r="I605" s="4" t="inlineStr">
        <is>
          <t>Materials</t>
        </is>
      </c>
      <c r="J605" s="4" t="inlineStr">
        <is>
          <t>Chemicals</t>
        </is>
      </c>
      <c r="K605" s="4" t="n"/>
      <c r="L605" s="4" t="n"/>
      <c r="M605" s="4" t="n"/>
      <c r="N605" s="3" t="n">
        <v>1118.98</v>
      </c>
      <c r="O605" s="4" t="inlineStr">
        <is>
          <t>United States</t>
        </is>
      </c>
      <c r="P605" s="4" t="inlineStr">
        <is>
          <t>United States</t>
        </is>
      </c>
      <c r="Q605" s="4" t="inlineStr">
        <is>
          <t>Friendly</t>
        </is>
      </c>
      <c r="R605" s="3" t="n">
        <v>764.0410000000001</v>
      </c>
      <c r="S605" s="3" t="n">
        <v>1.93974</v>
      </c>
      <c r="T605" s="4" t="inlineStr">
        <is>
          <t>Company Takeover, Going Private</t>
        </is>
      </c>
      <c r="U605" s="2" t="inlineStr">
        <is>
          <t>No</t>
        </is>
      </c>
      <c r="V605" s="2" t="inlineStr">
        <is>
          <t>No</t>
        </is>
      </c>
      <c r="W605" s="2" t="inlineStr">
        <is>
          <t>No</t>
        </is>
      </c>
      <c r="X605" s="2" t="inlineStr">
        <is>
          <t>Yes</t>
        </is>
      </c>
      <c r="Y605" s="2" t="inlineStr">
        <is>
          <t>No</t>
        </is>
      </c>
      <c r="Z605" s="2" t="inlineStr">
        <is>
          <t>No</t>
        </is>
      </c>
      <c r="AA605" s="6" t="n">
        <v>3.118089385</v>
      </c>
      <c r="AB605" s="6" t="n">
        <v>2.883116664</v>
      </c>
      <c r="AC605" s="6" t="n">
        <v>3.048822324</v>
      </c>
      <c r="AD605">
        <f t="array" ref="AD605">IF(SUMPRODUCT(--($AM$2:$AM$112=TRIM(LEFT($B605,IFERROR(FIND(" ",$B605)-1,LEN($B605))))))&gt;0,1,0)</f>
        <v/>
      </c>
      <c r="AE605">
        <f t="array" ref="AE605">IF(SUMPRODUCT(--($AO$2:$AO$145=TRIM(LEFT($B605,IFERROR(FIND(" ",$B605)-1,LEN($B605))))))&gt;0,1,0)</f>
        <v/>
      </c>
      <c r="AF605">
        <f t="array" ref="AF605">IF(SUMPRODUCT(--($AQ$2:$AQ$71=TRIM(LEFT($B605,IFERROR(FIND(" ",$B605)-1,LEN($B605))))))&gt;0,1,0)</f>
        <v/>
      </c>
    </row>
    <row r="606" ht="45.75" customHeight="1" thickBot="1">
      <c r="A606" s="13" t="n">
        <v>99</v>
      </c>
      <c r="B606" s="4" t="inlineStr">
        <is>
          <t>ALTA US</t>
        </is>
      </c>
      <c r="C606" s="4" t="inlineStr">
        <is>
          <t>GBCI US</t>
        </is>
      </c>
      <c r="D606" s="7" t="n">
        <v>44334</v>
      </c>
      <c r="E606" s="3" t="n">
        <v>900.5700000000001</v>
      </c>
      <c r="F606" s="4" t="inlineStr">
        <is>
          <t>Stock</t>
        </is>
      </c>
      <c r="G606" s="4" t="n"/>
      <c r="H606" s="4" t="inlineStr">
        <is>
          <t>Financials</t>
        </is>
      </c>
      <c r="I606" s="4" t="inlineStr">
        <is>
          <t>Banking</t>
        </is>
      </c>
      <c r="J606" s="4" t="inlineStr">
        <is>
          <t>Banking</t>
        </is>
      </c>
      <c r="K606" s="4" t="n"/>
      <c r="L606" s="3" t="n">
        <v>35</v>
      </c>
      <c r="M606" s="3" t="n">
        <v>13.37</v>
      </c>
      <c r="N606" s="3" t="n">
        <v>900.5700000000001</v>
      </c>
      <c r="O606" s="4" t="inlineStr">
        <is>
          <t>United States</t>
        </is>
      </c>
      <c r="P606" s="4" t="inlineStr">
        <is>
          <t>United States</t>
        </is>
      </c>
      <c r="Q606" s="4" t="inlineStr">
        <is>
          <t>Friendly</t>
        </is>
      </c>
      <c r="R606" s="3" t="n">
        <v>133.171</v>
      </c>
      <c r="S606" s="3" t="n">
        <v>47.8119</v>
      </c>
      <c r="T606" s="4" t="inlineStr">
        <is>
          <t>Company Takeover</t>
        </is>
      </c>
      <c r="U606" s="2" t="inlineStr">
        <is>
          <t>No</t>
        </is>
      </c>
      <c r="V606" s="2" t="inlineStr">
        <is>
          <t>No</t>
        </is>
      </c>
      <c r="W606" s="2" t="inlineStr">
        <is>
          <t>No</t>
        </is>
      </c>
      <c r="X606" s="2" t="inlineStr">
        <is>
          <t>No</t>
        </is>
      </c>
      <c r="Y606" s="2" t="inlineStr">
        <is>
          <t>No</t>
        </is>
      </c>
      <c r="Z606" s="2" t="inlineStr">
        <is>
          <t>No</t>
        </is>
      </c>
      <c r="AA606" s="6" t="n">
        <v>2.954517476</v>
      </c>
      <c r="AB606" s="6" t="n">
        <v>2.124409661</v>
      </c>
      <c r="AC606" s="6" t="n">
        <v>2.954517476</v>
      </c>
      <c r="AD606">
        <f t="array" ref="AD606">IF(SUMPRODUCT(--($AM$2:$AM$112=TRIM(LEFT($B606,IFERROR(FIND(" ",$B606)-1,LEN($B606))))))&gt;0,1,0)</f>
        <v/>
      </c>
      <c r="AE606">
        <f t="array" ref="AE606">IF(SUMPRODUCT(--($AO$2:$AO$145=TRIM(LEFT($B606,IFERROR(FIND(" ",$B606)-1,LEN($B606))))))&gt;0,1,0)</f>
        <v/>
      </c>
      <c r="AF606">
        <f t="array" ref="AF606">IF(SUMPRODUCT(--($AQ$2:$AQ$71=TRIM(LEFT($B606,IFERROR(FIND(" ",$B606)-1,LEN($B606))))))&gt;0,1,0)</f>
        <v/>
      </c>
    </row>
    <row r="607" ht="165.75" customHeight="1" thickBot="1">
      <c r="A607" s="13" t="n">
        <v>199</v>
      </c>
      <c r="B607" s="4" t="inlineStr">
        <is>
          <t>2587987D CN</t>
        </is>
      </c>
      <c r="C607" s="2" t="n"/>
      <c r="D607" s="7" t="n">
        <v>44186</v>
      </c>
      <c r="E607" s="3" t="n">
        <v>3344.32</v>
      </c>
      <c r="F607" s="4" t="inlineStr">
        <is>
          <t>Cash</t>
        </is>
      </c>
      <c r="G607" s="3" t="n">
        <v>12.61</v>
      </c>
      <c r="H607" s="4" t="inlineStr">
        <is>
          <t>Consumer Discretionary</t>
        </is>
      </c>
      <c r="I607" s="4" t="inlineStr">
        <is>
          <t>Consumer Discretionary Services</t>
        </is>
      </c>
      <c r="J607" s="4" t="inlineStr">
        <is>
          <t>Leisure Facilities &amp; Services</t>
        </is>
      </c>
      <c r="K607" s="4" t="n"/>
      <c r="L607" s="4" t="n"/>
      <c r="M607" s="4" t="n"/>
      <c r="N607" s="3" t="n">
        <v>1962.96</v>
      </c>
      <c r="O607" s="4" t="inlineStr">
        <is>
          <t>Canada</t>
        </is>
      </c>
      <c r="P607" s="4" t="inlineStr">
        <is>
          <t>United States</t>
        </is>
      </c>
      <c r="Q607" s="4" t="inlineStr">
        <is>
          <t>Friendly</t>
        </is>
      </c>
      <c r="R607" s="3" t="n">
        <v>330.146</v>
      </c>
      <c r="S607" s="3" t="n">
        <v>-48.7538</v>
      </c>
      <c r="T607" s="4" t="inlineStr">
        <is>
          <t>PE Buyout, Company Takeover, Cross Border, Private Equity, Going Private</t>
        </is>
      </c>
      <c r="U607" s="2" t="inlineStr">
        <is>
          <t>No</t>
        </is>
      </c>
      <c r="V607" s="2" t="inlineStr">
        <is>
          <t>No</t>
        </is>
      </c>
      <c r="W607" s="2" t="inlineStr">
        <is>
          <t>Yes</t>
        </is>
      </c>
      <c r="X607" s="2" t="inlineStr">
        <is>
          <t>Yes</t>
        </is>
      </c>
      <c r="Y607" s="2" t="inlineStr">
        <is>
          <t>Yes</t>
        </is>
      </c>
      <c r="Z607" s="2" t="inlineStr">
        <is>
          <t>No</t>
        </is>
      </c>
      <c r="AA607" s="6" t="n">
        <v>3.524307826</v>
      </c>
      <c r="AB607" s="6" t="n">
        <v>2.51870604</v>
      </c>
      <c r="AC607" s="6" t="n">
        <v>3.29291145</v>
      </c>
      <c r="AD607">
        <f t="array" ref="AD607">IF(SUMPRODUCT(--($AM$2:$AM$112=TRIM(LEFT($B607,IFERROR(FIND(" ",$B607)-1,LEN($B607))))))&gt;0,1,0)</f>
        <v/>
      </c>
      <c r="AE607">
        <f t="array" ref="AE607">IF(SUMPRODUCT(--($AO$2:$AO$145=TRIM(LEFT($B607,IFERROR(FIND(" ",$B607)-1,LEN($B607))))))&gt;0,1,0)</f>
        <v/>
      </c>
      <c r="AF607">
        <f t="array" ref="AF607">IF(SUMPRODUCT(--($AQ$2:$AQ$71=TRIM(LEFT($B607,IFERROR(FIND(" ",$B607)-1,LEN($B607))))))&gt;0,1,0)</f>
        <v/>
      </c>
    </row>
    <row r="608" ht="75.75" customHeight="1" thickBot="1">
      <c r="A608" s="13" t="n">
        <v>108</v>
      </c>
      <c r="B608" s="4" t="inlineStr">
        <is>
          <t>GRA US</t>
        </is>
      </c>
      <c r="C608" s="4" t="inlineStr">
        <is>
          <t>0204657D US</t>
        </is>
      </c>
      <c r="D608" s="7" t="n">
        <v>44312</v>
      </c>
      <c r="E608" s="3" t="n">
        <v>6355.2</v>
      </c>
      <c r="F608" s="4" t="inlineStr">
        <is>
          <t>Cash</t>
        </is>
      </c>
      <c r="G608" s="3" t="n">
        <v>21.65</v>
      </c>
      <c r="H608" s="4" t="inlineStr">
        <is>
          <t>Materials</t>
        </is>
      </c>
      <c r="I608" s="4" t="inlineStr">
        <is>
          <t>Materials</t>
        </is>
      </c>
      <c r="J608" s="4" t="inlineStr">
        <is>
          <t>Chemicals</t>
        </is>
      </c>
      <c r="K608" s="3" t="n">
        <v>281</v>
      </c>
      <c r="L608" s="3" t="n">
        <v>141</v>
      </c>
      <c r="M608" s="4" t="n"/>
      <c r="N608" s="3" t="n">
        <v>4633.4</v>
      </c>
      <c r="O608" s="4" t="inlineStr">
        <is>
          <t>United States</t>
        </is>
      </c>
      <c r="P608" s="4" t="inlineStr">
        <is>
          <t>United States</t>
        </is>
      </c>
      <c r="Q608" s="4" t="inlineStr">
        <is>
          <t>Unsolicited to Friendly</t>
        </is>
      </c>
      <c r="R608" s="3" t="n">
        <v>1729.8</v>
      </c>
      <c r="S608" s="3" t="n">
        <v>14.1835</v>
      </c>
      <c r="T608" s="4" t="inlineStr">
        <is>
          <t>Company Takeover, Going Private</t>
        </is>
      </c>
      <c r="U608" s="2" t="inlineStr">
        <is>
          <t>No</t>
        </is>
      </c>
      <c r="V608" s="2" t="inlineStr">
        <is>
          <t>No</t>
        </is>
      </c>
      <c r="W608" s="2" t="inlineStr">
        <is>
          <t>No</t>
        </is>
      </c>
      <c r="X608" s="2" t="inlineStr">
        <is>
          <t>Yes</t>
        </is>
      </c>
      <c r="Y608" s="2" t="inlineStr">
        <is>
          <t>No</t>
        </is>
      </c>
      <c r="Z608" s="2" t="inlineStr">
        <is>
          <t>No</t>
        </is>
      </c>
      <c r="AA608" s="6" t="n">
        <v>3.803129222</v>
      </c>
      <c r="AB608" s="6" t="n">
        <v>3.237995893</v>
      </c>
      <c r="AC608" s="6" t="n">
        <v>3.665899794</v>
      </c>
      <c r="AD608">
        <f t="array" ref="AD608">IF(SUMPRODUCT(--($AM$2:$AM$112=TRIM(LEFT($B608,IFERROR(FIND(" ",$B608)-1,LEN($B608))))))&gt;0,1,0)</f>
        <v/>
      </c>
      <c r="AE608">
        <f t="array" ref="AE608">IF(SUMPRODUCT(--($AO$2:$AO$145=TRIM(LEFT($B608,IFERROR(FIND(" ",$B608)-1,LEN($B608))))))&gt;0,1,0)</f>
        <v/>
      </c>
      <c r="AF608">
        <f t="array" ref="AF608">IF(SUMPRODUCT(--($AQ$2:$AQ$71=TRIM(LEFT($B608,IFERROR(FIND(" ",$B608)-1,LEN($B608))))))&gt;0,1,0)</f>
        <v/>
      </c>
    </row>
    <row r="609" ht="45.75" customHeight="1" thickBot="1">
      <c r="A609" s="13" t="n">
        <v>62</v>
      </c>
      <c r="B609" s="4" t="inlineStr">
        <is>
          <t>SNR US</t>
        </is>
      </c>
      <c r="C609" s="4" t="inlineStr">
        <is>
          <t>VTR US</t>
        </is>
      </c>
      <c r="D609" s="7" t="n">
        <v>44375</v>
      </c>
      <c r="E609" s="3" t="n">
        <v>2216.64</v>
      </c>
      <c r="F609" s="4" t="inlineStr">
        <is>
          <t>Stock</t>
        </is>
      </c>
      <c r="G609" s="3" t="n">
        <v>20.8</v>
      </c>
      <c r="H609" s="4" t="inlineStr">
        <is>
          <t>Real Estate</t>
        </is>
      </c>
      <c r="I609" s="4" t="inlineStr">
        <is>
          <t>Real Estate</t>
        </is>
      </c>
      <c r="J609" s="4" t="inlineStr">
        <is>
          <t>REIT</t>
        </is>
      </c>
      <c r="K609" s="4" t="n"/>
      <c r="L609" s="3" t="n">
        <v>20.2</v>
      </c>
      <c r="M609" s="3" t="n">
        <v>28.19</v>
      </c>
      <c r="N609" s="3" t="n">
        <v>754.77</v>
      </c>
      <c r="O609" s="4" t="inlineStr">
        <is>
          <t>United States</t>
        </is>
      </c>
      <c r="P609" s="4" t="inlineStr">
        <is>
          <t>United States</t>
        </is>
      </c>
      <c r="Q609" s="4" t="inlineStr">
        <is>
          <t>Friendly</t>
        </is>
      </c>
      <c r="R609" s="3" t="n">
        <v>4541.1</v>
      </c>
      <c r="S609" s="3" t="n">
        <v>9.48006</v>
      </c>
      <c r="T609" s="4" t="inlineStr">
        <is>
          <t>Company Takeover</t>
        </is>
      </c>
      <c r="U609" s="2" t="inlineStr">
        <is>
          <t>No</t>
        </is>
      </c>
      <c r="V609" s="2" t="inlineStr">
        <is>
          <t>No</t>
        </is>
      </c>
      <c r="W609" s="2" t="inlineStr">
        <is>
          <t>No</t>
        </is>
      </c>
      <c r="X609" s="2" t="inlineStr">
        <is>
          <t>No</t>
        </is>
      </c>
      <c r="Y609" s="2" t="inlineStr">
        <is>
          <t>No</t>
        </is>
      </c>
      <c r="Z609" s="2" t="inlineStr">
        <is>
          <t>No</t>
        </is>
      </c>
      <c r="AA609" s="6" t="n">
        <v>3.345695166</v>
      </c>
      <c r="AB609" s="6" t="n">
        <v>3.657161066</v>
      </c>
      <c r="AC609" s="6" t="n">
        <v>2.87781463</v>
      </c>
      <c r="AD609">
        <f t="array" ref="AD609">IF(SUMPRODUCT(--($AM$2:$AM$112=TRIM(LEFT($B609,IFERROR(FIND(" ",$B609)-1,LEN($B609))))))&gt;0,1,0)</f>
        <v/>
      </c>
      <c r="AE609">
        <f t="array" ref="AE609">IF(SUMPRODUCT(--($AO$2:$AO$145=TRIM(LEFT($B609,IFERROR(FIND(" ",$B609)-1,LEN($B609))))))&gt;0,1,0)</f>
        <v/>
      </c>
      <c r="AF609">
        <f t="array" ref="AF609">IF(SUMPRODUCT(--($AQ$2:$AQ$71=TRIM(LEFT($B609,IFERROR(FIND(" ",$B609)-1,LEN($B609))))))&gt;0,1,0)</f>
        <v/>
      </c>
    </row>
    <row r="610" ht="150.75" customHeight="1" thickBot="1">
      <c r="A610" s="13" t="n">
        <v>32</v>
      </c>
      <c r="B610" s="4" t="inlineStr">
        <is>
          <t>2218484D US</t>
        </is>
      </c>
      <c r="C610" s="4" t="inlineStr">
        <is>
          <t>SAN FP</t>
        </is>
      </c>
      <c r="D610" s="7" t="n">
        <v>44411</v>
      </c>
      <c r="E610" s="3" t="n">
        <v>2079.24</v>
      </c>
      <c r="F610" s="4" t="inlineStr">
        <is>
          <t>Cash</t>
        </is>
      </c>
      <c r="G610" s="3" t="n">
        <v>35.86</v>
      </c>
      <c r="H610" s="4" t="inlineStr">
        <is>
          <t>Health Care</t>
        </is>
      </c>
      <c r="I610" s="4" t="inlineStr">
        <is>
          <t>Health Care</t>
        </is>
      </c>
      <c r="J610" s="4" t="inlineStr">
        <is>
          <t>Biotech &amp; Pharma</t>
        </is>
      </c>
      <c r="K610" s="4" t="n"/>
      <c r="L610" s="4" t="n"/>
      <c r="M610" s="3" t="n">
        <v>24.99</v>
      </c>
      <c r="N610" s="3" t="n">
        <v>2673.31</v>
      </c>
      <c r="O610" s="4" t="inlineStr">
        <is>
          <t>United States</t>
        </is>
      </c>
      <c r="P610" s="4" t="inlineStr">
        <is>
          <t>France</t>
        </is>
      </c>
      <c r="Q610" s="4" t="inlineStr">
        <is>
          <t>Friendly</t>
        </is>
      </c>
      <c r="R610" s="3" t="n">
        <v>138.811</v>
      </c>
      <c r="S610" s="3" t="n">
        <v>17.2102</v>
      </c>
      <c r="T610" s="4" t="inlineStr">
        <is>
          <t>Company Takeover, Cross Border, Additional Stake Purchase, Tender Offer</t>
        </is>
      </c>
      <c r="U610" s="2" t="inlineStr">
        <is>
          <t>Yes</t>
        </is>
      </c>
      <c r="V610" s="2" t="inlineStr">
        <is>
          <t>No</t>
        </is>
      </c>
      <c r="W610" s="2" t="inlineStr">
        <is>
          <t>Yes</t>
        </is>
      </c>
      <c r="X610" s="2" t="inlineStr">
        <is>
          <t>No</t>
        </is>
      </c>
      <c r="Y610" s="2" t="inlineStr">
        <is>
          <t>No</t>
        </is>
      </c>
      <c r="Z610" s="2" t="inlineStr">
        <is>
          <t>Yes</t>
        </is>
      </c>
      <c r="AA610" s="6" t="n">
        <v>3.317904621</v>
      </c>
      <c r="AB610" s="6" t="n">
        <v>2.142423883</v>
      </c>
      <c r="AC610" s="6" t="n">
        <v>3.427049323</v>
      </c>
      <c r="AD610">
        <f t="array" ref="AD610">IF(SUMPRODUCT(--($AM$2:$AM$112=TRIM(LEFT($B610,IFERROR(FIND(" ",$B610)-1,LEN($B610))))))&gt;0,1,0)</f>
        <v/>
      </c>
      <c r="AE610">
        <f t="array" ref="AE610">IF(SUMPRODUCT(--($AO$2:$AO$145=TRIM(LEFT($B610,IFERROR(FIND(" ",$B610)-1,LEN($B610))))))&gt;0,1,0)</f>
        <v/>
      </c>
      <c r="AF610">
        <f t="array" ref="AF610">IF(SUMPRODUCT(--($AQ$2:$AQ$71=TRIM(LEFT($B610,IFERROR(FIND(" ",$B610)-1,LEN($B610))))))&gt;0,1,0)</f>
        <v/>
      </c>
    </row>
    <row r="611" ht="135.75" customHeight="1" thickBot="1">
      <c r="A611" s="13" t="n">
        <v>388</v>
      </c>
      <c r="B611" s="4" t="inlineStr">
        <is>
          <t>CBB US</t>
        </is>
      </c>
      <c r="C611" s="4" t="inlineStr">
        <is>
          <t>779672Z US</t>
        </is>
      </c>
      <c r="D611" s="7" t="n">
        <v>43903</v>
      </c>
      <c r="E611" s="3" t="n">
        <v>2738.21</v>
      </c>
      <c r="F611" s="4" t="inlineStr">
        <is>
          <t>Cash</t>
        </is>
      </c>
      <c r="G611" s="3" t="n">
        <v>7</v>
      </c>
      <c r="H611" s="4" t="inlineStr">
        <is>
          <t>Communications</t>
        </is>
      </c>
      <c r="I611" s="4" t="inlineStr">
        <is>
          <t>Telecommunications</t>
        </is>
      </c>
      <c r="J611" s="4" t="inlineStr">
        <is>
          <t>Telecommunications</t>
        </is>
      </c>
      <c r="K611" s="4" t="n"/>
      <c r="L611" s="4" t="n"/>
      <c r="M611" s="4" t="n"/>
      <c r="N611" s="3" t="n">
        <v>783.21</v>
      </c>
      <c r="O611" s="4" t="inlineStr">
        <is>
          <t>United States</t>
        </is>
      </c>
      <c r="P611" s="4" t="inlineStr">
        <is>
          <t>United States</t>
        </is>
      </c>
      <c r="Q611" s="4" t="inlineStr">
        <is>
          <t>Unsolicited to Friendly</t>
        </is>
      </c>
      <c r="R611" s="3" t="n">
        <v>1107.2</v>
      </c>
      <c r="S611" s="3" t="n">
        <v>0.215363</v>
      </c>
      <c r="T611" s="4" t="inlineStr">
        <is>
          <t>PE Buyout, Company Takeover, Private Equity, Going Private</t>
        </is>
      </c>
      <c r="U611" s="2" t="inlineStr">
        <is>
          <t>No</t>
        </is>
      </c>
      <c r="V611" s="2" t="inlineStr">
        <is>
          <t>No</t>
        </is>
      </c>
      <c r="W611" s="2" t="inlineStr">
        <is>
          <t>No</t>
        </is>
      </c>
      <c r="X611" s="2" t="inlineStr">
        <is>
          <t>Yes</t>
        </is>
      </c>
      <c r="Y611" s="2" t="inlineStr">
        <is>
          <t>Yes</t>
        </is>
      </c>
      <c r="Z611" s="2" t="inlineStr">
        <is>
          <t>No</t>
        </is>
      </c>
      <c r="AA611" s="6" t="n">
        <v>3.437466752</v>
      </c>
      <c r="AB611" s="6" t="n">
        <v>3.044226077</v>
      </c>
      <c r="AC611" s="6" t="n">
        <v>2.893878224</v>
      </c>
      <c r="AD611">
        <f t="array" ref="AD611">IF(SUMPRODUCT(--($AM$2:$AM$112=TRIM(LEFT($B611,IFERROR(FIND(" ",$B611)-1,LEN($B611))))))&gt;0,1,0)</f>
        <v/>
      </c>
      <c r="AE611">
        <f t="array" ref="AE611">IF(SUMPRODUCT(--($AO$2:$AO$145=TRIM(LEFT($B611,IFERROR(FIND(" ",$B611)-1,LEN($B611))))))&gt;0,1,0)</f>
        <v/>
      </c>
      <c r="AF611">
        <f t="array" ref="AF611">IF(SUMPRODUCT(--($AQ$2:$AQ$71=TRIM(LEFT($B611,IFERROR(FIND(" ",$B611)-1,LEN($B611))))))&gt;0,1,0)</f>
        <v/>
      </c>
    </row>
    <row r="612" ht="75.75" customHeight="1" thickBot="1">
      <c r="A612" s="13" t="n">
        <v>78</v>
      </c>
      <c r="B612" s="4" t="inlineStr">
        <is>
          <t>CORE US</t>
        </is>
      </c>
      <c r="C612" s="4" t="inlineStr">
        <is>
          <t>PFGC US</t>
        </is>
      </c>
      <c r="D612" s="7" t="n">
        <v>44334</v>
      </c>
      <c r="E612" s="3" t="n">
        <v>2726.52</v>
      </c>
      <c r="F612" s="4" t="inlineStr">
        <is>
          <t>Cash and Stock</t>
        </is>
      </c>
      <c r="G612" s="3" t="n">
        <v>16.31</v>
      </c>
      <c r="H612" s="4" t="inlineStr">
        <is>
          <t>Consumer Staples</t>
        </is>
      </c>
      <c r="I612" s="4" t="inlineStr">
        <is>
          <t>Retail &amp; Wholesale - Staples</t>
        </is>
      </c>
      <c r="J612" s="4" t="inlineStr">
        <is>
          <t>Wholesale - Consumer Staples</t>
        </is>
      </c>
      <c r="K612" s="3" t="n">
        <v>110</v>
      </c>
      <c r="L612" s="3" t="n">
        <v>66</v>
      </c>
      <c r="M612" s="4" t="n"/>
      <c r="N612" s="3" t="n">
        <v>2171.23</v>
      </c>
      <c r="O612" s="4" t="inlineStr">
        <is>
          <t>United States</t>
        </is>
      </c>
      <c r="P612" s="4" t="inlineStr">
        <is>
          <t>United States</t>
        </is>
      </c>
      <c r="Q612" s="4" t="inlineStr">
        <is>
          <t>Friendly</t>
        </is>
      </c>
      <c r="R612" s="3" t="n">
        <v>16957.9</v>
      </c>
      <c r="S612" s="3" t="n">
        <v>0.579067</v>
      </c>
      <c r="T612" s="4" t="inlineStr">
        <is>
          <t>Company Takeover</t>
        </is>
      </c>
      <c r="U612" s="2" t="inlineStr">
        <is>
          <t>No</t>
        </is>
      </c>
      <c r="V612" s="2" t="inlineStr">
        <is>
          <t>No</t>
        </is>
      </c>
      <c r="W612" s="2" t="inlineStr">
        <is>
          <t>No</t>
        </is>
      </c>
      <c r="X612" s="2" t="inlineStr">
        <is>
          <t>No</t>
        </is>
      </c>
      <c r="Y612" s="2" t="inlineStr">
        <is>
          <t>No</t>
        </is>
      </c>
      <c r="Z612" s="2" t="inlineStr">
        <is>
          <t>No</t>
        </is>
      </c>
      <c r="AA612" s="6" t="n">
        <v>3.435608688</v>
      </c>
      <c r="AB612" s="6" t="n">
        <v>4.22937207</v>
      </c>
      <c r="AC612" s="6" t="n">
        <v>3.336705831</v>
      </c>
      <c r="AD612">
        <f t="array" ref="AD612">IF(SUMPRODUCT(--($AM$2:$AM$112=TRIM(LEFT($B612,IFERROR(FIND(" ",$B612)-1,LEN($B612))))))&gt;0,1,0)</f>
        <v/>
      </c>
      <c r="AE612">
        <f t="array" ref="AE612">IF(SUMPRODUCT(--($AO$2:$AO$145=TRIM(LEFT($B612,IFERROR(FIND(" ",$B612)-1,LEN($B612))))))&gt;0,1,0)</f>
        <v/>
      </c>
      <c r="AF612">
        <f t="array" ref="AF612">IF(SUMPRODUCT(--($AQ$2:$AQ$71=TRIM(LEFT($B612,IFERROR(FIND(" ",$B612)-1,LEN($B612))))))&gt;0,1,0)</f>
        <v/>
      </c>
    </row>
    <row r="613" ht="135.75" customHeight="1" thickBot="1">
      <c r="A613" s="13" t="n">
        <v>106</v>
      </c>
      <c r="B613" s="4" t="inlineStr">
        <is>
          <t>ORBC US</t>
        </is>
      </c>
      <c r="C613" s="4" t="inlineStr">
        <is>
          <t>395737Z US</t>
        </is>
      </c>
      <c r="D613" s="7" t="n">
        <v>44294</v>
      </c>
      <c r="E613" s="3" t="n">
        <v>909.47</v>
      </c>
      <c r="F613" s="4" t="inlineStr">
        <is>
          <t>Cash</t>
        </is>
      </c>
      <c r="G613" s="3" t="n">
        <v>18.88</v>
      </c>
      <c r="H613" s="4" t="inlineStr">
        <is>
          <t>Technology</t>
        </is>
      </c>
      <c r="I613" s="4" t="inlineStr">
        <is>
          <t>Tech Hardware &amp; Semiconductors</t>
        </is>
      </c>
      <c r="J613" s="4" t="inlineStr">
        <is>
          <t>Technology Hardware</t>
        </is>
      </c>
      <c r="K613" s="4" t="n"/>
      <c r="L613" s="3" t="n">
        <v>51.8</v>
      </c>
      <c r="M613" s="4" t="n"/>
      <c r="N613" s="3" t="n">
        <v>909.47</v>
      </c>
      <c r="O613" s="4" t="inlineStr">
        <is>
          <t>United States</t>
        </is>
      </c>
      <c r="P613" s="4" t="inlineStr">
        <is>
          <t>United States</t>
        </is>
      </c>
      <c r="Q613" s="4" t="inlineStr">
        <is>
          <t>Friendly</t>
        </is>
      </c>
      <c r="R613" s="3" t="n">
        <v>248.466</v>
      </c>
      <c r="S613" s="3" t="n">
        <v>-4.21431</v>
      </c>
      <c r="T613" s="4" t="inlineStr">
        <is>
          <t>PE Buyout, Company Takeover, Private Equity, Going Private</t>
        </is>
      </c>
      <c r="U613" s="2" t="inlineStr">
        <is>
          <t>No</t>
        </is>
      </c>
      <c r="V613" s="2" t="inlineStr">
        <is>
          <t>No</t>
        </is>
      </c>
      <c r="W613" s="2" t="inlineStr">
        <is>
          <t>No</t>
        </is>
      </c>
      <c r="X613" s="2" t="inlineStr">
        <is>
          <t>Yes</t>
        </is>
      </c>
      <c r="Y613" s="2" t="inlineStr">
        <is>
          <t>Yes</t>
        </is>
      </c>
      <c r="Z613" s="2" t="inlineStr">
        <is>
          <t>No</t>
        </is>
      </c>
      <c r="AA613" s="6" t="n">
        <v>2.958788378</v>
      </c>
      <c r="AB613" s="6" t="n">
        <v>2.395266968</v>
      </c>
      <c r="AC613" s="6" t="n">
        <v>2.958788378</v>
      </c>
      <c r="AD613">
        <f t="array" ref="AD613">IF(SUMPRODUCT(--($AM$2:$AM$112=TRIM(LEFT($B613,IFERROR(FIND(" ",$B613)-1,LEN($B613))))))&gt;0,1,0)</f>
        <v/>
      </c>
      <c r="AE613">
        <f t="array" ref="AE613">IF(SUMPRODUCT(--($AO$2:$AO$145=TRIM(LEFT($B613,IFERROR(FIND(" ",$B613)-1,LEN($B613))))))&gt;0,1,0)</f>
        <v/>
      </c>
      <c r="AF613">
        <f t="array" ref="AF613">IF(SUMPRODUCT(--($AQ$2:$AQ$71=TRIM(LEFT($B613,IFERROR(FIND(" ",$B613)-1,LEN($B613))))))&gt;0,1,0)</f>
        <v/>
      </c>
    </row>
    <row r="614" ht="135.75" customHeight="1" thickBot="1">
      <c r="A614" s="13" t="n">
        <v>93</v>
      </c>
      <c r="B614" s="4" t="inlineStr">
        <is>
          <t>PFPT US</t>
        </is>
      </c>
      <c r="C614" s="4" t="inlineStr">
        <is>
          <t>129626Z US</t>
        </is>
      </c>
      <c r="D614" s="7" t="n">
        <v>44312</v>
      </c>
      <c r="E614" s="3" t="n">
        <v>10181.76</v>
      </c>
      <c r="F614" s="4" t="inlineStr">
        <is>
          <t>Cash</t>
        </is>
      </c>
      <c r="G614" s="3" t="n">
        <v>290.42</v>
      </c>
      <c r="H614" s="4" t="inlineStr">
        <is>
          <t>Technology</t>
        </is>
      </c>
      <c r="I614" s="4" t="inlineStr">
        <is>
          <t>Software &amp; Tech Services</t>
        </is>
      </c>
      <c r="J614" s="4" t="inlineStr">
        <is>
          <t>Software</t>
        </is>
      </c>
      <c r="K614" s="4" t="n"/>
      <c r="L614" s="3" t="n">
        <v>368.946</v>
      </c>
      <c r="M614" s="4" t="n"/>
      <c r="N614" s="3" t="n">
        <v>10101.41</v>
      </c>
      <c r="O614" s="4" t="inlineStr">
        <is>
          <t>United States</t>
        </is>
      </c>
      <c r="P614" s="4" t="inlineStr">
        <is>
          <t>United States</t>
        </is>
      </c>
      <c r="Q614" s="4" t="inlineStr">
        <is>
          <t>Friendly</t>
        </is>
      </c>
      <c r="R614" s="3" t="n">
        <v>1050.01</v>
      </c>
      <c r="S614" s="3" t="n">
        <v>-11.5979</v>
      </c>
      <c r="T614" s="4" t="inlineStr">
        <is>
          <t>PE Buyout, Company Takeover, Private Equity, Going Private</t>
        </is>
      </c>
      <c r="U614" s="2" t="inlineStr">
        <is>
          <t>No</t>
        </is>
      </c>
      <c r="V614" s="2" t="inlineStr">
        <is>
          <t>No</t>
        </is>
      </c>
      <c r="W614" s="2" t="inlineStr">
        <is>
          <t>No</t>
        </is>
      </c>
      <c r="X614" s="2" t="inlineStr">
        <is>
          <t>Yes</t>
        </is>
      </c>
      <c r="Y614" s="2" t="inlineStr">
        <is>
          <t>Yes</t>
        </is>
      </c>
      <c r="Z614" s="2" t="inlineStr">
        <is>
          <t>No</t>
        </is>
      </c>
      <c r="AA614" s="6" t="n">
        <v>4.007822856</v>
      </c>
      <c r="AB614" s="6" t="n">
        <v>3.021193435</v>
      </c>
      <c r="AC614" s="6" t="n">
        <v>4.004381999</v>
      </c>
      <c r="AD614">
        <f t="array" ref="AD614">IF(SUMPRODUCT(--($AM$2:$AM$112=TRIM(LEFT($B614,IFERROR(FIND(" ",$B614)-1,LEN($B614))))))&gt;0,1,0)</f>
        <v/>
      </c>
      <c r="AE614">
        <f t="array" ref="AE614">IF(SUMPRODUCT(--($AO$2:$AO$145=TRIM(LEFT($B614,IFERROR(FIND(" ",$B614)-1,LEN($B614))))))&gt;0,1,0)</f>
        <v/>
      </c>
      <c r="AF614">
        <f t="array" ref="AF614">IF(SUMPRODUCT(--($AQ$2:$AQ$71=TRIM(LEFT($B614,IFERROR(FIND(" ",$B614)-1,LEN($B614))))))&gt;0,1,0)</f>
        <v/>
      </c>
    </row>
    <row r="615" ht="135.75" customHeight="1" thickBot="1">
      <c r="A615" s="13" t="n">
        <v>63</v>
      </c>
      <c r="B615" s="4" t="inlineStr">
        <is>
          <t>QTS US</t>
        </is>
      </c>
      <c r="C615" s="4" t="inlineStr">
        <is>
          <t>BX US</t>
        </is>
      </c>
      <c r="D615" s="7" t="n">
        <v>44354</v>
      </c>
      <c r="E615" s="3" t="n">
        <v>5374.35</v>
      </c>
      <c r="F615" s="4" t="inlineStr">
        <is>
          <t>Cash</t>
        </is>
      </c>
      <c r="G615" s="3" t="n">
        <v>20.57</v>
      </c>
      <c r="H615" s="4" t="inlineStr">
        <is>
          <t>Real Estate</t>
        </is>
      </c>
      <c r="I615" s="4" t="inlineStr">
        <is>
          <t>Real Estate</t>
        </is>
      </c>
      <c r="J615" s="4" t="inlineStr">
        <is>
          <t>REIT</t>
        </is>
      </c>
      <c r="K615" s="4" t="n"/>
      <c r="L615" s="3" t="n">
        <v>128</v>
      </c>
      <c r="M615" s="4" t="n"/>
      <c r="N615" s="3" t="n">
        <v>5374.35</v>
      </c>
      <c r="O615" s="4" t="inlineStr">
        <is>
          <t>United States</t>
        </is>
      </c>
      <c r="P615" s="4" t="inlineStr">
        <is>
          <t>United States</t>
        </is>
      </c>
      <c r="Q615" s="4" t="inlineStr">
        <is>
          <t>Friendly</t>
        </is>
      </c>
      <c r="R615" s="3" t="n">
        <v>539.3680000000001</v>
      </c>
      <c r="S615" s="3" t="n">
        <v>7.43098</v>
      </c>
      <c r="T615" s="4" t="inlineStr">
        <is>
          <t>PE Buyout, Company Takeover, Going Private, Private Equity</t>
        </is>
      </c>
      <c r="U615" s="2" t="inlineStr">
        <is>
          <t>No</t>
        </is>
      </c>
      <c r="V615" s="2" t="inlineStr">
        <is>
          <t>No</t>
        </is>
      </c>
      <c r="W615" s="2" t="inlineStr">
        <is>
          <t>No</t>
        </is>
      </c>
      <c r="X615" s="2" t="inlineStr">
        <is>
          <t>Yes</t>
        </is>
      </c>
      <c r="Y615" s="2" t="inlineStr">
        <is>
          <t>Yes</t>
        </is>
      </c>
      <c r="Z615" s="2" t="inlineStr">
        <is>
          <t>No</t>
        </is>
      </c>
      <c r="AA615" s="6" t="n">
        <v>3.730325946</v>
      </c>
      <c r="AB615" s="6" t="n">
        <v>2.731885177</v>
      </c>
      <c r="AC615" s="6" t="n">
        <v>3.730325946</v>
      </c>
      <c r="AD615">
        <f t="array" ref="AD615">IF(SUMPRODUCT(--($AM$2:$AM$112=TRIM(LEFT($B615,IFERROR(FIND(" ",$B615)-1,LEN($B615))))))&gt;0,1,0)</f>
        <v/>
      </c>
      <c r="AE615">
        <f t="array" ref="AE615">IF(SUMPRODUCT(--($AO$2:$AO$145=TRIM(LEFT($B615,IFERROR(FIND(" ",$B615)-1,LEN($B615))))))&gt;0,1,0)</f>
        <v/>
      </c>
      <c r="AF615">
        <f t="array" ref="AF615">IF(SUMPRODUCT(--($AQ$2:$AQ$71=TRIM(LEFT($B615,IFERROR(FIND(" ",$B615)-1,LEN($B615))))))&gt;0,1,0)</f>
        <v/>
      </c>
    </row>
    <row r="616" ht="105.75" customHeight="1" thickBot="1">
      <c r="A616" s="13" t="n">
        <v>52</v>
      </c>
      <c r="B616" s="4" t="inlineStr">
        <is>
          <t>SYKE US</t>
        </is>
      </c>
      <c r="C616" s="4" t="inlineStr">
        <is>
          <t>1296003D FP</t>
        </is>
      </c>
      <c r="D616" s="7" t="n">
        <v>44365</v>
      </c>
      <c r="E616" s="3" t="n">
        <v>2252.82</v>
      </c>
      <c r="F616" s="4" t="inlineStr">
        <is>
          <t>Cash</t>
        </is>
      </c>
      <c r="G616" s="3" t="n">
        <v>10.4</v>
      </c>
      <c r="H616" s="4" t="inlineStr">
        <is>
          <t>Technology</t>
        </is>
      </c>
      <c r="I616" s="4" t="inlineStr">
        <is>
          <t>Software &amp; Tech Services</t>
        </is>
      </c>
      <c r="J616" s="4" t="inlineStr">
        <is>
          <t>IT Services</t>
        </is>
      </c>
      <c r="K616" s="3" t="n">
        <v>99</v>
      </c>
      <c r="L616" s="3" t="n">
        <v>66</v>
      </c>
      <c r="M616" s="4" t="n"/>
      <c r="N616" s="3" t="n">
        <v>2148.05</v>
      </c>
      <c r="O616" s="4" t="inlineStr">
        <is>
          <t>United States</t>
        </is>
      </c>
      <c r="P616" s="4" t="inlineStr">
        <is>
          <t>France</t>
        </is>
      </c>
      <c r="Q616" s="4" t="inlineStr">
        <is>
          <t>Friendly</t>
        </is>
      </c>
      <c r="R616" s="3" t="n">
        <v>1710.26</v>
      </c>
      <c r="S616" s="3" t="n">
        <v>5.11047</v>
      </c>
      <c r="T616" s="4" t="inlineStr">
        <is>
          <t>Company Takeover, Cross Border, Going Private</t>
        </is>
      </c>
      <c r="U616" s="2" t="inlineStr">
        <is>
          <t>No</t>
        </is>
      </c>
      <c r="V616" s="2" t="inlineStr">
        <is>
          <t>No</t>
        </is>
      </c>
      <c r="W616" s="2" t="inlineStr">
        <is>
          <t>Yes</t>
        </is>
      </c>
      <c r="X616" s="2" t="inlineStr">
        <is>
          <t>Yes</t>
        </is>
      </c>
      <c r="Y616" s="2" t="inlineStr">
        <is>
          <t>No</t>
        </is>
      </c>
      <c r="Z616" s="2" t="inlineStr">
        <is>
          <t>No</t>
        </is>
      </c>
      <c r="AA616" s="6" t="n">
        <v>3.352726493</v>
      </c>
      <c r="AB616" s="6" t="n">
        <v>3.233062138</v>
      </c>
      <c r="AC616" s="6" t="n">
        <v>3.332044386</v>
      </c>
      <c r="AD616">
        <f t="array" ref="AD616">IF(SUMPRODUCT(--($AM$2:$AM$112=TRIM(LEFT($B616,IFERROR(FIND(" ",$B616)-1,LEN($B616))))))&gt;0,1,0)</f>
        <v/>
      </c>
      <c r="AE616">
        <f t="array" ref="AE616">IF(SUMPRODUCT(--($AO$2:$AO$145=TRIM(LEFT($B616,IFERROR(FIND(" ",$B616)-1,LEN($B616))))))&gt;0,1,0)</f>
        <v/>
      </c>
      <c r="AF616">
        <f t="array" ref="AF616">IF(SUMPRODUCT(--($AQ$2:$AQ$71=TRIM(LEFT($B616,IFERROR(FIND(" ",$B616)-1,LEN($B616))))))&gt;0,1,0)</f>
        <v/>
      </c>
    </row>
    <row r="617" ht="75.75" customHeight="1" thickBot="1">
      <c r="A617" s="13" t="n">
        <v>295</v>
      </c>
      <c r="B617" s="4" t="inlineStr">
        <is>
          <t>MXIM US</t>
        </is>
      </c>
      <c r="C617" s="4" t="inlineStr">
        <is>
          <t>ADI US</t>
        </is>
      </c>
      <c r="D617" s="7" t="n">
        <v>44025</v>
      </c>
      <c r="E617" s="3" t="n">
        <v>19762.28</v>
      </c>
      <c r="F617" s="4" t="inlineStr">
        <is>
          <t>Stock</t>
        </is>
      </c>
      <c r="G617" s="3" t="n">
        <v>24.48</v>
      </c>
      <c r="H617" s="4" t="inlineStr">
        <is>
          <t>Technology</t>
        </is>
      </c>
      <c r="I617" s="4" t="inlineStr">
        <is>
          <t>Tech Hardware &amp; Semiconductors</t>
        </is>
      </c>
      <c r="J617" s="4" t="inlineStr">
        <is>
          <t>Semiconductors</t>
        </is>
      </c>
      <c r="K617" s="3" t="n">
        <v>830</v>
      </c>
      <c r="L617" s="3" t="n">
        <v>725</v>
      </c>
      <c r="M617" s="3" t="n">
        <v>26.13</v>
      </c>
      <c r="N617" s="3" t="n">
        <v>20396.06</v>
      </c>
      <c r="O617" s="4" t="inlineStr">
        <is>
          <t>United States</t>
        </is>
      </c>
      <c r="P617" s="4" t="inlineStr">
        <is>
          <t>United States</t>
        </is>
      </c>
      <c r="Q617" s="4" t="inlineStr">
        <is>
          <t>Friendly</t>
        </is>
      </c>
      <c r="R617" s="3" t="n">
        <v>2632.53</v>
      </c>
      <c r="S617" s="3" t="n">
        <v>35.9236</v>
      </c>
      <c r="T617" s="4" t="inlineStr">
        <is>
          <t>Company Takeover</t>
        </is>
      </c>
      <c r="U617" s="2" t="inlineStr">
        <is>
          <t>No</t>
        </is>
      </c>
      <c r="V617" s="2" t="inlineStr">
        <is>
          <t>No</t>
        </is>
      </c>
      <c r="W617" s="2" t="inlineStr">
        <is>
          <t>No</t>
        </is>
      </c>
      <c r="X617" s="2" t="inlineStr">
        <is>
          <t>No</t>
        </is>
      </c>
      <c r="Y617" s="2" t="inlineStr">
        <is>
          <t>No</t>
        </is>
      </c>
      <c r="Z617" s="2" t="inlineStr">
        <is>
          <t>No</t>
        </is>
      </c>
      <c r="AA617" s="6" t="n">
        <v>4.295837048</v>
      </c>
      <c r="AB617" s="6" t="n">
        <v>3.420373329</v>
      </c>
      <c r="AC617" s="6" t="n">
        <v>4.309546281</v>
      </c>
      <c r="AD617">
        <f t="array" ref="AD617">IF(SUMPRODUCT(--($AM$2:$AM$112=TRIM(LEFT($B617,IFERROR(FIND(" ",$B617)-1,LEN($B617))))))&gt;0,1,0)</f>
        <v/>
      </c>
      <c r="AE617">
        <f t="array" ref="AE617">IF(SUMPRODUCT(--($AO$2:$AO$145=TRIM(LEFT($B617,IFERROR(FIND(" ",$B617)-1,LEN($B617))))))&gt;0,1,0)</f>
        <v/>
      </c>
      <c r="AF617">
        <f t="array" ref="AF617">IF(SUMPRODUCT(--($AQ$2:$AQ$71=TRIM(LEFT($B617,IFERROR(FIND(" ",$B617)-1,LEN($B617))))))&gt;0,1,0)</f>
        <v/>
      </c>
    </row>
    <row r="618" ht="60.75" customHeight="1" thickBot="1">
      <c r="A618" s="13" t="n">
        <v>60</v>
      </c>
      <c r="B618" s="4" t="inlineStr">
        <is>
          <t>USCR US</t>
        </is>
      </c>
      <c r="C618" s="4" t="inlineStr">
        <is>
          <t>VMC US</t>
        </is>
      </c>
      <c r="D618" s="7" t="n">
        <v>44354</v>
      </c>
      <c r="E618" s="3" t="n">
        <v>1965.32</v>
      </c>
      <c r="F618" s="4" t="inlineStr">
        <is>
          <t>Cash</t>
        </is>
      </c>
      <c r="G618" s="3" t="n">
        <v>6.56</v>
      </c>
      <c r="H618" s="4" t="inlineStr">
        <is>
          <t>Materials</t>
        </is>
      </c>
      <c r="I618" s="4" t="inlineStr">
        <is>
          <t>Materials</t>
        </is>
      </c>
      <c r="J618" s="4" t="inlineStr">
        <is>
          <t>Construction Materials</t>
        </is>
      </c>
      <c r="K618" s="3" t="n">
        <v>50</v>
      </c>
      <c r="L618" s="3" t="n">
        <v>50</v>
      </c>
      <c r="M618" s="4" t="n"/>
      <c r="N618" s="3" t="n">
        <v>1256.32</v>
      </c>
      <c r="O618" s="4" t="inlineStr">
        <is>
          <t>United States</t>
        </is>
      </c>
      <c r="P618" s="4" t="inlineStr">
        <is>
          <t>United States</t>
        </is>
      </c>
      <c r="Q618" s="4" t="inlineStr">
        <is>
          <t>Friendly</t>
        </is>
      </c>
      <c r="R618" s="3" t="n">
        <v>1365.7</v>
      </c>
      <c r="S618" s="3" t="n">
        <v>3.4955</v>
      </c>
      <c r="T618" s="4" t="inlineStr">
        <is>
          <t>Company Takeover</t>
        </is>
      </c>
      <c r="U618" s="2" t="inlineStr">
        <is>
          <t>No</t>
        </is>
      </c>
      <c r="V618" s="2" t="inlineStr">
        <is>
          <t>No</t>
        </is>
      </c>
      <c r="W618" s="2" t="inlineStr">
        <is>
          <t>No</t>
        </is>
      </c>
      <c r="X618" s="2" t="inlineStr">
        <is>
          <t>No</t>
        </is>
      </c>
      <c r="Y618" s="2" t="inlineStr">
        <is>
          <t>No</t>
        </is>
      </c>
      <c r="Z618" s="2" t="inlineStr">
        <is>
          <t>No</t>
        </is>
      </c>
      <c r="AA618" s="6" t="n">
        <v>3.293433274</v>
      </c>
      <c r="AB618" s="6" t="n">
        <v>3.135355309</v>
      </c>
      <c r="AC618" s="6" t="n">
        <v>3.099100274</v>
      </c>
      <c r="AD618">
        <f t="array" ref="AD618">IF(SUMPRODUCT(--($AM$2:$AM$112=TRIM(LEFT($B618,IFERROR(FIND(" ",$B618)-1,LEN($B618))))))&gt;0,1,0)</f>
        <v/>
      </c>
      <c r="AE618">
        <f t="array" ref="AE618">IF(SUMPRODUCT(--($AO$2:$AO$145=TRIM(LEFT($B618,IFERROR(FIND(" ",$B618)-1,LEN($B618))))))&gt;0,1,0)</f>
        <v/>
      </c>
      <c r="AF618">
        <f t="array" ref="AF618">IF(SUMPRODUCT(--($AQ$2:$AQ$71=TRIM(LEFT($B618,IFERROR(FIND(" ",$B618)-1,LEN($B618))))))&gt;0,1,0)</f>
        <v/>
      </c>
    </row>
    <row r="619" ht="195.75" customHeight="1" thickBot="1">
      <c r="A619" s="13" t="n">
        <v>11</v>
      </c>
      <c r="B619" s="4" t="inlineStr">
        <is>
          <t>VVID US</t>
        </is>
      </c>
      <c r="C619" s="4" t="inlineStr">
        <is>
          <t>BAYN GR</t>
        </is>
      </c>
      <c r="D619" s="7" t="n">
        <v>44413</v>
      </c>
      <c r="E619" s="3" t="n">
        <v>1297.63</v>
      </c>
      <c r="F619" s="4" t="inlineStr">
        <is>
          <t>Cash</t>
        </is>
      </c>
      <c r="G619" s="4" t="n"/>
      <c r="H619" s="4" t="inlineStr">
        <is>
          <t>Health Care</t>
        </is>
      </c>
      <c r="I619" s="4" t="inlineStr">
        <is>
          <t>Health Care</t>
        </is>
      </c>
      <c r="J619" s="4" t="inlineStr">
        <is>
          <t>Biotech &amp; Pharma</t>
        </is>
      </c>
      <c r="K619" s="4" t="n"/>
      <c r="L619" s="4" t="n"/>
      <c r="M619" s="4" t="n"/>
      <c r="N619" s="3" t="n">
        <v>1500</v>
      </c>
      <c r="O619" s="4" t="inlineStr">
        <is>
          <t>United States</t>
        </is>
      </c>
      <c r="P619" s="4" t="inlineStr">
        <is>
          <t>Germany</t>
        </is>
      </c>
      <c r="Q619" s="4" t="inlineStr">
        <is>
          <t>Friendly</t>
        </is>
      </c>
      <c r="R619" s="3" t="n">
        <v>34.393</v>
      </c>
      <c r="S619" s="3" t="n">
        <v>-80.0163</v>
      </c>
      <c r="T619" s="4" t="inlineStr">
        <is>
          <t>Company Takeover, Cross Border, Private Equity, PE Seller, Secondary Transaction, PE Buyout</t>
        </is>
      </c>
      <c r="U619" s="2" t="inlineStr">
        <is>
          <t>No</t>
        </is>
      </c>
      <c r="V619" s="2" t="inlineStr">
        <is>
          <t>No</t>
        </is>
      </c>
      <c r="W619" s="2" t="inlineStr">
        <is>
          <t>Yes</t>
        </is>
      </c>
      <c r="X619" s="2" t="inlineStr">
        <is>
          <t>No</t>
        </is>
      </c>
      <c r="Y619" s="2" t="inlineStr">
        <is>
          <t>Yes</t>
        </is>
      </c>
      <c r="Z619" s="2" t="inlineStr">
        <is>
          <t>No</t>
        </is>
      </c>
      <c r="AA619" s="6" t="n">
        <v>3.113150877</v>
      </c>
      <c r="AB619" s="6" t="n">
        <v>1.53647006</v>
      </c>
      <c r="AC619" s="6" t="n">
        <v>3.176091259</v>
      </c>
      <c r="AD619">
        <f t="array" ref="AD619">IF(SUMPRODUCT(--($AM$2:$AM$112=TRIM(LEFT($B619,IFERROR(FIND(" ",$B619)-1,LEN($B619))))))&gt;0,1,0)</f>
        <v/>
      </c>
      <c r="AE619">
        <f t="array" ref="AE619">IF(SUMPRODUCT(--($AO$2:$AO$145=TRIM(LEFT($B619,IFERROR(FIND(" ",$B619)-1,LEN($B619))))))&gt;0,1,0)</f>
        <v/>
      </c>
      <c r="AF619">
        <f t="array" ref="AF619">IF(SUMPRODUCT(--($AQ$2:$AQ$71=TRIM(LEFT($B619,IFERROR(FIND(" ",$B619)-1,LEN($B619))))))&gt;0,1,0)</f>
        <v/>
      </c>
    </row>
    <row r="620" ht="135.75" customHeight="1" thickBot="1">
      <c r="A620" s="13" t="n">
        <v>40</v>
      </c>
      <c r="B620" s="4" t="inlineStr">
        <is>
          <t>2447428D US</t>
        </is>
      </c>
      <c r="C620" s="4" t="inlineStr">
        <is>
          <t>2946429Z LN</t>
        </is>
      </c>
      <c r="D620" s="7" t="n">
        <v>44358</v>
      </c>
      <c r="E620" s="3" t="n">
        <v>553.78</v>
      </c>
      <c r="F620" s="4" t="inlineStr">
        <is>
          <t>Cash</t>
        </is>
      </c>
      <c r="G620" s="3" t="n">
        <v>5.48</v>
      </c>
      <c r="H620" s="4" t="inlineStr">
        <is>
          <t>Consumer Discretionary</t>
        </is>
      </c>
      <c r="I620" s="4" t="inlineStr">
        <is>
          <t>Consumer Discretionary Products</t>
        </is>
      </c>
      <c r="J620" s="4" t="inlineStr">
        <is>
          <t>Apparel &amp; Textile Products</t>
        </is>
      </c>
      <c r="K620" s="4" t="n"/>
      <c r="L620" s="3" t="n">
        <v>1.824</v>
      </c>
      <c r="M620" s="3" t="n">
        <v>44.59</v>
      </c>
      <c r="N620" s="3" t="n">
        <v>45.61</v>
      </c>
      <c r="O620" s="4" t="inlineStr">
        <is>
          <t>United States</t>
        </is>
      </c>
      <c r="P620" s="4" t="inlineStr">
        <is>
          <t>United Kingdom</t>
        </is>
      </c>
      <c r="Q620" s="4" t="inlineStr">
        <is>
          <t>Friendly</t>
        </is>
      </c>
      <c r="R620" s="3" t="n">
        <v>108.576</v>
      </c>
      <c r="S620" s="3" t="n">
        <v>93.7321</v>
      </c>
      <c r="T620" s="4" t="inlineStr">
        <is>
          <t>Company Takeover, Going Private, Cross Border, Tender Offer</t>
        </is>
      </c>
      <c r="U620" s="2" t="inlineStr">
        <is>
          <t>No</t>
        </is>
      </c>
      <c r="V620" s="2" t="inlineStr">
        <is>
          <t>No</t>
        </is>
      </c>
      <c r="W620" s="2" t="inlineStr">
        <is>
          <t>Yes</t>
        </is>
      </c>
      <c r="X620" s="2" t="inlineStr">
        <is>
          <t>Yes</t>
        </is>
      </c>
      <c r="Y620" s="2" t="inlineStr">
        <is>
          <t>No</t>
        </is>
      </c>
      <c r="Z620" s="2" t="inlineStr">
        <is>
          <t>Yes</t>
        </is>
      </c>
      <c r="AA620" s="6" t="n">
        <v>2.743337267</v>
      </c>
      <c r="AB620" s="6" t="n">
        <v>2.035733838</v>
      </c>
      <c r="AC620" s="6" t="n">
        <v>1.659060072</v>
      </c>
      <c r="AD620">
        <f t="array" ref="AD620">IF(SUMPRODUCT(--($AM$2:$AM$112=TRIM(LEFT($B620,IFERROR(FIND(" ",$B620)-1,LEN($B620))))))&gt;0,1,0)</f>
        <v/>
      </c>
      <c r="AE620">
        <f t="array" ref="AE620">IF(SUMPRODUCT(--($AO$2:$AO$145=TRIM(LEFT($B620,IFERROR(FIND(" ",$B620)-1,LEN($B620))))))&gt;0,1,0)</f>
        <v/>
      </c>
      <c r="AF620">
        <f t="array" ref="AF620">IF(SUMPRODUCT(--($AQ$2:$AQ$71=TRIM(LEFT($B620,IFERROR(FIND(" ",$B620)-1,LEN($B620))))))&gt;0,1,0)</f>
        <v/>
      </c>
    </row>
    <row r="621" ht="45.75" customHeight="1" thickBot="1">
      <c r="A621" s="13" t="n">
        <v>80</v>
      </c>
      <c r="B621" s="4" t="inlineStr">
        <is>
          <t>WRI US</t>
        </is>
      </c>
      <c r="C621" s="4" t="inlineStr">
        <is>
          <t>KIM US</t>
        </is>
      </c>
      <c r="D621" s="7" t="n">
        <v>44301</v>
      </c>
      <c r="E621" s="3" t="n">
        <v>5555.52</v>
      </c>
      <c r="F621" s="4" t="inlineStr">
        <is>
          <t>Cash and Stock</t>
        </is>
      </c>
      <c r="G621" s="3" t="n">
        <v>26.3</v>
      </c>
      <c r="H621" s="4" t="inlineStr">
        <is>
          <t>Real Estate</t>
        </is>
      </c>
      <c r="I621" s="4" t="inlineStr">
        <is>
          <t>Real Estate</t>
        </is>
      </c>
      <c r="J621" s="4" t="inlineStr">
        <is>
          <t>REIT</t>
        </is>
      </c>
      <c r="K621" s="4" t="n"/>
      <c r="L621" s="3" t="n">
        <v>115</v>
      </c>
      <c r="M621" s="3" t="n">
        <v>7.28</v>
      </c>
      <c r="N621" s="3" t="n">
        <v>3709.63</v>
      </c>
      <c r="O621" s="4" t="inlineStr">
        <is>
          <t>United States</t>
        </is>
      </c>
      <c r="P621" s="4" t="inlineStr">
        <is>
          <t>United States</t>
        </is>
      </c>
      <c r="Q621" s="4" t="inlineStr">
        <is>
          <t>Friendly</t>
        </is>
      </c>
      <c r="R621" s="3" t="n">
        <v>433.917</v>
      </c>
      <c r="S621" s="3" t="n">
        <v>20.4937</v>
      </c>
      <c r="T621" s="4" t="inlineStr">
        <is>
          <t>Company Takeover</t>
        </is>
      </c>
      <c r="U621" s="2" t="inlineStr">
        <is>
          <t>No</t>
        </is>
      </c>
      <c r="V621" s="2" t="inlineStr">
        <is>
          <t>No</t>
        </is>
      </c>
      <c r="W621" s="2" t="inlineStr">
        <is>
          <t>No</t>
        </is>
      </c>
      <c r="X621" s="2" t="inlineStr">
        <is>
          <t>No</t>
        </is>
      </c>
      <c r="Y621" s="2" t="inlineStr">
        <is>
          <t>No</t>
        </is>
      </c>
      <c r="Z621" s="2" t="inlineStr">
        <is>
          <t>No</t>
        </is>
      </c>
      <c r="AA621" s="6" t="n">
        <v>3.744724715</v>
      </c>
      <c r="AB621" s="6" t="n">
        <v>2.637406665</v>
      </c>
      <c r="AC621" s="6" t="n">
        <v>3.569330595</v>
      </c>
      <c r="AD621">
        <f t="array" ref="AD621">IF(SUMPRODUCT(--($AM$2:$AM$112=TRIM(LEFT($B621,IFERROR(FIND(" ",$B621)-1,LEN($B621))))))&gt;0,1,0)</f>
        <v/>
      </c>
      <c r="AE621">
        <f t="array" ref="AE621">IF(SUMPRODUCT(--($AO$2:$AO$145=TRIM(LEFT($B621,IFERROR(FIND(" ",$B621)-1,LEN($B621))))))&gt;0,1,0)</f>
        <v/>
      </c>
      <c r="AF621">
        <f t="array" ref="AF621">IF(SUMPRODUCT(--($AQ$2:$AQ$71=TRIM(LEFT($B621,IFERROR(FIND(" ",$B621)-1,LEN($B621))))))&gt;0,1,0)</f>
        <v/>
      </c>
    </row>
    <row r="622" ht="165.75" customHeight="1" thickBot="1">
      <c r="A622" s="13" t="n">
        <v>103</v>
      </c>
      <c r="B622" s="4" t="inlineStr">
        <is>
          <t>TLND US</t>
        </is>
      </c>
      <c r="C622" s="4" t="inlineStr">
        <is>
          <t>129626Z US</t>
        </is>
      </c>
      <c r="D622" s="7" t="n">
        <v>44265</v>
      </c>
      <c r="E622" s="3" t="n">
        <v>2151.43</v>
      </c>
      <c r="F622" s="4" t="inlineStr">
        <is>
          <t>Cash</t>
        </is>
      </c>
      <c r="G622" s="4" t="n"/>
      <c r="H622" s="4" t="inlineStr">
        <is>
          <t>Technology</t>
        </is>
      </c>
      <c r="I622" s="4" t="inlineStr">
        <is>
          <t>Software &amp; Tech Services</t>
        </is>
      </c>
      <c r="J622" s="4" t="inlineStr">
        <is>
          <t>Software</t>
        </is>
      </c>
      <c r="K622" s="4" t="n"/>
      <c r="L622" s="4" t="n"/>
      <c r="M622" s="4" t="n"/>
      <c r="N622" s="3" t="n">
        <v>2128.11</v>
      </c>
      <c r="O622" s="4" t="inlineStr">
        <is>
          <t>United States</t>
        </is>
      </c>
      <c r="P622" s="4" t="inlineStr">
        <is>
          <t>United States</t>
        </is>
      </c>
      <c r="Q622" s="4" t="inlineStr">
        <is>
          <t>Friendly</t>
        </is>
      </c>
      <c r="R622" s="3" t="n">
        <v>287.471</v>
      </c>
      <c r="S622" s="3" t="n">
        <v>-24.3966</v>
      </c>
      <c r="T622" s="4" t="inlineStr">
        <is>
          <t>PE Buyout, Company Takeover, Private Equity, Tender Offer, Going Private</t>
        </is>
      </c>
      <c r="U622" s="2" t="inlineStr">
        <is>
          <t>No</t>
        </is>
      </c>
      <c r="V622" s="2" t="inlineStr">
        <is>
          <t>No</t>
        </is>
      </c>
      <c r="W622" s="2" t="inlineStr">
        <is>
          <t>No</t>
        </is>
      </c>
      <c r="X622" s="2" t="inlineStr">
        <is>
          <t>Yes</t>
        </is>
      </c>
      <c r="Y622" s="2" t="inlineStr">
        <is>
          <t>Yes</t>
        </is>
      </c>
      <c r="Z622" s="2" t="inlineStr">
        <is>
          <t>Yes</t>
        </is>
      </c>
      <c r="AA622" s="6" t="n">
        <v>3.33272722</v>
      </c>
      <c r="AB622" s="6" t="n">
        <v>2.45859404</v>
      </c>
      <c r="AC622" s="6" t="n">
        <v>3.327994072</v>
      </c>
      <c r="AD622">
        <f t="array" ref="AD622">IF(SUMPRODUCT(--($AM$2:$AM$112=TRIM(LEFT($B622,IFERROR(FIND(" ",$B622)-1,LEN($B622))))))&gt;0,1,0)</f>
        <v/>
      </c>
      <c r="AE622">
        <f t="array" ref="AE622">IF(SUMPRODUCT(--($AO$2:$AO$145=TRIM(LEFT($B622,IFERROR(FIND(" ",$B622)-1,LEN($B622))))))&gt;0,1,0)</f>
        <v/>
      </c>
      <c r="AF622">
        <f t="array" ref="AF622">IF(SUMPRODUCT(--($AQ$2:$AQ$71=TRIM(LEFT($B622,IFERROR(FIND(" ",$B622)-1,LEN($B622))))))&gt;0,1,0)</f>
        <v/>
      </c>
    </row>
    <row r="623" ht="225.75" customHeight="1" thickBot="1">
      <c r="A623" s="13" t="n">
        <v>84</v>
      </c>
      <c r="B623" s="4" t="inlineStr">
        <is>
          <t>BPY-U CN</t>
        </is>
      </c>
      <c r="C623" s="4" t="inlineStr">
        <is>
          <t>BN CN</t>
        </is>
      </c>
      <c r="D623" s="7" t="n">
        <v>44287</v>
      </c>
      <c r="E623" s="3" t="n">
        <v>6419.54</v>
      </c>
      <c r="F623" s="4" t="inlineStr">
        <is>
          <t>Cash or Stock</t>
        </is>
      </c>
      <c r="G623" s="3" t="n">
        <v>6.02</v>
      </c>
      <c r="H623" s="4" t="inlineStr">
        <is>
          <t>Real Estate</t>
        </is>
      </c>
      <c r="I623" s="4" t="inlineStr">
        <is>
          <t>Real Estate</t>
        </is>
      </c>
      <c r="J623" s="4" t="inlineStr">
        <is>
          <t>Real Estate Owners &amp; Developers</t>
        </is>
      </c>
      <c r="K623" s="4" t="n"/>
      <c r="L623" s="4" t="n"/>
      <c r="M623" s="3" t="n">
        <v>2.24</v>
      </c>
      <c r="N623" s="3" t="n">
        <v>6419.54</v>
      </c>
      <c r="O623" s="4" t="inlineStr">
        <is>
          <t>United States</t>
        </is>
      </c>
      <c r="P623" s="4" t="inlineStr">
        <is>
          <t>Canada</t>
        </is>
      </c>
      <c r="Q623" s="4" t="inlineStr">
        <is>
          <t>Friendly</t>
        </is>
      </c>
      <c r="R623" s="3" t="n">
        <v>7100</v>
      </c>
      <c r="S623" s="2" t="n"/>
      <c r="T623" s="4" t="inlineStr">
        <is>
          <t>PE Buyout, Company Takeover, Going Private, Cross Border, Private Equity, Additional Stake Purchase</t>
        </is>
      </c>
      <c r="U623" s="2" t="inlineStr">
        <is>
          <t>Yes</t>
        </is>
      </c>
      <c r="V623" s="2" t="inlineStr">
        <is>
          <t>No</t>
        </is>
      </c>
      <c r="W623" s="2" t="inlineStr">
        <is>
          <t>Yes</t>
        </is>
      </c>
      <c r="X623" s="2" t="inlineStr">
        <is>
          <t>Yes</t>
        </is>
      </c>
      <c r="Y623" s="2" t="inlineStr">
        <is>
          <t>Yes</t>
        </is>
      </c>
      <c r="Z623" s="2" t="inlineStr">
        <is>
          <t>No</t>
        </is>
      </c>
      <c r="AA623" s="6" t="n">
        <v>3.807503909</v>
      </c>
      <c r="AB623" s="6" t="n">
        <v>3.851258349</v>
      </c>
      <c r="AC623" s="6" t="n">
        <v>3.807503909</v>
      </c>
      <c r="AD623">
        <f t="array" ref="AD623">IF(SUMPRODUCT(--($AM$2:$AM$112=TRIM(LEFT($B623,IFERROR(FIND(" ",$B623)-1,LEN($B623))))))&gt;0,1,0)</f>
        <v/>
      </c>
      <c r="AE623">
        <f t="array" ref="AE623">IF(SUMPRODUCT(--($AO$2:$AO$145=TRIM(LEFT($B623,IFERROR(FIND(" ",$B623)-1,LEN($B623))))))&gt;0,1,0)</f>
        <v/>
      </c>
      <c r="AF623">
        <f t="array" ref="AF623">IF(SUMPRODUCT(--($AQ$2:$AQ$71=TRIM(LEFT($B623,IFERROR(FIND(" ",$B623)-1,LEN($B623))))))&gt;0,1,0)</f>
        <v/>
      </c>
    </row>
    <row r="624" ht="165.75" customHeight="1" thickBot="1">
      <c r="A624" s="13" t="n">
        <v>57</v>
      </c>
      <c r="B624" s="4" t="inlineStr">
        <is>
          <t>HOME US</t>
        </is>
      </c>
      <c r="C624" s="4" t="inlineStr">
        <is>
          <t>6902Z US</t>
        </is>
      </c>
      <c r="D624" s="7" t="n">
        <v>44322</v>
      </c>
      <c r="E624" s="3" t="n">
        <v>4010.19</v>
      </c>
      <c r="F624" s="4" t="inlineStr">
        <is>
          <t>Cash</t>
        </is>
      </c>
      <c r="G624" s="3" t="n">
        <v>6.46</v>
      </c>
      <c r="H624" s="4" t="inlineStr">
        <is>
          <t>Consumer Discretionary</t>
        </is>
      </c>
      <c r="I624" s="4" t="inlineStr">
        <is>
          <t>Retail &amp; Whsle - Discretionary</t>
        </is>
      </c>
      <c r="J624" s="4" t="inlineStr">
        <is>
          <t>Retail - Discretionary</t>
        </is>
      </c>
      <c r="K624" s="4" t="n"/>
      <c r="L624" s="3" t="n">
        <v>77.2</v>
      </c>
      <c r="M624" s="3" t="n">
        <v>0.74</v>
      </c>
      <c r="N624" s="3" t="n">
        <v>2422.91</v>
      </c>
      <c r="O624" s="4" t="inlineStr">
        <is>
          <t>United States</t>
        </is>
      </c>
      <c r="P624" s="4" t="inlineStr">
        <is>
          <t>United States</t>
        </is>
      </c>
      <c r="Q624" s="4" t="inlineStr">
        <is>
          <t>Friendly</t>
        </is>
      </c>
      <c r="R624" s="3" t="n">
        <v>1737.06</v>
      </c>
      <c r="S624" s="3" t="n">
        <v>18.5325</v>
      </c>
      <c r="T624" s="4" t="inlineStr">
        <is>
          <t>PE Buyout, Company Takeover, Private Equity, Tender Offer, Going Private</t>
        </is>
      </c>
      <c r="U624" s="2" t="inlineStr">
        <is>
          <t>No</t>
        </is>
      </c>
      <c r="V624" s="2" t="inlineStr">
        <is>
          <t>No</t>
        </is>
      </c>
      <c r="W624" s="2" t="inlineStr">
        <is>
          <t>No</t>
        </is>
      </c>
      <c r="X624" s="2" t="inlineStr">
        <is>
          <t>Yes</t>
        </is>
      </c>
      <c r="Y624" s="2" t="inlineStr">
        <is>
          <t>Yes</t>
        </is>
      </c>
      <c r="Z624" s="2" t="inlineStr">
        <is>
          <t>Yes</t>
        </is>
      </c>
      <c r="AA624" s="6" t="n">
        <v>3.60316495</v>
      </c>
      <c r="AB624" s="6" t="n">
        <v>3.23981482</v>
      </c>
      <c r="AC624" s="6" t="n">
        <v>3.384337282</v>
      </c>
      <c r="AD624">
        <f t="array" ref="AD624">IF(SUMPRODUCT(--($AM$2:$AM$112=TRIM(LEFT($B624,IFERROR(FIND(" ",$B624)-1,LEN($B624))))))&gt;0,1,0)</f>
        <v/>
      </c>
      <c r="AE624">
        <f t="array" ref="AE624">IF(SUMPRODUCT(--($AO$2:$AO$145=TRIM(LEFT($B624,IFERROR(FIND(" ",$B624)-1,LEN($B624))))))&gt;0,1,0)</f>
        <v/>
      </c>
      <c r="AF624">
        <f t="array" ref="AF624">IF(SUMPRODUCT(--($AQ$2:$AQ$71=TRIM(LEFT($B624,IFERROR(FIND(" ",$B624)-1,LEN($B624))))))&gt;0,1,0)</f>
        <v/>
      </c>
    </row>
    <row r="625" ht="75.75" customHeight="1" thickBot="1">
      <c r="A625" s="13" t="n">
        <v>159</v>
      </c>
      <c r="B625" s="4" t="inlineStr">
        <is>
          <t>ALXN US</t>
        </is>
      </c>
      <c r="C625" s="4" t="inlineStr">
        <is>
          <t>AZN LN</t>
        </is>
      </c>
      <c r="D625" s="7" t="n">
        <v>44177</v>
      </c>
      <c r="E625" s="3" t="n">
        <v>38762.48</v>
      </c>
      <c r="F625" s="4" t="inlineStr">
        <is>
          <t>Cash and Stock</t>
        </is>
      </c>
      <c r="G625" s="3" t="n">
        <v>43.22</v>
      </c>
      <c r="H625" s="4" t="inlineStr">
        <is>
          <t>Health Care</t>
        </is>
      </c>
      <c r="I625" s="4" t="inlineStr">
        <is>
          <t>Health Care</t>
        </is>
      </c>
      <c r="J625" s="4" t="inlineStr">
        <is>
          <t>Biotech &amp; Pharma</t>
        </is>
      </c>
      <c r="K625" s="3" t="n">
        <v>1400</v>
      </c>
      <c r="L625" s="3" t="n">
        <v>1200</v>
      </c>
      <c r="M625" s="4" t="n"/>
      <c r="N625" s="3" t="n">
        <v>38291.68</v>
      </c>
      <c r="O625" s="4" t="inlineStr">
        <is>
          <t>United States</t>
        </is>
      </c>
      <c r="P625" s="4" t="inlineStr">
        <is>
          <t>United Kingdom</t>
        </is>
      </c>
      <c r="Q625" s="4" t="inlineStr">
        <is>
          <t>Friendly</t>
        </is>
      </c>
      <c r="R625" s="3" t="n">
        <v>6069.9</v>
      </c>
      <c r="S625" s="3" t="n">
        <v>9.151020000000001</v>
      </c>
      <c r="T625" s="4" t="inlineStr">
        <is>
          <t>Company Takeover, Cross Border</t>
        </is>
      </c>
      <c r="U625" s="2" t="inlineStr">
        <is>
          <t>No</t>
        </is>
      </c>
      <c r="V625" s="2" t="inlineStr">
        <is>
          <t>No</t>
        </is>
      </c>
      <c r="W625" s="2" t="inlineStr">
        <is>
          <t>Yes</t>
        </is>
      </c>
      <c r="X625" s="2" t="inlineStr">
        <is>
          <t>No</t>
        </is>
      </c>
      <c r="Y625" s="2" t="inlineStr">
        <is>
          <t>No</t>
        </is>
      </c>
      <c r="Z625" s="2" t="inlineStr">
        <is>
          <t>No</t>
        </is>
      </c>
      <c r="AA625" s="6" t="n">
        <v>4.588411555</v>
      </c>
      <c r="AB625" s="6" t="n">
        <v>3.783181536</v>
      </c>
      <c r="AC625" s="6" t="n">
        <v>4.583104421</v>
      </c>
      <c r="AD625">
        <f t="array" ref="AD625">IF(SUMPRODUCT(--($AM$2:$AM$112=TRIM(LEFT($B625,IFERROR(FIND(" ",$B625)-1,LEN($B625))))))&gt;0,1,0)</f>
        <v/>
      </c>
      <c r="AE625">
        <f t="array" ref="AE625">IF(SUMPRODUCT(--($AO$2:$AO$145=TRIM(LEFT($B625,IFERROR(FIND(" ",$B625)-1,LEN($B625))))))&gt;0,1,0)</f>
        <v/>
      </c>
      <c r="AF625">
        <f t="array" ref="AF625">IF(SUMPRODUCT(--($AQ$2:$AQ$71=TRIM(LEFT($B625,IFERROR(FIND(" ",$B625)-1,LEN($B625))))))&gt;0,1,0)</f>
        <v/>
      </c>
    </row>
    <row r="626" ht="45.75" customHeight="1" thickBot="1">
      <c r="A626" s="13" t="n">
        <v>167</v>
      </c>
      <c r="B626" s="4" t="inlineStr">
        <is>
          <t>WORK US</t>
        </is>
      </c>
      <c r="C626" s="4" t="inlineStr">
        <is>
          <t>CRM US</t>
        </is>
      </c>
      <c r="D626" s="7" t="n">
        <v>44166</v>
      </c>
      <c r="E626" s="3" t="n">
        <v>25765.8</v>
      </c>
      <c r="F626" s="4" t="inlineStr">
        <is>
          <t>Cash and Stock</t>
        </is>
      </c>
      <c r="G626" s="4" t="n"/>
      <c r="H626" s="4" t="inlineStr">
        <is>
          <t>Technology</t>
        </is>
      </c>
      <c r="I626" s="4" t="inlineStr">
        <is>
          <t>Software &amp; Tech Services</t>
        </is>
      </c>
      <c r="J626" s="4" t="inlineStr">
        <is>
          <t>Software</t>
        </is>
      </c>
      <c r="K626" s="4" t="n"/>
      <c r="L626" s="3" t="n">
        <v>900</v>
      </c>
      <c r="M626" s="4" t="n"/>
      <c r="N626" s="3" t="n">
        <v>26452.96</v>
      </c>
      <c r="O626" s="4" t="inlineStr">
        <is>
          <t>United States</t>
        </is>
      </c>
      <c r="P626" s="4" t="inlineStr">
        <is>
          <t>United States</t>
        </is>
      </c>
      <c r="Q626" s="4" t="inlineStr">
        <is>
          <t>Friendly</t>
        </is>
      </c>
      <c r="R626" s="3" t="n">
        <v>902.61</v>
      </c>
      <c r="S626" s="3" t="n">
        <v>-26.9122</v>
      </c>
      <c r="T626" s="4" t="inlineStr">
        <is>
          <t>Company Takeover</t>
        </is>
      </c>
      <c r="U626" s="2" t="inlineStr">
        <is>
          <t>No</t>
        </is>
      </c>
      <c r="V626" s="2" t="inlineStr">
        <is>
          <t>No</t>
        </is>
      </c>
      <c r="W626" s="2" t="inlineStr">
        <is>
          <t>No</t>
        </is>
      </c>
      <c r="X626" s="2" t="inlineStr">
        <is>
          <t>No</t>
        </is>
      </c>
      <c r="Y626" s="2" t="inlineStr">
        <is>
          <t>No</t>
        </is>
      </c>
      <c r="Z626" s="2" t="inlineStr">
        <is>
          <t>No</t>
        </is>
      </c>
      <c r="AA626" s="6" t="n">
        <v>4.411043631</v>
      </c>
      <c r="AB626" s="6" t="n">
        <v>2.955500141</v>
      </c>
      <c r="AC626" s="6" t="n">
        <v>4.422474275</v>
      </c>
      <c r="AD626">
        <f t="array" ref="AD626">IF(SUMPRODUCT(--($AM$2:$AM$112=TRIM(LEFT($B626,IFERROR(FIND(" ",$B626)-1,LEN($B626))))))&gt;0,1,0)</f>
        <v/>
      </c>
      <c r="AE626">
        <f t="array" ref="AE626">IF(SUMPRODUCT(--($AO$2:$AO$145=TRIM(LEFT($B626,IFERROR(FIND(" ",$B626)-1,LEN($B626))))))&gt;0,1,0)</f>
        <v/>
      </c>
      <c r="AF626">
        <f t="array" ref="AF626">IF(SUMPRODUCT(--($AQ$2:$AQ$71=TRIM(LEFT($B626,IFERROR(FIND(" ",$B626)-1,LEN($B626))))))&gt;0,1,0)</f>
        <v/>
      </c>
    </row>
    <row r="627" ht="75.75" customHeight="1" thickBot="1">
      <c r="A627" s="13" t="n">
        <v>67</v>
      </c>
      <c r="B627" s="4" t="inlineStr">
        <is>
          <t>KNL US</t>
        </is>
      </c>
      <c r="C627" s="4" t="inlineStr">
        <is>
          <t>MLKN US</t>
        </is>
      </c>
      <c r="D627" s="7" t="n">
        <v>44305</v>
      </c>
      <c r="E627" s="3" t="n">
        <v>1687.12</v>
      </c>
      <c r="F627" s="4" t="inlineStr">
        <is>
          <t>Cash and Stock</t>
        </is>
      </c>
      <c r="G627" s="3" t="n">
        <v>26.99</v>
      </c>
      <c r="H627" s="4" t="inlineStr">
        <is>
          <t>Consumer Discretionary</t>
        </is>
      </c>
      <c r="I627" s="4" t="inlineStr">
        <is>
          <t>Consumer Discretionary Products</t>
        </is>
      </c>
      <c r="J627" s="4" t="inlineStr">
        <is>
          <t>Home &amp; Office Products</t>
        </is>
      </c>
      <c r="K627" s="4" t="n"/>
      <c r="L627" s="3" t="n">
        <v>43</v>
      </c>
      <c r="M627" s="4" t="n"/>
      <c r="N627" s="3" t="n">
        <v>1246.22</v>
      </c>
      <c r="O627" s="4" t="inlineStr">
        <is>
          <t>United States</t>
        </is>
      </c>
      <c r="P627" s="4" t="inlineStr">
        <is>
          <t>United States</t>
        </is>
      </c>
      <c r="Q627" s="4" t="inlineStr">
        <is>
          <t>Friendly</t>
        </is>
      </c>
      <c r="R627" s="3" t="n">
        <v>1236.4</v>
      </c>
      <c r="S627" s="3" t="n">
        <v>1.594</v>
      </c>
      <c r="T627" s="4" t="inlineStr">
        <is>
          <t>Company Takeover</t>
        </is>
      </c>
      <c r="U627" s="2" t="inlineStr">
        <is>
          <t>No</t>
        </is>
      </c>
      <c r="V627" s="2" t="inlineStr">
        <is>
          <t>No</t>
        </is>
      </c>
      <c r="W627" s="2" t="inlineStr">
        <is>
          <t>No</t>
        </is>
      </c>
      <c r="X627" s="2" t="inlineStr">
        <is>
          <t>No</t>
        </is>
      </c>
      <c r="Y627" s="2" t="inlineStr">
        <is>
          <t>No</t>
        </is>
      </c>
      <c r="Z627" s="2" t="inlineStr">
        <is>
          <t>No</t>
        </is>
      </c>
      <c r="AA627" s="6" t="n">
        <v>3.227145974</v>
      </c>
      <c r="AB627" s="6" t="n">
        <v>3.092158996</v>
      </c>
      <c r="AC627" s="6" t="n">
        <v>3.095594717</v>
      </c>
      <c r="AD627">
        <f t="array" ref="AD627">IF(SUMPRODUCT(--($AM$2:$AM$112=TRIM(LEFT($B627,IFERROR(FIND(" ",$B627)-1,LEN($B627))))))&gt;0,1,0)</f>
        <v/>
      </c>
      <c r="AE627">
        <f t="array" ref="AE627">IF(SUMPRODUCT(--($AO$2:$AO$145=TRIM(LEFT($B627,IFERROR(FIND(" ",$B627)-1,LEN($B627))))))&gt;0,1,0)</f>
        <v/>
      </c>
      <c r="AF627">
        <f t="array" ref="AF627">IF(SUMPRODUCT(--($AQ$2:$AQ$71=TRIM(LEFT($B627,IFERROR(FIND(" ",$B627)-1,LEN($B627))))))&gt;0,1,0)</f>
        <v/>
      </c>
    </row>
    <row r="628" ht="105.75" customHeight="1" thickBot="1">
      <c r="A628" s="13" t="n">
        <v>33</v>
      </c>
      <c r="B628" s="4" t="inlineStr">
        <is>
          <t>CNST US</t>
        </is>
      </c>
      <c r="C628" s="4" t="inlineStr">
        <is>
          <t>MOR GR</t>
        </is>
      </c>
      <c r="D628" s="7" t="n">
        <v>44349</v>
      </c>
      <c r="E628" s="3" t="n">
        <v>1681.45</v>
      </c>
      <c r="F628" s="4" t="inlineStr">
        <is>
          <t>Cash</t>
        </is>
      </c>
      <c r="G628" s="4" t="n"/>
      <c r="H628" s="4" t="inlineStr">
        <is>
          <t>Health Care</t>
        </is>
      </c>
      <c r="I628" s="4" t="inlineStr">
        <is>
          <t>Health Care</t>
        </is>
      </c>
      <c r="J628" s="4" t="inlineStr">
        <is>
          <t>Biotech &amp; Pharma</t>
        </is>
      </c>
      <c r="K628" s="4" t="n"/>
      <c r="L628" s="3" t="n">
        <v>60</v>
      </c>
      <c r="M628" s="3" t="n">
        <v>68.09</v>
      </c>
      <c r="N628" s="3" t="n">
        <v>1681.45</v>
      </c>
      <c r="O628" s="4" t="inlineStr">
        <is>
          <t>United States</t>
        </is>
      </c>
      <c r="P628" s="4" t="inlineStr">
        <is>
          <t>Germany</t>
        </is>
      </c>
      <c r="Q628" s="4" t="inlineStr">
        <is>
          <t>Friendly</t>
        </is>
      </c>
      <c r="R628" s="2" t="n"/>
      <c r="S628" s="2" t="n"/>
      <c r="T628" s="4" t="inlineStr">
        <is>
          <t>Company Takeover, Cross Border, Tender Offer</t>
        </is>
      </c>
      <c r="U628" s="2" t="inlineStr">
        <is>
          <t>No</t>
        </is>
      </c>
      <c r="V628" s="2" t="inlineStr">
        <is>
          <t>No</t>
        </is>
      </c>
      <c r="W628" s="2" t="inlineStr">
        <is>
          <t>Yes</t>
        </is>
      </c>
      <c r="X628" s="2" t="inlineStr">
        <is>
          <t>No</t>
        </is>
      </c>
      <c r="Y628" s="2" t="inlineStr">
        <is>
          <t>No</t>
        </is>
      </c>
      <c r="Z628" s="2" t="inlineStr">
        <is>
          <t>Yes</t>
        </is>
      </c>
      <c r="AA628" s="6" t="n">
        <v>3.225683958</v>
      </c>
      <c r="AB628" s="2" t="n"/>
      <c r="AC628" s="6" t="n">
        <v>3.225683958</v>
      </c>
      <c r="AD628">
        <f t="array" ref="AD628">IF(SUMPRODUCT(--($AM$2:$AM$112=TRIM(LEFT($B628,IFERROR(FIND(" ",$B628)-1,LEN($B628))))))&gt;0,1,0)</f>
        <v/>
      </c>
      <c r="AE628">
        <f t="array" ref="AE628">IF(SUMPRODUCT(--($AO$2:$AO$145=TRIM(LEFT($B628,IFERROR(FIND(" ",$B628)-1,LEN($B628))))))&gt;0,1,0)</f>
        <v/>
      </c>
      <c r="AF628">
        <f t="array" ref="AF628">IF(SUMPRODUCT(--($AQ$2:$AQ$71=TRIM(LEFT($B628,IFERROR(FIND(" ",$B628)-1,LEN($B628))))))&gt;0,1,0)</f>
        <v/>
      </c>
    </row>
    <row r="629" ht="45.75" customHeight="1" thickBot="1">
      <c r="A629" s="13" t="n">
        <v>78</v>
      </c>
      <c r="B629" s="4" t="inlineStr">
        <is>
          <t>DSSI US</t>
        </is>
      </c>
      <c r="C629" s="4" t="inlineStr">
        <is>
          <t>INSW US</t>
        </is>
      </c>
      <c r="D629" s="7" t="n">
        <v>44286</v>
      </c>
      <c r="E629" s="3" t="n">
        <v>1042.71</v>
      </c>
      <c r="F629" s="4" t="inlineStr">
        <is>
          <t>Stock</t>
        </is>
      </c>
      <c r="G629" s="3" t="n">
        <v>11.28</v>
      </c>
      <c r="H629" s="4" t="inlineStr">
        <is>
          <t>Industrials</t>
        </is>
      </c>
      <c r="I629" s="4" t="inlineStr">
        <is>
          <t>Industrial Services</t>
        </is>
      </c>
      <c r="J629" s="4" t="inlineStr">
        <is>
          <t>Transportation &amp; Logistics</t>
        </is>
      </c>
      <c r="K629" s="3" t="n">
        <v>30</v>
      </c>
      <c r="L629" s="3" t="n">
        <v>30</v>
      </c>
      <c r="M629" s="3" t="n">
        <v>17.36</v>
      </c>
      <c r="N629" s="3" t="n">
        <v>438.37</v>
      </c>
      <c r="O629" s="4" t="inlineStr">
        <is>
          <t>United States</t>
        </is>
      </c>
      <c r="P629" s="4" t="inlineStr">
        <is>
          <t>United States</t>
        </is>
      </c>
      <c r="Q629" s="4" t="inlineStr">
        <is>
          <t>Friendly</t>
        </is>
      </c>
      <c r="R629" s="3" t="n">
        <v>595.91</v>
      </c>
      <c r="S629" s="3" t="n">
        <v>-4.74103</v>
      </c>
      <c r="T629" s="4" t="inlineStr">
        <is>
          <t>Company Takeover</t>
        </is>
      </c>
      <c r="U629" s="2" t="inlineStr">
        <is>
          <t>No</t>
        </is>
      </c>
      <c r="V629" s="2" t="inlineStr">
        <is>
          <t>No</t>
        </is>
      </c>
      <c r="W629" s="2" t="inlineStr">
        <is>
          <t>No</t>
        </is>
      </c>
      <c r="X629" s="2" t="inlineStr">
        <is>
          <t>No</t>
        </is>
      </c>
      <c r="Y629" s="2" t="inlineStr">
        <is>
          <t>No</t>
        </is>
      </c>
      <c r="Z629" s="2" t="inlineStr">
        <is>
          <t>No</t>
        </is>
      </c>
      <c r="AA629" s="6" t="n">
        <v>3.018163539</v>
      </c>
      <c r="AB629" s="6" t="n">
        <v>2.775180673</v>
      </c>
      <c r="AC629" s="6" t="n">
        <v>2.641840825</v>
      </c>
      <c r="AD629">
        <f t="array" ref="AD629">IF(SUMPRODUCT(--($AM$2:$AM$112=TRIM(LEFT($B629,IFERROR(FIND(" ",$B629)-1,LEN($B629))))))&gt;0,1,0)</f>
        <v/>
      </c>
      <c r="AE629">
        <f t="array" ref="AE629">IF(SUMPRODUCT(--($AO$2:$AO$145=TRIM(LEFT($B629,IFERROR(FIND(" ",$B629)-1,LEN($B629))))))&gt;0,1,0)</f>
        <v/>
      </c>
      <c r="AF629">
        <f t="array" ref="AF629">IF(SUMPRODUCT(--($AQ$2:$AQ$71=TRIM(LEFT($B629,IFERROR(FIND(" ",$B629)-1,LEN($B629))))))&gt;0,1,0)</f>
        <v/>
      </c>
    </row>
    <row r="630" ht="75.75" customHeight="1" thickBot="1">
      <c r="A630" s="13" t="n">
        <v>69</v>
      </c>
      <c r="B630" s="4" t="inlineStr">
        <is>
          <t>LMNX US</t>
        </is>
      </c>
      <c r="C630" s="4" t="inlineStr">
        <is>
          <t>DIA IM</t>
        </is>
      </c>
      <c r="D630" s="7" t="n">
        <v>44297</v>
      </c>
      <c r="E630" s="3" t="n">
        <v>1663.3</v>
      </c>
      <c r="F630" s="4" t="inlineStr">
        <is>
          <t>Cash</t>
        </is>
      </c>
      <c r="G630" s="3" t="n">
        <v>17.52</v>
      </c>
      <c r="H630" s="4" t="inlineStr">
        <is>
          <t>Health Care</t>
        </is>
      </c>
      <c r="I630" s="4" t="inlineStr">
        <is>
          <t>Health Care</t>
        </is>
      </c>
      <c r="J630" s="4" t="inlineStr">
        <is>
          <t>Medical Equipment &amp; Devices</t>
        </is>
      </c>
      <c r="K630" s="4" t="n"/>
      <c r="L630" s="3" t="n">
        <v>59.22</v>
      </c>
      <c r="M630" s="4" t="n"/>
      <c r="N630" s="3" t="n">
        <v>1750.26</v>
      </c>
      <c r="O630" s="4" t="inlineStr">
        <is>
          <t>United States</t>
        </is>
      </c>
      <c r="P630" s="4" t="inlineStr">
        <is>
          <t>Italy</t>
        </is>
      </c>
      <c r="Q630" s="4" t="inlineStr">
        <is>
          <t>Friendly</t>
        </is>
      </c>
      <c r="R630" s="2" t="n"/>
      <c r="S630" s="2" t="n"/>
      <c r="T630" s="4" t="inlineStr">
        <is>
          <t>Company Takeover, Cross Border</t>
        </is>
      </c>
      <c r="U630" s="2" t="inlineStr">
        <is>
          <t>No</t>
        </is>
      </c>
      <c r="V630" s="2" t="inlineStr">
        <is>
          <t>No</t>
        </is>
      </c>
      <c r="W630" s="2" t="inlineStr">
        <is>
          <t>Yes</t>
        </is>
      </c>
      <c r="X630" s="2" t="inlineStr">
        <is>
          <t>No</t>
        </is>
      </c>
      <c r="Y630" s="2" t="inlineStr">
        <is>
          <t>No</t>
        </is>
      </c>
      <c r="Z630" s="2" t="inlineStr">
        <is>
          <t>No</t>
        </is>
      </c>
      <c r="AA630" s="6" t="n">
        <v>3.220970588</v>
      </c>
      <c r="AB630" s="2" t="n"/>
      <c r="AC630" s="6" t="n">
        <v>3.243102568</v>
      </c>
      <c r="AD630">
        <f t="array" ref="AD630">IF(SUMPRODUCT(--($AM$2:$AM$112=TRIM(LEFT($B630,IFERROR(FIND(" ",$B630)-1,LEN($B630))))))&gt;0,1,0)</f>
        <v/>
      </c>
      <c r="AE630">
        <f t="array" ref="AE630">IF(SUMPRODUCT(--($AO$2:$AO$145=TRIM(LEFT($B630,IFERROR(FIND(" ",$B630)-1,LEN($B630))))))&gt;0,1,0)</f>
        <v/>
      </c>
      <c r="AF630">
        <f t="array" ref="AF630">IF(SUMPRODUCT(--($AQ$2:$AQ$71=TRIM(LEFT($B630,IFERROR(FIND(" ",$B630)-1,LEN($B630))))))&gt;0,1,0)</f>
        <v/>
      </c>
    </row>
    <row r="631" ht="45.75" customHeight="1" thickBot="1">
      <c r="A631" s="13" t="n">
        <v>76</v>
      </c>
      <c r="B631" s="4" t="inlineStr">
        <is>
          <t>MSGN US</t>
        </is>
      </c>
      <c r="C631" s="4" t="inlineStr">
        <is>
          <t>SPHR US</t>
        </is>
      </c>
      <c r="D631" s="7" t="n">
        <v>44281</v>
      </c>
      <c r="E631" s="3" t="n">
        <v>1598.76</v>
      </c>
      <c r="F631" s="4" t="inlineStr">
        <is>
          <t>Stock</t>
        </is>
      </c>
      <c r="G631" s="3" t="n">
        <v>5.29</v>
      </c>
      <c r="H631" s="4" t="inlineStr">
        <is>
          <t>Communications</t>
        </is>
      </c>
      <c r="I631" s="4" t="inlineStr">
        <is>
          <t>Media</t>
        </is>
      </c>
      <c r="J631" s="4" t="inlineStr">
        <is>
          <t>Entertainment Content</t>
        </is>
      </c>
      <c r="K631" s="3" t="n">
        <v>21.2</v>
      </c>
      <c r="L631" s="3" t="n">
        <v>18.9</v>
      </c>
      <c r="M631" s="3" t="n">
        <v>-4.38</v>
      </c>
      <c r="N631" s="3" t="n">
        <v>798.08</v>
      </c>
      <c r="O631" s="4" t="inlineStr">
        <is>
          <t>United States</t>
        </is>
      </c>
      <c r="P631" s="4" t="inlineStr">
        <is>
          <t>United States</t>
        </is>
      </c>
      <c r="Q631" s="4" t="inlineStr">
        <is>
          <t>Friendly</t>
        </is>
      </c>
      <c r="R631" s="3" t="n">
        <v>685.797</v>
      </c>
      <c r="S631" s="3" t="n">
        <v>45.236</v>
      </c>
      <c r="T631" s="4" t="inlineStr">
        <is>
          <t>Company Takeover</t>
        </is>
      </c>
      <c r="U631" s="2" t="inlineStr">
        <is>
          <t>No</t>
        </is>
      </c>
      <c r="V631" s="2" t="inlineStr">
        <is>
          <t>No</t>
        </is>
      </c>
      <c r="W631" s="2" t="inlineStr">
        <is>
          <t>No</t>
        </is>
      </c>
      <c r="X631" s="2" t="inlineStr">
        <is>
          <t>No</t>
        </is>
      </c>
      <c r="Y631" s="2" t="inlineStr">
        <is>
          <t>No</t>
        </is>
      </c>
      <c r="Z631" s="2" t="inlineStr">
        <is>
          <t>No</t>
        </is>
      </c>
      <c r="AA631" s="6" t="n">
        <v>3.203783274</v>
      </c>
      <c r="AB631" s="6" t="n">
        <v>2.836195581</v>
      </c>
      <c r="AC631" s="6" t="n">
        <v>2.902046427</v>
      </c>
      <c r="AD631">
        <f t="array" ref="AD631">IF(SUMPRODUCT(--($AM$2:$AM$112=TRIM(LEFT($B631,IFERROR(FIND(" ",$B631)-1,LEN($B631))))))&gt;0,1,0)</f>
        <v/>
      </c>
      <c r="AE631">
        <f t="array" ref="AE631">IF(SUMPRODUCT(--($AO$2:$AO$145=TRIM(LEFT($B631,IFERROR(FIND(" ",$B631)-1,LEN($B631))))))&gt;0,1,0)</f>
        <v/>
      </c>
      <c r="AF631">
        <f t="array" ref="AF631">IF(SUMPRODUCT(--($AQ$2:$AQ$71=TRIM(LEFT($B631,IFERROR(FIND(" ",$B631)-1,LEN($B631))))))&gt;0,1,0)</f>
        <v/>
      </c>
    </row>
    <row r="632" ht="60.75" customHeight="1" thickBot="1">
      <c r="A632" s="13" t="n">
        <v>87</v>
      </c>
      <c r="B632" s="4" t="inlineStr">
        <is>
          <t>TEV CN</t>
        </is>
      </c>
      <c r="C632" s="4" t="inlineStr">
        <is>
          <t>SES CN</t>
        </is>
      </c>
      <c r="D632" s="7" t="n">
        <v>44264</v>
      </c>
      <c r="E632" s="3" t="n">
        <v>1011.22</v>
      </c>
      <c r="F632" s="4" t="inlineStr">
        <is>
          <t>Stock</t>
        </is>
      </c>
      <c r="G632" s="3" t="n">
        <v>8.529999999999999</v>
      </c>
      <c r="H632" s="4" t="inlineStr">
        <is>
          <t>Industrials</t>
        </is>
      </c>
      <c r="I632" s="4" t="inlineStr">
        <is>
          <t>Industrial Services</t>
        </is>
      </c>
      <c r="J632" s="4" t="inlineStr">
        <is>
          <t>Commercial Support Services</t>
        </is>
      </c>
      <c r="K632" s="4" t="n"/>
      <c r="L632" s="4" t="n"/>
      <c r="M632" s="4" t="n"/>
      <c r="N632" s="3" t="n">
        <v>366.09</v>
      </c>
      <c r="O632" s="4" t="inlineStr">
        <is>
          <t>Canada</t>
        </is>
      </c>
      <c r="P632" s="4" t="inlineStr">
        <is>
          <t>Canada</t>
        </is>
      </c>
      <c r="Q632" s="4" t="inlineStr">
        <is>
          <t>Friendly</t>
        </is>
      </c>
      <c r="R632" s="3" t="n">
        <v>1057.69</v>
      </c>
      <c r="S632" s="3" t="n">
        <v>5.49451</v>
      </c>
      <c r="T632" s="4" t="inlineStr">
        <is>
          <t>Company Takeover</t>
        </is>
      </c>
      <c r="U632" s="2" t="inlineStr">
        <is>
          <t>No</t>
        </is>
      </c>
      <c r="V632" s="2" t="inlineStr">
        <is>
          <t>No</t>
        </is>
      </c>
      <c r="W632" s="2" t="inlineStr">
        <is>
          <t>No</t>
        </is>
      </c>
      <c r="X632" s="2" t="inlineStr">
        <is>
          <t>No</t>
        </is>
      </c>
      <c r="Y632" s="2" t="inlineStr">
        <is>
          <t>No</t>
        </is>
      </c>
      <c r="Z632" s="2" t="inlineStr">
        <is>
          <t>No</t>
        </is>
      </c>
      <c r="AA632" s="6" t="n">
        <v>3.004845651</v>
      </c>
      <c r="AB632" s="6" t="n">
        <v>3.024358398</v>
      </c>
      <c r="AC632" s="6" t="n">
        <v>2.563587866</v>
      </c>
      <c r="AD632">
        <f t="array" ref="AD632">IF(SUMPRODUCT(--($AM$2:$AM$112=TRIM(LEFT($B632,IFERROR(FIND(" ",$B632)-1,LEN($B632))))))&gt;0,1,0)</f>
        <v/>
      </c>
      <c r="AE632">
        <f t="array" ref="AE632">IF(SUMPRODUCT(--($AO$2:$AO$145=TRIM(LEFT($B632,IFERROR(FIND(" ",$B632)-1,LEN($B632))))))&gt;0,1,0)</f>
        <v/>
      </c>
      <c r="AF632">
        <f t="array" ref="AF632">IF(SUMPRODUCT(--($AQ$2:$AQ$71=TRIM(LEFT($B632,IFERROR(FIND(" ",$B632)-1,LEN($B632))))))&gt;0,1,0)</f>
        <v/>
      </c>
    </row>
    <row r="633" ht="45.75" customHeight="1" thickBot="1">
      <c r="A633" s="13" t="n">
        <v>52</v>
      </c>
      <c r="B633" s="4" t="inlineStr">
        <is>
          <t>ROXG CN</t>
        </is>
      </c>
      <c r="C633" s="4" t="inlineStr">
        <is>
          <t>FVI CN</t>
        </is>
      </c>
      <c r="D633" s="7" t="n">
        <v>44312</v>
      </c>
      <c r="E633" s="3" t="n">
        <v>758.85</v>
      </c>
      <c r="F633" s="4" t="inlineStr">
        <is>
          <t>Cash and Stock</t>
        </is>
      </c>
      <c r="G633" s="3" t="n">
        <v>6.75</v>
      </c>
      <c r="H633" s="4" t="inlineStr">
        <is>
          <t>Materials</t>
        </is>
      </c>
      <c r="I633" s="4" t="inlineStr">
        <is>
          <t>Materials</t>
        </is>
      </c>
      <c r="J633" s="4" t="inlineStr">
        <is>
          <t>Metals &amp; Mining</t>
        </is>
      </c>
      <c r="K633" s="3" t="n">
        <v>40</v>
      </c>
      <c r="L633" s="3" t="n">
        <v>40</v>
      </c>
      <c r="M633" s="3" t="n">
        <v>43.29</v>
      </c>
      <c r="N633" s="3" t="n">
        <v>770.05</v>
      </c>
      <c r="O633" s="4" t="inlineStr">
        <is>
          <t>Canada</t>
        </is>
      </c>
      <c r="P633" s="4" t="inlineStr">
        <is>
          <t>Canada</t>
        </is>
      </c>
      <c r="Q633" s="4" t="inlineStr">
        <is>
          <t>Friendly</t>
        </is>
      </c>
      <c r="R633" s="3" t="n">
        <v>681.491</v>
      </c>
      <c r="S633" s="3" t="n">
        <v>22.8742</v>
      </c>
      <c r="T633" s="4" t="inlineStr">
        <is>
          <t>Company Takeover</t>
        </is>
      </c>
      <c r="U633" s="2" t="inlineStr">
        <is>
          <t>No</t>
        </is>
      </c>
      <c r="V633" s="2" t="inlineStr">
        <is>
          <t>No</t>
        </is>
      </c>
      <c r="W633" s="2" t="inlineStr">
        <is>
          <t>No</t>
        </is>
      </c>
      <c r="X633" s="2" t="inlineStr">
        <is>
          <t>No</t>
        </is>
      </c>
      <c r="Y633" s="2" t="inlineStr">
        <is>
          <t>No</t>
        </is>
      </c>
      <c r="Z633" s="2" t="inlineStr">
        <is>
          <t>No</t>
        </is>
      </c>
      <c r="AA633" s="6" t="n">
        <v>2.880155938</v>
      </c>
      <c r="AB633" s="6" t="n">
        <v>2.833460125</v>
      </c>
      <c r="AC633" s="6" t="n">
        <v>2.886518925</v>
      </c>
      <c r="AD633">
        <f t="array" ref="AD633">IF(SUMPRODUCT(--($AM$2:$AM$112=TRIM(LEFT($B633,IFERROR(FIND(" ",$B633)-1,LEN($B633))))))&gt;0,1,0)</f>
        <v/>
      </c>
      <c r="AE633">
        <f t="array" ref="AE633">IF(SUMPRODUCT(--($AO$2:$AO$145=TRIM(LEFT($B633,IFERROR(FIND(" ",$B633)-1,LEN($B633))))))&gt;0,1,0)</f>
        <v/>
      </c>
      <c r="AF633">
        <f t="array" ref="AF633">IF(SUMPRODUCT(--($AQ$2:$AQ$71=TRIM(LEFT($B633,IFERROR(FIND(" ",$B633)-1,LEN($B633))))))&gt;0,1,0)</f>
        <v/>
      </c>
    </row>
    <row r="634" ht="75.75" customHeight="1" thickBot="1">
      <c r="A634" s="13" t="n">
        <v>93</v>
      </c>
      <c r="B634" s="4" t="inlineStr">
        <is>
          <t>PRAH US</t>
        </is>
      </c>
      <c r="C634" s="4" t="inlineStr">
        <is>
          <t>ICLR US</t>
        </is>
      </c>
      <c r="D634" s="7" t="n">
        <v>44251</v>
      </c>
      <c r="E634" s="3" t="n">
        <v>11733.15</v>
      </c>
      <c r="F634" s="4" t="inlineStr">
        <is>
          <t>Cash and Stock</t>
        </is>
      </c>
      <c r="G634" s="3" t="n">
        <v>23.79</v>
      </c>
      <c r="H634" s="4" t="inlineStr">
        <is>
          <t>Health Care</t>
        </is>
      </c>
      <c r="I634" s="4" t="inlineStr">
        <is>
          <t>Health Care</t>
        </is>
      </c>
      <c r="J634" s="4" t="inlineStr">
        <is>
          <t>Health Care Facilities &amp; Svcs</t>
        </is>
      </c>
      <c r="K634" s="3" t="n">
        <v>388</v>
      </c>
      <c r="L634" s="3" t="n">
        <v>277</v>
      </c>
      <c r="M634" s="4" t="n"/>
      <c r="N634" s="3" t="n">
        <v>10588.47</v>
      </c>
      <c r="O634" s="4" t="inlineStr">
        <is>
          <t>United States</t>
        </is>
      </c>
      <c r="P634" s="4" t="inlineStr">
        <is>
          <t>Ireland</t>
        </is>
      </c>
      <c r="Q634" s="4" t="inlineStr">
        <is>
          <t>Friendly</t>
        </is>
      </c>
      <c r="R634" s="3" t="n">
        <v>3183.36</v>
      </c>
      <c r="S634" s="3" t="n">
        <v>10.0322</v>
      </c>
      <c r="T634" s="4" t="inlineStr">
        <is>
          <t>Company Takeover, Cross Border</t>
        </is>
      </c>
      <c r="U634" s="2" t="inlineStr">
        <is>
          <t>No</t>
        </is>
      </c>
      <c r="V634" s="2" t="inlineStr">
        <is>
          <t>No</t>
        </is>
      </c>
      <c r="W634" s="2" t="inlineStr">
        <is>
          <t>Yes</t>
        </is>
      </c>
      <c r="X634" s="2" t="inlineStr">
        <is>
          <t>No</t>
        </is>
      </c>
      <c r="Y634" s="2" t="inlineStr">
        <is>
          <t>No</t>
        </is>
      </c>
      <c r="Z634" s="2" t="inlineStr">
        <is>
          <t>No</t>
        </is>
      </c>
      <c r="AA634" s="6" t="n">
        <v>4.069414623</v>
      </c>
      <c r="AB634" s="6" t="n">
        <v>3.502885755</v>
      </c>
      <c r="AC634" s="6" t="n">
        <v>4.02483321</v>
      </c>
      <c r="AD634">
        <f t="array" ref="AD634">IF(SUMPRODUCT(--($AM$2:$AM$112=TRIM(LEFT($B634,IFERROR(FIND(" ",$B634)-1,LEN($B634))))))&gt;0,1,0)</f>
        <v/>
      </c>
      <c r="AE634">
        <f t="array" ref="AE634">IF(SUMPRODUCT(--($AO$2:$AO$145=TRIM(LEFT($B634,IFERROR(FIND(" ",$B634)-1,LEN($B634))))))&gt;0,1,0)</f>
        <v/>
      </c>
      <c r="AF634">
        <f t="array" ref="AF634">IF(SUMPRODUCT(--($AQ$2:$AQ$71=TRIM(LEFT($B634,IFERROR(FIND(" ",$B634)-1,LEN($B634))))))&gt;0,1,0)</f>
        <v/>
      </c>
    </row>
    <row r="635" ht="135.75" customHeight="1" thickBot="1">
      <c r="A635" s="13" t="n">
        <v>169</v>
      </c>
      <c r="B635" s="4" t="inlineStr">
        <is>
          <t>NAV US</t>
        </is>
      </c>
      <c r="C635" s="4" t="inlineStr">
        <is>
          <t>8TRA GR</t>
        </is>
      </c>
      <c r="D635" s="7" t="n">
        <v>44142</v>
      </c>
      <c r="E635" s="3" t="n">
        <v>5606.2</v>
      </c>
      <c r="F635" s="4" t="inlineStr">
        <is>
          <t>Cash</t>
        </is>
      </c>
      <c r="G635" s="3" t="n">
        <v>53.81</v>
      </c>
      <c r="H635" s="4" t="inlineStr">
        <is>
          <t>Industrials</t>
        </is>
      </c>
      <c r="I635" s="4" t="inlineStr">
        <is>
          <t>Industrial Products</t>
        </is>
      </c>
      <c r="J635" s="4" t="inlineStr">
        <is>
          <t>Transportation Equipment</t>
        </is>
      </c>
      <c r="K635" s="3" t="n">
        <v>25</v>
      </c>
      <c r="L635" s="3" t="n">
        <v>125</v>
      </c>
      <c r="M635" s="4" t="n"/>
      <c r="N635" s="3" t="n">
        <v>3684.2</v>
      </c>
      <c r="O635" s="4" t="inlineStr">
        <is>
          <t>United States</t>
        </is>
      </c>
      <c r="P635" s="4" t="inlineStr">
        <is>
          <t>Germany</t>
        </is>
      </c>
      <c r="Q635" s="4" t="inlineStr">
        <is>
          <t>Friendly</t>
        </is>
      </c>
      <c r="R635" s="3" t="n">
        <v>7503</v>
      </c>
      <c r="S635" s="3" t="n">
        <v>-2.24268</v>
      </c>
      <c r="T635" s="4" t="inlineStr">
        <is>
          <t>Company Takeover, Cross Border, Additional Stake Purchase</t>
        </is>
      </c>
      <c r="U635" s="2" t="inlineStr">
        <is>
          <t>Yes</t>
        </is>
      </c>
      <c r="V635" s="2" t="inlineStr">
        <is>
          <t>No</t>
        </is>
      </c>
      <c r="W635" s="2" t="inlineStr">
        <is>
          <t>Yes</t>
        </is>
      </c>
      <c r="X635" s="2" t="inlineStr">
        <is>
          <t>No</t>
        </is>
      </c>
      <c r="Y635" s="2" t="inlineStr">
        <is>
          <t>No</t>
        </is>
      </c>
      <c r="Z635" s="2" t="inlineStr">
        <is>
          <t>No</t>
        </is>
      </c>
      <c r="AA635" s="6" t="n">
        <v>3.748668587</v>
      </c>
      <c r="AB635" s="6" t="n">
        <v>3.875234946</v>
      </c>
      <c r="AC635" s="6" t="n">
        <v>3.566343198</v>
      </c>
      <c r="AD635">
        <f t="array" ref="AD635">IF(SUMPRODUCT(--($AM$2:$AM$112=TRIM(LEFT($B635,IFERROR(FIND(" ",$B635)-1,LEN($B635))))))&gt;0,1,0)</f>
        <v/>
      </c>
      <c r="AE635">
        <f t="array" ref="AE635">IF(SUMPRODUCT(--($AO$2:$AO$145=TRIM(LEFT($B635,IFERROR(FIND(" ",$B635)-1,LEN($B635))))))&gt;0,1,0)</f>
        <v/>
      </c>
      <c r="AF635">
        <f t="array" ref="AF635">IF(SUMPRODUCT(--($AQ$2:$AQ$71=TRIM(LEFT($B635,IFERROR(FIND(" ",$B635)-1,LEN($B635))))))&gt;0,1,0)</f>
        <v/>
      </c>
    </row>
    <row r="636" ht="45.75" customHeight="1" thickBot="1">
      <c r="A636" s="13" t="n">
        <v>129</v>
      </c>
      <c r="B636" s="4" t="inlineStr">
        <is>
          <t>BPFH US</t>
        </is>
      </c>
      <c r="C636" s="4" t="inlineStr">
        <is>
          <t>SIVBQ US</t>
        </is>
      </c>
      <c r="D636" s="7" t="n">
        <v>44200</v>
      </c>
      <c r="E636" s="3" t="n">
        <v>868.15</v>
      </c>
      <c r="F636" s="4" t="inlineStr">
        <is>
          <t>Cash and Stock</t>
        </is>
      </c>
      <c r="G636" s="4" t="n"/>
      <c r="H636" s="4" t="inlineStr">
        <is>
          <t>Financials</t>
        </is>
      </c>
      <c r="I636" s="4" t="inlineStr">
        <is>
          <t>Financial Services</t>
        </is>
      </c>
      <c r="J636" s="4" t="inlineStr">
        <is>
          <t>Asset Management</t>
        </is>
      </c>
      <c r="K636" s="4" t="n"/>
      <c r="L636" s="3" t="n">
        <v>36</v>
      </c>
      <c r="M636" s="3" t="n">
        <v>29.39</v>
      </c>
      <c r="N636" s="3" t="n">
        <v>855.2</v>
      </c>
      <c r="O636" s="4" t="inlineStr">
        <is>
          <t>United States</t>
        </is>
      </c>
      <c r="P636" s="4" t="inlineStr">
        <is>
          <t>United States</t>
        </is>
      </c>
      <c r="Q636" s="4" t="inlineStr">
        <is>
          <t>Friendly</t>
        </is>
      </c>
      <c r="R636" s="3" t="n">
        <v>367.589</v>
      </c>
      <c r="S636" s="3" t="n">
        <v>20.9071</v>
      </c>
      <c r="T636" s="4" t="inlineStr">
        <is>
          <t>Company Takeover</t>
        </is>
      </c>
      <c r="U636" s="2" t="inlineStr">
        <is>
          <t>No</t>
        </is>
      </c>
      <c r="V636" s="2" t="inlineStr">
        <is>
          <t>No</t>
        </is>
      </c>
      <c r="W636" s="2" t="inlineStr">
        <is>
          <t>No</t>
        </is>
      </c>
      <c r="X636" s="2" t="inlineStr">
        <is>
          <t>No</t>
        </is>
      </c>
      <c r="Y636" s="2" t="inlineStr">
        <is>
          <t>No</t>
        </is>
      </c>
      <c r="Z636" s="2" t="inlineStr">
        <is>
          <t>No</t>
        </is>
      </c>
      <c r="AA636" s="6" t="n">
        <v>2.93859477</v>
      </c>
      <c r="AB636" s="6" t="n">
        <v>2.565362507</v>
      </c>
      <c r="AC636" s="6" t="n">
        <v>2.932067692</v>
      </c>
      <c r="AD636">
        <f t="array" ref="AD636">IF(SUMPRODUCT(--($AM$2:$AM$112=TRIM(LEFT($B636,IFERROR(FIND(" ",$B636)-1,LEN($B636))))))&gt;0,1,0)</f>
        <v/>
      </c>
      <c r="AE636">
        <f t="array" ref="AE636">IF(SUMPRODUCT(--($AO$2:$AO$145=TRIM(LEFT($B636,IFERROR(FIND(" ",$B636)-1,LEN($B636))))))&gt;0,1,0)</f>
        <v/>
      </c>
      <c r="AF636">
        <f t="array" ref="AF636">IF(SUMPRODUCT(--($AQ$2:$AQ$71=TRIM(LEFT($B636,IFERROR(FIND(" ",$B636)-1,LEN($B636))))))&gt;0,1,0)</f>
        <v/>
      </c>
    </row>
    <row r="637" ht="45.75" customHeight="1" thickBot="1">
      <c r="A637" s="13" t="n">
        <v>148</v>
      </c>
      <c r="B637" s="4" t="inlineStr">
        <is>
          <t>FSKR US</t>
        </is>
      </c>
      <c r="C637" s="4" t="inlineStr">
        <is>
          <t>FSK US</t>
        </is>
      </c>
      <c r="D637" s="7" t="n">
        <v>44159</v>
      </c>
      <c r="E637" s="3" t="n">
        <v>5718.13</v>
      </c>
      <c r="F637" s="4" t="inlineStr">
        <is>
          <t>Stock</t>
        </is>
      </c>
      <c r="G637" s="4" t="n"/>
      <c r="H637" s="4" t="inlineStr">
        <is>
          <t>Financials</t>
        </is>
      </c>
      <c r="I637" s="4" t="inlineStr">
        <is>
          <t>Financial Services</t>
        </is>
      </c>
      <c r="J637" s="4" t="inlineStr">
        <is>
          <t>Asset Management</t>
        </is>
      </c>
      <c r="K637" s="4" t="n"/>
      <c r="L637" s="4" t="n"/>
      <c r="M637" s="3" t="n">
        <v>-0.09</v>
      </c>
      <c r="N637" s="3" t="n">
        <v>2564.13</v>
      </c>
      <c r="O637" s="4" t="inlineStr">
        <is>
          <t>United States</t>
        </is>
      </c>
      <c r="P637" s="4" t="inlineStr">
        <is>
          <t>United States</t>
        </is>
      </c>
      <c r="Q637" s="4" t="inlineStr">
        <is>
          <t>Friendly</t>
        </is>
      </c>
      <c r="R637" s="3" t="n">
        <v>731</v>
      </c>
      <c r="S637" s="3" t="n">
        <v>79.3377</v>
      </c>
      <c r="T637" s="4" t="inlineStr">
        <is>
          <t>Company Takeover</t>
        </is>
      </c>
      <c r="U637" s="2" t="inlineStr">
        <is>
          <t>No</t>
        </is>
      </c>
      <c r="V637" s="2" t="inlineStr">
        <is>
          <t>No</t>
        </is>
      </c>
      <c r="W637" s="2" t="inlineStr">
        <is>
          <t>No</t>
        </is>
      </c>
      <c r="X637" s="2" t="inlineStr">
        <is>
          <t>No</t>
        </is>
      </c>
      <c r="Y637" s="2" t="inlineStr">
        <is>
          <t>No</t>
        </is>
      </c>
      <c r="Z637" s="2" t="inlineStr">
        <is>
          <t>No</t>
        </is>
      </c>
      <c r="AA637" s="6" t="n">
        <v>3.757254025</v>
      </c>
      <c r="AB637" s="6" t="n">
        <v>2.863917377</v>
      </c>
      <c r="AC637" s="6" t="n">
        <v>3.40894004</v>
      </c>
      <c r="AD637">
        <f t="array" ref="AD637">IF(SUMPRODUCT(--($AM$2:$AM$112=TRIM(LEFT($B637,IFERROR(FIND(" ",$B637)-1,LEN($B637))))))&gt;0,1,0)</f>
        <v/>
      </c>
      <c r="AE637">
        <f t="array" ref="AE637">IF(SUMPRODUCT(--($AO$2:$AO$145=TRIM(LEFT($B637,IFERROR(FIND(" ",$B637)-1,LEN($B637))))))&gt;0,1,0)</f>
        <v/>
      </c>
      <c r="AF637">
        <f t="array" ref="AF637">IF(SUMPRODUCT(--($AQ$2:$AQ$71=TRIM(LEFT($B637,IFERROR(FIND(" ",$B637)-1,LEN($B637))))))&gt;0,1,0)</f>
        <v/>
      </c>
    </row>
    <row r="638" ht="135.75" customHeight="1" thickBot="1">
      <c r="A638" s="13" t="n">
        <v>69</v>
      </c>
      <c r="B638" s="4" t="inlineStr">
        <is>
          <t>STAY US</t>
        </is>
      </c>
      <c r="C638" s="2" t="n"/>
      <c r="D638" s="7" t="n">
        <v>44270</v>
      </c>
      <c r="E638" s="3" t="n">
        <v>5632.25</v>
      </c>
      <c r="F638" s="4" t="inlineStr">
        <is>
          <t>Cash</t>
        </is>
      </c>
      <c r="G638" s="3" t="n">
        <v>13.71</v>
      </c>
      <c r="H638" s="4" t="inlineStr">
        <is>
          <t>Consumer Discretionary</t>
        </is>
      </c>
      <c r="I638" s="4" t="inlineStr">
        <is>
          <t>Consumer Discretionary Services</t>
        </is>
      </c>
      <c r="J638" s="4" t="inlineStr">
        <is>
          <t>Leisure Facilities &amp; Services</t>
        </is>
      </c>
      <c r="K638" s="4" t="n"/>
      <c r="L638" s="3" t="n">
        <v>105</v>
      </c>
      <c r="M638" s="4" t="n"/>
      <c r="N638" s="3" t="n">
        <v>3329.26</v>
      </c>
      <c r="O638" s="4" t="inlineStr">
        <is>
          <t>United States</t>
        </is>
      </c>
      <c r="P638" s="4" t="inlineStr">
        <is>
          <t>United States</t>
        </is>
      </c>
      <c r="Q638" s="4" t="inlineStr">
        <is>
          <t>Friendly</t>
        </is>
      </c>
      <c r="R638" s="3" t="n">
        <v>1042.32</v>
      </c>
      <c r="S638" s="3" t="n">
        <v>19.695</v>
      </c>
      <c r="T638" s="4" t="inlineStr">
        <is>
          <t>PE Buyout, Company Takeover, Private Equity, Going Private</t>
        </is>
      </c>
      <c r="U638" s="2" t="inlineStr">
        <is>
          <t>No</t>
        </is>
      </c>
      <c r="V638" s="2" t="inlineStr">
        <is>
          <t>No</t>
        </is>
      </c>
      <c r="W638" s="2" t="inlineStr">
        <is>
          <t>No</t>
        </is>
      </c>
      <c r="X638" s="2" t="inlineStr">
        <is>
          <t>Yes</t>
        </is>
      </c>
      <c r="Y638" s="2" t="inlineStr">
        <is>
          <t>Yes</t>
        </is>
      </c>
      <c r="Z638" s="2" t="inlineStr">
        <is>
          <t>No</t>
        </is>
      </c>
      <c r="AA638" s="6" t="n">
        <v>3.750681924</v>
      </c>
      <c r="AB638" s="6" t="n">
        <v>3.018001071</v>
      </c>
      <c r="AC638" s="6" t="n">
        <v>3.522347713</v>
      </c>
      <c r="AD638">
        <f t="array" ref="AD638">IF(SUMPRODUCT(--($AM$2:$AM$112=TRIM(LEFT($B638,IFERROR(FIND(" ",$B638)-1,LEN($B638))))))&gt;0,1,0)</f>
        <v/>
      </c>
      <c r="AE638">
        <f t="array" ref="AE638">IF(SUMPRODUCT(--($AO$2:$AO$145=TRIM(LEFT($B638,IFERROR(FIND(" ",$B638)-1,LEN($B638))))))&gt;0,1,0)</f>
        <v/>
      </c>
      <c r="AF638">
        <f t="array" ref="AF638">IF(SUMPRODUCT(--($AQ$2:$AQ$71=TRIM(LEFT($B638,IFERROR(FIND(" ",$B638)-1,LEN($B638))))))&gt;0,1,0)</f>
        <v/>
      </c>
    </row>
    <row r="639" ht="75.75" customHeight="1" thickBot="1">
      <c r="A639" s="13" t="n">
        <v>265</v>
      </c>
      <c r="B639" s="4" t="inlineStr">
        <is>
          <t>9990620D US</t>
        </is>
      </c>
      <c r="C639" s="4" t="inlineStr">
        <is>
          <t>TKWY NA</t>
        </is>
      </c>
      <c r="D639" s="7" t="n">
        <v>43992</v>
      </c>
      <c r="E639" s="3" t="n">
        <v>7300</v>
      </c>
      <c r="F639" s="4" t="inlineStr">
        <is>
          <t>Stock</t>
        </is>
      </c>
      <c r="G639" s="3" t="n">
        <v>47.58</v>
      </c>
      <c r="H639" s="4" t="inlineStr">
        <is>
          <t>Communications</t>
        </is>
      </c>
      <c r="I639" s="4" t="inlineStr">
        <is>
          <t>Media</t>
        </is>
      </c>
      <c r="J639" s="4" t="inlineStr">
        <is>
          <t>Internet Media &amp; Services</t>
        </is>
      </c>
      <c r="K639" s="3" t="n">
        <v>144</v>
      </c>
      <c r="L639" s="3" t="n">
        <v>144</v>
      </c>
      <c r="M639" s="4" t="n"/>
      <c r="N639" s="3" t="n">
        <v>7103.96</v>
      </c>
      <c r="O639" s="4" t="inlineStr">
        <is>
          <t>United States</t>
        </is>
      </c>
      <c r="P639" s="4" t="inlineStr">
        <is>
          <t>Netherlands</t>
        </is>
      </c>
      <c r="Q639" s="4" t="inlineStr">
        <is>
          <t>Friendly</t>
        </is>
      </c>
      <c r="R639" s="3" t="n">
        <v>1819.98</v>
      </c>
      <c r="S639" s="3" t="n">
        <v>-8.56657</v>
      </c>
      <c r="T639" s="4" t="inlineStr">
        <is>
          <t>Company Takeover, Cross Border</t>
        </is>
      </c>
      <c r="U639" s="2" t="inlineStr">
        <is>
          <t>No</t>
        </is>
      </c>
      <c r="V639" s="2" t="inlineStr">
        <is>
          <t>No</t>
        </is>
      </c>
      <c r="W639" s="2" t="inlineStr">
        <is>
          <t>Yes</t>
        </is>
      </c>
      <c r="X639" s="2" t="inlineStr">
        <is>
          <t>No</t>
        </is>
      </c>
      <c r="Y639" s="2" t="inlineStr">
        <is>
          <t>No</t>
        </is>
      </c>
      <c r="Z639" s="2" t="inlineStr">
        <is>
          <t>No</t>
        </is>
      </c>
      <c r="AA639" s="6" t="n">
        <v>3.86332286</v>
      </c>
      <c r="AB639" s="6" t="n">
        <v>3.260066615</v>
      </c>
      <c r="AC639" s="6" t="n">
        <v>3.851500507</v>
      </c>
      <c r="AD639">
        <f t="array" ref="AD639">IF(SUMPRODUCT(--($AM$2:$AM$112=TRIM(LEFT($B639,IFERROR(FIND(" ",$B639)-1,LEN($B639))))))&gt;0,1,0)</f>
        <v/>
      </c>
      <c r="AE639">
        <f t="array" ref="AE639">IF(SUMPRODUCT(--($AO$2:$AO$145=TRIM(LEFT($B639,IFERROR(FIND(" ",$B639)-1,LEN($B639))))))&gt;0,1,0)</f>
        <v/>
      </c>
      <c r="AF639">
        <f t="array" ref="AF639">IF(SUMPRODUCT(--($AQ$2:$AQ$71=TRIM(LEFT($B639,IFERROR(FIND(" ",$B639)-1,LEN($B639))))))&gt;0,1,0)</f>
        <v/>
      </c>
    </row>
    <row r="640" ht="45.75" customHeight="1" thickBot="1">
      <c r="A640" s="13" t="n">
        <v>129</v>
      </c>
      <c r="B640" s="4" t="inlineStr">
        <is>
          <t>TCF US</t>
        </is>
      </c>
      <c r="C640" s="4" t="inlineStr">
        <is>
          <t>HBAN US</t>
        </is>
      </c>
      <c r="D640" s="7" t="n">
        <v>44178</v>
      </c>
      <c r="E640" s="3" t="n">
        <v>5717.89</v>
      </c>
      <c r="F640" s="4" t="inlineStr">
        <is>
          <t>Stock</t>
        </is>
      </c>
      <c r="G640" s="4" t="n"/>
      <c r="H640" s="4" t="inlineStr">
        <is>
          <t>Financials</t>
        </is>
      </c>
      <c r="I640" s="4" t="inlineStr">
        <is>
          <t>Banking</t>
        </is>
      </c>
      <c r="J640" s="4" t="inlineStr">
        <is>
          <t>Banking</t>
        </is>
      </c>
      <c r="K640" s="3" t="n">
        <v>238.8</v>
      </c>
      <c r="L640" s="3" t="n">
        <v>238.8</v>
      </c>
      <c r="M640" s="3" t="n">
        <v>7.67</v>
      </c>
      <c r="N640" s="3" t="n">
        <v>5717.89</v>
      </c>
      <c r="O640" s="4" t="inlineStr">
        <is>
          <t>United States</t>
        </is>
      </c>
      <c r="P640" s="4" t="inlineStr">
        <is>
          <t>United States</t>
        </is>
      </c>
      <c r="Q640" s="4" t="inlineStr">
        <is>
          <t>Friendly</t>
        </is>
      </c>
      <c r="R640" s="3" t="n">
        <v>2281.72</v>
      </c>
      <c r="S640" s="3" t="n">
        <v>17.1283</v>
      </c>
      <c r="T640" s="4" t="inlineStr">
        <is>
          <t>Company Takeover</t>
        </is>
      </c>
      <c r="U640" s="2" t="inlineStr">
        <is>
          <t>No</t>
        </is>
      </c>
      <c r="V640" s="2" t="inlineStr">
        <is>
          <t>No</t>
        </is>
      </c>
      <c r="W640" s="2" t="inlineStr">
        <is>
          <t>No</t>
        </is>
      </c>
      <c r="X640" s="2" t="inlineStr">
        <is>
          <t>No</t>
        </is>
      </c>
      <c r="Y640" s="2" t="inlineStr">
        <is>
          <t>No</t>
        </is>
      </c>
      <c r="Z640" s="2" t="inlineStr">
        <is>
          <t>No</t>
        </is>
      </c>
      <c r="AA640" s="6" t="n">
        <v>3.757235796</v>
      </c>
      <c r="AB640" s="6" t="n">
        <v>3.358262349</v>
      </c>
      <c r="AC640" s="6" t="n">
        <v>3.757235796</v>
      </c>
      <c r="AD640">
        <f t="array" ref="AD640">IF(SUMPRODUCT(--($AM$2:$AM$112=TRIM(LEFT($B640,IFERROR(FIND(" ",$B640)-1,LEN($B640))))))&gt;0,1,0)</f>
        <v/>
      </c>
      <c r="AE640">
        <f t="array" ref="AE640">IF(SUMPRODUCT(--($AO$2:$AO$145=TRIM(LEFT($B640,IFERROR(FIND(" ",$B640)-1,LEN($B640))))))&gt;0,1,0)</f>
        <v/>
      </c>
      <c r="AF640">
        <f t="array" ref="AF640">IF(SUMPRODUCT(--($AQ$2:$AQ$71=TRIM(LEFT($B640,IFERROR(FIND(" ",$B640)-1,LEN($B640))))))&gt;0,1,0)</f>
        <v/>
      </c>
    </row>
    <row r="641" ht="75.75" customHeight="1" thickBot="1">
      <c r="A641" s="13" t="n">
        <v>76</v>
      </c>
      <c r="B641" s="4" t="inlineStr">
        <is>
          <t>CTB US</t>
        </is>
      </c>
      <c r="C641" s="4" t="inlineStr">
        <is>
          <t>GT US</t>
        </is>
      </c>
      <c r="D641" s="7" t="n">
        <v>44249</v>
      </c>
      <c r="E641" s="3" t="n">
        <v>2595.71</v>
      </c>
      <c r="F641" s="4" t="inlineStr">
        <is>
          <t>Cash and Stock</t>
        </is>
      </c>
      <c r="G641" s="3" t="n">
        <v>6.01</v>
      </c>
      <c r="H641" s="4" t="inlineStr">
        <is>
          <t>Consumer Discretionary</t>
        </is>
      </c>
      <c r="I641" s="4" t="inlineStr">
        <is>
          <t>Consumer Discretionary Products</t>
        </is>
      </c>
      <c r="J641" s="4" t="inlineStr">
        <is>
          <t>Automotive</t>
        </is>
      </c>
      <c r="K641" s="4" t="n"/>
      <c r="L641" s="4" t="n"/>
      <c r="M641" s="4" t="n"/>
      <c r="N641" s="3" t="n">
        <v>2669.58</v>
      </c>
      <c r="O641" s="4" t="inlineStr">
        <is>
          <t>United States</t>
        </is>
      </c>
      <c r="P641" s="4" t="inlineStr">
        <is>
          <t>United States</t>
        </is>
      </c>
      <c r="Q641" s="4" t="inlineStr">
        <is>
          <t>Friendly</t>
        </is>
      </c>
      <c r="R641" s="3" t="n">
        <v>2521.07</v>
      </c>
      <c r="S641" s="3" t="n">
        <v>10.3919</v>
      </c>
      <c r="T641" s="4" t="inlineStr">
        <is>
          <t>Company Takeover</t>
        </is>
      </c>
      <c r="U641" s="2" t="inlineStr">
        <is>
          <t>No</t>
        </is>
      </c>
      <c r="V641" s="2" t="inlineStr">
        <is>
          <t>No</t>
        </is>
      </c>
      <c r="W641" s="2" t="inlineStr">
        <is>
          <t>No</t>
        </is>
      </c>
      <c r="X641" s="2" t="inlineStr">
        <is>
          <t>No</t>
        </is>
      </c>
      <c r="Y641" s="2" t="inlineStr">
        <is>
          <t>No</t>
        </is>
      </c>
      <c r="Z641" s="2" t="inlineStr">
        <is>
          <t>No</t>
        </is>
      </c>
      <c r="AA641" s="6" t="n">
        <v>3.41425617</v>
      </c>
      <c r="AB641" s="6" t="n">
        <v>3.401584904</v>
      </c>
      <c r="AC641" s="6" t="n">
        <v>3.42644294</v>
      </c>
      <c r="AD641">
        <f t="array" ref="AD641">IF(SUMPRODUCT(--($AM$2:$AM$112=TRIM(LEFT($B641,IFERROR(FIND(" ",$B641)-1,LEN($B641))))))&gt;0,1,0)</f>
        <v/>
      </c>
      <c r="AE641">
        <f t="array" ref="AE641">IF(SUMPRODUCT(--($AO$2:$AO$145=TRIM(LEFT($B641,IFERROR(FIND(" ",$B641)-1,LEN($B641))))))&gt;0,1,0)</f>
        <v/>
      </c>
      <c r="AF641">
        <f t="array" ref="AF641">IF(SUMPRODUCT(--($AQ$2:$AQ$71=TRIM(LEFT($B641,IFERROR(FIND(" ",$B641)-1,LEN($B641))))))&gt;0,1,0)</f>
        <v/>
      </c>
    </row>
    <row r="642" ht="105.75" customHeight="1" thickBot="1">
      <c r="A642" s="13" t="n">
        <v>87</v>
      </c>
      <c r="B642" s="4" t="inlineStr">
        <is>
          <t>CLGX US</t>
        </is>
      </c>
      <c r="C642" s="2" t="n"/>
      <c r="D642" s="7" t="n">
        <v>44231</v>
      </c>
      <c r="E642" s="3" t="n">
        <v>7609.67</v>
      </c>
      <c r="F642" s="4" t="inlineStr">
        <is>
          <t>Cash</t>
        </is>
      </c>
      <c r="G642" s="3" t="n">
        <v>14.45</v>
      </c>
      <c r="H642" s="4" t="inlineStr">
        <is>
          <t>Real Estate</t>
        </is>
      </c>
      <c r="I642" s="4" t="inlineStr">
        <is>
          <t>Real Estate</t>
        </is>
      </c>
      <c r="J642" s="4" t="inlineStr">
        <is>
          <t>Real Estate Services</t>
        </is>
      </c>
      <c r="K642" s="4" t="n"/>
      <c r="L642" s="4" t="n"/>
      <c r="M642" s="4" t="n"/>
      <c r="N642" s="3" t="n">
        <v>6222.3</v>
      </c>
      <c r="O642" s="4" t="inlineStr">
        <is>
          <t>United States</t>
        </is>
      </c>
      <c r="P642" s="4" t="inlineStr">
        <is>
          <t>United States</t>
        </is>
      </c>
      <c r="Q642" s="4" t="inlineStr">
        <is>
          <t>Unsolicited to Friendly</t>
        </is>
      </c>
      <c r="R642" s="3" t="n">
        <v>1642.38</v>
      </c>
      <c r="S642" s="3" t="n">
        <v>20.5028</v>
      </c>
      <c r="T642" s="4" t="inlineStr">
        <is>
          <t>PE Buyout, Company Takeover, Private Equity</t>
        </is>
      </c>
      <c r="U642" s="2" t="inlineStr">
        <is>
          <t>No</t>
        </is>
      </c>
      <c r="V642" s="2" t="inlineStr">
        <is>
          <t>No</t>
        </is>
      </c>
      <c r="W642" s="2" t="inlineStr">
        <is>
          <t>No</t>
        </is>
      </c>
      <c r="X642" s="2" t="inlineStr">
        <is>
          <t>No</t>
        </is>
      </c>
      <c r="Y642" s="2" t="inlineStr">
        <is>
          <t>Yes</t>
        </is>
      </c>
      <c r="Z642" s="2" t="inlineStr">
        <is>
          <t>No</t>
        </is>
      </c>
      <c r="AA642" s="6" t="n">
        <v>3.881365824</v>
      </c>
      <c r="AB642" s="6" t="n">
        <v>3.215473648</v>
      </c>
      <c r="AC642" s="6" t="n">
        <v>3.793950946</v>
      </c>
      <c r="AD642">
        <f t="array" ref="AD642">IF(SUMPRODUCT(--($AM$2:$AM$112=TRIM(LEFT($B642,IFERROR(FIND(" ",$B642)-1,LEN($B642))))))&gt;0,1,0)</f>
        <v/>
      </c>
      <c r="AE642">
        <f t="array" ref="AE642">IF(SUMPRODUCT(--($AO$2:$AO$145=TRIM(LEFT($B642,IFERROR(FIND(" ",$B642)-1,LEN($B642))))))&gt;0,1,0)</f>
        <v/>
      </c>
      <c r="AF642">
        <f t="array" ref="AF642">IF(SUMPRODUCT(--($AQ$2:$AQ$71=TRIM(LEFT($B642,IFERROR(FIND(" ",$B642)-1,LEN($B642))))))&gt;0,1,0)</f>
        <v/>
      </c>
    </row>
    <row r="643" ht="135.75" customHeight="1" thickBot="1">
      <c r="A643" s="13" t="n">
        <v>69</v>
      </c>
      <c r="B643" s="4" t="inlineStr">
        <is>
          <t>WIFI US</t>
        </is>
      </c>
      <c r="C643" s="4" t="inlineStr">
        <is>
          <t>1427123D US</t>
        </is>
      </c>
      <c r="D643" s="7" t="n">
        <v>44256</v>
      </c>
      <c r="E643" s="3" t="n">
        <v>758.24</v>
      </c>
      <c r="F643" s="4" t="inlineStr">
        <is>
          <t>Cash</t>
        </is>
      </c>
      <c r="G643" s="3" t="n">
        <v>9.890000000000001</v>
      </c>
      <c r="H643" s="4" t="inlineStr">
        <is>
          <t>Communications</t>
        </is>
      </c>
      <c r="I643" s="4" t="inlineStr">
        <is>
          <t>Media</t>
        </is>
      </c>
      <c r="J643" s="4" t="inlineStr">
        <is>
          <t>Internet Media &amp; Services</t>
        </is>
      </c>
      <c r="K643" s="3" t="n">
        <v>32.725</v>
      </c>
      <c r="L643" s="3" t="n">
        <v>13.09</v>
      </c>
      <c r="M643" s="4" t="n"/>
      <c r="N643" s="3" t="n">
        <v>623.4299999999999</v>
      </c>
      <c r="O643" s="4" t="inlineStr">
        <is>
          <t>United States</t>
        </is>
      </c>
      <c r="P643" s="4" t="inlineStr">
        <is>
          <t>United States</t>
        </is>
      </c>
      <c r="Q643" s="4" t="inlineStr">
        <is>
          <t>Friendly</t>
        </is>
      </c>
      <c r="R643" s="3" t="n">
        <v>237.416</v>
      </c>
      <c r="S643" s="3" t="n">
        <v>-5.21774</v>
      </c>
      <c r="T643" s="4" t="inlineStr">
        <is>
          <t>PE Buyout, Company Takeover, Private Equity, Going Private</t>
        </is>
      </c>
      <c r="U643" s="2" t="inlineStr">
        <is>
          <t>No</t>
        </is>
      </c>
      <c r="V643" s="2" t="inlineStr">
        <is>
          <t>No</t>
        </is>
      </c>
      <c r="W643" s="2" t="inlineStr">
        <is>
          <t>No</t>
        </is>
      </c>
      <c r="X643" s="2" t="inlineStr">
        <is>
          <t>Yes</t>
        </is>
      </c>
      <c r="Y643" s="2" t="inlineStr">
        <is>
          <t>Yes</t>
        </is>
      </c>
      <c r="Z643" s="2" t="inlineStr">
        <is>
          <t>No</t>
        </is>
      </c>
      <c r="AA643" s="6" t="n">
        <v>2.879806691</v>
      </c>
      <c r="AB643" s="6" t="n">
        <v>2.375509984</v>
      </c>
      <c r="AC643" s="6" t="n">
        <v>2.794787697</v>
      </c>
      <c r="AD643">
        <f t="array" ref="AD643">IF(SUMPRODUCT(--($AM$2:$AM$112=TRIM(LEFT($B643,IFERROR(FIND(" ",$B643)-1,LEN($B643))))))&gt;0,1,0)</f>
        <v/>
      </c>
      <c r="AE643">
        <f t="array" ref="AE643">IF(SUMPRODUCT(--($AO$2:$AO$145=TRIM(LEFT($B643,IFERROR(FIND(" ",$B643)-1,LEN($B643))))))&gt;0,1,0)</f>
        <v/>
      </c>
      <c r="AF643">
        <f t="array" ref="AF643">IF(SUMPRODUCT(--($AQ$2:$AQ$71=TRIM(LEFT($B643,IFERROR(FIND(" ",$B643)-1,LEN($B643))))))&gt;0,1,0)</f>
        <v/>
      </c>
    </row>
    <row r="644" ht="60.75" customHeight="1" thickBot="1">
      <c r="A644" s="13" t="n">
        <v>102</v>
      </c>
      <c r="B644" s="4" t="inlineStr">
        <is>
          <t>CMD US</t>
        </is>
      </c>
      <c r="C644" s="4" t="inlineStr">
        <is>
          <t>STE US</t>
        </is>
      </c>
      <c r="D644" s="7" t="n">
        <v>44208</v>
      </c>
      <c r="E644" s="3" t="n">
        <v>4186.6</v>
      </c>
      <c r="F644" s="4" t="inlineStr">
        <is>
          <t>Cash and Stock</t>
        </is>
      </c>
      <c r="G644" s="3" t="n">
        <v>24.66</v>
      </c>
      <c r="H644" s="4" t="inlineStr">
        <is>
          <t>Health Care</t>
        </is>
      </c>
      <c r="I644" s="4" t="inlineStr">
        <is>
          <t>Health Care</t>
        </is>
      </c>
      <c r="J644" s="4" t="inlineStr">
        <is>
          <t>Medical Equipment &amp; Devices</t>
        </is>
      </c>
      <c r="K644" s="4" t="n"/>
      <c r="L644" s="3" t="n">
        <v>127.4</v>
      </c>
      <c r="M644" s="4" t="n"/>
      <c r="N644" s="3" t="n">
        <v>3407.77</v>
      </c>
      <c r="O644" s="4" t="inlineStr">
        <is>
          <t>United States</t>
        </is>
      </c>
      <c r="P644" s="4" t="inlineStr">
        <is>
          <t>United States</t>
        </is>
      </c>
      <c r="Q644" s="4" t="inlineStr">
        <is>
          <t>Friendly</t>
        </is>
      </c>
      <c r="R644" s="3" t="n">
        <v>1016.05</v>
      </c>
      <c r="S644" s="3" t="n">
        <v>11.538</v>
      </c>
      <c r="T644" s="4" t="inlineStr">
        <is>
          <t>Company Takeover</t>
        </is>
      </c>
      <c r="U644" s="2" t="inlineStr">
        <is>
          <t>No</t>
        </is>
      </c>
      <c r="V644" s="2" t="inlineStr">
        <is>
          <t>No</t>
        </is>
      </c>
      <c r="W644" s="2" t="inlineStr">
        <is>
          <t>No</t>
        </is>
      </c>
      <c r="X644" s="2" t="inlineStr">
        <is>
          <t>No</t>
        </is>
      </c>
      <c r="Y644" s="2" t="inlineStr">
        <is>
          <t>No</t>
        </is>
      </c>
      <c r="Z644" s="2" t="inlineStr">
        <is>
          <t>No</t>
        </is>
      </c>
      <c r="AA644" s="6" t="n">
        <v>3.621861469</v>
      </c>
      <c r="AB644" s="6" t="n">
        <v>3.00691508</v>
      </c>
      <c r="AC644" s="6" t="n">
        <v>3.532470275</v>
      </c>
      <c r="AD644">
        <f t="array" ref="AD644">IF(SUMPRODUCT(--($AM$2:$AM$112=TRIM(LEFT($B644,IFERROR(FIND(" ",$B644)-1,LEN($B644))))))&gt;0,1,0)</f>
        <v/>
      </c>
      <c r="AE644">
        <f t="array" ref="AE644">IF(SUMPRODUCT(--($AO$2:$AO$145=TRIM(LEFT($B644,IFERROR(FIND(" ",$B644)-1,LEN($B644))))))&gt;0,1,0)</f>
        <v/>
      </c>
      <c r="AF644">
        <f t="array" ref="AF644">IF(SUMPRODUCT(--($AQ$2:$AQ$71=TRIM(LEFT($B644,IFERROR(FIND(" ",$B644)-1,LEN($B644))))))&gt;0,1,0)</f>
        <v/>
      </c>
    </row>
    <row r="645" ht="210.75" customHeight="1" thickBot="1">
      <c r="A645" s="13" t="n">
        <v>53</v>
      </c>
      <c r="B645" s="4" t="inlineStr">
        <is>
          <t>BCI CN</t>
        </is>
      </c>
      <c r="C645" s="2" t="n"/>
      <c r="D645" s="7" t="n">
        <v>44273</v>
      </c>
      <c r="E645" s="3" t="n">
        <v>844.11</v>
      </c>
      <c r="F645" s="4" t="inlineStr">
        <is>
          <t>Cash</t>
        </is>
      </c>
      <c r="G645" s="3" t="n">
        <v>14.52</v>
      </c>
      <c r="H645" s="4" t="inlineStr">
        <is>
          <t>Consumer Discretionary</t>
        </is>
      </c>
      <c r="I645" s="4" t="inlineStr">
        <is>
          <t>Retail &amp; Whsle - Discretionary</t>
        </is>
      </c>
      <c r="J645" s="4" t="inlineStr">
        <is>
          <t>Retail - Discretionary</t>
        </is>
      </c>
      <c r="K645" s="3" t="n">
        <v>27.4</v>
      </c>
      <c r="L645" s="3" t="n">
        <v>39.15</v>
      </c>
      <c r="M645" s="4" t="n"/>
      <c r="N645" s="3" t="n">
        <v>627.9</v>
      </c>
      <c r="O645" s="4" t="inlineStr">
        <is>
          <t>Canada</t>
        </is>
      </c>
      <c r="P645" s="4" t="inlineStr">
        <is>
          <t>Canada</t>
        </is>
      </c>
      <c r="Q645" s="4" t="inlineStr">
        <is>
          <t>Friendly</t>
        </is>
      </c>
      <c r="R645" s="3" t="n">
        <v>204.973</v>
      </c>
      <c r="S645" s="3" t="n">
        <v>12.6882</v>
      </c>
      <c r="T645" s="4" t="inlineStr">
        <is>
          <t>PE Buyout, Company Takeover, Cross Border, Private Equity, Additional Stake Purchase, Going Private</t>
        </is>
      </c>
      <c r="U645" s="2" t="inlineStr">
        <is>
          <t>Yes</t>
        </is>
      </c>
      <c r="V645" s="2" t="inlineStr">
        <is>
          <t>No</t>
        </is>
      </c>
      <c r="W645" s="2" t="inlineStr">
        <is>
          <t>Yes</t>
        </is>
      </c>
      <c r="X645" s="2" t="inlineStr">
        <is>
          <t>Yes</t>
        </is>
      </c>
      <c r="Y645" s="2" t="inlineStr">
        <is>
          <t>Yes</t>
        </is>
      </c>
      <c r="Z645" s="2" t="inlineStr">
        <is>
          <t>No</t>
        </is>
      </c>
      <c r="AA645" s="6" t="n">
        <v>2.926399045</v>
      </c>
      <c r="AB645" s="6" t="n">
        <v>2.311696658</v>
      </c>
      <c r="AC645" s="6" t="n">
        <v>2.797890483</v>
      </c>
      <c r="AD645">
        <f t="array" ref="AD645">IF(SUMPRODUCT(--($AM$2:$AM$112=TRIM(LEFT($B645,IFERROR(FIND(" ",$B645)-1,LEN($B645))))))&gt;0,1,0)</f>
        <v/>
      </c>
      <c r="AE645">
        <f t="array" ref="AE645">IF(SUMPRODUCT(--($AO$2:$AO$145=TRIM(LEFT($B645,IFERROR(FIND(" ",$B645)-1,LEN($B645))))))&gt;0,1,0)</f>
        <v/>
      </c>
      <c r="AF645">
        <f t="array" ref="AF645">IF(SUMPRODUCT(--($AQ$2:$AQ$71=TRIM(LEFT($B645,IFERROR(FIND(" ",$B645)-1,LEN($B645))))))&gt;0,1,0)</f>
        <v/>
      </c>
    </row>
    <row r="646" ht="75.75" customHeight="1" thickBot="1">
      <c r="A646" s="13" t="n">
        <v>29</v>
      </c>
      <c r="B646" s="4" t="inlineStr">
        <is>
          <t>GFN US</t>
        </is>
      </c>
      <c r="C646" s="4" t="inlineStr">
        <is>
          <t>URI US</t>
        </is>
      </c>
      <c r="D646" s="7" t="n">
        <v>44302</v>
      </c>
      <c r="E646" s="3" t="n">
        <v>594.74</v>
      </c>
      <c r="F646" s="4" t="inlineStr">
        <is>
          <t>Cash</t>
        </is>
      </c>
      <c r="G646" s="3" t="n">
        <v>8</v>
      </c>
      <c r="H646" s="4" t="inlineStr">
        <is>
          <t>Financials</t>
        </is>
      </c>
      <c r="I646" s="4" t="inlineStr">
        <is>
          <t>Financial Services</t>
        </is>
      </c>
      <c r="J646" s="4" t="inlineStr">
        <is>
          <t>Specialty Finance</t>
        </is>
      </c>
      <c r="K646" s="4" t="n"/>
      <c r="L646" s="3" t="n">
        <v>22</v>
      </c>
      <c r="M646" s="4" t="n"/>
      <c r="N646" s="3" t="n">
        <v>594.74</v>
      </c>
      <c r="O646" s="4" t="inlineStr">
        <is>
          <t>United States</t>
        </is>
      </c>
      <c r="P646" s="4" t="inlineStr">
        <is>
          <t>United States</t>
        </is>
      </c>
      <c r="Q646" s="4" t="inlineStr">
        <is>
          <t>Friendly</t>
        </is>
      </c>
      <c r="R646" s="3" t="n">
        <v>356.479</v>
      </c>
      <c r="S646" s="3" t="n">
        <v>12.2269</v>
      </c>
      <c r="T646" s="4" t="inlineStr">
        <is>
          <t>Company Takeover, Tender Offer</t>
        </is>
      </c>
      <c r="U646" s="2" t="inlineStr">
        <is>
          <t>No</t>
        </is>
      </c>
      <c r="V646" s="2" t="inlineStr">
        <is>
          <t>No</t>
        </is>
      </c>
      <c r="W646" s="2" t="inlineStr">
        <is>
          <t>No</t>
        </is>
      </c>
      <c r="X646" s="2" t="inlineStr">
        <is>
          <t>No</t>
        </is>
      </c>
      <c r="Y646" s="2" t="inlineStr">
        <is>
          <t>No</t>
        </is>
      </c>
      <c r="Z646" s="2" t="inlineStr">
        <is>
          <t>Yes</t>
        </is>
      </c>
      <c r="AA646" s="6" t="n">
        <v>2.774327149</v>
      </c>
      <c r="AB646" s="6" t="n">
        <v>2.552033951</v>
      </c>
      <c r="AC646" s="6" t="n">
        <v>2.774327149</v>
      </c>
      <c r="AD646">
        <f t="array" ref="AD646">IF(SUMPRODUCT(--($AM$2:$AM$112=TRIM(LEFT($B646,IFERROR(FIND(" ",$B646)-1,LEN($B646))))))&gt;0,1,0)</f>
        <v/>
      </c>
      <c r="AE646">
        <f t="array" ref="AE646">IF(SUMPRODUCT(--($AO$2:$AO$145=TRIM(LEFT($B646,IFERROR(FIND(" ",$B646)-1,LEN($B646))))))&gt;0,1,0)</f>
        <v/>
      </c>
      <c r="AF646">
        <f t="array" ref="AF646">IF(SUMPRODUCT(--($AQ$2:$AQ$71=TRIM(LEFT($B646,IFERROR(FIND(" ",$B646)-1,LEN($B646))))))&gt;0,1,0)</f>
        <v/>
      </c>
    </row>
    <row r="647" ht="75.75" customHeight="1" thickBot="1">
      <c r="A647" s="13" t="n">
        <v>98</v>
      </c>
      <c r="B647" s="4" t="inlineStr">
        <is>
          <t>FFG US</t>
        </is>
      </c>
      <c r="C647" s="4" t="inlineStr">
        <is>
          <t>4527936Z US</t>
        </is>
      </c>
      <c r="D647" s="7" t="n">
        <v>44207</v>
      </c>
      <c r="E647" s="3" t="n">
        <v>587.39</v>
      </c>
      <c r="F647" s="4" t="inlineStr">
        <is>
          <t>Cash</t>
        </is>
      </c>
      <c r="G647" s="4" t="n"/>
      <c r="H647" s="4" t="inlineStr">
        <is>
          <t>Financials</t>
        </is>
      </c>
      <c r="I647" s="4" t="inlineStr">
        <is>
          <t>Insurance</t>
        </is>
      </c>
      <c r="J647" s="4" t="inlineStr">
        <is>
          <t>Insurance</t>
        </is>
      </c>
      <c r="K647" s="4" t="n"/>
      <c r="L647" s="4" t="n"/>
      <c r="M647" s="3" t="n">
        <v>15.41</v>
      </c>
      <c r="N647" s="3" t="n">
        <v>587.39</v>
      </c>
      <c r="O647" s="4" t="inlineStr">
        <is>
          <t>United States</t>
        </is>
      </c>
      <c r="P647" s="4" t="inlineStr">
        <is>
          <t>United States</t>
        </is>
      </c>
      <c r="Q647" s="4" t="inlineStr">
        <is>
          <t>Unsolicited to Friendly</t>
        </is>
      </c>
      <c r="R647" s="3" t="n">
        <v>732.265</v>
      </c>
      <c r="S647" s="3" t="n">
        <v>14.318</v>
      </c>
      <c r="T647" s="4" t="inlineStr">
        <is>
          <t>Company Takeover, Going Private</t>
        </is>
      </c>
      <c r="U647" s="2" t="inlineStr">
        <is>
          <t>No</t>
        </is>
      </c>
      <c r="V647" s="2" t="inlineStr">
        <is>
          <t>No</t>
        </is>
      </c>
      <c r="W647" s="2" t="inlineStr">
        <is>
          <t>No</t>
        </is>
      </c>
      <c r="X647" s="2" t="inlineStr">
        <is>
          <t>Yes</t>
        </is>
      </c>
      <c r="Y647" s="2" t="inlineStr">
        <is>
          <t>No</t>
        </is>
      </c>
      <c r="Z647" s="2" t="inlineStr">
        <is>
          <t>No</t>
        </is>
      </c>
      <c r="AA647" s="6" t="n">
        <v>2.768926549</v>
      </c>
      <c r="AB647" s="6" t="n">
        <v>2.864668277</v>
      </c>
      <c r="AC647" s="6" t="n">
        <v>2.768926549</v>
      </c>
      <c r="AD647">
        <f t="array" ref="AD647">IF(SUMPRODUCT(--($AM$2:$AM$112=TRIM(LEFT($B647,IFERROR(FIND(" ",$B647)-1,LEN($B647))))))&gt;0,1,0)</f>
        <v/>
      </c>
      <c r="AE647">
        <f t="array" ref="AE647">IF(SUMPRODUCT(--($AO$2:$AO$145=TRIM(LEFT($B647,IFERROR(FIND(" ",$B647)-1,LEN($B647))))))&gt;0,1,0)</f>
        <v/>
      </c>
      <c r="AF647">
        <f t="array" ref="AF647">IF(SUMPRODUCT(--($AQ$2:$AQ$71=TRIM(LEFT($B647,IFERROR(FIND(" ",$B647)-1,LEN($B647))))))&gt;0,1,0)</f>
        <v/>
      </c>
    </row>
    <row r="648" ht="180.75" customHeight="1" thickBot="1">
      <c r="A648" s="13" t="n">
        <v>77</v>
      </c>
      <c r="B648" s="4" t="inlineStr">
        <is>
          <t>2464209D US</t>
        </is>
      </c>
      <c r="C648" s="2" t="n"/>
      <c r="D648" s="7" t="n">
        <v>44235</v>
      </c>
      <c r="E648" s="3" t="n">
        <v>2798.59</v>
      </c>
      <c r="F648" s="4" t="inlineStr">
        <is>
          <t>Cash</t>
        </is>
      </c>
      <c r="G648" s="3" t="n">
        <v>18.63</v>
      </c>
      <c r="H648" s="4" t="inlineStr">
        <is>
          <t>Technology</t>
        </is>
      </c>
      <c r="I648" s="4" t="inlineStr">
        <is>
          <t>Tech Hardware &amp; Semiconductors</t>
        </is>
      </c>
      <c r="J648" s="4" t="inlineStr">
        <is>
          <t>Technology Hardware</t>
        </is>
      </c>
      <c r="K648" s="4" t="n"/>
      <c r="L648" s="4" t="n"/>
      <c r="M648" s="4" t="n"/>
      <c r="N648" s="3" t="n">
        <v>2009.66</v>
      </c>
      <c r="O648" s="4" t="inlineStr">
        <is>
          <t>United States</t>
        </is>
      </c>
      <c r="P648" s="4" t="inlineStr">
        <is>
          <t>United States</t>
        </is>
      </c>
      <c r="Q648" s="4" t="inlineStr">
        <is>
          <t>Friendly</t>
        </is>
      </c>
      <c r="R648" s="3" t="n">
        <v>1476.23</v>
      </c>
      <c r="S648" s="3" t="n">
        <v>4.95486</v>
      </c>
      <c r="T648" s="4" t="inlineStr">
        <is>
          <t>PE Buyout, Company Takeover, Private Equity, Additional Stake Purchase, Going Private</t>
        </is>
      </c>
      <c r="U648" s="2" t="inlineStr">
        <is>
          <t>Yes</t>
        </is>
      </c>
      <c r="V648" s="2" t="inlineStr">
        <is>
          <t>No</t>
        </is>
      </c>
      <c r="W648" s="2" t="inlineStr">
        <is>
          <t>No</t>
        </is>
      </c>
      <c r="X648" s="2" t="inlineStr">
        <is>
          <t>Yes</t>
        </is>
      </c>
      <c r="Y648" s="2" t="inlineStr">
        <is>
          <t>Yes</t>
        </is>
      </c>
      <c r="Z648" s="2" t="inlineStr">
        <is>
          <t>No</t>
        </is>
      </c>
      <c r="AA648" s="6" t="n">
        <v>3.446939278</v>
      </c>
      <c r="AB648" s="6" t="n">
        <v>3.169154027</v>
      </c>
      <c r="AC648" s="6" t="n">
        <v>3.303122588</v>
      </c>
      <c r="AD648">
        <f t="array" ref="AD648">IF(SUMPRODUCT(--($AM$2:$AM$112=TRIM(LEFT($B648,IFERROR(FIND(" ",$B648)-1,LEN($B648))))))&gt;0,1,0)</f>
        <v/>
      </c>
      <c r="AE648">
        <f t="array" ref="AE648">IF(SUMPRODUCT(--($AO$2:$AO$145=TRIM(LEFT($B648,IFERROR(FIND(" ",$B648)-1,LEN($B648))))))&gt;0,1,0)</f>
        <v/>
      </c>
      <c r="AF648">
        <f t="array" ref="AF648">IF(SUMPRODUCT(--($AQ$2:$AQ$71=TRIM(LEFT($B648,IFERROR(FIND(" ",$B648)-1,LEN($B648))))))&gt;0,1,0)</f>
        <v/>
      </c>
    </row>
    <row r="649" ht="135.75" customHeight="1" thickBot="1">
      <c r="A649" s="13" t="n">
        <v>66</v>
      </c>
      <c r="B649" s="4" t="inlineStr">
        <is>
          <t>AEGN US</t>
        </is>
      </c>
      <c r="C649" s="4" t="inlineStr">
        <is>
          <t>161147Z US</t>
        </is>
      </c>
      <c r="D649" s="7" t="n">
        <v>44243</v>
      </c>
      <c r="E649" s="3" t="n">
        <v>1141.76</v>
      </c>
      <c r="F649" s="4" t="inlineStr">
        <is>
          <t>Cash</t>
        </is>
      </c>
      <c r="G649" s="3" t="n">
        <v>12.77</v>
      </c>
      <c r="H649" s="4" t="inlineStr">
        <is>
          <t>Industrials</t>
        </is>
      </c>
      <c r="I649" s="4" t="inlineStr">
        <is>
          <t>Industrial Services</t>
        </is>
      </c>
      <c r="J649" s="4" t="inlineStr">
        <is>
          <t>Engineering &amp; Construction</t>
        </is>
      </c>
      <c r="K649" s="3" t="n">
        <v>90</v>
      </c>
      <c r="L649" s="3" t="n">
        <v>50</v>
      </c>
      <c r="M649" s="4" t="n"/>
      <c r="N649" s="3" t="n">
        <v>923.1900000000001</v>
      </c>
      <c r="O649" s="4" t="inlineStr">
        <is>
          <t>United States</t>
        </is>
      </c>
      <c r="P649" s="4" t="inlineStr">
        <is>
          <t>United States</t>
        </is>
      </c>
      <c r="Q649" s="4" t="inlineStr">
        <is>
          <t>Friendly</t>
        </is>
      </c>
      <c r="R649" s="3" t="n">
        <v>807.764</v>
      </c>
      <c r="S649" s="3" t="n">
        <v>-0.535494</v>
      </c>
      <c r="T649" s="4" t="inlineStr">
        <is>
          <t>PE Buyout, Company Takeover, Private Equity, Going Private</t>
        </is>
      </c>
      <c r="U649" s="2" t="inlineStr">
        <is>
          <t>No</t>
        </is>
      </c>
      <c r="V649" s="2" t="inlineStr">
        <is>
          <t>No</t>
        </is>
      </c>
      <c r="W649" s="2" t="inlineStr">
        <is>
          <t>No</t>
        </is>
      </c>
      <c r="X649" s="2" t="inlineStr">
        <is>
          <t>Yes</t>
        </is>
      </c>
      <c r="Y649" s="2" t="inlineStr">
        <is>
          <t>Yes</t>
        </is>
      </c>
      <c r="Z649" s="2" t="inlineStr">
        <is>
          <t>No</t>
        </is>
      </c>
      <c r="AA649" s="6" t="n">
        <v>3.057574824</v>
      </c>
      <c r="AB649" s="6" t="n">
        <v>2.907284494</v>
      </c>
      <c r="AC649" s="6" t="n">
        <v>2.965291092</v>
      </c>
      <c r="AD649">
        <f t="array" ref="AD649">IF(SUMPRODUCT(--($AM$2:$AM$112=TRIM(LEFT($B649,IFERROR(FIND(" ",$B649)-1,LEN($B649))))))&gt;0,1,0)</f>
        <v/>
      </c>
      <c r="AE649">
        <f t="array" ref="AE649">IF(SUMPRODUCT(--($AO$2:$AO$145=TRIM(LEFT($B649,IFERROR(FIND(" ",$B649)-1,LEN($B649))))))&gt;0,1,0)</f>
        <v/>
      </c>
      <c r="AF649">
        <f t="array" ref="AF649">IF(SUMPRODUCT(--($AQ$2:$AQ$71=TRIM(LEFT($B649,IFERROR(FIND(" ",$B649)-1,LEN($B649))))))&gt;0,1,0)</f>
        <v/>
      </c>
    </row>
    <row r="650" ht="135.75" customHeight="1" thickBot="1">
      <c r="A650" s="13" t="n">
        <v>89</v>
      </c>
      <c r="B650" s="4" t="inlineStr">
        <is>
          <t>ATP CN</t>
        </is>
      </c>
      <c r="C650" s="4" t="inlineStr">
        <is>
          <t>0849702D US</t>
        </is>
      </c>
      <c r="D650" s="7" t="n">
        <v>44210</v>
      </c>
      <c r="E650" s="3" t="n">
        <v>815.9400000000001</v>
      </c>
      <c r="F650" s="4" t="inlineStr">
        <is>
          <t>Cash</t>
        </is>
      </c>
      <c r="G650" s="3" t="n">
        <v>7.83</v>
      </c>
      <c r="H650" s="4" t="inlineStr">
        <is>
          <t>Utilities</t>
        </is>
      </c>
      <c r="I650" s="4" t="inlineStr">
        <is>
          <t>Utilities</t>
        </is>
      </c>
      <c r="J650" s="4" t="inlineStr">
        <is>
          <t>Electric Utilities</t>
        </is>
      </c>
      <c r="K650" s="3" t="n">
        <v>15</v>
      </c>
      <c r="L650" s="3" t="n">
        <v>12.5</v>
      </c>
      <c r="M650" s="4" t="n"/>
      <c r="N650" s="3" t="n">
        <v>270.34</v>
      </c>
      <c r="O650" s="4" t="inlineStr">
        <is>
          <t>United States</t>
        </is>
      </c>
      <c r="P650" s="4" t="inlineStr">
        <is>
          <t>United States</t>
        </is>
      </c>
      <c r="Q650" s="4" t="inlineStr">
        <is>
          <t>Friendly</t>
        </is>
      </c>
      <c r="R650" s="3" t="n">
        <v>272</v>
      </c>
      <c r="S650" s="3" t="n">
        <v>10.6563</v>
      </c>
      <c r="T650" s="4" t="inlineStr">
        <is>
          <t>PE Buyout, Company Takeover, Private Equity, Going Private</t>
        </is>
      </c>
      <c r="U650" s="2" t="inlineStr">
        <is>
          <t>No</t>
        </is>
      </c>
      <c r="V650" s="2" t="inlineStr">
        <is>
          <t>No</t>
        </is>
      </c>
      <c r="W650" s="2" t="inlineStr">
        <is>
          <t>No</t>
        </is>
      </c>
      <c r="X650" s="2" t="inlineStr">
        <is>
          <t>Yes</t>
        </is>
      </c>
      <c r="Y650" s="2" t="inlineStr">
        <is>
          <t>Yes</t>
        </is>
      </c>
      <c r="Z650" s="2" t="inlineStr">
        <is>
          <t>No</t>
        </is>
      </c>
      <c r="AA650" s="6" t="n">
        <v>2.911658224</v>
      </c>
      <c r="AB650" s="6" t="n">
        <v>2.434568904</v>
      </c>
      <c r="AC650" s="6" t="n">
        <v>2.431910309</v>
      </c>
      <c r="AD650">
        <f t="array" ref="AD650">IF(SUMPRODUCT(--($AM$2:$AM$112=TRIM(LEFT($B650,IFERROR(FIND(" ",$B650)-1,LEN($B650))))))&gt;0,1,0)</f>
        <v/>
      </c>
      <c r="AE650">
        <f t="array" ref="AE650">IF(SUMPRODUCT(--($AO$2:$AO$145=TRIM(LEFT($B650,IFERROR(FIND(" ",$B650)-1,LEN($B650))))))&gt;0,1,0)</f>
        <v/>
      </c>
      <c r="AF650">
        <f t="array" ref="AF650">IF(SUMPRODUCT(--($AQ$2:$AQ$71=TRIM(LEFT($B650,IFERROR(FIND(" ",$B650)-1,LEN($B650))))))&gt;0,1,0)</f>
        <v/>
      </c>
    </row>
    <row r="651" ht="75.75" customHeight="1" thickBot="1">
      <c r="A651" s="13" t="n">
        <v>96</v>
      </c>
      <c r="B651" s="4" t="inlineStr">
        <is>
          <t>FLIR US</t>
        </is>
      </c>
      <c r="C651" s="4" t="inlineStr">
        <is>
          <t>TDY US</t>
        </is>
      </c>
      <c r="D651" s="7" t="n">
        <v>44200</v>
      </c>
      <c r="E651" s="3" t="n">
        <v>4183.26</v>
      </c>
      <c r="F651" s="4" t="inlineStr">
        <is>
          <t>Cash and Stock</t>
        </is>
      </c>
      <c r="G651" s="3" t="n">
        <v>9.869999999999999</v>
      </c>
      <c r="H651" s="4" t="inlineStr">
        <is>
          <t>Technology</t>
        </is>
      </c>
      <c r="I651" s="4" t="inlineStr">
        <is>
          <t>Tech Hardware &amp; Semiconductors</t>
        </is>
      </c>
      <c r="J651" s="4" t="inlineStr">
        <is>
          <t>Technology Hardware</t>
        </is>
      </c>
      <c r="K651" s="4" t="n"/>
      <c r="L651" s="3" t="n">
        <v>250</v>
      </c>
      <c r="M651" s="3" t="n">
        <v>-33.89</v>
      </c>
      <c r="N651" s="3" t="n">
        <v>3672.05</v>
      </c>
      <c r="O651" s="4" t="inlineStr">
        <is>
          <t>United States</t>
        </is>
      </c>
      <c r="P651" s="4" t="inlineStr">
        <is>
          <t>United States</t>
        </is>
      </c>
      <c r="Q651" s="4" t="inlineStr">
        <is>
          <t>Friendly</t>
        </is>
      </c>
      <c r="R651" s="3" t="n">
        <v>1923.69</v>
      </c>
      <c r="S651" s="3" t="n">
        <v>17.5874</v>
      </c>
      <c r="T651" s="4" t="inlineStr">
        <is>
          <t>Company Takeover</t>
        </is>
      </c>
      <c r="U651" s="2" t="inlineStr">
        <is>
          <t>No</t>
        </is>
      </c>
      <c r="V651" s="2" t="inlineStr">
        <is>
          <t>No</t>
        </is>
      </c>
      <c r="W651" s="2" t="inlineStr">
        <is>
          <t>No</t>
        </is>
      </c>
      <c r="X651" s="2" t="inlineStr">
        <is>
          <t>No</t>
        </is>
      </c>
      <c r="Y651" s="2" t="inlineStr">
        <is>
          <t>No</t>
        </is>
      </c>
      <c r="Z651" s="2" t="inlineStr">
        <is>
          <t>No</t>
        </is>
      </c>
      <c r="AA651" s="6" t="n">
        <v>3.621514858</v>
      </c>
      <c r="AB651" s="6" t="n">
        <v>3.284135087</v>
      </c>
      <c r="AC651" s="6" t="n">
        <v>3.564908586</v>
      </c>
      <c r="AD651">
        <f t="array" ref="AD651">IF(SUMPRODUCT(--($AM$2:$AM$112=TRIM(LEFT($B651,IFERROR(FIND(" ",$B651)-1,LEN($B651))))))&gt;0,1,0)</f>
        <v/>
      </c>
      <c r="AE651">
        <f t="array" ref="AE651">IF(SUMPRODUCT(--($AO$2:$AO$145=TRIM(LEFT($B651,IFERROR(FIND(" ",$B651)-1,LEN($B651))))))&gt;0,1,0)</f>
        <v/>
      </c>
      <c r="AF651">
        <f t="array" ref="AF651">IF(SUMPRODUCT(--($AQ$2:$AQ$71=TRIM(LEFT($B651,IFERROR(FIND(" ",$B651)-1,LEN($B651))))))&gt;0,1,0)</f>
        <v/>
      </c>
    </row>
    <row r="652" ht="135.75" customHeight="1" thickBot="1">
      <c r="A652" s="13" t="n">
        <v>73</v>
      </c>
      <c r="B652" s="4" t="inlineStr">
        <is>
          <t>PRSP US</t>
        </is>
      </c>
      <c r="C652" s="4" t="inlineStr">
        <is>
          <t>0153451D US</t>
        </is>
      </c>
      <c r="D652" s="7" t="n">
        <v>44223</v>
      </c>
      <c r="E652" s="3" t="n">
        <v>6475.26</v>
      </c>
      <c r="F652" s="4" t="inlineStr">
        <is>
          <t>Cash</t>
        </is>
      </c>
      <c r="G652" s="4" t="n"/>
      <c r="H652" s="4" t="inlineStr">
        <is>
          <t>Technology</t>
        </is>
      </c>
      <c r="I652" s="4" t="inlineStr">
        <is>
          <t>Software &amp; Tech Services</t>
        </is>
      </c>
      <c r="J652" s="4" t="inlineStr">
        <is>
          <t>IT Services</t>
        </is>
      </c>
      <c r="K652" s="3" t="n">
        <v>243</v>
      </c>
      <c r="L652" s="3" t="n">
        <v>97</v>
      </c>
      <c r="M652" s="4" t="n"/>
      <c r="N652" s="3" t="n">
        <v>4039.26</v>
      </c>
      <c r="O652" s="4" t="inlineStr">
        <is>
          <t>United States</t>
        </is>
      </c>
      <c r="P652" s="4" t="inlineStr">
        <is>
          <t>United States</t>
        </is>
      </c>
      <c r="Q652" s="4" t="inlineStr">
        <is>
          <t>Friendly</t>
        </is>
      </c>
      <c r="R652" s="3" t="n">
        <v>4504</v>
      </c>
      <c r="S652" s="3" t="n">
        <v>-13.8746</v>
      </c>
      <c r="T652" s="4" t="inlineStr">
        <is>
          <t>Company Takeover, Additional Stake Purchase, Going Private</t>
        </is>
      </c>
      <c r="U652" s="2" t="inlineStr">
        <is>
          <t>Yes</t>
        </is>
      </c>
      <c r="V652" s="2" t="inlineStr">
        <is>
          <t>No</t>
        </is>
      </c>
      <c r="W652" s="2" t="inlineStr">
        <is>
          <t>No</t>
        </is>
      </c>
      <c r="X652" s="2" t="inlineStr">
        <is>
          <t>Yes</t>
        </is>
      </c>
      <c r="Y652" s="2" t="inlineStr">
        <is>
          <t>No</t>
        </is>
      </c>
      <c r="Z652" s="2" t="inlineStr">
        <is>
          <t>No</t>
        </is>
      </c>
      <c r="AA652" s="6" t="n">
        <v>3.811257211</v>
      </c>
      <c r="AB652" s="6" t="n">
        <v>3.653598382</v>
      </c>
      <c r="AC652" s="6" t="n">
        <v>3.606301809</v>
      </c>
      <c r="AD652">
        <f t="array" ref="AD652">IF(SUMPRODUCT(--($AM$2:$AM$112=TRIM(LEFT($B652,IFERROR(FIND(" ",$B652)-1,LEN($B652))))))&gt;0,1,0)</f>
        <v/>
      </c>
      <c r="AE652">
        <f t="array" ref="AE652">IF(SUMPRODUCT(--($AO$2:$AO$145=TRIM(LEFT($B652,IFERROR(FIND(" ",$B652)-1,LEN($B652))))))&gt;0,1,0)</f>
        <v/>
      </c>
      <c r="AF652">
        <f t="array" ref="AF652">IF(SUMPRODUCT(--($AQ$2:$AQ$71=TRIM(LEFT($B652,IFERROR(FIND(" ",$B652)-1,LEN($B652))))))&gt;0,1,0)</f>
        <v/>
      </c>
    </row>
    <row r="653" ht="75.75" customHeight="1" thickBot="1">
      <c r="A653" s="13" t="n">
        <v>101</v>
      </c>
      <c r="B653" s="4" t="inlineStr">
        <is>
          <t>APHA CN</t>
        </is>
      </c>
      <c r="C653" s="4" t="inlineStr">
        <is>
          <t>TLRY US</t>
        </is>
      </c>
      <c r="D653" s="7" t="n">
        <v>44181</v>
      </c>
      <c r="E653" s="3" t="n">
        <v>1985.05</v>
      </c>
      <c r="F653" s="4" t="inlineStr">
        <is>
          <t>Stock</t>
        </is>
      </c>
      <c r="G653" s="4" t="n"/>
      <c r="H653" s="4" t="inlineStr">
        <is>
          <t>Consumer Staples</t>
        </is>
      </c>
      <c r="I653" s="4" t="inlineStr">
        <is>
          <t>Consumer Staple Products</t>
        </is>
      </c>
      <c r="J653" s="4" t="inlineStr">
        <is>
          <t>Tobacco &amp; Cannabis</t>
        </is>
      </c>
      <c r="K653" s="4" t="n"/>
      <c r="L653" s="4" t="n"/>
      <c r="M653" s="3" t="n">
        <v>-14.32</v>
      </c>
      <c r="N653" s="3" t="n">
        <v>1965.72</v>
      </c>
      <c r="O653" s="4" t="inlineStr">
        <is>
          <t>Canada</t>
        </is>
      </c>
      <c r="P653" s="4" t="inlineStr">
        <is>
          <t>Canada</t>
        </is>
      </c>
      <c r="Q653" s="4" t="inlineStr">
        <is>
          <t>Friendly</t>
        </is>
      </c>
      <c r="R653" s="3" t="n">
        <v>405.729</v>
      </c>
      <c r="S653" s="3" t="n">
        <v>-26.1384</v>
      </c>
      <c r="T653" s="4" t="inlineStr">
        <is>
          <t>Reverse Merger, Company Takeover</t>
        </is>
      </c>
      <c r="U653" s="2" t="inlineStr">
        <is>
          <t>No</t>
        </is>
      </c>
      <c r="V653" s="2" t="inlineStr">
        <is>
          <t>No</t>
        </is>
      </c>
      <c r="W653" s="2" t="inlineStr">
        <is>
          <t>No</t>
        </is>
      </c>
      <c r="X653" s="2" t="inlineStr">
        <is>
          <t>No</t>
        </is>
      </c>
      <c r="Y653" s="2" t="inlineStr">
        <is>
          <t>No</t>
        </is>
      </c>
      <c r="Z653" s="2" t="inlineStr">
        <is>
          <t>No</t>
        </is>
      </c>
      <c r="AA653" s="6" t="n">
        <v>3.29777145</v>
      </c>
      <c r="AB653" s="6" t="n">
        <v>2.608236051</v>
      </c>
      <c r="AC653" s="6" t="n">
        <v>3.293521656</v>
      </c>
      <c r="AD653">
        <f t="array" ref="AD653">IF(SUMPRODUCT(--($AM$2:$AM$112=TRIM(LEFT($B653,IFERROR(FIND(" ",$B653)-1,LEN($B653))))))&gt;0,1,0)</f>
        <v/>
      </c>
      <c r="AE653">
        <f t="array" ref="AE653">IF(SUMPRODUCT(--($AO$2:$AO$145=TRIM(LEFT($B653,IFERROR(FIND(" ",$B653)-1,LEN($B653))))))&gt;0,1,0)</f>
        <v/>
      </c>
      <c r="AF653">
        <f t="array" ref="AF653">IF(SUMPRODUCT(--($AQ$2:$AQ$71=TRIM(LEFT($B653,IFERROR(FIND(" ",$B653)-1,LEN($B653))))))&gt;0,1,0)</f>
        <v/>
      </c>
    </row>
    <row r="654" ht="105.75" customHeight="1" thickBot="1">
      <c r="A654" s="13" t="n">
        <v>109</v>
      </c>
      <c r="B654" s="4" t="inlineStr">
        <is>
          <t>WDR US</t>
        </is>
      </c>
      <c r="C654" s="4" t="inlineStr">
        <is>
          <t>MQG AU</t>
        </is>
      </c>
      <c r="D654" s="7" t="n">
        <v>44167</v>
      </c>
      <c r="E654" s="3" t="n">
        <v>1563.69</v>
      </c>
      <c r="F654" s="4" t="inlineStr">
        <is>
          <t>Cash</t>
        </is>
      </c>
      <c r="G654" s="3" t="n">
        <v>8.98</v>
      </c>
      <c r="H654" s="4" t="inlineStr">
        <is>
          <t>Financials</t>
        </is>
      </c>
      <c r="I654" s="4" t="inlineStr">
        <is>
          <t>Financial Services</t>
        </is>
      </c>
      <c r="J654" s="4" t="inlineStr">
        <is>
          <t>Asset Management</t>
        </is>
      </c>
      <c r="K654" s="3" t="n">
        <v>125</v>
      </c>
      <c r="L654" s="3" t="n">
        <v>47</v>
      </c>
      <c r="M654" s="3" t="n">
        <v>50.62</v>
      </c>
      <c r="N654" s="3" t="n">
        <v>1563.69</v>
      </c>
      <c r="O654" s="4" t="inlineStr">
        <is>
          <t>United States</t>
        </is>
      </c>
      <c r="P654" s="4" t="inlineStr">
        <is>
          <t>Australia</t>
        </is>
      </c>
      <c r="Q654" s="4" t="inlineStr">
        <is>
          <t>Friendly</t>
        </is>
      </c>
      <c r="R654" s="3" t="n">
        <v>1049.5</v>
      </c>
      <c r="S654" s="3" t="n">
        <v>4.83982</v>
      </c>
      <c r="T654" s="4" t="inlineStr">
        <is>
          <t>Company Takeover, Cross Border, Private Equity</t>
        </is>
      </c>
      <c r="U654" s="2" t="inlineStr">
        <is>
          <t>No</t>
        </is>
      </c>
      <c r="V654" s="2" t="inlineStr">
        <is>
          <t>No</t>
        </is>
      </c>
      <c r="W654" s="2" t="inlineStr">
        <is>
          <t>Yes</t>
        </is>
      </c>
      <c r="X654" s="2" t="inlineStr">
        <is>
          <t>No</t>
        </is>
      </c>
      <c r="Y654" s="2" t="inlineStr">
        <is>
          <t>No</t>
        </is>
      </c>
      <c r="Z654" s="2" t="inlineStr">
        <is>
          <t>No</t>
        </is>
      </c>
      <c r="AA654" s="6" t="n">
        <v>3.194150659</v>
      </c>
      <c r="AB654" s="6" t="n">
        <v>3.020982443</v>
      </c>
      <c r="AC654" s="6" t="n">
        <v>3.194150659</v>
      </c>
      <c r="AD654">
        <f t="array" ref="AD654">IF(SUMPRODUCT(--($AM$2:$AM$112=TRIM(LEFT($B654,IFERROR(FIND(" ",$B654)-1,LEN($B654))))))&gt;0,1,0)</f>
        <v/>
      </c>
      <c r="AE654">
        <f t="array" ref="AE654">IF(SUMPRODUCT(--($AO$2:$AO$145=TRIM(LEFT($B654,IFERROR(FIND(" ",$B654)-1,LEN($B654))))))&gt;0,1,0)</f>
        <v/>
      </c>
      <c r="AF654">
        <f t="array" ref="AF654">IF(SUMPRODUCT(--($AQ$2:$AQ$71=TRIM(LEFT($B654,IFERROR(FIND(" ",$B654)-1,LEN($B654))))))&gt;0,1,0)</f>
        <v/>
      </c>
    </row>
    <row r="655" ht="45.75" customHeight="1" thickBot="1">
      <c r="A655" s="13" t="n">
        <v>60</v>
      </c>
      <c r="B655" s="4" t="inlineStr">
        <is>
          <t>GLUU US</t>
        </is>
      </c>
      <c r="C655" s="4" t="inlineStr">
        <is>
          <t>EA US</t>
        </is>
      </c>
      <c r="D655" s="7" t="n">
        <v>44235</v>
      </c>
      <c r="E655" s="3" t="n">
        <v>1953.7</v>
      </c>
      <c r="F655" s="4" t="inlineStr">
        <is>
          <t>Cash</t>
        </is>
      </c>
      <c r="G655" s="3" t="n">
        <v>52.74</v>
      </c>
      <c r="H655" s="4" t="inlineStr">
        <is>
          <t>Communications</t>
        </is>
      </c>
      <c r="I655" s="4" t="inlineStr">
        <is>
          <t>Media</t>
        </is>
      </c>
      <c r="J655" s="4" t="inlineStr">
        <is>
          <t>Entertainment Content</t>
        </is>
      </c>
      <c r="K655" s="4" t="n"/>
      <c r="L655" s="3" t="n">
        <v>78.90000000000001</v>
      </c>
      <c r="M655" s="4" t="n"/>
      <c r="N655" s="3" t="n">
        <v>2231.38</v>
      </c>
      <c r="O655" s="4" t="inlineStr">
        <is>
          <t>United States</t>
        </is>
      </c>
      <c r="P655" s="4" t="inlineStr">
        <is>
          <t>United States</t>
        </is>
      </c>
      <c r="Q655" s="4" t="inlineStr">
        <is>
          <t>Friendly</t>
        </is>
      </c>
      <c r="R655" s="3" t="n">
        <v>540.522</v>
      </c>
      <c r="S655" s="3" t="n">
        <v>3.79541</v>
      </c>
      <c r="T655" s="4" t="inlineStr">
        <is>
          <t>Company Takeover</t>
        </is>
      </c>
      <c r="U655" s="2" t="inlineStr">
        <is>
          <t>No</t>
        </is>
      </c>
      <c r="V655" s="2" t="inlineStr">
        <is>
          <t>No</t>
        </is>
      </c>
      <c r="W655" s="2" t="inlineStr">
        <is>
          <t>No</t>
        </is>
      </c>
      <c r="X655" s="2" t="inlineStr">
        <is>
          <t>No</t>
        </is>
      </c>
      <c r="Y655" s="2" t="inlineStr">
        <is>
          <t>No</t>
        </is>
      </c>
      <c r="Z655" s="2" t="inlineStr">
        <is>
          <t>No</t>
        </is>
      </c>
      <c r="AA655" s="6" t="n">
        <v>3.290857877</v>
      </c>
      <c r="AB655" s="6" t="n">
        <v>2.732813375</v>
      </c>
      <c r="AC655" s="6" t="n">
        <v>3.348573536</v>
      </c>
      <c r="AD655">
        <f t="array" ref="AD655">IF(SUMPRODUCT(--($AM$2:$AM$112=TRIM(LEFT($B655,IFERROR(FIND(" ",$B655)-1,LEN($B655))))))&gt;0,1,0)</f>
        <v/>
      </c>
      <c r="AE655">
        <f t="array" ref="AE655">IF(SUMPRODUCT(--($AO$2:$AO$145=TRIM(LEFT($B655,IFERROR(FIND(" ",$B655)-1,LEN($B655))))))&gt;0,1,0)</f>
        <v/>
      </c>
      <c r="AF655">
        <f t="array" ref="AF655">IF(SUMPRODUCT(--($AQ$2:$AQ$71=TRIM(LEFT($B655,IFERROR(FIND(" ",$B655)-1,LEN($B655))))))&gt;0,1,0)</f>
        <v/>
      </c>
    </row>
    <row r="656" ht="135.75" customHeight="1" thickBot="1">
      <c r="A656" s="13" t="n">
        <v>90</v>
      </c>
      <c r="B656" s="4" t="inlineStr">
        <is>
          <t>RP US</t>
        </is>
      </c>
      <c r="C656" s="4" t="inlineStr">
        <is>
          <t>129626Z US</t>
        </is>
      </c>
      <c r="D656" s="7" t="n">
        <v>44186</v>
      </c>
      <c r="E656" s="3" t="n">
        <v>9752.5</v>
      </c>
      <c r="F656" s="4" t="inlineStr">
        <is>
          <t>Cash</t>
        </is>
      </c>
      <c r="G656" s="3" t="n">
        <v>39.54</v>
      </c>
      <c r="H656" s="4" t="inlineStr">
        <is>
          <t>Technology</t>
        </is>
      </c>
      <c r="I656" s="4" t="inlineStr">
        <is>
          <t>Software &amp; Tech Services</t>
        </is>
      </c>
      <c r="J656" s="4" t="inlineStr">
        <is>
          <t>Software</t>
        </is>
      </c>
      <c r="K656" s="4" t="n"/>
      <c r="L656" s="4" t="n"/>
      <c r="M656" s="4" t="n"/>
      <c r="N656" s="3" t="n">
        <v>9039.32</v>
      </c>
      <c r="O656" s="4" t="inlineStr">
        <is>
          <t>United States</t>
        </is>
      </c>
      <c r="P656" s="4" t="inlineStr">
        <is>
          <t>United States</t>
        </is>
      </c>
      <c r="Q656" s="4" t="inlineStr">
        <is>
          <t>Friendly</t>
        </is>
      </c>
      <c r="R656" s="3" t="n">
        <v>1158.48</v>
      </c>
      <c r="S656" s="3" t="n">
        <v>8.87082</v>
      </c>
      <c r="T656" s="4" t="inlineStr">
        <is>
          <t>PE Buyout, Company Takeover, Private Equity, Going Private</t>
        </is>
      </c>
      <c r="U656" s="2" t="inlineStr">
        <is>
          <t>No</t>
        </is>
      </c>
      <c r="V656" s="2" t="inlineStr">
        <is>
          <t>No</t>
        </is>
      </c>
      <c r="W656" s="2" t="inlineStr">
        <is>
          <t>No</t>
        </is>
      </c>
      <c r="X656" s="2" t="inlineStr">
        <is>
          <t>Yes</t>
        </is>
      </c>
      <c r="Y656" s="2" t="inlineStr">
        <is>
          <t>Yes</t>
        </is>
      </c>
      <c r="Z656" s="2" t="inlineStr">
        <is>
          <t>No</t>
        </is>
      </c>
      <c r="AA656" s="6" t="n">
        <v>3.989115959</v>
      </c>
      <c r="AB656" s="6" t="n">
        <v>3.063888541</v>
      </c>
      <c r="AC656" s="6" t="n">
        <v>3.956135761</v>
      </c>
      <c r="AD656">
        <f t="array" ref="AD656">IF(SUMPRODUCT(--($AM$2:$AM$112=TRIM(LEFT($B656,IFERROR(FIND(" ",$B656)-1,LEN($B656))))))&gt;0,1,0)</f>
        <v/>
      </c>
      <c r="AE656">
        <f t="array" ref="AE656">IF(SUMPRODUCT(--($AO$2:$AO$145=TRIM(LEFT($B656,IFERROR(FIND(" ",$B656)-1,LEN($B656))))))&gt;0,1,0)</f>
        <v/>
      </c>
      <c r="AF656">
        <f t="array" ref="AF656">IF(SUMPRODUCT(--($AQ$2:$AQ$71=TRIM(LEFT($B656,IFERROR(FIND(" ",$B656)-1,LEN($B656))))))&gt;0,1,0)</f>
        <v/>
      </c>
    </row>
    <row r="657" ht="105.75" customHeight="1" thickBot="1">
      <c r="A657" s="13" t="n">
        <v>30</v>
      </c>
      <c r="B657" s="4" t="inlineStr">
        <is>
          <t>GNMK US</t>
        </is>
      </c>
      <c r="C657" s="4" t="inlineStr">
        <is>
          <t>ROP SW</t>
        </is>
      </c>
      <c r="D657" s="7" t="n">
        <v>44270</v>
      </c>
      <c r="E657" s="3" t="n">
        <v>1716.7</v>
      </c>
      <c r="F657" s="4" t="inlineStr">
        <is>
          <t>Cash</t>
        </is>
      </c>
      <c r="G657" s="4" t="n"/>
      <c r="H657" s="4" t="inlineStr">
        <is>
          <t>Health Care</t>
        </is>
      </c>
      <c r="I657" s="4" t="inlineStr">
        <is>
          <t>Health Care</t>
        </is>
      </c>
      <c r="J657" s="4" t="inlineStr">
        <is>
          <t>Medical Equipment &amp; Devices</t>
        </is>
      </c>
      <c r="K657" s="4" t="n"/>
      <c r="L657" s="4" t="n"/>
      <c r="M657" s="3" t="n">
        <v>21.78</v>
      </c>
      <c r="N657" s="3" t="n">
        <v>1757.71</v>
      </c>
      <c r="O657" s="4" t="inlineStr">
        <is>
          <t>United States</t>
        </is>
      </c>
      <c r="P657" s="4" t="inlineStr">
        <is>
          <t>Switzerland</t>
        </is>
      </c>
      <c r="Q657" s="4" t="inlineStr">
        <is>
          <t>Friendly</t>
        </is>
      </c>
      <c r="R657" s="3" t="n">
        <v>171.554</v>
      </c>
      <c r="S657" s="3" t="n">
        <v>-6.4417</v>
      </c>
      <c r="T657" s="4" t="inlineStr">
        <is>
          <t>Company Takeover, Cross Border, Tender Offer</t>
        </is>
      </c>
      <c r="U657" s="2" t="inlineStr">
        <is>
          <t>No</t>
        </is>
      </c>
      <c r="V657" s="2" t="inlineStr">
        <is>
          <t>No</t>
        </is>
      </c>
      <c r="W657" s="2" t="inlineStr">
        <is>
          <t>Yes</t>
        </is>
      </c>
      <c r="X657" s="2" t="inlineStr">
        <is>
          <t>No</t>
        </is>
      </c>
      <c r="Y657" s="2" t="inlineStr">
        <is>
          <t>No</t>
        </is>
      </c>
      <c r="Z657" s="2" t="inlineStr">
        <is>
          <t>Yes</t>
        </is>
      </c>
      <c r="AA657" s="6" t="n">
        <v>3.234694407</v>
      </c>
      <c r="AB657" s="6" t="n">
        <v>2.234400849</v>
      </c>
      <c r="AC657" s="6" t="n">
        <v>3.244947224</v>
      </c>
      <c r="AD657">
        <f t="array" ref="AD657">IF(SUMPRODUCT(--($AM$2:$AM$112=TRIM(LEFT($B657,IFERROR(FIND(" ",$B657)-1,LEN($B657))))))&gt;0,1,0)</f>
        <v/>
      </c>
      <c r="AE657">
        <f t="array" ref="AE657">IF(SUMPRODUCT(--($AO$2:$AO$145=TRIM(LEFT($B657,IFERROR(FIND(" ",$B657)-1,LEN($B657))))))&gt;0,1,0)</f>
        <v/>
      </c>
      <c r="AF657">
        <f t="array" ref="AF657">IF(SUMPRODUCT(--($AQ$2:$AQ$71=TRIM(LEFT($B657,IFERROR(FIND(" ",$B657)-1,LEN($B657))))))&gt;0,1,0)</f>
        <v/>
      </c>
    </row>
    <row r="658" ht="45.75" customHeight="1" thickBot="1">
      <c r="A658" s="13" t="n">
        <v>52</v>
      </c>
      <c r="B658" s="4" t="inlineStr">
        <is>
          <t>EGOV US</t>
        </is>
      </c>
      <c r="C658" s="4" t="inlineStr">
        <is>
          <t>TYL US</t>
        </is>
      </c>
      <c r="D658" s="7" t="n">
        <v>44237</v>
      </c>
      <c r="E658" s="3" t="n">
        <v>2055.42</v>
      </c>
      <c r="F658" s="4" t="inlineStr">
        <is>
          <t>Cash</t>
        </is>
      </c>
      <c r="G658" s="3" t="n">
        <v>20.22</v>
      </c>
      <c r="H658" s="4" t="inlineStr">
        <is>
          <t>Technology</t>
        </is>
      </c>
      <c r="I658" s="4" t="inlineStr">
        <is>
          <t>Software &amp; Tech Services</t>
        </is>
      </c>
      <c r="J658" s="4" t="inlineStr">
        <is>
          <t>IT Services</t>
        </is>
      </c>
      <c r="K658" s="4" t="n"/>
      <c r="L658" s="3" t="n">
        <v>55</v>
      </c>
      <c r="M658" s="3" t="n">
        <v>20.2</v>
      </c>
      <c r="N658" s="3" t="n">
        <v>2279.04</v>
      </c>
      <c r="O658" s="4" t="inlineStr">
        <is>
          <t>United States</t>
        </is>
      </c>
      <c r="P658" s="4" t="inlineStr">
        <is>
          <t>United States</t>
        </is>
      </c>
      <c r="Q658" s="4" t="inlineStr">
        <is>
          <t>Friendly</t>
        </is>
      </c>
      <c r="R658" s="3" t="n">
        <v>460.454</v>
      </c>
      <c r="S658" s="3" t="n">
        <v>18.9884</v>
      </c>
      <c r="T658" s="4" t="inlineStr">
        <is>
          <t>Company Takeover</t>
        </is>
      </c>
      <c r="U658" s="2" t="inlineStr">
        <is>
          <t>No</t>
        </is>
      </c>
      <c r="V658" s="2" t="inlineStr">
        <is>
          <t>No</t>
        </is>
      </c>
      <c r="W658" s="2" t="inlineStr">
        <is>
          <t>No</t>
        </is>
      </c>
      <c r="X658" s="2" t="inlineStr">
        <is>
          <t>No</t>
        </is>
      </c>
      <c r="Y658" s="2" t="inlineStr">
        <is>
          <t>No</t>
        </is>
      </c>
      <c r="Z658" s="2" t="inlineStr">
        <is>
          <t>No</t>
        </is>
      </c>
      <c r="AA658" s="6" t="n">
        <v>3.312900578</v>
      </c>
      <c r="AB658" s="6" t="n">
        <v>2.66318625</v>
      </c>
      <c r="AC658" s="6" t="n">
        <v>3.357751948</v>
      </c>
      <c r="AD658">
        <f t="array" ref="AD658">IF(SUMPRODUCT(--($AM$2:$AM$112=TRIM(LEFT($B658,IFERROR(FIND(" ",$B658)-1,LEN($B658))))))&gt;0,1,0)</f>
        <v/>
      </c>
      <c r="AE658">
        <f t="array" ref="AE658">IF(SUMPRODUCT(--($AO$2:$AO$145=TRIM(LEFT($B658,IFERROR(FIND(" ",$B658)-1,LEN($B658))))))&gt;0,1,0)</f>
        <v/>
      </c>
      <c r="AF658">
        <f t="array" ref="AF658">IF(SUMPRODUCT(--($AQ$2:$AQ$71=TRIM(LEFT($B658,IFERROR(FIND(" ",$B658)-1,LEN($B658))))))&gt;0,1,0)</f>
        <v/>
      </c>
    </row>
    <row r="659" ht="75.75" customHeight="1" thickBot="1">
      <c r="A659" s="13" t="n">
        <v>125</v>
      </c>
      <c r="B659" s="4" t="inlineStr">
        <is>
          <t>IPHI US</t>
        </is>
      </c>
      <c r="C659" s="4" t="inlineStr">
        <is>
          <t>MRVL US</t>
        </is>
      </c>
      <c r="D659" s="7" t="n">
        <v>44133</v>
      </c>
      <c r="E659" s="3" t="n">
        <v>8811.33</v>
      </c>
      <c r="F659" s="4" t="inlineStr">
        <is>
          <t>Cash and Stock</t>
        </is>
      </c>
      <c r="G659" s="3" t="n">
        <v>87.54000000000001</v>
      </c>
      <c r="H659" s="4" t="inlineStr">
        <is>
          <t>Technology</t>
        </is>
      </c>
      <c r="I659" s="4" t="inlineStr">
        <is>
          <t>Tech Hardware &amp; Semiconductors</t>
        </is>
      </c>
      <c r="J659" s="4" t="inlineStr">
        <is>
          <t>Semiconductors</t>
        </is>
      </c>
      <c r="K659" s="3" t="n">
        <v>400</v>
      </c>
      <c r="L659" s="3" t="n">
        <v>300</v>
      </c>
      <c r="M659" s="4" t="n"/>
      <c r="N659" s="3" t="n">
        <v>8485.549999999999</v>
      </c>
      <c r="O659" s="4" t="inlineStr">
        <is>
          <t>United States</t>
        </is>
      </c>
      <c r="P659" s="4" t="inlineStr">
        <is>
          <t>United States</t>
        </is>
      </c>
      <c r="Q659" s="4" t="inlineStr">
        <is>
          <t>Friendly</t>
        </is>
      </c>
      <c r="R659" s="3" t="n">
        <v>682.954</v>
      </c>
      <c r="S659" s="3" t="n">
        <v>-2.46356</v>
      </c>
      <c r="T659" s="4" t="inlineStr">
        <is>
          <t>Company Takeover</t>
        </is>
      </c>
      <c r="U659" s="2" t="inlineStr">
        <is>
          <t>No</t>
        </is>
      </c>
      <c r="V659" s="2" t="inlineStr">
        <is>
          <t>No</t>
        </is>
      </c>
      <c r="W659" s="2" t="inlineStr">
        <is>
          <t>No</t>
        </is>
      </c>
      <c r="X659" s="2" t="inlineStr">
        <is>
          <t>No</t>
        </is>
      </c>
      <c r="Y659" s="2" t="inlineStr">
        <is>
          <t>No</t>
        </is>
      </c>
      <c r="Z659" s="2" t="inlineStr">
        <is>
          <t>No</t>
        </is>
      </c>
      <c r="AA659" s="6" t="n">
        <v>3.945041467</v>
      </c>
      <c r="AB659" s="6" t="n">
        <v>2.834391453</v>
      </c>
      <c r="AC659" s="6" t="n">
        <v>3.928679997</v>
      </c>
      <c r="AD659">
        <f t="array" ref="AD659">IF(SUMPRODUCT(--($AM$2:$AM$112=TRIM(LEFT($B659,IFERROR(FIND(" ",$B659)-1,LEN($B659))))))&gt;0,1,0)</f>
        <v/>
      </c>
      <c r="AE659">
        <f t="array" ref="AE659">IF(SUMPRODUCT(--($AO$2:$AO$145=TRIM(LEFT($B659,IFERROR(FIND(" ",$B659)-1,LEN($B659))))))&gt;0,1,0)</f>
        <v/>
      </c>
      <c r="AF659">
        <f t="array" ref="AF659">IF(SUMPRODUCT(--($AQ$2:$AQ$71=TRIM(LEFT($B659,IFERROR(FIND(" ",$B659)-1,LEN($B659))))))&gt;0,1,0)</f>
        <v/>
      </c>
    </row>
    <row r="660" ht="75.75" customHeight="1" thickBot="1">
      <c r="A660" s="13" t="n">
        <v>33</v>
      </c>
      <c r="B660" s="4" t="inlineStr">
        <is>
          <t>FPRX US</t>
        </is>
      </c>
      <c r="C660" s="4" t="inlineStr">
        <is>
          <t>AMGN US</t>
        </is>
      </c>
      <c r="D660" s="7" t="n">
        <v>44259</v>
      </c>
      <c r="E660" s="3" t="n">
        <v>1603.11</v>
      </c>
      <c r="F660" s="4" t="inlineStr">
        <is>
          <t>Cash</t>
        </is>
      </c>
      <c r="G660" s="4" t="n"/>
      <c r="H660" s="4" t="inlineStr">
        <is>
          <t>Health Care</t>
        </is>
      </c>
      <c r="I660" s="4" t="inlineStr">
        <is>
          <t>Health Care</t>
        </is>
      </c>
      <c r="J660" s="4" t="inlineStr">
        <is>
          <t>Biotech &amp; Pharma</t>
        </is>
      </c>
      <c r="K660" s="4" t="n"/>
      <c r="L660" s="3" t="n">
        <v>76</v>
      </c>
      <c r="M660" s="3" t="n">
        <v>77.20999999999999</v>
      </c>
      <c r="N660" s="3" t="n">
        <v>1668.21</v>
      </c>
      <c r="O660" s="4" t="inlineStr">
        <is>
          <t>United States</t>
        </is>
      </c>
      <c r="P660" s="4" t="inlineStr">
        <is>
          <t>United States</t>
        </is>
      </c>
      <c r="Q660" s="4" t="inlineStr">
        <is>
          <t>Friendly</t>
        </is>
      </c>
      <c r="R660" s="3" t="n">
        <v>13.178</v>
      </c>
      <c r="S660" s="3" t="n">
        <v>-668.803</v>
      </c>
      <c r="T660" s="4" t="inlineStr">
        <is>
          <t>Company Takeover, Tender Offer</t>
        </is>
      </c>
      <c r="U660" s="2" t="inlineStr">
        <is>
          <t>No</t>
        </is>
      </c>
      <c r="V660" s="2" t="inlineStr">
        <is>
          <t>No</t>
        </is>
      </c>
      <c r="W660" s="2" t="inlineStr">
        <is>
          <t>No</t>
        </is>
      </c>
      <c r="X660" s="2" t="inlineStr">
        <is>
          <t>No</t>
        </is>
      </c>
      <c r="Y660" s="2" t="inlineStr">
        <is>
          <t>No</t>
        </is>
      </c>
      <c r="Z660" s="2" t="inlineStr">
        <is>
          <t>Yes</t>
        </is>
      </c>
      <c r="AA660" s="6" t="n">
        <v>3.204963323</v>
      </c>
      <c r="AB660" s="6" t="n">
        <v>1.119849503</v>
      </c>
      <c r="AC660" s="6" t="n">
        <v>3.22225072</v>
      </c>
      <c r="AD660">
        <f t="array" ref="AD660">IF(SUMPRODUCT(--($AM$2:$AM$112=TRIM(LEFT($B660,IFERROR(FIND(" ",$B660)-1,LEN($B660))))))&gt;0,1,0)</f>
        <v/>
      </c>
      <c r="AE660">
        <f t="array" ref="AE660">IF(SUMPRODUCT(--($AO$2:$AO$145=TRIM(LEFT($B660,IFERROR(FIND(" ",$B660)-1,LEN($B660))))))&gt;0,1,0)</f>
        <v/>
      </c>
      <c r="AF660">
        <f t="array" ref="AF660">IF(SUMPRODUCT(--($AQ$2:$AQ$71=TRIM(LEFT($B660,IFERROR(FIND(" ",$B660)-1,LEN($B660))))))&gt;0,1,0)</f>
        <v/>
      </c>
    </row>
    <row r="661" ht="165.75" customHeight="1" thickBot="1">
      <c r="A661" s="13" t="n">
        <v>33</v>
      </c>
      <c r="B661" s="4" t="inlineStr">
        <is>
          <t>MIK US</t>
        </is>
      </c>
      <c r="C661" s="4" t="inlineStr">
        <is>
          <t>9990822D US</t>
        </is>
      </c>
      <c r="D661" s="7" t="n">
        <v>44258</v>
      </c>
      <c r="E661" s="3" t="n">
        <v>6122.35</v>
      </c>
      <c r="F661" s="4" t="inlineStr">
        <is>
          <t>Cash</t>
        </is>
      </c>
      <c r="G661" s="3" t="n">
        <v>5.59</v>
      </c>
      <c r="H661" s="4" t="inlineStr">
        <is>
          <t>Consumer Discretionary</t>
        </is>
      </c>
      <c r="I661" s="4" t="inlineStr">
        <is>
          <t>Retail &amp; Whsle - Discretionary</t>
        </is>
      </c>
      <c r="J661" s="4" t="inlineStr">
        <is>
          <t>Retail - Discretionary</t>
        </is>
      </c>
      <c r="K661" s="4" t="n"/>
      <c r="L661" s="4" t="n"/>
      <c r="M661" s="4" t="n"/>
      <c r="N661" s="3" t="n">
        <v>3116.46</v>
      </c>
      <c r="O661" s="4" t="inlineStr">
        <is>
          <t>United States</t>
        </is>
      </c>
      <c r="P661" s="4" t="inlineStr">
        <is>
          <t>United States</t>
        </is>
      </c>
      <c r="Q661" s="4" t="inlineStr">
        <is>
          <t>Friendly</t>
        </is>
      </c>
      <c r="R661" s="3" t="n">
        <v>5271.11</v>
      </c>
      <c r="S661" s="3" t="n">
        <v>10.122</v>
      </c>
      <c r="T661" s="4" t="inlineStr">
        <is>
          <t>PE Buyout, Company Takeover, Private Equity, Tender Offer, Going Private</t>
        </is>
      </c>
      <c r="U661" s="2" t="inlineStr">
        <is>
          <t>No</t>
        </is>
      </c>
      <c r="V661" s="2" t="inlineStr">
        <is>
          <t>No</t>
        </is>
      </c>
      <c r="W661" s="2" t="inlineStr">
        <is>
          <t>No</t>
        </is>
      </c>
      <c r="X661" s="2" t="inlineStr">
        <is>
          <t>Yes</t>
        </is>
      </c>
      <c r="Y661" s="2" t="inlineStr">
        <is>
          <t>Yes</t>
        </is>
      </c>
      <c r="Z661" s="2" t="inlineStr">
        <is>
          <t>Yes</t>
        </is>
      </c>
      <c r="AA661" s="6" t="n">
        <v>3.786918154</v>
      </c>
      <c r="AB661" s="6" t="n">
        <v>3.721902079</v>
      </c>
      <c r="AC661" s="6" t="n">
        <v>3.493661557</v>
      </c>
      <c r="AD661">
        <f t="array" ref="AD661">IF(SUMPRODUCT(--($AM$2:$AM$112=TRIM(LEFT($B661,IFERROR(FIND(" ",$B661)-1,LEN($B661))))))&gt;0,1,0)</f>
        <v/>
      </c>
      <c r="AE661">
        <f t="array" ref="AE661">IF(SUMPRODUCT(--($AO$2:$AO$145=TRIM(LEFT($B661,IFERROR(FIND(" ",$B661)-1,LEN($B661))))))&gt;0,1,0)</f>
        <v/>
      </c>
      <c r="AF661">
        <f t="array" ref="AF661">IF(SUMPRODUCT(--($AQ$2:$AQ$71=TRIM(LEFT($B661,IFERROR(FIND(" ",$B661)-1,LEN($B661))))))&gt;0,1,0)</f>
        <v/>
      </c>
    </row>
    <row r="662" ht="195.75" customHeight="1" thickBot="1">
      <c r="A662" s="13" t="n">
        <v>95</v>
      </c>
      <c r="B662" s="4" t="inlineStr">
        <is>
          <t>CKH US</t>
        </is>
      </c>
      <c r="C662" s="4" t="inlineStr">
        <is>
          <t>30850Z US</t>
        </is>
      </c>
      <c r="D662" s="7" t="n">
        <v>44172</v>
      </c>
      <c r="E662" s="3" t="n">
        <v>1113.39</v>
      </c>
      <c r="F662" s="4" t="inlineStr">
        <is>
          <t>Cash</t>
        </is>
      </c>
      <c r="G662" s="3" t="n">
        <v>10.52</v>
      </c>
      <c r="H662" s="4" t="inlineStr">
        <is>
          <t>Industrials</t>
        </is>
      </c>
      <c r="I662" s="4" t="inlineStr">
        <is>
          <t>Industrial Services</t>
        </is>
      </c>
      <c r="J662" s="4" t="inlineStr">
        <is>
          <t>Transportation &amp; Logistics</t>
        </is>
      </c>
      <c r="K662" s="4" t="n"/>
      <c r="L662" s="4" t="n"/>
      <c r="M662" s="4" t="n"/>
      <c r="N662" s="3" t="n">
        <v>845.45</v>
      </c>
      <c r="O662" s="4" t="inlineStr">
        <is>
          <t>United States</t>
        </is>
      </c>
      <c r="P662" s="4" t="inlineStr">
        <is>
          <t>United States</t>
        </is>
      </c>
      <c r="Q662" s="4" t="inlineStr">
        <is>
          <t>Friendly</t>
        </is>
      </c>
      <c r="R662" s="3" t="n">
        <v>753.826</v>
      </c>
      <c r="S662" s="3" t="n">
        <v>4.3319</v>
      </c>
      <c r="T662" s="4" t="inlineStr">
        <is>
          <t>PE Buyout, Company Takeover, Squeeze out, Private Equity, Tender Offer, Going Private</t>
        </is>
      </c>
      <c r="U662" s="2" t="inlineStr">
        <is>
          <t>No</t>
        </is>
      </c>
      <c r="V662" s="2" t="inlineStr">
        <is>
          <t>No</t>
        </is>
      </c>
      <c r="W662" s="2" t="inlineStr">
        <is>
          <t>No</t>
        </is>
      </c>
      <c r="X662" s="2" t="inlineStr">
        <is>
          <t>Yes</t>
        </is>
      </c>
      <c r="Y662" s="2" t="inlineStr">
        <is>
          <t>Yes</t>
        </is>
      </c>
      <c r="Z662" s="2" t="inlineStr">
        <is>
          <t>Yes</t>
        </is>
      </c>
      <c r="AA662" s="6" t="n">
        <v>3.046647316</v>
      </c>
      <c r="AB662" s="6" t="n">
        <v>2.877271113</v>
      </c>
      <c r="AC662" s="6" t="n">
        <v>2.927087928</v>
      </c>
      <c r="AD662">
        <f t="array" ref="AD662">IF(SUMPRODUCT(--($AM$2:$AM$112=TRIM(LEFT($B662,IFERROR(FIND(" ",$B662)-1,LEN($B662))))))&gt;0,1,0)</f>
        <v/>
      </c>
      <c r="AE662">
        <f t="array" ref="AE662">IF(SUMPRODUCT(--($AO$2:$AO$145=TRIM(LEFT($B662,IFERROR(FIND(" ",$B662)-1,LEN($B662))))))&gt;0,1,0)</f>
        <v/>
      </c>
      <c r="AF662">
        <f t="array" ref="AF662">IF(SUMPRODUCT(--($AQ$2:$AQ$71=TRIM(LEFT($B662,IFERROR(FIND(" ",$B662)-1,LEN($B662))))))&gt;0,1,0)</f>
        <v/>
      </c>
    </row>
    <row r="663" ht="75.75" customHeight="1" thickBot="1">
      <c r="A663" s="13" t="n">
        <v>184</v>
      </c>
      <c r="B663" s="4" t="inlineStr">
        <is>
          <t>VAR US</t>
        </is>
      </c>
      <c r="C663" s="4" t="inlineStr">
        <is>
          <t>SHL GR</t>
        </is>
      </c>
      <c r="D663" s="7" t="n">
        <v>44045</v>
      </c>
      <c r="E663" s="3" t="n">
        <v>16109.35</v>
      </c>
      <c r="F663" s="4" t="inlineStr">
        <is>
          <t>Cash</t>
        </is>
      </c>
      <c r="G663" s="3" t="n">
        <v>34.57</v>
      </c>
      <c r="H663" s="4" t="inlineStr">
        <is>
          <t>Health Care</t>
        </is>
      </c>
      <c r="I663" s="4" t="inlineStr">
        <is>
          <t>Health Care</t>
        </is>
      </c>
      <c r="J663" s="4" t="inlineStr">
        <is>
          <t>Medical Equipment &amp; Devices</t>
        </is>
      </c>
      <c r="K663" s="4" t="n"/>
      <c r="L663" s="3" t="n">
        <v>450</v>
      </c>
      <c r="M663" s="4" t="n"/>
      <c r="N663" s="3" t="n">
        <v>16119.65</v>
      </c>
      <c r="O663" s="4" t="inlineStr">
        <is>
          <t>United States</t>
        </is>
      </c>
      <c r="P663" s="4" t="inlineStr">
        <is>
          <t>Germany</t>
        </is>
      </c>
      <c r="Q663" s="4" t="inlineStr">
        <is>
          <t>Friendly</t>
        </is>
      </c>
      <c r="R663" s="3" t="n">
        <v>3168.2</v>
      </c>
      <c r="S663" s="3" t="n">
        <v>10.5962</v>
      </c>
      <c r="T663" s="4" t="inlineStr">
        <is>
          <t>Company Takeover, Cross Border</t>
        </is>
      </c>
      <c r="U663" s="2" t="inlineStr">
        <is>
          <t>No</t>
        </is>
      </c>
      <c r="V663" s="2" t="inlineStr">
        <is>
          <t>No</t>
        </is>
      </c>
      <c r="W663" s="2" t="inlineStr">
        <is>
          <t>Yes</t>
        </is>
      </c>
      <c r="X663" s="2" t="inlineStr">
        <is>
          <t>No</t>
        </is>
      </c>
      <c r="Y663" s="2" t="inlineStr">
        <is>
          <t>No</t>
        </is>
      </c>
      <c r="Z663" s="2" t="inlineStr">
        <is>
          <t>No</t>
        </is>
      </c>
      <c r="AA663" s="6" t="n">
        <v>4.207078017</v>
      </c>
      <c r="AB663" s="6" t="n">
        <v>3.50081259</v>
      </c>
      <c r="AC663" s="6" t="n">
        <v>4.207355608</v>
      </c>
      <c r="AD663">
        <f t="array" ref="AD663">IF(SUMPRODUCT(--($AM$2:$AM$112=TRIM(LEFT($B663,IFERROR(FIND(" ",$B663)-1,LEN($B663))))))&gt;0,1,0)</f>
        <v/>
      </c>
      <c r="AE663">
        <f t="array" ref="AE663">IF(SUMPRODUCT(--($AO$2:$AO$145=TRIM(LEFT($B663,IFERROR(FIND(" ",$B663)-1,LEN($B663))))))&gt;0,1,0)</f>
        <v/>
      </c>
      <c r="AF663">
        <f t="array" ref="AF663">IF(SUMPRODUCT(--($AQ$2:$AQ$71=TRIM(LEFT($B663,IFERROR(FIND(" ",$B663)-1,LEN($B663))))))&gt;0,1,0)</f>
        <v/>
      </c>
    </row>
    <row r="664" ht="105.75" customHeight="1" thickBot="1">
      <c r="A664" s="13" t="n">
        <v>67</v>
      </c>
      <c r="B664" s="4" t="inlineStr">
        <is>
          <t>HYGO US</t>
        </is>
      </c>
      <c r="C664" s="4" t="inlineStr">
        <is>
          <t>NFE US</t>
        </is>
      </c>
      <c r="D664" s="7" t="n">
        <v>44209</v>
      </c>
      <c r="E664" s="3" t="n">
        <v>2289.13</v>
      </c>
      <c r="F664" s="4" t="inlineStr">
        <is>
          <t>Cash and Stock</t>
        </is>
      </c>
      <c r="G664" s="4" t="n"/>
      <c r="H664" s="4" t="inlineStr">
        <is>
          <t>Energy</t>
        </is>
      </c>
      <c r="I664" s="4" t="inlineStr">
        <is>
          <t>Oil &amp; Gas</t>
        </is>
      </c>
      <c r="J664" s="4" t="inlineStr">
        <is>
          <t>Oil &amp; Gas Supply Chain</t>
        </is>
      </c>
      <c r="K664" s="4" t="n"/>
      <c r="L664" s="4" t="n"/>
      <c r="M664" s="4" t="n"/>
      <c r="N664" s="3" t="n">
        <v>2289.13</v>
      </c>
      <c r="O664" s="4" t="inlineStr">
        <is>
          <t>Bermuda</t>
        </is>
      </c>
      <c r="P664" s="4" t="inlineStr">
        <is>
          <t>United States</t>
        </is>
      </c>
      <c r="Q664" s="4" t="inlineStr">
        <is>
          <t>Friendly</t>
        </is>
      </c>
      <c r="R664" s="2" t="n"/>
      <c r="S664" s="2" t="n"/>
      <c r="T664" s="4" t="inlineStr">
        <is>
          <t>Company Takeover, Cross Border, Private Equity</t>
        </is>
      </c>
      <c r="U664" s="2" t="inlineStr">
        <is>
          <t>No</t>
        </is>
      </c>
      <c r="V664" s="2" t="inlineStr">
        <is>
          <t>No</t>
        </is>
      </c>
      <c r="W664" s="2" t="inlineStr">
        <is>
          <t>Yes</t>
        </is>
      </c>
      <c r="X664" s="2" t="inlineStr">
        <is>
          <t>No</t>
        </is>
      </c>
      <c r="Y664" s="2" t="inlineStr">
        <is>
          <t>No</t>
        </is>
      </c>
      <c r="Z664" s="2" t="inlineStr">
        <is>
          <t>No</t>
        </is>
      </c>
      <c r="AA664" s="6" t="n">
        <v>3.359670457</v>
      </c>
      <c r="AB664" s="2" t="n"/>
      <c r="AC664" s="6" t="n">
        <v>3.359670457</v>
      </c>
      <c r="AD664">
        <f t="array" ref="AD664">IF(SUMPRODUCT(--($AM$2:$AM$112=TRIM(LEFT($B664,IFERROR(FIND(" ",$B664)-1,LEN($B664))))))&gt;0,1,0)</f>
        <v/>
      </c>
      <c r="AE664">
        <f t="array" ref="AE664">IF(SUMPRODUCT(--($AO$2:$AO$145=TRIM(LEFT($B664,IFERROR(FIND(" ",$B664)-1,LEN($B664))))))&gt;0,1,0)</f>
        <v/>
      </c>
      <c r="AF664">
        <f t="array" ref="AF664">IF(SUMPRODUCT(--($AQ$2:$AQ$71=TRIM(LEFT($B664,IFERROR(FIND(" ",$B664)-1,LEN($B664))))))&gt;0,1,0)</f>
        <v/>
      </c>
    </row>
    <row r="665" ht="75.75" customHeight="1" thickBot="1">
      <c r="A665" s="13" t="n">
        <v>49</v>
      </c>
      <c r="B665" s="4" t="inlineStr">
        <is>
          <t>PL CN</t>
        </is>
      </c>
      <c r="C665" s="4" t="inlineStr">
        <is>
          <t>DRX LN</t>
        </is>
      </c>
      <c r="D665" s="7" t="n">
        <v>44235</v>
      </c>
      <c r="E665" s="3" t="n">
        <v>601.12</v>
      </c>
      <c r="F665" s="4" t="inlineStr">
        <is>
          <t>Cash</t>
        </is>
      </c>
      <c r="G665" s="3" t="n">
        <v>12.37</v>
      </c>
      <c r="H665" s="4" t="inlineStr">
        <is>
          <t>Materials</t>
        </is>
      </c>
      <c r="I665" s="4" t="inlineStr">
        <is>
          <t>Materials</t>
        </is>
      </c>
      <c r="J665" s="4" t="inlineStr">
        <is>
          <t>Forestry, Paper &amp; Wood Products</t>
        </is>
      </c>
      <c r="K665" s="3" t="n">
        <v>25</v>
      </c>
      <c r="L665" s="3" t="n">
        <v>12.5</v>
      </c>
      <c r="M665" s="3" t="n">
        <v>14.22</v>
      </c>
      <c r="N665" s="3" t="n">
        <v>295.68</v>
      </c>
      <c r="O665" s="4" t="inlineStr">
        <is>
          <t>Canada</t>
        </is>
      </c>
      <c r="P665" s="4" t="inlineStr">
        <is>
          <t>United Kingdom</t>
        </is>
      </c>
      <c r="Q665" s="4" t="inlineStr">
        <is>
          <t>Friendly</t>
        </is>
      </c>
      <c r="R665" s="3" t="n">
        <v>365.948</v>
      </c>
      <c r="S665" s="3" t="n">
        <v>3.90149</v>
      </c>
      <c r="T665" s="4" t="inlineStr">
        <is>
          <t>Company Takeover, Cross Border</t>
        </is>
      </c>
      <c r="U665" s="2" t="inlineStr">
        <is>
          <t>No</t>
        </is>
      </c>
      <c r="V665" s="2" t="inlineStr">
        <is>
          <t>No</t>
        </is>
      </c>
      <c r="W665" s="2" t="inlineStr">
        <is>
          <t>Yes</t>
        </is>
      </c>
      <c r="X665" s="2" t="inlineStr">
        <is>
          <t>No</t>
        </is>
      </c>
      <c r="Y665" s="2" t="inlineStr">
        <is>
          <t>No</t>
        </is>
      </c>
      <c r="Z665" s="2" t="inlineStr">
        <is>
          <t>No</t>
        </is>
      </c>
      <c r="AA665" s="6" t="n">
        <v>2.778961178</v>
      </c>
      <c r="AB665" s="6" t="n">
        <v>2.563419378</v>
      </c>
      <c r="AC665" s="6" t="n">
        <v>2.47082195</v>
      </c>
      <c r="AD665">
        <f t="array" ref="AD665">IF(SUMPRODUCT(--($AM$2:$AM$112=TRIM(LEFT($B665,IFERROR(FIND(" ",$B665)-1,LEN($B665))))))&gt;0,1,0)</f>
        <v/>
      </c>
      <c r="AE665">
        <f t="array" ref="AE665">IF(SUMPRODUCT(--($AO$2:$AO$145=TRIM(LEFT($B665,IFERROR(FIND(" ",$B665)-1,LEN($B665))))))&gt;0,1,0)</f>
        <v/>
      </c>
      <c r="AF665">
        <f t="array" ref="AF665">IF(SUMPRODUCT(--($AQ$2:$AQ$71=TRIM(LEFT($B665,IFERROR(FIND(" ",$B665)-1,LEN($B665))))))&gt;0,1,0)</f>
        <v/>
      </c>
    </row>
    <row r="666" ht="45.75" customHeight="1" thickBot="1">
      <c r="A666" s="13" t="n">
        <v>42</v>
      </c>
      <c r="B666" s="4" t="inlineStr">
        <is>
          <t>VII CN</t>
        </is>
      </c>
      <c r="C666" s="4" t="inlineStr">
        <is>
          <t>ARX CN</t>
        </is>
      </c>
      <c r="D666" s="7" t="n">
        <v>44237</v>
      </c>
      <c r="E666" s="3" t="n">
        <v>3647.16</v>
      </c>
      <c r="F666" s="4" t="inlineStr">
        <is>
          <t>Stock</t>
        </is>
      </c>
      <c r="G666" s="4" t="n"/>
      <c r="H666" s="4" t="inlineStr">
        <is>
          <t>Energy</t>
        </is>
      </c>
      <c r="I666" s="4" t="inlineStr">
        <is>
          <t>Oil &amp; Gas</t>
        </is>
      </c>
      <c r="J666" s="4" t="inlineStr">
        <is>
          <t>Oil &amp; Gas Supply Chain</t>
        </is>
      </c>
      <c r="K666" s="4" t="n"/>
      <c r="L666" s="4" t="n"/>
      <c r="M666" s="3" t="n">
        <v>9.710000000000001</v>
      </c>
      <c r="N666" s="3" t="n">
        <v>1965.76</v>
      </c>
      <c r="O666" s="4" t="inlineStr">
        <is>
          <t>Canada</t>
        </is>
      </c>
      <c r="P666" s="4" t="inlineStr">
        <is>
          <t>Canada</t>
        </is>
      </c>
      <c r="Q666" s="4" t="inlineStr">
        <is>
          <t>Friendly</t>
        </is>
      </c>
      <c r="R666" s="3" t="n">
        <v>1858.16</v>
      </c>
      <c r="S666" s="3" t="n">
        <v>-108.219</v>
      </c>
      <c r="T666" s="4" t="inlineStr">
        <is>
          <t>Company Takeover</t>
        </is>
      </c>
      <c r="U666" s="2" t="inlineStr">
        <is>
          <t>No</t>
        </is>
      </c>
      <c r="V666" s="2" t="inlineStr">
        <is>
          <t>No</t>
        </is>
      </c>
      <c r="W666" s="2" t="inlineStr">
        <is>
          <t>No</t>
        </is>
      </c>
      <c r="X666" s="2" t="inlineStr">
        <is>
          <t>No</t>
        </is>
      </c>
      <c r="Y666" s="2" t="inlineStr">
        <is>
          <t>No</t>
        </is>
      </c>
      <c r="Z666" s="2" t="inlineStr">
        <is>
          <t>No</t>
        </is>
      </c>
      <c r="AA666" s="6" t="n">
        <v>3.561954816</v>
      </c>
      <c r="AB666" s="6" t="n">
        <v>3.269083107</v>
      </c>
      <c r="AC666" s="6" t="n">
        <v>3.293530494</v>
      </c>
      <c r="AD666">
        <f t="array" ref="AD666">IF(SUMPRODUCT(--($AM$2:$AM$112=TRIM(LEFT($B666,IFERROR(FIND(" ",$B666)-1,LEN($B666))))))&gt;0,1,0)</f>
        <v/>
      </c>
      <c r="AE666">
        <f t="array" ref="AE666">IF(SUMPRODUCT(--($AO$2:$AO$145=TRIM(LEFT($B666,IFERROR(FIND(" ",$B666)-1,LEN($B666))))))&gt;0,1,0)</f>
        <v/>
      </c>
      <c r="AF666">
        <f t="array" ref="AF666">IF(SUMPRODUCT(--($AQ$2:$AQ$71=TRIM(LEFT($B666,IFERROR(FIND(" ",$B666)-1,LEN($B666))))))&gt;0,1,0)</f>
        <v/>
      </c>
    </row>
    <row r="667" ht="45.75" customHeight="1" thickBot="1">
      <c r="A667" s="13" t="n">
        <v>87</v>
      </c>
      <c r="B667" s="4" t="inlineStr">
        <is>
          <t>MTSC US</t>
        </is>
      </c>
      <c r="C667" s="4" t="inlineStr">
        <is>
          <t>APH US</t>
        </is>
      </c>
      <c r="D667" s="7" t="n">
        <v>44174</v>
      </c>
      <c r="E667" s="3" t="n">
        <v>1657.7</v>
      </c>
      <c r="F667" s="4" t="inlineStr">
        <is>
          <t>Cash</t>
        </is>
      </c>
      <c r="G667" s="4" t="n"/>
      <c r="H667" s="4" t="inlineStr">
        <is>
          <t>Industrials</t>
        </is>
      </c>
      <c r="I667" s="4" t="inlineStr">
        <is>
          <t>Industrial Products</t>
        </is>
      </c>
      <c r="J667" s="4" t="inlineStr">
        <is>
          <t>Machinery</t>
        </is>
      </c>
      <c r="K667" s="4" t="n"/>
      <c r="L667" s="3" t="n">
        <v>34.6</v>
      </c>
      <c r="M667" s="3" t="n">
        <v>63.72</v>
      </c>
      <c r="N667" s="3" t="n">
        <v>1127.68</v>
      </c>
      <c r="O667" s="4" t="inlineStr">
        <is>
          <t>United States</t>
        </is>
      </c>
      <c r="P667" s="4" t="inlineStr">
        <is>
          <t>United States</t>
        </is>
      </c>
      <c r="Q667" s="4" t="inlineStr">
        <is>
          <t>Friendly</t>
        </is>
      </c>
      <c r="R667" s="3" t="n">
        <v>828.586</v>
      </c>
      <c r="S667" s="3" t="n">
        <v>-31.4059</v>
      </c>
      <c r="T667" s="4" t="inlineStr">
        <is>
          <t>Company Takeover</t>
        </is>
      </c>
      <c r="U667" s="2" t="inlineStr">
        <is>
          <t>No</t>
        </is>
      </c>
      <c r="V667" s="2" t="inlineStr">
        <is>
          <t>No</t>
        </is>
      </c>
      <c r="W667" s="2" t="inlineStr">
        <is>
          <t>No</t>
        </is>
      </c>
      <c r="X667" s="2" t="inlineStr">
        <is>
          <t>No</t>
        </is>
      </c>
      <c r="Y667" s="2" t="inlineStr">
        <is>
          <t>No</t>
        </is>
      </c>
      <c r="Z667" s="2" t="inlineStr">
        <is>
          <t>No</t>
        </is>
      </c>
      <c r="AA667" s="6" t="n">
        <v>3.219505937</v>
      </c>
      <c r="AB667" s="6" t="n">
        <v>2.918337591</v>
      </c>
      <c r="AC667" s="6" t="n">
        <v>3.052185878</v>
      </c>
      <c r="AD667">
        <f t="array" ref="AD667">IF(SUMPRODUCT(--($AM$2:$AM$112=TRIM(LEFT($B667,IFERROR(FIND(" ",$B667)-1,LEN($B667))))))&gt;0,1,0)</f>
        <v/>
      </c>
      <c r="AE667">
        <f t="array" ref="AE667">IF(SUMPRODUCT(--($AO$2:$AO$145=TRIM(LEFT($B667,IFERROR(FIND(" ",$B667)-1,LEN($B667))))))&gt;0,1,0)</f>
        <v/>
      </c>
      <c r="AF667">
        <f t="array" ref="AF667">IF(SUMPRODUCT(--($AQ$2:$AQ$71=TRIM(LEFT($B667,IFERROR(FIND(" ",$B667)-1,LEN($B667))))))&gt;0,1,0)</f>
        <v/>
      </c>
    </row>
    <row r="668" ht="165.75" customHeight="1" thickBot="1">
      <c r="A668" s="13" t="n">
        <v>83</v>
      </c>
      <c r="B668" s="4" t="inlineStr">
        <is>
          <t>2637188D US</t>
        </is>
      </c>
      <c r="C668" s="4" t="inlineStr">
        <is>
          <t>389272Z US</t>
        </is>
      </c>
      <c r="D668" s="7" t="n">
        <v>44178</v>
      </c>
      <c r="E668" s="3" t="n">
        <v>2861.56</v>
      </c>
      <c r="F668" s="4" t="inlineStr">
        <is>
          <t>Cash</t>
        </is>
      </c>
      <c r="G668" s="4" t="n"/>
      <c r="H668" s="4" t="inlineStr">
        <is>
          <t>Technology</t>
        </is>
      </c>
      <c r="I668" s="4" t="inlineStr">
        <is>
          <t>Software &amp; Tech Services</t>
        </is>
      </c>
      <c r="J668" s="4" t="inlineStr">
        <is>
          <t>Software</t>
        </is>
      </c>
      <c r="K668" s="4" t="n"/>
      <c r="L668" s="3" t="n">
        <v>104.6</v>
      </c>
      <c r="M668" s="4" t="n"/>
      <c r="N668" s="3" t="n">
        <v>2691.56</v>
      </c>
      <c r="O668" s="4" t="inlineStr">
        <is>
          <t>United States</t>
        </is>
      </c>
      <c r="P668" s="4" t="inlineStr">
        <is>
          <t>United States</t>
        </is>
      </c>
      <c r="Q668" s="4" t="inlineStr">
        <is>
          <t>Friendly</t>
        </is>
      </c>
      <c r="R668" s="3" t="n">
        <v>391.865</v>
      </c>
      <c r="S668" s="3" t="n">
        <v>-36.5657</v>
      </c>
      <c r="T668" s="4" t="inlineStr">
        <is>
          <t>PE Buyout, Company Takeover, Private Equity, Tender Offer, Going Private</t>
        </is>
      </c>
      <c r="U668" s="2" t="inlineStr">
        <is>
          <t>No</t>
        </is>
      </c>
      <c r="V668" s="2" t="inlineStr">
        <is>
          <t>No</t>
        </is>
      </c>
      <c r="W668" s="2" t="inlineStr">
        <is>
          <t>No</t>
        </is>
      </c>
      <c r="X668" s="2" t="inlineStr">
        <is>
          <t>Yes</t>
        </is>
      </c>
      <c r="Y668" s="2" t="inlineStr">
        <is>
          <t>Yes</t>
        </is>
      </c>
      <c r="Z668" s="2" t="inlineStr">
        <is>
          <t>Yes</t>
        </is>
      </c>
      <c r="AA668" s="6" t="n">
        <v>3.456602856</v>
      </c>
      <c r="AB668" s="6" t="n">
        <v>2.593136476</v>
      </c>
      <c r="AC668" s="6" t="n">
        <v>3.430004066</v>
      </c>
      <c r="AD668">
        <f t="array" ref="AD668">IF(SUMPRODUCT(--($AM$2:$AM$112=TRIM(LEFT($B668,IFERROR(FIND(" ",$B668)-1,LEN($B668))))))&gt;0,1,0)</f>
        <v/>
      </c>
      <c r="AE668">
        <f t="array" ref="AE668">IF(SUMPRODUCT(--($AO$2:$AO$145=TRIM(LEFT($B668,IFERROR(FIND(" ",$B668)-1,LEN($B668))))))&gt;0,1,0)</f>
        <v/>
      </c>
      <c r="AF668">
        <f t="array" ref="AF668">IF(SUMPRODUCT(--($AQ$2:$AQ$71=TRIM(LEFT($B668,IFERROR(FIND(" ",$B668)-1,LEN($B668))))))&gt;0,1,0)</f>
        <v/>
      </c>
    </row>
    <row r="669" ht="120.75" customHeight="1" thickBot="1">
      <c r="A669" s="13" t="n">
        <v>117</v>
      </c>
      <c r="B669" s="4" t="inlineStr">
        <is>
          <t>MIC CN</t>
        </is>
      </c>
      <c r="C669" s="4" t="inlineStr">
        <is>
          <t>BBU-U CN</t>
        </is>
      </c>
      <c r="D669" s="7" t="n">
        <v>44130</v>
      </c>
      <c r="E669" s="3" t="n">
        <v>1224.37</v>
      </c>
      <c r="F669" s="4" t="inlineStr">
        <is>
          <t>Cash</t>
        </is>
      </c>
      <c r="G669" s="4" t="n"/>
      <c r="H669" s="4" t="inlineStr">
        <is>
          <t>Financials</t>
        </is>
      </c>
      <c r="I669" s="4" t="inlineStr">
        <is>
          <t>Financial Services</t>
        </is>
      </c>
      <c r="J669" s="4" t="inlineStr">
        <is>
          <t>Specialty Finance</t>
        </is>
      </c>
      <c r="K669" s="4" t="n"/>
      <c r="L669" s="4" t="n"/>
      <c r="M669" s="3" t="n">
        <v>25.28</v>
      </c>
      <c r="N669" s="3" t="n">
        <v>1224.37</v>
      </c>
      <c r="O669" s="4" t="inlineStr">
        <is>
          <t>Canada</t>
        </is>
      </c>
      <c r="P669" s="4" t="inlineStr">
        <is>
          <t>Canada</t>
        </is>
      </c>
      <c r="Q669" s="4" t="inlineStr">
        <is>
          <t>Friendly</t>
        </is>
      </c>
      <c r="R669" s="3" t="n">
        <v>787.5119999999999</v>
      </c>
      <c r="S669" s="3" t="n">
        <v>66.11320000000001</v>
      </c>
      <c r="T669" s="4" t="inlineStr">
        <is>
          <t>Company Takeover, Additional Stake Purchase</t>
        </is>
      </c>
      <c r="U669" s="2" t="inlineStr">
        <is>
          <t>Yes</t>
        </is>
      </c>
      <c r="V669" s="2" t="inlineStr">
        <is>
          <t>No</t>
        </is>
      </c>
      <c r="W669" s="2" t="inlineStr">
        <is>
          <t>No</t>
        </is>
      </c>
      <c r="X669" s="2" t="inlineStr">
        <is>
          <t>No</t>
        </is>
      </c>
      <c r="Y669" s="2" t="inlineStr">
        <is>
          <t>No</t>
        </is>
      </c>
      <c r="Z669" s="2" t="inlineStr">
        <is>
          <t>No</t>
        </is>
      </c>
      <c r="AA669" s="6" t="n">
        <v>3.08791268</v>
      </c>
      <c r="AB669" s="6" t="n">
        <v>2.89625718</v>
      </c>
      <c r="AC669" s="6" t="n">
        <v>3.08791268</v>
      </c>
      <c r="AD669">
        <f t="array" ref="AD669">IF(SUMPRODUCT(--($AM$2:$AM$112=TRIM(LEFT($B669,IFERROR(FIND(" ",$B669)-1,LEN($B669))))))&gt;0,1,0)</f>
        <v/>
      </c>
      <c r="AE669">
        <f t="array" ref="AE669">IF(SUMPRODUCT(--($AO$2:$AO$145=TRIM(LEFT($B669,IFERROR(FIND(" ",$B669)-1,LEN($B669))))))&gt;0,1,0)</f>
        <v/>
      </c>
      <c r="AF669">
        <f t="array" ref="AF669">IF(SUMPRODUCT(--($AQ$2:$AQ$71=TRIM(LEFT($B669,IFERROR(FIND(" ",$B669)-1,LEN($B669))))))&gt;0,1,0)</f>
        <v/>
      </c>
    </row>
    <row r="670" ht="75.75" customHeight="1" thickBot="1">
      <c r="A670" s="13" t="n">
        <v>76</v>
      </c>
      <c r="B670" s="4" t="inlineStr">
        <is>
          <t>HMSY US</t>
        </is>
      </c>
      <c r="C670" s="4" t="inlineStr">
        <is>
          <t>9340321Z US</t>
        </is>
      </c>
      <c r="D670" s="7" t="n">
        <v>44186</v>
      </c>
      <c r="E670" s="3" t="n">
        <v>3323.82</v>
      </c>
      <c r="F670" s="4" t="inlineStr">
        <is>
          <t>Cash</t>
        </is>
      </c>
      <c r="G670" s="3" t="n">
        <v>26.57</v>
      </c>
      <c r="H670" s="4" t="inlineStr">
        <is>
          <t>Health Care</t>
        </is>
      </c>
      <c r="I670" s="4" t="inlineStr">
        <is>
          <t>Health Care</t>
        </is>
      </c>
      <c r="J670" s="4" t="inlineStr">
        <is>
          <t>Health Care Facilities &amp; Svcs</t>
        </is>
      </c>
      <c r="K670" s="3" t="n">
        <v>185.33</v>
      </c>
      <c r="L670" s="3" t="n">
        <v>67.39279999999999</v>
      </c>
      <c r="M670" s="4" t="n"/>
      <c r="N670" s="3" t="n">
        <v>3276.41</v>
      </c>
      <c r="O670" s="4" t="inlineStr">
        <is>
          <t>United States</t>
        </is>
      </c>
      <c r="P670" s="4" t="inlineStr">
        <is>
          <t>United States</t>
        </is>
      </c>
      <c r="Q670" s="4" t="inlineStr">
        <is>
          <t>Friendly</t>
        </is>
      </c>
      <c r="R670" s="3" t="n">
        <v>673.283</v>
      </c>
      <c r="S670" s="3" t="n">
        <v>13.8466</v>
      </c>
      <c r="T670" s="4" t="inlineStr">
        <is>
          <t>Company Takeover, Going Private</t>
        </is>
      </c>
      <c r="U670" s="2" t="inlineStr">
        <is>
          <t>No</t>
        </is>
      </c>
      <c r="V670" s="2" t="inlineStr">
        <is>
          <t>No</t>
        </is>
      </c>
      <c r="W670" s="2" t="inlineStr">
        <is>
          <t>No</t>
        </is>
      </c>
      <c r="X670" s="2" t="inlineStr">
        <is>
          <t>Yes</t>
        </is>
      </c>
      <c r="Y670" s="2" t="inlineStr">
        <is>
          <t>No</t>
        </is>
      </c>
      <c r="Z670" s="2" t="inlineStr">
        <is>
          <t>No</t>
        </is>
      </c>
      <c r="AA670" s="6" t="n">
        <v>3.521637497</v>
      </c>
      <c r="AB670" s="6" t="n">
        <v>2.828197649</v>
      </c>
      <c r="AC670" s="6" t="n">
        <v>3.515398243</v>
      </c>
      <c r="AD670">
        <f t="array" ref="AD670">IF(SUMPRODUCT(--($AM$2:$AM$112=TRIM(LEFT($B670,IFERROR(FIND(" ",$B670)-1,LEN($B670))))))&gt;0,1,0)</f>
        <v/>
      </c>
      <c r="AE670">
        <f t="array" ref="AE670">IF(SUMPRODUCT(--($AO$2:$AO$145=TRIM(LEFT($B670,IFERROR(FIND(" ",$B670)-1,LEN($B670))))))&gt;0,1,0)</f>
        <v/>
      </c>
      <c r="AF670">
        <f t="array" ref="AF670">IF(SUMPRODUCT(--($AQ$2:$AQ$71=TRIM(LEFT($B670,IFERROR(FIND(" ",$B670)-1,LEN($B670))))))&gt;0,1,0)</f>
        <v/>
      </c>
    </row>
    <row r="671" ht="75.75" customHeight="1" thickBot="1">
      <c r="A671" s="13" t="n">
        <v>28</v>
      </c>
      <c r="B671" s="4" t="inlineStr">
        <is>
          <t>PAND US</t>
        </is>
      </c>
      <c r="C671" s="4" t="inlineStr">
        <is>
          <t>MRK US</t>
        </is>
      </c>
      <c r="D671" s="7" t="n">
        <v>44252</v>
      </c>
      <c r="E671" s="3" t="n">
        <v>1538.87</v>
      </c>
      <c r="F671" s="4" t="inlineStr">
        <is>
          <t>Cash</t>
        </is>
      </c>
      <c r="G671" s="4" t="n"/>
      <c r="H671" s="4" t="inlineStr">
        <is>
          <t>Health Care</t>
        </is>
      </c>
      <c r="I671" s="4" t="inlineStr">
        <is>
          <t>Health Care</t>
        </is>
      </c>
      <c r="J671" s="4" t="inlineStr">
        <is>
          <t>Biotech &amp; Pharma</t>
        </is>
      </c>
      <c r="K671" s="4" t="n"/>
      <c r="L671" s="4" t="n"/>
      <c r="M671" s="3" t="n">
        <v>196.29</v>
      </c>
      <c r="N671" s="3" t="n">
        <v>1771.19</v>
      </c>
      <c r="O671" s="4" t="inlineStr">
        <is>
          <t>United States</t>
        </is>
      </c>
      <c r="P671" s="4" t="inlineStr">
        <is>
          <t>United States</t>
        </is>
      </c>
      <c r="Q671" s="4" t="inlineStr">
        <is>
          <t>Friendly</t>
        </is>
      </c>
      <c r="R671" s="3" t="n">
        <v>8.779</v>
      </c>
      <c r="S671" s="3" t="n">
        <v>-432.042</v>
      </c>
      <c r="T671" s="4" t="inlineStr">
        <is>
          <t>Company Takeover, Tender Offer</t>
        </is>
      </c>
      <c r="U671" s="2" t="inlineStr">
        <is>
          <t>No</t>
        </is>
      </c>
      <c r="V671" s="2" t="inlineStr">
        <is>
          <t>No</t>
        </is>
      </c>
      <c r="W671" s="2" t="inlineStr">
        <is>
          <t>No</t>
        </is>
      </c>
      <c r="X671" s="2" t="inlineStr">
        <is>
          <t>No</t>
        </is>
      </c>
      <c r="Y671" s="2" t="inlineStr">
        <is>
          <t>No</t>
        </is>
      </c>
      <c r="Z671" s="2" t="inlineStr">
        <is>
          <t>Yes</t>
        </is>
      </c>
      <c r="AA671" s="6" t="n">
        <v>3.187201933</v>
      </c>
      <c r="AB671" s="6" t="n">
        <v>0.943445049</v>
      </c>
      <c r="AC671" s="6" t="n">
        <v>3.248265152</v>
      </c>
      <c r="AD671">
        <f t="array" ref="AD671">IF(SUMPRODUCT(--($AM$2:$AM$112=TRIM(LEFT($B671,IFERROR(FIND(" ",$B671)-1,LEN($B671))))))&gt;0,1,0)</f>
        <v/>
      </c>
      <c r="AE671">
        <f t="array" ref="AE671">IF(SUMPRODUCT(--($AO$2:$AO$145=TRIM(LEFT($B671,IFERROR(FIND(" ",$B671)-1,LEN($B671))))))&gt;0,1,0)</f>
        <v/>
      </c>
      <c r="AF671">
        <f t="array" ref="AF671">IF(SUMPRODUCT(--($AQ$2:$AQ$71=TRIM(LEFT($B671,IFERROR(FIND(" ",$B671)-1,LEN($B671))))))&gt;0,1,0)</f>
        <v/>
      </c>
    </row>
    <row r="672" ht="150.75" customHeight="1" thickBot="1">
      <c r="A672" s="13" t="n">
        <v>182</v>
      </c>
      <c r="B672" s="4" t="inlineStr">
        <is>
          <t>GEENQ US</t>
        </is>
      </c>
      <c r="C672" s="2" t="n"/>
      <c r="D672" s="7" t="n">
        <v>44034</v>
      </c>
      <c r="E672" s="3" t="n">
        <v>1489.5</v>
      </c>
      <c r="F672" s="4" t="inlineStr">
        <is>
          <t>Cash</t>
        </is>
      </c>
      <c r="G672" s="4" t="n"/>
      <c r="H672" s="4" t="inlineStr">
        <is>
          <t>Communications</t>
        </is>
      </c>
      <c r="I672" s="4" t="inlineStr">
        <is>
          <t>Media</t>
        </is>
      </c>
      <c r="J672" s="4" t="inlineStr">
        <is>
          <t>Cable &amp; Satellite</t>
        </is>
      </c>
      <c r="K672" s="4" t="n"/>
      <c r="L672" s="4" t="n"/>
      <c r="M672" s="4" t="n"/>
      <c r="N672" s="3" t="n">
        <v>675</v>
      </c>
      <c r="O672" s="4" t="inlineStr">
        <is>
          <t>United States</t>
        </is>
      </c>
      <c r="P672" s="4" t="inlineStr">
        <is>
          <t>United States</t>
        </is>
      </c>
      <c r="Q672" s="4" t="inlineStr">
        <is>
          <t>Friendly</t>
        </is>
      </c>
      <c r="R672" s="3" t="n">
        <v>656.877</v>
      </c>
      <c r="S672" s="3" t="n">
        <v>-19.4094</v>
      </c>
      <c r="T672" s="4" t="inlineStr">
        <is>
          <t>PE Buyout, Company Takeover, Private Equity, Bankruptcy/Liquidation</t>
        </is>
      </c>
      <c r="U672" s="2" t="inlineStr">
        <is>
          <t>No</t>
        </is>
      </c>
      <c r="V672" s="2" t="inlineStr">
        <is>
          <t>No</t>
        </is>
      </c>
      <c r="W672" s="2" t="inlineStr">
        <is>
          <t>No</t>
        </is>
      </c>
      <c r="X672" s="2" t="inlineStr">
        <is>
          <t>No</t>
        </is>
      </c>
      <c r="Y672" s="2" t="inlineStr">
        <is>
          <t>Yes</t>
        </is>
      </c>
      <c r="Z672" s="2" t="inlineStr">
        <is>
          <t>No</t>
        </is>
      </c>
      <c r="AA672" s="6" t="n">
        <v>3.173040508</v>
      </c>
      <c r="AB672" s="6" t="n">
        <v>2.817484056</v>
      </c>
      <c r="AC672" s="6" t="n">
        <v>2.829303773</v>
      </c>
      <c r="AD672">
        <f t="array" ref="AD672">IF(SUMPRODUCT(--($AM$2:$AM$112=TRIM(LEFT($B672,IFERROR(FIND(" ",$B672)-1,LEN($B672))))))&gt;0,1,0)</f>
        <v/>
      </c>
      <c r="AE672">
        <f t="array" ref="AE672">IF(SUMPRODUCT(--($AO$2:$AO$145=TRIM(LEFT($B672,IFERROR(FIND(" ",$B672)-1,LEN($B672))))))&gt;0,1,0)</f>
        <v/>
      </c>
      <c r="AF672">
        <f t="array" ref="AF672">IF(SUMPRODUCT(--($AQ$2:$AQ$71=TRIM(LEFT($B672,IFERROR(FIND(" ",$B672)-1,LEN($B672))))))&gt;0,1,0)</f>
        <v/>
      </c>
    </row>
    <row r="673" ht="45.75" customHeight="1" thickBot="1">
      <c r="A673" s="13" t="n">
        <v>76</v>
      </c>
      <c r="B673" s="4" t="inlineStr">
        <is>
          <t>ANH US</t>
        </is>
      </c>
      <c r="C673" s="4" t="inlineStr">
        <is>
          <t>RC US</t>
        </is>
      </c>
      <c r="D673" s="7" t="n">
        <v>44172</v>
      </c>
      <c r="E673" s="3" t="n">
        <v>2145</v>
      </c>
      <c r="F673" s="4" t="inlineStr">
        <is>
          <t>Cash and Stock</t>
        </is>
      </c>
      <c r="G673" s="4" t="n"/>
      <c r="H673" s="4" t="inlineStr">
        <is>
          <t>Financials</t>
        </is>
      </c>
      <c r="I673" s="4" t="inlineStr">
        <is>
          <t>Financial Services</t>
        </is>
      </c>
      <c r="J673" s="4" t="inlineStr">
        <is>
          <t>Specialty Finance</t>
        </is>
      </c>
      <c r="K673" s="4" t="n"/>
      <c r="L673" s="4" t="n"/>
      <c r="M673" s="3" t="n">
        <v>34.64</v>
      </c>
      <c r="N673" s="3" t="n">
        <v>269.01</v>
      </c>
      <c r="O673" s="4" t="inlineStr">
        <is>
          <t>United States</t>
        </is>
      </c>
      <c r="P673" s="4" t="inlineStr">
        <is>
          <t>United States</t>
        </is>
      </c>
      <c r="Q673" s="4" t="inlineStr">
        <is>
          <t>Friendly</t>
        </is>
      </c>
      <c r="R673" s="3" t="n">
        <v>-5.237</v>
      </c>
      <c r="S673" s="3" t="n">
        <v>-145.503</v>
      </c>
      <c r="T673" s="4" t="inlineStr">
        <is>
          <t>Company Takeover</t>
        </is>
      </c>
      <c r="U673" s="2" t="inlineStr">
        <is>
          <t>No</t>
        </is>
      </c>
      <c r="V673" s="2" t="inlineStr">
        <is>
          <t>No</t>
        </is>
      </c>
      <c r="W673" s="2" t="inlineStr">
        <is>
          <t>No</t>
        </is>
      </c>
      <c r="X673" s="2" t="inlineStr">
        <is>
          <t>No</t>
        </is>
      </c>
      <c r="Y673" s="2" t="inlineStr">
        <is>
          <t>No</t>
        </is>
      </c>
      <c r="Z673" s="2" t="inlineStr">
        <is>
          <t>No</t>
        </is>
      </c>
      <c r="AA673" s="6" t="n">
        <v>3.331427297</v>
      </c>
      <c r="AB673" s="2" t="n"/>
      <c r="AC673" s="6" t="n">
        <v>2.429768424</v>
      </c>
      <c r="AD673">
        <f t="array" ref="AD673">IF(SUMPRODUCT(--($AM$2:$AM$112=TRIM(LEFT($B673,IFERROR(FIND(" ",$B673)-1,LEN($B673))))))&gt;0,1,0)</f>
        <v/>
      </c>
      <c r="AE673">
        <f t="array" ref="AE673">IF(SUMPRODUCT(--($AO$2:$AO$145=TRIM(LEFT($B673,IFERROR(FIND(" ",$B673)-1,LEN($B673))))))&gt;0,1,0)</f>
        <v/>
      </c>
      <c r="AF673">
        <f t="array" ref="AF673">IF(SUMPRODUCT(--($AQ$2:$AQ$71=TRIM(LEFT($B673,IFERROR(FIND(" ",$B673)-1,LEN($B673))))))&gt;0,1,0)</f>
        <v/>
      </c>
    </row>
    <row r="674" ht="45.75" customHeight="1" thickBot="1">
      <c r="A674" s="13" t="n">
        <v>63</v>
      </c>
      <c r="B674" s="4" t="inlineStr">
        <is>
          <t>QEP US</t>
        </is>
      </c>
      <c r="C674" s="4" t="inlineStr">
        <is>
          <t>FANG US</t>
        </is>
      </c>
      <c r="D674" s="7" t="n">
        <v>44186</v>
      </c>
      <c r="E674" s="3" t="n">
        <v>2183.83</v>
      </c>
      <c r="F674" s="4" t="inlineStr">
        <is>
          <t>Stock</t>
        </is>
      </c>
      <c r="G674" s="3" t="n">
        <v>3.71</v>
      </c>
      <c r="H674" s="4" t="inlineStr">
        <is>
          <t>Energy</t>
        </is>
      </c>
      <c r="I674" s="4" t="inlineStr">
        <is>
          <t>Oil &amp; Gas</t>
        </is>
      </c>
      <c r="J674" s="4" t="inlineStr">
        <is>
          <t>Oil &amp; Gas Supply Chain</t>
        </is>
      </c>
      <c r="K674" s="4" t="n"/>
      <c r="L674" s="3" t="n">
        <v>17</v>
      </c>
      <c r="M674" s="3" t="n">
        <v>10.36</v>
      </c>
      <c r="N674" s="3" t="n">
        <v>544.9299999999999</v>
      </c>
      <c r="O674" s="4" t="inlineStr">
        <is>
          <t>United States</t>
        </is>
      </c>
      <c r="P674" s="4" t="inlineStr">
        <is>
          <t>United States</t>
        </is>
      </c>
      <c r="Q674" s="4" t="inlineStr">
        <is>
          <t>Friendly</t>
        </is>
      </c>
      <c r="R674" s="3" t="n">
        <v>1016.3</v>
      </c>
      <c r="S674" s="3" t="n">
        <v>-5.82654</v>
      </c>
      <c r="T674" s="4" t="inlineStr">
        <is>
          <t>Company Takeover</t>
        </is>
      </c>
      <c r="U674" s="2" t="inlineStr">
        <is>
          <t>No</t>
        </is>
      </c>
      <c r="V674" s="2" t="inlineStr">
        <is>
          <t>No</t>
        </is>
      </c>
      <c r="W674" s="2" t="inlineStr">
        <is>
          <t>No</t>
        </is>
      </c>
      <c r="X674" s="2" t="inlineStr">
        <is>
          <t>No</t>
        </is>
      </c>
      <c r="Y674" s="2" t="inlineStr">
        <is>
          <t>No</t>
        </is>
      </c>
      <c r="Z674" s="2" t="inlineStr">
        <is>
          <t>No</t>
        </is>
      </c>
      <c r="AA674" s="6" t="n">
        <v>3.339218828</v>
      </c>
      <c r="AB674" s="6" t="n">
        <v>3.007021926</v>
      </c>
      <c r="AC674" s="6" t="n">
        <v>2.736340718</v>
      </c>
      <c r="AD674">
        <f t="array" ref="AD674">IF(SUMPRODUCT(--($AM$2:$AM$112=TRIM(LEFT($B674,IFERROR(FIND(" ",$B674)-1,LEN($B674))))))&gt;0,1,0)</f>
        <v/>
      </c>
      <c r="AE674">
        <f t="array" ref="AE674">IF(SUMPRODUCT(--($AO$2:$AO$145=TRIM(LEFT($B674,IFERROR(FIND(" ",$B674)-1,LEN($B674))))))&gt;0,1,0)</f>
        <v/>
      </c>
      <c r="AF674">
        <f t="array" ref="AF674">IF(SUMPRODUCT(--($AQ$2:$AQ$71=TRIM(LEFT($B674,IFERROR(FIND(" ",$B674)-1,LEN($B674))))))&gt;0,1,0)</f>
        <v/>
      </c>
    </row>
    <row r="675" ht="75.75" customHeight="1" thickBot="1">
      <c r="A675" s="13" t="n">
        <v>32</v>
      </c>
      <c r="B675" s="4" t="inlineStr">
        <is>
          <t>VIE US</t>
        </is>
      </c>
      <c r="C675" s="4" t="inlineStr">
        <is>
          <t>HZNP US</t>
        </is>
      </c>
      <c r="D675" s="7" t="n">
        <v>44228</v>
      </c>
      <c r="E675" s="3" t="n">
        <v>2964.27</v>
      </c>
      <c r="F675" s="4" t="inlineStr">
        <is>
          <t>Cash</t>
        </is>
      </c>
      <c r="G675" s="4" t="n"/>
      <c r="H675" s="4" t="inlineStr">
        <is>
          <t>Health Care</t>
        </is>
      </c>
      <c r="I675" s="4" t="inlineStr">
        <is>
          <t>Health Care</t>
        </is>
      </c>
      <c r="J675" s="4" t="inlineStr">
        <is>
          <t>Biotech &amp; Pharma</t>
        </is>
      </c>
      <c r="K675" s="4" t="n"/>
      <c r="L675" s="4" t="n"/>
      <c r="M675" s="3" t="n">
        <v>45.63</v>
      </c>
      <c r="N675" s="3" t="n">
        <v>2964.27</v>
      </c>
      <c r="O675" s="4" t="inlineStr">
        <is>
          <t>United States</t>
        </is>
      </c>
      <c r="P675" s="4" t="inlineStr">
        <is>
          <t>United States</t>
        </is>
      </c>
      <c r="Q675" s="4" t="inlineStr">
        <is>
          <t>Friendly</t>
        </is>
      </c>
      <c r="R675" s="3" t="n">
        <v>11.652</v>
      </c>
      <c r="S675" s="3" t="n">
        <v>-1320.65</v>
      </c>
      <c r="T675" s="4" t="inlineStr">
        <is>
          <t>Company Takeover, Tender Offer</t>
        </is>
      </c>
      <c r="U675" s="2" t="inlineStr">
        <is>
          <t>No</t>
        </is>
      </c>
      <c r="V675" s="2" t="inlineStr">
        <is>
          <t>No</t>
        </is>
      </c>
      <c r="W675" s="2" t="inlineStr">
        <is>
          <t>No</t>
        </is>
      </c>
      <c r="X675" s="2" t="inlineStr">
        <is>
          <t>No</t>
        </is>
      </c>
      <c r="Y675" s="2" t="inlineStr">
        <is>
          <t>No</t>
        </is>
      </c>
      <c r="Z675" s="2" t="inlineStr">
        <is>
          <t>Yes</t>
        </is>
      </c>
      <c r="AA675" s="6" t="n">
        <v>3.471917759</v>
      </c>
      <c r="AB675" s="6" t="n">
        <v>1.066400476</v>
      </c>
      <c r="AC675" s="6" t="n">
        <v>3.471917759</v>
      </c>
      <c r="AD675">
        <f t="array" ref="AD675">IF(SUMPRODUCT(--($AM$2:$AM$112=TRIM(LEFT($B675,IFERROR(FIND(" ",$B675)-1,LEN($B675))))))&gt;0,1,0)</f>
        <v/>
      </c>
      <c r="AE675">
        <f t="array" ref="AE675">IF(SUMPRODUCT(--($AO$2:$AO$145=TRIM(LEFT($B675,IFERROR(FIND(" ",$B675)-1,LEN($B675))))))&gt;0,1,0)</f>
        <v/>
      </c>
      <c r="AF675">
        <f t="array" ref="AF675">IF(SUMPRODUCT(--($AQ$2:$AQ$71=TRIM(LEFT($B675,IFERROR(FIND(" ",$B675)-1,LEN($B675))))))&gt;0,1,0)</f>
        <v/>
      </c>
    </row>
    <row r="676" ht="135.75" customHeight="1" thickBot="1">
      <c r="A676" s="13" t="n">
        <v>57</v>
      </c>
      <c r="B676" s="4" t="inlineStr">
        <is>
          <t>TCP US</t>
        </is>
      </c>
      <c r="C676" s="4" t="inlineStr">
        <is>
          <t>TRP CN</t>
        </is>
      </c>
      <c r="D676" s="7" t="n">
        <v>44180</v>
      </c>
      <c r="E676" s="3" t="n">
        <v>3771.13</v>
      </c>
      <c r="F676" s="4" t="inlineStr">
        <is>
          <t>Stock</t>
        </is>
      </c>
      <c r="G676" s="3" t="n">
        <v>13.77</v>
      </c>
      <c r="H676" s="4" t="inlineStr">
        <is>
          <t>Energy</t>
        </is>
      </c>
      <c r="I676" s="4" t="inlineStr">
        <is>
          <t>Oil &amp; Gas</t>
        </is>
      </c>
      <c r="J676" s="4" t="inlineStr">
        <is>
          <t>Oil &amp; Gas Supply Chain</t>
        </is>
      </c>
      <c r="K676" s="3" t="n">
        <v>4</v>
      </c>
      <c r="L676" s="3" t="n">
        <v>25</v>
      </c>
      <c r="M676" s="3" t="n">
        <v>1.25</v>
      </c>
      <c r="N676" s="3" t="n">
        <v>1884.13</v>
      </c>
      <c r="O676" s="4" t="inlineStr">
        <is>
          <t>United States</t>
        </is>
      </c>
      <c r="P676" s="4" t="inlineStr">
        <is>
          <t>Canada</t>
        </is>
      </c>
      <c r="Q676" s="4" t="inlineStr">
        <is>
          <t>Friendly</t>
        </is>
      </c>
      <c r="R676" s="3" t="n">
        <v>399</v>
      </c>
      <c r="S676" s="3" t="n">
        <v>52.6316</v>
      </c>
      <c r="T676" s="4" t="inlineStr">
        <is>
          <t>Company Takeover, Cross Border, Additional Stake Purchase</t>
        </is>
      </c>
      <c r="U676" s="2" t="inlineStr">
        <is>
          <t>Yes</t>
        </is>
      </c>
      <c r="V676" s="2" t="inlineStr">
        <is>
          <t>No</t>
        </is>
      </c>
      <c r="W676" s="2" t="inlineStr">
        <is>
          <t>Yes</t>
        </is>
      </c>
      <c r="X676" s="2" t="inlineStr">
        <is>
          <t>No</t>
        </is>
      </c>
      <c r="Y676" s="2" t="inlineStr">
        <is>
          <t>No</t>
        </is>
      </c>
      <c r="Z676" s="2" t="inlineStr">
        <is>
          <t>No</t>
        </is>
      </c>
      <c r="AA676" s="6" t="n">
        <v>3.576471504</v>
      </c>
      <c r="AB676" s="6" t="n">
        <v>2.600972896</v>
      </c>
      <c r="AC676" s="6" t="n">
        <v>3.275110865</v>
      </c>
      <c r="AD676">
        <f t="array" ref="AD676">IF(SUMPRODUCT(--($AM$2:$AM$112=TRIM(LEFT($B676,IFERROR(FIND(" ",$B676)-1,LEN($B676))))))&gt;0,1,0)</f>
        <v/>
      </c>
      <c r="AE676">
        <f t="array" ref="AE676">IF(SUMPRODUCT(--($AO$2:$AO$145=TRIM(LEFT($B676,IFERROR(FIND(" ",$B676)-1,LEN($B676))))))&gt;0,1,0)</f>
        <v/>
      </c>
      <c r="AF676">
        <f t="array" ref="AF676">IF(SUMPRODUCT(--($AQ$2:$AQ$71=TRIM(LEFT($B676,IFERROR(FIND(" ",$B676)-1,LEN($B676))))))&gt;0,1,0)</f>
        <v/>
      </c>
    </row>
    <row r="677" ht="75.75" customHeight="1" thickBot="1">
      <c r="A677" s="13" t="n">
        <v>431</v>
      </c>
      <c r="B677" s="4" t="inlineStr">
        <is>
          <t>ACIA US</t>
        </is>
      </c>
      <c r="C677" s="4" t="inlineStr">
        <is>
          <t>CSCO US</t>
        </is>
      </c>
      <c r="D677" s="7" t="n">
        <v>43655</v>
      </c>
      <c r="E677" s="3" t="n">
        <v>4333.16</v>
      </c>
      <c r="F677" s="4" t="inlineStr">
        <is>
          <t>Cash</t>
        </is>
      </c>
      <c r="G677" s="3" t="n">
        <v>140.29</v>
      </c>
      <c r="H677" s="4" t="inlineStr">
        <is>
          <t>Technology</t>
        </is>
      </c>
      <c r="I677" s="4" t="inlineStr">
        <is>
          <t>Tech Hardware &amp; Semiconductors</t>
        </is>
      </c>
      <c r="J677" s="4" t="inlineStr">
        <is>
          <t>Technology Hardware</t>
        </is>
      </c>
      <c r="K677" s="3" t="n">
        <v>120</v>
      </c>
      <c r="L677" s="3" t="n">
        <v>120</v>
      </c>
      <c r="M677" s="3" t="n">
        <v>144.37</v>
      </c>
      <c r="N677" s="3" t="n">
        <v>4747.62</v>
      </c>
      <c r="O677" s="4" t="inlineStr">
        <is>
          <t>United States</t>
        </is>
      </c>
      <c r="P677" s="4" t="inlineStr">
        <is>
          <t>United States</t>
        </is>
      </c>
      <c r="Q677" s="4" t="inlineStr">
        <is>
          <t>Friendly</t>
        </is>
      </c>
      <c r="R677" s="3" t="n">
        <v>583.451</v>
      </c>
      <c r="S677" s="3" t="n">
        <v>15.3082</v>
      </c>
      <c r="T677" s="4" t="inlineStr">
        <is>
          <t>Company Takeover</t>
        </is>
      </c>
      <c r="U677" s="2" t="inlineStr">
        <is>
          <t>No</t>
        </is>
      </c>
      <c r="V677" s="2" t="inlineStr">
        <is>
          <t>No</t>
        </is>
      </c>
      <c r="W677" s="2" t="inlineStr">
        <is>
          <t>No</t>
        </is>
      </c>
      <c r="X677" s="2" t="inlineStr">
        <is>
          <t>No</t>
        </is>
      </c>
      <c r="Y677" s="2" t="inlineStr">
        <is>
          <t>No</t>
        </is>
      </c>
      <c r="Z677" s="2" t="inlineStr">
        <is>
          <t>No</t>
        </is>
      </c>
      <c r="AA677" s="6" t="n">
        <v>3.636804725</v>
      </c>
      <c r="AB677" s="6" t="n">
        <v>2.766004389</v>
      </c>
      <c r="AC677" s="6" t="n">
        <v>3.676475951</v>
      </c>
      <c r="AD677">
        <f t="array" ref="AD677">IF(SUMPRODUCT(--($AM$2:$AM$112=TRIM(LEFT($B677,IFERROR(FIND(" ",$B677)-1,LEN($B677))))))&gt;0,1,0)</f>
        <v/>
      </c>
      <c r="AE677">
        <f t="array" ref="AE677">IF(SUMPRODUCT(--($AO$2:$AO$145=TRIM(LEFT($B677,IFERROR(FIND(" ",$B677)-1,LEN($B677))))))&gt;0,1,0)</f>
        <v/>
      </c>
      <c r="AF677">
        <f t="array" ref="AF677">IF(SUMPRODUCT(--($AQ$2:$AQ$71=TRIM(LEFT($B677,IFERROR(FIND(" ",$B677)-1,LEN($B677))))))&gt;0,1,0)</f>
        <v/>
      </c>
    </row>
    <row r="678" ht="45.75" customHeight="1" thickBot="1">
      <c r="A678" s="13" t="n">
        <v>103</v>
      </c>
      <c r="B678" s="4" t="inlineStr">
        <is>
          <t>2336307D US</t>
        </is>
      </c>
      <c r="C678" s="4" t="inlineStr">
        <is>
          <t>MS US</t>
        </is>
      </c>
      <c r="D678" s="7" t="n">
        <v>44112</v>
      </c>
      <c r="E678" s="3" t="n">
        <v>4406.23</v>
      </c>
      <c r="F678" s="4" t="inlineStr">
        <is>
          <t>Cash or Stock</t>
        </is>
      </c>
      <c r="G678" s="3" t="n">
        <v>7.47</v>
      </c>
      <c r="H678" s="4" t="inlineStr">
        <is>
          <t>Financials</t>
        </is>
      </c>
      <c r="I678" s="4" t="inlineStr">
        <is>
          <t>Financial Services</t>
        </is>
      </c>
      <c r="J678" s="4" t="inlineStr">
        <is>
          <t>Asset Management</t>
        </is>
      </c>
      <c r="K678" s="4" t="n"/>
      <c r="L678" s="3" t="n">
        <v>206</v>
      </c>
      <c r="M678" s="4" t="n"/>
      <c r="N678" s="3" t="n">
        <v>3238.52</v>
      </c>
      <c r="O678" s="4" t="inlineStr">
        <is>
          <t>United States</t>
        </is>
      </c>
      <c r="P678" s="4" t="inlineStr">
        <is>
          <t>United States</t>
        </is>
      </c>
      <c r="Q678" s="4" t="inlineStr">
        <is>
          <t>Friendly</t>
        </is>
      </c>
      <c r="R678" s="3" t="n">
        <v>1730.37</v>
      </c>
      <c r="S678" s="3" t="n">
        <v>13.5162</v>
      </c>
      <c r="T678" s="4" t="inlineStr">
        <is>
          <t>Company Takeover</t>
        </is>
      </c>
      <c r="U678" s="2" t="inlineStr">
        <is>
          <t>No</t>
        </is>
      </c>
      <c r="V678" s="2" t="inlineStr">
        <is>
          <t>No</t>
        </is>
      </c>
      <c r="W678" s="2" t="inlineStr">
        <is>
          <t>No</t>
        </is>
      </c>
      <c r="X678" s="2" t="inlineStr">
        <is>
          <t>No</t>
        </is>
      </c>
      <c r="Y678" s="2" t="inlineStr">
        <is>
          <t>No</t>
        </is>
      </c>
      <c r="Z678" s="2" t="inlineStr">
        <is>
          <t>No</t>
        </is>
      </c>
      <c r="AA678" s="6" t="n">
        <v>3.644067163</v>
      </c>
      <c r="AB678" s="6" t="n">
        <v>3.238138977</v>
      </c>
      <c r="AC678" s="6" t="n">
        <v>3.510346583</v>
      </c>
      <c r="AD678">
        <f t="array" ref="AD678">IF(SUMPRODUCT(--($AM$2:$AM$112=TRIM(LEFT($B678,IFERROR(FIND(" ",$B678)-1,LEN($B678))))))&gt;0,1,0)</f>
        <v/>
      </c>
      <c r="AE678">
        <f t="array" ref="AE678">IF(SUMPRODUCT(--($AO$2:$AO$145=TRIM(LEFT($B678,IFERROR(FIND(" ",$B678)-1,LEN($B678))))))&gt;0,1,0)</f>
        <v/>
      </c>
      <c r="AF678">
        <f t="array" ref="AF678">IF(SUMPRODUCT(--($AQ$2:$AQ$71=TRIM(LEFT($B678,IFERROR(FIND(" ",$B678)-1,LEN($B678))))))&gt;0,1,0)</f>
        <v/>
      </c>
    </row>
    <row r="679" ht="45.75" customHeight="1" thickBot="1">
      <c r="A679" s="13" t="n">
        <v>148</v>
      </c>
      <c r="B679" s="4" t="inlineStr">
        <is>
          <t>1935157D US</t>
        </is>
      </c>
      <c r="C679" s="4" t="inlineStr">
        <is>
          <t>SPNT US</t>
        </is>
      </c>
      <c r="D679" s="7" t="n">
        <v>44049</v>
      </c>
      <c r="E679" s="3" t="n">
        <v>1095.34</v>
      </c>
      <c r="F679" s="4" t="inlineStr">
        <is>
          <t>Cash or Stock</t>
        </is>
      </c>
      <c r="G679" s="4" t="n"/>
      <c r="H679" s="4" t="inlineStr">
        <is>
          <t>Financials</t>
        </is>
      </c>
      <c r="I679" s="4" t="inlineStr">
        <is>
          <t>Insurance</t>
        </is>
      </c>
      <c r="J679" s="4" t="inlineStr">
        <is>
          <t>Insurance</t>
        </is>
      </c>
      <c r="K679" s="4" t="n"/>
      <c r="L679" s="4" t="n"/>
      <c r="M679" s="3" t="n">
        <v>37.05</v>
      </c>
      <c r="N679" s="3" t="n">
        <v>1095.34</v>
      </c>
      <c r="O679" s="4" t="inlineStr">
        <is>
          <t>Bermuda</t>
        </is>
      </c>
      <c r="P679" s="4" t="inlineStr">
        <is>
          <t>Bermuda</t>
        </is>
      </c>
      <c r="Q679" s="4" t="inlineStr">
        <is>
          <t>Friendly</t>
        </is>
      </c>
      <c r="R679" s="3" t="n">
        <v>1720.1</v>
      </c>
      <c r="S679" s="3" t="n">
        <v>-21.0728</v>
      </c>
      <c r="T679" s="4" t="inlineStr">
        <is>
          <t>Company Takeover</t>
        </is>
      </c>
      <c r="U679" s="2" t="inlineStr">
        <is>
          <t>No</t>
        </is>
      </c>
      <c r="V679" s="2" t="inlineStr">
        <is>
          <t>No</t>
        </is>
      </c>
      <c r="W679" s="2" t="inlineStr">
        <is>
          <t>No</t>
        </is>
      </c>
      <c r="X679" s="2" t="inlineStr">
        <is>
          <t>No</t>
        </is>
      </c>
      <c r="Y679" s="2" t="inlineStr">
        <is>
          <t>No</t>
        </is>
      </c>
      <c r="Z679" s="2" t="inlineStr">
        <is>
          <t>No</t>
        </is>
      </c>
      <c r="AA679" s="6" t="n">
        <v>3.039548948</v>
      </c>
      <c r="AB679" s="6" t="n">
        <v>3.235553696</v>
      </c>
      <c r="AC679" s="6" t="n">
        <v>3.039548948</v>
      </c>
      <c r="AD679">
        <f t="array" ref="AD679">IF(SUMPRODUCT(--($AM$2:$AM$112=TRIM(LEFT($B679,IFERROR(FIND(" ",$B679)-1,LEN($B679))))))&gt;0,1,0)</f>
        <v/>
      </c>
      <c r="AE679">
        <f t="array" ref="AE679">IF(SUMPRODUCT(--($AO$2:$AO$145=TRIM(LEFT($B679,IFERROR(FIND(" ",$B679)-1,LEN($B679))))))&gt;0,1,0)</f>
        <v/>
      </c>
      <c r="AF679">
        <f t="array" ref="AF679">IF(SUMPRODUCT(--($AQ$2:$AQ$71=TRIM(LEFT($B679,IFERROR(FIND(" ",$B679)-1,LEN($B679))))))&gt;0,1,0)</f>
        <v/>
      </c>
    </row>
    <row r="680" ht="45.75" customHeight="1" thickBot="1">
      <c r="A680" s="13" t="n">
        <v>60</v>
      </c>
      <c r="B680" s="4" t="inlineStr">
        <is>
          <t>TOG CN</t>
        </is>
      </c>
      <c r="C680" s="4" t="inlineStr">
        <is>
          <t>WCP CN</t>
        </is>
      </c>
      <c r="D680" s="7" t="n">
        <v>44173</v>
      </c>
      <c r="E680" s="3" t="n">
        <v>625.16</v>
      </c>
      <c r="F680" s="4" t="inlineStr">
        <is>
          <t>Stock</t>
        </is>
      </c>
      <c r="G680" s="4" t="n"/>
      <c r="H680" s="4" t="inlineStr">
        <is>
          <t>Energy</t>
        </is>
      </c>
      <c r="I680" s="4" t="inlineStr">
        <is>
          <t>Oil &amp; Gas</t>
        </is>
      </c>
      <c r="J680" s="4" t="inlineStr">
        <is>
          <t>Oil &amp; Gas Supply Chain</t>
        </is>
      </c>
      <c r="K680" s="3" t="n">
        <v>20</v>
      </c>
      <c r="L680" s="3" t="n">
        <v>20</v>
      </c>
      <c r="M680" s="3" t="n">
        <v>-0.45</v>
      </c>
      <c r="N680" s="3" t="n">
        <v>354.62</v>
      </c>
      <c r="O680" s="4" t="inlineStr">
        <is>
          <t>Canada</t>
        </is>
      </c>
      <c r="P680" s="4" t="inlineStr">
        <is>
          <t>Canada</t>
        </is>
      </c>
      <c r="Q680" s="4" t="inlineStr">
        <is>
          <t>Friendly</t>
        </is>
      </c>
      <c r="R680" s="3" t="n">
        <v>362.54</v>
      </c>
      <c r="S680" s="3" t="n">
        <v>-300.303</v>
      </c>
      <c r="T680" s="4" t="inlineStr">
        <is>
          <t>Company Takeover</t>
        </is>
      </c>
      <c r="U680" s="2" t="inlineStr">
        <is>
          <t>No</t>
        </is>
      </c>
      <c r="V680" s="2" t="inlineStr">
        <is>
          <t>No</t>
        </is>
      </c>
      <c r="W680" s="2" t="inlineStr">
        <is>
          <t>No</t>
        </is>
      </c>
      <c r="X680" s="2" t="inlineStr">
        <is>
          <t>No</t>
        </is>
      </c>
      <c r="Y680" s="2" t="inlineStr">
        <is>
          <t>No</t>
        </is>
      </c>
      <c r="Z680" s="2" t="inlineStr">
        <is>
          <t>No</t>
        </is>
      </c>
      <c r="AA680" s="6" t="n">
        <v>2.795991183</v>
      </c>
      <c r="AB680" s="6" t="n">
        <v>2.55935593</v>
      </c>
      <c r="AC680" s="6" t="n">
        <v>2.549763225</v>
      </c>
      <c r="AD680">
        <f t="array" ref="AD680">IF(SUMPRODUCT(--($AM$2:$AM$112=TRIM(LEFT($B680,IFERROR(FIND(" ",$B680)-1,LEN($B680))))))&gt;0,1,0)</f>
        <v/>
      </c>
      <c r="AE680">
        <f t="array" ref="AE680">IF(SUMPRODUCT(--($AO$2:$AO$145=TRIM(LEFT($B680,IFERROR(FIND(" ",$B680)-1,LEN($B680))))))&gt;0,1,0)</f>
        <v/>
      </c>
      <c r="AF680">
        <f t="array" ref="AF680">IF(SUMPRODUCT(--($AQ$2:$AQ$71=TRIM(LEFT($B680,IFERROR(FIND(" ",$B680)-1,LEN($B680))))))&gt;0,1,0)</f>
        <v/>
      </c>
    </row>
    <row r="681" ht="75.75" customHeight="1" thickBot="1">
      <c r="A681" s="13" t="n">
        <v>50</v>
      </c>
      <c r="B681" s="4" t="inlineStr">
        <is>
          <t>PEO CN</t>
        </is>
      </c>
      <c r="C681" s="4" t="inlineStr">
        <is>
          <t>GS US</t>
        </is>
      </c>
      <c r="D681" s="7" t="n">
        <v>44179</v>
      </c>
      <c r="E681" s="3" t="n">
        <v>926.8200000000001</v>
      </c>
      <c r="F681" s="4" t="inlineStr">
        <is>
          <t>Cash</t>
        </is>
      </c>
      <c r="G681" s="4" t="n"/>
      <c r="H681" s="4" t="inlineStr">
        <is>
          <t>Industrials</t>
        </is>
      </c>
      <c r="I681" s="4" t="inlineStr">
        <is>
          <t>Industrial Services</t>
        </is>
      </c>
      <c r="J681" s="4" t="inlineStr">
        <is>
          <t>Commercial Support Services</t>
        </is>
      </c>
      <c r="K681" s="4" t="n"/>
      <c r="L681" s="4" t="n"/>
      <c r="M681" s="3" t="n">
        <v>37.19</v>
      </c>
      <c r="N681" s="3" t="n">
        <v>857.08</v>
      </c>
      <c r="O681" s="4" t="inlineStr">
        <is>
          <t>Canada</t>
        </is>
      </c>
      <c r="P681" s="4" t="inlineStr">
        <is>
          <t>United States</t>
        </is>
      </c>
      <c r="Q681" s="4" t="inlineStr">
        <is>
          <t>Friendly</t>
        </is>
      </c>
      <c r="R681" s="3" t="n">
        <v>156.817</v>
      </c>
      <c r="S681" s="3" t="n">
        <v>10.9006</v>
      </c>
      <c r="T681" s="4" t="inlineStr">
        <is>
          <t>Company Takeover, Cross Border</t>
        </is>
      </c>
      <c r="U681" s="2" t="inlineStr">
        <is>
          <t>No</t>
        </is>
      </c>
      <c r="V681" s="2" t="inlineStr">
        <is>
          <t>No</t>
        </is>
      </c>
      <c r="W681" s="2" t="inlineStr">
        <is>
          <t>Yes</t>
        </is>
      </c>
      <c r="X681" s="2" t="inlineStr">
        <is>
          <t>No</t>
        </is>
      </c>
      <c r="Y681" s="2" t="inlineStr">
        <is>
          <t>No</t>
        </is>
      </c>
      <c r="Z681" s="2" t="inlineStr">
        <is>
          <t>No</t>
        </is>
      </c>
      <c r="AA681" s="6" t="n">
        <v>2.966995397</v>
      </c>
      <c r="AB681" s="6" t="n">
        <v>2.195393141</v>
      </c>
      <c r="AC681" s="6" t="n">
        <v>2.933021361</v>
      </c>
      <c r="AD681">
        <f t="array" ref="AD681">IF(SUMPRODUCT(--($AM$2:$AM$112=TRIM(LEFT($B681,IFERROR(FIND(" ",$B681)-1,LEN($B681))))))&gt;0,1,0)</f>
        <v/>
      </c>
      <c r="AE681">
        <f t="array" ref="AE681">IF(SUMPRODUCT(--($AO$2:$AO$145=TRIM(LEFT($B681,IFERROR(FIND(" ",$B681)-1,LEN($B681))))))&gt;0,1,0)</f>
        <v/>
      </c>
      <c r="AF681">
        <f t="array" ref="AF681">IF(SUMPRODUCT(--($AQ$2:$AQ$71=TRIM(LEFT($B681,IFERROR(FIND(" ",$B681)-1,LEN($B681))))))&gt;0,1,0)</f>
        <v/>
      </c>
    </row>
    <row r="682" ht="75.75" customHeight="1" thickBot="1">
      <c r="A682" s="13" t="n">
        <v>68</v>
      </c>
      <c r="B682" s="4" t="inlineStr">
        <is>
          <t>TGZ CN</t>
        </is>
      </c>
      <c r="C682" s="4" t="inlineStr">
        <is>
          <t>9990526D CN</t>
        </is>
      </c>
      <c r="D682" s="7" t="n">
        <v>44151</v>
      </c>
      <c r="E682" s="3" t="n">
        <v>2254.19</v>
      </c>
      <c r="F682" s="4" t="inlineStr">
        <is>
          <t>Stock</t>
        </is>
      </c>
      <c r="G682" s="3" t="n">
        <v>8.449999999999999</v>
      </c>
      <c r="H682" s="4" t="inlineStr">
        <is>
          <t>Materials</t>
        </is>
      </c>
      <c r="I682" s="4" t="inlineStr">
        <is>
          <t>Materials</t>
        </is>
      </c>
      <c r="J682" s="4" t="inlineStr">
        <is>
          <t>Metals &amp; Mining</t>
        </is>
      </c>
      <c r="K682" s="3" t="n">
        <v>40</v>
      </c>
      <c r="L682" s="3" t="n">
        <v>40</v>
      </c>
      <c r="M682" s="3" t="n">
        <v>8.82</v>
      </c>
      <c r="N682" s="3" t="n">
        <v>1961.25</v>
      </c>
      <c r="O682" s="4" t="inlineStr">
        <is>
          <t>Canada</t>
        </is>
      </c>
      <c r="P682" s="4" t="inlineStr">
        <is>
          <t>Ivory Coast</t>
        </is>
      </c>
      <c r="Q682" s="4" t="inlineStr">
        <is>
          <t>Friendly</t>
        </is>
      </c>
      <c r="R682" s="3" t="n">
        <v>353.49</v>
      </c>
      <c r="S682" s="3" t="n">
        <v>23.1542</v>
      </c>
      <c r="T682" s="4" t="inlineStr">
        <is>
          <t>Company Takeover, Cross Border</t>
        </is>
      </c>
      <c r="U682" s="2" t="inlineStr">
        <is>
          <t>No</t>
        </is>
      </c>
      <c r="V682" s="2" t="inlineStr">
        <is>
          <t>No</t>
        </is>
      </c>
      <c r="W682" s="2" t="inlineStr">
        <is>
          <t>Yes</t>
        </is>
      </c>
      <c r="X682" s="2" t="inlineStr">
        <is>
          <t>No</t>
        </is>
      </c>
      <c r="Y682" s="2" t="inlineStr">
        <is>
          <t>No</t>
        </is>
      </c>
      <c r="Z682" s="2" t="inlineStr">
        <is>
          <t>No</t>
        </is>
      </c>
      <c r="AA682" s="6" t="n">
        <v>3.352990519</v>
      </c>
      <c r="AB682" s="6" t="n">
        <v>2.548377132</v>
      </c>
      <c r="AC682" s="6" t="n">
        <v>3.292532957</v>
      </c>
      <c r="AD682">
        <f t="array" ref="AD682">IF(SUMPRODUCT(--($AM$2:$AM$112=TRIM(LEFT($B682,IFERROR(FIND(" ",$B682)-1,LEN($B682))))))&gt;0,1,0)</f>
        <v/>
      </c>
      <c r="AE682">
        <f t="array" ref="AE682">IF(SUMPRODUCT(--($AO$2:$AO$145=TRIM(LEFT($B682,IFERROR(FIND(" ",$B682)-1,LEN($B682))))))&gt;0,1,0)</f>
        <v/>
      </c>
      <c r="AF682">
        <f t="array" ref="AF682">IF(SUMPRODUCT(--($AQ$2:$AQ$71=TRIM(LEFT($B682,IFERROR(FIND(" ",$B682)-1,LEN($B682))))))&gt;0,1,0)</f>
        <v/>
      </c>
    </row>
    <row r="683" ht="165.75" customHeight="1" thickBot="1">
      <c r="A683" s="13" t="n">
        <v>112</v>
      </c>
      <c r="B683" s="4" t="inlineStr">
        <is>
          <t>VRTU US</t>
        </is>
      </c>
      <c r="C683" s="2" t="n"/>
      <c r="D683" s="7" t="n">
        <v>44084</v>
      </c>
      <c r="E683" s="3" t="n">
        <v>1794.52</v>
      </c>
      <c r="F683" s="4" t="inlineStr">
        <is>
          <t>Cash</t>
        </is>
      </c>
      <c r="G683" s="3" t="n">
        <v>15.27</v>
      </c>
      <c r="H683" s="4" t="inlineStr">
        <is>
          <t>Technology</t>
        </is>
      </c>
      <c r="I683" s="4" t="inlineStr">
        <is>
          <t>Software &amp; Tech Services</t>
        </is>
      </c>
      <c r="J683" s="4" t="inlineStr">
        <is>
          <t>IT Services</t>
        </is>
      </c>
      <c r="K683" s="3" t="n">
        <v>108.66</v>
      </c>
      <c r="L683" s="3" t="n">
        <v>54.33</v>
      </c>
      <c r="M683" s="4" t="n"/>
      <c r="N683" s="3" t="n">
        <v>1553.18</v>
      </c>
      <c r="O683" s="4" t="inlineStr">
        <is>
          <t>United States</t>
        </is>
      </c>
      <c r="P683" s="4" t="inlineStr">
        <is>
          <t>Hong Kong</t>
        </is>
      </c>
      <c r="Q683" s="4" t="inlineStr">
        <is>
          <t>Friendly</t>
        </is>
      </c>
      <c r="R683" s="3" t="n">
        <v>1312.28</v>
      </c>
      <c r="S683" s="3" t="n">
        <v>6.06421</v>
      </c>
      <c r="T683" s="4" t="inlineStr">
        <is>
          <t>PE Buyout, Company Takeover, Cross Border, Private Equity, Going Private</t>
        </is>
      </c>
      <c r="U683" s="2" t="inlineStr">
        <is>
          <t>No</t>
        </is>
      </c>
      <c r="V683" s="2" t="inlineStr">
        <is>
          <t>No</t>
        </is>
      </c>
      <c r="W683" s="2" t="inlineStr">
        <is>
          <t>Yes</t>
        </is>
      </c>
      <c r="X683" s="2" t="inlineStr">
        <is>
          <t>Yes</t>
        </is>
      </c>
      <c r="Y683" s="2" t="inlineStr">
        <is>
          <t>Yes</t>
        </is>
      </c>
      <c r="Z683" s="2" t="inlineStr">
        <is>
          <t>No</t>
        </is>
      </c>
      <c r="AA683" s="6" t="n">
        <v>3.253948303</v>
      </c>
      <c r="AB683" s="6" t="n">
        <v>3.11802651</v>
      </c>
      <c r="AC683" s="6" t="n">
        <v>3.19122179</v>
      </c>
      <c r="AD683">
        <f t="array" ref="AD683">IF(SUMPRODUCT(--($AM$2:$AM$112=TRIM(LEFT($B683,IFERROR(FIND(" ",$B683)-1,LEN($B683))))))&gt;0,1,0)</f>
        <v/>
      </c>
      <c r="AE683">
        <f t="array" ref="AE683">IF(SUMPRODUCT(--($AO$2:$AO$145=TRIM(LEFT($B683,IFERROR(FIND(" ",$B683)-1,LEN($B683))))))&gt;0,1,0)</f>
        <v/>
      </c>
      <c r="AF683">
        <f t="array" ref="AF683">IF(SUMPRODUCT(--($AQ$2:$AQ$71=TRIM(LEFT($B683,IFERROR(FIND(" ",$B683)-1,LEN($B683))))))&gt;0,1,0)</f>
        <v/>
      </c>
    </row>
    <row r="684" ht="135.75" customHeight="1" thickBot="1">
      <c r="A684" s="13" t="n">
        <v>74</v>
      </c>
      <c r="B684" s="4" t="inlineStr">
        <is>
          <t>EIGI US</t>
        </is>
      </c>
      <c r="C684" s="4" t="inlineStr">
        <is>
          <t>8376046Z US</t>
        </is>
      </c>
      <c r="D684" s="7" t="n">
        <v>44137</v>
      </c>
      <c r="E684" s="3" t="n">
        <v>2940.42</v>
      </c>
      <c r="F684" s="4" t="inlineStr">
        <is>
          <t>Cash</t>
        </is>
      </c>
      <c r="G684" s="3" t="n">
        <v>9.050000000000001</v>
      </c>
      <c r="H684" s="4" t="inlineStr">
        <is>
          <t>Communications</t>
        </is>
      </c>
      <c r="I684" s="4" t="inlineStr">
        <is>
          <t>Media</t>
        </is>
      </c>
      <c r="J684" s="4" t="inlineStr">
        <is>
          <t>Internet Media &amp; Services</t>
        </is>
      </c>
      <c r="K684" s="3" t="n">
        <v>119.656</v>
      </c>
      <c r="L684" s="3" t="n">
        <v>37.393</v>
      </c>
      <c r="M684" s="4" t="n"/>
      <c r="N684" s="3" t="n">
        <v>1337.01</v>
      </c>
      <c r="O684" s="4" t="inlineStr">
        <is>
          <t>United States</t>
        </is>
      </c>
      <c r="P684" s="4" t="inlineStr">
        <is>
          <t>United States</t>
        </is>
      </c>
      <c r="Q684" s="4" t="inlineStr">
        <is>
          <t>Friendly</t>
        </is>
      </c>
      <c r="R684" s="3" t="n">
        <v>1113.28</v>
      </c>
      <c r="S684" s="3" t="n">
        <v>15.8076</v>
      </c>
      <c r="T684" s="4" t="inlineStr">
        <is>
          <t>PE Buyout, Company Takeover, Private Equity, Going Private</t>
        </is>
      </c>
      <c r="U684" s="2" t="inlineStr">
        <is>
          <t>No</t>
        </is>
      </c>
      <c r="V684" s="2" t="inlineStr">
        <is>
          <t>No</t>
        </is>
      </c>
      <c r="W684" s="2" t="inlineStr">
        <is>
          <t>No</t>
        </is>
      </c>
      <c r="X684" s="2" t="inlineStr">
        <is>
          <t>Yes</t>
        </is>
      </c>
      <c r="Y684" s="2" t="inlineStr">
        <is>
          <t>Yes</t>
        </is>
      </c>
      <c r="Z684" s="2" t="inlineStr">
        <is>
          <t>No</t>
        </is>
      </c>
      <c r="AA684" s="6" t="n">
        <v>3.468409368</v>
      </c>
      <c r="AB684" s="6" t="n">
        <v>3.046604407</v>
      </c>
      <c r="AC684" s="6" t="n">
        <v>3.126134656</v>
      </c>
      <c r="AD684">
        <f t="array" ref="AD684">IF(SUMPRODUCT(--($AM$2:$AM$112=TRIM(LEFT($B684,IFERROR(FIND(" ",$B684)-1,LEN($B684))))))&gt;0,1,0)</f>
        <v/>
      </c>
      <c r="AE684">
        <f t="array" ref="AE684">IF(SUMPRODUCT(--($AO$2:$AO$145=TRIM(LEFT($B684,IFERROR(FIND(" ",$B684)-1,LEN($B684))))))&gt;0,1,0)</f>
        <v/>
      </c>
      <c r="AF684">
        <f t="array" ref="AF684">IF(SUMPRODUCT(--($AQ$2:$AQ$71=TRIM(LEFT($B684,IFERROR(FIND(" ",$B684)-1,LEN($B684))))))&gt;0,1,0)</f>
        <v/>
      </c>
    </row>
    <row r="685" ht="105.75" customHeight="1" thickBot="1">
      <c r="A685" s="13" t="n">
        <v>39</v>
      </c>
      <c r="B685" s="4" t="inlineStr">
        <is>
          <t>1917130D US</t>
        </is>
      </c>
      <c r="C685" s="4" t="inlineStr">
        <is>
          <t>PHIA NA</t>
        </is>
      </c>
      <c r="D685" s="7" t="n">
        <v>44183</v>
      </c>
      <c r="E685" s="3" t="n">
        <v>2699.17</v>
      </c>
      <c r="F685" s="4" t="inlineStr">
        <is>
          <t>Cash</t>
        </is>
      </c>
      <c r="G685" s="3" t="n">
        <v>29.11</v>
      </c>
      <c r="H685" s="4" t="inlineStr">
        <is>
          <t>Health Care</t>
        </is>
      </c>
      <c r="I685" s="4" t="inlineStr">
        <is>
          <t>Health Care</t>
        </is>
      </c>
      <c r="J685" s="4" t="inlineStr">
        <is>
          <t>Medical Equipment &amp; Devices</t>
        </is>
      </c>
      <c r="K685" s="4" t="n"/>
      <c r="L685" s="3" t="n">
        <v>75</v>
      </c>
      <c r="M685" s="3" t="n">
        <v>27.02</v>
      </c>
      <c r="N685" s="3" t="n">
        <v>2584.31</v>
      </c>
      <c r="O685" s="4" t="inlineStr">
        <is>
          <t>United States</t>
        </is>
      </c>
      <c r="P685" s="4" t="inlineStr">
        <is>
          <t>Netherlands</t>
        </is>
      </c>
      <c r="Q685" s="4" t="inlineStr">
        <is>
          <t>Friendly</t>
        </is>
      </c>
      <c r="R685" s="3" t="n">
        <v>439.107</v>
      </c>
      <c r="S685" s="3" t="n">
        <v>9.18239</v>
      </c>
      <c r="T685" s="4" t="inlineStr">
        <is>
          <t>Company Takeover, Cross Border, Tender Offer</t>
        </is>
      </c>
      <c r="U685" s="2" t="inlineStr">
        <is>
          <t>No</t>
        </is>
      </c>
      <c r="V685" s="2" t="inlineStr">
        <is>
          <t>No</t>
        </is>
      </c>
      <c r="W685" s="2" t="inlineStr">
        <is>
          <t>Yes</t>
        </is>
      </c>
      <c r="X685" s="2" t="inlineStr">
        <is>
          <t>No</t>
        </is>
      </c>
      <c r="Y685" s="2" t="inlineStr">
        <is>
          <t>No</t>
        </is>
      </c>
      <c r="Z685" s="2" t="inlineStr">
        <is>
          <t>Yes</t>
        </is>
      </c>
      <c r="AA685" s="6" t="n">
        <v>3.431230238</v>
      </c>
      <c r="AB685" s="6" t="n">
        <v>2.64257036</v>
      </c>
      <c r="AC685" s="6" t="n">
        <v>3.412344608</v>
      </c>
      <c r="AD685">
        <f t="array" ref="AD685">IF(SUMPRODUCT(--($AM$2:$AM$112=TRIM(LEFT($B685,IFERROR(FIND(" ",$B685)-1,LEN($B685))))))&gt;0,1,0)</f>
        <v/>
      </c>
      <c r="AE685">
        <f t="array" ref="AE685">IF(SUMPRODUCT(--($AO$2:$AO$145=TRIM(LEFT($B685,IFERROR(FIND(" ",$B685)-1,LEN($B685))))))&gt;0,1,0)</f>
        <v/>
      </c>
      <c r="AF685">
        <f t="array" ref="AF685">IF(SUMPRODUCT(--($AQ$2:$AQ$71=TRIM(LEFT($B685,IFERROR(FIND(" ",$B685)-1,LEN($B685))))))&gt;0,1,0)</f>
        <v/>
      </c>
    </row>
    <row r="686" ht="165.75" customHeight="1" thickBot="1">
      <c r="A686" s="13" t="n">
        <v>52</v>
      </c>
      <c r="B686" s="4" t="inlineStr">
        <is>
          <t>CLCT US</t>
        </is>
      </c>
      <c r="C686" s="2" t="n"/>
      <c r="D686" s="7" t="n">
        <v>44165</v>
      </c>
      <c r="E686" s="3" t="n">
        <v>855.51</v>
      </c>
      <c r="F686" s="4" t="inlineStr">
        <is>
          <t>Cash</t>
        </is>
      </c>
      <c r="G686" s="3" t="n">
        <v>37.71</v>
      </c>
      <c r="H686" s="4" t="inlineStr">
        <is>
          <t>Industrials</t>
        </is>
      </c>
      <c r="I686" s="4" t="inlineStr">
        <is>
          <t>Industrial Services</t>
        </is>
      </c>
      <c r="J686" s="4" t="inlineStr">
        <is>
          <t>Commercial Support Services</t>
        </is>
      </c>
      <c r="K686" s="3" t="n">
        <v>22.7418</v>
      </c>
      <c r="L686" s="3" t="n">
        <v>43.7343</v>
      </c>
      <c r="M686" s="4" t="n"/>
      <c r="N686" s="3" t="n">
        <v>855.51</v>
      </c>
      <c r="O686" s="4" t="inlineStr">
        <is>
          <t>United States</t>
        </is>
      </c>
      <c r="P686" s="4" t="inlineStr">
        <is>
          <t>United States</t>
        </is>
      </c>
      <c r="Q686" s="4" t="inlineStr">
        <is>
          <t>Friendly</t>
        </is>
      </c>
      <c r="R686" s="3" t="n">
        <v>78.89100000000001</v>
      </c>
      <c r="S686" s="3" t="n">
        <v>22.7643</v>
      </c>
      <c r="T686" s="4" t="inlineStr">
        <is>
          <t>PE Buyout, Company Takeover, Private Equity, Tender Offer, Going Private</t>
        </is>
      </c>
      <c r="U686" s="2" t="inlineStr">
        <is>
          <t>No</t>
        </is>
      </c>
      <c r="V686" s="2" t="inlineStr">
        <is>
          <t>No</t>
        </is>
      </c>
      <c r="W686" s="2" t="inlineStr">
        <is>
          <t>No</t>
        </is>
      </c>
      <c r="X686" s="2" t="inlineStr">
        <is>
          <t>Yes</t>
        </is>
      </c>
      <c r="Y686" s="2" t="inlineStr">
        <is>
          <t>Yes</t>
        </is>
      </c>
      <c r="Z686" s="2" t="inlineStr">
        <is>
          <t>Yes</t>
        </is>
      </c>
      <c r="AA686" s="6" t="n">
        <v>2.93222509</v>
      </c>
      <c r="AB686" s="6" t="n">
        <v>1.897027461</v>
      </c>
      <c r="AC686" s="6" t="n">
        <v>2.93222509</v>
      </c>
      <c r="AD686">
        <f t="array" ref="AD686">IF(SUMPRODUCT(--($AM$2:$AM$112=TRIM(LEFT($B686,IFERROR(FIND(" ",$B686)-1,LEN($B686))))))&gt;0,1,0)</f>
        <v/>
      </c>
      <c r="AE686">
        <f t="array" ref="AE686">IF(SUMPRODUCT(--($AO$2:$AO$145=TRIM(LEFT($B686,IFERROR(FIND(" ",$B686)-1,LEN($B686))))))&gt;0,1,0)</f>
        <v/>
      </c>
      <c r="AF686">
        <f t="array" ref="AF686">IF(SUMPRODUCT(--($AQ$2:$AQ$71=TRIM(LEFT($B686,IFERROR(FIND(" ",$B686)-1,LEN($B686))))))&gt;0,1,0)</f>
        <v/>
      </c>
    </row>
    <row r="687" ht="60.75" customHeight="1" thickBot="1">
      <c r="A687" s="13" t="n">
        <v>55</v>
      </c>
      <c r="B687" s="4" t="inlineStr">
        <is>
          <t>OSB CN</t>
        </is>
      </c>
      <c r="C687" s="4" t="inlineStr">
        <is>
          <t>WFG CN</t>
        </is>
      </c>
      <c r="D687" s="7" t="n">
        <v>44154</v>
      </c>
      <c r="E687" s="3" t="n">
        <v>3219.12</v>
      </c>
      <c r="F687" s="4" t="inlineStr">
        <is>
          <t>Stock</t>
        </is>
      </c>
      <c r="G687" s="3" t="n">
        <v>6.82</v>
      </c>
      <c r="H687" s="4" t="inlineStr">
        <is>
          <t>Materials</t>
        </is>
      </c>
      <c r="I687" s="4" t="inlineStr">
        <is>
          <t>Materials</t>
        </is>
      </c>
      <c r="J687" s="4" t="inlineStr">
        <is>
          <t>Forestry, Paper &amp; Wood Products</t>
        </is>
      </c>
      <c r="K687" s="4" t="n"/>
      <c r="L687" s="4" t="n"/>
      <c r="M687" s="3" t="n">
        <v>4.4</v>
      </c>
      <c r="N687" s="3" t="n">
        <v>2788.8</v>
      </c>
      <c r="O687" s="4" t="inlineStr">
        <is>
          <t>Canada</t>
        </is>
      </c>
      <c r="P687" s="4" t="inlineStr">
        <is>
          <t>Canada</t>
        </is>
      </c>
      <c r="Q687" s="4" t="inlineStr">
        <is>
          <t>Friendly</t>
        </is>
      </c>
      <c r="R687" s="3" t="n">
        <v>2407</v>
      </c>
      <c r="S687" s="3" t="n">
        <v>28.9572</v>
      </c>
      <c r="T687" s="4" t="inlineStr">
        <is>
          <t>Company Takeover</t>
        </is>
      </c>
      <c r="U687" s="2" t="inlineStr">
        <is>
          <t>No</t>
        </is>
      </c>
      <c r="V687" s="2" t="inlineStr">
        <is>
          <t>No</t>
        </is>
      </c>
      <c r="W687" s="2" t="inlineStr">
        <is>
          <t>No</t>
        </is>
      </c>
      <c r="X687" s="2" t="inlineStr">
        <is>
          <t>No</t>
        </is>
      </c>
      <c r="Y687" s="2" t="inlineStr">
        <is>
          <t>No</t>
        </is>
      </c>
      <c r="Z687" s="2" t="inlineStr">
        <is>
          <t>No</t>
        </is>
      </c>
      <c r="AA687" s="6" t="n">
        <v>3.507737166</v>
      </c>
      <c r="AB687" s="6" t="n">
        <v>3.38147609</v>
      </c>
      <c r="AC687" s="6" t="n">
        <v>3.44541737</v>
      </c>
      <c r="AD687">
        <f t="array" ref="AD687">IF(SUMPRODUCT(--($AM$2:$AM$112=TRIM(LEFT($B687,IFERROR(FIND(" ",$B687)-1,LEN($B687))))))&gt;0,1,0)</f>
        <v/>
      </c>
      <c r="AE687">
        <f t="array" ref="AE687">IF(SUMPRODUCT(--($AO$2:$AO$145=TRIM(LEFT($B687,IFERROR(FIND(" ",$B687)-1,LEN($B687))))))&gt;0,1,0)</f>
        <v/>
      </c>
      <c r="AF687">
        <f t="array" ref="AF687">IF(SUMPRODUCT(--($AQ$2:$AQ$71=TRIM(LEFT($B687,IFERROR(FIND(" ",$B687)-1,LEN($B687))))))&gt;0,1,0)</f>
        <v/>
      </c>
    </row>
    <row r="688" ht="135.75" customHeight="1" thickBot="1">
      <c r="A688" s="13" t="n">
        <v>55</v>
      </c>
      <c r="B688" s="4" t="inlineStr">
        <is>
          <t>FBM US</t>
        </is>
      </c>
      <c r="C688" s="4" t="inlineStr">
        <is>
          <t>0704811D US</t>
        </is>
      </c>
      <c r="D688" s="7" t="n">
        <v>44150</v>
      </c>
      <c r="E688" s="3" t="n">
        <v>1388.62</v>
      </c>
      <c r="F688" s="4" t="inlineStr">
        <is>
          <t>Cash</t>
        </is>
      </c>
      <c r="G688" s="3" t="n">
        <v>7.34</v>
      </c>
      <c r="H688" s="4" t="inlineStr">
        <is>
          <t>Consumer Discretionary</t>
        </is>
      </c>
      <c r="I688" s="4" t="inlineStr">
        <is>
          <t>Retail &amp; Whsle - Discretionary</t>
        </is>
      </c>
      <c r="J688" s="4" t="inlineStr">
        <is>
          <t>Retail - Discretionary</t>
        </is>
      </c>
      <c r="K688" s="4" t="n"/>
      <c r="L688" s="3" t="n">
        <v>25</v>
      </c>
      <c r="M688" s="4" t="n"/>
      <c r="N688" s="3" t="n">
        <v>831.74</v>
      </c>
      <c r="O688" s="4" t="inlineStr">
        <is>
          <t>United States</t>
        </is>
      </c>
      <c r="P688" s="4" t="inlineStr">
        <is>
          <t>United States</t>
        </is>
      </c>
      <c r="Q688" s="4" t="inlineStr">
        <is>
          <t>Friendly</t>
        </is>
      </c>
      <c r="R688" s="3" t="n">
        <v>2154.53</v>
      </c>
      <c r="S688" s="3" t="n">
        <v>3.74404</v>
      </c>
      <c r="T688" s="4" t="inlineStr">
        <is>
          <t>PE Buyout, Company Takeover, Private Equity, Going Private</t>
        </is>
      </c>
      <c r="U688" s="2" t="inlineStr">
        <is>
          <t>No</t>
        </is>
      </c>
      <c r="V688" s="2" t="inlineStr">
        <is>
          <t>No</t>
        </is>
      </c>
      <c r="W688" s="2" t="inlineStr">
        <is>
          <t>No</t>
        </is>
      </c>
      <c r="X688" s="2" t="inlineStr">
        <is>
          <t>Yes</t>
        </is>
      </c>
      <c r="Y688" s="2" t="inlineStr">
        <is>
          <t>Yes</t>
        </is>
      </c>
      <c r="Z688" s="2" t="inlineStr">
        <is>
          <t>No</t>
        </is>
      </c>
      <c r="AA688" s="6" t="n">
        <v>3.142583416</v>
      </c>
      <c r="AB688" s="6" t="n">
        <v>3.333352546</v>
      </c>
      <c r="AC688" s="6" t="n">
        <v>2.919987588</v>
      </c>
      <c r="AD688">
        <f t="array" ref="AD688">IF(SUMPRODUCT(--($AM$2:$AM$112=TRIM(LEFT($B688,IFERROR(FIND(" ",$B688)-1,LEN($B688))))))&gt;0,1,0)</f>
        <v/>
      </c>
      <c r="AE688">
        <f t="array" ref="AE688">IF(SUMPRODUCT(--($AO$2:$AO$145=TRIM(LEFT($B688,IFERROR(FIND(" ",$B688)-1,LEN($B688))))))&gt;0,1,0)</f>
        <v/>
      </c>
      <c r="AF688">
        <f t="array" ref="AF688">IF(SUMPRODUCT(--($AQ$2:$AQ$71=TRIM(LEFT($B688,IFERROR(FIND(" ",$B688)-1,LEN($B688))))))&gt;0,1,0)</f>
        <v/>
      </c>
    </row>
    <row r="689" ht="120.75" customHeight="1" thickBot="1">
      <c r="A689" s="13" t="n">
        <v>83</v>
      </c>
      <c r="B689" s="4" t="inlineStr">
        <is>
          <t>EIDX US</t>
        </is>
      </c>
      <c r="C689" s="4" t="inlineStr">
        <is>
          <t>BBIO US</t>
        </is>
      </c>
      <c r="D689" s="7" t="n">
        <v>44109</v>
      </c>
      <c r="E689" s="3" t="n">
        <v>1025.73</v>
      </c>
      <c r="F689" s="4" t="inlineStr">
        <is>
          <t>Cash or Stock</t>
        </is>
      </c>
      <c r="G689" s="4" t="n"/>
      <c r="H689" s="4" t="inlineStr">
        <is>
          <t>Health Care</t>
        </is>
      </c>
      <c r="I689" s="4" t="inlineStr">
        <is>
          <t>Health Care</t>
        </is>
      </c>
      <c r="J689" s="4" t="inlineStr">
        <is>
          <t>Health Care Facilities &amp; Svcs</t>
        </is>
      </c>
      <c r="K689" s="3" t="n">
        <v>100</v>
      </c>
      <c r="L689" s="3" t="n">
        <v>35</v>
      </c>
      <c r="M689" s="4" t="n"/>
      <c r="N689" s="3" t="n">
        <v>1025.73</v>
      </c>
      <c r="O689" s="4" t="inlineStr">
        <is>
          <t>United States</t>
        </is>
      </c>
      <c r="P689" s="4" t="inlineStr">
        <is>
          <t>United States</t>
        </is>
      </c>
      <c r="Q689" s="4" t="inlineStr">
        <is>
          <t>Friendly</t>
        </is>
      </c>
      <c r="R689" s="3" t="n">
        <v>26.691</v>
      </c>
      <c r="S689" s="3" t="n">
        <v>-78625.2</v>
      </c>
      <c r="T689" s="4" t="inlineStr">
        <is>
          <t>Company Takeover, Additional Stake Purchase</t>
        </is>
      </c>
      <c r="U689" s="2" t="inlineStr">
        <is>
          <t>Yes</t>
        </is>
      </c>
      <c r="V689" s="2" t="inlineStr">
        <is>
          <t>No</t>
        </is>
      </c>
      <c r="W689" s="2" t="inlineStr">
        <is>
          <t>No</t>
        </is>
      </c>
      <c r="X689" s="2" t="inlineStr">
        <is>
          <t>No</t>
        </is>
      </c>
      <c r="Y689" s="2" t="inlineStr">
        <is>
          <t>No</t>
        </is>
      </c>
      <c r="Z689" s="2" t="inlineStr">
        <is>
          <t>No</t>
        </is>
      </c>
      <c r="AA689" s="6" t="n">
        <v>3.011033058</v>
      </c>
      <c r="AB689" s="6" t="n">
        <v>1.426364845</v>
      </c>
      <c r="AC689" s="6" t="n">
        <v>3.011033058</v>
      </c>
      <c r="AD689">
        <f t="array" ref="AD689">IF(SUMPRODUCT(--($AM$2:$AM$112=TRIM(LEFT($B689,IFERROR(FIND(" ",$B689)-1,LEN($B689))))))&gt;0,1,0)</f>
        <v/>
      </c>
      <c r="AE689">
        <f t="array" ref="AE689">IF(SUMPRODUCT(--($AO$2:$AO$145=TRIM(LEFT($B689,IFERROR(FIND(" ",$B689)-1,LEN($B689))))))&gt;0,1,0)</f>
        <v/>
      </c>
      <c r="AF689">
        <f t="array" ref="AF689">IF(SUMPRODUCT(--($AQ$2:$AQ$71=TRIM(LEFT($B689,IFERROR(FIND(" ",$B689)-1,LEN($B689))))))&gt;0,1,0)</f>
        <v/>
      </c>
    </row>
    <row r="690" ht="45.75" customHeight="1" thickBot="1">
      <c r="A690" s="13" t="n">
        <v>58</v>
      </c>
      <c r="B690" s="4" t="inlineStr">
        <is>
          <t>CLR CN</t>
        </is>
      </c>
      <c r="C690" s="4" t="inlineStr">
        <is>
          <t>PBH CN</t>
        </is>
      </c>
      <c r="D690" s="7" t="n">
        <v>44144</v>
      </c>
      <c r="E690" s="3" t="n">
        <v>763.22</v>
      </c>
      <c r="F690" s="4" t="inlineStr">
        <is>
          <t>Cash</t>
        </is>
      </c>
      <c r="G690" s="3" t="n">
        <v>11.35</v>
      </c>
      <c r="H690" s="4" t="inlineStr">
        <is>
          <t>Consumer Staples</t>
        </is>
      </c>
      <c r="I690" s="4" t="inlineStr">
        <is>
          <t>Consumer Staple Products</t>
        </is>
      </c>
      <c r="J690" s="4" t="inlineStr">
        <is>
          <t>Food</t>
        </is>
      </c>
      <c r="K690" s="3" t="n">
        <v>26</v>
      </c>
      <c r="L690" s="3" t="n">
        <v>22</v>
      </c>
      <c r="M690" s="3" t="n">
        <v>14.45</v>
      </c>
      <c r="N690" s="3" t="n">
        <v>414.34</v>
      </c>
      <c r="O690" s="4" t="inlineStr">
        <is>
          <t>Canada</t>
        </is>
      </c>
      <c r="P690" s="4" t="inlineStr">
        <is>
          <t>Canada</t>
        </is>
      </c>
      <c r="Q690" s="4" t="inlineStr">
        <is>
          <t>Friendly</t>
        </is>
      </c>
      <c r="R690" s="3" t="n">
        <v>464.457</v>
      </c>
      <c r="S690" s="3" t="n">
        <v>8.77758</v>
      </c>
      <c r="T690" s="4" t="inlineStr">
        <is>
          <t>Company Takeover</t>
        </is>
      </c>
      <c r="U690" s="2" t="inlineStr">
        <is>
          <t>No</t>
        </is>
      </c>
      <c r="V690" s="2" t="inlineStr">
        <is>
          <t>No</t>
        </is>
      </c>
      <c r="W690" s="2" t="inlineStr">
        <is>
          <t>No</t>
        </is>
      </c>
      <c r="X690" s="2" t="inlineStr">
        <is>
          <t>No</t>
        </is>
      </c>
      <c r="Y690" s="2" t="inlineStr">
        <is>
          <t>No</t>
        </is>
      </c>
      <c r="Z690" s="2" t="inlineStr">
        <is>
          <t>No</t>
        </is>
      </c>
      <c r="AA690" s="6" t="n">
        <v>2.882649742</v>
      </c>
      <c r="AB690" s="6" t="n">
        <v>2.666945513</v>
      </c>
      <c r="AC690" s="6" t="n">
        <v>2.617356862</v>
      </c>
      <c r="AD690">
        <f t="array" ref="AD690">IF(SUMPRODUCT(--($AM$2:$AM$112=TRIM(LEFT($B690,IFERROR(FIND(" ",$B690)-1,LEN($B690))))))&gt;0,1,0)</f>
        <v/>
      </c>
      <c r="AE690">
        <f t="array" ref="AE690">IF(SUMPRODUCT(--($AO$2:$AO$145=TRIM(LEFT($B690,IFERROR(FIND(" ",$B690)-1,LEN($B690))))))&gt;0,1,0)</f>
        <v/>
      </c>
      <c r="AF690">
        <f t="array" ref="AF690">IF(SUMPRODUCT(--($AQ$2:$AQ$71=TRIM(LEFT($B690,IFERROR(FIND(" ",$B690)-1,LEN($B690))))))&gt;0,1,0)</f>
        <v/>
      </c>
    </row>
    <row r="691" ht="135.75" customHeight="1" thickBot="1">
      <c r="A691" s="13" t="n">
        <v>83</v>
      </c>
      <c r="B691" s="4" t="inlineStr">
        <is>
          <t>ARA US</t>
        </is>
      </c>
      <c r="C691" s="4" t="inlineStr">
        <is>
          <t>344021Z US</t>
        </is>
      </c>
      <c r="D691" s="7" t="n">
        <v>44106</v>
      </c>
      <c r="E691" s="3" t="n">
        <v>998.83</v>
      </c>
      <c r="F691" s="4" t="inlineStr">
        <is>
          <t>Cash</t>
        </is>
      </c>
      <c r="G691" s="3" t="n">
        <v>7.5</v>
      </c>
      <c r="H691" s="4" t="inlineStr">
        <is>
          <t>Health Care</t>
        </is>
      </c>
      <c r="I691" s="4" t="inlineStr">
        <is>
          <t>Health Care</t>
        </is>
      </c>
      <c r="J691" s="4" t="inlineStr">
        <is>
          <t>Health Care Facilities &amp; Svcs</t>
        </is>
      </c>
      <c r="K691" s="4" t="n"/>
      <c r="L691" s="3" t="n">
        <v>5.037</v>
      </c>
      <c r="M691" s="4" t="n"/>
      <c r="N691" s="3" t="n">
        <v>397.99</v>
      </c>
      <c r="O691" s="4" t="inlineStr">
        <is>
          <t>United States</t>
        </is>
      </c>
      <c r="P691" s="4" t="inlineStr">
        <is>
          <t>United States</t>
        </is>
      </c>
      <c r="Q691" s="4" t="inlineStr">
        <is>
          <t>Friendly</t>
        </is>
      </c>
      <c r="R691" s="3" t="n">
        <v>822.522</v>
      </c>
      <c r="S691" s="3" t="n">
        <v>7.67917</v>
      </c>
      <c r="T691" s="4" t="inlineStr">
        <is>
          <t>PE Buyout, Company Takeover, Private Equity, Going Private</t>
        </is>
      </c>
      <c r="U691" s="2" t="inlineStr">
        <is>
          <t>No</t>
        </is>
      </c>
      <c r="V691" s="2" t="inlineStr">
        <is>
          <t>No</t>
        </is>
      </c>
      <c r="W691" s="2" t="inlineStr">
        <is>
          <t>No</t>
        </is>
      </c>
      <c r="X691" s="2" t="inlineStr">
        <is>
          <t>Yes</t>
        </is>
      </c>
      <c r="Y691" s="2" t="inlineStr">
        <is>
          <t>Yes</t>
        </is>
      </c>
      <c r="Z691" s="2" t="inlineStr">
        <is>
          <t>No</t>
        </is>
      </c>
      <c r="AA691" s="6" t="n">
        <v>2.999491578</v>
      </c>
      <c r="AB691" s="6" t="n">
        <v>2.915147523</v>
      </c>
      <c r="AC691" s="6" t="n">
        <v>2.59987216</v>
      </c>
      <c r="AD691">
        <f t="array" ref="AD691">IF(SUMPRODUCT(--($AM$2:$AM$112=TRIM(LEFT($B691,IFERROR(FIND(" ",$B691)-1,LEN($B691))))))&gt;0,1,0)</f>
        <v/>
      </c>
      <c r="AE691">
        <f t="array" ref="AE691">IF(SUMPRODUCT(--($AO$2:$AO$145=TRIM(LEFT($B691,IFERROR(FIND(" ",$B691)-1,LEN($B691))))))&gt;0,1,0)</f>
        <v/>
      </c>
      <c r="AF691">
        <f t="array" ref="AF691">IF(SUMPRODUCT(--($AQ$2:$AQ$71=TRIM(LEFT($B691,IFERROR(FIND(" ",$B691)-1,LEN($B691))))))&gt;0,1,0)</f>
        <v/>
      </c>
    </row>
    <row r="692" ht="75.75" customHeight="1" thickBot="1">
      <c r="A692" s="13" t="n">
        <v>30</v>
      </c>
      <c r="B692" s="4" t="inlineStr">
        <is>
          <t>PRVL US</t>
        </is>
      </c>
      <c r="C692" s="4" t="inlineStr">
        <is>
          <t>LLY US</t>
        </is>
      </c>
      <c r="D692" s="7" t="n">
        <v>44180</v>
      </c>
      <c r="E692" s="3" t="n">
        <v>689.34</v>
      </c>
      <c r="F692" s="4" t="inlineStr">
        <is>
          <t>Cash</t>
        </is>
      </c>
      <c r="G692" s="4" t="n"/>
      <c r="H692" s="4" t="inlineStr">
        <is>
          <t>Health Care</t>
        </is>
      </c>
      <c r="I692" s="4" t="inlineStr">
        <is>
          <t>Health Care</t>
        </is>
      </c>
      <c r="J692" s="4" t="inlineStr">
        <is>
          <t>Biotech &amp; Pharma</t>
        </is>
      </c>
      <c r="K692" s="4" t="n"/>
      <c r="L692" s="3" t="n">
        <v>30</v>
      </c>
      <c r="M692" s="4" t="n"/>
      <c r="N692" s="3" t="n">
        <v>770.54</v>
      </c>
      <c r="O692" s="4" t="inlineStr">
        <is>
          <t>United States</t>
        </is>
      </c>
      <c r="P692" s="4" t="inlineStr">
        <is>
          <t>United States</t>
        </is>
      </c>
      <c r="Q692" s="4" t="inlineStr">
        <is>
          <t>Friendly</t>
        </is>
      </c>
      <c r="R692" s="2" t="n"/>
      <c r="S692" s="2" t="n"/>
      <c r="T692" s="4" t="inlineStr">
        <is>
          <t>Company Takeover, Tender Offer</t>
        </is>
      </c>
      <c r="U692" s="2" t="inlineStr">
        <is>
          <t>No</t>
        </is>
      </c>
      <c r="V692" s="2" t="inlineStr">
        <is>
          <t>No</t>
        </is>
      </c>
      <c r="W692" s="2" t="inlineStr">
        <is>
          <t>No</t>
        </is>
      </c>
      <c r="X692" s="2" t="inlineStr">
        <is>
          <t>No</t>
        </is>
      </c>
      <c r="Y692" s="2" t="inlineStr">
        <is>
          <t>No</t>
        </is>
      </c>
      <c r="Z692" s="2" t="inlineStr">
        <is>
          <t>Yes</t>
        </is>
      </c>
      <c r="AA692" s="6" t="n">
        <v>2.83843348</v>
      </c>
      <c r="AB692" s="2" t="n"/>
      <c r="AC692" s="6" t="n">
        <v>2.886795189</v>
      </c>
      <c r="AD692">
        <f t="array" ref="AD692">IF(SUMPRODUCT(--($AM$2:$AM$112=TRIM(LEFT($B692,IFERROR(FIND(" ",$B692)-1,LEN($B692))))))&gt;0,1,0)</f>
        <v/>
      </c>
      <c r="AE692">
        <f t="array" ref="AE692">IF(SUMPRODUCT(--($AO$2:$AO$145=TRIM(LEFT($B692,IFERROR(FIND(" ",$B692)-1,LEN($B692))))))&gt;0,1,0)</f>
        <v/>
      </c>
      <c r="AF692">
        <f t="array" ref="AF692">IF(SUMPRODUCT(--($AQ$2:$AQ$71=TRIM(LEFT($B692,IFERROR(FIND(" ",$B692)-1,LEN($B692))))))&gt;0,1,0)</f>
        <v/>
      </c>
    </row>
    <row r="693" ht="45.75" customHeight="1" thickBot="1">
      <c r="A693" s="13" t="n">
        <v>67</v>
      </c>
      <c r="B693" s="4" t="inlineStr">
        <is>
          <t>CXO US</t>
        </is>
      </c>
      <c r="C693" s="4" t="inlineStr">
        <is>
          <t>COP US</t>
        </is>
      </c>
      <c r="D693" s="7" t="n">
        <v>44123</v>
      </c>
      <c r="E693" s="3" t="n">
        <v>13290.68</v>
      </c>
      <c r="F693" s="4" t="inlineStr">
        <is>
          <t>Stock</t>
        </is>
      </c>
      <c r="G693" s="4" t="n"/>
      <c r="H693" s="4" t="inlineStr">
        <is>
          <t>Energy</t>
        </is>
      </c>
      <c r="I693" s="4" t="inlineStr">
        <is>
          <t>Oil &amp; Gas</t>
        </is>
      </c>
      <c r="J693" s="4" t="inlineStr">
        <is>
          <t>Oil &amp; Gas Supply Chain</t>
        </is>
      </c>
      <c r="K693" s="3" t="n">
        <v>450</v>
      </c>
      <c r="L693" s="3" t="n">
        <v>300</v>
      </c>
      <c r="M693" s="3" t="n">
        <v>9.539999999999999</v>
      </c>
      <c r="N693" s="3" t="n">
        <v>9653.68</v>
      </c>
      <c r="O693" s="4" t="inlineStr">
        <is>
          <t>United States</t>
        </is>
      </c>
      <c r="P693" s="4" t="inlineStr">
        <is>
          <t>United States</t>
        </is>
      </c>
      <c r="Q693" s="4" t="inlineStr">
        <is>
          <t>Friendly</t>
        </is>
      </c>
      <c r="R693" s="3" t="n">
        <v>4494</v>
      </c>
      <c r="S693" s="3" t="n">
        <v>-289.205</v>
      </c>
      <c r="T693" s="4" t="inlineStr">
        <is>
          <t>Company Takeover</t>
        </is>
      </c>
      <c r="U693" s="2" t="inlineStr">
        <is>
          <t>No</t>
        </is>
      </c>
      <c r="V693" s="2" t="inlineStr">
        <is>
          <t>No</t>
        </is>
      </c>
      <c r="W693" s="2" t="inlineStr">
        <is>
          <t>No</t>
        </is>
      </c>
      <c r="X693" s="2" t="inlineStr">
        <is>
          <t>No</t>
        </is>
      </c>
      <c r="Y693" s="2" t="inlineStr">
        <is>
          <t>No</t>
        </is>
      </c>
      <c r="Z693" s="2" t="inlineStr">
        <is>
          <t>No</t>
        </is>
      </c>
      <c r="AA693" s="6" t="n">
        <v>4.123547202</v>
      </c>
      <c r="AB693" s="6" t="n">
        <v>3.652633068</v>
      </c>
      <c r="AC693" s="6" t="n">
        <v>3.984692899</v>
      </c>
      <c r="AD693">
        <f t="array" ref="AD693">IF(SUMPRODUCT(--($AM$2:$AM$112=TRIM(LEFT($B693,IFERROR(FIND(" ",$B693)-1,LEN($B693))))))&gt;0,1,0)</f>
        <v/>
      </c>
      <c r="AE693">
        <f t="array" ref="AE693">IF(SUMPRODUCT(--($AO$2:$AO$145=TRIM(LEFT($B693,IFERROR(FIND(" ",$B693)-1,LEN($B693))))))&gt;0,1,0)</f>
        <v/>
      </c>
      <c r="AF693">
        <f t="array" ref="AF693">IF(SUMPRODUCT(--($AQ$2:$AQ$71=TRIM(LEFT($B693,IFERROR(FIND(" ",$B693)-1,LEN($B693))))))&gt;0,1,0)</f>
        <v/>
      </c>
    </row>
    <row r="694" ht="75.75" customHeight="1" thickBot="1">
      <c r="A694" s="13" t="n">
        <v>54</v>
      </c>
      <c r="B694" s="4" t="inlineStr">
        <is>
          <t>ROCC US</t>
        </is>
      </c>
      <c r="C694" s="4" t="inlineStr">
        <is>
          <t>1334534D US</t>
        </is>
      </c>
      <c r="D694" s="7" t="n">
        <v>44138</v>
      </c>
      <c r="E694" s="3" t="n">
        <v>684.3200000000001</v>
      </c>
      <c r="F694" s="4" t="inlineStr">
        <is>
          <t>Cash</t>
        </is>
      </c>
      <c r="G694" s="4" t="n"/>
      <c r="H694" s="4" t="inlineStr">
        <is>
          <t>Energy</t>
        </is>
      </c>
      <c r="I694" s="4" t="inlineStr">
        <is>
          <t>Oil &amp; Gas</t>
        </is>
      </c>
      <c r="J694" s="4" t="inlineStr">
        <is>
          <t>Oil &amp; Gas Supply Chain</t>
        </is>
      </c>
      <c r="K694" s="4" t="n"/>
      <c r="L694" s="4" t="n"/>
      <c r="M694" s="4" t="n"/>
      <c r="N694" s="3" t="n">
        <v>150</v>
      </c>
      <c r="O694" s="4" t="inlineStr">
        <is>
          <t>United States</t>
        </is>
      </c>
      <c r="P694" s="4" t="inlineStr">
        <is>
          <t>United States</t>
        </is>
      </c>
      <c r="Q694" s="4" t="inlineStr">
        <is>
          <t>Friendly</t>
        </is>
      </c>
      <c r="R694" s="3" t="n">
        <v>1145.19</v>
      </c>
      <c r="S694" s="3" t="n">
        <v>54.4397</v>
      </c>
      <c r="T694" s="4" t="inlineStr">
        <is>
          <t>Private Equity, Majority purchase</t>
        </is>
      </c>
      <c r="U694" s="2" t="inlineStr">
        <is>
          <t>No</t>
        </is>
      </c>
      <c r="V694" s="2" t="inlineStr">
        <is>
          <t>No</t>
        </is>
      </c>
      <c r="W694" s="2" t="inlineStr">
        <is>
          <t>No</t>
        </is>
      </c>
      <c r="X694" s="2" t="inlineStr">
        <is>
          <t>No</t>
        </is>
      </c>
      <c r="Y694" s="2" t="inlineStr">
        <is>
          <t>No</t>
        </is>
      </c>
      <c r="Z694" s="2" t="inlineStr">
        <is>
          <t>No</t>
        </is>
      </c>
      <c r="AA694" s="6" t="n">
        <v>2.835259233</v>
      </c>
      <c r="AB694" s="6" t="n">
        <v>3.058877547</v>
      </c>
      <c r="AC694" s="6" t="n">
        <v>2.176091259</v>
      </c>
      <c r="AD694">
        <f t="array" ref="AD694">IF(SUMPRODUCT(--($AM$2:$AM$112=TRIM(LEFT($B694,IFERROR(FIND(" ",$B694)-1,LEN($B694))))))&gt;0,1,0)</f>
        <v/>
      </c>
      <c r="AE694">
        <f t="array" ref="AE694">IF(SUMPRODUCT(--($AO$2:$AO$145=TRIM(LEFT($B694,IFERROR(FIND(" ",$B694)-1,LEN($B694))))))&gt;0,1,0)</f>
        <v/>
      </c>
      <c r="AF694">
        <f t="array" ref="AF694">IF(SUMPRODUCT(--($AQ$2:$AQ$71=TRIM(LEFT($B694,IFERROR(FIND(" ",$B694)-1,LEN($B694))))))&gt;0,1,0)</f>
        <v/>
      </c>
    </row>
    <row r="695" ht="75.75" customHeight="1" thickBot="1">
      <c r="A695" s="13" t="n">
        <v>315</v>
      </c>
      <c r="B695" s="4" t="inlineStr">
        <is>
          <t>FIT US</t>
        </is>
      </c>
      <c r="C695" s="4" t="inlineStr">
        <is>
          <t>GOOGL US</t>
        </is>
      </c>
      <c r="D695" s="7" t="n">
        <v>43770</v>
      </c>
      <c r="E695" s="3" t="n">
        <v>1501.85</v>
      </c>
      <c r="F695" s="4" t="inlineStr">
        <is>
          <t>Cash</t>
        </is>
      </c>
      <c r="G695" s="4" t="n"/>
      <c r="H695" s="4" t="inlineStr">
        <is>
          <t>Technology</t>
        </is>
      </c>
      <c r="I695" s="4" t="inlineStr">
        <is>
          <t>Tech Hardware &amp; Semiconductors</t>
        </is>
      </c>
      <c r="J695" s="4" t="inlineStr">
        <is>
          <t>Technology Hardware</t>
        </is>
      </c>
      <c r="K695" s="3" t="n">
        <v>250</v>
      </c>
      <c r="L695" s="4" t="n"/>
      <c r="M695" s="3" t="n">
        <v>69.94</v>
      </c>
      <c r="N695" s="3" t="n">
        <v>1965.81</v>
      </c>
      <c r="O695" s="4" t="inlineStr">
        <is>
          <t>United States</t>
        </is>
      </c>
      <c r="P695" s="4" t="inlineStr">
        <is>
          <t>United States</t>
        </is>
      </c>
      <c r="Q695" s="4" t="inlineStr">
        <is>
          <t>Friendly</t>
        </is>
      </c>
      <c r="R695" s="3" t="n">
        <v>19.4613</v>
      </c>
      <c r="S695" s="3" t="n">
        <v>8.244680000000001</v>
      </c>
      <c r="T695" s="4" t="inlineStr">
        <is>
          <t>Company Takeover</t>
        </is>
      </c>
      <c r="U695" s="2" t="inlineStr">
        <is>
          <t>No</t>
        </is>
      </c>
      <c r="V695" s="2" t="inlineStr">
        <is>
          <t>No</t>
        </is>
      </c>
      <c r="W695" s="2" t="inlineStr">
        <is>
          <t>No</t>
        </is>
      </c>
      <c r="X695" s="2" t="inlineStr">
        <is>
          <t>No</t>
        </is>
      </c>
      <c r="Y695" s="2" t="inlineStr">
        <is>
          <t>No</t>
        </is>
      </c>
      <c r="Z695" s="2" t="inlineStr">
        <is>
          <t>No</t>
        </is>
      </c>
      <c r="AA695" s="6" t="n">
        <v>3.176626559</v>
      </c>
      <c r="AB695" s="6" t="n">
        <v>1.289171847</v>
      </c>
      <c r="AC695" s="6" t="n">
        <v>3.29354154</v>
      </c>
      <c r="AD695">
        <f t="array" ref="AD695">IF(SUMPRODUCT(--($AM$2:$AM$112=TRIM(LEFT($B695,IFERROR(FIND(" ",$B695)-1,LEN($B695))))))&gt;0,1,0)</f>
        <v/>
      </c>
      <c r="AE695">
        <f t="array" ref="AE695">IF(SUMPRODUCT(--($AO$2:$AO$145=TRIM(LEFT($B695,IFERROR(FIND(" ",$B695)-1,LEN($B695))))))&gt;0,1,0)</f>
        <v/>
      </c>
      <c r="AF695">
        <f t="array" ref="AF695">IF(SUMPRODUCT(--($AQ$2:$AQ$71=TRIM(LEFT($B695,IFERROR(FIND(" ",$B695)-1,LEN($B695))))))&gt;0,1,0)</f>
        <v/>
      </c>
    </row>
    <row r="696" ht="45.75" customHeight="1" thickBot="1">
      <c r="A696" s="13" t="n">
        <v>62</v>
      </c>
      <c r="B696" s="4" t="inlineStr">
        <is>
          <t>PE US</t>
        </is>
      </c>
      <c r="C696" s="4" t="inlineStr">
        <is>
          <t>PXD US</t>
        </is>
      </c>
      <c r="D696" s="7" t="n">
        <v>44124</v>
      </c>
      <c r="E696" s="3" t="n">
        <v>7358.29</v>
      </c>
      <c r="F696" s="4" t="inlineStr">
        <is>
          <t>Stock</t>
        </is>
      </c>
      <c r="G696" s="4" t="n"/>
      <c r="H696" s="4" t="inlineStr">
        <is>
          <t>Energy</t>
        </is>
      </c>
      <c r="I696" s="4" t="inlineStr">
        <is>
          <t>Oil &amp; Gas</t>
        </is>
      </c>
      <c r="J696" s="4" t="inlineStr">
        <is>
          <t>Oil &amp; Gas Supply Chain</t>
        </is>
      </c>
      <c r="K696" s="3" t="n">
        <v>270</v>
      </c>
      <c r="L696" s="3" t="n">
        <v>135</v>
      </c>
      <c r="M696" s="3" t="n">
        <v>13.28</v>
      </c>
      <c r="N696" s="3" t="n">
        <v>4143.42</v>
      </c>
      <c r="O696" s="4" t="inlineStr">
        <is>
          <t>United States</t>
        </is>
      </c>
      <c r="P696" s="4" t="inlineStr">
        <is>
          <t>United States</t>
        </is>
      </c>
      <c r="Q696" s="4" t="inlineStr">
        <is>
          <t>Friendly</t>
        </is>
      </c>
      <c r="R696" s="3" t="n">
        <v>1903.33</v>
      </c>
      <c r="S696" s="3" t="n">
        <v>-239.89</v>
      </c>
      <c r="T696" s="4" t="inlineStr">
        <is>
          <t>Company Takeover</t>
        </is>
      </c>
      <c r="U696" s="2" t="inlineStr">
        <is>
          <t>No</t>
        </is>
      </c>
      <c r="V696" s="2" t="inlineStr">
        <is>
          <t>No</t>
        </is>
      </c>
      <c r="W696" s="2" t="inlineStr">
        <is>
          <t>No</t>
        </is>
      </c>
      <c r="X696" s="2" t="inlineStr">
        <is>
          <t>No</t>
        </is>
      </c>
      <c r="Y696" s="2" t="inlineStr">
        <is>
          <t>No</t>
        </is>
      </c>
      <c r="Z696" s="2" t="inlineStr">
        <is>
          <t>No</t>
        </is>
      </c>
      <c r="AA696" s="6" t="n">
        <v>3.8667769</v>
      </c>
      <c r="AB696" s="6" t="n">
        <v>3.279514093</v>
      </c>
      <c r="AC696" s="6" t="n">
        <v>3.617358958</v>
      </c>
      <c r="AD696">
        <f t="array" ref="AD696">IF(SUMPRODUCT(--($AM$2:$AM$112=TRIM(LEFT($B696,IFERROR(FIND(" ",$B696)-1,LEN($B696))))))&gt;0,1,0)</f>
        <v/>
      </c>
      <c r="AE696">
        <f t="array" ref="AE696">IF(SUMPRODUCT(--($AO$2:$AO$145=TRIM(LEFT($B696,IFERROR(FIND(" ",$B696)-1,LEN($B696))))))&gt;0,1,0)</f>
        <v/>
      </c>
      <c r="AF696">
        <f t="array" ref="AF696">IF(SUMPRODUCT(--($AQ$2:$AQ$71=TRIM(LEFT($B696,IFERROR(FIND(" ",$B696)-1,LEN($B696))))))&gt;0,1,0)</f>
        <v/>
      </c>
    </row>
    <row r="697" ht="75.75" customHeight="1" thickBot="1">
      <c r="A697" s="13" t="n">
        <v>294</v>
      </c>
      <c r="B697" s="4" t="inlineStr">
        <is>
          <t>2078185D US</t>
        </is>
      </c>
      <c r="C697" s="4" t="inlineStr">
        <is>
          <t>MC FP</t>
        </is>
      </c>
      <c r="D697" s="7" t="n">
        <v>43794</v>
      </c>
      <c r="E697" s="3" t="n">
        <v>17443.43</v>
      </c>
      <c r="F697" s="4" t="inlineStr">
        <is>
          <t>Cash</t>
        </is>
      </c>
      <c r="G697" s="3" t="n">
        <v>14.39</v>
      </c>
      <c r="H697" s="4" t="inlineStr">
        <is>
          <t>Consumer Discretionary</t>
        </is>
      </c>
      <c r="I697" s="4" t="inlineStr">
        <is>
          <t>Retail &amp; Whsle - Discretionary</t>
        </is>
      </c>
      <c r="J697" s="4" t="inlineStr">
        <is>
          <t>Retail - Discretionary</t>
        </is>
      </c>
      <c r="K697" s="4" t="n"/>
      <c r="L697" s="3" t="n">
        <v>575</v>
      </c>
      <c r="M697" s="3" t="n">
        <v>7.61</v>
      </c>
      <c r="N697" s="3" t="n">
        <v>15918.13</v>
      </c>
      <c r="O697" s="4" t="inlineStr">
        <is>
          <t>United States</t>
        </is>
      </c>
      <c r="P697" s="4" t="inlineStr">
        <is>
          <t>France</t>
        </is>
      </c>
      <c r="Q697" s="4" t="inlineStr">
        <is>
          <t>Unsolicited to Friendly</t>
        </is>
      </c>
      <c r="R697" s="3" t="n">
        <v>4424</v>
      </c>
      <c r="S697" s="3" t="n">
        <v>10.5817</v>
      </c>
      <c r="T697" s="4" t="inlineStr">
        <is>
          <t>Company Takeover, Cross Border</t>
        </is>
      </c>
      <c r="U697" s="2" t="inlineStr">
        <is>
          <t>No</t>
        </is>
      </c>
      <c r="V697" s="2" t="inlineStr">
        <is>
          <t>No</t>
        </is>
      </c>
      <c r="W697" s="2" t="inlineStr">
        <is>
          <t>Yes</t>
        </is>
      </c>
      <c r="X697" s="2" t="inlineStr">
        <is>
          <t>No</t>
        </is>
      </c>
      <c r="Y697" s="2" t="inlineStr">
        <is>
          <t>No</t>
        </is>
      </c>
      <c r="Z697" s="2" t="inlineStr">
        <is>
          <t>No</t>
        </is>
      </c>
      <c r="AA697" s="6" t="n">
        <v>4.241631887</v>
      </c>
      <c r="AB697" s="6" t="n">
        <v>3.645815118</v>
      </c>
      <c r="AC697" s="6" t="n">
        <v>4.201892047</v>
      </c>
      <c r="AD697">
        <f t="array" ref="AD697">IF(SUMPRODUCT(--($AM$2:$AM$112=TRIM(LEFT($B697,IFERROR(FIND(" ",$B697)-1,LEN($B697))))))&gt;0,1,0)</f>
        <v/>
      </c>
      <c r="AE697">
        <f t="array" ref="AE697">IF(SUMPRODUCT(--($AO$2:$AO$145=TRIM(LEFT($B697,IFERROR(FIND(" ",$B697)-1,LEN($B697))))))&gt;0,1,0)</f>
        <v/>
      </c>
      <c r="AF697">
        <f t="array" ref="AF697">IF(SUMPRODUCT(--($AQ$2:$AQ$71=TRIM(LEFT($B697,IFERROR(FIND(" ",$B697)-1,LEN($B697))))))&gt;0,1,0)</f>
        <v/>
      </c>
    </row>
    <row r="698" ht="45.75" customHeight="1" thickBot="1">
      <c r="A698" s="13" t="n">
        <v>74</v>
      </c>
      <c r="B698" s="4" t="inlineStr">
        <is>
          <t>WPX US</t>
        </is>
      </c>
      <c r="C698" s="4" t="inlineStr">
        <is>
          <t>DVN US</t>
        </is>
      </c>
      <c r="D698" s="7" t="n">
        <v>44102</v>
      </c>
      <c r="E698" s="3" t="n">
        <v>5951.7</v>
      </c>
      <c r="F698" s="4" t="inlineStr">
        <is>
          <t>Stock</t>
        </is>
      </c>
      <c r="G698" s="3" t="n">
        <v>14.07</v>
      </c>
      <c r="H698" s="4" t="inlineStr">
        <is>
          <t>Energy</t>
        </is>
      </c>
      <c r="I698" s="4" t="inlineStr">
        <is>
          <t>Oil &amp; Gas</t>
        </is>
      </c>
      <c r="J698" s="4" t="inlineStr">
        <is>
          <t>Oil &amp; Gas Supply Chain</t>
        </is>
      </c>
      <c r="K698" s="3" t="n">
        <v>75</v>
      </c>
      <c r="L698" s="3" t="n">
        <v>75</v>
      </c>
      <c r="M698" s="3" t="n">
        <v>2.88</v>
      </c>
      <c r="N698" s="3" t="n">
        <v>2779.7</v>
      </c>
      <c r="O698" s="4" t="inlineStr">
        <is>
          <t>United States</t>
        </is>
      </c>
      <c r="P698" s="4" t="inlineStr">
        <is>
          <t>United States</t>
        </is>
      </c>
      <c r="Q698" s="4" t="inlineStr">
        <is>
          <t>Friendly</t>
        </is>
      </c>
      <c r="R698" s="3" t="n">
        <v>2433</v>
      </c>
      <c r="S698" s="3" t="n">
        <v>-63.7966</v>
      </c>
      <c r="T698" s="4" t="inlineStr">
        <is>
          <t>Company Takeover</t>
        </is>
      </c>
      <c r="U698" s="2" t="inlineStr">
        <is>
          <t>No</t>
        </is>
      </c>
      <c r="V698" s="2" t="inlineStr">
        <is>
          <t>No</t>
        </is>
      </c>
      <c r="W698" s="2" t="inlineStr">
        <is>
          <t>No</t>
        </is>
      </c>
      <c r="X698" s="2" t="inlineStr">
        <is>
          <t>No</t>
        </is>
      </c>
      <c r="Y698" s="2" t="inlineStr">
        <is>
          <t>No</t>
        </is>
      </c>
      <c r="Z698" s="2" t="inlineStr">
        <is>
          <t>No</t>
        </is>
      </c>
      <c r="AA698" s="6" t="n">
        <v>3.774641032</v>
      </c>
      <c r="AB698" s="6" t="n">
        <v>3.386142109</v>
      </c>
      <c r="AC698" s="6" t="n">
        <v>3.443997927</v>
      </c>
      <c r="AD698">
        <f t="array" ref="AD698">IF(SUMPRODUCT(--($AM$2:$AM$112=TRIM(LEFT($B698,IFERROR(FIND(" ",$B698)-1,LEN($B698))))))&gt;0,1,0)</f>
        <v/>
      </c>
      <c r="AE698">
        <f t="array" ref="AE698">IF(SUMPRODUCT(--($AO$2:$AO$145=TRIM(LEFT($B698,IFERROR(FIND(" ",$B698)-1,LEN($B698))))))&gt;0,1,0)</f>
        <v/>
      </c>
      <c r="AF698">
        <f t="array" ref="AF698">IF(SUMPRODUCT(--($AQ$2:$AQ$71=TRIM(LEFT($B698,IFERROR(FIND(" ",$B698)-1,LEN($B698))))))&gt;0,1,0)</f>
        <v/>
      </c>
    </row>
    <row r="699" ht="105.75" customHeight="1" thickBot="1">
      <c r="A699" s="13" t="n">
        <v>68</v>
      </c>
      <c r="B699" s="4" t="inlineStr">
        <is>
          <t>CLOV US</t>
        </is>
      </c>
      <c r="C699" s="4" t="inlineStr">
        <is>
          <t>CLOV US</t>
        </is>
      </c>
      <c r="D699" s="7" t="n">
        <v>44110</v>
      </c>
      <c r="E699" s="3" t="n">
        <v>1228</v>
      </c>
      <c r="F699" s="4" t="inlineStr">
        <is>
          <t>Cash and Stock</t>
        </is>
      </c>
      <c r="G699" s="4" t="n"/>
      <c r="H699" s="4" t="inlineStr">
        <is>
          <t>Health Care</t>
        </is>
      </c>
      <c r="I699" s="4" t="inlineStr">
        <is>
          <t>Health Care</t>
        </is>
      </c>
      <c r="J699" s="4" t="inlineStr">
        <is>
          <t>Health Care Facilities &amp; Svcs</t>
        </is>
      </c>
      <c r="K699" s="4" t="n"/>
      <c r="L699" s="4" t="n"/>
      <c r="M699" s="4" t="n"/>
      <c r="N699" s="3" t="n">
        <v>1228</v>
      </c>
      <c r="O699" s="4" t="inlineStr">
        <is>
          <t>United States</t>
        </is>
      </c>
      <c r="P699" s="4" t="inlineStr">
        <is>
          <t>United States</t>
        </is>
      </c>
      <c r="Q699" s="4" t="inlineStr">
        <is>
          <t>Friendly</t>
        </is>
      </c>
      <c r="R699" s="3" t="n">
        <v>1924.31</v>
      </c>
      <c r="S699" s="3" t="n">
        <v>-2.57425</v>
      </c>
      <c r="T699" s="4" t="inlineStr">
        <is>
          <t>Reverse Merger, Company Takeover, Private Equity</t>
        </is>
      </c>
      <c r="U699" s="2" t="inlineStr">
        <is>
          <t>No</t>
        </is>
      </c>
      <c r="V699" s="2" t="inlineStr">
        <is>
          <t>No</t>
        </is>
      </c>
      <c r="W699" s="2" t="inlineStr">
        <is>
          <t>No</t>
        </is>
      </c>
      <c r="X699" s="2" t="inlineStr">
        <is>
          <t>No</t>
        </is>
      </c>
      <c r="Y699" s="2" t="inlineStr">
        <is>
          <t>No</t>
        </is>
      </c>
      <c r="Z699" s="2" t="inlineStr">
        <is>
          <t>No</t>
        </is>
      </c>
      <c r="AA699" s="6" t="n">
        <v>3.089198367</v>
      </c>
      <c r="AB699" s="6" t="n">
        <v>3.284275037</v>
      </c>
      <c r="AC699" s="6" t="n">
        <v>3.089198367</v>
      </c>
      <c r="AD699">
        <f t="array" ref="AD699">IF(SUMPRODUCT(--($AM$2:$AM$112=TRIM(LEFT($B699,IFERROR(FIND(" ",$B699)-1,LEN($B699))))))&gt;0,1,0)</f>
        <v/>
      </c>
      <c r="AE699">
        <f t="array" ref="AE699">IF(SUMPRODUCT(--($AO$2:$AO$145=TRIM(LEFT($B699,IFERROR(FIND(" ",$B699)-1,LEN($B699))))))&gt;0,1,0)</f>
        <v/>
      </c>
      <c r="AF699">
        <f t="array" ref="AF699">IF(SUMPRODUCT(--($AQ$2:$AQ$71=TRIM(LEFT($B699,IFERROR(FIND(" ",$B699)-1,LEN($B699))))))&gt;0,1,0)</f>
        <v/>
      </c>
    </row>
    <row r="700" ht="45.75" customHeight="1" thickBot="1">
      <c r="A700" s="13" t="n">
        <v>53</v>
      </c>
      <c r="B700" s="4" t="inlineStr">
        <is>
          <t>HSE CN</t>
        </is>
      </c>
      <c r="C700" s="4" t="inlineStr">
        <is>
          <t>CVE CN</t>
        </is>
      </c>
      <c r="D700" s="7" t="n">
        <v>44129</v>
      </c>
      <c r="E700" s="3" t="n">
        <v>8023.59</v>
      </c>
      <c r="F700" s="4" t="inlineStr">
        <is>
          <t>Stock</t>
        </is>
      </c>
      <c r="G700" s="3" t="n">
        <v>29.06</v>
      </c>
      <c r="H700" s="4" t="inlineStr">
        <is>
          <t>Energy</t>
        </is>
      </c>
      <c r="I700" s="4" t="inlineStr">
        <is>
          <t>Oil &amp; Gas</t>
        </is>
      </c>
      <c r="J700" s="4" t="inlineStr">
        <is>
          <t>Oil &amp; Gas Supply Chain</t>
        </is>
      </c>
      <c r="K700" s="4" t="n"/>
      <c r="L700" s="4" t="n"/>
      <c r="M700" s="3" t="n">
        <v>26.48</v>
      </c>
      <c r="N700" s="3" t="n">
        <v>3038.62</v>
      </c>
      <c r="O700" s="4" t="inlineStr">
        <is>
          <t>Canada</t>
        </is>
      </c>
      <c r="P700" s="4" t="inlineStr">
        <is>
          <t>Canada</t>
        </is>
      </c>
      <c r="Q700" s="4" t="inlineStr">
        <is>
          <t>Friendly</t>
        </is>
      </c>
      <c r="R700" s="3" t="n">
        <v>9928.27</v>
      </c>
      <c r="S700" s="3" t="n">
        <v>-95.1131</v>
      </c>
      <c r="T700" s="4" t="inlineStr">
        <is>
          <t>Company Takeover</t>
        </is>
      </c>
      <c r="U700" s="2" t="inlineStr">
        <is>
          <t>No</t>
        </is>
      </c>
      <c r="V700" s="2" t="inlineStr">
        <is>
          <t>No</t>
        </is>
      </c>
      <c r="W700" s="2" t="inlineStr">
        <is>
          <t>No</t>
        </is>
      </c>
      <c r="X700" s="2" t="inlineStr">
        <is>
          <t>No</t>
        </is>
      </c>
      <c r="Y700" s="2" t="inlineStr">
        <is>
          <t>No</t>
        </is>
      </c>
      <c r="Z700" s="2" t="inlineStr">
        <is>
          <t>No</t>
        </is>
      </c>
      <c r="AA700" s="6" t="n">
        <v>3.904368728</v>
      </c>
      <c r="AB700" s="6" t="n">
        <v>3.996873579</v>
      </c>
      <c r="AC700" s="6" t="n">
        <v>3.482676392</v>
      </c>
      <c r="AD700">
        <f t="array" ref="AD700">IF(SUMPRODUCT(--($AM$2:$AM$112=TRIM(LEFT($B700,IFERROR(FIND(" ",$B700)-1,LEN($B700))))))&gt;0,1,0)</f>
        <v/>
      </c>
      <c r="AE700">
        <f t="array" ref="AE700">IF(SUMPRODUCT(--($AO$2:$AO$145=TRIM(LEFT($B700,IFERROR(FIND(" ",$B700)-1,LEN($B700))))))&gt;0,1,0)</f>
        <v/>
      </c>
      <c r="AF700">
        <f t="array" ref="AF700">IF(SUMPRODUCT(--($AQ$2:$AQ$71=TRIM(LEFT($B700,IFERROR(FIND(" ",$B700)-1,LEN($B700))))))&gt;0,1,0)</f>
        <v/>
      </c>
    </row>
    <row r="701" ht="45.75" customHeight="1" thickBot="1">
      <c r="A701" s="13" t="n">
        <v>131</v>
      </c>
      <c r="B701" s="4" t="inlineStr">
        <is>
          <t>NGHC US</t>
        </is>
      </c>
      <c r="C701" s="4" t="inlineStr">
        <is>
          <t>ALL US</t>
        </is>
      </c>
      <c r="D701" s="7" t="n">
        <v>44019</v>
      </c>
      <c r="E701" s="3" t="n">
        <v>3640</v>
      </c>
      <c r="F701" s="4" t="inlineStr">
        <is>
          <t>Cash</t>
        </is>
      </c>
      <c r="G701" s="4" t="n"/>
      <c r="H701" s="4" t="inlineStr">
        <is>
          <t>Financials</t>
        </is>
      </c>
      <c r="I701" s="4" t="inlineStr">
        <is>
          <t>Insurance</t>
        </is>
      </c>
      <c r="J701" s="4" t="inlineStr">
        <is>
          <t>Insurance</t>
        </is>
      </c>
      <c r="K701" s="4" t="n"/>
      <c r="L701" s="3" t="n">
        <v>132.5</v>
      </c>
      <c r="M701" s="4" t="n"/>
      <c r="N701" s="3" t="n">
        <v>3640</v>
      </c>
      <c r="O701" s="4" t="inlineStr">
        <is>
          <t>United States</t>
        </is>
      </c>
      <c r="P701" s="4" t="inlineStr">
        <is>
          <t>United States</t>
        </is>
      </c>
      <c r="Q701" s="4" t="inlineStr">
        <is>
          <t>Friendly</t>
        </is>
      </c>
      <c r="R701" s="3" t="n">
        <v>5552.28</v>
      </c>
      <c r="S701" s="3" t="n">
        <v>12.5073</v>
      </c>
      <c r="T701" s="4" t="inlineStr">
        <is>
          <t>Company Takeover</t>
        </is>
      </c>
      <c r="U701" s="2" t="inlineStr">
        <is>
          <t>No</t>
        </is>
      </c>
      <c r="V701" s="2" t="inlineStr">
        <is>
          <t>No</t>
        </is>
      </c>
      <c r="W701" s="2" t="inlineStr">
        <is>
          <t>No</t>
        </is>
      </c>
      <c r="X701" s="2" t="inlineStr">
        <is>
          <t>No</t>
        </is>
      </c>
      <c r="Y701" s="2" t="inlineStr">
        <is>
          <t>No</t>
        </is>
      </c>
      <c r="Z701" s="2" t="inlineStr">
        <is>
          <t>No</t>
        </is>
      </c>
      <c r="AA701" s="6" t="n">
        <v>3.561101384</v>
      </c>
      <c r="AB701" s="6" t="n">
        <v>3.744471359</v>
      </c>
      <c r="AC701" s="6" t="n">
        <v>3.561101384</v>
      </c>
      <c r="AD701">
        <f t="array" ref="AD701">IF(SUMPRODUCT(--($AM$2:$AM$112=TRIM(LEFT($B701,IFERROR(FIND(" ",$B701)-1,LEN($B701))))))&gt;0,1,0)</f>
        <v/>
      </c>
      <c r="AE701">
        <f t="array" ref="AE701">IF(SUMPRODUCT(--($AO$2:$AO$145=TRIM(LEFT($B701,IFERROR(FIND(" ",$B701)-1,LEN($B701))))))&gt;0,1,0)</f>
        <v/>
      </c>
      <c r="AF701">
        <f t="array" ref="AF701">IF(SUMPRODUCT(--($AQ$2:$AQ$71=TRIM(LEFT($B701,IFERROR(FIND(" ",$B701)-1,LEN($B701))))))&gt;0,1,0)</f>
        <v/>
      </c>
    </row>
    <row r="702" ht="60.75" customHeight="1" thickBot="1">
      <c r="A702" s="13" t="n">
        <v>94</v>
      </c>
      <c r="B702" s="4" t="inlineStr">
        <is>
          <t>BMCH US</t>
        </is>
      </c>
      <c r="C702" s="4" t="inlineStr">
        <is>
          <t>BLDR US</t>
        </is>
      </c>
      <c r="D702" s="7" t="n">
        <v>44070</v>
      </c>
      <c r="E702" s="3" t="n">
        <v>2698.16</v>
      </c>
      <c r="F702" s="4" t="inlineStr">
        <is>
          <t>Stock</t>
        </is>
      </c>
      <c r="G702" s="3" t="n">
        <v>10.03</v>
      </c>
      <c r="H702" s="4" t="inlineStr">
        <is>
          <t>Consumer Discretionary</t>
        </is>
      </c>
      <c r="I702" s="4" t="inlineStr">
        <is>
          <t>Retail &amp; Whsle - Discretionary</t>
        </is>
      </c>
      <c r="J702" s="4" t="inlineStr">
        <is>
          <t>Retail - Discretionary</t>
        </is>
      </c>
      <c r="K702" s="4" t="n"/>
      <c r="L702" s="4" t="n"/>
      <c r="M702" s="3" t="n">
        <v>16.48</v>
      </c>
      <c r="N702" s="3" t="n">
        <v>2449.69</v>
      </c>
      <c r="O702" s="4" t="inlineStr">
        <is>
          <t>United States</t>
        </is>
      </c>
      <c r="P702" s="4" t="inlineStr">
        <is>
          <t>United States</t>
        </is>
      </c>
      <c r="Q702" s="4" t="inlineStr">
        <is>
          <t>Friendly</t>
        </is>
      </c>
      <c r="R702" s="3" t="n">
        <v>3626.59</v>
      </c>
      <c r="S702" s="3" t="n">
        <v>4.72069</v>
      </c>
      <c r="T702" s="4" t="inlineStr">
        <is>
          <t>Company Takeover</t>
        </is>
      </c>
      <c r="U702" s="2" t="inlineStr">
        <is>
          <t>No</t>
        </is>
      </c>
      <c r="V702" s="2" t="inlineStr">
        <is>
          <t>No</t>
        </is>
      </c>
      <c r="W702" s="2" t="inlineStr">
        <is>
          <t>No</t>
        </is>
      </c>
      <c r="X702" s="2" t="inlineStr">
        <is>
          <t>No</t>
        </is>
      </c>
      <c r="Y702" s="2" t="inlineStr">
        <is>
          <t>No</t>
        </is>
      </c>
      <c r="Z702" s="2" t="inlineStr">
        <is>
          <t>No</t>
        </is>
      </c>
      <c r="AA702" s="6" t="n">
        <v>3.4310677</v>
      </c>
      <c r="AB702" s="6" t="n">
        <v>3.55949846</v>
      </c>
      <c r="AC702" s="6" t="n">
        <v>3.389111129</v>
      </c>
      <c r="AD702">
        <f t="array" ref="AD702">IF(SUMPRODUCT(--($AM$2:$AM$112=TRIM(LEFT($B702,IFERROR(FIND(" ",$B702)-1,LEN($B702))))))&gt;0,1,0)</f>
        <v/>
      </c>
      <c r="AE702">
        <f t="array" ref="AE702">IF(SUMPRODUCT(--($AO$2:$AO$145=TRIM(LEFT($B702,IFERROR(FIND(" ",$B702)-1,LEN($B702))))))&gt;0,1,0)</f>
        <v/>
      </c>
      <c r="AF702">
        <f t="array" ref="AF702">IF(SUMPRODUCT(--($AQ$2:$AQ$71=TRIM(LEFT($B702,IFERROR(FIND(" ",$B702)-1,LEN($B702))))))&gt;0,1,0)</f>
        <v/>
      </c>
    </row>
    <row r="703" ht="75.75" customHeight="1" thickBot="1">
      <c r="A703" s="13" t="n">
        <v>76</v>
      </c>
      <c r="B703" s="4" t="inlineStr">
        <is>
          <t>GANS US</t>
        </is>
      </c>
      <c r="C703" s="4" t="inlineStr">
        <is>
          <t>1530Z US</t>
        </is>
      </c>
      <c r="D703" s="7" t="n">
        <v>44091</v>
      </c>
      <c r="E703" s="3" t="n">
        <v>572.75</v>
      </c>
      <c r="F703" s="4" t="inlineStr">
        <is>
          <t>Cash</t>
        </is>
      </c>
      <c r="G703" s="4" t="n"/>
      <c r="H703" s="4" t="inlineStr">
        <is>
          <t>Financials</t>
        </is>
      </c>
      <c r="I703" s="4" t="inlineStr">
        <is>
          <t>Insurance</t>
        </is>
      </c>
      <c r="J703" s="4" t="inlineStr">
        <is>
          <t>Insurance</t>
        </is>
      </c>
      <c r="K703" s="4" t="n"/>
      <c r="L703" s="4" t="n"/>
      <c r="M703" s="4" t="n"/>
      <c r="N703" s="3" t="n">
        <v>513.28</v>
      </c>
      <c r="O703" s="4" t="inlineStr">
        <is>
          <t>United States</t>
        </is>
      </c>
      <c r="P703" s="4" t="inlineStr">
        <is>
          <t>United States</t>
        </is>
      </c>
      <c r="Q703" s="4" t="inlineStr">
        <is>
          <t>Friendly</t>
        </is>
      </c>
      <c r="R703" s="3" t="n">
        <v>434.323</v>
      </c>
      <c r="S703" s="3" t="n">
        <v>9.492470000000001</v>
      </c>
      <c r="T703" s="4" t="inlineStr">
        <is>
          <t>Company Takeover, Going Private</t>
        </is>
      </c>
      <c r="U703" s="2" t="inlineStr">
        <is>
          <t>No</t>
        </is>
      </c>
      <c r="V703" s="2" t="inlineStr">
        <is>
          <t>No</t>
        </is>
      </c>
      <c r="W703" s="2" t="inlineStr">
        <is>
          <t>No</t>
        </is>
      </c>
      <c r="X703" s="2" t="inlineStr">
        <is>
          <t>Yes</t>
        </is>
      </c>
      <c r="Y703" s="2" t="inlineStr">
        <is>
          <t>No</t>
        </is>
      </c>
      <c r="Z703" s="2" t="inlineStr">
        <is>
          <t>No</t>
        </is>
      </c>
      <c r="AA703" s="6" t="n">
        <v>2.757965098</v>
      </c>
      <c r="AB703" s="6" t="n">
        <v>2.637812828</v>
      </c>
      <c r="AC703" s="6" t="n">
        <v>2.710354342</v>
      </c>
      <c r="AD703">
        <f t="array" ref="AD703">IF(SUMPRODUCT(--($AM$2:$AM$112=TRIM(LEFT($B703,IFERROR(FIND(" ",$B703)-1,LEN($B703))))))&gt;0,1,0)</f>
        <v/>
      </c>
      <c r="AE703">
        <f t="array" ref="AE703">IF(SUMPRODUCT(--($AO$2:$AO$145=TRIM(LEFT($B703,IFERROR(FIND(" ",$B703)-1,LEN($B703))))))&gt;0,1,0)</f>
        <v/>
      </c>
      <c r="AF703">
        <f t="array" ref="AF703">IF(SUMPRODUCT(--($AQ$2:$AQ$71=TRIM(LEFT($B703,IFERROR(FIND(" ",$B703)-1,LEN($B703))))))&gt;0,1,0)</f>
        <v/>
      </c>
    </row>
    <row r="704" ht="45.75" customHeight="1" thickBot="1">
      <c r="A704" s="13" t="n">
        <v>232</v>
      </c>
      <c r="B704" s="4" t="inlineStr">
        <is>
          <t>TCO US</t>
        </is>
      </c>
      <c r="C704" s="4" t="inlineStr">
        <is>
          <t>SPG US</t>
        </is>
      </c>
      <c r="D704" s="7" t="n">
        <v>43871</v>
      </c>
      <c r="E704" s="3" t="n">
        <v>6480.82</v>
      </c>
      <c r="F704" s="4" t="inlineStr">
        <is>
          <t>Cash</t>
        </is>
      </c>
      <c r="G704" s="3" t="n">
        <v>22.04</v>
      </c>
      <c r="H704" s="4" t="inlineStr">
        <is>
          <t>Real Estate</t>
        </is>
      </c>
      <c r="I704" s="4" t="inlineStr">
        <is>
          <t>Real Estate</t>
        </is>
      </c>
      <c r="J704" s="4" t="inlineStr">
        <is>
          <t>REIT</t>
        </is>
      </c>
      <c r="K704" s="4" t="n"/>
      <c r="L704" s="3" t="n">
        <v>46.6049</v>
      </c>
      <c r="M704" s="3" t="n">
        <v>39.17</v>
      </c>
      <c r="N704" s="3" t="n">
        <v>2632.48</v>
      </c>
      <c r="O704" s="4" t="inlineStr">
        <is>
          <t>United States</t>
        </is>
      </c>
      <c r="P704" s="4" t="inlineStr">
        <is>
          <t>United States</t>
        </is>
      </c>
      <c r="Q704" s="4" t="inlineStr">
        <is>
          <t>Friendly</t>
        </is>
      </c>
      <c r="R704" s="3" t="n">
        <v>661.054</v>
      </c>
      <c r="S704" s="3" t="n">
        <v>0.178069</v>
      </c>
      <c r="T704" s="4" t="inlineStr">
        <is>
          <t>Company Takeover</t>
        </is>
      </c>
      <c r="U704" s="2" t="inlineStr">
        <is>
          <t>No</t>
        </is>
      </c>
      <c r="V704" s="2" t="inlineStr">
        <is>
          <t>No</t>
        </is>
      </c>
      <c r="W704" s="2" t="inlineStr">
        <is>
          <t>No</t>
        </is>
      </c>
      <c r="X704" s="2" t="inlineStr">
        <is>
          <t>No</t>
        </is>
      </c>
      <c r="Y704" s="2" t="inlineStr">
        <is>
          <t>No</t>
        </is>
      </c>
      <c r="Z704" s="2" t="inlineStr">
        <is>
          <t>No</t>
        </is>
      </c>
      <c r="AA704" s="6" t="n">
        <v>3.811629959</v>
      </c>
      <c r="AB704" s="6" t="n">
        <v>2.820236937</v>
      </c>
      <c r="AC704" s="6" t="n">
        <v>3.42036508</v>
      </c>
      <c r="AD704">
        <f t="array" ref="AD704">IF(SUMPRODUCT(--($AM$2:$AM$112=TRIM(LEFT($B704,IFERROR(FIND(" ",$B704)-1,LEN($B704))))))&gt;0,1,0)</f>
        <v/>
      </c>
      <c r="AE704">
        <f t="array" ref="AE704">IF(SUMPRODUCT(--($AO$2:$AO$145=TRIM(LEFT($B704,IFERROR(FIND(" ",$B704)-1,LEN($B704))))))&gt;0,1,0)</f>
        <v/>
      </c>
      <c r="AF704">
        <f t="array" ref="AF704">IF(SUMPRODUCT(--($AQ$2:$AQ$71=TRIM(LEFT($B704,IFERROR(FIND(" ",$B704)-1,LEN($B704))))))&gt;0,1,0)</f>
        <v/>
      </c>
    </row>
    <row r="705" ht="75.75" customHeight="1" thickBot="1">
      <c r="A705" s="13" t="n">
        <v>31</v>
      </c>
      <c r="B705" s="4" t="inlineStr">
        <is>
          <t>HDS US</t>
        </is>
      </c>
      <c r="C705" s="4" t="inlineStr">
        <is>
          <t>HD US</t>
        </is>
      </c>
      <c r="D705" s="7" t="n">
        <v>44151</v>
      </c>
      <c r="E705" s="3" t="n">
        <v>11088.49</v>
      </c>
      <c r="F705" s="4" t="inlineStr">
        <is>
          <t>Cash</t>
        </is>
      </c>
      <c r="G705" s="3" t="n">
        <v>13.09</v>
      </c>
      <c r="H705" s="4" t="inlineStr">
        <is>
          <t>Industrials</t>
        </is>
      </c>
      <c r="I705" s="4" t="inlineStr">
        <is>
          <t>Industrial Services</t>
        </is>
      </c>
      <c r="J705" s="4" t="inlineStr">
        <is>
          <t>Industrial Support Services</t>
        </is>
      </c>
      <c r="K705" s="4" t="n"/>
      <c r="L705" s="3" t="n">
        <v>275</v>
      </c>
      <c r="M705" s="4" t="n"/>
      <c r="N705" s="3" t="n">
        <v>8713.49</v>
      </c>
      <c r="O705" s="4" t="inlineStr">
        <is>
          <t>United States</t>
        </is>
      </c>
      <c r="P705" s="4" t="inlineStr">
        <is>
          <t>United States</t>
        </is>
      </c>
      <c r="Q705" s="4" t="inlineStr">
        <is>
          <t>Friendly</t>
        </is>
      </c>
      <c r="R705" s="3" t="n">
        <v>6146</v>
      </c>
      <c r="S705" s="3" t="n">
        <v>11.1833</v>
      </c>
      <c r="T705" s="4" t="inlineStr">
        <is>
          <t>Company Takeover, Tender Offer</t>
        </is>
      </c>
      <c r="U705" s="2" t="inlineStr">
        <is>
          <t>No</t>
        </is>
      </c>
      <c r="V705" s="2" t="inlineStr">
        <is>
          <t>No</t>
        </is>
      </c>
      <c r="W705" s="2" t="inlineStr">
        <is>
          <t>No</t>
        </is>
      </c>
      <c r="X705" s="2" t="inlineStr">
        <is>
          <t>No</t>
        </is>
      </c>
      <c r="Y705" s="2" t="inlineStr">
        <is>
          <t>No</t>
        </is>
      </c>
      <c r="Z705" s="2" t="inlineStr">
        <is>
          <t>Yes</t>
        </is>
      </c>
      <c r="AA705" s="6" t="n">
        <v>4.044872409</v>
      </c>
      <c r="AB705" s="6" t="n">
        <v>3.788592556</v>
      </c>
      <c r="AC705" s="6" t="n">
        <v>3.940192137</v>
      </c>
      <c r="AD705">
        <f t="array" ref="AD705">IF(SUMPRODUCT(--($AM$2:$AM$112=TRIM(LEFT($B705,IFERROR(FIND(" ",$B705)-1,LEN($B705))))))&gt;0,1,0)</f>
        <v/>
      </c>
      <c r="AE705">
        <f t="array" ref="AE705">IF(SUMPRODUCT(--($AO$2:$AO$145=TRIM(LEFT($B705,IFERROR(FIND(" ",$B705)-1,LEN($B705))))))&gt;0,1,0)</f>
        <v/>
      </c>
      <c r="AF705">
        <f t="array" ref="AF705">IF(SUMPRODUCT(--($AQ$2:$AQ$71=TRIM(LEFT($B705,IFERROR(FIND(" ",$B705)-1,LEN($B705))))))&gt;0,1,0)</f>
        <v/>
      </c>
    </row>
    <row r="706" ht="45.75" customHeight="1" thickBot="1">
      <c r="A706" s="13" t="n">
        <v>98</v>
      </c>
      <c r="B706" s="4" t="inlineStr">
        <is>
          <t>GLIBA US</t>
        </is>
      </c>
      <c r="C706" s="4" t="inlineStr">
        <is>
          <t>LBRDA US</t>
        </is>
      </c>
      <c r="D706" s="7" t="n">
        <v>44049</v>
      </c>
      <c r="E706" s="3" t="n">
        <v>10884.16</v>
      </c>
      <c r="F706" s="4" t="inlineStr">
        <is>
          <t>Stock</t>
        </is>
      </c>
      <c r="G706" s="3" t="n">
        <v>84.16</v>
      </c>
      <c r="H706" s="4" t="inlineStr">
        <is>
          <t>Communications</t>
        </is>
      </c>
      <c r="I706" s="4" t="inlineStr">
        <is>
          <t>Telecommunications</t>
        </is>
      </c>
      <c r="J706" s="4" t="inlineStr">
        <is>
          <t>Telecommunications</t>
        </is>
      </c>
      <c r="K706" s="3" t="n">
        <v>340</v>
      </c>
      <c r="L706" s="3" t="n">
        <v>240</v>
      </c>
      <c r="M706" s="3" t="n">
        <v>1.54</v>
      </c>
      <c r="N706" s="3" t="n">
        <v>8143.1</v>
      </c>
      <c r="O706" s="4" t="inlineStr">
        <is>
          <t>United States</t>
        </is>
      </c>
      <c r="P706" s="4" t="inlineStr">
        <is>
          <t>United States</t>
        </is>
      </c>
      <c r="Q706" s="4" t="inlineStr">
        <is>
          <t>Friendly</t>
        </is>
      </c>
      <c r="R706" s="3" t="n">
        <v>1046</v>
      </c>
      <c r="S706" s="3" t="n">
        <v>-36.1969</v>
      </c>
      <c r="T706" s="4" t="inlineStr">
        <is>
          <t>Company Takeover</t>
        </is>
      </c>
      <c r="U706" s="2" t="inlineStr">
        <is>
          <t>No</t>
        </is>
      </c>
      <c r="V706" s="2" t="inlineStr">
        <is>
          <t>No</t>
        </is>
      </c>
      <c r="W706" s="2" t="inlineStr">
        <is>
          <t>No</t>
        </is>
      </c>
      <c r="X706" s="2" t="inlineStr">
        <is>
          <t>No</t>
        </is>
      </c>
      <c r="Y706" s="2" t="inlineStr">
        <is>
          <t>No</t>
        </is>
      </c>
      <c r="Z706" s="2" t="inlineStr">
        <is>
          <t>No</t>
        </is>
      </c>
      <c r="AA706" s="6" t="n">
        <v>4.036794917</v>
      </c>
      <c r="AB706" s="6" t="n">
        <v>3.019531685</v>
      </c>
      <c r="AC706" s="6" t="n">
        <v>3.910789768</v>
      </c>
      <c r="AD706">
        <f t="array" ref="AD706">IF(SUMPRODUCT(--($AM$2:$AM$112=TRIM(LEFT($B706,IFERROR(FIND(" ",$B706)-1,LEN($B706))))))&gt;0,1,0)</f>
        <v/>
      </c>
      <c r="AE706">
        <f t="array" ref="AE706">IF(SUMPRODUCT(--($AO$2:$AO$145=TRIM(LEFT($B706,IFERROR(FIND(" ",$B706)-1,LEN($B706))))))&gt;0,1,0)</f>
        <v/>
      </c>
      <c r="AF706">
        <f t="array" ref="AF706">IF(SUMPRODUCT(--($AQ$2:$AQ$71=TRIM(LEFT($B706,IFERROR(FIND(" ",$B706)-1,LEN($B706))))))&gt;0,1,0)</f>
        <v/>
      </c>
    </row>
    <row r="707" ht="105.75" customHeight="1" thickBot="1">
      <c r="A707" s="13" t="n">
        <v>34</v>
      </c>
      <c r="B707" s="4" t="inlineStr">
        <is>
          <t>DNKN US</t>
        </is>
      </c>
      <c r="C707" s="4" t="inlineStr">
        <is>
          <t>0208044D US</t>
        </is>
      </c>
      <c r="D707" s="7" t="n">
        <v>44134</v>
      </c>
      <c r="E707" s="3" t="n">
        <v>11582.95</v>
      </c>
      <c r="F707" s="4" t="inlineStr">
        <is>
          <t>Cash</t>
        </is>
      </c>
      <c r="G707" s="3" t="n">
        <v>24.56</v>
      </c>
      <c r="H707" s="4" t="inlineStr">
        <is>
          <t>Consumer Discretionary</t>
        </is>
      </c>
      <c r="I707" s="4" t="inlineStr">
        <is>
          <t>Consumer Discretionary Services</t>
        </is>
      </c>
      <c r="J707" s="4" t="inlineStr">
        <is>
          <t>Leisure Facilities &amp; Services</t>
        </is>
      </c>
      <c r="K707" s="3" t="n">
        <v>469</v>
      </c>
      <c r="L707" s="3" t="n">
        <v>268</v>
      </c>
      <c r="M707" s="4" t="n"/>
      <c r="N707" s="3" t="n">
        <v>8776.309999999999</v>
      </c>
      <c r="O707" s="4" t="inlineStr">
        <is>
          <t>United States</t>
        </is>
      </c>
      <c r="P707" s="4" t="inlineStr">
        <is>
          <t>United States</t>
        </is>
      </c>
      <c r="Q707" s="4" t="inlineStr">
        <is>
          <t>Friendly</t>
        </is>
      </c>
      <c r="R707" s="3" t="n">
        <v>1370.23</v>
      </c>
      <c r="S707" s="3" t="n">
        <v>31.9214</v>
      </c>
      <c r="T707" s="4" t="inlineStr">
        <is>
          <t>Company Takeover, Tender Offer, Going Private</t>
        </is>
      </c>
      <c r="U707" s="2" t="inlineStr">
        <is>
          <t>No</t>
        </is>
      </c>
      <c r="V707" s="2" t="inlineStr">
        <is>
          <t>No</t>
        </is>
      </c>
      <c r="W707" s="2" t="inlineStr">
        <is>
          <t>No</t>
        </is>
      </c>
      <c r="X707" s="2" t="inlineStr">
        <is>
          <t>Yes</t>
        </is>
      </c>
      <c r="Y707" s="2" t="inlineStr">
        <is>
          <t>No</t>
        </is>
      </c>
      <c r="Z707" s="2" t="inlineStr">
        <is>
          <t>Yes</t>
        </is>
      </c>
      <c r="AA707" s="6" t="n">
        <v>4.063819182</v>
      </c>
      <c r="AB707" s="6" t="n">
        <v>3.136793472</v>
      </c>
      <c r="AC707" s="6" t="n">
        <v>3.943311955</v>
      </c>
      <c r="AD707">
        <f t="array" ref="AD707">IF(SUMPRODUCT(--($AM$2:$AM$112=TRIM(LEFT($B707,IFERROR(FIND(" ",$B707)-1,LEN($B707))))))&gt;0,1,0)</f>
        <v/>
      </c>
      <c r="AE707">
        <f t="array" ref="AE707">IF(SUMPRODUCT(--($AO$2:$AO$145=TRIM(LEFT($B707,IFERROR(FIND(" ",$B707)-1,LEN($B707))))))&gt;0,1,0)</f>
        <v/>
      </c>
      <c r="AF707">
        <f t="array" ref="AF707">IF(SUMPRODUCT(--($AQ$2:$AQ$71=TRIM(LEFT($B707,IFERROR(FIND(" ",$B707)-1,LEN($B707))))))&gt;0,1,0)</f>
        <v/>
      </c>
    </row>
    <row r="708" ht="75.75" customHeight="1" thickBot="1">
      <c r="A708" s="13" t="n">
        <v>24</v>
      </c>
      <c r="B708" s="4" t="inlineStr">
        <is>
          <t>EMIS US</t>
        </is>
      </c>
      <c r="C708" s="4" t="inlineStr">
        <is>
          <t>NOVOB DC</t>
        </is>
      </c>
      <c r="D708" s="7" t="n">
        <v>44141</v>
      </c>
      <c r="E708" s="3" t="n">
        <v>1401.65</v>
      </c>
      <c r="F708" s="4" t="inlineStr">
        <is>
          <t>Cash</t>
        </is>
      </c>
      <c r="G708" s="4" t="n"/>
      <c r="H708" s="4" t="inlineStr">
        <is>
          <t>Health Care</t>
        </is>
      </c>
      <c r="I708" s="4" t="inlineStr">
        <is>
          <t>Health Care</t>
        </is>
      </c>
      <c r="J708" s="4" t="inlineStr">
        <is>
          <t>Biotech &amp; Pharma</t>
        </is>
      </c>
      <c r="K708" s="4" t="n"/>
      <c r="L708" s="4" t="n"/>
      <c r="M708" s="3" t="n">
        <v>6.34</v>
      </c>
      <c r="N708" s="3" t="n">
        <v>1338.15</v>
      </c>
      <c r="O708" s="4" t="inlineStr">
        <is>
          <t>United States</t>
        </is>
      </c>
      <c r="P708" s="4" t="inlineStr">
        <is>
          <t>Denmark</t>
        </is>
      </c>
      <c r="Q708" s="4" t="inlineStr">
        <is>
          <t>Friendly</t>
        </is>
      </c>
      <c r="R708" s="2" t="n"/>
      <c r="S708" s="2" t="n"/>
      <c r="T708" s="4" t="inlineStr">
        <is>
          <t>Company Takeover, Cross Border</t>
        </is>
      </c>
      <c r="U708" s="2" t="inlineStr">
        <is>
          <t>No</t>
        </is>
      </c>
      <c r="V708" s="2" t="inlineStr">
        <is>
          <t>No</t>
        </is>
      </c>
      <c r="W708" s="2" t="inlineStr">
        <is>
          <t>Yes</t>
        </is>
      </c>
      <c r="X708" s="2" t="inlineStr">
        <is>
          <t>No</t>
        </is>
      </c>
      <c r="Y708" s="2" t="inlineStr">
        <is>
          <t>No</t>
        </is>
      </c>
      <c r="Z708" s="2" t="inlineStr">
        <is>
          <t>No</t>
        </is>
      </c>
      <c r="AA708" s="6" t="n">
        <v>3.146639581</v>
      </c>
      <c r="AB708" s="2" t="n"/>
      <c r="AC708" s="6" t="n">
        <v>3.126504798</v>
      </c>
      <c r="AD708">
        <f t="array" ref="AD708">IF(SUMPRODUCT(--($AM$2:$AM$112=TRIM(LEFT($B708,IFERROR(FIND(" ",$B708)-1,LEN($B708))))))&gt;0,1,0)</f>
        <v/>
      </c>
      <c r="AE708">
        <f t="array" ref="AE708">IF(SUMPRODUCT(--($AO$2:$AO$145=TRIM(LEFT($B708,IFERROR(FIND(" ",$B708)-1,LEN($B708))))))&gt;0,1,0)</f>
        <v/>
      </c>
      <c r="AF708">
        <f t="array" ref="AF708">IF(SUMPRODUCT(--($AQ$2:$AQ$71=TRIM(LEFT($B708,IFERROR(FIND(" ",$B708)-1,LEN($B708))))))&gt;0,1,0)</f>
        <v/>
      </c>
    </row>
    <row r="709" ht="105.75" customHeight="1" thickBot="1">
      <c r="A709" s="13" t="n">
        <v>34</v>
      </c>
      <c r="B709" s="4" t="inlineStr">
        <is>
          <t>BSTC US</t>
        </is>
      </c>
      <c r="C709" s="4" t="inlineStr">
        <is>
          <t>ENDPQ US</t>
        </is>
      </c>
      <c r="D709" s="7" t="n">
        <v>44123</v>
      </c>
      <c r="E709" s="3" t="n">
        <v>553.75</v>
      </c>
      <c r="F709" s="4" t="inlineStr">
        <is>
          <t>Cash</t>
        </is>
      </c>
      <c r="G709" s="3" t="n">
        <v>25.7</v>
      </c>
      <c r="H709" s="4" t="inlineStr">
        <is>
          <t>Health Care</t>
        </is>
      </c>
      <c r="I709" s="4" t="inlineStr">
        <is>
          <t>Health Care</t>
        </is>
      </c>
      <c r="J709" s="4" t="inlineStr">
        <is>
          <t>Biotech &amp; Pharma</t>
        </is>
      </c>
      <c r="K709" s="4" t="n"/>
      <c r="L709" s="3" t="n">
        <v>23.04</v>
      </c>
      <c r="M709" s="3" t="n">
        <v>57.02</v>
      </c>
      <c r="N709" s="3" t="n">
        <v>652.6</v>
      </c>
      <c r="O709" s="4" t="inlineStr">
        <is>
          <t>United States</t>
        </is>
      </c>
      <c r="P709" s="4" t="inlineStr">
        <is>
          <t>Ireland</t>
        </is>
      </c>
      <c r="Q709" s="4" t="inlineStr">
        <is>
          <t>Friendly</t>
        </is>
      </c>
      <c r="R709" s="3" t="n">
        <v>38.1878</v>
      </c>
      <c r="S709" s="3" t="n">
        <v>55.884</v>
      </c>
      <c r="T709" s="4" t="inlineStr">
        <is>
          <t>Company Takeover, Cross Border, Tender Offer</t>
        </is>
      </c>
      <c r="U709" s="2" t="inlineStr">
        <is>
          <t>No</t>
        </is>
      </c>
      <c r="V709" s="2" t="inlineStr">
        <is>
          <t>No</t>
        </is>
      </c>
      <c r="W709" s="2" t="inlineStr">
        <is>
          <t>Yes</t>
        </is>
      </c>
      <c r="X709" s="2" t="inlineStr">
        <is>
          <t>No</t>
        </is>
      </c>
      <c r="Y709" s="2" t="inlineStr">
        <is>
          <t>No</t>
        </is>
      </c>
      <c r="Z709" s="2" t="inlineStr">
        <is>
          <t>Yes</t>
        </is>
      </c>
      <c r="AA709" s="6" t="n">
        <v>2.743313739</v>
      </c>
      <c r="AB709" s="6" t="n">
        <v>1.581924639</v>
      </c>
      <c r="AC709" s="6" t="n">
        <v>2.814647069</v>
      </c>
      <c r="AD709">
        <f t="array" ref="AD709">IF(SUMPRODUCT(--($AM$2:$AM$112=TRIM(LEFT($B709,IFERROR(FIND(" ",$B709)-1,LEN($B709))))))&gt;0,1,0)</f>
        <v/>
      </c>
      <c r="AE709">
        <f t="array" ref="AE709">IF(SUMPRODUCT(--($AO$2:$AO$145=TRIM(LEFT($B709,IFERROR(FIND(" ",$B709)-1,LEN($B709))))))&gt;0,1,0)</f>
        <v/>
      </c>
      <c r="AF709">
        <f t="array" ref="AF709">IF(SUMPRODUCT(--($AQ$2:$AQ$71=TRIM(LEFT($B709,IFERROR(FIND(" ",$B709)-1,LEN($B709))))))&gt;0,1,0)</f>
        <v/>
      </c>
    </row>
    <row r="710" ht="75.75" customHeight="1" thickBot="1">
      <c r="A710" s="13" t="n">
        <v>48</v>
      </c>
      <c r="B710" s="4" t="inlineStr">
        <is>
          <t>MOBL US</t>
        </is>
      </c>
      <c r="C710" s="4" t="inlineStr">
        <is>
          <t>3911784Z US</t>
        </is>
      </c>
      <c r="D710" s="7" t="n">
        <v>44102</v>
      </c>
      <c r="E710" s="3" t="n">
        <v>748.85</v>
      </c>
      <c r="F710" s="4" t="inlineStr">
        <is>
          <t>Cash</t>
        </is>
      </c>
      <c r="G710" s="4" t="n"/>
      <c r="H710" s="4" t="inlineStr">
        <is>
          <t>Technology</t>
        </is>
      </c>
      <c r="I710" s="4" t="inlineStr">
        <is>
          <t>Software &amp; Tech Services</t>
        </is>
      </c>
      <c r="J710" s="4" t="inlineStr">
        <is>
          <t>Software</t>
        </is>
      </c>
      <c r="K710" s="3" t="n">
        <v>66.25</v>
      </c>
      <c r="L710" s="3" t="n">
        <v>30.45</v>
      </c>
      <c r="M710" s="3" t="n">
        <v>17.9</v>
      </c>
      <c r="N710" s="3" t="n">
        <v>824.03</v>
      </c>
      <c r="O710" s="4" t="inlineStr">
        <is>
          <t>United States</t>
        </is>
      </c>
      <c r="P710" s="4" t="inlineStr">
        <is>
          <t>United States</t>
        </is>
      </c>
      <c r="Q710" s="4" t="inlineStr">
        <is>
          <t>Friendly</t>
        </is>
      </c>
      <c r="R710" s="3" t="n">
        <v>205.236</v>
      </c>
      <c r="S710" s="3" t="n">
        <v>-20.5181</v>
      </c>
      <c r="T710" s="4" t="inlineStr">
        <is>
          <t>Company Takeover, Going Private</t>
        </is>
      </c>
      <c r="U710" s="2" t="inlineStr">
        <is>
          <t>No</t>
        </is>
      </c>
      <c r="V710" s="2" t="inlineStr">
        <is>
          <t>No</t>
        </is>
      </c>
      <c r="W710" s="2" t="inlineStr">
        <is>
          <t>No</t>
        </is>
      </c>
      <c r="X710" s="2" t="inlineStr">
        <is>
          <t>Yes</t>
        </is>
      </c>
      <c r="Y710" s="2" t="inlineStr">
        <is>
          <t>No</t>
        </is>
      </c>
      <c r="Z710" s="2" t="inlineStr">
        <is>
          <t>No</t>
        </is>
      </c>
      <c r="AA710" s="6" t="n">
        <v>2.874394834</v>
      </c>
      <c r="AB710" s="6" t="n">
        <v>2.312253542</v>
      </c>
      <c r="AC710" s="6" t="n">
        <v>2.915943023</v>
      </c>
      <c r="AD710">
        <f t="array" ref="AD710">IF(SUMPRODUCT(--($AM$2:$AM$112=TRIM(LEFT($B710,IFERROR(FIND(" ",$B710)-1,LEN($B710))))))&gt;0,1,0)</f>
        <v/>
      </c>
      <c r="AE710">
        <f t="array" ref="AE710">IF(SUMPRODUCT(--($AO$2:$AO$145=TRIM(LEFT($B710,IFERROR(FIND(" ",$B710)-1,LEN($B710))))))&gt;0,1,0)</f>
        <v/>
      </c>
      <c r="AF710">
        <f t="array" ref="AF710">IF(SUMPRODUCT(--($AQ$2:$AQ$71=TRIM(LEFT($B710,IFERROR(FIND(" ",$B710)-1,LEN($B710))))))&gt;0,1,0)</f>
        <v/>
      </c>
    </row>
    <row r="711" ht="75.75" customHeight="1" thickBot="1">
      <c r="A711" s="13" t="n">
        <v>32</v>
      </c>
      <c r="B711" s="4" t="inlineStr">
        <is>
          <t>MYOK US</t>
        </is>
      </c>
      <c r="C711" s="4" t="inlineStr">
        <is>
          <t>BMY US</t>
        </is>
      </c>
      <c r="D711" s="7" t="n">
        <v>44109</v>
      </c>
      <c r="E711" s="3" t="n">
        <v>11059.88</v>
      </c>
      <c r="F711" s="4" t="inlineStr">
        <is>
          <t>Cash</t>
        </is>
      </c>
      <c r="G711" s="4" t="n"/>
      <c r="H711" s="4" t="inlineStr">
        <is>
          <t>Health Care</t>
        </is>
      </c>
      <c r="I711" s="4" t="inlineStr">
        <is>
          <t>Health Care</t>
        </is>
      </c>
      <c r="J711" s="4" t="inlineStr">
        <is>
          <t>Biotech &amp; Pharma</t>
        </is>
      </c>
      <c r="K711" s="4" t="n"/>
      <c r="L711" s="3" t="n">
        <v>458</v>
      </c>
      <c r="M711" s="4" t="n"/>
      <c r="N711" s="3" t="n">
        <v>11925.7</v>
      </c>
      <c r="O711" s="4" t="inlineStr">
        <is>
          <t>United States</t>
        </is>
      </c>
      <c r="P711" s="4" t="inlineStr">
        <is>
          <t>United States</t>
        </is>
      </c>
      <c r="Q711" s="4" t="inlineStr">
        <is>
          <t>Friendly</t>
        </is>
      </c>
      <c r="R711" s="2" t="n"/>
      <c r="S711" s="2" t="n"/>
      <c r="T711" s="4" t="inlineStr">
        <is>
          <t>Company Takeover, Tender Offer</t>
        </is>
      </c>
      <c r="U711" s="2" t="inlineStr">
        <is>
          <t>No</t>
        </is>
      </c>
      <c r="V711" s="2" t="inlineStr">
        <is>
          <t>No</t>
        </is>
      </c>
      <c r="W711" s="2" t="inlineStr">
        <is>
          <t>No</t>
        </is>
      </c>
      <c r="X711" s="2" t="inlineStr">
        <is>
          <t>No</t>
        </is>
      </c>
      <c r="Y711" s="2" t="inlineStr">
        <is>
          <t>No</t>
        </is>
      </c>
      <c r="Z711" s="2" t="inlineStr">
        <is>
          <t>Yes</t>
        </is>
      </c>
      <c r="AA711" s="6" t="n">
        <v>4.043750415</v>
      </c>
      <c r="AB711" s="2" t="n"/>
      <c r="AC711" s="6" t="n">
        <v>4.07648388</v>
      </c>
      <c r="AD711">
        <f t="array" ref="AD711">IF(SUMPRODUCT(--($AM$2:$AM$112=TRIM(LEFT($B711,IFERROR(FIND(" ",$B711)-1,LEN($B711))))))&gt;0,1,0)</f>
        <v/>
      </c>
      <c r="AE711">
        <f t="array" ref="AE711">IF(SUMPRODUCT(--($AO$2:$AO$145=TRIM(LEFT($B711,IFERROR(FIND(" ",$B711)-1,LEN($B711))))))&gt;0,1,0)</f>
        <v/>
      </c>
      <c r="AF711">
        <f t="array" ref="AF711">IF(SUMPRODUCT(--($AQ$2:$AQ$71=TRIM(LEFT($B711,IFERROR(FIND(" ",$B711)-1,LEN($B711))))))&gt;0,1,0)</f>
        <v/>
      </c>
    </row>
    <row r="712" ht="135.75" customHeight="1" thickBot="1">
      <c r="A712" s="13" t="n">
        <v>34</v>
      </c>
      <c r="B712" s="4" t="inlineStr">
        <is>
          <t>AMAG US</t>
        </is>
      </c>
      <c r="C712" s="4" t="inlineStr">
        <is>
          <t>1684779D NA</t>
        </is>
      </c>
      <c r="D712" s="7" t="n">
        <v>44105</v>
      </c>
      <c r="E712" s="3" t="n">
        <v>634.87</v>
      </c>
      <c r="F712" s="4" t="inlineStr">
        <is>
          <t>Cash</t>
        </is>
      </c>
      <c r="G712" s="4" t="n"/>
      <c r="H712" s="4" t="inlineStr">
        <is>
          <t>Health Care</t>
        </is>
      </c>
      <c r="I712" s="4" t="inlineStr">
        <is>
          <t>Health Care</t>
        </is>
      </c>
      <c r="J712" s="4" t="inlineStr">
        <is>
          <t>Biotech &amp; Pharma</t>
        </is>
      </c>
      <c r="K712" s="4" t="n"/>
      <c r="L712" s="4" t="n"/>
      <c r="M712" s="4" t="n"/>
      <c r="N712" s="3" t="n">
        <v>474.1</v>
      </c>
      <c r="O712" s="4" t="inlineStr">
        <is>
          <t>United States</t>
        </is>
      </c>
      <c r="P712" s="4" t="inlineStr">
        <is>
          <t>Netherlands</t>
        </is>
      </c>
      <c r="Q712" s="4" t="inlineStr">
        <is>
          <t>Friendly</t>
        </is>
      </c>
      <c r="R712" s="3" t="n">
        <v>327.751</v>
      </c>
      <c r="S712" s="3" t="n">
        <v>-71.9614</v>
      </c>
      <c r="T712" s="4" t="inlineStr">
        <is>
          <t>Company Takeover, Cross Border, Tender Offer, Going Private</t>
        </is>
      </c>
      <c r="U712" s="2" t="inlineStr">
        <is>
          <t>No</t>
        </is>
      </c>
      <c r="V712" s="2" t="inlineStr">
        <is>
          <t>No</t>
        </is>
      </c>
      <c r="W712" s="2" t="inlineStr">
        <is>
          <t>Yes</t>
        </is>
      </c>
      <c r="X712" s="2" t="inlineStr">
        <is>
          <t>Yes</t>
        </is>
      </c>
      <c r="Y712" s="2" t="inlineStr">
        <is>
          <t>No</t>
        </is>
      </c>
      <c r="Z712" s="2" t="inlineStr">
        <is>
          <t>Yes</t>
        </is>
      </c>
      <c r="AA712" s="6" t="n">
        <v>2.802684806</v>
      </c>
      <c r="AB712" s="6" t="n">
        <v>2.515544025</v>
      </c>
      <c r="AC712" s="6" t="n">
        <v>2.675869955</v>
      </c>
      <c r="AD712">
        <f t="array" ref="AD712">IF(SUMPRODUCT(--($AM$2:$AM$112=TRIM(LEFT($B712,IFERROR(FIND(" ",$B712)-1,LEN($B712))))))&gt;0,1,0)</f>
        <v/>
      </c>
      <c r="AE712">
        <f t="array" ref="AE712">IF(SUMPRODUCT(--($AO$2:$AO$145=TRIM(LEFT($B712,IFERROR(FIND(" ",$B712)-1,LEN($B712))))))&gt;0,1,0)</f>
        <v/>
      </c>
      <c r="AF712">
        <f t="array" ref="AF712">IF(SUMPRODUCT(--($AQ$2:$AQ$71=TRIM(LEFT($B712,IFERROR(FIND(" ",$B712)-1,LEN($B712))))))&gt;0,1,0)</f>
        <v/>
      </c>
    </row>
    <row r="713" ht="45.75" customHeight="1" thickBot="1">
      <c r="A713" s="13" t="n">
        <v>68</v>
      </c>
      <c r="B713" s="4" t="inlineStr">
        <is>
          <t>MR US</t>
        </is>
      </c>
      <c r="C713" s="4" t="inlineStr">
        <is>
          <t>SWN US</t>
        </is>
      </c>
      <c r="D713" s="7" t="n">
        <v>44055</v>
      </c>
      <c r="E713" s="3" t="n">
        <v>868.53</v>
      </c>
      <c r="F713" s="4" t="inlineStr">
        <is>
          <t>Stock</t>
        </is>
      </c>
      <c r="G713" s="3" t="n">
        <v>4.65</v>
      </c>
      <c r="H713" s="4" t="inlineStr">
        <is>
          <t>Energy</t>
        </is>
      </c>
      <c r="I713" s="4" t="inlineStr">
        <is>
          <t>Oil &amp; Gas</t>
        </is>
      </c>
      <c r="J713" s="4" t="inlineStr">
        <is>
          <t>Oil &amp; Gas Supply Chain</t>
        </is>
      </c>
      <c r="K713" s="4" t="n"/>
      <c r="L713" s="3" t="n">
        <v>9.699999999999999</v>
      </c>
      <c r="M713" s="3" t="n">
        <v>12.8</v>
      </c>
      <c r="N713" s="3" t="n">
        <v>181.75</v>
      </c>
      <c r="O713" s="4" t="inlineStr">
        <is>
          <t>United States</t>
        </is>
      </c>
      <c r="P713" s="4" t="inlineStr">
        <is>
          <t>United States</t>
        </is>
      </c>
      <c r="Q713" s="4" t="inlineStr">
        <is>
          <t>Friendly</t>
        </is>
      </c>
      <c r="R713" s="3" t="n">
        <v>634.441</v>
      </c>
      <c r="S713" s="3" t="n">
        <v>-9.62064</v>
      </c>
      <c r="T713" s="4" t="inlineStr">
        <is>
          <t>Company Takeover</t>
        </is>
      </c>
      <c r="U713" s="2" t="inlineStr">
        <is>
          <t>No</t>
        </is>
      </c>
      <c r="V713" s="2" t="inlineStr">
        <is>
          <t>No</t>
        </is>
      </c>
      <c r="W713" s="2" t="inlineStr">
        <is>
          <t>No</t>
        </is>
      </c>
      <c r="X713" s="2" t="inlineStr">
        <is>
          <t>No</t>
        </is>
      </c>
      <c r="Y713" s="2" t="inlineStr">
        <is>
          <t>No</t>
        </is>
      </c>
      <c r="Z713" s="2" t="inlineStr">
        <is>
          <t>No</t>
        </is>
      </c>
      <c r="AA713" s="6" t="n">
        <v>2.938784824</v>
      </c>
      <c r="AB713" s="6" t="n">
        <v>2.802391241</v>
      </c>
      <c r="AC713" s="6" t="n">
        <v>2.25947442</v>
      </c>
      <c r="AD713">
        <f t="array" ref="AD713">IF(SUMPRODUCT(--($AM$2:$AM$112=TRIM(LEFT($B713,IFERROR(FIND(" ",$B713)-1,LEN($B713))))))&gt;0,1,0)</f>
        <v/>
      </c>
      <c r="AE713">
        <f t="array" ref="AE713">IF(SUMPRODUCT(--($AO$2:$AO$145=TRIM(LEFT($B713,IFERROR(FIND(" ",$B713)-1,LEN($B713))))))&gt;0,1,0)</f>
        <v/>
      </c>
      <c r="AF713">
        <f t="array" ref="AF713">IF(SUMPRODUCT(--($AQ$2:$AQ$71=TRIM(LEFT($B713,IFERROR(FIND(" ",$B713)-1,LEN($B713))))))&gt;0,1,0)</f>
        <v/>
      </c>
    </row>
    <row r="714" ht="75.75" customHeight="1" thickBot="1">
      <c r="A714" s="13" t="n">
        <v>269</v>
      </c>
      <c r="B714" s="4" t="inlineStr">
        <is>
          <t>WMGI US</t>
        </is>
      </c>
      <c r="C714" s="4" t="inlineStr">
        <is>
          <t>SYK US</t>
        </is>
      </c>
      <c r="D714" s="7" t="n">
        <v>43773</v>
      </c>
      <c r="E714" s="3" t="n">
        <v>4918.52</v>
      </c>
      <c r="F714" s="4" t="inlineStr">
        <is>
          <t>Cash</t>
        </is>
      </c>
      <c r="G714" s="3" t="n">
        <v>47.04</v>
      </c>
      <c r="H714" s="4" t="inlineStr">
        <is>
          <t>Health Care</t>
        </is>
      </c>
      <c r="I714" s="4" t="inlineStr">
        <is>
          <t>Health Care</t>
        </is>
      </c>
      <c r="J714" s="4" t="inlineStr">
        <is>
          <t>Medical Equipment &amp; Devices</t>
        </is>
      </c>
      <c r="K714" s="4" t="n"/>
      <c r="L714" s="4" t="n"/>
      <c r="M714" s="4" t="n"/>
      <c r="N714" s="3" t="n">
        <v>3895.35</v>
      </c>
      <c r="O714" s="4" t="inlineStr">
        <is>
          <t>United States</t>
        </is>
      </c>
      <c r="P714" s="4" t="inlineStr">
        <is>
          <t>United States</t>
        </is>
      </c>
      <c r="Q714" s="4" t="inlineStr">
        <is>
          <t>Friendly</t>
        </is>
      </c>
      <c r="R714" s="3" t="n">
        <v>920.9</v>
      </c>
      <c r="S714" s="3" t="n">
        <v>-1.40067</v>
      </c>
      <c r="T714" s="4" t="inlineStr">
        <is>
          <t>Company Takeover, Tender Offer</t>
        </is>
      </c>
      <c r="U714" s="2" t="inlineStr">
        <is>
          <t>No</t>
        </is>
      </c>
      <c r="V714" s="2" t="inlineStr">
        <is>
          <t>No</t>
        </is>
      </c>
      <c r="W714" s="2" t="inlineStr">
        <is>
          <t>No</t>
        </is>
      </c>
      <c r="X714" s="2" t="inlineStr">
        <is>
          <t>No</t>
        </is>
      </c>
      <c r="Y714" s="2" t="inlineStr">
        <is>
          <t>No</t>
        </is>
      </c>
      <c r="Z714" s="2" t="inlineStr">
        <is>
          <t>Yes</t>
        </is>
      </c>
      <c r="AA714" s="6" t="n">
        <v>3.691834442</v>
      </c>
      <c r="AB714" s="6" t="n">
        <v>2.964212473</v>
      </c>
      <c r="AC714" s="6" t="n">
        <v>3.590546485</v>
      </c>
      <c r="AD714">
        <f t="array" ref="AD714">IF(SUMPRODUCT(--($AM$2:$AM$112=TRIM(LEFT($B714,IFERROR(FIND(" ",$B714)-1,LEN($B714))))))&gt;0,1,0)</f>
        <v/>
      </c>
      <c r="AE714">
        <f t="array" ref="AE714">IF(SUMPRODUCT(--($AO$2:$AO$145=TRIM(LEFT($B714,IFERROR(FIND(" ",$B714)-1,LEN($B714))))))&gt;0,1,0)</f>
        <v/>
      </c>
      <c r="AF714">
        <f t="array" ref="AF714">IF(SUMPRODUCT(--($AQ$2:$AQ$71=TRIM(LEFT($B714,IFERROR(FIND(" ",$B714)-1,LEN($B714))))))&gt;0,1,0)</f>
        <v/>
      </c>
    </row>
    <row r="715" ht="75.75" customHeight="1" thickBot="1">
      <c r="A715" s="13" t="n">
        <v>70</v>
      </c>
      <c r="B715" s="4" t="inlineStr">
        <is>
          <t>2571135D US</t>
        </is>
      </c>
      <c r="C715" s="4" t="inlineStr">
        <is>
          <t>1297953D US</t>
        </is>
      </c>
      <c r="D715" s="7" t="n">
        <v>44046</v>
      </c>
      <c r="E715" s="3" t="n">
        <v>602.11</v>
      </c>
      <c r="F715" s="4" t="inlineStr">
        <is>
          <t>Cash</t>
        </is>
      </c>
      <c r="G715" s="4" t="n"/>
      <c r="H715" s="4" t="inlineStr">
        <is>
          <t>Real Estate</t>
        </is>
      </c>
      <c r="I715" s="4" t="inlineStr">
        <is>
          <t>Real Estate</t>
        </is>
      </c>
      <c r="J715" s="4" t="inlineStr">
        <is>
          <t>REIT</t>
        </is>
      </c>
      <c r="K715" s="3" t="n">
        <v>32</v>
      </c>
      <c r="L715" s="3" t="n">
        <v>25.6</v>
      </c>
      <c r="M715" s="3" t="n">
        <v>26.37</v>
      </c>
      <c r="N715" s="3" t="n">
        <v>402.6</v>
      </c>
      <c r="O715" s="4" t="inlineStr">
        <is>
          <t>United States</t>
        </is>
      </c>
      <c r="P715" s="4" t="inlineStr">
        <is>
          <t>United States</t>
        </is>
      </c>
      <c r="Q715" s="4" t="inlineStr">
        <is>
          <t>Friendly</t>
        </is>
      </c>
      <c r="R715" s="3" t="n">
        <v>45.093</v>
      </c>
      <c r="S715" s="3" t="n">
        <v>-89.58410000000001</v>
      </c>
      <c r="T715" s="4" t="inlineStr">
        <is>
          <t>Company Takeover, Going Private</t>
        </is>
      </c>
      <c r="U715" s="2" t="inlineStr">
        <is>
          <t>No</t>
        </is>
      </c>
      <c r="V715" s="2" t="inlineStr">
        <is>
          <t>No</t>
        </is>
      </c>
      <c r="W715" s="2" t="inlineStr">
        <is>
          <t>No</t>
        </is>
      </c>
      <c r="X715" s="2" t="inlineStr">
        <is>
          <t>Yes</t>
        </is>
      </c>
      <c r="Y715" s="2" t="inlineStr">
        <is>
          <t>No</t>
        </is>
      </c>
      <c r="Z715" s="2" t="inlineStr">
        <is>
          <t>No</t>
        </is>
      </c>
      <c r="AA715" s="6" t="n">
        <v>2.77967584</v>
      </c>
      <c r="AB715" s="6" t="n">
        <v>1.65410913</v>
      </c>
      <c r="AC715" s="6" t="n">
        <v>2.604873771</v>
      </c>
      <c r="AD715">
        <f t="array" ref="AD715">IF(SUMPRODUCT(--($AM$2:$AM$112=TRIM(LEFT($B715,IFERROR(FIND(" ",$B715)-1,LEN($B715))))))&gt;0,1,0)</f>
        <v/>
      </c>
      <c r="AE715">
        <f t="array" ref="AE715">IF(SUMPRODUCT(--($AO$2:$AO$145=TRIM(LEFT($B715,IFERROR(FIND(" ",$B715)-1,LEN($B715))))))&gt;0,1,0)</f>
        <v/>
      </c>
      <c r="AF715">
        <f t="array" ref="AF715">IF(SUMPRODUCT(--($AQ$2:$AQ$71=TRIM(LEFT($B715,IFERROR(FIND(" ",$B715)-1,LEN($B715))))))&gt;0,1,0)</f>
        <v/>
      </c>
    </row>
    <row r="716" ht="210.75" customHeight="1" thickBot="1">
      <c r="A716" s="13" t="n">
        <v>185</v>
      </c>
      <c r="B716" s="4" t="inlineStr">
        <is>
          <t>NVU-U CN</t>
        </is>
      </c>
      <c r="C716" s="2" t="n"/>
      <c r="D716" s="7" t="n">
        <v>43881</v>
      </c>
      <c r="E716" s="3" t="n">
        <v>3483.65</v>
      </c>
      <c r="F716" s="4" t="inlineStr">
        <is>
          <t>Cash</t>
        </is>
      </c>
      <c r="G716" s="3" t="n">
        <v>23.71</v>
      </c>
      <c r="H716" s="4" t="inlineStr">
        <is>
          <t>Real Estate</t>
        </is>
      </c>
      <c r="I716" s="4" t="inlineStr">
        <is>
          <t>Real Estate</t>
        </is>
      </c>
      <c r="J716" s="4" t="inlineStr">
        <is>
          <t>REIT</t>
        </is>
      </c>
      <c r="K716" s="4" t="n"/>
      <c r="L716" s="3" t="n">
        <v>37.7</v>
      </c>
      <c r="M716" s="4" t="n"/>
      <c r="N716" s="3" t="n">
        <v>1748.7</v>
      </c>
      <c r="O716" s="4" t="inlineStr">
        <is>
          <t>Canada</t>
        </is>
      </c>
      <c r="P716" s="4" t="inlineStr">
        <is>
          <t>Canada</t>
        </is>
      </c>
      <c r="Q716" s="4" t="inlineStr">
        <is>
          <t>Friendly</t>
        </is>
      </c>
      <c r="R716" s="3" t="n">
        <v>201.509</v>
      </c>
      <c r="S716" s="3" t="n">
        <v>53.374</v>
      </c>
      <c r="T716" s="4" t="inlineStr">
        <is>
          <t>PE Buyout, Company Takeover, Private Equity, Additional Stake Purchase, Real Estate, Going Private</t>
        </is>
      </c>
      <c r="U716" s="2" t="inlineStr">
        <is>
          <t>Yes</t>
        </is>
      </c>
      <c r="V716" s="2" t="inlineStr">
        <is>
          <t>No</t>
        </is>
      </c>
      <c r="W716" s="2" t="inlineStr">
        <is>
          <t>No</t>
        </is>
      </c>
      <c r="X716" s="2" t="inlineStr">
        <is>
          <t>Yes</t>
        </is>
      </c>
      <c r="Y716" s="2" t="inlineStr">
        <is>
          <t>Yes</t>
        </is>
      </c>
      <c r="Z716" s="2" t="inlineStr">
        <is>
          <t>No</t>
        </is>
      </c>
      <c r="AA716" s="6" t="n">
        <v>3.542034515</v>
      </c>
      <c r="AB716" s="6" t="n">
        <v>2.304294448</v>
      </c>
      <c r="AC716" s="6" t="n">
        <v>3.24271531</v>
      </c>
      <c r="AD716">
        <f t="array" ref="AD716">IF(SUMPRODUCT(--($AM$2:$AM$112=TRIM(LEFT($B716,IFERROR(FIND(" ",$B716)-1,LEN($B716))))))&gt;0,1,0)</f>
        <v/>
      </c>
      <c r="AE716">
        <f t="array" ref="AE716">IF(SUMPRODUCT(--($AO$2:$AO$145=TRIM(LEFT($B716,IFERROR(FIND(" ",$B716)-1,LEN($B716))))))&gt;0,1,0)</f>
        <v/>
      </c>
      <c r="AF716">
        <f t="array" ref="AF716">IF(SUMPRODUCT(--($AQ$2:$AQ$71=TRIM(LEFT($B716,IFERROR(FIND(" ",$B716)-1,LEN($B716))))))&gt;0,1,0)</f>
        <v/>
      </c>
    </row>
    <row r="717" ht="45.75" customHeight="1" thickBot="1">
      <c r="A717" s="13" t="n">
        <v>64</v>
      </c>
      <c r="B717" s="4" t="inlineStr">
        <is>
          <t>LVGO US</t>
        </is>
      </c>
      <c r="C717" s="4" t="inlineStr">
        <is>
          <t>TDOC US</t>
        </is>
      </c>
      <c r="D717" s="7" t="n">
        <v>44048</v>
      </c>
      <c r="E717" s="3" t="n">
        <v>13154.02</v>
      </c>
      <c r="F717" s="4" t="inlineStr">
        <is>
          <t>Cash and Stock</t>
        </is>
      </c>
      <c r="G717" s="4" t="n"/>
      <c r="H717" s="4" t="inlineStr">
        <is>
          <t>Health Care</t>
        </is>
      </c>
      <c r="I717" s="4" t="inlineStr">
        <is>
          <t>Health Care</t>
        </is>
      </c>
      <c r="J717" s="4" t="inlineStr">
        <is>
          <t>Biotech &amp; Pharma</t>
        </is>
      </c>
      <c r="K717" s="3" t="n">
        <v>712.33</v>
      </c>
      <c r="L717" s="3" t="n">
        <v>62.81</v>
      </c>
      <c r="M717" s="4" t="n"/>
      <c r="N717" s="3" t="n">
        <v>13395.76</v>
      </c>
      <c r="O717" s="4" t="inlineStr">
        <is>
          <t>United States</t>
        </is>
      </c>
      <c r="P717" s="4" t="inlineStr">
        <is>
          <t>United States</t>
        </is>
      </c>
      <c r="Q717" s="4" t="inlineStr">
        <is>
          <t>Friendly</t>
        </is>
      </c>
      <c r="R717" s="3" t="n">
        <v>170.198</v>
      </c>
      <c r="S717" s="3" t="n">
        <v>-10.787</v>
      </c>
      <c r="T717" s="4" t="inlineStr">
        <is>
          <t>Company Takeover</t>
        </is>
      </c>
      <c r="U717" s="2" t="inlineStr">
        <is>
          <t>No</t>
        </is>
      </c>
      <c r="V717" s="2" t="inlineStr">
        <is>
          <t>No</t>
        </is>
      </c>
      <c r="W717" s="2" t="inlineStr">
        <is>
          <t>No</t>
        </is>
      </c>
      <c r="X717" s="2" t="inlineStr">
        <is>
          <t>No</t>
        </is>
      </c>
      <c r="Y717" s="2" t="inlineStr">
        <is>
          <t>No</t>
        </is>
      </c>
      <c r="Z717" s="2" t="inlineStr">
        <is>
          <t>No</t>
        </is>
      </c>
      <c r="AA717" s="6" t="n">
        <v>4.119058498</v>
      </c>
      <c r="AB717" s="6" t="n">
        <v>2.230954452</v>
      </c>
      <c r="AC717" s="6" t="n">
        <v>4.126967358</v>
      </c>
      <c r="AD717">
        <f t="array" ref="AD717">IF(SUMPRODUCT(--($AM$2:$AM$112=TRIM(LEFT($B717,IFERROR(FIND(" ",$B717)-1,LEN($B717))))))&gt;0,1,0)</f>
        <v/>
      </c>
      <c r="AE717">
        <f t="array" ref="AE717">IF(SUMPRODUCT(--($AO$2:$AO$145=TRIM(LEFT($B717,IFERROR(FIND(" ",$B717)-1,LEN($B717))))))&gt;0,1,0)</f>
        <v/>
      </c>
      <c r="AF717">
        <f t="array" ref="AF717">IF(SUMPRODUCT(--($AQ$2:$AQ$71=TRIM(LEFT($B717,IFERROR(FIND(" ",$B717)-1,LEN($B717))))))&gt;0,1,0)</f>
        <v/>
      </c>
    </row>
    <row r="718" ht="120.75" customHeight="1" thickBot="1">
      <c r="A718" s="13" t="n">
        <v>19</v>
      </c>
      <c r="B718" s="4" t="inlineStr">
        <is>
          <t>GNCIQ US</t>
        </is>
      </c>
      <c r="C718" s="4" t="inlineStr">
        <is>
          <t>600664 CH</t>
        </is>
      </c>
      <c r="D718" s="7" t="n">
        <v>44111</v>
      </c>
      <c r="E718" s="3" t="n">
        <v>691.28</v>
      </c>
      <c r="F718" s="4" t="inlineStr">
        <is>
          <t>Cash</t>
        </is>
      </c>
      <c r="G718" s="4" t="n"/>
      <c r="H718" s="4" t="inlineStr">
        <is>
          <t>Consumer Discretionary</t>
        </is>
      </c>
      <c r="I718" s="4" t="inlineStr">
        <is>
          <t>Retail &amp; Whsle - Discretionary</t>
        </is>
      </c>
      <c r="J718" s="4" t="inlineStr">
        <is>
          <t>Retail - Discretionary</t>
        </is>
      </c>
      <c r="K718" s="4" t="n"/>
      <c r="L718" s="4" t="n"/>
      <c r="M718" s="4" t="n"/>
      <c r="N718" s="3" t="n">
        <v>770</v>
      </c>
      <c r="O718" s="4" t="inlineStr">
        <is>
          <t>United States</t>
        </is>
      </c>
      <c r="P718" s="4" t="inlineStr">
        <is>
          <t>China</t>
        </is>
      </c>
      <c r="Q718" s="4" t="inlineStr">
        <is>
          <t>Friendly</t>
        </is>
      </c>
      <c r="R718" s="3" t="n">
        <v>2068.19</v>
      </c>
      <c r="S718" s="3" t="n">
        <v>-10.3055</v>
      </c>
      <c r="T718" s="4" t="inlineStr">
        <is>
          <t>Company Takeover, Cross Border, Bankruptcy/Liquidation</t>
        </is>
      </c>
      <c r="U718" s="2" t="inlineStr">
        <is>
          <t>No</t>
        </is>
      </c>
      <c r="V718" s="2" t="inlineStr">
        <is>
          <t>No</t>
        </is>
      </c>
      <c r="W718" s="2" t="inlineStr">
        <is>
          <t>Yes</t>
        </is>
      </c>
      <c r="X718" s="2" t="inlineStr">
        <is>
          <t>No</t>
        </is>
      </c>
      <c r="Y718" s="2" t="inlineStr">
        <is>
          <t>No</t>
        </is>
      </c>
      <c r="Z718" s="2" t="inlineStr">
        <is>
          <t>No</t>
        </is>
      </c>
      <c r="AA718" s="6" t="n">
        <v>2.839653992</v>
      </c>
      <c r="AB718" s="6" t="n">
        <v>3.315590434</v>
      </c>
      <c r="AC718" s="6" t="n">
        <v>2.886490725</v>
      </c>
      <c r="AD718">
        <f t="array" ref="AD718">IF(SUMPRODUCT(--($AM$2:$AM$112=TRIM(LEFT($B718,IFERROR(FIND(" ",$B718)-1,LEN($B718))))))&gt;0,1,0)</f>
        <v/>
      </c>
      <c r="AE718">
        <f t="array" ref="AE718">IF(SUMPRODUCT(--($AO$2:$AO$145=TRIM(LEFT($B718,IFERROR(FIND(" ",$B718)-1,LEN($B718))))))&gt;0,1,0)</f>
        <v/>
      </c>
      <c r="AF718">
        <f t="array" ref="AF718">IF(SUMPRODUCT(--($AQ$2:$AQ$71=TRIM(LEFT($B718,IFERROR(FIND(" ",$B718)-1,LEN($B718))))))&gt;0,1,0)</f>
        <v/>
      </c>
    </row>
    <row r="719" ht="60.75" customHeight="1" thickBot="1">
      <c r="A719" s="13" t="n">
        <v>405</v>
      </c>
      <c r="B719" s="4" t="inlineStr">
        <is>
          <t>ADSW US</t>
        </is>
      </c>
      <c r="C719" s="4" t="inlineStr">
        <is>
          <t>WM US</t>
        </is>
      </c>
      <c r="D719" s="7" t="n">
        <v>43570</v>
      </c>
      <c r="E719" s="3" t="n">
        <v>4580</v>
      </c>
      <c r="F719" s="4" t="inlineStr">
        <is>
          <t>Cash</t>
        </is>
      </c>
      <c r="G719" s="3" t="n">
        <v>12.29</v>
      </c>
      <c r="H719" s="4" t="inlineStr">
        <is>
          <t>Industrials</t>
        </is>
      </c>
      <c r="I719" s="4" t="inlineStr">
        <is>
          <t>Industrial Services</t>
        </is>
      </c>
      <c r="J719" s="4" t="inlineStr">
        <is>
          <t>Commercial Support Services</t>
        </is>
      </c>
      <c r="K719" s="3" t="n">
        <v>250</v>
      </c>
      <c r="L719" s="3" t="n">
        <v>100</v>
      </c>
      <c r="M719" s="3" t="n">
        <v>10.1</v>
      </c>
      <c r="N719" s="3" t="n">
        <v>2683.8</v>
      </c>
      <c r="O719" s="4" t="inlineStr">
        <is>
          <t>United States</t>
        </is>
      </c>
      <c r="P719" s="4" t="inlineStr">
        <is>
          <t>United States</t>
        </is>
      </c>
      <c r="Q719" s="4" t="inlineStr">
        <is>
          <t>Friendly</t>
        </is>
      </c>
      <c r="R719" s="3" t="n">
        <v>1623</v>
      </c>
      <c r="S719" s="3" t="n">
        <v>5.62697</v>
      </c>
      <c r="T719" s="4" t="inlineStr">
        <is>
          <t>Company Takeover</t>
        </is>
      </c>
      <c r="U719" s="2" t="inlineStr">
        <is>
          <t>No</t>
        </is>
      </c>
      <c r="V719" s="2" t="inlineStr">
        <is>
          <t>No</t>
        </is>
      </c>
      <c r="W719" s="2" t="inlineStr">
        <is>
          <t>No</t>
        </is>
      </c>
      <c r="X719" s="2" t="inlineStr">
        <is>
          <t>No</t>
        </is>
      </c>
      <c r="Y719" s="2" t="inlineStr">
        <is>
          <t>No</t>
        </is>
      </c>
      <c r="Z719" s="2" t="inlineStr">
        <is>
          <t>No</t>
        </is>
      </c>
      <c r="AA719" s="6" t="n">
        <v>3.660865478</v>
      </c>
      <c r="AB719" s="6" t="n">
        <v>3.21031852</v>
      </c>
      <c r="AC719" s="6" t="n">
        <v>3.428750149</v>
      </c>
      <c r="AD719">
        <f t="array" ref="AD719">IF(SUMPRODUCT(--($AM$2:$AM$112=TRIM(LEFT($B719,IFERROR(FIND(" ",$B719)-1,LEN($B719))))))&gt;0,1,0)</f>
        <v/>
      </c>
      <c r="AE719">
        <f t="array" ref="AE719">IF(SUMPRODUCT(--($AO$2:$AO$145=TRIM(LEFT($B719,IFERROR(FIND(" ",$B719)-1,LEN($B719))))))&gt;0,1,0)</f>
        <v/>
      </c>
      <c r="AF719">
        <f t="array" ref="AF719">IF(SUMPRODUCT(--($AQ$2:$AQ$71=TRIM(LEFT($B719,IFERROR(FIND(" ",$B719)-1,LEN($B719))))))&gt;0,1,0)</f>
        <v/>
      </c>
    </row>
    <row r="720" ht="75.75" customHeight="1" thickBot="1">
      <c r="A720" s="13" t="n">
        <v>31</v>
      </c>
      <c r="B720" s="4" t="inlineStr">
        <is>
          <t>IMMU US</t>
        </is>
      </c>
      <c r="C720" s="4" t="inlineStr">
        <is>
          <t>GILD US</t>
        </is>
      </c>
      <c r="D720" s="7" t="n">
        <v>44087</v>
      </c>
      <c r="E720" s="3" t="n">
        <v>19375.24</v>
      </c>
      <c r="F720" s="4" t="inlineStr">
        <is>
          <t>Cash</t>
        </is>
      </c>
      <c r="G720" s="4" t="n"/>
      <c r="H720" s="4" t="inlineStr">
        <is>
          <t>Health Care</t>
        </is>
      </c>
      <c r="I720" s="4" t="inlineStr">
        <is>
          <t>Health Care</t>
        </is>
      </c>
      <c r="J720" s="4" t="inlineStr">
        <is>
          <t>Biotech &amp; Pharma</t>
        </is>
      </c>
      <c r="K720" s="4" t="n"/>
      <c r="L720" s="3" t="n">
        <v>732.1</v>
      </c>
      <c r="M720" s="4" t="n"/>
      <c r="N720" s="3" t="n">
        <v>20340.64</v>
      </c>
      <c r="O720" s="4" t="inlineStr">
        <is>
          <t>United States</t>
        </is>
      </c>
      <c r="P720" s="4" t="inlineStr">
        <is>
          <t>United States</t>
        </is>
      </c>
      <c r="Q720" s="4" t="inlineStr">
        <is>
          <t>Friendly</t>
        </is>
      </c>
      <c r="R720" s="3" t="n">
        <v>0.295</v>
      </c>
      <c r="S720" s="3" t="n">
        <v>-1536.66</v>
      </c>
      <c r="T720" s="4" t="inlineStr">
        <is>
          <t>Company Takeover, Tender Offer</t>
        </is>
      </c>
      <c r="U720" s="2" t="inlineStr">
        <is>
          <t>No</t>
        </is>
      </c>
      <c r="V720" s="2" t="inlineStr">
        <is>
          <t>No</t>
        </is>
      </c>
      <c r="W720" s="2" t="inlineStr">
        <is>
          <t>No</t>
        </is>
      </c>
      <c r="X720" s="2" t="inlineStr">
        <is>
          <t>No</t>
        </is>
      </c>
      <c r="Y720" s="2" t="inlineStr">
        <is>
          <t>No</t>
        </is>
      </c>
      <c r="Z720" s="2" t="inlineStr">
        <is>
          <t>Yes</t>
        </is>
      </c>
      <c r="AA720" s="6" t="n">
        <v>4.287247091</v>
      </c>
      <c r="AB720" s="6" t="n">
        <v>-0.530177984</v>
      </c>
      <c r="AC720" s="6" t="n">
        <v>4.308364613</v>
      </c>
      <c r="AD720">
        <f t="array" ref="AD720">IF(SUMPRODUCT(--($AM$2:$AM$112=TRIM(LEFT($B720,IFERROR(FIND(" ",$B720)-1,LEN($B720))))))&gt;0,1,0)</f>
        <v/>
      </c>
      <c r="AE720">
        <f t="array" ref="AE720">IF(SUMPRODUCT(--($AO$2:$AO$145=TRIM(LEFT($B720,IFERROR(FIND(" ",$B720)-1,LEN($B720))))))&gt;0,1,0)</f>
        <v/>
      </c>
      <c r="AF720">
        <f t="array" ref="AF720">IF(SUMPRODUCT(--($AQ$2:$AQ$71=TRIM(LEFT($B720,IFERROR(FIND(" ",$B720)-1,LEN($B720))))))&gt;0,1,0)</f>
        <v/>
      </c>
    </row>
    <row r="721" ht="105.75" customHeight="1" thickBot="1">
      <c r="A721" s="13" t="n">
        <v>34</v>
      </c>
      <c r="B721" s="4" t="inlineStr">
        <is>
          <t>RST US</t>
        </is>
      </c>
      <c r="C721" s="4" t="inlineStr">
        <is>
          <t>ABCD US</t>
        </is>
      </c>
      <c r="D721" s="7" t="n">
        <v>44074</v>
      </c>
      <c r="E721" s="3" t="n">
        <v>712.88</v>
      </c>
      <c r="F721" s="4" t="inlineStr">
        <is>
          <t>Cash</t>
        </is>
      </c>
      <c r="G721" s="3" t="n">
        <v>474.3</v>
      </c>
      <c r="H721" s="4" t="inlineStr">
        <is>
          <t>Technology</t>
        </is>
      </c>
      <c r="I721" s="4" t="inlineStr">
        <is>
          <t>Software &amp; Tech Services</t>
        </is>
      </c>
      <c r="J721" s="4" t="inlineStr">
        <is>
          <t>Software</t>
        </is>
      </c>
      <c r="K721" s="4" t="n"/>
      <c r="L721" s="4" t="n"/>
      <c r="M721" s="4" t="n"/>
      <c r="N721" s="3" t="n">
        <v>738.02</v>
      </c>
      <c r="O721" s="4" t="inlineStr">
        <is>
          <t>United States</t>
        </is>
      </c>
      <c r="P721" s="4" t="inlineStr">
        <is>
          <t>United States</t>
        </is>
      </c>
      <c r="Q721" s="4" t="inlineStr">
        <is>
          <t>Friendly</t>
        </is>
      </c>
      <c r="R721" s="3" t="n">
        <v>182.702</v>
      </c>
      <c r="S721" s="3" t="n">
        <v>-9.3177</v>
      </c>
      <c r="T721" s="4" t="inlineStr">
        <is>
          <t>Company Takeover, Tender Offer, Going Private</t>
        </is>
      </c>
      <c r="U721" s="2" t="inlineStr">
        <is>
          <t>No</t>
        </is>
      </c>
      <c r="V721" s="2" t="inlineStr">
        <is>
          <t>No</t>
        </is>
      </c>
      <c r="W721" s="2" t="inlineStr">
        <is>
          <t>No</t>
        </is>
      </c>
      <c r="X721" s="2" t="inlineStr">
        <is>
          <t>Yes</t>
        </is>
      </c>
      <c r="Y721" s="2" t="inlineStr">
        <is>
          <t>No</t>
        </is>
      </c>
      <c r="Z721" s="2" t="inlineStr">
        <is>
          <t>Yes</t>
        </is>
      </c>
      <c r="AA721" s="6" t="n">
        <v>2.853016431</v>
      </c>
      <c r="AB721" s="6" t="n">
        <v>2.261743302</v>
      </c>
      <c r="AC721" s="6" t="n">
        <v>2.868068131</v>
      </c>
      <c r="AD721">
        <f t="array" ref="AD721">IF(SUMPRODUCT(--($AM$2:$AM$112=TRIM(LEFT($B721,IFERROR(FIND(" ",$B721)-1,LEN($B721))))))&gt;0,1,0)</f>
        <v/>
      </c>
      <c r="AE721">
        <f t="array" ref="AE721">IF(SUMPRODUCT(--($AO$2:$AO$145=TRIM(LEFT($B721,IFERROR(FIND(" ",$B721)-1,LEN($B721))))))&gt;0,1,0)</f>
        <v/>
      </c>
      <c r="AF721">
        <f t="array" ref="AF721">IF(SUMPRODUCT(--($AQ$2:$AQ$71=TRIM(LEFT($B721,IFERROR(FIND(" ",$B721)-1,LEN($B721))))))&gt;0,1,0)</f>
        <v/>
      </c>
    </row>
    <row r="722" ht="135.75" customHeight="1" thickBot="1">
      <c r="A722" s="13" t="n">
        <v>57</v>
      </c>
      <c r="B722" s="4" t="inlineStr">
        <is>
          <t>IPLP CN</t>
        </is>
      </c>
      <c r="C722" s="4" t="inlineStr">
        <is>
          <t>13716Z US</t>
        </is>
      </c>
      <c r="D722" s="7" t="n">
        <v>44041</v>
      </c>
      <c r="E722" s="3" t="n">
        <v>702.86</v>
      </c>
      <c r="F722" s="4" t="inlineStr">
        <is>
          <t>Cash</t>
        </is>
      </c>
      <c r="G722" s="3" t="n">
        <v>8.83</v>
      </c>
      <c r="H722" s="4" t="inlineStr">
        <is>
          <t>Materials</t>
        </is>
      </c>
      <c r="I722" s="4" t="inlineStr">
        <is>
          <t>Materials</t>
        </is>
      </c>
      <c r="J722" s="4" t="inlineStr">
        <is>
          <t>Containers &amp; Packaging</t>
        </is>
      </c>
      <c r="K722" s="4" t="n"/>
      <c r="L722" s="4" t="n"/>
      <c r="M722" s="4" t="n"/>
      <c r="N722" s="3" t="n">
        <v>406.67</v>
      </c>
      <c r="O722" s="4" t="inlineStr">
        <is>
          <t>Canada</t>
        </is>
      </c>
      <c r="P722" s="4" t="inlineStr">
        <is>
          <t>United States</t>
        </is>
      </c>
      <c r="Q722" s="4" t="inlineStr">
        <is>
          <t>Friendly</t>
        </is>
      </c>
      <c r="R722" s="3" t="n">
        <v>605.068</v>
      </c>
      <c r="S722" s="3" t="n">
        <v>5.34015</v>
      </c>
      <c r="T722" s="4" t="inlineStr">
        <is>
          <t>PE Buyout, Company Takeover, Cross Border, Private Equity</t>
        </is>
      </c>
      <c r="U722" s="2" t="inlineStr">
        <is>
          <t>No</t>
        </is>
      </c>
      <c r="V722" s="2" t="inlineStr">
        <is>
          <t>No</t>
        </is>
      </c>
      <c r="W722" s="2" t="inlineStr">
        <is>
          <t>Yes</t>
        </is>
      </c>
      <c r="X722" s="2" t="inlineStr">
        <is>
          <t>No</t>
        </is>
      </c>
      <c r="Y722" s="2" t="inlineStr">
        <is>
          <t>Yes</t>
        </is>
      </c>
      <c r="Z722" s="2" t="inlineStr">
        <is>
          <t>No</t>
        </is>
      </c>
      <c r="AA722" s="6" t="n">
        <v>2.846868828</v>
      </c>
      <c r="AB722" s="6" t="n">
        <v>2.781804185</v>
      </c>
      <c r="AC722" s="6" t="n">
        <v>2.609242136</v>
      </c>
      <c r="AD722">
        <f t="array" ref="AD722">IF(SUMPRODUCT(--($AM$2:$AM$112=TRIM(LEFT($B722,IFERROR(FIND(" ",$B722)-1,LEN($B722))))))&gt;0,1,0)</f>
        <v/>
      </c>
      <c r="AE722">
        <f t="array" ref="AE722">IF(SUMPRODUCT(--($AO$2:$AO$145=TRIM(LEFT($B722,IFERROR(FIND(" ",$B722)-1,LEN($B722))))))&gt;0,1,0)</f>
        <v/>
      </c>
      <c r="AF722">
        <f t="array" ref="AF722">IF(SUMPRODUCT(--($AQ$2:$AQ$71=TRIM(LEFT($B722,IFERROR(FIND(" ",$B722)-1,LEN($B722))))))&gt;0,1,0)</f>
        <v/>
      </c>
    </row>
    <row r="723" ht="180.75" customHeight="1" thickBot="1">
      <c r="A723" s="13" t="n">
        <v>33</v>
      </c>
      <c r="B723" s="4" t="inlineStr">
        <is>
          <t>AIMT US</t>
        </is>
      </c>
      <c r="C723" s="4" t="inlineStr">
        <is>
          <t>NESN SW</t>
        </is>
      </c>
      <c r="D723" s="7" t="n">
        <v>44074</v>
      </c>
      <c r="E723" s="3" t="n">
        <v>1708.14</v>
      </c>
      <c r="F723" s="4" t="inlineStr">
        <is>
          <t>Cash</t>
        </is>
      </c>
      <c r="G723" s="4" t="n"/>
      <c r="H723" s="4" t="inlineStr">
        <is>
          <t>Health Care</t>
        </is>
      </c>
      <c r="I723" s="4" t="inlineStr">
        <is>
          <t>Health Care</t>
        </is>
      </c>
      <c r="J723" s="4" t="inlineStr">
        <is>
          <t>Biotech &amp; Pharma</t>
        </is>
      </c>
      <c r="K723" s="4" t="n"/>
      <c r="L723" s="3" t="n">
        <v>85</v>
      </c>
      <c r="M723" s="3" t="n">
        <v>158.74</v>
      </c>
      <c r="N723" s="3" t="n">
        <v>1878.85</v>
      </c>
      <c r="O723" s="4" t="inlineStr">
        <is>
          <t>United States</t>
        </is>
      </c>
      <c r="P723" s="4" t="inlineStr">
        <is>
          <t>Switzerland</t>
        </is>
      </c>
      <c r="Q723" s="4" t="inlineStr">
        <is>
          <t>Friendly</t>
        </is>
      </c>
      <c r="R723" s="2" t="n"/>
      <c r="S723" s="3" t="n">
        <v>-49193.4</v>
      </c>
      <c r="T723" s="4" t="inlineStr">
        <is>
          <t>Company Takeover, Squeeze out, Cross Border, Additional Stake Purchase, Tender Offer</t>
        </is>
      </c>
      <c r="U723" s="2" t="inlineStr">
        <is>
          <t>Yes</t>
        </is>
      </c>
      <c r="V723" s="2" t="inlineStr">
        <is>
          <t>No</t>
        </is>
      </c>
      <c r="W723" s="2" t="inlineStr">
        <is>
          <t>Yes</t>
        </is>
      </c>
      <c r="X723" s="2" t="inlineStr">
        <is>
          <t>No</t>
        </is>
      </c>
      <c r="Y723" s="2" t="inlineStr">
        <is>
          <t>No</t>
        </is>
      </c>
      <c r="Z723" s="2" t="inlineStr">
        <is>
          <t>Yes</t>
        </is>
      </c>
      <c r="AA723" s="6" t="n">
        <v>3.232523463</v>
      </c>
      <c r="AB723" s="2" t="n"/>
      <c r="AC723" s="6" t="n">
        <v>3.273892109</v>
      </c>
      <c r="AD723">
        <f t="array" ref="AD723">IF(SUMPRODUCT(--($AM$2:$AM$112=TRIM(LEFT($B723,IFERROR(FIND(" ",$B723)-1,LEN($B723))))))&gt;0,1,0)</f>
        <v/>
      </c>
      <c r="AE723">
        <f t="array" ref="AE723">IF(SUMPRODUCT(--($AO$2:$AO$145=TRIM(LEFT($B723,IFERROR(FIND(" ",$B723)-1,LEN($B723))))))&gt;0,1,0)</f>
        <v/>
      </c>
      <c r="AF723">
        <f t="array" ref="AF723">IF(SUMPRODUCT(--($AQ$2:$AQ$71=TRIM(LEFT($B723,IFERROR(FIND(" ",$B723)-1,LEN($B723))))))&gt;0,1,0)</f>
        <v/>
      </c>
    </row>
    <row r="724" ht="45.75" customHeight="1" thickBot="1">
      <c r="A724" s="13" t="n">
        <v>68</v>
      </c>
      <c r="B724" s="4" t="inlineStr">
        <is>
          <t>VSLR US</t>
        </is>
      </c>
      <c r="C724" s="4" t="inlineStr">
        <is>
          <t>RUN US</t>
        </is>
      </c>
      <c r="D724" s="7" t="n">
        <v>44019</v>
      </c>
      <c r="E724" s="3" t="n">
        <v>2865.31</v>
      </c>
      <c r="F724" s="4" t="inlineStr">
        <is>
          <t>Stock</t>
        </is>
      </c>
      <c r="G724" s="4" t="n"/>
      <c r="H724" s="4" t="inlineStr">
        <is>
          <t>Energy</t>
        </is>
      </c>
      <c r="I724" s="4" t="inlineStr">
        <is>
          <t>Renewable Energy</t>
        </is>
      </c>
      <c r="J724" s="4" t="inlineStr">
        <is>
          <t>Renewable Energy</t>
        </is>
      </c>
      <c r="K724" s="3" t="n">
        <v>107</v>
      </c>
      <c r="L724" s="3" t="n">
        <v>54</v>
      </c>
      <c r="M724" s="3" t="n">
        <v>9.49</v>
      </c>
      <c r="N724" s="3" t="n">
        <v>1355.18</v>
      </c>
      <c r="O724" s="4" t="inlineStr">
        <is>
          <t>United States</t>
        </is>
      </c>
      <c r="P724" s="4" t="inlineStr">
        <is>
          <t>United States</t>
        </is>
      </c>
      <c r="Q724" s="4" t="inlineStr">
        <is>
          <t>Friendly</t>
        </is>
      </c>
      <c r="R724" s="3" t="n">
        <v>341.041</v>
      </c>
      <c r="S724" s="3" t="n">
        <v>-49.7992</v>
      </c>
      <c r="T724" s="4" t="inlineStr">
        <is>
          <t>Company Takeover</t>
        </is>
      </c>
      <c r="U724" s="2" t="inlineStr">
        <is>
          <t>No</t>
        </is>
      </c>
      <c r="V724" s="2" t="inlineStr">
        <is>
          <t>No</t>
        </is>
      </c>
      <c r="W724" s="2" t="inlineStr">
        <is>
          <t>No</t>
        </is>
      </c>
      <c r="X724" s="2" t="inlineStr">
        <is>
          <t>No</t>
        </is>
      </c>
      <c r="Y724" s="2" t="inlineStr">
        <is>
          <t>No</t>
        </is>
      </c>
      <c r="Z724" s="2" t="inlineStr">
        <is>
          <t>No</t>
        </is>
      </c>
      <c r="AA724" s="6" t="n">
        <v>3.457171615</v>
      </c>
      <c r="AB724" s="6" t="n">
        <v>2.532806593</v>
      </c>
      <c r="AC724" s="6" t="n">
        <v>3.131996984</v>
      </c>
      <c r="AD724">
        <f t="array" ref="AD724">IF(SUMPRODUCT(--($AM$2:$AM$112=TRIM(LEFT($B724,IFERROR(FIND(" ",$B724)-1,LEN($B724))))))&gt;0,1,0)</f>
        <v/>
      </c>
      <c r="AE724">
        <f t="array" ref="AE724">IF(SUMPRODUCT(--($AO$2:$AO$145=TRIM(LEFT($B724,IFERROR(FIND(" ",$B724)-1,LEN($B724))))))&gt;0,1,0)</f>
        <v/>
      </c>
      <c r="AF724">
        <f t="array" ref="AF724">IF(SUMPRODUCT(--($AQ$2:$AQ$71=TRIM(LEFT($B724,IFERROR(FIND(" ",$B724)-1,LEN($B724))))))&gt;0,1,0)</f>
        <v/>
      </c>
    </row>
    <row r="725" ht="45.75" customHeight="1" thickBot="1">
      <c r="A725" s="13" t="n">
        <v>227</v>
      </c>
      <c r="B725" s="4" t="inlineStr">
        <is>
          <t>1981718D US</t>
        </is>
      </c>
      <c r="C725" s="4" t="inlineStr">
        <is>
          <t>SCHW US</t>
        </is>
      </c>
      <c r="D725" s="7" t="n">
        <v>43794</v>
      </c>
      <c r="E725" s="3" t="n">
        <v>29577.86</v>
      </c>
      <c r="F725" s="4" t="inlineStr">
        <is>
          <t>Stock</t>
        </is>
      </c>
      <c r="G725" s="3" t="n">
        <v>8.880000000000001</v>
      </c>
      <c r="H725" s="4" t="inlineStr">
        <is>
          <t>Financials</t>
        </is>
      </c>
      <c r="I725" s="4" t="inlineStr">
        <is>
          <t>Financial Services</t>
        </is>
      </c>
      <c r="J725" s="4" t="inlineStr">
        <is>
          <t>Asset Management</t>
        </is>
      </c>
      <c r="K725" s="3" t="n">
        <v>950</v>
      </c>
      <c r="L725" s="3" t="n">
        <v>950</v>
      </c>
      <c r="M725" s="4" t="n"/>
      <c r="N725" s="3" t="n">
        <v>25527.86</v>
      </c>
      <c r="O725" s="4" t="inlineStr">
        <is>
          <t>United States</t>
        </is>
      </c>
      <c r="P725" s="4" t="inlineStr">
        <is>
          <t>United States</t>
        </is>
      </c>
      <c r="Q725" s="4" t="inlineStr">
        <is>
          <t>Friendly</t>
        </is>
      </c>
      <c r="R725" s="3" t="n">
        <v>5838</v>
      </c>
      <c r="S725" s="3" t="n">
        <v>50.4902</v>
      </c>
      <c r="T725" s="4" t="inlineStr">
        <is>
          <t>Company Takeover</t>
        </is>
      </c>
      <c r="U725" s="2" t="inlineStr">
        <is>
          <t>No</t>
        </is>
      </c>
      <c r="V725" s="2" t="inlineStr">
        <is>
          <t>No</t>
        </is>
      </c>
      <c r="W725" s="2" t="inlineStr">
        <is>
          <t>No</t>
        </is>
      </c>
      <c r="X725" s="2" t="inlineStr">
        <is>
          <t>No</t>
        </is>
      </c>
      <c r="Y725" s="2" t="inlineStr">
        <is>
          <t>No</t>
        </is>
      </c>
      <c r="Z725" s="2" t="inlineStr">
        <is>
          <t>No</t>
        </is>
      </c>
      <c r="AA725" s="6" t="n">
        <v>4.470966749</v>
      </c>
      <c r="AB725" s="6" t="n">
        <v>3.766264091</v>
      </c>
      <c r="AC725" s="6" t="n">
        <v>4.407014409</v>
      </c>
      <c r="AD725">
        <f t="array" ref="AD725">IF(SUMPRODUCT(--($AM$2:$AM$112=TRIM(LEFT($B725,IFERROR(FIND(" ",$B725)-1,LEN($B725))))))&gt;0,1,0)</f>
        <v/>
      </c>
      <c r="AE725">
        <f t="array" ref="AE725">IF(SUMPRODUCT(--($AO$2:$AO$145=TRIM(LEFT($B725,IFERROR(FIND(" ",$B725)-1,LEN($B725))))))&gt;0,1,0)</f>
        <v/>
      </c>
      <c r="AF725">
        <f t="array" ref="AF725">IF(SUMPRODUCT(--($AQ$2:$AQ$71=TRIM(LEFT($B725,IFERROR(FIND(" ",$B725)-1,LEN($B725))))))&gt;0,1,0)</f>
        <v/>
      </c>
    </row>
    <row r="726" ht="45.75" customHeight="1" thickBot="1">
      <c r="A726" s="13" t="n">
        <v>57</v>
      </c>
      <c r="B726" s="4" t="inlineStr">
        <is>
          <t>NBL US</t>
        </is>
      </c>
      <c r="C726" s="4" t="inlineStr">
        <is>
          <t>CVX US</t>
        </is>
      </c>
      <c r="D726" s="7" t="n">
        <v>44032</v>
      </c>
      <c r="E726" s="3" t="n">
        <v>12680.6</v>
      </c>
      <c r="F726" s="4" t="inlineStr">
        <is>
          <t>Stock</t>
        </is>
      </c>
      <c r="G726" s="4" t="n"/>
      <c r="H726" s="4" t="inlineStr">
        <is>
          <t>Energy</t>
        </is>
      </c>
      <c r="I726" s="4" t="inlineStr">
        <is>
          <t>Oil &amp; Gas</t>
        </is>
      </c>
      <c r="J726" s="4" t="inlineStr">
        <is>
          <t>Oil &amp; Gas Supply Chain</t>
        </is>
      </c>
      <c r="K726" s="4" t="n"/>
      <c r="L726" s="3" t="n">
        <v>176.295</v>
      </c>
      <c r="M726" s="3" t="n">
        <v>12.14</v>
      </c>
      <c r="N726" s="3" t="n">
        <v>5019.6</v>
      </c>
      <c r="O726" s="4" t="inlineStr">
        <is>
          <t>United States</t>
        </is>
      </c>
      <c r="P726" s="4" t="inlineStr">
        <is>
          <t>United States</t>
        </is>
      </c>
      <c r="Q726" s="4" t="inlineStr">
        <is>
          <t>Friendly</t>
        </is>
      </c>
      <c r="R726" s="3" t="n">
        <v>4470</v>
      </c>
      <c r="S726" s="3" t="n">
        <v>-130.249</v>
      </c>
      <c r="T726" s="4" t="inlineStr">
        <is>
          <t>Company Takeover</t>
        </is>
      </c>
      <c r="U726" s="2" t="inlineStr">
        <is>
          <t>No</t>
        </is>
      </c>
      <c r="V726" s="2" t="inlineStr">
        <is>
          <t>No</t>
        </is>
      </c>
      <c r="W726" s="2" t="inlineStr">
        <is>
          <t>No</t>
        </is>
      </c>
      <c r="X726" s="2" t="inlineStr">
        <is>
          <t>No</t>
        </is>
      </c>
      <c r="Y726" s="2" t="inlineStr">
        <is>
          <t>No</t>
        </is>
      </c>
      <c r="Z726" s="2" t="inlineStr">
        <is>
          <t>No</t>
        </is>
      </c>
      <c r="AA726" s="6" t="n">
        <v>4.103139803</v>
      </c>
      <c r="AB726" s="6" t="n">
        <v>3.650307523</v>
      </c>
      <c r="AC726" s="6" t="n">
        <v>3.700669111</v>
      </c>
      <c r="AD726">
        <f t="array" ref="AD726">IF(SUMPRODUCT(--($AM$2:$AM$112=TRIM(LEFT($B726,IFERROR(FIND(" ",$B726)-1,LEN($B726))))))&gt;0,1,0)</f>
        <v/>
      </c>
      <c r="AE726">
        <f t="array" ref="AE726">IF(SUMPRODUCT(--($AO$2:$AO$145=TRIM(LEFT($B726,IFERROR(FIND(" ",$B726)-1,LEN($B726))))))&gt;0,1,0)</f>
        <v/>
      </c>
      <c r="AF726">
        <f t="array" ref="AF726">IF(SUMPRODUCT(--($AQ$2:$AQ$71=TRIM(LEFT($B726,IFERROR(FIND(" ",$B726)-1,LEN($B726))))))&gt;0,1,0)</f>
        <v/>
      </c>
    </row>
    <row r="727" ht="45.75" customHeight="1" thickBot="1">
      <c r="A727" s="13" t="n">
        <v>163</v>
      </c>
      <c r="B727" s="4" t="inlineStr">
        <is>
          <t>ETFC US</t>
        </is>
      </c>
      <c r="C727" s="4" t="inlineStr">
        <is>
          <t>MS US</t>
        </is>
      </c>
      <c r="D727" s="7" t="n">
        <v>43881</v>
      </c>
      <c r="E727" s="3" t="n">
        <v>14507.65</v>
      </c>
      <c r="F727" s="4" t="inlineStr">
        <is>
          <t>Stock</t>
        </is>
      </c>
      <c r="G727" s="3" t="n">
        <v>7.89</v>
      </c>
      <c r="H727" s="4" t="inlineStr">
        <is>
          <t>Financials</t>
        </is>
      </c>
      <c r="I727" s="4" t="inlineStr">
        <is>
          <t>Financial Services</t>
        </is>
      </c>
      <c r="J727" s="4" t="inlineStr">
        <is>
          <t>Asset Management</t>
        </is>
      </c>
      <c r="K727" s="3" t="n">
        <v>525</v>
      </c>
      <c r="L727" s="3" t="n">
        <v>375</v>
      </c>
      <c r="M727" s="3" t="n">
        <v>29.17</v>
      </c>
      <c r="N727" s="3" t="n">
        <v>12719.65</v>
      </c>
      <c r="O727" s="4" t="inlineStr">
        <is>
          <t>United States</t>
        </is>
      </c>
      <c r="P727" s="4" t="inlineStr">
        <is>
          <t>United States</t>
        </is>
      </c>
      <c r="Q727" s="4" t="inlineStr">
        <is>
          <t>Friendly</t>
        </is>
      </c>
      <c r="R727" s="3" t="n">
        <v>3145</v>
      </c>
      <c r="S727" s="2" t="n"/>
      <c r="T727" s="4" t="inlineStr">
        <is>
          <t>Company Takeover</t>
        </is>
      </c>
      <c r="U727" s="2" t="inlineStr">
        <is>
          <t>No</t>
        </is>
      </c>
      <c r="V727" s="2" t="inlineStr">
        <is>
          <t>No</t>
        </is>
      </c>
      <c r="W727" s="2" t="inlineStr">
        <is>
          <t>No</t>
        </is>
      </c>
      <c r="X727" s="2" t="inlineStr">
        <is>
          <t>No</t>
        </is>
      </c>
      <c r="Y727" s="2" t="inlineStr">
        <is>
          <t>No</t>
        </is>
      </c>
      <c r="Z727" s="2" t="inlineStr">
        <is>
          <t>No</t>
        </is>
      </c>
      <c r="AA727" s="6" t="n">
        <v>4.16159707</v>
      </c>
      <c r="AB727" s="6" t="n">
        <v>3.49762065</v>
      </c>
      <c r="AC727" s="6" t="n">
        <v>4.104475161</v>
      </c>
      <c r="AD727">
        <f t="array" ref="AD727">IF(SUMPRODUCT(--($AM$2:$AM$112=TRIM(LEFT($B727,IFERROR(FIND(" ",$B727)-1,LEN($B727))))))&gt;0,1,0)</f>
        <v/>
      </c>
      <c r="AE727">
        <f t="array" ref="AE727">IF(SUMPRODUCT(--($AO$2:$AO$145=TRIM(LEFT($B727,IFERROR(FIND(" ",$B727)-1,LEN($B727))))))&gt;0,1,0)</f>
        <v/>
      </c>
      <c r="AF727">
        <f t="array" ref="AF727">IF(SUMPRODUCT(--($AQ$2:$AQ$71=TRIM(LEFT($B727,IFERROR(FIND(" ",$B727)-1,LEN($B727))))))&gt;0,1,0)</f>
        <v/>
      </c>
    </row>
    <row r="728" ht="75.75" customHeight="1" thickBot="1">
      <c r="A728" s="13" t="n">
        <v>33</v>
      </c>
      <c r="B728" s="4" t="inlineStr">
        <is>
          <t>MNTA US</t>
        </is>
      </c>
      <c r="C728" s="4" t="inlineStr">
        <is>
          <t>JNJ US</t>
        </is>
      </c>
      <c r="D728" s="7" t="n">
        <v>44062</v>
      </c>
      <c r="E728" s="3" t="n">
        <v>5825.99</v>
      </c>
      <c r="F728" s="4" t="inlineStr">
        <is>
          <t>Cash</t>
        </is>
      </c>
      <c r="G728" s="4" t="n"/>
      <c r="H728" s="4" t="inlineStr">
        <is>
          <t>Health Care</t>
        </is>
      </c>
      <c r="I728" s="4" t="inlineStr">
        <is>
          <t>Health Care</t>
        </is>
      </c>
      <c r="J728" s="4" t="inlineStr">
        <is>
          <t>Biotech &amp; Pharma</t>
        </is>
      </c>
      <c r="K728" s="4" t="n"/>
      <c r="L728" s="3" t="n">
        <v>205</v>
      </c>
      <c r="M728" s="4" t="n"/>
      <c r="N728" s="3" t="n">
        <v>6239.52</v>
      </c>
      <c r="O728" s="4" t="inlineStr">
        <is>
          <t>United States</t>
        </is>
      </c>
      <c r="P728" s="4" t="inlineStr">
        <is>
          <t>United States</t>
        </is>
      </c>
      <c r="Q728" s="4" t="inlineStr">
        <is>
          <t>Friendly</t>
        </is>
      </c>
      <c r="R728" s="3" t="n">
        <v>23.868</v>
      </c>
      <c r="S728" s="3" t="n">
        <v>-769.553</v>
      </c>
      <c r="T728" s="4" t="inlineStr">
        <is>
          <t>Company Takeover, Tender Offer</t>
        </is>
      </c>
      <c r="U728" s="2" t="inlineStr">
        <is>
          <t>No</t>
        </is>
      </c>
      <c r="V728" s="2" t="inlineStr">
        <is>
          <t>No</t>
        </is>
      </c>
      <c r="W728" s="2" t="inlineStr">
        <is>
          <t>No</t>
        </is>
      </c>
      <c r="X728" s="2" t="inlineStr">
        <is>
          <t>No</t>
        </is>
      </c>
      <c r="Y728" s="2" t="inlineStr">
        <is>
          <t>No</t>
        </is>
      </c>
      <c r="Z728" s="2" t="inlineStr">
        <is>
          <t>Yes</t>
        </is>
      </c>
      <c r="AA728" s="6" t="n">
        <v>3.765369735</v>
      </c>
      <c r="AB728" s="6" t="n">
        <v>1.377816029</v>
      </c>
      <c r="AC728" s="6" t="n">
        <v>3.795151181</v>
      </c>
      <c r="AD728">
        <f t="array" ref="AD728">IF(SUMPRODUCT(--($AM$2:$AM$112=TRIM(LEFT($B728,IFERROR(FIND(" ",$B728)-1,LEN($B728))))))&gt;0,1,0)</f>
        <v/>
      </c>
      <c r="AE728">
        <f t="array" ref="AE728">IF(SUMPRODUCT(--($AO$2:$AO$145=TRIM(LEFT($B728,IFERROR(FIND(" ",$B728)-1,LEN($B728))))))&gt;0,1,0)</f>
        <v/>
      </c>
      <c r="AF728">
        <f t="array" ref="AF728">IF(SUMPRODUCT(--($AQ$2:$AQ$71=TRIM(LEFT($B728,IFERROR(FIND(" ",$B728)-1,LEN($B728))))))&gt;0,1,0)</f>
        <v/>
      </c>
    </row>
    <row r="729" ht="105.75" customHeight="1" thickBot="1">
      <c r="A729" s="13" t="n">
        <v>32</v>
      </c>
      <c r="B729" s="4" t="inlineStr">
        <is>
          <t>PRNB US</t>
        </is>
      </c>
      <c r="C729" s="4" t="inlineStr">
        <is>
          <t>SAN FP</t>
        </is>
      </c>
      <c r="D729" s="7" t="n">
        <v>44060</v>
      </c>
      <c r="E729" s="3" t="n">
        <v>3019.02</v>
      </c>
      <c r="F729" s="4" t="inlineStr">
        <is>
          <t>Cash</t>
        </is>
      </c>
      <c r="G729" s="4" t="n"/>
      <c r="H729" s="4" t="inlineStr">
        <is>
          <t>Health Care</t>
        </is>
      </c>
      <c r="I729" s="4" t="inlineStr">
        <is>
          <t>Health Care</t>
        </is>
      </c>
      <c r="J729" s="4" t="inlineStr">
        <is>
          <t>Biotech &amp; Pharma</t>
        </is>
      </c>
      <c r="K729" s="4" t="n"/>
      <c r="L729" s="3" t="n">
        <v>128.828</v>
      </c>
      <c r="M729" s="4" t="n"/>
      <c r="N729" s="3" t="n">
        <v>3320.85</v>
      </c>
      <c r="O729" s="4" t="inlineStr">
        <is>
          <t>United States</t>
        </is>
      </c>
      <c r="P729" s="4" t="inlineStr">
        <is>
          <t>France</t>
        </is>
      </c>
      <c r="Q729" s="4" t="inlineStr">
        <is>
          <t>Friendly</t>
        </is>
      </c>
      <c r="R729" s="3" t="n">
        <v>35.16</v>
      </c>
      <c r="S729" s="3" t="n">
        <v>-148.346</v>
      </c>
      <c r="T729" s="4" t="inlineStr">
        <is>
          <t>Company Takeover, Cross Border, Tender Offer</t>
        </is>
      </c>
      <c r="U729" s="2" t="inlineStr">
        <is>
          <t>No</t>
        </is>
      </c>
      <c r="V729" s="2" t="inlineStr">
        <is>
          <t>No</t>
        </is>
      </c>
      <c r="W729" s="2" t="inlineStr">
        <is>
          <t>Yes</t>
        </is>
      </c>
      <c r="X729" s="2" t="inlineStr">
        <is>
          <t>No</t>
        </is>
      </c>
      <c r="Y729" s="2" t="inlineStr">
        <is>
          <t>No</t>
        </is>
      </c>
      <c r="Z729" s="2" t="inlineStr">
        <is>
          <t>Yes</t>
        </is>
      </c>
      <c r="AA729" s="6" t="n">
        <v>3.47986599</v>
      </c>
      <c r="AB729" s="6" t="n">
        <v>1.546048866</v>
      </c>
      <c r="AC729" s="6" t="n">
        <v>3.521249259</v>
      </c>
      <c r="AD729">
        <f t="array" ref="AD729">IF(SUMPRODUCT(--($AM$2:$AM$112=TRIM(LEFT($B729,IFERROR(FIND(" ",$B729)-1,LEN($B729))))))&gt;0,1,0)</f>
        <v/>
      </c>
      <c r="AE729">
        <f t="array" ref="AE729">IF(SUMPRODUCT(--($AO$2:$AO$145=TRIM(LEFT($B729,IFERROR(FIND(" ",$B729)-1,LEN($B729))))))&gt;0,1,0)</f>
        <v/>
      </c>
      <c r="AF729">
        <f t="array" ref="AF729">IF(SUMPRODUCT(--($AQ$2:$AQ$71=TRIM(LEFT($B729,IFERROR(FIND(" ",$B729)-1,LEN($B729))))))&gt;0,1,0)</f>
        <v/>
      </c>
    </row>
    <row r="730" ht="135.75" customHeight="1" thickBot="1">
      <c r="A730" s="13" t="n">
        <v>47</v>
      </c>
      <c r="B730" s="4" t="inlineStr">
        <is>
          <t>MJCO US</t>
        </is>
      </c>
      <c r="C730" s="4" t="inlineStr">
        <is>
          <t>129626Z US</t>
        </is>
      </c>
      <c r="D730" s="7" t="n">
        <v>44032</v>
      </c>
      <c r="E730" s="3" t="n">
        <v>644.4</v>
      </c>
      <c r="F730" s="4" t="inlineStr">
        <is>
          <t>Cash</t>
        </is>
      </c>
      <c r="G730" s="3" t="n">
        <v>33.47</v>
      </c>
      <c r="H730" s="4" t="inlineStr">
        <is>
          <t>Technology</t>
        </is>
      </c>
      <c r="I730" s="4" t="inlineStr">
        <is>
          <t>Software &amp; Tech Services</t>
        </is>
      </c>
      <c r="J730" s="4" t="inlineStr">
        <is>
          <t>Software</t>
        </is>
      </c>
      <c r="K730" s="4" t="n"/>
      <c r="L730" s="4" t="n"/>
      <c r="M730" s="4" t="n"/>
      <c r="N730" s="3" t="n">
        <v>692.71</v>
      </c>
      <c r="O730" s="4" t="inlineStr">
        <is>
          <t>United States</t>
        </is>
      </c>
      <c r="P730" s="4" t="inlineStr">
        <is>
          <t>United States</t>
        </is>
      </c>
      <c r="Q730" s="4" t="inlineStr">
        <is>
          <t>Friendly</t>
        </is>
      </c>
      <c r="R730" s="3" t="n">
        <v>146.445</v>
      </c>
      <c r="S730" s="3" t="n">
        <v>7.89358</v>
      </c>
      <c r="T730" s="4" t="inlineStr">
        <is>
          <t>PE Buyout, Company Takeover, Private Equity, Going Private</t>
        </is>
      </c>
      <c r="U730" s="2" t="inlineStr">
        <is>
          <t>No</t>
        </is>
      </c>
      <c r="V730" s="2" t="inlineStr">
        <is>
          <t>No</t>
        </is>
      </c>
      <c r="W730" s="2" t="inlineStr">
        <is>
          <t>No</t>
        </is>
      </c>
      <c r="X730" s="2" t="inlineStr">
        <is>
          <t>Yes</t>
        </is>
      </c>
      <c r="Y730" s="2" t="inlineStr">
        <is>
          <t>Yes</t>
        </is>
      </c>
      <c r="Z730" s="2" t="inlineStr">
        <is>
          <t>No</t>
        </is>
      </c>
      <c r="AA730" s="6" t="n">
        <v>2.809155532</v>
      </c>
      <c r="AB730" s="6" t="n">
        <v>2.165674548</v>
      </c>
      <c r="AC730" s="6" t="n">
        <v>2.840551457</v>
      </c>
      <c r="AD730">
        <f t="array" ref="AD730">IF(SUMPRODUCT(--($AM$2:$AM$112=TRIM(LEFT($B730,IFERROR(FIND(" ",$B730)-1,LEN($B730))))))&gt;0,1,0)</f>
        <v/>
      </c>
      <c r="AE730">
        <f t="array" ref="AE730">IF(SUMPRODUCT(--($AO$2:$AO$145=TRIM(LEFT($B730,IFERROR(FIND(" ",$B730)-1,LEN($B730))))))&gt;0,1,0)</f>
        <v/>
      </c>
      <c r="AF730">
        <f t="array" ref="AF730">IF(SUMPRODUCT(--($AQ$2:$AQ$71=TRIM(LEFT($B730,IFERROR(FIND(" ",$B730)-1,LEN($B730))))))&gt;0,1,0)</f>
        <v/>
      </c>
    </row>
    <row r="731" ht="45.75" customHeight="1" thickBot="1">
      <c r="A731" s="13" t="n">
        <v>96</v>
      </c>
      <c r="B731" s="4" t="inlineStr">
        <is>
          <t>ASR CN</t>
        </is>
      </c>
      <c r="C731" s="4" t="inlineStr">
        <is>
          <t>SSRM CN</t>
        </is>
      </c>
      <c r="D731" s="7" t="n">
        <v>43962</v>
      </c>
      <c r="E731" s="3" t="n">
        <v>1783.72</v>
      </c>
      <c r="F731" s="4" t="inlineStr">
        <is>
          <t>Stock</t>
        </is>
      </c>
      <c r="G731" s="3" t="n">
        <v>5.92</v>
      </c>
      <c r="H731" s="4" t="inlineStr">
        <is>
          <t>Materials</t>
        </is>
      </c>
      <c r="I731" s="4" t="inlineStr">
        <is>
          <t>Materials</t>
        </is>
      </c>
      <c r="J731" s="4" t="inlineStr">
        <is>
          <t>Metals &amp; Mining</t>
        </is>
      </c>
      <c r="K731" s="3" t="n">
        <v>70</v>
      </c>
      <c r="L731" s="3" t="n">
        <v>70</v>
      </c>
      <c r="M731" s="3" t="n">
        <v>10.1</v>
      </c>
      <c r="N731" s="3" t="n">
        <v>1623.95</v>
      </c>
      <c r="O731" s="4" t="inlineStr">
        <is>
          <t>Canada</t>
        </is>
      </c>
      <c r="P731" s="4" t="inlineStr">
        <is>
          <t>Canada</t>
        </is>
      </c>
      <c r="Q731" s="4" t="inlineStr">
        <is>
          <t>Friendly</t>
        </is>
      </c>
      <c r="R731" s="2" t="n"/>
      <c r="S731" s="2" t="n"/>
      <c r="T731" s="4" t="inlineStr">
        <is>
          <t>Company Takeover</t>
        </is>
      </c>
      <c r="U731" s="2" t="inlineStr">
        <is>
          <t>No</t>
        </is>
      </c>
      <c r="V731" s="2" t="inlineStr">
        <is>
          <t>No</t>
        </is>
      </c>
      <c r="W731" s="2" t="inlineStr">
        <is>
          <t>No</t>
        </is>
      </c>
      <c r="X731" s="2" t="inlineStr">
        <is>
          <t>No</t>
        </is>
      </c>
      <c r="Y731" s="2" t="inlineStr">
        <is>
          <t>No</t>
        </is>
      </c>
      <c r="Z731" s="2" t="inlineStr">
        <is>
          <t>No</t>
        </is>
      </c>
      <c r="AA731" s="6" t="n">
        <v>3.251326682</v>
      </c>
      <c r="AB731" s="2" t="n"/>
      <c r="AC731" s="6" t="n">
        <v>3.210572654</v>
      </c>
      <c r="AD731">
        <f t="array" ref="AD731">IF(SUMPRODUCT(--($AM$2:$AM$112=TRIM(LEFT($B731,IFERROR(FIND(" ",$B731)-1,LEN($B731))))))&gt;0,1,0)</f>
        <v/>
      </c>
      <c r="AE731">
        <f t="array" ref="AE731">IF(SUMPRODUCT(--($AO$2:$AO$145=TRIM(LEFT($B731,IFERROR(FIND(" ",$B731)-1,LEN($B731))))))&gt;0,1,0)</f>
        <v/>
      </c>
      <c r="AF731">
        <f t="array" ref="AF731">IF(SUMPRODUCT(--($AQ$2:$AQ$71=TRIM(LEFT($B731,IFERROR(FIND(" ",$B731)-1,LEN($B731))))))&gt;0,1,0)</f>
        <v/>
      </c>
    </row>
    <row r="732" ht="135.75" customHeight="1" thickBot="1">
      <c r="A732" s="13" t="n">
        <v>186</v>
      </c>
      <c r="B732" s="4" t="inlineStr">
        <is>
          <t>LOGM US</t>
        </is>
      </c>
      <c r="C732" s="2" t="n"/>
      <c r="D732" s="7" t="n">
        <v>43816</v>
      </c>
      <c r="E732" s="3" t="n">
        <v>4390.63</v>
      </c>
      <c r="F732" s="4" t="inlineStr">
        <is>
          <t>Cash</t>
        </is>
      </c>
      <c r="G732" s="3" t="n">
        <v>10.28</v>
      </c>
      <c r="H732" s="4" t="inlineStr">
        <is>
          <t>Technology</t>
        </is>
      </c>
      <c r="I732" s="4" t="inlineStr">
        <is>
          <t>Software &amp; Tech Services</t>
        </is>
      </c>
      <c r="J732" s="4" t="inlineStr">
        <is>
          <t>Software</t>
        </is>
      </c>
      <c r="K732" s="3" t="n">
        <v>303</v>
      </c>
      <c r="L732" s="3" t="n">
        <v>130</v>
      </c>
      <c r="M732" s="4" t="n"/>
      <c r="N732" s="3" t="n">
        <v>4200.52</v>
      </c>
      <c r="O732" s="4" t="inlineStr">
        <is>
          <t>United States</t>
        </is>
      </c>
      <c r="P732" s="4" t="inlineStr">
        <is>
          <t>United States</t>
        </is>
      </c>
      <c r="Q732" s="4" t="inlineStr">
        <is>
          <t>Friendly</t>
        </is>
      </c>
      <c r="R732" s="3" t="n">
        <v>1260.38</v>
      </c>
      <c r="S732" s="3" t="n">
        <v>2.06387</v>
      </c>
      <c r="T732" s="4" t="inlineStr">
        <is>
          <t>PE Buyout, Company Takeover, Going Private, Private Equity</t>
        </is>
      </c>
      <c r="U732" s="2" t="inlineStr">
        <is>
          <t>No</t>
        </is>
      </c>
      <c r="V732" s="2" t="inlineStr">
        <is>
          <t>No</t>
        </is>
      </c>
      <c r="W732" s="2" t="inlineStr">
        <is>
          <t>No</t>
        </is>
      </c>
      <c r="X732" s="2" t="inlineStr">
        <is>
          <t>Yes</t>
        </is>
      </c>
      <c r="Y732" s="2" t="inlineStr">
        <is>
          <t>Yes</t>
        </is>
      </c>
      <c r="Z732" s="2" t="inlineStr">
        <is>
          <t>No</t>
        </is>
      </c>
      <c r="AA732" s="6" t="n">
        <v>3.64252684</v>
      </c>
      <c r="AB732" s="6" t="n">
        <v>3.100501503</v>
      </c>
      <c r="AC732" s="6" t="n">
        <v>3.623303057</v>
      </c>
      <c r="AD732">
        <f t="array" ref="AD732">IF(SUMPRODUCT(--($AM$2:$AM$112=TRIM(LEFT($B732,IFERROR(FIND(" ",$B732)-1,LEN($B732))))))&gt;0,1,0)</f>
        <v/>
      </c>
      <c r="AE732">
        <f t="array" ref="AE732">IF(SUMPRODUCT(--($AO$2:$AO$145=TRIM(LEFT($B732,IFERROR(FIND(" ",$B732)-1,LEN($B732))))))&gt;0,1,0)</f>
        <v/>
      </c>
      <c r="AF732">
        <f t="array" ref="AF732">IF(SUMPRODUCT(--($AQ$2:$AQ$71=TRIM(LEFT($B732,IFERROR(FIND(" ",$B732)-1,LEN($B732))))))&gt;0,1,0)</f>
        <v/>
      </c>
    </row>
    <row r="733" ht="195.75" customHeight="1" thickBot="1">
      <c r="A733" s="13" t="n">
        <v>139</v>
      </c>
      <c r="B733" s="4" t="inlineStr">
        <is>
          <t>FSCT US</t>
        </is>
      </c>
      <c r="C733" s="2" t="n"/>
      <c r="D733" s="7" t="n">
        <v>43867</v>
      </c>
      <c r="E733" s="3" t="n">
        <v>1316.03</v>
      </c>
      <c r="F733" s="4" t="inlineStr">
        <is>
          <t>Cash</t>
        </is>
      </c>
      <c r="G733" s="4" t="n"/>
      <c r="H733" s="4" t="inlineStr">
        <is>
          <t>Technology</t>
        </is>
      </c>
      <c r="I733" s="4" t="inlineStr">
        <is>
          <t>Software &amp; Tech Services</t>
        </is>
      </c>
      <c r="J733" s="4" t="inlineStr">
        <is>
          <t>Software</t>
        </is>
      </c>
      <c r="K733" s="3" t="n">
        <v>37.2215</v>
      </c>
      <c r="L733" s="3" t="n">
        <v>111.664</v>
      </c>
      <c r="M733" s="4" t="n"/>
      <c r="N733" s="3" t="n">
        <v>1368.02</v>
      </c>
      <c r="O733" s="4" t="inlineStr">
        <is>
          <t>United States</t>
        </is>
      </c>
      <c r="P733" s="4" t="inlineStr">
        <is>
          <t>United States</t>
        </is>
      </c>
      <c r="Q733" s="4" t="inlineStr">
        <is>
          <t>Friendly</t>
        </is>
      </c>
      <c r="R733" s="3" t="n">
        <v>336.801</v>
      </c>
      <c r="S733" s="3" t="n">
        <v>-37.2533</v>
      </c>
      <c r="T733" s="4" t="inlineStr">
        <is>
          <t>PE Buyout, Company Takeover, Squeeze out, Private Equity, Tender Offer, Going Private</t>
        </is>
      </c>
      <c r="U733" s="2" t="inlineStr">
        <is>
          <t>No</t>
        </is>
      </c>
      <c r="V733" s="2" t="inlineStr">
        <is>
          <t>No</t>
        </is>
      </c>
      <c r="W733" s="2" t="inlineStr">
        <is>
          <t>No</t>
        </is>
      </c>
      <c r="X733" s="2" t="inlineStr">
        <is>
          <t>Yes</t>
        </is>
      </c>
      <c r="Y733" s="2" t="inlineStr">
        <is>
          <t>Yes</t>
        </is>
      </c>
      <c r="Z733" s="2" t="inlineStr">
        <is>
          <t>Yes</t>
        </is>
      </c>
      <c r="AA733" s="6" t="n">
        <v>3.119265789</v>
      </c>
      <c r="AB733" s="6" t="n">
        <v>2.527373372</v>
      </c>
      <c r="AC733" s="6" t="n">
        <v>3.136092447</v>
      </c>
      <c r="AD733">
        <f t="array" ref="AD733">IF(SUMPRODUCT(--($AM$2:$AM$112=TRIM(LEFT($B733,IFERROR(FIND(" ",$B733)-1,LEN($B733))))))&gt;0,1,0)</f>
        <v/>
      </c>
      <c r="AE733">
        <f t="array" ref="AE733">IF(SUMPRODUCT(--($AO$2:$AO$145=TRIM(LEFT($B733,IFERROR(FIND(" ",$B733)-1,LEN($B733))))))&gt;0,1,0)</f>
        <v/>
      </c>
      <c r="AF733">
        <f t="array" ref="AF733">IF(SUMPRODUCT(--($AQ$2:$AQ$71=TRIM(LEFT($B733,IFERROR(FIND(" ",$B733)-1,LEN($B733))))))&gt;0,1,0)</f>
        <v/>
      </c>
    </row>
    <row r="734" ht="45.75" customHeight="1" thickBot="1">
      <c r="A734" s="13" t="n">
        <v>150</v>
      </c>
      <c r="B734" s="4" t="inlineStr">
        <is>
          <t>FSB US</t>
        </is>
      </c>
      <c r="C734" s="4" t="inlineStr">
        <is>
          <t>FBK US</t>
        </is>
      </c>
      <c r="D734" s="7" t="n">
        <v>43851</v>
      </c>
      <c r="E734" s="3" t="n">
        <v>598.6</v>
      </c>
      <c r="F734" s="4" t="inlineStr">
        <is>
          <t>Cash and Stock</t>
        </is>
      </c>
      <c r="G734" s="4" t="n"/>
      <c r="H734" s="4" t="inlineStr">
        <is>
          <t>Financials</t>
        </is>
      </c>
      <c r="I734" s="4" t="inlineStr">
        <is>
          <t>Banking</t>
        </is>
      </c>
      <c r="J734" s="4" t="inlineStr">
        <is>
          <t>Banking</t>
        </is>
      </c>
      <c r="K734" s="3" t="n">
        <v>21.4</v>
      </c>
      <c r="L734" s="3" t="n">
        <v>21.4</v>
      </c>
      <c r="M734" s="3" t="n">
        <v>16.64</v>
      </c>
      <c r="N734" s="3" t="n">
        <v>598.6</v>
      </c>
      <c r="O734" s="4" t="inlineStr">
        <is>
          <t>United States</t>
        </is>
      </c>
      <c r="P734" s="4" t="inlineStr">
        <is>
          <t>United States</t>
        </is>
      </c>
      <c r="Q734" s="4" t="inlineStr">
        <is>
          <t>Friendly</t>
        </is>
      </c>
      <c r="R734" s="3" t="n">
        <v>202.467</v>
      </c>
      <c r="S734" s="3" t="n">
        <v>12.0081</v>
      </c>
      <c r="T734" s="4" t="inlineStr">
        <is>
          <t>Company Takeover</t>
        </is>
      </c>
      <c r="U734" s="2" t="inlineStr">
        <is>
          <t>No</t>
        </is>
      </c>
      <c r="V734" s="2" t="inlineStr">
        <is>
          <t>No</t>
        </is>
      </c>
      <c r="W734" s="2" t="inlineStr">
        <is>
          <t>No</t>
        </is>
      </c>
      <c r="X734" s="2" t="inlineStr">
        <is>
          <t>No</t>
        </is>
      </c>
      <c r="Y734" s="2" t="inlineStr">
        <is>
          <t>No</t>
        </is>
      </c>
      <c r="Z734" s="2" t="inlineStr">
        <is>
          <t>No</t>
        </is>
      </c>
      <c r="AA734" s="6" t="n">
        <v>2.777136713</v>
      </c>
      <c r="AB734" s="6" t="n">
        <v>2.306354248</v>
      </c>
      <c r="AC734" s="6" t="n">
        <v>2.777136713</v>
      </c>
      <c r="AD734">
        <f t="array" ref="AD734">IF(SUMPRODUCT(--($AM$2:$AM$112=TRIM(LEFT($B734,IFERROR(FIND(" ",$B734)-1,LEN($B734))))))&gt;0,1,0)</f>
        <v/>
      </c>
      <c r="AE734">
        <f t="array" ref="AE734">IF(SUMPRODUCT(--($AO$2:$AO$145=TRIM(LEFT($B734,IFERROR(FIND(" ",$B734)-1,LEN($B734))))))&gt;0,1,0)</f>
        <v/>
      </c>
      <c r="AF734">
        <f t="array" ref="AF734">IF(SUMPRODUCT(--($AQ$2:$AQ$71=TRIM(LEFT($B734,IFERROR(FIND(" ",$B734)-1,LEN($B734))))))&gt;0,1,0)</f>
        <v/>
      </c>
    </row>
    <row r="735" ht="105.75" customHeight="1" thickBot="1">
      <c r="A735" s="13" t="n">
        <v>120</v>
      </c>
      <c r="B735" s="4" t="inlineStr">
        <is>
          <t>LM US</t>
        </is>
      </c>
      <c r="C735" s="4" t="inlineStr">
        <is>
          <t>BEN US</t>
        </is>
      </c>
      <c r="D735" s="7" t="n">
        <v>43879</v>
      </c>
      <c r="E735" s="3" t="n">
        <v>5856.67</v>
      </c>
      <c r="F735" s="4" t="inlineStr">
        <is>
          <t>Cash</t>
        </is>
      </c>
      <c r="G735" s="3" t="n">
        <v>10.94</v>
      </c>
      <c r="H735" s="4" t="inlineStr">
        <is>
          <t>Financials</t>
        </is>
      </c>
      <c r="I735" s="4" t="inlineStr">
        <is>
          <t>Financial Services</t>
        </is>
      </c>
      <c r="J735" s="4" t="inlineStr">
        <is>
          <t>Asset Management</t>
        </is>
      </c>
      <c r="K735" s="3" t="n">
        <v>115</v>
      </c>
      <c r="L735" s="3" t="n">
        <v>115</v>
      </c>
      <c r="M735" s="3" t="n">
        <v>26.59</v>
      </c>
      <c r="N735" s="3" t="n">
        <v>4344.63</v>
      </c>
      <c r="O735" s="4" t="inlineStr">
        <is>
          <t>United States</t>
        </is>
      </c>
      <c r="P735" s="4" t="inlineStr">
        <is>
          <t>United States</t>
        </is>
      </c>
      <c r="Q735" s="4" t="inlineStr">
        <is>
          <t>Friendly</t>
        </is>
      </c>
      <c r="R735" s="3" t="n">
        <v>2922.12</v>
      </c>
      <c r="S735" s="3" t="n">
        <v>13.145</v>
      </c>
      <c r="T735" s="4" t="inlineStr">
        <is>
          <t>PE Buyout, Company Takeover, Private Equity</t>
        </is>
      </c>
      <c r="U735" s="2" t="inlineStr">
        <is>
          <t>No</t>
        </is>
      </c>
      <c r="V735" s="2" t="inlineStr">
        <is>
          <t>No</t>
        </is>
      </c>
      <c r="W735" s="2" t="inlineStr">
        <is>
          <t>No</t>
        </is>
      </c>
      <c r="X735" s="2" t="inlineStr">
        <is>
          <t>No</t>
        </is>
      </c>
      <c r="Y735" s="2" t="inlineStr">
        <is>
          <t>Yes</t>
        </is>
      </c>
      <c r="Z735" s="2" t="inlineStr">
        <is>
          <t>No</t>
        </is>
      </c>
      <c r="AA735" s="6" t="n">
        <v>3.767650754</v>
      </c>
      <c r="AB735" s="6" t="n">
        <v>3.465698047</v>
      </c>
      <c r="AC735" s="6" t="n">
        <v>3.637952797</v>
      </c>
      <c r="AD735">
        <f t="array" ref="AD735">IF(SUMPRODUCT(--($AM$2:$AM$112=TRIM(LEFT($B735,IFERROR(FIND(" ",$B735)-1,LEN($B735))))))&gt;0,1,0)</f>
        <v/>
      </c>
      <c r="AE735">
        <f t="array" ref="AE735">IF(SUMPRODUCT(--($AO$2:$AO$145=TRIM(LEFT($B735,IFERROR(FIND(" ",$B735)-1,LEN($B735))))))&gt;0,1,0)</f>
        <v/>
      </c>
      <c r="AF735">
        <f t="array" ref="AF735">IF(SUMPRODUCT(--($AQ$2:$AQ$71=TRIM(LEFT($B735,IFERROR(FIND(" ",$B735)-1,LEN($B735))))))&gt;0,1,0)</f>
        <v/>
      </c>
    </row>
    <row r="736" ht="135.75" customHeight="1" thickBot="1">
      <c r="A736" s="13" t="n">
        <v>100</v>
      </c>
      <c r="B736" s="4" t="inlineStr">
        <is>
          <t>TERP US</t>
        </is>
      </c>
      <c r="C736" s="4" t="inlineStr">
        <is>
          <t>9213421D CN</t>
        </is>
      </c>
      <c r="D736" s="7" t="n">
        <v>43907</v>
      </c>
      <c r="E736" s="3" t="n">
        <v>1837.76</v>
      </c>
      <c r="F736" s="4" t="inlineStr">
        <is>
          <t>Stock</t>
        </is>
      </c>
      <c r="G736" s="3" t="n">
        <v>7.94</v>
      </c>
      <c r="H736" s="4" t="inlineStr">
        <is>
          <t>Utilities</t>
        </is>
      </c>
      <c r="I736" s="4" t="inlineStr">
        <is>
          <t>Utilities</t>
        </is>
      </c>
      <c r="J736" s="4" t="inlineStr">
        <is>
          <t>Electric Utilities</t>
        </is>
      </c>
      <c r="K736" s="4" t="n"/>
      <c r="L736" s="4" t="n"/>
      <c r="M736" s="3" t="n">
        <v>14.06</v>
      </c>
      <c r="N736" s="3" t="n">
        <v>1837.76</v>
      </c>
      <c r="O736" s="4" t="inlineStr">
        <is>
          <t>United States</t>
        </is>
      </c>
      <c r="P736" s="4" t="inlineStr">
        <is>
          <t>United States</t>
        </is>
      </c>
      <c r="Q736" s="4" t="inlineStr">
        <is>
          <t>Unsolicited to Friendly</t>
        </is>
      </c>
      <c r="R736" s="3" t="n">
        <v>941.24</v>
      </c>
      <c r="S736" s="3" t="n">
        <v>11.9034</v>
      </c>
      <c r="T736" s="4" t="inlineStr">
        <is>
          <t>Company Takeover, Cross Border, Additional Stake Purchase</t>
        </is>
      </c>
      <c r="U736" s="2" t="inlineStr">
        <is>
          <t>Yes</t>
        </is>
      </c>
      <c r="V736" s="2" t="inlineStr">
        <is>
          <t>No</t>
        </is>
      </c>
      <c r="W736" s="2" t="inlineStr">
        <is>
          <t>Yes</t>
        </is>
      </c>
      <c r="X736" s="2" t="inlineStr">
        <is>
          <t>No</t>
        </is>
      </c>
      <c r="Y736" s="2" t="inlineStr">
        <is>
          <t>No</t>
        </is>
      </c>
      <c r="Z736" s="2" t="inlineStr">
        <is>
          <t>No</t>
        </is>
      </c>
      <c r="AA736" s="6" t="n">
        <v>3.264288795</v>
      </c>
      <c r="AB736" s="6" t="n">
        <v>2.973700375</v>
      </c>
      <c r="AC736" s="6" t="n">
        <v>3.264288795</v>
      </c>
      <c r="AD736">
        <f t="array" ref="AD736">IF(SUMPRODUCT(--($AM$2:$AM$112=TRIM(LEFT($B736,IFERROR(FIND(" ",$B736)-1,LEN($B736))))))&gt;0,1,0)</f>
        <v/>
      </c>
      <c r="AE736">
        <f t="array" ref="AE736">IF(SUMPRODUCT(--($AO$2:$AO$145=TRIM(LEFT($B736,IFERROR(FIND(" ",$B736)-1,LEN($B736))))))&gt;0,1,0)</f>
        <v/>
      </c>
      <c r="AF736">
        <f t="array" ref="AF736">IF(SUMPRODUCT(--($AQ$2:$AQ$71=TRIM(LEFT($B736,IFERROR(FIND(" ",$B736)-1,LEN($B736))))))&gt;0,1,0)</f>
        <v/>
      </c>
    </row>
    <row r="737" ht="105.75" customHeight="1" thickBot="1">
      <c r="A737" s="13" t="n">
        <v>60</v>
      </c>
      <c r="B737" s="4" t="inlineStr">
        <is>
          <t>COTY US</t>
        </is>
      </c>
      <c r="C737" s="2" t="n"/>
      <c r="D737" s="7" t="n">
        <v>43962</v>
      </c>
      <c r="E737" s="3" t="n">
        <v>1000</v>
      </c>
      <c r="F737" s="4" t="inlineStr">
        <is>
          <t>Cash</t>
        </is>
      </c>
      <c r="G737" s="4" t="n"/>
      <c r="H737" s="4" t="inlineStr">
        <is>
          <t>Consumer Staples</t>
        </is>
      </c>
      <c r="I737" s="4" t="inlineStr">
        <is>
          <t>Consumer Staple Products</t>
        </is>
      </c>
      <c r="J737" s="4" t="inlineStr">
        <is>
          <t>Household Products</t>
        </is>
      </c>
      <c r="K737" s="4" t="n"/>
      <c r="L737" s="4" t="n"/>
      <c r="M737" s="4" t="n"/>
      <c r="N737" s="3" t="n">
        <v>1000</v>
      </c>
      <c r="O737" s="4" t="inlineStr">
        <is>
          <t>United States</t>
        </is>
      </c>
      <c r="P737" s="4" t="inlineStr">
        <is>
          <t>United States</t>
        </is>
      </c>
      <c r="Q737" s="4" t="inlineStr">
        <is>
          <t>Friendly</t>
        </is>
      </c>
      <c r="R737" s="3" t="n">
        <v>5892.9</v>
      </c>
      <c r="S737" s="3" t="n">
        <v>-0.402432</v>
      </c>
      <c r="T737" s="4" t="inlineStr">
        <is>
          <t>Convertible, Private Placement, Private Equity</t>
        </is>
      </c>
      <c r="U737" s="2" t="inlineStr">
        <is>
          <t>No</t>
        </is>
      </c>
      <c r="V737" s="2" t="inlineStr">
        <is>
          <t>No</t>
        </is>
      </c>
      <c r="W737" s="2" t="inlineStr">
        <is>
          <t>No</t>
        </is>
      </c>
      <c r="X737" s="2" t="inlineStr">
        <is>
          <t>No</t>
        </is>
      </c>
      <c r="Y737" s="2" t="inlineStr">
        <is>
          <t>No</t>
        </is>
      </c>
      <c r="Z737" s="2" t="inlineStr">
        <is>
          <t>No</t>
        </is>
      </c>
      <c r="AA737" s="6" t="n">
        <v>3</v>
      </c>
      <c r="AB737" s="6" t="n">
        <v>3.770329071</v>
      </c>
      <c r="AC737" s="6" t="n">
        <v>3</v>
      </c>
      <c r="AD737">
        <f t="array" ref="AD737">IF(SUMPRODUCT(--($AM$2:$AM$112=TRIM(LEFT($B737,IFERROR(FIND(" ",$B737)-1,LEN($B737))))))&gt;0,1,0)</f>
        <v/>
      </c>
      <c r="AE737">
        <f t="array" ref="AE737">IF(SUMPRODUCT(--($AO$2:$AO$145=TRIM(LEFT($B737,IFERROR(FIND(" ",$B737)-1,LEN($B737))))))&gt;0,1,0)</f>
        <v/>
      </c>
      <c r="AF737">
        <f t="array" ref="AF737">IF(SUMPRODUCT(--($AQ$2:$AQ$71=TRIM(LEFT($B737,IFERROR(FIND(" ",$B737)-1,LEN($B737))))))&gt;0,1,0)</f>
        <v/>
      </c>
    </row>
    <row r="738" ht="135.75" customHeight="1" thickBot="1">
      <c r="A738" s="13" t="n">
        <v>304</v>
      </c>
      <c r="B738" s="4" t="inlineStr">
        <is>
          <t>1964632D US</t>
        </is>
      </c>
      <c r="C738" s="4" t="inlineStr">
        <is>
          <t>0555061D US</t>
        </is>
      </c>
      <c r="D738" s="7" t="n">
        <v>43619</v>
      </c>
      <c r="E738" s="3" t="n">
        <v>4264.93</v>
      </c>
      <c r="F738" s="4" t="inlineStr">
        <is>
          <t>Cash</t>
        </is>
      </c>
      <c r="G738" s="3" t="n">
        <v>13.9</v>
      </c>
      <c r="H738" s="4" t="inlineStr">
        <is>
          <t>Utilities</t>
        </is>
      </c>
      <c r="I738" s="4" t="inlineStr">
        <is>
          <t>Utilities</t>
        </is>
      </c>
      <c r="J738" s="4" t="inlineStr">
        <is>
          <t>Electric Utilities</t>
        </is>
      </c>
      <c r="K738" s="3" t="n">
        <v>85</v>
      </c>
      <c r="L738" s="3" t="n">
        <v>170</v>
      </c>
      <c r="M738" s="4" t="n"/>
      <c r="N738" s="3" t="n">
        <v>2780.38</v>
      </c>
      <c r="O738" s="4" t="inlineStr">
        <is>
          <t>United States</t>
        </is>
      </c>
      <c r="P738" s="4" t="inlineStr">
        <is>
          <t>United States</t>
        </is>
      </c>
      <c r="Q738" s="4" t="inlineStr">
        <is>
          <t>Friendly</t>
        </is>
      </c>
      <c r="R738" s="3" t="n">
        <v>861.994</v>
      </c>
      <c r="S738" s="3" t="n">
        <v>20.7378</v>
      </c>
      <c r="T738" s="4" t="inlineStr">
        <is>
          <t>PE Buyout, Company Takeover, Private Equity, Going Private</t>
        </is>
      </c>
      <c r="U738" s="2" t="inlineStr">
        <is>
          <t>No</t>
        </is>
      </c>
      <c r="V738" s="2" t="inlineStr">
        <is>
          <t>No</t>
        </is>
      </c>
      <c r="W738" s="2" t="inlineStr">
        <is>
          <t>No</t>
        </is>
      </c>
      <c r="X738" s="2" t="inlineStr">
        <is>
          <t>Yes</t>
        </is>
      </c>
      <c r="Y738" s="2" t="inlineStr">
        <is>
          <t>Yes</t>
        </is>
      </c>
      <c r="Z738" s="2" t="inlineStr">
        <is>
          <t>No</t>
        </is>
      </c>
      <c r="AA738" s="6" t="n">
        <v>3.629911908</v>
      </c>
      <c r="AB738" s="6" t="n">
        <v>2.935504243</v>
      </c>
      <c r="AC738" s="6" t="n">
        <v>3.444104156</v>
      </c>
      <c r="AD738">
        <f t="array" ref="AD738">IF(SUMPRODUCT(--($AM$2:$AM$112=TRIM(LEFT($B738,IFERROR(FIND(" ",$B738)-1,LEN($B738))))))&gt;0,1,0)</f>
        <v/>
      </c>
      <c r="AE738">
        <f t="array" ref="AE738">IF(SUMPRODUCT(--($AO$2:$AO$145=TRIM(LEFT($B738,IFERROR(FIND(" ",$B738)-1,LEN($B738))))))&gt;0,1,0)</f>
        <v/>
      </c>
      <c r="AF738">
        <f t="array" ref="AF738">IF(SUMPRODUCT(--($AQ$2:$AQ$71=TRIM(LEFT($B738,IFERROR(FIND(" ",$B738)-1,LEN($B738))))))&gt;0,1,0)</f>
        <v/>
      </c>
    </row>
    <row r="739" ht="75.75" customHeight="1" thickBot="1">
      <c r="A739" s="13" t="n">
        <v>282</v>
      </c>
      <c r="B739" s="4" t="inlineStr">
        <is>
          <t>1816375D US</t>
        </is>
      </c>
      <c r="C739" s="4" t="inlineStr">
        <is>
          <t>CZR US</t>
        </is>
      </c>
      <c r="D739" s="7" t="n">
        <v>43640</v>
      </c>
      <c r="E739" s="3" t="n">
        <v>28500.36</v>
      </c>
      <c r="F739" s="4" t="inlineStr">
        <is>
          <t>Cash or Stock</t>
        </is>
      </c>
      <c r="G739" s="3" t="n">
        <v>15.13</v>
      </c>
      <c r="H739" s="4" t="inlineStr">
        <is>
          <t>Consumer Discretionary</t>
        </is>
      </c>
      <c r="I739" s="4" t="inlineStr">
        <is>
          <t>Consumer Discretionary Services</t>
        </is>
      </c>
      <c r="J739" s="4" t="inlineStr">
        <is>
          <t>Leisure Facilities &amp; Services</t>
        </is>
      </c>
      <c r="K739" s="3" t="n">
        <v>154.9</v>
      </c>
      <c r="L739" s="3" t="n">
        <v>418.4</v>
      </c>
      <c r="M739" s="4" t="n"/>
      <c r="N739" s="3" t="n">
        <v>10516.36</v>
      </c>
      <c r="O739" s="4" t="inlineStr">
        <is>
          <t>United States</t>
        </is>
      </c>
      <c r="P739" s="4" t="inlineStr">
        <is>
          <t>United States</t>
        </is>
      </c>
      <c r="Q739" s="4" t="inlineStr">
        <is>
          <t>Friendly</t>
        </is>
      </c>
      <c r="R739" s="3" t="n">
        <v>8742</v>
      </c>
      <c r="S739" s="3" t="n">
        <v>3.69012</v>
      </c>
      <c r="T739" s="4" t="inlineStr">
        <is>
          <t>Company Takeover</t>
        </is>
      </c>
      <c r="U739" s="2" t="inlineStr">
        <is>
          <t>No</t>
        </is>
      </c>
      <c r="V739" s="2" t="inlineStr">
        <is>
          <t>No</t>
        </is>
      </c>
      <c r="W739" s="2" t="inlineStr">
        <is>
          <t>No</t>
        </is>
      </c>
      <c r="X739" s="2" t="inlineStr">
        <is>
          <t>No</t>
        </is>
      </c>
      <c r="Y739" s="2" t="inlineStr">
        <is>
          <t>No</t>
        </is>
      </c>
      <c r="Z739" s="2" t="inlineStr">
        <is>
          <t>No</t>
        </is>
      </c>
      <c r="AA739" s="6" t="n">
        <v>4.454850346</v>
      </c>
      <c r="AB739" s="6" t="n">
        <v>3.941610802</v>
      </c>
      <c r="AC739" s="6" t="n">
        <v>4.021865445</v>
      </c>
      <c r="AD739">
        <f t="array" ref="AD739">IF(SUMPRODUCT(--($AM$2:$AM$112=TRIM(LEFT($B739,IFERROR(FIND(" ",$B739)-1,LEN($B739))))))&gt;0,1,0)</f>
        <v/>
      </c>
      <c r="AE739">
        <f t="array" ref="AE739">IF(SUMPRODUCT(--($AO$2:$AO$145=TRIM(LEFT($B739,IFERROR(FIND(" ",$B739)-1,LEN($B739))))))&gt;0,1,0)</f>
        <v/>
      </c>
      <c r="AF739">
        <f t="array" ref="AF739">IF(SUMPRODUCT(--($AQ$2:$AQ$71=TRIM(LEFT($B739,IFERROR(FIND(" ",$B739)-1,LEN($B739))))))&gt;0,1,0)</f>
        <v/>
      </c>
    </row>
    <row r="740" ht="75.75" customHeight="1" thickBot="1">
      <c r="A740" s="13" t="n">
        <v>77</v>
      </c>
      <c r="B740" s="4" t="inlineStr">
        <is>
          <t>SMF CN</t>
        </is>
      </c>
      <c r="C740" s="4" t="inlineStr">
        <is>
          <t>9990526D CN</t>
        </is>
      </c>
      <c r="D740" s="7" t="n">
        <v>43913</v>
      </c>
      <c r="E740" s="3" t="n">
        <v>760.54</v>
      </c>
      <c r="F740" s="4" t="inlineStr">
        <is>
          <t>Stock</t>
        </is>
      </c>
      <c r="G740" s="3" t="n">
        <v>3</v>
      </c>
      <c r="H740" s="4" t="inlineStr">
        <is>
          <t>Materials</t>
        </is>
      </c>
      <c r="I740" s="4" t="inlineStr">
        <is>
          <t>Materials</t>
        </is>
      </c>
      <c r="J740" s="4" t="inlineStr">
        <is>
          <t>Metals &amp; Mining</t>
        </is>
      </c>
      <c r="K740" s="3" t="n">
        <v>20</v>
      </c>
      <c r="L740" s="3" t="n">
        <v>20</v>
      </c>
      <c r="M740" s="3" t="n">
        <v>25.13</v>
      </c>
      <c r="N740" s="3" t="n">
        <v>771.12</v>
      </c>
      <c r="O740" s="4" t="inlineStr">
        <is>
          <t>Canada</t>
        </is>
      </c>
      <c r="P740" s="4" t="inlineStr">
        <is>
          <t>Ivory Coast</t>
        </is>
      </c>
      <c r="Q740" s="4" t="inlineStr">
        <is>
          <t>Friendly</t>
        </is>
      </c>
      <c r="R740" s="3" t="n">
        <v>475.75</v>
      </c>
      <c r="S740" s="3" t="n">
        <v>23.1371</v>
      </c>
      <c r="T740" s="4" t="inlineStr">
        <is>
          <t>Company Takeover, Cross Border</t>
        </is>
      </c>
      <c r="U740" s="2" t="inlineStr">
        <is>
          <t>No</t>
        </is>
      </c>
      <c r="V740" s="2" t="inlineStr">
        <is>
          <t>No</t>
        </is>
      </c>
      <c r="W740" s="2" t="inlineStr">
        <is>
          <t>Yes</t>
        </is>
      </c>
      <c r="X740" s="2" t="inlineStr">
        <is>
          <t>No</t>
        </is>
      </c>
      <c r="Y740" s="2" t="inlineStr">
        <is>
          <t>No</t>
        </is>
      </c>
      <c r="Z740" s="2" t="inlineStr">
        <is>
          <t>No</t>
        </is>
      </c>
      <c r="AA740" s="6" t="n">
        <v>2.88112206</v>
      </c>
      <c r="AB740" s="6" t="n">
        <v>2.677378797</v>
      </c>
      <c r="AC740" s="6" t="n">
        <v>2.887121967</v>
      </c>
      <c r="AD740">
        <f t="array" ref="AD740">IF(SUMPRODUCT(--($AM$2:$AM$112=TRIM(LEFT($B740,IFERROR(FIND(" ",$B740)-1,LEN($B740))))))&gt;0,1,0)</f>
        <v/>
      </c>
      <c r="AE740">
        <f t="array" ref="AE740">IF(SUMPRODUCT(--($AO$2:$AO$145=TRIM(LEFT($B740,IFERROR(FIND(" ",$B740)-1,LEN($B740))))))&gt;0,1,0)</f>
        <v/>
      </c>
      <c r="AF740">
        <f t="array" ref="AF740">IF(SUMPRODUCT(--($AQ$2:$AQ$71=TRIM(LEFT($B740,IFERROR(FIND(" ",$B740)-1,LEN($B740))))))&gt;0,1,0)</f>
        <v/>
      </c>
    </row>
    <row r="741" ht="75.75" customHeight="1" thickBot="1">
      <c r="A741" s="13" t="n">
        <v>45</v>
      </c>
      <c r="B741" s="4" t="inlineStr">
        <is>
          <t>PTLA US</t>
        </is>
      </c>
      <c r="C741" s="4" t="inlineStr">
        <is>
          <t>ALXN US</t>
        </is>
      </c>
      <c r="D741" s="7" t="n">
        <v>43956</v>
      </c>
      <c r="E741" s="3" t="n">
        <v>1345.17</v>
      </c>
      <c r="F741" s="4" t="inlineStr">
        <is>
          <t>Cash</t>
        </is>
      </c>
      <c r="G741" s="4" t="n"/>
      <c r="H741" s="4" t="inlineStr">
        <is>
          <t>Health Care</t>
        </is>
      </c>
      <c r="I741" s="4" t="inlineStr">
        <is>
          <t>Health Care</t>
        </is>
      </c>
      <c r="J741" s="4" t="inlineStr">
        <is>
          <t>Biotech &amp; Pharma</t>
        </is>
      </c>
      <c r="K741" s="4" t="n"/>
      <c r="L741" s="3" t="n">
        <v>51.5</v>
      </c>
      <c r="M741" s="4" t="n"/>
      <c r="N741" s="3" t="n">
        <v>1412.71</v>
      </c>
      <c r="O741" s="4" t="inlineStr">
        <is>
          <t>United States</t>
        </is>
      </c>
      <c r="P741" s="4" t="inlineStr">
        <is>
          <t>United States</t>
        </is>
      </c>
      <c r="Q741" s="4" t="inlineStr">
        <is>
          <t>Friendly</t>
        </is>
      </c>
      <c r="R741" s="3" t="n">
        <v>116.64</v>
      </c>
      <c r="S741" s="3" t="n">
        <v>-211.917</v>
      </c>
      <c r="T741" s="4" t="inlineStr">
        <is>
          <t>Company Takeover, Tender Offer</t>
        </is>
      </c>
      <c r="U741" s="2" t="inlineStr">
        <is>
          <t>No</t>
        </is>
      </c>
      <c r="V741" s="2" t="inlineStr">
        <is>
          <t>No</t>
        </is>
      </c>
      <c r="W741" s="2" t="inlineStr">
        <is>
          <t>No</t>
        </is>
      </c>
      <c r="X741" s="2" t="inlineStr">
        <is>
          <t>No</t>
        </is>
      </c>
      <c r="Y741" s="2" t="inlineStr">
        <is>
          <t>No</t>
        </is>
      </c>
      <c r="Z741" s="2" t="inlineStr">
        <is>
          <t>Yes</t>
        </is>
      </c>
      <c r="AA741" s="6" t="n">
        <v>3.128777173</v>
      </c>
      <c r="AB741" s="6" t="n">
        <v>2.066847511</v>
      </c>
      <c r="AC741" s="6" t="n">
        <v>3.150053019</v>
      </c>
      <c r="AD741">
        <f t="array" ref="AD741">IF(SUMPRODUCT(--($AM$2:$AM$112=TRIM(LEFT($B741,IFERROR(FIND(" ",$B741)-1,LEN($B741))))))&gt;0,1,0)</f>
        <v/>
      </c>
      <c r="AE741">
        <f t="array" ref="AE741">IF(SUMPRODUCT(--($AO$2:$AO$145=TRIM(LEFT($B741,IFERROR(FIND(" ",$B741)-1,LEN($B741))))))&gt;0,1,0)</f>
        <v/>
      </c>
      <c r="AF741">
        <f t="array" ref="AF741">IF(SUMPRODUCT(--($AQ$2:$AQ$71=TRIM(LEFT($B741,IFERROR(FIND(" ",$B741)-1,LEN($B741))))))&gt;0,1,0)</f>
        <v/>
      </c>
    </row>
    <row r="742" ht="45.75" customHeight="1" thickBot="1">
      <c r="A742" s="13" t="n">
        <v>174</v>
      </c>
      <c r="B742" s="4" t="inlineStr">
        <is>
          <t>IBKC US</t>
        </is>
      </c>
      <c r="C742" s="4" t="inlineStr">
        <is>
          <t>FHN US</t>
        </is>
      </c>
      <c r="D742" s="7" t="n">
        <v>43773</v>
      </c>
      <c r="E742" s="3" t="n">
        <v>3705.07</v>
      </c>
      <c r="F742" s="4" t="inlineStr">
        <is>
          <t>Stock</t>
        </is>
      </c>
      <c r="G742" s="4" t="n"/>
      <c r="H742" s="4" t="inlineStr">
        <is>
          <t>Financials</t>
        </is>
      </c>
      <c r="I742" s="4" t="inlineStr">
        <is>
          <t>Banking</t>
        </is>
      </c>
      <c r="J742" s="4" t="inlineStr">
        <is>
          <t>Banking</t>
        </is>
      </c>
      <c r="K742" s="3" t="n">
        <v>156</v>
      </c>
      <c r="L742" s="3" t="n">
        <v>156</v>
      </c>
      <c r="M742" s="3" t="n">
        <v>-2.78</v>
      </c>
      <c r="N742" s="3" t="n">
        <v>3705.07</v>
      </c>
      <c r="O742" s="4" t="inlineStr">
        <is>
          <t>United States</t>
        </is>
      </c>
      <c r="P742" s="4" t="inlineStr">
        <is>
          <t>United States</t>
        </is>
      </c>
      <c r="Q742" s="4" t="inlineStr">
        <is>
          <t>Friendly</t>
        </is>
      </c>
      <c r="R742" s="3" t="n">
        <v>1544.37</v>
      </c>
      <c r="S742" s="3" t="n">
        <v>34.3513</v>
      </c>
      <c r="T742" s="4" t="inlineStr">
        <is>
          <t>Company Takeover</t>
        </is>
      </c>
      <c r="U742" s="2" t="inlineStr">
        <is>
          <t>No</t>
        </is>
      </c>
      <c r="V742" s="2" t="inlineStr">
        <is>
          <t>No</t>
        </is>
      </c>
      <c r="W742" s="2" t="inlineStr">
        <is>
          <t>No</t>
        </is>
      </c>
      <c r="X742" s="2" t="inlineStr">
        <is>
          <t>No</t>
        </is>
      </c>
      <c r="Y742" s="2" t="inlineStr">
        <is>
          <t>No</t>
        </is>
      </c>
      <c r="Z742" s="2" t="inlineStr">
        <is>
          <t>No</t>
        </is>
      </c>
      <c r="AA742" s="6" t="n">
        <v>3.568796418</v>
      </c>
      <c r="AB742" s="6" t="n">
        <v>3.188751357</v>
      </c>
      <c r="AC742" s="6" t="n">
        <v>3.568796418</v>
      </c>
      <c r="AD742">
        <f t="array" ref="AD742">IF(SUMPRODUCT(--($AM$2:$AM$112=TRIM(LEFT($B742,IFERROR(FIND(" ",$B742)-1,LEN($B742))))))&gt;0,1,0)</f>
        <v/>
      </c>
      <c r="AE742">
        <f t="array" ref="AE742">IF(SUMPRODUCT(--($AO$2:$AO$145=TRIM(LEFT($B742,IFERROR(FIND(" ",$B742)-1,LEN($B742))))))&gt;0,1,0)</f>
        <v/>
      </c>
      <c r="AF742">
        <f t="array" ref="AF742">IF(SUMPRODUCT(--($AQ$2:$AQ$71=TRIM(LEFT($B742,IFERROR(FIND(" ",$B742)-1,LEN($B742))))))&gt;0,1,0)</f>
        <v/>
      </c>
    </row>
    <row r="743" ht="45.75" customHeight="1" thickBot="1">
      <c r="A743" s="13" t="n">
        <v>89</v>
      </c>
      <c r="B743" s="4" t="inlineStr">
        <is>
          <t>MINI US</t>
        </is>
      </c>
      <c r="C743" s="4" t="inlineStr">
        <is>
          <t>WSC US</t>
        </is>
      </c>
      <c r="D743" s="7" t="n">
        <v>43892</v>
      </c>
      <c r="E743" s="3" t="n">
        <v>3008.21</v>
      </c>
      <c r="F743" s="4" t="inlineStr">
        <is>
          <t>Stock</t>
        </is>
      </c>
      <c r="G743" s="3" t="n">
        <v>12.21</v>
      </c>
      <c r="H743" s="4" t="inlineStr">
        <is>
          <t>Industrials</t>
        </is>
      </c>
      <c r="I743" s="4" t="inlineStr">
        <is>
          <t>Industrial Services</t>
        </is>
      </c>
      <c r="J743" s="4" t="inlineStr">
        <is>
          <t>Transportation &amp; Logistics</t>
        </is>
      </c>
      <c r="K743" s="3" t="n">
        <v>66.59999999999999</v>
      </c>
      <c r="L743" s="3" t="n">
        <v>57.086</v>
      </c>
      <c r="M743" s="3" t="n">
        <v>12.42</v>
      </c>
      <c r="N743" s="3" t="n">
        <v>2024.06</v>
      </c>
      <c r="O743" s="4" t="inlineStr">
        <is>
          <t>United States</t>
        </is>
      </c>
      <c r="P743" s="4" t="inlineStr">
        <is>
          <t>United States</t>
        </is>
      </c>
      <c r="Q743" s="4" t="inlineStr">
        <is>
          <t>Friendly</t>
        </is>
      </c>
      <c r="R743" s="3" t="n">
        <v>612.625</v>
      </c>
      <c r="S743" s="3" t="n">
        <v>23.2907</v>
      </c>
      <c r="T743" s="4" t="inlineStr">
        <is>
          <t>Company Takeover</t>
        </is>
      </c>
      <c r="U743" s="2" t="inlineStr">
        <is>
          <t>No</t>
        </is>
      </c>
      <c r="V743" s="2" t="inlineStr">
        <is>
          <t>No</t>
        </is>
      </c>
      <c r="W743" s="2" t="inlineStr">
        <is>
          <t>No</t>
        </is>
      </c>
      <c r="X743" s="2" t="inlineStr">
        <is>
          <t>No</t>
        </is>
      </c>
      <c r="Y743" s="2" t="inlineStr">
        <is>
          <t>No</t>
        </is>
      </c>
      <c r="Z743" s="2" t="inlineStr">
        <is>
          <t>No</t>
        </is>
      </c>
      <c r="AA743" s="6" t="n">
        <v>3.478308151</v>
      </c>
      <c r="AB743" s="6" t="n">
        <v>2.787194716</v>
      </c>
      <c r="AC743" s="6" t="n">
        <v>3.306223382</v>
      </c>
      <c r="AD743">
        <f t="array" ref="AD743">IF(SUMPRODUCT(--($AM$2:$AM$112=TRIM(LEFT($B743,IFERROR(FIND(" ",$B743)-1,LEN($B743))))))&gt;0,1,0)</f>
        <v/>
      </c>
      <c r="AE743">
        <f t="array" ref="AE743">IF(SUMPRODUCT(--($AO$2:$AO$145=TRIM(LEFT($B743,IFERROR(FIND(" ",$B743)-1,LEN($B743))))))&gt;0,1,0)</f>
        <v/>
      </c>
      <c r="AF743">
        <f t="array" ref="AF743">IF(SUMPRODUCT(--($AQ$2:$AQ$71=TRIM(LEFT($B743,IFERROR(FIND(" ",$B743)-1,LEN($B743))))))&gt;0,1,0)</f>
        <v/>
      </c>
    </row>
    <row r="744" ht="120.75" customHeight="1" thickBot="1">
      <c r="A744" s="13" t="n">
        <v>140</v>
      </c>
      <c r="B744" s="4" t="inlineStr">
        <is>
          <t>1812209D US</t>
        </is>
      </c>
      <c r="C744" s="4" t="inlineStr">
        <is>
          <t>MTCH US</t>
        </is>
      </c>
      <c r="D744" s="7" t="n">
        <v>43818</v>
      </c>
      <c r="E744" s="3" t="n">
        <v>6075.88</v>
      </c>
      <c r="F744" s="4" t="inlineStr">
        <is>
          <t>Cash and Stock</t>
        </is>
      </c>
      <c r="G744" s="3" t="n">
        <v>12.07</v>
      </c>
      <c r="H744" s="4" t="inlineStr">
        <is>
          <t>Communications</t>
        </is>
      </c>
      <c r="I744" s="4" t="inlineStr">
        <is>
          <t>Media</t>
        </is>
      </c>
      <c r="J744" s="4" t="inlineStr">
        <is>
          <t>Internet Media &amp; Services</t>
        </is>
      </c>
      <c r="K744" s="4" t="n"/>
      <c r="L744" s="4" t="n"/>
      <c r="M744" s="4" t="n"/>
      <c r="N744" s="3" t="n">
        <v>6075.88</v>
      </c>
      <c r="O744" s="4" t="inlineStr">
        <is>
          <t>United States</t>
        </is>
      </c>
      <c r="P744" s="4" t="inlineStr">
        <is>
          <t>United States</t>
        </is>
      </c>
      <c r="Q744" s="4" t="inlineStr">
        <is>
          <t>Friendly</t>
        </is>
      </c>
      <c r="R744" s="3" t="n">
        <v>3364.5</v>
      </c>
      <c r="S744" s="3" t="n">
        <v>31.0724</v>
      </c>
      <c r="T744" s="4" t="inlineStr">
        <is>
          <t>Company Takeover, Additional Stake Purchase</t>
        </is>
      </c>
      <c r="U744" s="2" t="inlineStr">
        <is>
          <t>Yes</t>
        </is>
      </c>
      <c r="V744" s="2" t="inlineStr">
        <is>
          <t>No</t>
        </is>
      </c>
      <c r="W744" s="2" t="inlineStr">
        <is>
          <t>No</t>
        </is>
      </c>
      <c r="X744" s="2" t="inlineStr">
        <is>
          <t>No</t>
        </is>
      </c>
      <c r="Y744" s="2" t="inlineStr">
        <is>
          <t>No</t>
        </is>
      </c>
      <c r="Z744" s="2" t="inlineStr">
        <is>
          <t>No</t>
        </is>
      </c>
      <c r="AA744" s="6" t="n">
        <v>3.783609188</v>
      </c>
      <c r="AB744" s="6" t="n">
        <v>3.526920533</v>
      </c>
      <c r="AC744" s="6" t="n">
        <v>3.783609188</v>
      </c>
      <c r="AD744">
        <f t="array" ref="AD744">IF(SUMPRODUCT(--($AM$2:$AM$112=TRIM(LEFT($B744,IFERROR(FIND(" ",$B744)-1,LEN($B744))))))&gt;0,1,0)</f>
        <v/>
      </c>
      <c r="AE744">
        <f t="array" ref="AE744">IF(SUMPRODUCT(--($AO$2:$AO$145=TRIM(LEFT($B744,IFERROR(FIND(" ",$B744)-1,LEN($B744))))))&gt;0,1,0)</f>
        <v/>
      </c>
      <c r="AF744">
        <f t="array" ref="AF744">IF(SUMPRODUCT(--($AQ$2:$AQ$71=TRIM(LEFT($B744,IFERROR(FIND(" ",$B744)-1,LEN($B744))))))&gt;0,1,0)</f>
        <v/>
      </c>
    </row>
    <row r="745" ht="135.75" customHeight="1" thickBot="1">
      <c r="A745" s="13" t="n">
        <v>166</v>
      </c>
      <c r="B745" s="4" t="inlineStr">
        <is>
          <t>TECD US</t>
        </is>
      </c>
      <c r="C745" s="4" t="inlineStr">
        <is>
          <t>APO US</t>
        </is>
      </c>
      <c r="D745" s="7" t="n">
        <v>43782</v>
      </c>
      <c r="E745" s="3" t="n">
        <v>6050.54</v>
      </c>
      <c r="F745" s="4" t="inlineStr">
        <is>
          <t>Cash</t>
        </is>
      </c>
      <c r="G745" s="3" t="n">
        <v>8.1</v>
      </c>
      <c r="H745" s="4" t="inlineStr">
        <is>
          <t>Technology</t>
        </is>
      </c>
      <c r="I745" s="4" t="inlineStr">
        <is>
          <t>Tech Hardware &amp; Semiconductors</t>
        </is>
      </c>
      <c r="J745" s="4" t="inlineStr">
        <is>
          <t>Technology Hardware</t>
        </is>
      </c>
      <c r="K745" s="3" t="n">
        <v>315.9</v>
      </c>
      <c r="L745" s="3" t="n">
        <v>184.3</v>
      </c>
      <c r="M745" s="4" t="n"/>
      <c r="N745" s="3" t="n">
        <v>5162.26</v>
      </c>
      <c r="O745" s="4" t="inlineStr">
        <is>
          <t>United States</t>
        </is>
      </c>
      <c r="P745" s="4" t="inlineStr">
        <is>
          <t>United States</t>
        </is>
      </c>
      <c r="Q745" s="4" t="inlineStr">
        <is>
          <t>Friendly</t>
        </is>
      </c>
      <c r="R745" s="3" t="n">
        <v>36998.4</v>
      </c>
      <c r="S745" s="3" t="n">
        <v>1.55253</v>
      </c>
      <c r="T745" s="4" t="inlineStr">
        <is>
          <t>PE Buyout, Company Takeover, Private Equity, Going Private</t>
        </is>
      </c>
      <c r="U745" s="2" t="inlineStr">
        <is>
          <t>No</t>
        </is>
      </c>
      <c r="V745" s="2" t="inlineStr">
        <is>
          <t>No</t>
        </is>
      </c>
      <c r="W745" s="2" t="inlineStr">
        <is>
          <t>No</t>
        </is>
      </c>
      <c r="X745" s="2" t="inlineStr">
        <is>
          <t>Yes</t>
        </is>
      </c>
      <c r="Y745" s="2" t="inlineStr">
        <is>
          <t>Yes</t>
        </is>
      </c>
      <c r="Z745" s="2" t="inlineStr">
        <is>
          <t>No</t>
        </is>
      </c>
      <c r="AA745" s="6" t="n">
        <v>3.781794136</v>
      </c>
      <c r="AB745" s="6" t="n">
        <v>4.568182943</v>
      </c>
      <c r="AC745" s="6" t="n">
        <v>3.712839874</v>
      </c>
      <c r="AD745">
        <f t="array" ref="AD745">IF(SUMPRODUCT(--($AM$2:$AM$112=TRIM(LEFT($B745,IFERROR(FIND(" ",$B745)-1,LEN($B745))))))&gt;0,1,0)</f>
        <v/>
      </c>
      <c r="AE745">
        <f t="array" ref="AE745">IF(SUMPRODUCT(--($AO$2:$AO$145=TRIM(LEFT($B745,IFERROR(FIND(" ",$B745)-1,LEN($B745))))))&gt;0,1,0)</f>
        <v/>
      </c>
      <c r="AF745">
        <f t="array" ref="AF745">IF(SUMPRODUCT(--($AQ$2:$AQ$71=TRIM(LEFT($B745,IFERROR(FIND(" ",$B745)-1,LEN($B745))))))&gt;0,1,0)</f>
        <v/>
      </c>
    </row>
    <row r="746" ht="90.75" customHeight="1" thickBot="1">
      <c r="A746" s="13" t="n">
        <v>116</v>
      </c>
      <c r="B746" s="4" t="inlineStr">
        <is>
          <t>AXE US</t>
        </is>
      </c>
      <c r="C746" s="4" t="inlineStr">
        <is>
          <t>WCC US</t>
        </is>
      </c>
      <c r="D746" s="7" t="n">
        <v>43843</v>
      </c>
      <c r="E746" s="3" t="n">
        <v>4178.89</v>
      </c>
      <c r="F746" s="4" t="inlineStr">
        <is>
          <t>Cash and Stock</t>
        </is>
      </c>
      <c r="G746" s="3" t="n">
        <v>8.109999999999999</v>
      </c>
      <c r="H746" s="4" t="inlineStr">
        <is>
          <t>Industrials</t>
        </is>
      </c>
      <c r="I746" s="4" t="inlineStr">
        <is>
          <t>Industrial Services</t>
        </is>
      </c>
      <c r="J746" s="4" t="inlineStr">
        <is>
          <t>Industrial Support Services</t>
        </is>
      </c>
      <c r="K746" s="3" t="n">
        <v>190</v>
      </c>
      <c r="L746" s="3" t="n">
        <v>100</v>
      </c>
      <c r="M746" s="4" t="n"/>
      <c r="N746" s="3" t="n">
        <v>2931.79</v>
      </c>
      <c r="O746" s="4" t="inlineStr">
        <is>
          <t>United States</t>
        </is>
      </c>
      <c r="P746" s="4" t="inlineStr">
        <is>
          <t>United States</t>
        </is>
      </c>
      <c r="Q746" s="4" t="inlineStr">
        <is>
          <t>Unsolicited to Friendly</t>
        </is>
      </c>
      <c r="R746" s="3" t="n">
        <v>8845.6</v>
      </c>
      <c r="S746" s="3" t="n">
        <v>4.13564</v>
      </c>
      <c r="T746" s="4" t="inlineStr">
        <is>
          <t>Company Takeover, Competing Bid</t>
        </is>
      </c>
      <c r="U746" s="2" t="inlineStr">
        <is>
          <t>No</t>
        </is>
      </c>
      <c r="V746" s="2" t="inlineStr">
        <is>
          <t>Yes</t>
        </is>
      </c>
      <c r="W746" s="2" t="inlineStr">
        <is>
          <t>No</t>
        </is>
      </c>
      <c r="X746" s="2" t="inlineStr">
        <is>
          <t>No</t>
        </is>
      </c>
      <c r="Y746" s="2" t="inlineStr">
        <is>
          <t>No</t>
        </is>
      </c>
      <c r="Z746" s="2" t="inlineStr">
        <is>
          <t>No</t>
        </is>
      </c>
      <c r="AA746" s="6" t="n">
        <v>3.621060939</v>
      </c>
      <c r="AB746" s="6" t="n">
        <v>3.946727297</v>
      </c>
      <c r="AC746" s="6" t="n">
        <v>3.467132859</v>
      </c>
      <c r="AD746">
        <f t="array" ref="AD746">IF(SUMPRODUCT(--($AM$2:$AM$112=TRIM(LEFT($B746,IFERROR(FIND(" ",$B746)-1,LEN($B746))))))&gt;0,1,0)</f>
        <v/>
      </c>
      <c r="AE746">
        <f t="array" ref="AE746">IF(SUMPRODUCT(--($AO$2:$AO$145=TRIM(LEFT($B746,IFERROR(FIND(" ",$B746)-1,LEN($B746))))))&gt;0,1,0)</f>
        <v/>
      </c>
      <c r="AF746">
        <f t="array" ref="AF746">IF(SUMPRODUCT(--($AQ$2:$AQ$71=TRIM(LEFT($B746,IFERROR(FIND(" ",$B746)-1,LEN($B746))))))&gt;0,1,0)</f>
        <v/>
      </c>
    </row>
    <row r="747" ht="120.75" customHeight="1" thickBot="1">
      <c r="A747" s="13" t="n">
        <v>80</v>
      </c>
      <c r="B747" s="4" t="inlineStr">
        <is>
          <t>EQM US</t>
        </is>
      </c>
      <c r="C747" s="4" t="inlineStr">
        <is>
          <t>ETRN US</t>
        </is>
      </c>
      <c r="D747" s="7" t="n">
        <v>43888</v>
      </c>
      <c r="E747" s="3" t="n">
        <v>1845.02</v>
      </c>
      <c r="F747" s="4" t="inlineStr">
        <is>
          <t>Stock</t>
        </is>
      </c>
      <c r="G747" s="3" t="n">
        <v>9.25</v>
      </c>
      <c r="H747" s="4" t="inlineStr">
        <is>
          <t>Energy</t>
        </is>
      </c>
      <c r="I747" s="4" t="inlineStr">
        <is>
          <t>Oil &amp; Gas</t>
        </is>
      </c>
      <c r="J747" s="4" t="inlineStr">
        <is>
          <t>Oil &amp; Gas Supply Chain</t>
        </is>
      </c>
      <c r="K747" s="4" t="n"/>
      <c r="L747" s="3" t="n">
        <v>36.5</v>
      </c>
      <c r="M747" s="3" t="n">
        <v>1.36</v>
      </c>
      <c r="N747" s="3" t="n">
        <v>1845.02</v>
      </c>
      <c r="O747" s="4" t="inlineStr">
        <is>
          <t>United States</t>
        </is>
      </c>
      <c r="P747" s="4" t="inlineStr">
        <is>
          <t>United States</t>
        </is>
      </c>
      <c r="Q747" s="4" t="inlineStr">
        <is>
          <t>Friendly</t>
        </is>
      </c>
      <c r="R747" s="3" t="n">
        <v>1630.24</v>
      </c>
      <c r="S747" s="3" t="n">
        <v>11.0763</v>
      </c>
      <c r="T747" s="4" t="inlineStr">
        <is>
          <t>Company Takeover, Additional Stake Purchase</t>
        </is>
      </c>
      <c r="U747" s="2" t="inlineStr">
        <is>
          <t>Yes</t>
        </is>
      </c>
      <c r="V747" s="2" t="inlineStr">
        <is>
          <t>No</t>
        </is>
      </c>
      <c r="W747" s="2" t="inlineStr">
        <is>
          <t>No</t>
        </is>
      </c>
      <c r="X747" s="2" t="inlineStr">
        <is>
          <t>No</t>
        </is>
      </c>
      <c r="Y747" s="2" t="inlineStr">
        <is>
          <t>No</t>
        </is>
      </c>
      <c r="Z747" s="2" t="inlineStr">
        <is>
          <t>No</t>
        </is>
      </c>
      <c r="AA747" s="6" t="n">
        <v>3.266001078</v>
      </c>
      <c r="AB747" s="6" t="n">
        <v>3.212251545</v>
      </c>
      <c r="AC747" s="6" t="n">
        <v>3.266001078</v>
      </c>
      <c r="AD747">
        <f t="array" ref="AD747">IF(SUMPRODUCT(--($AM$2:$AM$112=TRIM(LEFT($B747,IFERROR(FIND(" ",$B747)-1,LEN($B747))))))&gt;0,1,0)</f>
        <v/>
      </c>
      <c r="AE747">
        <f t="array" ref="AE747">IF(SUMPRODUCT(--($AO$2:$AO$145=TRIM(LEFT($B747,IFERROR(FIND(" ",$B747)-1,LEN($B747))))))&gt;0,1,0)</f>
        <v/>
      </c>
      <c r="AF747">
        <f t="array" ref="AF747">IF(SUMPRODUCT(--($AQ$2:$AQ$71=TRIM(LEFT($B747,IFERROR(FIND(" ",$B747)-1,LEN($B747))))))&gt;0,1,0)</f>
        <v/>
      </c>
    </row>
    <row r="748" ht="75.75" customHeight="1" thickBot="1">
      <c r="A748" s="13" t="n">
        <v>156</v>
      </c>
      <c r="B748" s="4" t="inlineStr">
        <is>
          <t>2301306D US</t>
        </is>
      </c>
      <c r="C748" s="4" t="inlineStr">
        <is>
          <t>2327 TT</t>
        </is>
      </c>
      <c r="D748" s="7" t="n">
        <v>43780</v>
      </c>
      <c r="E748" s="3" t="n">
        <v>1707.12</v>
      </c>
      <c r="F748" s="4" t="inlineStr">
        <is>
          <t>Cash</t>
        </is>
      </c>
      <c r="G748" s="3" t="n">
        <v>6</v>
      </c>
      <c r="H748" s="4" t="inlineStr">
        <is>
          <t>Technology</t>
        </is>
      </c>
      <c r="I748" s="4" t="inlineStr">
        <is>
          <t>Tech Hardware &amp; Semiconductors</t>
        </is>
      </c>
      <c r="J748" s="4" t="inlineStr">
        <is>
          <t>Semiconductors</t>
        </is>
      </c>
      <c r="K748" s="3" t="n">
        <v>65.40000000000001</v>
      </c>
      <c r="L748" s="3" t="n">
        <v>63.75</v>
      </c>
      <c r="M748" s="3" t="n">
        <v>20.28</v>
      </c>
      <c r="N748" s="3" t="n">
        <v>1578.3</v>
      </c>
      <c r="O748" s="4" t="inlineStr">
        <is>
          <t>United States</t>
        </is>
      </c>
      <c r="P748" s="4" t="inlineStr">
        <is>
          <t>Taiwan</t>
        </is>
      </c>
      <c r="Q748" s="4" t="inlineStr">
        <is>
          <t>Friendly</t>
        </is>
      </c>
      <c r="R748" s="3" t="n">
        <v>1260.55</v>
      </c>
      <c r="S748" s="3" t="n">
        <v>11.7302</v>
      </c>
      <c r="T748" s="4" t="inlineStr">
        <is>
          <t>Company Takeover, Cross Border</t>
        </is>
      </c>
      <c r="U748" s="2" t="inlineStr">
        <is>
          <t>No</t>
        </is>
      </c>
      <c r="V748" s="2" t="inlineStr">
        <is>
          <t>No</t>
        </is>
      </c>
      <c r="W748" s="2" t="inlineStr">
        <is>
          <t>Yes</t>
        </is>
      </c>
      <c r="X748" s="2" t="inlineStr">
        <is>
          <t>No</t>
        </is>
      </c>
      <c r="Y748" s="2" t="inlineStr">
        <is>
          <t>No</t>
        </is>
      </c>
      <c r="Z748" s="2" t="inlineStr">
        <is>
          <t>No</t>
        </is>
      </c>
      <c r="AA748" s="6" t="n">
        <v>3.23226405</v>
      </c>
      <c r="AB748" s="6" t="n">
        <v>3.100560077</v>
      </c>
      <c r="AC748" s="6" t="n">
        <v>3.198189557</v>
      </c>
      <c r="AD748">
        <f t="array" ref="AD748">IF(SUMPRODUCT(--($AM$2:$AM$112=TRIM(LEFT($B748,IFERROR(FIND(" ",$B748)-1,LEN($B748))))))&gt;0,1,0)</f>
        <v/>
      </c>
      <c r="AE748">
        <f t="array" ref="AE748">IF(SUMPRODUCT(--($AO$2:$AO$145=TRIM(LEFT($B748,IFERROR(FIND(" ",$B748)-1,LEN($B748))))))&gt;0,1,0)</f>
        <v/>
      </c>
      <c r="AF748">
        <f t="array" ref="AF748">IF(SUMPRODUCT(--($AQ$2:$AQ$71=TRIM(LEFT($B748,IFERROR(FIND(" ",$B748)-1,LEN($B748))))))&gt;0,1,0)</f>
        <v/>
      </c>
    </row>
    <row r="749" ht="45.75" customHeight="1" thickBot="1">
      <c r="A749" s="13" t="n">
        <v>96</v>
      </c>
      <c r="B749" s="4" t="inlineStr">
        <is>
          <t>CSFL US</t>
        </is>
      </c>
      <c r="C749" s="4" t="inlineStr">
        <is>
          <t>SSB US</t>
        </is>
      </c>
      <c r="D749" s="7" t="n">
        <v>43857</v>
      </c>
      <c r="E749" s="3" t="n">
        <v>3259.14</v>
      </c>
      <c r="F749" s="4" t="inlineStr">
        <is>
          <t>Stock</t>
        </is>
      </c>
      <c r="G749" s="4" t="n"/>
      <c r="H749" s="4" t="inlineStr">
        <is>
          <t>Financials</t>
        </is>
      </c>
      <c r="I749" s="4" t="inlineStr">
        <is>
          <t>Banking</t>
        </is>
      </c>
      <c r="J749" s="4" t="inlineStr">
        <is>
          <t>Banking</t>
        </is>
      </c>
      <c r="K749" s="3" t="n">
        <v>120</v>
      </c>
      <c r="L749" s="3" t="n">
        <v>120</v>
      </c>
      <c r="M749" s="3" t="n">
        <v>6.54</v>
      </c>
      <c r="N749" s="3" t="n">
        <v>3259.14</v>
      </c>
      <c r="O749" s="4" t="inlineStr">
        <is>
          <t>United States</t>
        </is>
      </c>
      <c r="P749" s="4" t="inlineStr">
        <is>
          <t>United States</t>
        </is>
      </c>
      <c r="Q749" s="4" t="inlineStr">
        <is>
          <t>Friendly</t>
        </is>
      </c>
      <c r="R749" s="3" t="n">
        <v>851.3920000000001</v>
      </c>
      <c r="S749" s="3" t="n">
        <v>33.984</v>
      </c>
      <c r="T749" s="4" t="inlineStr">
        <is>
          <t>Company Takeover</t>
        </is>
      </c>
      <c r="U749" s="2" t="inlineStr">
        <is>
          <t>No</t>
        </is>
      </c>
      <c r="V749" s="2" t="inlineStr">
        <is>
          <t>No</t>
        </is>
      </c>
      <c r="W749" s="2" t="inlineStr">
        <is>
          <t>No</t>
        </is>
      </c>
      <c r="X749" s="2" t="inlineStr">
        <is>
          <t>No</t>
        </is>
      </c>
      <c r="Y749" s="2" t="inlineStr">
        <is>
          <t>No</t>
        </is>
      </c>
      <c r="Z749" s="2" t="inlineStr">
        <is>
          <t>No</t>
        </is>
      </c>
      <c r="AA749" s="6" t="n">
        <v>3.513103016</v>
      </c>
      <c r="AB749" s="6" t="n">
        <v>2.930129565</v>
      </c>
      <c r="AC749" s="6" t="n">
        <v>3.513103016</v>
      </c>
      <c r="AD749">
        <f t="array" ref="AD749">IF(SUMPRODUCT(--($AM$2:$AM$112=TRIM(LEFT($B749,IFERROR(FIND(" ",$B749)-1,LEN($B749))))))&gt;0,1,0)</f>
        <v/>
      </c>
      <c r="AE749">
        <f t="array" ref="AE749">IF(SUMPRODUCT(--($AO$2:$AO$145=TRIM(LEFT($B749,IFERROR(FIND(" ",$B749)-1,LEN($B749))))))&gt;0,1,0)</f>
        <v/>
      </c>
      <c r="AF749">
        <f t="array" ref="AF749">IF(SUMPRODUCT(--($AQ$2:$AQ$71=TRIM(LEFT($B749,IFERROR(FIND(" ",$B749)-1,LEN($B749))))))&gt;0,1,0)</f>
        <v/>
      </c>
    </row>
    <row r="750" ht="45.75" customHeight="1" thickBot="1">
      <c r="A750" s="13" t="n">
        <v>119</v>
      </c>
      <c r="B750" s="4" t="inlineStr">
        <is>
          <t>TIVO US</t>
        </is>
      </c>
      <c r="C750" s="4" t="inlineStr">
        <is>
          <t>ADEA US</t>
        </is>
      </c>
      <c r="D750" s="7" t="n">
        <v>43818</v>
      </c>
      <c r="E750" s="3" t="n">
        <v>1841.98</v>
      </c>
      <c r="F750" s="4" t="inlineStr">
        <is>
          <t>Stock</t>
        </is>
      </c>
      <c r="G750" s="4" t="n"/>
      <c r="H750" s="4" t="inlineStr">
        <is>
          <t>Technology</t>
        </is>
      </c>
      <c r="I750" s="4" t="inlineStr">
        <is>
          <t>Software &amp; Tech Services</t>
        </is>
      </c>
      <c r="J750" s="4" t="inlineStr">
        <is>
          <t>Software</t>
        </is>
      </c>
      <c r="K750" s="3" t="n">
        <v>44</v>
      </c>
      <c r="L750" s="3" t="n">
        <v>50.8</v>
      </c>
      <c r="M750" s="3" t="n">
        <v>13.78</v>
      </c>
      <c r="N750" s="3" t="n">
        <v>1135.18</v>
      </c>
      <c r="O750" s="4" t="inlineStr">
        <is>
          <t>United States</t>
        </is>
      </c>
      <c r="P750" s="4" t="inlineStr">
        <is>
          <t>United States</t>
        </is>
      </c>
      <c r="Q750" s="4" t="inlineStr">
        <is>
          <t>Friendly</t>
        </is>
      </c>
      <c r="R750" s="3" t="n">
        <v>668.129</v>
      </c>
      <c r="S750" s="3" t="n">
        <v>-73.4948</v>
      </c>
      <c r="T750" s="4" t="inlineStr">
        <is>
          <t>Company Takeover</t>
        </is>
      </c>
      <c r="U750" s="2" t="inlineStr">
        <is>
          <t>No</t>
        </is>
      </c>
      <c r="V750" s="2" t="inlineStr">
        <is>
          <t>No</t>
        </is>
      </c>
      <c r="W750" s="2" t="inlineStr">
        <is>
          <t>No</t>
        </is>
      </c>
      <c r="X750" s="2" t="inlineStr">
        <is>
          <t>No</t>
        </is>
      </c>
      <c r="Y750" s="2" t="inlineStr">
        <is>
          <t>No</t>
        </is>
      </c>
      <c r="Z750" s="2" t="inlineStr">
        <is>
          <t>No</t>
        </is>
      </c>
      <c r="AA750" s="6" t="n">
        <v>3.26528491</v>
      </c>
      <c r="AB750" s="6" t="n">
        <v>2.824860323</v>
      </c>
      <c r="AC750" s="6" t="n">
        <v>3.055064731</v>
      </c>
      <c r="AD750">
        <f t="array" ref="AD750">IF(SUMPRODUCT(--($AM$2:$AM$112=TRIM(LEFT($B750,IFERROR(FIND(" ",$B750)-1,LEN($B750))))))&gt;0,1,0)</f>
        <v/>
      </c>
      <c r="AE750">
        <f t="array" ref="AE750">IF(SUMPRODUCT(--($AO$2:$AO$145=TRIM(LEFT($B750,IFERROR(FIND(" ",$B750)-1,LEN($B750))))))&gt;0,1,0)</f>
        <v/>
      </c>
      <c r="AF750">
        <f t="array" ref="AF750">IF(SUMPRODUCT(--($AQ$2:$AQ$71=TRIM(LEFT($B750,IFERROR(FIND(" ",$B750)-1,LEN($B750))))))&gt;0,1,0)</f>
        <v/>
      </c>
    </row>
    <row r="751" ht="45.75" customHeight="1" thickBot="1">
      <c r="A751" s="13" t="n">
        <v>87</v>
      </c>
      <c r="B751" s="4" t="inlineStr">
        <is>
          <t>OPB US</t>
        </is>
      </c>
      <c r="C751" s="4" t="inlineStr">
        <is>
          <t>PPBI US</t>
        </is>
      </c>
      <c r="D751" s="7" t="n">
        <v>43864</v>
      </c>
      <c r="E751" s="3" t="n">
        <v>1020.38</v>
      </c>
      <c r="F751" s="4" t="inlineStr">
        <is>
          <t>Stock</t>
        </is>
      </c>
      <c r="G751" s="4" t="n"/>
      <c r="H751" s="4" t="inlineStr">
        <is>
          <t>Financials</t>
        </is>
      </c>
      <c r="I751" s="4" t="inlineStr">
        <is>
          <t>Banking</t>
        </is>
      </c>
      <c r="J751" s="4" t="inlineStr">
        <is>
          <t>Banking</t>
        </is>
      </c>
      <c r="K751" s="4" t="n"/>
      <c r="L751" s="4" t="n"/>
      <c r="M751" s="3" t="n">
        <v>9.859999999999999</v>
      </c>
      <c r="N751" s="3" t="n">
        <v>1020.38</v>
      </c>
      <c r="O751" s="4" t="inlineStr">
        <is>
          <t>United States</t>
        </is>
      </c>
      <c r="P751" s="4" t="inlineStr">
        <is>
          <t>United States</t>
        </is>
      </c>
      <c r="Q751" s="4" t="inlineStr">
        <is>
          <t>Friendly</t>
        </is>
      </c>
      <c r="R751" s="3" t="n">
        <v>326.981</v>
      </c>
      <c r="S751" s="3" t="n">
        <v>-4.72435</v>
      </c>
      <c r="T751" s="4" t="inlineStr">
        <is>
          <t>Company Takeover</t>
        </is>
      </c>
      <c r="U751" s="2" t="inlineStr">
        <is>
          <t>No</t>
        </is>
      </c>
      <c r="V751" s="2" t="inlineStr">
        <is>
          <t>No</t>
        </is>
      </c>
      <c r="W751" s="2" t="inlineStr">
        <is>
          <t>No</t>
        </is>
      </c>
      <c r="X751" s="2" t="inlineStr">
        <is>
          <t>No</t>
        </is>
      </c>
      <c r="Y751" s="2" t="inlineStr">
        <is>
          <t>No</t>
        </is>
      </c>
      <c r="Z751" s="2" t="inlineStr">
        <is>
          <t>No</t>
        </is>
      </c>
      <c r="AA751" s="6" t="n">
        <v>3.008761938</v>
      </c>
      <c r="AB751" s="6" t="n">
        <v>2.514522518</v>
      </c>
      <c r="AC751" s="6" t="n">
        <v>3.008761938</v>
      </c>
      <c r="AD751">
        <f t="array" ref="AD751">IF(SUMPRODUCT(--($AM$2:$AM$112=TRIM(LEFT($B751,IFERROR(FIND(" ",$B751)-1,LEN($B751))))))&gt;0,1,0)</f>
        <v/>
      </c>
      <c r="AE751">
        <f t="array" ref="AE751">IF(SUMPRODUCT(--($AO$2:$AO$145=TRIM(LEFT($B751,IFERROR(FIND(" ",$B751)-1,LEN($B751))))))&gt;0,1,0)</f>
        <v/>
      </c>
      <c r="AF751">
        <f t="array" ref="AF751">IF(SUMPRODUCT(--($AQ$2:$AQ$71=TRIM(LEFT($B751,IFERROR(FIND(" ",$B751)-1,LEN($B751))))))&gt;0,1,0)</f>
        <v/>
      </c>
    </row>
    <row r="752" ht="75.75" customHeight="1" thickBot="1">
      <c r="A752" s="13" t="n">
        <v>100</v>
      </c>
      <c r="B752" s="4" t="inlineStr">
        <is>
          <t>HYCT US</t>
        </is>
      </c>
      <c r="C752" s="4" t="inlineStr">
        <is>
          <t>HYMC US</t>
        </is>
      </c>
      <c r="D752" s="7" t="n">
        <v>43844</v>
      </c>
      <c r="E752" s="3" t="n">
        <v>613.6</v>
      </c>
      <c r="F752" s="4" t="inlineStr">
        <is>
          <t>Cash and Stock</t>
        </is>
      </c>
      <c r="G752" s="4" t="n"/>
      <c r="H752" s="4" t="inlineStr">
        <is>
          <t>Materials</t>
        </is>
      </c>
      <c r="I752" s="4" t="inlineStr">
        <is>
          <t>Materials</t>
        </is>
      </c>
      <c r="J752" s="4" t="inlineStr">
        <is>
          <t>Metals &amp; Mining</t>
        </is>
      </c>
      <c r="K752" s="4" t="n"/>
      <c r="L752" s="4" t="n"/>
      <c r="M752" s="4" t="n"/>
      <c r="N752" s="3" t="n">
        <v>613.6</v>
      </c>
      <c r="O752" s="4" t="inlineStr">
        <is>
          <t>United States</t>
        </is>
      </c>
      <c r="P752" s="4" t="inlineStr">
        <is>
          <t>United States</t>
        </is>
      </c>
      <c r="Q752" s="4" t="inlineStr">
        <is>
          <t>Friendly</t>
        </is>
      </c>
      <c r="R752" s="3" t="n">
        <v>310.425</v>
      </c>
      <c r="S752" s="3" t="n">
        <v>-339.881</v>
      </c>
      <c r="T752" s="4" t="inlineStr">
        <is>
          <t>Reverse Merger, Company Takeover</t>
        </is>
      </c>
      <c r="U752" s="2" t="inlineStr">
        <is>
          <t>No</t>
        </is>
      </c>
      <c r="V752" s="2" t="inlineStr">
        <is>
          <t>No</t>
        </is>
      </c>
      <c r="W752" s="2" t="inlineStr">
        <is>
          <t>No</t>
        </is>
      </c>
      <c r="X752" s="2" t="inlineStr">
        <is>
          <t>No</t>
        </is>
      </c>
      <c r="Y752" s="2" t="inlineStr">
        <is>
          <t>No</t>
        </is>
      </c>
      <c r="Z752" s="2" t="inlineStr">
        <is>
          <t>No</t>
        </is>
      </c>
      <c r="AA752" s="6" t="n">
        <v>2.787885351</v>
      </c>
      <c r="AB752" s="6" t="n">
        <v>2.49195669</v>
      </c>
      <c r="AC752" s="6" t="n">
        <v>2.787885351</v>
      </c>
      <c r="AD752">
        <f t="array" ref="AD752">IF(SUMPRODUCT(--($AM$2:$AM$112=TRIM(LEFT($B752,IFERROR(FIND(" ",$B752)-1,LEN($B752))))))&gt;0,1,0)</f>
        <v/>
      </c>
      <c r="AE752">
        <f t="array" ref="AE752">IF(SUMPRODUCT(--($AO$2:$AO$145=TRIM(LEFT($B752,IFERROR(FIND(" ",$B752)-1,LEN($B752))))))&gt;0,1,0)</f>
        <v/>
      </c>
      <c r="AF752">
        <f t="array" ref="AF752">IF(SUMPRODUCT(--($AQ$2:$AQ$71=TRIM(LEFT($B752,IFERROR(FIND(" ",$B752)-1,LEN($B752))))))&gt;0,1,0)</f>
        <v/>
      </c>
    </row>
    <row r="753" ht="105.75" customHeight="1" thickBot="1">
      <c r="A753" s="13" t="n">
        <v>307</v>
      </c>
      <c r="B753" s="4" t="inlineStr">
        <is>
          <t>WBC US</t>
        </is>
      </c>
      <c r="C753" s="4" t="inlineStr">
        <is>
          <t>0296891D GR</t>
        </is>
      </c>
      <c r="D753" s="7" t="n">
        <v>43552</v>
      </c>
      <c r="E753" s="3" t="n">
        <v>7132.7</v>
      </c>
      <c r="F753" s="4" t="inlineStr">
        <is>
          <t>Cash</t>
        </is>
      </c>
      <c r="G753" s="3" t="n">
        <v>11.19</v>
      </c>
      <c r="H753" s="4" t="inlineStr">
        <is>
          <t>Industrials</t>
        </is>
      </c>
      <c r="I753" s="4" t="inlineStr">
        <is>
          <t>Industrial Products</t>
        </is>
      </c>
      <c r="J753" s="4" t="inlineStr">
        <is>
          <t>Transportation Equipment</t>
        </is>
      </c>
      <c r="K753" s="3" t="n">
        <v>211</v>
      </c>
      <c r="L753" s="3" t="n">
        <v>211</v>
      </c>
      <c r="M753" s="4" t="n"/>
      <c r="N753" s="3" t="n">
        <v>7012.9</v>
      </c>
      <c r="O753" s="4" t="inlineStr">
        <is>
          <t>United States</t>
        </is>
      </c>
      <c r="P753" s="4" t="inlineStr">
        <is>
          <t>Germany</t>
        </is>
      </c>
      <c r="Q753" s="4" t="inlineStr">
        <is>
          <t>Friendly</t>
        </is>
      </c>
      <c r="R753" s="3" t="n">
        <v>3421.4</v>
      </c>
      <c r="S753" s="3" t="n">
        <v>8.614190000000001</v>
      </c>
      <c r="T753" s="4" t="inlineStr">
        <is>
          <t>Company Takeover, Cross Border, Going Private</t>
        </is>
      </c>
      <c r="U753" s="2" t="inlineStr">
        <is>
          <t>No</t>
        </is>
      </c>
      <c r="V753" s="2" t="inlineStr">
        <is>
          <t>No</t>
        </is>
      </c>
      <c r="W753" s="2" t="inlineStr">
        <is>
          <t>Yes</t>
        </is>
      </c>
      <c r="X753" s="2" t="inlineStr">
        <is>
          <t>Yes</t>
        </is>
      </c>
      <c r="Y753" s="2" t="inlineStr">
        <is>
          <t>No</t>
        </is>
      </c>
      <c r="Z753" s="2" t="inlineStr">
        <is>
          <t>No</t>
        </is>
      </c>
      <c r="AA753" s="6" t="n">
        <v>3.853253958</v>
      </c>
      <c r="AB753" s="6" t="n">
        <v>3.534203851</v>
      </c>
      <c r="AC753" s="6" t="n">
        <v>3.845897646</v>
      </c>
      <c r="AD753">
        <f t="array" ref="AD753">IF(SUMPRODUCT(--($AM$2:$AM$112=TRIM(LEFT($B753,IFERROR(FIND(" ",$B753)-1,LEN($B753))))))&gt;0,1,0)</f>
        <v/>
      </c>
      <c r="AE753">
        <f t="array" ref="AE753">IF(SUMPRODUCT(--($AO$2:$AO$145=TRIM(LEFT($B753,IFERROR(FIND(" ",$B753)-1,LEN($B753))))))&gt;0,1,0)</f>
        <v/>
      </c>
      <c r="AF753">
        <f t="array" ref="AF753">IF(SUMPRODUCT(--($AQ$2:$AQ$71=TRIM(LEFT($B753,IFERROR(FIND(" ",$B753)-1,LEN($B753))))))&gt;0,1,0)</f>
        <v/>
      </c>
    </row>
    <row r="754" ht="45.75" customHeight="1" thickBot="1">
      <c r="A754" s="13" t="n">
        <v>230</v>
      </c>
      <c r="B754" s="4" t="inlineStr">
        <is>
          <t>AGN US</t>
        </is>
      </c>
      <c r="C754" s="4" t="inlineStr">
        <is>
          <t>ABBV US</t>
        </is>
      </c>
      <c r="D754" s="7" t="n">
        <v>43641</v>
      </c>
      <c r="E754" s="3" t="n">
        <v>83791.24000000001</v>
      </c>
      <c r="F754" s="4" t="inlineStr">
        <is>
          <t>Cash and Stock</t>
        </is>
      </c>
      <c r="G754" s="4" t="n"/>
      <c r="H754" s="4" t="inlineStr">
        <is>
          <t>Health Care</t>
        </is>
      </c>
      <c r="I754" s="4" t="inlineStr">
        <is>
          <t>Health Care</t>
        </is>
      </c>
      <c r="J754" s="4" t="inlineStr">
        <is>
          <t>Biotech &amp; Pharma</t>
        </is>
      </c>
      <c r="K754" s="4" t="n"/>
      <c r="L754" s="4" t="n"/>
      <c r="M754" s="4" t="n"/>
      <c r="N754" s="3" t="n">
        <v>61517.74</v>
      </c>
      <c r="O754" s="4" t="inlineStr">
        <is>
          <t>United States</t>
        </is>
      </c>
      <c r="P754" s="4" t="inlineStr">
        <is>
          <t>United States</t>
        </is>
      </c>
      <c r="Q754" s="4" t="inlineStr">
        <is>
          <t>Friendly</t>
        </is>
      </c>
      <c r="R754" s="3" t="n">
        <v>16088.9</v>
      </c>
      <c r="S754" s="3" t="n">
        <v>-21.3448</v>
      </c>
      <c r="T754" s="4" t="inlineStr">
        <is>
          <t>Company Takeover</t>
        </is>
      </c>
      <c r="U754" s="2" t="inlineStr">
        <is>
          <t>No</t>
        </is>
      </c>
      <c r="V754" s="2" t="inlineStr">
        <is>
          <t>No</t>
        </is>
      </c>
      <c r="W754" s="2" t="inlineStr">
        <is>
          <t>No</t>
        </is>
      </c>
      <c r="X754" s="2" t="inlineStr">
        <is>
          <t>No</t>
        </is>
      </c>
      <c r="Y754" s="2" t="inlineStr">
        <is>
          <t>No</t>
        </is>
      </c>
      <c r="Z754" s="2" t="inlineStr">
        <is>
          <t>No</t>
        </is>
      </c>
      <c r="AA754" s="6" t="n">
        <v>4.923198617</v>
      </c>
      <c r="AB754" s="6" t="n">
        <v>4.206526352</v>
      </c>
      <c r="AC754" s="6" t="n">
        <v>4.789000372</v>
      </c>
      <c r="AD754">
        <f t="array" ref="AD754">IF(SUMPRODUCT(--($AM$2:$AM$112=TRIM(LEFT($B754,IFERROR(FIND(" ",$B754)-1,LEN($B754))))))&gt;0,1,0)</f>
        <v/>
      </c>
      <c r="AE754">
        <f t="array" ref="AE754">IF(SUMPRODUCT(--($AO$2:$AO$145=TRIM(LEFT($B754,IFERROR(FIND(" ",$B754)-1,LEN($B754))))))&gt;0,1,0)</f>
        <v/>
      </c>
      <c r="AF754">
        <f t="array" ref="AF754">IF(SUMPRODUCT(--($AQ$2:$AQ$71=TRIM(LEFT($B754,IFERROR(FIND(" ",$B754)-1,LEN($B754))))))&gt;0,1,0)</f>
        <v/>
      </c>
    </row>
    <row r="755" ht="90.75" customHeight="1" thickBot="1">
      <c r="A755" s="13" t="n">
        <v>84</v>
      </c>
      <c r="B755" s="4" t="inlineStr">
        <is>
          <t>POPE US</t>
        </is>
      </c>
      <c r="C755" s="4" t="inlineStr">
        <is>
          <t>RYN US</t>
        </is>
      </c>
      <c r="D755" s="7" t="n">
        <v>43845</v>
      </c>
      <c r="E755" s="3" t="n">
        <v>700.26</v>
      </c>
      <c r="F755" s="4" t="inlineStr">
        <is>
          <t>Cash or Stock</t>
        </is>
      </c>
      <c r="G755" s="3" t="n">
        <v>25.06</v>
      </c>
      <c r="H755" s="4" t="inlineStr">
        <is>
          <t>Real Estate</t>
        </is>
      </c>
      <c r="I755" s="4" t="inlineStr">
        <is>
          <t>Real Estate</t>
        </is>
      </c>
      <c r="J755" s="4" t="inlineStr">
        <is>
          <t>Real Estate Owners &amp; Developers</t>
        </is>
      </c>
      <c r="K755" s="4" t="n"/>
      <c r="L755" s="3" t="n">
        <v>20</v>
      </c>
      <c r="M755" s="3" t="n">
        <v>38.01</v>
      </c>
      <c r="N755" s="3" t="n">
        <v>554.1900000000001</v>
      </c>
      <c r="O755" s="4" t="inlineStr">
        <is>
          <t>United States</t>
        </is>
      </c>
      <c r="P755" s="4" t="inlineStr">
        <is>
          <t>United States</t>
        </is>
      </c>
      <c r="Q755" s="4" t="inlineStr">
        <is>
          <t>Friendly</t>
        </is>
      </c>
      <c r="R755" s="3" t="n">
        <v>109.903</v>
      </c>
      <c r="S755" s="3" t="n">
        <v>-11.7405</v>
      </c>
      <c r="T755" s="4" t="inlineStr">
        <is>
          <t>Company Takeover</t>
        </is>
      </c>
      <c r="U755" s="2" t="inlineStr">
        <is>
          <t>No</t>
        </is>
      </c>
      <c r="V755" s="2" t="inlineStr">
        <is>
          <t>No</t>
        </is>
      </c>
      <c r="W755" s="2" t="inlineStr">
        <is>
          <t>No</t>
        </is>
      </c>
      <c r="X755" s="2" t="inlineStr">
        <is>
          <t>No</t>
        </is>
      </c>
      <c r="Y755" s="2" t="inlineStr">
        <is>
          <t>No</t>
        </is>
      </c>
      <c r="Z755" s="2" t="inlineStr">
        <is>
          <t>No</t>
        </is>
      </c>
      <c r="AA755" s="6" t="n">
        <v>2.845259319</v>
      </c>
      <c r="AB755" s="6" t="n">
        <v>2.041009547</v>
      </c>
      <c r="AC755" s="6" t="n">
        <v>2.743658685</v>
      </c>
      <c r="AD755">
        <f t="array" ref="AD755">IF(SUMPRODUCT(--($AM$2:$AM$112=TRIM(LEFT($B755,IFERROR(FIND(" ",$B755)-1,LEN($B755))))))&gt;0,1,0)</f>
        <v/>
      </c>
      <c r="AE755">
        <f t="array" ref="AE755">IF(SUMPRODUCT(--($AO$2:$AO$145=TRIM(LEFT($B755,IFERROR(FIND(" ",$B755)-1,LEN($B755))))))&gt;0,1,0)</f>
        <v/>
      </c>
      <c r="AF755">
        <f t="array" ref="AF755">IF(SUMPRODUCT(--($AQ$2:$AQ$71=TRIM(LEFT($B755,IFERROR(FIND(" ",$B755)-1,LEN($B755))))))&gt;0,1,0)</f>
        <v/>
      </c>
    </row>
    <row r="756" ht="75.75" customHeight="1" thickBot="1">
      <c r="A756" s="13" t="n">
        <v>157</v>
      </c>
      <c r="B756" s="4" t="inlineStr">
        <is>
          <t>TSGI CN</t>
        </is>
      </c>
      <c r="C756" s="4" t="inlineStr">
        <is>
          <t>FLUT US</t>
        </is>
      </c>
      <c r="D756" s="7" t="n">
        <v>43740</v>
      </c>
      <c r="E756" s="3" t="n">
        <v>10719.74</v>
      </c>
      <c r="F756" s="4" t="inlineStr">
        <is>
          <t>Stock</t>
        </is>
      </c>
      <c r="G756" s="3" t="n">
        <v>20.01</v>
      </c>
      <c r="H756" s="4" t="inlineStr">
        <is>
          <t>Consumer Discretionary</t>
        </is>
      </c>
      <c r="I756" s="4" t="inlineStr">
        <is>
          <t>Consumer Discretionary Services</t>
        </is>
      </c>
      <c r="J756" s="4" t="inlineStr">
        <is>
          <t>Leisure Facilities &amp; Services</t>
        </is>
      </c>
      <c r="K756" s="4" t="n"/>
      <c r="L756" s="4" t="n"/>
      <c r="M756" s="4" t="n"/>
      <c r="N756" s="3" t="n">
        <v>5905.48</v>
      </c>
      <c r="O756" s="4" t="inlineStr">
        <is>
          <t>Canada</t>
        </is>
      </c>
      <c r="P756" s="4" t="inlineStr">
        <is>
          <t>Ireland</t>
        </is>
      </c>
      <c r="Q756" s="4" t="inlineStr">
        <is>
          <t>Friendly</t>
        </is>
      </c>
      <c r="R756" s="3" t="n">
        <v>2528.45</v>
      </c>
      <c r="S756" s="3" t="n">
        <v>10.4491</v>
      </c>
      <c r="T756" s="4" t="inlineStr">
        <is>
          <t>Company Takeover, Cross Border</t>
        </is>
      </c>
      <c r="U756" s="2" t="inlineStr">
        <is>
          <t>No</t>
        </is>
      </c>
      <c r="V756" s="2" t="inlineStr">
        <is>
          <t>No</t>
        </is>
      </c>
      <c r="W756" s="2" t="inlineStr">
        <is>
          <t>Yes</t>
        </is>
      </c>
      <c r="X756" s="2" t="inlineStr">
        <is>
          <t>No</t>
        </is>
      </c>
      <c r="Y756" s="2" t="inlineStr">
        <is>
          <t>No</t>
        </is>
      </c>
      <c r="Z756" s="2" t="inlineStr">
        <is>
          <t>No</t>
        </is>
      </c>
      <c r="AA756" s="6" t="n">
        <v>4.030184252</v>
      </c>
      <c r="AB756" s="6" t="n">
        <v>3.40285437</v>
      </c>
      <c r="AC756" s="6" t="n">
        <v>3.771255203</v>
      </c>
      <c r="AD756">
        <f t="array" ref="AD756">IF(SUMPRODUCT(--($AM$2:$AM$112=TRIM(LEFT($B756,IFERROR(FIND(" ",$B756)-1,LEN($B756))))))&gt;0,1,0)</f>
        <v/>
      </c>
      <c r="AE756">
        <f t="array" ref="AE756">IF(SUMPRODUCT(--($AO$2:$AO$145=TRIM(LEFT($B756,IFERROR(FIND(" ",$B756)-1,LEN($B756))))))&gt;0,1,0)</f>
        <v/>
      </c>
      <c r="AF756">
        <f t="array" ref="AF756">IF(SUMPRODUCT(--($AQ$2:$AQ$71=TRIM(LEFT($B756,IFERROR(FIND(" ",$B756)-1,LEN($B756))))))&gt;0,1,0)</f>
        <v/>
      </c>
    </row>
    <row r="757" ht="45.75" customHeight="1" thickBot="1">
      <c r="A757" s="13" t="n">
        <v>121</v>
      </c>
      <c r="B757" s="4" t="inlineStr">
        <is>
          <t>CARO US</t>
        </is>
      </c>
      <c r="C757" s="4" t="inlineStr">
        <is>
          <t>UBSI US</t>
        </is>
      </c>
      <c r="D757" s="7" t="n">
        <v>43787</v>
      </c>
      <c r="E757" s="3" t="n">
        <v>1003.02</v>
      </c>
      <c r="F757" s="4" t="inlineStr">
        <is>
          <t>Stock</t>
        </is>
      </c>
      <c r="G757" s="4" t="n"/>
      <c r="H757" s="4" t="inlineStr">
        <is>
          <t>Financials</t>
        </is>
      </c>
      <c r="I757" s="4" t="inlineStr">
        <is>
          <t>Banking</t>
        </is>
      </c>
      <c r="J757" s="4" t="inlineStr">
        <is>
          <t>Banking</t>
        </is>
      </c>
      <c r="K757" s="4" t="n"/>
      <c r="L757" s="3" t="n">
        <v>39.7</v>
      </c>
      <c r="M757" s="3" t="n">
        <v>19.3</v>
      </c>
      <c r="N757" s="3" t="n">
        <v>1003.02</v>
      </c>
      <c r="O757" s="4" t="inlineStr">
        <is>
          <t>United States</t>
        </is>
      </c>
      <c r="P757" s="4" t="inlineStr">
        <is>
          <t>United States</t>
        </is>
      </c>
      <c r="Q757" s="4" t="inlineStr">
        <is>
          <t>Friendly</t>
        </is>
      </c>
      <c r="R757" s="3" t="n">
        <v>224.226</v>
      </c>
      <c r="S757" s="3" t="n">
        <v>43.2971</v>
      </c>
      <c r="T757" s="4" t="inlineStr">
        <is>
          <t>Company Takeover</t>
        </is>
      </c>
      <c r="U757" s="2" t="inlineStr">
        <is>
          <t>No</t>
        </is>
      </c>
      <c r="V757" s="2" t="inlineStr">
        <is>
          <t>No</t>
        </is>
      </c>
      <c r="W757" s="2" t="inlineStr">
        <is>
          <t>No</t>
        </is>
      </c>
      <c r="X757" s="2" t="inlineStr">
        <is>
          <t>No</t>
        </is>
      </c>
      <c r="Y757" s="2" t="inlineStr">
        <is>
          <t>No</t>
        </is>
      </c>
      <c r="Z757" s="2" t="inlineStr">
        <is>
          <t>No</t>
        </is>
      </c>
      <c r="AA757" s="6" t="n">
        <v>3.001309593</v>
      </c>
      <c r="AB757" s="6" t="n">
        <v>2.35068597</v>
      </c>
      <c r="AC757" s="6" t="n">
        <v>3.001309593</v>
      </c>
      <c r="AD757">
        <f t="array" ref="AD757">IF(SUMPRODUCT(--($AM$2:$AM$112=TRIM(LEFT($B757,IFERROR(FIND(" ",$B757)-1,LEN($B757))))))&gt;0,1,0)</f>
        <v/>
      </c>
      <c r="AE757">
        <f t="array" ref="AE757">IF(SUMPRODUCT(--($AO$2:$AO$145=TRIM(LEFT($B757,IFERROR(FIND(" ",$B757)-1,LEN($B757))))))&gt;0,1,0)</f>
        <v/>
      </c>
      <c r="AF757">
        <f t="array" ref="AF757">IF(SUMPRODUCT(--($AQ$2:$AQ$71=TRIM(LEFT($B757,IFERROR(FIND(" ",$B757)-1,LEN($B757))))))&gt;0,1,0)</f>
        <v/>
      </c>
    </row>
    <row r="758" ht="75.75" customHeight="1" thickBot="1">
      <c r="A758" s="13" t="n">
        <v>230</v>
      </c>
      <c r="B758" s="4" t="inlineStr">
        <is>
          <t>CY US</t>
        </is>
      </c>
      <c r="C758" s="4" t="inlineStr">
        <is>
          <t>IFX GR</t>
        </is>
      </c>
      <c r="D758" s="7" t="n">
        <v>43619</v>
      </c>
      <c r="E758" s="3" t="n">
        <v>9333.52</v>
      </c>
      <c r="F758" s="4" t="inlineStr">
        <is>
          <t>Cash</t>
        </is>
      </c>
      <c r="G758" s="3" t="n">
        <v>20.89</v>
      </c>
      <c r="H758" s="4" t="inlineStr">
        <is>
          <t>Technology</t>
        </is>
      </c>
      <c r="I758" s="4" t="inlineStr">
        <is>
          <t>Tech Hardware &amp; Semiconductors</t>
        </is>
      </c>
      <c r="J758" s="4" t="inlineStr">
        <is>
          <t>Semiconductors</t>
        </is>
      </c>
      <c r="K758" s="3" t="n">
        <v>425</v>
      </c>
      <c r="L758" s="3" t="n">
        <v>330</v>
      </c>
      <c r="M758" s="4" t="n"/>
      <c r="N758" s="3" t="n">
        <v>8712.15</v>
      </c>
      <c r="O758" s="4" t="inlineStr">
        <is>
          <t>United States</t>
        </is>
      </c>
      <c r="P758" s="4" t="inlineStr">
        <is>
          <t>Germany</t>
        </is>
      </c>
      <c r="Q758" s="4" t="inlineStr">
        <is>
          <t>Friendly</t>
        </is>
      </c>
      <c r="R758" s="3" t="n">
        <v>2205.31</v>
      </c>
      <c r="S758" s="3" t="n">
        <v>5.58936</v>
      </c>
      <c r="T758" s="4" t="inlineStr">
        <is>
          <t>Company Takeover, Cross Border</t>
        </is>
      </c>
      <c r="U758" s="2" t="inlineStr">
        <is>
          <t>No</t>
        </is>
      </c>
      <c r="V758" s="2" t="inlineStr">
        <is>
          <t>No</t>
        </is>
      </c>
      <c r="W758" s="2" t="inlineStr">
        <is>
          <t>Yes</t>
        </is>
      </c>
      <c r="X758" s="2" t="inlineStr">
        <is>
          <t>No</t>
        </is>
      </c>
      <c r="Y758" s="2" t="inlineStr">
        <is>
          <t>No</t>
        </is>
      </c>
      <c r="Z758" s="2" t="inlineStr">
        <is>
          <t>No</t>
        </is>
      </c>
      <c r="AA758" s="6" t="n">
        <v>3.970045462</v>
      </c>
      <c r="AB758" s="6" t="n">
        <v>3.343469647</v>
      </c>
      <c r="AC758" s="6" t="n">
        <v>3.940125344</v>
      </c>
      <c r="AD758">
        <f t="array" ref="AD758">IF(SUMPRODUCT(--($AM$2:$AM$112=TRIM(LEFT($B758,IFERROR(FIND(" ",$B758)-1,LEN($B758))))))&gt;0,1,0)</f>
        <v/>
      </c>
      <c r="AE758">
        <f t="array" ref="AE758">IF(SUMPRODUCT(--($AO$2:$AO$145=TRIM(LEFT($B758,IFERROR(FIND(" ",$B758)-1,LEN($B758))))))&gt;0,1,0)</f>
        <v/>
      </c>
      <c r="AF758">
        <f t="array" ref="AF758">IF(SUMPRODUCT(--($AQ$2:$AQ$71=TRIM(LEFT($B758,IFERROR(FIND(" ",$B758)-1,LEN($B758))))))&gt;0,1,0)</f>
        <v/>
      </c>
    </row>
    <row r="759" ht="255.75" customHeight="1" thickBot="1">
      <c r="A759" s="13" t="n">
        <v>89</v>
      </c>
      <c r="B759" s="4" t="inlineStr">
        <is>
          <t>TGE US</t>
        </is>
      </c>
      <c r="C759" s="2" t="n"/>
      <c r="D759" s="7" t="n">
        <v>43816</v>
      </c>
      <c r="E759" s="3" t="n">
        <v>5691.86</v>
      </c>
      <c r="F759" s="4" t="inlineStr">
        <is>
          <t>Cash</t>
        </is>
      </c>
      <c r="G759" s="3" t="n">
        <v>15.02</v>
      </c>
      <c r="H759" s="4" t="inlineStr">
        <is>
          <t>Energy</t>
        </is>
      </c>
      <c r="I759" s="4" t="inlineStr">
        <is>
          <t>Oil &amp; Gas</t>
        </is>
      </c>
      <c r="J759" s="4" t="inlineStr">
        <is>
          <t>Oil &amp; Gas Supply Chain</t>
        </is>
      </c>
      <c r="K759" s="3" t="n">
        <v>105</v>
      </c>
      <c r="L759" s="3" t="n">
        <v>70</v>
      </c>
      <c r="M759" s="3" t="n">
        <v>23.95</v>
      </c>
      <c r="N759" s="3" t="n">
        <v>2244.82</v>
      </c>
      <c r="O759" s="4" t="inlineStr">
        <is>
          <t>United States</t>
        </is>
      </c>
      <c r="P759" s="4" t="inlineStr">
        <is>
          <t>Singapore</t>
        </is>
      </c>
      <c r="Q759" s="4" t="inlineStr">
        <is>
          <t>Unsolicited to Friendly</t>
        </is>
      </c>
      <c r="R759" s="2" t="n"/>
      <c r="S759" s="2" t="n"/>
      <c r="T759" s="4" t="inlineStr">
        <is>
          <t>PE Buyout, Competing Bid, Company Takeover, Going Private, Cross Border, Private Equity, Additional Stake Purchase</t>
        </is>
      </c>
      <c r="U759" s="2" t="inlineStr">
        <is>
          <t>Yes</t>
        </is>
      </c>
      <c r="V759" s="2" t="inlineStr">
        <is>
          <t>Yes</t>
        </is>
      </c>
      <c r="W759" s="2" t="inlineStr">
        <is>
          <t>Yes</t>
        </is>
      </c>
      <c r="X759" s="2" t="inlineStr">
        <is>
          <t>Yes</t>
        </is>
      </c>
      <c r="Y759" s="2" t="inlineStr">
        <is>
          <t>Yes</t>
        </is>
      </c>
      <c r="Z759" s="2" t="inlineStr">
        <is>
          <t>No</t>
        </is>
      </c>
      <c r="AA759" s="6" t="n">
        <v>3.755254209</v>
      </c>
      <c r="AB759" s="2" t="n"/>
      <c r="AC759" s="6" t="n">
        <v>3.351181523</v>
      </c>
      <c r="AD759">
        <f t="array" ref="AD759">IF(SUMPRODUCT(--($AM$2:$AM$112=TRIM(LEFT($B759,IFERROR(FIND(" ",$B759)-1,LEN($B759))))))&gt;0,1,0)</f>
        <v/>
      </c>
      <c r="AE759">
        <f t="array" ref="AE759">IF(SUMPRODUCT(--($AO$2:$AO$145=TRIM(LEFT($B759,IFERROR(FIND(" ",$B759)-1,LEN($B759))))))&gt;0,1,0)</f>
        <v/>
      </c>
      <c r="AF759">
        <f t="array" ref="AF759">IF(SUMPRODUCT(--($AQ$2:$AQ$71=TRIM(LEFT($B759,IFERROR(FIND(" ",$B759)-1,LEN($B759))))))&gt;0,1,0)</f>
        <v/>
      </c>
    </row>
    <row r="760" ht="75.75" customHeight="1" thickBot="1">
      <c r="A760" s="13" t="n">
        <v>28</v>
      </c>
      <c r="B760" s="4" t="inlineStr">
        <is>
          <t>FTSV US</t>
        </is>
      </c>
      <c r="C760" s="4" t="inlineStr">
        <is>
          <t>GILD US</t>
        </is>
      </c>
      <c r="D760" s="7" t="n">
        <v>43892</v>
      </c>
      <c r="E760" s="3" t="n">
        <v>4243.86</v>
      </c>
      <c r="F760" s="4" t="inlineStr">
        <is>
          <t>Cash</t>
        </is>
      </c>
      <c r="G760" s="4" t="n"/>
      <c r="H760" s="4" t="inlineStr">
        <is>
          <t>Health Care</t>
        </is>
      </c>
      <c r="I760" s="4" t="inlineStr">
        <is>
          <t>Health Care</t>
        </is>
      </c>
      <c r="J760" s="4" t="inlineStr">
        <is>
          <t>Biotech &amp; Pharma</t>
        </is>
      </c>
      <c r="K760" s="4" t="n"/>
      <c r="L760" s="3" t="n">
        <v>160</v>
      </c>
      <c r="M760" s="3" t="n">
        <v>110.12</v>
      </c>
      <c r="N760" s="3" t="n">
        <v>4570.63</v>
      </c>
      <c r="O760" s="4" t="inlineStr">
        <is>
          <t>United States</t>
        </is>
      </c>
      <c r="P760" s="4" t="inlineStr">
        <is>
          <t>United States</t>
        </is>
      </c>
      <c r="Q760" s="4" t="inlineStr">
        <is>
          <t>Friendly</t>
        </is>
      </c>
      <c r="R760" s="3" t="n">
        <v>15.678</v>
      </c>
      <c r="S760" s="3" t="n">
        <v>-564.689</v>
      </c>
      <c r="T760" s="4" t="inlineStr">
        <is>
          <t>Company Takeover, Tender Offer</t>
        </is>
      </c>
      <c r="U760" s="2" t="inlineStr">
        <is>
          <t>No</t>
        </is>
      </c>
      <c r="V760" s="2" t="inlineStr">
        <is>
          <t>No</t>
        </is>
      </c>
      <c r="W760" s="2" t="inlineStr">
        <is>
          <t>No</t>
        </is>
      </c>
      <c r="X760" s="2" t="inlineStr">
        <is>
          <t>No</t>
        </is>
      </c>
      <c r="Y760" s="2" t="inlineStr">
        <is>
          <t>No</t>
        </is>
      </c>
      <c r="Z760" s="2" t="inlineStr">
        <is>
          <t>Yes</t>
        </is>
      </c>
      <c r="AA760" s="6" t="n">
        <v>3.627761049</v>
      </c>
      <c r="AB760" s="6" t="n">
        <v>1.19529066</v>
      </c>
      <c r="AC760" s="6" t="n">
        <v>3.659976066</v>
      </c>
      <c r="AD760">
        <f t="array" ref="AD760">IF(SUMPRODUCT(--($AM$2:$AM$112=TRIM(LEFT($B760,IFERROR(FIND(" ",$B760)-1,LEN($B760))))))&gt;0,1,0)</f>
        <v/>
      </c>
      <c r="AE760">
        <f t="array" ref="AE760">IF(SUMPRODUCT(--($AO$2:$AO$145=TRIM(LEFT($B760,IFERROR(FIND(" ",$B760)-1,LEN($B760))))))&gt;0,1,0)</f>
        <v/>
      </c>
      <c r="AF760">
        <f t="array" ref="AF760">IF(SUMPRODUCT(--($AQ$2:$AQ$71=TRIM(LEFT($B760,IFERROR(FIND(" ",$B760)-1,LEN($B760))))))&gt;0,1,0)</f>
        <v/>
      </c>
    </row>
    <row r="761" ht="45.75" customHeight="1" thickBot="1">
      <c r="A761" s="13" t="n">
        <v>215</v>
      </c>
      <c r="B761" s="4" t="inlineStr">
        <is>
          <t>RTN US</t>
        </is>
      </c>
      <c r="C761" s="4" t="inlineStr">
        <is>
          <t>RTX US</t>
        </is>
      </c>
      <c r="D761" s="7" t="n">
        <v>43625</v>
      </c>
      <c r="E761" s="3" t="n">
        <v>90016.87</v>
      </c>
      <c r="F761" s="4" t="inlineStr">
        <is>
          <t>Stock</t>
        </is>
      </c>
      <c r="G761" s="3" t="n">
        <v>17.01</v>
      </c>
      <c r="H761" s="4" t="inlineStr">
        <is>
          <t>Industrials</t>
        </is>
      </c>
      <c r="I761" s="4" t="inlineStr">
        <is>
          <t>Industrial Products</t>
        </is>
      </c>
      <c r="J761" s="4" t="inlineStr">
        <is>
          <t>Aerospace &amp; Defense</t>
        </is>
      </c>
      <c r="K761" s="3" t="n">
        <v>2365</v>
      </c>
      <c r="L761" s="3" t="n">
        <v>1785</v>
      </c>
      <c r="M761" s="3" t="n">
        <v>71.67</v>
      </c>
      <c r="N761" s="3" t="n">
        <v>86200.87</v>
      </c>
      <c r="O761" s="4" t="inlineStr">
        <is>
          <t>United States</t>
        </is>
      </c>
      <c r="P761" s="4" t="inlineStr">
        <is>
          <t>United States</t>
        </is>
      </c>
      <c r="Q761" s="4" t="inlineStr">
        <is>
          <t>Friendly</t>
        </is>
      </c>
      <c r="R761" s="3" t="n">
        <v>29176</v>
      </c>
      <c r="S761" s="3" t="n">
        <v>16.3628</v>
      </c>
      <c r="T761" s="4" t="inlineStr">
        <is>
          <t>Company Takeover</t>
        </is>
      </c>
      <c r="U761" s="2" t="inlineStr">
        <is>
          <t>No</t>
        </is>
      </c>
      <c r="V761" s="2" t="inlineStr">
        <is>
          <t>No</t>
        </is>
      </c>
      <c r="W761" s="2" t="inlineStr">
        <is>
          <t>No</t>
        </is>
      </c>
      <c r="X761" s="2" t="inlineStr">
        <is>
          <t>No</t>
        </is>
      </c>
      <c r="Y761" s="2" t="inlineStr">
        <is>
          <t>No</t>
        </is>
      </c>
      <c r="Z761" s="2" t="inlineStr">
        <is>
          <t>No</t>
        </is>
      </c>
      <c r="AA761" s="6" t="n">
        <v>4.954323908</v>
      </c>
      <c r="AB761" s="6" t="n">
        <v>4.46502575</v>
      </c>
      <c r="AC761" s="6" t="n">
        <v>4.935511649</v>
      </c>
      <c r="AD761">
        <f t="array" ref="AD761">IF(SUMPRODUCT(--($AM$2:$AM$112=TRIM(LEFT($B761,IFERROR(FIND(" ",$B761)-1,LEN($B761))))))&gt;0,1,0)</f>
        <v/>
      </c>
      <c r="AE761">
        <f t="array" ref="AE761">IF(SUMPRODUCT(--($AO$2:$AO$145=TRIM(LEFT($B761,IFERROR(FIND(" ",$B761)-1,LEN($B761))))))&gt;0,1,0)</f>
        <v/>
      </c>
      <c r="AF761">
        <f t="array" ref="AF761">IF(SUMPRODUCT(--($AQ$2:$AQ$71=TRIM(LEFT($B761,IFERROR(FIND(" ",$B761)-1,LEN($B761))))))&gt;0,1,0)</f>
        <v/>
      </c>
    </row>
    <row r="762" ht="75.75" customHeight="1" thickBot="1">
      <c r="A762" s="13" t="n">
        <v>127</v>
      </c>
      <c r="B762" s="4" t="inlineStr">
        <is>
          <t>RARX US</t>
        </is>
      </c>
      <c r="C762" s="4" t="inlineStr">
        <is>
          <t>UCB BB</t>
        </is>
      </c>
      <c r="D762" s="7" t="n">
        <v>43748</v>
      </c>
      <c r="E762" s="3" t="n">
        <v>2087.96</v>
      </c>
      <c r="F762" s="4" t="inlineStr">
        <is>
          <t>Cash</t>
        </is>
      </c>
      <c r="G762" s="4" t="n"/>
      <c r="H762" s="4" t="inlineStr">
        <is>
          <t>Health Care</t>
        </is>
      </c>
      <c r="I762" s="4" t="inlineStr">
        <is>
          <t>Health Care</t>
        </is>
      </c>
      <c r="J762" s="4" t="inlineStr">
        <is>
          <t>Biotech &amp; Pharma</t>
        </is>
      </c>
      <c r="K762" s="4" t="n"/>
      <c r="L762" s="3" t="n">
        <v>75</v>
      </c>
      <c r="M762" s="3" t="n">
        <v>96.98999999999999</v>
      </c>
      <c r="N762" s="3" t="n">
        <v>2256.7</v>
      </c>
      <c r="O762" s="4" t="inlineStr">
        <is>
          <t>United States</t>
        </is>
      </c>
      <c r="P762" s="4" t="inlineStr">
        <is>
          <t>Belgium</t>
        </is>
      </c>
      <c r="Q762" s="4" t="inlineStr">
        <is>
          <t>Friendly</t>
        </is>
      </c>
      <c r="R762" s="3" t="n">
        <v>3</v>
      </c>
      <c r="S762" s="3" t="n">
        <v>-3565.97</v>
      </c>
      <c r="T762" s="4" t="inlineStr">
        <is>
          <t>Company Takeover, Cross Border</t>
        </is>
      </c>
      <c r="U762" s="2" t="inlineStr">
        <is>
          <t>No</t>
        </is>
      </c>
      <c r="V762" s="2" t="inlineStr">
        <is>
          <t>No</t>
        </is>
      </c>
      <c r="W762" s="2" t="inlineStr">
        <is>
          <t>Yes</t>
        </is>
      </c>
      <c r="X762" s="2" t="inlineStr">
        <is>
          <t>No</t>
        </is>
      </c>
      <c r="Y762" s="2" t="inlineStr">
        <is>
          <t>No</t>
        </is>
      </c>
      <c r="Z762" s="2" t="inlineStr">
        <is>
          <t>No</t>
        </is>
      </c>
      <c r="AA762" s="6" t="n">
        <v>3.319722174</v>
      </c>
      <c r="AB762" s="6" t="n">
        <v>0.4771212547</v>
      </c>
      <c r="AC762" s="6" t="n">
        <v>3.353473829</v>
      </c>
      <c r="AD762">
        <f t="array" ref="AD762">IF(SUMPRODUCT(--($AM$2:$AM$112=TRIM(LEFT($B762,IFERROR(FIND(" ",$B762)-1,LEN($B762))))))&gt;0,1,0)</f>
        <v/>
      </c>
      <c r="AE762">
        <f t="array" ref="AE762">IF(SUMPRODUCT(--($AO$2:$AO$145=TRIM(LEFT($B762,IFERROR(FIND(" ",$B762)-1,LEN($B762))))))&gt;0,1,0)</f>
        <v/>
      </c>
      <c r="AF762">
        <f t="array" ref="AF762">IF(SUMPRODUCT(--($AQ$2:$AQ$71=TRIM(LEFT($B762,IFERROR(FIND(" ",$B762)-1,LEN($B762))))))&gt;0,1,0)</f>
        <v/>
      </c>
    </row>
    <row r="763" ht="135.75" customHeight="1" thickBot="1">
      <c r="A763" s="13" t="n">
        <v>119</v>
      </c>
      <c r="B763" s="4" t="inlineStr">
        <is>
          <t>ACI CN</t>
        </is>
      </c>
      <c r="C763" s="2" t="n"/>
      <c r="D763" s="7" t="n">
        <v>43759</v>
      </c>
      <c r="E763" s="3" t="n">
        <v>1259.44</v>
      </c>
      <c r="F763" s="4" t="inlineStr">
        <is>
          <t>Cash</t>
        </is>
      </c>
      <c r="G763" s="3" t="n">
        <v>16.59</v>
      </c>
      <c r="H763" s="4" t="inlineStr">
        <is>
          <t>Utilities</t>
        </is>
      </c>
      <c r="I763" s="4" t="inlineStr">
        <is>
          <t>Utilities</t>
        </is>
      </c>
      <c r="J763" s="4" t="inlineStr">
        <is>
          <t>Gas &amp; Water Utilities</t>
        </is>
      </c>
      <c r="K763" s="4" t="n"/>
      <c r="L763" s="4" t="n"/>
      <c r="M763" s="4" t="n"/>
      <c r="N763" s="3" t="n">
        <v>767.72</v>
      </c>
      <c r="O763" s="4" t="inlineStr">
        <is>
          <t>Canada</t>
        </is>
      </c>
      <c r="P763" s="4" t="inlineStr">
        <is>
          <t>Canada</t>
        </is>
      </c>
      <c r="Q763" s="4" t="inlineStr">
        <is>
          <t>Friendly</t>
        </is>
      </c>
      <c r="R763" s="3" t="n">
        <v>776.378</v>
      </c>
      <c r="S763" s="3" t="n">
        <v>14.4219</v>
      </c>
      <c r="T763" s="4" t="inlineStr">
        <is>
          <t>PE Buyout, Company Takeover, Private Equity, Going Private</t>
        </is>
      </c>
      <c r="U763" s="2" t="inlineStr">
        <is>
          <t>No</t>
        </is>
      </c>
      <c r="V763" s="2" t="inlineStr">
        <is>
          <t>No</t>
        </is>
      </c>
      <c r="W763" s="2" t="inlineStr">
        <is>
          <t>No</t>
        </is>
      </c>
      <c r="X763" s="2" t="inlineStr">
        <is>
          <t>Yes</t>
        </is>
      </c>
      <c r="Y763" s="2" t="inlineStr">
        <is>
          <t>Yes</t>
        </is>
      </c>
      <c r="Z763" s="2" t="inlineStr">
        <is>
          <t>No</t>
        </is>
      </c>
      <c r="AA763" s="6" t="n">
        <v>3.100177482</v>
      </c>
      <c r="AB763" s="6" t="n">
        <v>2.89007322</v>
      </c>
      <c r="AC763" s="6" t="n">
        <v>2.885202855</v>
      </c>
      <c r="AD763">
        <f t="array" ref="AD763">IF(SUMPRODUCT(--($AM$2:$AM$112=TRIM(LEFT($B763,IFERROR(FIND(" ",$B763)-1,LEN($B763))))))&gt;0,1,0)</f>
        <v/>
      </c>
      <c r="AE763">
        <f t="array" ref="AE763">IF(SUMPRODUCT(--($AO$2:$AO$145=TRIM(LEFT($B763,IFERROR(FIND(" ",$B763)-1,LEN($B763))))))&gt;0,1,0)</f>
        <v/>
      </c>
      <c r="AF763">
        <f t="array" ref="AF763">IF(SUMPRODUCT(--($AQ$2:$AQ$71=TRIM(LEFT($B763,IFERROR(FIND(" ",$B763)-1,LEN($B763))))))&gt;0,1,0)</f>
        <v/>
      </c>
    </row>
    <row r="764" ht="75.75" customHeight="1" thickBot="1">
      <c r="A764" s="13" t="n">
        <v>503</v>
      </c>
      <c r="B764" s="4" t="inlineStr">
        <is>
          <t>1897377D US</t>
        </is>
      </c>
      <c r="C764" s="4" t="inlineStr">
        <is>
          <t>TMUS US</t>
        </is>
      </c>
      <c r="D764" s="7" t="n">
        <v>43219</v>
      </c>
      <c r="E764" s="3" t="n">
        <v>68014.33</v>
      </c>
      <c r="F764" s="4" t="inlineStr">
        <is>
          <t>Stock</t>
        </is>
      </c>
      <c r="G764" s="3" t="n">
        <v>6.44</v>
      </c>
      <c r="H764" s="4" t="inlineStr">
        <is>
          <t>Communications</t>
        </is>
      </c>
      <c r="I764" s="4" t="inlineStr">
        <is>
          <t>Telecommunications</t>
        </is>
      </c>
      <c r="J764" s="4" t="inlineStr">
        <is>
          <t>Telecommunications</t>
        </is>
      </c>
      <c r="K764" s="4" t="n"/>
      <c r="L764" s="4" t="n"/>
      <c r="M764" s="4" t="n"/>
      <c r="N764" s="3" t="n">
        <v>26585.33</v>
      </c>
      <c r="O764" s="4" t="inlineStr">
        <is>
          <t>United States</t>
        </is>
      </c>
      <c r="P764" s="4" t="inlineStr">
        <is>
          <t>United States</t>
        </is>
      </c>
      <c r="Q764" s="4" t="inlineStr">
        <is>
          <t>Friendly</t>
        </is>
      </c>
      <c r="R764" s="3" t="n">
        <v>33600</v>
      </c>
      <c r="S764" s="3" t="n">
        <v>-2.82211</v>
      </c>
      <c r="T764" s="4" t="inlineStr">
        <is>
          <t>Cross Border, Majority purchase</t>
        </is>
      </c>
      <c r="U764" s="2" t="inlineStr">
        <is>
          <t>No</t>
        </is>
      </c>
      <c r="V764" s="2" t="inlineStr">
        <is>
          <t>No</t>
        </is>
      </c>
      <c r="W764" s="2" t="inlineStr">
        <is>
          <t>Yes</t>
        </is>
      </c>
      <c r="X764" s="2" t="inlineStr">
        <is>
          <t>No</t>
        </is>
      </c>
      <c r="Y764" s="2" t="inlineStr">
        <is>
          <t>No</t>
        </is>
      </c>
      <c r="Z764" s="2" t="inlineStr">
        <is>
          <t>No</t>
        </is>
      </c>
      <c r="AA764" s="6" t="n">
        <v>4.832600424</v>
      </c>
      <c r="AB764" s="6" t="n">
        <v>4.526339277</v>
      </c>
      <c r="AC764" s="6" t="n">
        <v>4.424642056</v>
      </c>
      <c r="AD764">
        <f t="array" ref="AD764">IF(SUMPRODUCT(--($AM$2:$AM$112=TRIM(LEFT($B764,IFERROR(FIND(" ",$B764)-1,LEN($B764))))))&gt;0,1,0)</f>
        <v/>
      </c>
      <c r="AE764">
        <f t="array" ref="AE764">IF(SUMPRODUCT(--($AO$2:$AO$145=TRIM(LEFT($B764,IFERROR(FIND(" ",$B764)-1,LEN($B764))))))&gt;0,1,0)</f>
        <v/>
      </c>
      <c r="AF764">
        <f t="array" ref="AF764">IF(SUMPRODUCT(--($AQ$2:$AQ$71=TRIM(LEFT($B764,IFERROR(FIND(" ",$B764)-1,LEN($B764))))))&gt;0,1,0)</f>
        <v/>
      </c>
    </row>
    <row r="765" ht="120.75" customHeight="1" thickBot="1">
      <c r="A765" s="13" t="n">
        <v>503</v>
      </c>
      <c r="B765" s="4" t="inlineStr">
        <is>
          <t>1897377D US</t>
        </is>
      </c>
      <c r="C765" s="4" t="inlineStr">
        <is>
          <t>TMUS US</t>
        </is>
      </c>
      <c r="D765" s="7" t="n">
        <v>43219</v>
      </c>
      <c r="E765" s="3" t="n">
        <v>3968.68</v>
      </c>
      <c r="F765" s="4" t="inlineStr">
        <is>
          <t>Stock</t>
        </is>
      </c>
      <c r="G765" s="3" t="n">
        <v>2.29</v>
      </c>
      <c r="H765" s="4" t="inlineStr">
        <is>
          <t>Communications</t>
        </is>
      </c>
      <c r="I765" s="4" t="inlineStr">
        <is>
          <t>Telecommunications</t>
        </is>
      </c>
      <c r="J765" s="4" t="inlineStr">
        <is>
          <t>Telecommunications</t>
        </is>
      </c>
      <c r="K765" s="4" t="n"/>
      <c r="L765" s="4" t="n"/>
      <c r="M765" s="3" t="n">
        <v>11.62</v>
      </c>
      <c r="N765" s="3" t="n">
        <v>3968.68</v>
      </c>
      <c r="O765" s="4" t="inlineStr">
        <is>
          <t>United States</t>
        </is>
      </c>
      <c r="P765" s="4" t="inlineStr">
        <is>
          <t>United States</t>
        </is>
      </c>
      <c r="Q765" s="4" t="inlineStr">
        <is>
          <t>Friendly</t>
        </is>
      </c>
      <c r="R765" s="3" t="n">
        <v>33600</v>
      </c>
      <c r="S765" s="3" t="n">
        <v>-2.82211</v>
      </c>
      <c r="T765" s="4" t="inlineStr">
        <is>
          <t>Company Takeover, Additional Stake Purchase</t>
        </is>
      </c>
      <c r="U765" s="2" t="inlineStr">
        <is>
          <t>Yes</t>
        </is>
      </c>
      <c r="V765" s="2" t="inlineStr">
        <is>
          <t>No</t>
        </is>
      </c>
      <c r="W765" s="2" t="inlineStr">
        <is>
          <t>No</t>
        </is>
      </c>
      <c r="X765" s="2" t="inlineStr">
        <is>
          <t>No</t>
        </is>
      </c>
      <c r="Y765" s="2" t="inlineStr">
        <is>
          <t>No</t>
        </is>
      </c>
      <c r="Z765" s="2" t="inlineStr">
        <is>
          <t>No</t>
        </is>
      </c>
      <c r="AA765" s="6" t="n">
        <v>3.598646083</v>
      </c>
      <c r="AB765" s="6" t="n">
        <v>4.526339277</v>
      </c>
      <c r="AC765" s="6" t="n">
        <v>3.598646083</v>
      </c>
      <c r="AD765">
        <f t="array" ref="AD765">IF(SUMPRODUCT(--($AM$2:$AM$112=TRIM(LEFT($B765,IFERROR(FIND(" ",$B765)-1,LEN($B765))))))&gt;0,1,0)</f>
        <v/>
      </c>
      <c r="AE765">
        <f t="array" ref="AE765">IF(SUMPRODUCT(--($AO$2:$AO$145=TRIM(LEFT($B765,IFERROR(FIND(" ",$B765)-1,LEN($B765))))))&gt;0,1,0)</f>
        <v/>
      </c>
      <c r="AF765">
        <f t="array" ref="AF765">IF(SUMPRODUCT(--($AQ$2:$AQ$71=TRIM(LEFT($B765,IFERROR(FIND(" ",$B765)-1,LEN($B765))))))&gt;0,1,0)</f>
        <v/>
      </c>
    </row>
    <row r="766" ht="75.75" customHeight="1" thickBot="1">
      <c r="A766" s="13" t="n">
        <v>196</v>
      </c>
      <c r="B766" s="4" t="inlineStr">
        <is>
          <t>OMN US</t>
        </is>
      </c>
      <c r="C766" s="4" t="inlineStr">
        <is>
          <t>SYNT LN</t>
        </is>
      </c>
      <c r="D766" s="7" t="n">
        <v>43649</v>
      </c>
      <c r="E766" s="3" t="n">
        <v>742.37</v>
      </c>
      <c r="F766" s="4" t="inlineStr">
        <is>
          <t>Cash</t>
        </is>
      </c>
      <c r="G766" s="3" t="n">
        <v>13.77</v>
      </c>
      <c r="H766" s="4" t="inlineStr">
        <is>
          <t>Materials</t>
        </is>
      </c>
      <c r="I766" s="4" t="inlineStr">
        <is>
          <t>Materials</t>
        </is>
      </c>
      <c r="J766" s="4" t="inlineStr">
        <is>
          <t>Chemicals</t>
        </is>
      </c>
      <c r="K766" s="3" t="n">
        <v>15.8</v>
      </c>
      <c r="L766" s="3" t="n">
        <v>15.8</v>
      </c>
      <c r="M766" s="4" t="n"/>
      <c r="N766" s="3" t="n">
        <v>455.17</v>
      </c>
      <c r="O766" s="4" t="inlineStr">
        <is>
          <t>United States</t>
        </is>
      </c>
      <c r="P766" s="4" t="inlineStr">
        <is>
          <t>United Kingdom</t>
        </is>
      </c>
      <c r="Q766" s="4" t="inlineStr">
        <is>
          <t>Friendly</t>
        </is>
      </c>
      <c r="R766" s="3" t="n">
        <v>736.2</v>
      </c>
      <c r="S766" s="3" t="n">
        <v>2.33781</v>
      </c>
      <c r="T766" s="4" t="inlineStr">
        <is>
          <t>Company Takeover, Cross Border</t>
        </is>
      </c>
      <c r="U766" s="2" t="inlineStr">
        <is>
          <t>No</t>
        </is>
      </c>
      <c r="V766" s="2" t="inlineStr">
        <is>
          <t>No</t>
        </is>
      </c>
      <c r="W766" s="2" t="inlineStr">
        <is>
          <t>Yes</t>
        </is>
      </c>
      <c r="X766" s="2" t="inlineStr">
        <is>
          <t>No</t>
        </is>
      </c>
      <c r="Y766" s="2" t="inlineStr">
        <is>
          <t>No</t>
        </is>
      </c>
      <c r="Z766" s="2" t="inlineStr">
        <is>
          <t>No</t>
        </is>
      </c>
      <c r="AA766" s="6" t="n">
        <v>2.870620413</v>
      </c>
      <c r="AB766" s="6" t="n">
        <v>2.866995813</v>
      </c>
      <c r="AC766" s="6" t="n">
        <v>2.65817363</v>
      </c>
      <c r="AD766">
        <f t="array" ref="AD766">IF(SUMPRODUCT(--($AM$2:$AM$112=TRIM(LEFT($B766,IFERROR(FIND(" ",$B766)-1,LEN($B766))))))&gt;0,1,0)</f>
        <v/>
      </c>
      <c r="AE766">
        <f t="array" ref="AE766">IF(SUMPRODUCT(--($AO$2:$AO$145=TRIM(LEFT($B766,IFERROR(FIND(" ",$B766)-1,LEN($B766))))))&gt;0,1,0)</f>
        <v/>
      </c>
      <c r="AF766">
        <f t="array" ref="AF766">IF(SUMPRODUCT(--($AQ$2:$AQ$71=TRIM(LEFT($B766,IFERROR(FIND(" ",$B766)-1,LEN($B766))))))&gt;0,1,0)</f>
        <v/>
      </c>
    </row>
    <row r="767" ht="135.75" customHeight="1" thickBot="1">
      <c r="A767" s="13" t="n">
        <v>104</v>
      </c>
      <c r="B767" s="4" t="inlineStr">
        <is>
          <t>AYR US</t>
        </is>
      </c>
      <c r="C767" s="2" t="n"/>
      <c r="D767" s="7" t="n">
        <v>43775</v>
      </c>
      <c r="E767" s="3" t="n">
        <v>1707.68</v>
      </c>
      <c r="F767" s="4" t="inlineStr">
        <is>
          <t>Cash</t>
        </is>
      </c>
      <c r="G767" s="3" t="n">
        <v>2.79</v>
      </c>
      <c r="H767" s="4" t="inlineStr">
        <is>
          <t>Financials</t>
        </is>
      </c>
      <c r="I767" s="4" t="inlineStr">
        <is>
          <t>Financial Services</t>
        </is>
      </c>
      <c r="J767" s="4" t="inlineStr">
        <is>
          <t>Specialty Finance</t>
        </is>
      </c>
      <c r="K767" s="4" t="n"/>
      <c r="L767" s="3" t="n">
        <v>73.5</v>
      </c>
      <c r="M767" s="3" t="n">
        <v>29.04</v>
      </c>
      <c r="N767" s="3" t="n">
        <v>1707.68</v>
      </c>
      <c r="O767" s="4" t="inlineStr">
        <is>
          <t>United States</t>
        </is>
      </c>
      <c r="P767" s="4" t="inlineStr">
        <is>
          <t>Japan</t>
        </is>
      </c>
      <c r="Q767" s="4" t="inlineStr">
        <is>
          <t>Friendly</t>
        </is>
      </c>
      <c r="R767" s="3" t="n">
        <v>975.119</v>
      </c>
      <c r="S767" s="3" t="n">
        <v>45.335</v>
      </c>
      <c r="T767" s="4" t="inlineStr">
        <is>
          <t>Company Takeover, Cross Border, Additional Stake Purchase</t>
        </is>
      </c>
      <c r="U767" s="2" t="inlineStr">
        <is>
          <t>Yes</t>
        </is>
      </c>
      <c r="V767" s="2" t="inlineStr">
        <is>
          <t>No</t>
        </is>
      </c>
      <c r="W767" s="2" t="inlineStr">
        <is>
          <t>Yes</t>
        </is>
      </c>
      <c r="X767" s="2" t="inlineStr">
        <is>
          <t>No</t>
        </is>
      </c>
      <c r="Y767" s="2" t="inlineStr">
        <is>
          <t>No</t>
        </is>
      </c>
      <c r="Z767" s="2" t="inlineStr">
        <is>
          <t>No</t>
        </is>
      </c>
      <c r="AA767" s="6" t="n">
        <v>3.232406492</v>
      </c>
      <c r="AB767" s="6" t="n">
        <v>2.989057619</v>
      </c>
      <c r="AC767" s="6" t="n">
        <v>3.232406492</v>
      </c>
      <c r="AD767">
        <f t="array" ref="AD767">IF(SUMPRODUCT(--($AM$2:$AM$112=TRIM(LEFT($B767,IFERROR(FIND(" ",$B767)-1,LEN($B767))))))&gt;0,1,0)</f>
        <v/>
      </c>
      <c r="AE767">
        <f t="array" ref="AE767">IF(SUMPRODUCT(--($AO$2:$AO$145=TRIM(LEFT($B767,IFERROR(FIND(" ",$B767)-1,LEN($B767))))))&gt;0,1,0)</f>
        <v/>
      </c>
      <c r="AF767">
        <f t="array" ref="AF767">IF(SUMPRODUCT(--($AQ$2:$AQ$71=TRIM(LEFT($B767,IFERROR(FIND(" ",$B767)-1,LEN($B767))))))&gt;0,1,0)</f>
        <v/>
      </c>
    </row>
    <row r="768" ht="105.75" customHeight="1" thickBot="1">
      <c r="A768" s="13" t="n">
        <v>71</v>
      </c>
      <c r="B768" s="4" t="inlineStr">
        <is>
          <t>WAAS US</t>
        </is>
      </c>
      <c r="C768" s="4" t="inlineStr">
        <is>
          <t>3726978Z BB</t>
        </is>
      </c>
      <c r="D768" s="7" t="n">
        <v>43822</v>
      </c>
      <c r="E768" s="3" t="n">
        <v>1099.95</v>
      </c>
      <c r="F768" s="4" t="inlineStr">
        <is>
          <t>Cash</t>
        </is>
      </c>
      <c r="G768" s="3" t="n">
        <v>18.93</v>
      </c>
      <c r="H768" s="4" t="inlineStr">
        <is>
          <t>Industrials</t>
        </is>
      </c>
      <c r="I768" s="4" t="inlineStr">
        <is>
          <t>Industrial Products</t>
        </is>
      </c>
      <c r="J768" s="4" t="inlineStr">
        <is>
          <t>Machinery</t>
        </is>
      </c>
      <c r="K768" s="3" t="n">
        <v>54.6118</v>
      </c>
      <c r="L768" s="3" t="n">
        <v>34.1325</v>
      </c>
      <c r="M768" s="4" t="n"/>
      <c r="N768" s="3" t="n">
        <v>860.15</v>
      </c>
      <c r="O768" s="4" t="inlineStr">
        <is>
          <t>United States</t>
        </is>
      </c>
      <c r="P768" s="4" t="inlineStr">
        <is>
          <t>Belgium</t>
        </is>
      </c>
      <c r="Q768" s="4" t="inlineStr">
        <is>
          <t>Friendly</t>
        </is>
      </c>
      <c r="R768" s="3" t="n">
        <v>203.487</v>
      </c>
      <c r="S768" s="3" t="n">
        <v>3.92064</v>
      </c>
      <c r="T768" s="4" t="inlineStr">
        <is>
          <t>Company Takeover, Cross Border, Going Private</t>
        </is>
      </c>
      <c r="U768" s="2" t="inlineStr">
        <is>
          <t>No</t>
        </is>
      </c>
      <c r="V768" s="2" t="inlineStr">
        <is>
          <t>No</t>
        </is>
      </c>
      <c r="W768" s="2" t="inlineStr">
        <is>
          <t>Yes</t>
        </is>
      </c>
      <c r="X768" s="2" t="inlineStr">
        <is>
          <t>Yes</t>
        </is>
      </c>
      <c r="Y768" s="2" t="inlineStr">
        <is>
          <t>No</t>
        </is>
      </c>
      <c r="Z768" s="2" t="inlineStr">
        <is>
          <t>No</t>
        </is>
      </c>
      <c r="AA768" s="6" t="n">
        <v>3.041372944</v>
      </c>
      <c r="AB768" s="6" t="n">
        <v>2.308536669</v>
      </c>
      <c r="AC768" s="6" t="n">
        <v>2.934574194</v>
      </c>
      <c r="AD768">
        <f t="array" ref="AD768">IF(SUMPRODUCT(--($AM$2:$AM$112=TRIM(LEFT($B768,IFERROR(FIND(" ",$B768)-1,LEN($B768))))))&gt;0,1,0)</f>
        <v/>
      </c>
      <c r="AE768">
        <f t="array" ref="AE768">IF(SUMPRODUCT(--($AO$2:$AO$145=TRIM(LEFT($B768,IFERROR(FIND(" ",$B768)-1,LEN($B768))))))&gt;0,1,0)</f>
        <v/>
      </c>
      <c r="AF768">
        <f t="array" ref="AF768">IF(SUMPRODUCT(--($AQ$2:$AQ$71=TRIM(LEFT($B768,IFERROR(FIND(" ",$B768)-1,LEN($B768))))))&gt;0,1,0)</f>
        <v/>
      </c>
    </row>
    <row r="769" ht="180.75" customHeight="1" thickBot="1">
      <c r="A769" s="13" t="n">
        <v>27</v>
      </c>
      <c r="B769" s="4" t="inlineStr">
        <is>
          <t>2607452D US</t>
        </is>
      </c>
      <c r="C769" s="4" t="inlineStr">
        <is>
          <t>6971 JP</t>
        </is>
      </c>
      <c r="D769" s="7" t="n">
        <v>43882</v>
      </c>
      <c r="E769" s="3" t="n">
        <v>1029.21</v>
      </c>
      <c r="F769" s="4" t="inlineStr">
        <is>
          <t>Cash</t>
        </is>
      </c>
      <c r="G769" s="3" t="n">
        <v>11.9</v>
      </c>
      <c r="H769" s="4" t="inlineStr">
        <is>
          <t>Technology</t>
        </is>
      </c>
      <c r="I769" s="4" t="inlineStr">
        <is>
          <t>Tech Hardware &amp; Semiconductors</t>
        </is>
      </c>
      <c r="J769" s="4" t="inlineStr">
        <is>
          <t>Semiconductors</t>
        </is>
      </c>
      <c r="K769" s="4" t="n"/>
      <c r="L769" s="4" t="n"/>
      <c r="M769" s="3" t="n">
        <v>6.21</v>
      </c>
      <c r="N769" s="3" t="n">
        <v>1029.21</v>
      </c>
      <c r="O769" s="4" t="inlineStr">
        <is>
          <t>United States</t>
        </is>
      </c>
      <c r="P769" s="4" t="inlineStr">
        <is>
          <t>Japan</t>
        </is>
      </c>
      <c r="Q769" s="4" t="inlineStr">
        <is>
          <t>Friendly</t>
        </is>
      </c>
      <c r="R769" s="3" t="n">
        <v>1791.79</v>
      </c>
      <c r="S769" s="3" t="n">
        <v>13.3435</v>
      </c>
      <c r="T769" s="4" t="inlineStr">
        <is>
          <t>Company Takeover, Squeeze out, Cross Border, Additional Stake Purchase, Tender Offer</t>
        </is>
      </c>
      <c r="U769" s="2" t="inlineStr">
        <is>
          <t>Yes</t>
        </is>
      </c>
      <c r="V769" s="2" t="inlineStr">
        <is>
          <t>No</t>
        </is>
      </c>
      <c r="W769" s="2" t="inlineStr">
        <is>
          <t>Yes</t>
        </is>
      </c>
      <c r="X769" s="2" t="inlineStr">
        <is>
          <t>No</t>
        </is>
      </c>
      <c r="Y769" s="2" t="inlineStr">
        <is>
          <t>No</t>
        </is>
      </c>
      <c r="Z769" s="2" t="inlineStr">
        <is>
          <t>Yes</t>
        </is>
      </c>
      <c r="AA769" s="6" t="n">
        <v>3.012503997</v>
      </c>
      <c r="AB769" s="6" t="n">
        <v>3.253287108</v>
      </c>
      <c r="AC769" s="6" t="n">
        <v>3.012503997</v>
      </c>
      <c r="AD769">
        <f t="array" ref="AD769">IF(SUMPRODUCT(--($AM$2:$AM$112=TRIM(LEFT($B769,IFERROR(FIND(" ",$B769)-1,LEN($B769))))))&gt;0,1,0)</f>
        <v/>
      </c>
      <c r="AE769">
        <f t="array" ref="AE769">IF(SUMPRODUCT(--($AO$2:$AO$145=TRIM(LEFT($B769,IFERROR(FIND(" ",$B769)-1,LEN($B769))))))&gt;0,1,0)</f>
        <v/>
      </c>
      <c r="AF769">
        <f t="array" ref="AF769">IF(SUMPRODUCT(--($AQ$2:$AQ$71=TRIM(LEFT($B769,IFERROR(FIND(" ",$B769)-1,LEN($B769))))))&gt;0,1,0)</f>
        <v/>
      </c>
    </row>
    <row r="770" ht="165.75" customHeight="1" thickBot="1">
      <c r="A770" s="13" t="n">
        <v>97</v>
      </c>
      <c r="B770" s="4" t="inlineStr">
        <is>
          <t>PEGI US</t>
        </is>
      </c>
      <c r="C770" s="2" t="n"/>
      <c r="D770" s="7" t="n">
        <v>43773</v>
      </c>
      <c r="E770" s="3" t="n">
        <v>5948.94</v>
      </c>
      <c r="F770" s="4" t="inlineStr">
        <is>
          <t>Cash</t>
        </is>
      </c>
      <c r="G770" s="3" t="n">
        <v>20.71</v>
      </c>
      <c r="H770" s="4" t="inlineStr">
        <is>
          <t>Utilities</t>
        </is>
      </c>
      <c r="I770" s="4" t="inlineStr">
        <is>
          <t>Utilities</t>
        </is>
      </c>
      <c r="J770" s="4" t="inlineStr">
        <is>
          <t>Electric Utilities</t>
        </is>
      </c>
      <c r="K770" s="3" t="n">
        <v>204</v>
      </c>
      <c r="L770" s="3" t="n">
        <v>79</v>
      </c>
      <c r="M770" s="4" t="n"/>
      <c r="N770" s="3" t="n">
        <v>2627.94</v>
      </c>
      <c r="O770" s="4" t="inlineStr">
        <is>
          <t>United States</t>
        </is>
      </c>
      <c r="P770" s="4" t="inlineStr">
        <is>
          <t>Canada</t>
        </is>
      </c>
      <c r="Q770" s="4" t="inlineStr">
        <is>
          <t>Friendly</t>
        </is>
      </c>
      <c r="R770" s="3" t="n">
        <v>541</v>
      </c>
      <c r="S770" s="3" t="n">
        <v>-8.687620000000001</v>
      </c>
      <c r="T770" s="4" t="inlineStr">
        <is>
          <t>PE Buyout, Company Takeover, Cross Border, Private Equity, Going Private</t>
        </is>
      </c>
      <c r="U770" s="2" t="inlineStr">
        <is>
          <t>No</t>
        </is>
      </c>
      <c r="V770" s="2" t="inlineStr">
        <is>
          <t>No</t>
        </is>
      </c>
      <c r="W770" s="2" t="inlineStr">
        <is>
          <t>Yes</t>
        </is>
      </c>
      <c r="X770" s="2" t="inlineStr">
        <is>
          <t>Yes</t>
        </is>
      </c>
      <c r="Y770" s="2" t="inlineStr">
        <is>
          <t>Yes</t>
        </is>
      </c>
      <c r="Z770" s="2" t="inlineStr">
        <is>
          <t>No</t>
        </is>
      </c>
      <c r="AA770" s="6" t="n">
        <v>3.774439589</v>
      </c>
      <c r="AB770" s="6" t="n">
        <v>2.733197265</v>
      </c>
      <c r="AC770" s="6" t="n">
        <v>3.419615445</v>
      </c>
      <c r="AD770">
        <f t="array" ref="AD770">IF(SUMPRODUCT(--($AM$2:$AM$112=TRIM(LEFT($B770,IFERROR(FIND(" ",$B770)-1,LEN($B770))))))&gt;0,1,0)</f>
        <v/>
      </c>
      <c r="AE770">
        <f t="array" ref="AE770">IF(SUMPRODUCT(--($AO$2:$AO$145=TRIM(LEFT($B770,IFERROR(FIND(" ",$B770)-1,LEN($B770))))))&gt;0,1,0)</f>
        <v/>
      </c>
      <c r="AF770">
        <f t="array" ref="AF770">IF(SUMPRODUCT(--($AQ$2:$AQ$71=TRIM(LEFT($B770,IFERROR(FIND(" ",$B770)-1,LEN($B770))))))&gt;0,1,0)</f>
        <v/>
      </c>
    </row>
    <row r="771" ht="45.75" customHeight="1" thickBot="1">
      <c r="A771" s="13" t="n">
        <v>74</v>
      </c>
      <c r="B771" s="4" t="inlineStr">
        <is>
          <t>AKS US</t>
        </is>
      </c>
      <c r="C771" s="4" t="inlineStr">
        <is>
          <t>CLF US</t>
        </is>
      </c>
      <c r="D771" s="7" t="n">
        <v>43802</v>
      </c>
      <c r="E771" s="3" t="n">
        <v>2211.6</v>
      </c>
      <c r="F771" s="4" t="inlineStr">
        <is>
          <t>Stock</t>
        </is>
      </c>
      <c r="G771" s="3" t="n">
        <v>5.55</v>
      </c>
      <c r="H771" s="4" t="inlineStr">
        <is>
          <t>Materials</t>
        </is>
      </c>
      <c r="I771" s="4" t="inlineStr">
        <is>
          <t>Materials</t>
        </is>
      </c>
      <c r="J771" s="4" t="inlineStr">
        <is>
          <t>Steel</t>
        </is>
      </c>
      <c r="K771" s="3" t="n">
        <v>30</v>
      </c>
      <c r="L771" s="3" t="n">
        <v>30</v>
      </c>
      <c r="M771" s="4" t="n"/>
      <c r="N771" s="2" t="n"/>
      <c r="O771" s="4" t="inlineStr">
        <is>
          <t>United States</t>
        </is>
      </c>
      <c r="P771" s="4" t="inlineStr">
        <is>
          <t>United States</t>
        </is>
      </c>
      <c r="Q771" s="4" t="inlineStr">
        <is>
          <t>Friendly</t>
        </is>
      </c>
      <c r="R771" s="3" t="n">
        <v>21996</v>
      </c>
      <c r="S771" s="3" t="n">
        <v>3.29119</v>
      </c>
      <c r="T771" s="4" t="inlineStr">
        <is>
          <t>Company Takeover</t>
        </is>
      </c>
      <c r="U771" s="2" t="inlineStr">
        <is>
          <t>No</t>
        </is>
      </c>
      <c r="V771" s="2" t="inlineStr">
        <is>
          <t>No</t>
        </is>
      </c>
      <c r="W771" s="2" t="inlineStr">
        <is>
          <t>No</t>
        </is>
      </c>
      <c r="X771" s="2" t="inlineStr">
        <is>
          <t>No</t>
        </is>
      </c>
      <c r="Y771" s="2" t="inlineStr">
        <is>
          <t>No</t>
        </is>
      </c>
      <c r="Z771" s="2" t="inlineStr">
        <is>
          <t>No</t>
        </is>
      </c>
      <c r="AA771" s="6" t="n">
        <v>3.344706581</v>
      </c>
      <c r="AB771" s="6" t="n">
        <v>4.342343711</v>
      </c>
      <c r="AC771" s="2" t="n"/>
      <c r="AD771">
        <f t="array" ref="AD771">IF(SUMPRODUCT(--($AM$2:$AM$112=TRIM(LEFT($B771,IFERROR(FIND(" ",$B771)-1,LEN($B771))))))&gt;0,1,0)</f>
        <v/>
      </c>
      <c r="AE771">
        <f t="array" ref="AE771">IF(SUMPRODUCT(--($AO$2:$AO$145=TRIM(LEFT($B771,IFERROR(FIND(" ",$B771)-1,LEN($B771))))))&gt;0,1,0)</f>
        <v/>
      </c>
      <c r="AF771">
        <f t="array" ref="AF771">IF(SUMPRODUCT(--($AQ$2:$AQ$71=TRIM(LEFT($B771,IFERROR(FIND(" ",$B771)-1,LEN($B771))))))&gt;0,1,0)</f>
        <v/>
      </c>
    </row>
    <row r="772" ht="45.75" customHeight="1" thickBot="1">
      <c r="A772" s="13" t="n">
        <v>65</v>
      </c>
      <c r="B772" s="4" t="inlineStr">
        <is>
          <t>LMC CN</t>
        </is>
      </c>
      <c r="C772" s="4" t="inlineStr">
        <is>
          <t>EQX CN</t>
        </is>
      </c>
      <c r="D772" s="7" t="n">
        <v>43815</v>
      </c>
      <c r="E772" s="3" t="n">
        <v>816.21</v>
      </c>
      <c r="F772" s="4" t="inlineStr">
        <is>
          <t>Stock</t>
        </is>
      </c>
      <c r="G772" s="3" t="n">
        <v>6.59</v>
      </c>
      <c r="H772" s="4" t="inlineStr">
        <is>
          <t>Materials</t>
        </is>
      </c>
      <c r="I772" s="4" t="inlineStr">
        <is>
          <t>Materials</t>
        </is>
      </c>
      <c r="J772" s="4" t="inlineStr">
        <is>
          <t>Metals &amp; Mining</t>
        </is>
      </c>
      <c r="K772" s="3" t="n">
        <v>20</v>
      </c>
      <c r="L772" s="3" t="n">
        <v>20</v>
      </c>
      <c r="M772" s="3" t="n">
        <v>18.1</v>
      </c>
      <c r="N772" s="3" t="n">
        <v>568.86</v>
      </c>
      <c r="O772" s="4" t="inlineStr">
        <is>
          <t>Canada</t>
        </is>
      </c>
      <c r="P772" s="4" t="inlineStr">
        <is>
          <t>Canada</t>
        </is>
      </c>
      <c r="Q772" s="4" t="inlineStr">
        <is>
          <t>Friendly</t>
        </is>
      </c>
      <c r="R772" s="3" t="n">
        <v>376.511</v>
      </c>
      <c r="S772" s="3" t="n">
        <v>12.2949</v>
      </c>
      <c r="T772" s="4" t="inlineStr">
        <is>
          <t>Company Takeover</t>
        </is>
      </c>
      <c r="U772" s="2" t="inlineStr">
        <is>
          <t>No</t>
        </is>
      </c>
      <c r="V772" s="2" t="inlineStr">
        <is>
          <t>No</t>
        </is>
      </c>
      <c r="W772" s="2" t="inlineStr">
        <is>
          <t>No</t>
        </is>
      </c>
      <c r="X772" s="2" t="inlineStr">
        <is>
          <t>No</t>
        </is>
      </c>
      <c r="Y772" s="2" t="inlineStr">
        <is>
          <t>No</t>
        </is>
      </c>
      <c r="Z772" s="2" t="inlineStr">
        <is>
          <t>No</t>
        </is>
      </c>
      <c r="AA772" s="6" t="n">
        <v>2.911801911</v>
      </c>
      <c r="AB772" s="6" t="n">
        <v>2.575777669</v>
      </c>
      <c r="AC772" s="6" t="n">
        <v>2.755005397</v>
      </c>
      <c r="AD772">
        <f t="array" ref="AD772">IF(SUMPRODUCT(--($AM$2:$AM$112=TRIM(LEFT($B772,IFERROR(FIND(" ",$B772)-1,LEN($B772))))))&gt;0,1,0)</f>
        <v/>
      </c>
      <c r="AE772">
        <f t="array" ref="AE772">IF(SUMPRODUCT(--($AO$2:$AO$145=TRIM(LEFT($B772,IFERROR(FIND(" ",$B772)-1,LEN($B772))))))&gt;0,1,0)</f>
        <v/>
      </c>
      <c r="AF772">
        <f t="array" ref="AF772">IF(SUMPRODUCT(--($AQ$2:$AQ$71=TRIM(LEFT($B772,IFERROR(FIND(" ",$B772)-1,LEN($B772))))))&gt;0,1,0)</f>
        <v/>
      </c>
    </row>
    <row r="773" ht="165.75" customHeight="1" thickBot="1">
      <c r="A773" s="13" t="n">
        <v>219</v>
      </c>
      <c r="B773" s="4" t="inlineStr">
        <is>
          <t>ZAYO US</t>
        </is>
      </c>
      <c r="C773" s="2" t="n"/>
      <c r="D773" s="7" t="n">
        <v>43593</v>
      </c>
      <c r="E773" s="3" t="n">
        <v>14133.84</v>
      </c>
      <c r="F773" s="4" t="inlineStr">
        <is>
          <t>Cash</t>
        </is>
      </c>
      <c r="G773" s="3" t="n">
        <v>12.06</v>
      </c>
      <c r="H773" s="4" t="inlineStr">
        <is>
          <t>Communications</t>
        </is>
      </c>
      <c r="I773" s="4" t="inlineStr">
        <is>
          <t>Telecommunications</t>
        </is>
      </c>
      <c r="J773" s="4" t="inlineStr">
        <is>
          <t>Telecommunications</t>
        </is>
      </c>
      <c r="K773" s="4" t="n"/>
      <c r="L773" s="3" t="n">
        <v>209.7</v>
      </c>
      <c r="M773" s="3" t="n">
        <v>12.19</v>
      </c>
      <c r="N773" s="3" t="n">
        <v>8220.74</v>
      </c>
      <c r="O773" s="4" t="inlineStr">
        <is>
          <t>United States</t>
        </is>
      </c>
      <c r="P773" s="4" t="inlineStr">
        <is>
          <t>Luxembourg</t>
        </is>
      </c>
      <c r="Q773" s="4" t="inlineStr">
        <is>
          <t>Friendly</t>
        </is>
      </c>
      <c r="R773" s="3" t="n">
        <v>2578</v>
      </c>
      <c r="S773" s="3" t="n">
        <v>20.1614</v>
      </c>
      <c r="T773" s="4" t="inlineStr">
        <is>
          <t>PE Buyout, Company Takeover, Cross Border, Private Equity, Going Private</t>
        </is>
      </c>
      <c r="U773" s="2" t="inlineStr">
        <is>
          <t>No</t>
        </is>
      </c>
      <c r="V773" s="2" t="inlineStr">
        <is>
          <t>No</t>
        </is>
      </c>
      <c r="W773" s="2" t="inlineStr">
        <is>
          <t>Yes</t>
        </is>
      </c>
      <c r="X773" s="2" t="inlineStr">
        <is>
          <t>Yes</t>
        </is>
      </c>
      <c r="Y773" s="2" t="inlineStr">
        <is>
          <t>Yes</t>
        </is>
      </c>
      <c r="Z773" s="2" t="inlineStr">
        <is>
          <t>No</t>
        </is>
      </c>
      <c r="AA773" s="6" t="n">
        <v>4.150260171</v>
      </c>
      <c r="AB773" s="6" t="n">
        <v>3.411282913</v>
      </c>
      <c r="AC773" s="6" t="n">
        <v>3.914910913</v>
      </c>
      <c r="AD773">
        <f t="array" ref="AD773">IF(SUMPRODUCT(--($AM$2:$AM$112=TRIM(LEFT($B773,IFERROR(FIND(" ",$B773)-1,LEN($B773))))))&gt;0,1,0)</f>
        <v/>
      </c>
      <c r="AE773">
        <f t="array" ref="AE773">IF(SUMPRODUCT(--($AO$2:$AO$145=TRIM(LEFT($B773,IFERROR(FIND(" ",$B773)-1,LEN($B773))))))&gt;0,1,0)</f>
        <v/>
      </c>
      <c r="AF773">
        <f t="array" ref="AF773">IF(SUMPRODUCT(--($AQ$2:$AQ$71=TRIM(LEFT($B773,IFERROR(FIND(" ",$B773)-1,LEN($B773))))))&gt;0,1,0)</f>
        <v/>
      </c>
    </row>
    <row r="774" ht="75.75" customHeight="1" thickBot="1">
      <c r="A774" s="13" t="n">
        <v>71</v>
      </c>
      <c r="B774" s="4" t="inlineStr">
        <is>
          <t>CNL CN</t>
        </is>
      </c>
      <c r="C774" s="4" t="inlineStr">
        <is>
          <t>2899 HK</t>
        </is>
      </c>
      <c r="D774" s="7" t="n">
        <v>43801</v>
      </c>
      <c r="E774" s="3" t="n">
        <v>1166.52</v>
      </c>
      <c r="F774" s="4" t="inlineStr">
        <is>
          <t>Cash</t>
        </is>
      </c>
      <c r="G774" s="4" t="n"/>
      <c r="H774" s="4" t="inlineStr">
        <is>
          <t>Materials</t>
        </is>
      </c>
      <c r="I774" s="4" t="inlineStr">
        <is>
          <t>Materials</t>
        </is>
      </c>
      <c r="J774" s="4" t="inlineStr">
        <is>
          <t>Metals &amp; Mining</t>
        </is>
      </c>
      <c r="K774" s="4" t="n"/>
      <c r="L774" s="3" t="n">
        <v>35</v>
      </c>
      <c r="M774" s="3" t="n">
        <v>29.84</v>
      </c>
      <c r="N774" s="3" t="n">
        <v>840.03</v>
      </c>
      <c r="O774" s="4" t="inlineStr">
        <is>
          <t>Canada</t>
        </is>
      </c>
      <c r="P774" s="4" t="inlineStr">
        <is>
          <t>China</t>
        </is>
      </c>
      <c r="Q774" s="4" t="inlineStr">
        <is>
          <t>Friendly</t>
        </is>
      </c>
      <c r="R774" s="2" t="n"/>
      <c r="S774" s="2" t="n"/>
      <c r="T774" s="4" t="inlineStr">
        <is>
          <t>Company Takeover, Cross Border</t>
        </is>
      </c>
      <c r="U774" s="2" t="inlineStr">
        <is>
          <t>No</t>
        </is>
      </c>
      <c r="V774" s="2" t="inlineStr">
        <is>
          <t>No</t>
        </is>
      </c>
      <c r="W774" s="2" t="inlineStr">
        <is>
          <t>Yes</t>
        </is>
      </c>
      <c r="X774" s="2" t="inlineStr">
        <is>
          <t>No</t>
        </is>
      </c>
      <c r="Y774" s="2" t="inlineStr">
        <is>
          <t>No</t>
        </is>
      </c>
      <c r="Z774" s="2" t="inlineStr">
        <is>
          <t>No</t>
        </is>
      </c>
      <c r="AA774" s="6" t="n">
        <v>3.066892189</v>
      </c>
      <c r="AB774" s="2" t="n"/>
      <c r="AC774" s="6" t="n">
        <v>2.924294796</v>
      </c>
      <c r="AD774">
        <f t="array" ref="AD774">IF(SUMPRODUCT(--($AM$2:$AM$112=TRIM(LEFT($B774,IFERROR(FIND(" ",$B774)-1,LEN($B774))))))&gt;0,1,0)</f>
        <v/>
      </c>
      <c r="AE774">
        <f t="array" ref="AE774">IF(SUMPRODUCT(--($AO$2:$AO$145=TRIM(LEFT($B774,IFERROR(FIND(" ",$B774)-1,LEN($B774))))))&gt;0,1,0)</f>
        <v/>
      </c>
      <c r="AF774">
        <f t="array" ref="AF774">IF(SUMPRODUCT(--($AQ$2:$AQ$71=TRIM(LEFT($B774,IFERROR(FIND(" ",$B774)-1,LEN($B774))))))&gt;0,1,0)</f>
        <v/>
      </c>
    </row>
    <row r="775" ht="270.75" customHeight="1" thickBot="1">
      <c r="A775" s="13" t="n">
        <v>99</v>
      </c>
      <c r="B775" s="4" t="inlineStr">
        <is>
          <t>HBC CN</t>
        </is>
      </c>
      <c r="C775" s="2" t="n"/>
      <c r="D775" s="7" t="n">
        <v>43759</v>
      </c>
      <c r="E775" s="3" t="n">
        <v>666.21</v>
      </c>
      <c r="F775" s="4" t="inlineStr">
        <is>
          <t>Cash</t>
        </is>
      </c>
      <c r="G775" s="3" t="n">
        <v>2.15</v>
      </c>
      <c r="H775" s="4" t="inlineStr">
        <is>
          <t>Consumer Discretionary</t>
        </is>
      </c>
      <c r="I775" s="4" t="inlineStr">
        <is>
          <t>Retail &amp; Whsle - Discretionary</t>
        </is>
      </c>
      <c r="J775" s="4" t="inlineStr">
        <is>
          <t>Retail - Discretionary</t>
        </is>
      </c>
      <c r="K775" s="4" t="n"/>
      <c r="L775" s="4" t="n"/>
      <c r="M775" s="3" t="n">
        <v>12.2</v>
      </c>
      <c r="N775" s="3" t="n">
        <v>666.21</v>
      </c>
      <c r="O775" s="4" t="inlineStr">
        <is>
          <t>Canada</t>
        </is>
      </c>
      <c r="P775" s="4" t="inlineStr">
        <is>
          <t>United States</t>
        </is>
      </c>
      <c r="Q775" s="4" t="inlineStr">
        <is>
          <t>Friendly</t>
        </is>
      </c>
      <c r="R775" s="3" t="n">
        <v>6192.07</v>
      </c>
      <c r="S775" s="3" t="n">
        <v>7.56972</v>
      </c>
      <c r="T775" s="4" t="inlineStr">
        <is>
          <t>PE Buyout, Company Takeover, Going Private, Cross Border, Management Buyout, Private Equity, Additional Stake Purchase</t>
        </is>
      </c>
      <c r="U775" s="2" t="inlineStr">
        <is>
          <t>Yes</t>
        </is>
      </c>
      <c r="V775" s="2" t="inlineStr">
        <is>
          <t>No</t>
        </is>
      </c>
      <c r="W775" s="2" t="inlineStr">
        <is>
          <t>Yes</t>
        </is>
      </c>
      <c r="X775" s="2" t="inlineStr">
        <is>
          <t>Yes</t>
        </is>
      </c>
      <c r="Y775" s="2" t="inlineStr">
        <is>
          <t>Yes</t>
        </is>
      </c>
      <c r="Z775" s="2" t="inlineStr">
        <is>
          <t>No</t>
        </is>
      </c>
      <c r="AA775" s="6" t="n">
        <v>2.823611147</v>
      </c>
      <c r="AB775" s="6" t="n">
        <v>3.791835857</v>
      </c>
      <c r="AC775" s="6" t="n">
        <v>2.823611147</v>
      </c>
      <c r="AD775">
        <f t="array" ref="AD775">IF(SUMPRODUCT(--($AM$2:$AM$112=TRIM(LEFT($B775,IFERROR(FIND(" ",$B775)-1,LEN($B775))))))&gt;0,1,0)</f>
        <v/>
      </c>
      <c r="AE775">
        <f t="array" ref="AE775">IF(SUMPRODUCT(--($AO$2:$AO$145=TRIM(LEFT($B775,IFERROR(FIND(" ",$B775)-1,LEN($B775))))))&gt;0,1,0)</f>
        <v/>
      </c>
      <c r="AF775">
        <f t="array" ref="AF775">IF(SUMPRODUCT(--($AQ$2:$AQ$71=TRIM(LEFT($B775,IFERROR(FIND(" ",$B775)-1,LEN($B775))))))&gt;0,1,0)</f>
        <v/>
      </c>
    </row>
    <row r="776" ht="75.75" customHeight="1" thickBot="1">
      <c r="A776" s="13" t="n">
        <v>37</v>
      </c>
      <c r="B776" s="4" t="inlineStr">
        <is>
          <t>9998522D US</t>
        </is>
      </c>
      <c r="C776" s="4" t="inlineStr">
        <is>
          <t>PRMW CN</t>
        </is>
      </c>
      <c r="D776" s="7" t="n">
        <v>43843</v>
      </c>
      <c r="E776" s="3" t="n">
        <v>750.53</v>
      </c>
      <c r="F776" s="4" t="inlineStr">
        <is>
          <t>Cash or Stock</t>
        </is>
      </c>
      <c r="G776" s="3" t="n">
        <v>16.99</v>
      </c>
      <c r="H776" s="4" t="inlineStr">
        <is>
          <t>Consumer Staples</t>
        </is>
      </c>
      <c r="I776" s="4" t="inlineStr">
        <is>
          <t>Consumer Staple Products</t>
        </is>
      </c>
      <c r="J776" s="4" t="inlineStr">
        <is>
          <t>Beverages</t>
        </is>
      </c>
      <c r="K776" s="4" t="n"/>
      <c r="L776" s="3" t="n">
        <v>18.94</v>
      </c>
      <c r="M776" s="4" t="n"/>
      <c r="N776" s="3" t="n">
        <v>549.29</v>
      </c>
      <c r="O776" s="4" t="inlineStr">
        <is>
          <t>United States</t>
        </is>
      </c>
      <c r="P776" s="4" t="inlineStr">
        <is>
          <t>United States</t>
        </is>
      </c>
      <c r="Q776" s="4" t="inlineStr">
        <is>
          <t>Friendly</t>
        </is>
      </c>
      <c r="R776" s="3" t="n">
        <v>316.672</v>
      </c>
      <c r="S776" s="3" t="n">
        <v>4.92909</v>
      </c>
      <c r="T776" s="4" t="inlineStr">
        <is>
          <t>Company Takeover, Tender Offer</t>
        </is>
      </c>
      <c r="U776" s="2" t="inlineStr">
        <is>
          <t>No</t>
        </is>
      </c>
      <c r="V776" s="2" t="inlineStr">
        <is>
          <t>No</t>
        </is>
      </c>
      <c r="W776" s="2" t="inlineStr">
        <is>
          <t>No</t>
        </is>
      </c>
      <c r="X776" s="2" t="inlineStr">
        <is>
          <t>No</t>
        </is>
      </c>
      <c r="Y776" s="2" t="inlineStr">
        <is>
          <t>No</t>
        </is>
      </c>
      <c r="Z776" s="2" t="inlineStr">
        <is>
          <t>Yes</t>
        </is>
      </c>
      <c r="AA776" s="6" t="n">
        <v>2.875368056</v>
      </c>
      <c r="AB776" s="6" t="n">
        <v>2.500609665</v>
      </c>
      <c r="AC776" s="6" t="n">
        <v>2.739801693</v>
      </c>
      <c r="AD776">
        <f t="array" ref="AD776">IF(SUMPRODUCT(--($AM$2:$AM$112=TRIM(LEFT($B776,IFERROR(FIND(" ",$B776)-1,LEN($B776))))))&gt;0,1,0)</f>
        <v/>
      </c>
      <c r="AE776">
        <f t="array" ref="AE776">IF(SUMPRODUCT(--($AO$2:$AO$145=TRIM(LEFT($B776,IFERROR(FIND(" ",$B776)-1,LEN($B776))))))&gt;0,1,0)</f>
        <v/>
      </c>
      <c r="AF776">
        <f t="array" ref="AF776">IF(SUMPRODUCT(--($AQ$2:$AQ$71=TRIM(LEFT($B776,IFERROR(FIND(" ",$B776)-1,LEN($B776))))))&gt;0,1,0)</f>
        <v/>
      </c>
    </row>
    <row r="777" ht="75.75" customHeight="1" thickBot="1">
      <c r="A777" s="13" t="n">
        <v>31</v>
      </c>
      <c r="B777" s="4" t="inlineStr">
        <is>
          <t>1934798D US</t>
        </is>
      </c>
      <c r="C777" s="4" t="inlineStr">
        <is>
          <t>LLY US</t>
        </is>
      </c>
      <c r="D777" s="7" t="n">
        <v>43840</v>
      </c>
      <c r="E777" s="3" t="n">
        <v>1031.52</v>
      </c>
      <c r="F777" s="4" t="inlineStr">
        <is>
          <t>Cash</t>
        </is>
      </c>
      <c r="G777" s="4" t="n"/>
      <c r="H777" s="4" t="inlineStr">
        <is>
          <t>Health Care</t>
        </is>
      </c>
      <c r="I777" s="4" t="inlineStr">
        <is>
          <t>Health Care</t>
        </is>
      </c>
      <c r="J777" s="4" t="inlineStr">
        <is>
          <t>Biotech &amp; Pharma</t>
        </is>
      </c>
      <c r="K777" s="4" t="n"/>
      <c r="L777" s="3" t="n">
        <v>40</v>
      </c>
      <c r="M777" s="3" t="n">
        <v>29.85</v>
      </c>
      <c r="N777" s="3" t="n">
        <v>1022.27</v>
      </c>
      <c r="O777" s="4" t="inlineStr">
        <is>
          <t>United States</t>
        </is>
      </c>
      <c r="P777" s="4" t="inlineStr">
        <is>
          <t>United States</t>
        </is>
      </c>
      <c r="Q777" s="4" t="inlineStr">
        <is>
          <t>Friendly</t>
        </is>
      </c>
      <c r="R777" s="3" t="n">
        <v>42.339</v>
      </c>
      <c r="S777" s="3" t="n">
        <v>-246.995</v>
      </c>
      <c r="T777" s="4" t="inlineStr">
        <is>
          <t>Company Takeover, Tender Offer</t>
        </is>
      </c>
      <c r="U777" s="2" t="inlineStr">
        <is>
          <t>No</t>
        </is>
      </c>
      <c r="V777" s="2" t="inlineStr">
        <is>
          <t>No</t>
        </is>
      </c>
      <c r="W777" s="2" t="inlineStr">
        <is>
          <t>No</t>
        </is>
      </c>
      <c r="X777" s="2" t="inlineStr">
        <is>
          <t>No</t>
        </is>
      </c>
      <c r="Y777" s="2" t="inlineStr">
        <is>
          <t>No</t>
        </is>
      </c>
      <c r="Z777" s="2" t="inlineStr">
        <is>
          <t>Yes</t>
        </is>
      </c>
      <c r="AA777" s="6" t="n">
        <v>3.013477653</v>
      </c>
      <c r="AB777" s="6" t="n">
        <v>1.626740596</v>
      </c>
      <c r="AC777" s="6" t="n">
        <v>3.009565616</v>
      </c>
      <c r="AD777">
        <f t="array" ref="AD777">IF(SUMPRODUCT(--($AM$2:$AM$112=TRIM(LEFT($B777,IFERROR(FIND(" ",$B777)-1,LEN($B777))))))&gt;0,1,0)</f>
        <v/>
      </c>
      <c r="AE777">
        <f t="array" ref="AE777">IF(SUMPRODUCT(--($AO$2:$AO$145=TRIM(LEFT($B777,IFERROR(FIND(" ",$B777)-1,LEN($B777))))))&gt;0,1,0)</f>
        <v/>
      </c>
      <c r="AF777">
        <f t="array" ref="AF777">IF(SUMPRODUCT(--($AQ$2:$AQ$71=TRIM(LEFT($B777,IFERROR(FIND(" ",$B777)-1,LEN($B777))))))&gt;0,1,0)</f>
        <v/>
      </c>
    </row>
    <row r="778" ht="120.75" customHeight="1" thickBot="1">
      <c r="A778" s="13" t="n">
        <v>49</v>
      </c>
      <c r="B778" s="4" t="inlineStr">
        <is>
          <t>PWF CN</t>
        </is>
      </c>
      <c r="C778" s="4" t="inlineStr">
        <is>
          <t>POW CN</t>
        </is>
      </c>
      <c r="D778" s="7" t="n">
        <v>43812</v>
      </c>
      <c r="E778" s="3" t="n">
        <v>5959.24</v>
      </c>
      <c r="F778" s="4" t="inlineStr">
        <is>
          <t>Cash and Stock</t>
        </is>
      </c>
      <c r="G778" s="4" t="n"/>
      <c r="H778" s="4" t="inlineStr">
        <is>
          <t>Financials</t>
        </is>
      </c>
      <c r="I778" s="4" t="inlineStr">
        <is>
          <t>Insurance</t>
        </is>
      </c>
      <c r="J778" s="4" t="inlineStr">
        <is>
          <t>Insurance</t>
        </is>
      </c>
      <c r="K778" s="4" t="n"/>
      <c r="L778" s="4" t="n"/>
      <c r="M778" s="3" t="n">
        <v>2.13</v>
      </c>
      <c r="N778" s="3" t="n">
        <v>5959.24</v>
      </c>
      <c r="O778" s="4" t="inlineStr">
        <is>
          <t>Canada</t>
        </is>
      </c>
      <c r="P778" s="4" t="inlineStr">
        <is>
          <t>Canada</t>
        </is>
      </c>
      <c r="Q778" s="4" t="inlineStr">
        <is>
          <t>Friendly</t>
        </is>
      </c>
      <c r="R778" s="3" t="n">
        <v>26545</v>
      </c>
      <c r="S778" s="3" t="n">
        <v>16.0987</v>
      </c>
      <c r="T778" s="4" t="inlineStr">
        <is>
          <t>Company Takeover, Additional Stake Purchase</t>
        </is>
      </c>
      <c r="U778" s="2" t="inlineStr">
        <is>
          <t>Yes</t>
        </is>
      </c>
      <c r="V778" s="2" t="inlineStr">
        <is>
          <t>No</t>
        </is>
      </c>
      <c r="W778" s="2" t="inlineStr">
        <is>
          <t>No</t>
        </is>
      </c>
      <c r="X778" s="2" t="inlineStr">
        <is>
          <t>No</t>
        </is>
      </c>
      <c r="Y778" s="2" t="inlineStr">
        <is>
          <t>No</t>
        </is>
      </c>
      <c r="Z778" s="2" t="inlineStr">
        <is>
          <t>No</t>
        </is>
      </c>
      <c r="AA778" s="6" t="n">
        <v>3.775190876</v>
      </c>
      <c r="AB778" s="6" t="n">
        <v>4.42398273</v>
      </c>
      <c r="AC778" s="6" t="n">
        <v>3.775190876</v>
      </c>
      <c r="AD778">
        <f t="array" ref="AD778">IF(SUMPRODUCT(--($AM$2:$AM$112=TRIM(LEFT($B778,IFERROR(FIND(" ",$B778)-1,LEN($B778))))))&gt;0,1,0)</f>
        <v/>
      </c>
      <c r="AE778">
        <f t="array" ref="AE778">IF(SUMPRODUCT(--($AO$2:$AO$145=TRIM(LEFT($B778,IFERROR(FIND(" ",$B778)-1,LEN($B778))))))&gt;0,1,0)</f>
        <v/>
      </c>
      <c r="AF778">
        <f t="array" ref="AF778">IF(SUMPRODUCT(--($AQ$2:$AQ$71=TRIM(LEFT($B778,IFERROR(FIND(" ",$B778)-1,LEN($B778))))))&gt;0,1,0)</f>
        <v/>
      </c>
    </row>
    <row r="779" ht="75.75" customHeight="1" thickBot="1">
      <c r="A779" s="13" t="n">
        <v>70</v>
      </c>
      <c r="B779" s="4" t="inlineStr">
        <is>
          <t>LTS US</t>
        </is>
      </c>
      <c r="C779" s="4" t="inlineStr">
        <is>
          <t>1522085D US</t>
        </is>
      </c>
      <c r="D779" s="7" t="n">
        <v>43780</v>
      </c>
      <c r="E779" s="3" t="n">
        <v>520.6</v>
      </c>
      <c r="F779" s="4" t="inlineStr">
        <is>
          <t>Cash</t>
        </is>
      </c>
      <c r="G779" s="3" t="n">
        <v>14.99</v>
      </c>
      <c r="H779" s="4" t="inlineStr">
        <is>
          <t>Financials</t>
        </is>
      </c>
      <c r="I779" s="4" t="inlineStr">
        <is>
          <t>Financial Services</t>
        </is>
      </c>
      <c r="J779" s="4" t="inlineStr">
        <is>
          <t>Asset Management</t>
        </is>
      </c>
      <c r="K779" s="3" t="n">
        <v>35.3</v>
      </c>
      <c r="L779" s="3" t="n">
        <v>19</v>
      </c>
      <c r="M779" s="4" t="n"/>
      <c r="N779" s="3" t="n">
        <v>520.6</v>
      </c>
      <c r="O779" s="4" t="inlineStr">
        <is>
          <t>United States</t>
        </is>
      </c>
      <c r="P779" s="4" t="inlineStr">
        <is>
          <t>United States</t>
        </is>
      </c>
      <c r="Q779" s="4" t="inlineStr">
        <is>
          <t>Friendly</t>
        </is>
      </c>
      <c r="R779" s="3" t="n">
        <v>1469.3</v>
      </c>
      <c r="S779" s="3" t="n">
        <v>2.04226</v>
      </c>
      <c r="T779" s="4" t="inlineStr">
        <is>
          <t>Company Takeover, Going Private</t>
        </is>
      </c>
      <c r="U779" s="2" t="inlineStr">
        <is>
          <t>No</t>
        </is>
      </c>
      <c r="V779" s="2" t="inlineStr">
        <is>
          <t>No</t>
        </is>
      </c>
      <c r="W779" s="2" t="inlineStr">
        <is>
          <t>No</t>
        </is>
      </c>
      <c r="X779" s="2" t="inlineStr">
        <is>
          <t>Yes</t>
        </is>
      </c>
      <c r="Y779" s="2" t="inlineStr">
        <is>
          <t>No</t>
        </is>
      </c>
      <c r="Z779" s="2" t="inlineStr">
        <is>
          <t>No</t>
        </is>
      </c>
      <c r="AA779" s="6" t="n">
        <v>2.716504164</v>
      </c>
      <c r="AB779" s="6" t="n">
        <v>3.167110479</v>
      </c>
      <c r="AC779" s="6" t="n">
        <v>2.716504164</v>
      </c>
      <c r="AD779">
        <f t="array" ref="AD779">IF(SUMPRODUCT(--($AM$2:$AM$112=TRIM(LEFT($B779,IFERROR(FIND(" ",$B779)-1,LEN($B779))))))&gt;0,1,0)</f>
        <v/>
      </c>
      <c r="AE779">
        <f t="array" ref="AE779">IF(SUMPRODUCT(--($AO$2:$AO$145=TRIM(LEFT($B779,IFERROR(FIND(" ",$B779)-1,LEN($B779))))))&gt;0,1,0)</f>
        <v/>
      </c>
      <c r="AF779">
        <f t="array" ref="AF779">IF(SUMPRODUCT(--($AQ$2:$AQ$71=TRIM(LEFT($B779,IFERROR(FIND(" ",$B779)-1,LEN($B779))))))&gt;0,1,0)</f>
        <v/>
      </c>
    </row>
    <row r="780" ht="135.75" customHeight="1" thickBot="1">
      <c r="A780" s="13" t="n">
        <v>81</v>
      </c>
      <c r="B780" s="4" t="inlineStr">
        <is>
          <t>IPHS US</t>
        </is>
      </c>
      <c r="C780" s="4" t="inlineStr">
        <is>
          <t>0277677D US</t>
        </is>
      </c>
      <c r="D780" s="7" t="n">
        <v>43759</v>
      </c>
      <c r="E780" s="3" t="n">
        <v>979.88</v>
      </c>
      <c r="F780" s="4" t="inlineStr">
        <is>
          <t>Cash</t>
        </is>
      </c>
      <c r="G780" s="3" t="n">
        <v>9.18</v>
      </c>
      <c r="H780" s="4" t="inlineStr">
        <is>
          <t>Materials</t>
        </is>
      </c>
      <c r="I780" s="4" t="inlineStr">
        <is>
          <t>Materials</t>
        </is>
      </c>
      <c r="J780" s="4" t="inlineStr">
        <is>
          <t>Chemicals</t>
        </is>
      </c>
      <c r="K780" s="3" t="n">
        <v>40</v>
      </c>
      <c r="L780" s="3" t="n">
        <v>20.6</v>
      </c>
      <c r="M780" s="4" t="n"/>
      <c r="N780" s="3" t="n">
        <v>630.12</v>
      </c>
      <c r="O780" s="4" t="inlineStr">
        <is>
          <t>United States</t>
        </is>
      </c>
      <c r="P780" s="4" t="inlineStr">
        <is>
          <t>United States</t>
        </is>
      </c>
      <c r="Q780" s="4" t="inlineStr">
        <is>
          <t>Friendly</t>
        </is>
      </c>
      <c r="R780" s="3" t="n">
        <v>801.842</v>
      </c>
      <c r="S780" s="3" t="n">
        <v>7.39877</v>
      </c>
      <c r="T780" s="4" t="inlineStr">
        <is>
          <t>PE Buyout, Company Takeover, Private Equity, Going Private</t>
        </is>
      </c>
      <c r="U780" s="2" t="inlineStr">
        <is>
          <t>No</t>
        </is>
      </c>
      <c r="V780" s="2" t="inlineStr">
        <is>
          <t>No</t>
        </is>
      </c>
      <c r="W780" s="2" t="inlineStr">
        <is>
          <t>No</t>
        </is>
      </c>
      <c r="X780" s="2" t="inlineStr">
        <is>
          <t>Yes</t>
        </is>
      </c>
      <c r="Y780" s="2" t="inlineStr">
        <is>
          <t>Yes</t>
        </is>
      </c>
      <c r="Z780" s="2" t="inlineStr">
        <is>
          <t>No</t>
        </is>
      </c>
      <c r="AA780" s="6" t="n">
        <v>2.991172894</v>
      </c>
      <c r="AB780" s="6" t="n">
        <v>2.904088801</v>
      </c>
      <c r="AC780" s="6" t="n">
        <v>2.799423264</v>
      </c>
      <c r="AD780">
        <f t="array" ref="AD780">IF(SUMPRODUCT(--($AM$2:$AM$112=TRIM(LEFT($B780,IFERROR(FIND(" ",$B780)-1,LEN($B780))))))&gt;0,1,0)</f>
        <v/>
      </c>
      <c r="AE780">
        <f t="array" ref="AE780">IF(SUMPRODUCT(--($AO$2:$AO$145=TRIM(LEFT($B780,IFERROR(FIND(" ",$B780)-1,LEN($B780))))))&gt;0,1,0)</f>
        <v/>
      </c>
      <c r="AF780">
        <f t="array" ref="AF780">IF(SUMPRODUCT(--($AQ$2:$AQ$71=TRIM(LEFT($B780,IFERROR(FIND(" ",$B780)-1,LEN($B780))))))&gt;0,1,0)</f>
        <v/>
      </c>
    </row>
    <row r="781" ht="75.75" customHeight="1" thickBot="1">
      <c r="A781" s="13" t="n">
        <v>46</v>
      </c>
      <c r="B781" s="4" t="inlineStr">
        <is>
          <t>DPLO US</t>
        </is>
      </c>
      <c r="C781" s="4" t="inlineStr">
        <is>
          <t>UNH US</t>
        </is>
      </c>
      <c r="D781" s="7" t="n">
        <v>43808</v>
      </c>
      <c r="E781" s="3" t="n">
        <v>871.9</v>
      </c>
      <c r="F781" s="4" t="inlineStr">
        <is>
          <t>Cash</t>
        </is>
      </c>
      <c r="G781" s="4" t="n"/>
      <c r="H781" s="4" t="inlineStr">
        <is>
          <t>Health Care</t>
        </is>
      </c>
      <c r="I781" s="4" t="inlineStr">
        <is>
          <t>Health Care</t>
        </is>
      </c>
      <c r="J781" s="4" t="inlineStr">
        <is>
          <t>Health Care Facilities &amp; Svcs</t>
        </is>
      </c>
      <c r="K781" s="4" t="n"/>
      <c r="L781" s="3" t="n">
        <v>15</v>
      </c>
      <c r="M781" s="3" t="n">
        <v>-13.22</v>
      </c>
      <c r="N781" s="3" t="n">
        <v>303.9</v>
      </c>
      <c r="O781" s="4" t="inlineStr">
        <is>
          <t>United States</t>
        </is>
      </c>
      <c r="P781" s="4" t="inlineStr">
        <is>
          <t>United States</t>
        </is>
      </c>
      <c r="Q781" s="4" t="inlineStr">
        <is>
          <t>Friendly</t>
        </is>
      </c>
      <c r="R781" s="3" t="n">
        <v>5492.52</v>
      </c>
      <c r="S781" s="3" t="n">
        <v>-11.7973</v>
      </c>
      <c r="T781" s="4" t="inlineStr">
        <is>
          <t>Company Takeover, Tender Offer</t>
        </is>
      </c>
      <c r="U781" s="2" t="inlineStr">
        <is>
          <t>No</t>
        </is>
      </c>
      <c r="V781" s="2" t="inlineStr">
        <is>
          <t>No</t>
        </is>
      </c>
      <c r="W781" s="2" t="inlineStr">
        <is>
          <t>No</t>
        </is>
      </c>
      <c r="X781" s="2" t="inlineStr">
        <is>
          <t>No</t>
        </is>
      </c>
      <c r="Y781" s="2" t="inlineStr">
        <is>
          <t>No</t>
        </is>
      </c>
      <c r="Z781" s="2" t="inlineStr">
        <is>
          <t>Yes</t>
        </is>
      </c>
      <c r="AA781" s="6" t="n">
        <v>2.940466678</v>
      </c>
      <c r="AB781" s="6" t="n">
        <v>3.739771647</v>
      </c>
      <c r="AC781" s="6" t="n">
        <v>2.4827307</v>
      </c>
      <c r="AD781">
        <f t="array" ref="AD781">IF(SUMPRODUCT(--($AM$2:$AM$112=TRIM(LEFT($B781,IFERROR(FIND(" ",$B781)-1,LEN($B781))))))&gt;0,1,0)</f>
        <v/>
      </c>
      <c r="AE781">
        <f t="array" ref="AE781">IF(SUMPRODUCT(--($AO$2:$AO$145=TRIM(LEFT($B781,IFERROR(FIND(" ",$B781)-1,LEN($B781))))))&gt;0,1,0)</f>
        <v/>
      </c>
      <c r="AF781">
        <f t="array" ref="AF781">IF(SUMPRODUCT(--($AQ$2:$AQ$71=TRIM(LEFT($B781,IFERROR(FIND(" ",$B781)-1,LEN($B781))))))&gt;0,1,0)</f>
        <v/>
      </c>
    </row>
    <row r="782" ht="75.75" customHeight="1" thickBot="1">
      <c r="A782" s="13" t="n">
        <v>67</v>
      </c>
      <c r="B782" s="4" t="inlineStr">
        <is>
          <t>WLH US</t>
        </is>
      </c>
      <c r="C782" s="4" t="inlineStr">
        <is>
          <t>TMHC US</t>
        </is>
      </c>
      <c r="D782" s="7" t="n">
        <v>43775</v>
      </c>
      <c r="E782" s="3" t="n">
        <v>2152.13</v>
      </c>
      <c r="F782" s="4" t="inlineStr">
        <is>
          <t>Cash and Stock</t>
        </is>
      </c>
      <c r="G782" s="3" t="n">
        <v>18.99</v>
      </c>
      <c r="H782" s="4" t="inlineStr">
        <is>
          <t>Consumer Discretionary</t>
        </is>
      </c>
      <c r="I782" s="4" t="inlineStr">
        <is>
          <t>Consumer Discretionary Products</t>
        </is>
      </c>
      <c r="J782" s="4" t="inlineStr">
        <is>
          <t>Home Construction</t>
        </is>
      </c>
      <c r="K782" s="3" t="n">
        <v>40</v>
      </c>
      <c r="L782" s="3" t="n">
        <v>18</v>
      </c>
      <c r="M782" s="3" t="n">
        <v>15.1</v>
      </c>
      <c r="N782" s="3" t="n">
        <v>738.28</v>
      </c>
      <c r="O782" s="4" t="inlineStr">
        <is>
          <t>United States</t>
        </is>
      </c>
      <c r="P782" s="4" t="inlineStr">
        <is>
          <t>United States</t>
        </is>
      </c>
      <c r="Q782" s="4" t="inlineStr">
        <is>
          <t>Friendly</t>
        </is>
      </c>
      <c r="R782" s="3" t="n">
        <v>2087.17</v>
      </c>
      <c r="S782" s="3" t="n">
        <v>5.05052</v>
      </c>
      <c r="T782" s="4" t="inlineStr">
        <is>
          <t>Company Takeover</t>
        </is>
      </c>
      <c r="U782" s="2" t="inlineStr">
        <is>
          <t>No</t>
        </is>
      </c>
      <c r="V782" s="2" t="inlineStr">
        <is>
          <t>No</t>
        </is>
      </c>
      <c r="W782" s="2" t="inlineStr">
        <is>
          <t>No</t>
        </is>
      </c>
      <c r="X782" s="2" t="inlineStr">
        <is>
          <t>No</t>
        </is>
      </c>
      <c r="Y782" s="2" t="inlineStr">
        <is>
          <t>No</t>
        </is>
      </c>
      <c r="Z782" s="2" t="inlineStr">
        <is>
          <t>No</t>
        </is>
      </c>
      <c r="AA782" s="6" t="n">
        <v>3.332868501</v>
      </c>
      <c r="AB782" s="6" t="n">
        <v>3.319557824</v>
      </c>
      <c r="AC782" s="6" t="n">
        <v>2.868221104</v>
      </c>
      <c r="AD782">
        <f t="array" ref="AD782">IF(SUMPRODUCT(--($AM$2:$AM$112=TRIM(LEFT($B782,IFERROR(FIND(" ",$B782)-1,LEN($B782))))))&gt;0,1,0)</f>
        <v/>
      </c>
      <c r="AE782">
        <f t="array" ref="AE782">IF(SUMPRODUCT(--($AO$2:$AO$145=TRIM(LEFT($B782,IFERROR(FIND(" ",$B782)-1,LEN($B782))))))&gt;0,1,0)</f>
        <v/>
      </c>
      <c r="AF782">
        <f t="array" ref="AF782">IF(SUMPRODUCT(--($AQ$2:$AQ$71=TRIM(LEFT($B782,IFERROR(FIND(" ",$B782)-1,LEN($B782))))))&gt;0,1,0)</f>
        <v/>
      </c>
    </row>
    <row r="783" ht="45.75" customHeight="1" thickBot="1">
      <c r="A783" s="13" t="n">
        <v>72</v>
      </c>
      <c r="B783" s="4" t="inlineStr">
        <is>
          <t>LPT US</t>
        </is>
      </c>
      <c r="C783" s="4" t="inlineStr">
        <is>
          <t>PLD US</t>
        </is>
      </c>
      <c r="D783" s="7" t="n">
        <v>43765</v>
      </c>
      <c r="E783" s="3" t="n">
        <v>12340.51</v>
      </c>
      <c r="F783" s="4" t="inlineStr">
        <is>
          <t>Stock</t>
        </is>
      </c>
      <c r="G783" s="3" t="n">
        <v>29.32</v>
      </c>
      <c r="H783" s="4" t="inlineStr">
        <is>
          <t>Real Estate</t>
        </is>
      </c>
      <c r="I783" s="4" t="inlineStr">
        <is>
          <t>Real Estate</t>
        </is>
      </c>
      <c r="J783" s="4" t="inlineStr">
        <is>
          <t>REIT</t>
        </is>
      </c>
      <c r="K783" s="3" t="n">
        <v>150</v>
      </c>
      <c r="L783" s="3" t="n">
        <v>325</v>
      </c>
      <c r="M783" s="3" t="n">
        <v>16.41</v>
      </c>
      <c r="N783" s="3" t="n">
        <v>9277.17</v>
      </c>
      <c r="O783" s="4" t="inlineStr">
        <is>
          <t>United States</t>
        </is>
      </c>
      <c r="P783" s="4" t="inlineStr">
        <is>
          <t>United States</t>
        </is>
      </c>
      <c r="Q783" s="4" t="inlineStr">
        <is>
          <t>Friendly</t>
        </is>
      </c>
      <c r="R783" s="3" t="n">
        <v>704.889</v>
      </c>
      <c r="S783" s="3" t="n">
        <v>36.7256</v>
      </c>
      <c r="T783" s="4" t="inlineStr">
        <is>
          <t>Company Takeover</t>
        </is>
      </c>
      <c r="U783" s="2" t="inlineStr">
        <is>
          <t>No</t>
        </is>
      </c>
      <c r="V783" s="2" t="inlineStr">
        <is>
          <t>No</t>
        </is>
      </c>
      <c r="W783" s="2" t="inlineStr">
        <is>
          <t>No</t>
        </is>
      </c>
      <c r="X783" s="2" t="inlineStr">
        <is>
          <t>No</t>
        </is>
      </c>
      <c r="Y783" s="2" t="inlineStr">
        <is>
          <t>No</t>
        </is>
      </c>
      <c r="Z783" s="2" t="inlineStr">
        <is>
          <t>No</t>
        </is>
      </c>
      <c r="AA783" s="6" t="n">
        <v>4.091333108</v>
      </c>
      <c r="AB783" s="6" t="n">
        <v>2.848120733</v>
      </c>
      <c r="AC783" s="6" t="n">
        <v>3.967415515</v>
      </c>
      <c r="AD783">
        <f t="array" ref="AD783">IF(SUMPRODUCT(--($AM$2:$AM$112=TRIM(LEFT($B783,IFERROR(FIND(" ",$B783)-1,LEN($B783))))))&gt;0,1,0)</f>
        <v/>
      </c>
      <c r="AE783">
        <f t="array" ref="AE783">IF(SUMPRODUCT(--($AO$2:$AO$145=TRIM(LEFT($B783,IFERROR(FIND(" ",$B783)-1,LEN($B783))))))&gt;0,1,0)</f>
        <v/>
      </c>
      <c r="AF783">
        <f t="array" ref="AF783">IF(SUMPRODUCT(--($AQ$2:$AQ$71=TRIM(LEFT($B783,IFERROR(FIND(" ",$B783)-1,LEN($B783))))))&gt;0,1,0)</f>
        <v/>
      </c>
    </row>
    <row r="784" ht="45.75" customHeight="1" thickBot="1">
      <c r="A784" s="13" t="n">
        <v>52</v>
      </c>
      <c r="B784" s="4" t="inlineStr">
        <is>
          <t>DGC CN</t>
        </is>
      </c>
      <c r="C784" s="4" t="inlineStr">
        <is>
          <t>KL CN</t>
        </is>
      </c>
      <c r="D784" s="7" t="n">
        <v>43794</v>
      </c>
      <c r="E784" s="3" t="n">
        <v>3520.36</v>
      </c>
      <c r="F784" s="4" t="inlineStr">
        <is>
          <t>Stock</t>
        </is>
      </c>
      <c r="G784" s="3" t="n">
        <v>12.21</v>
      </c>
      <c r="H784" s="4" t="inlineStr">
        <is>
          <t>Materials</t>
        </is>
      </c>
      <c r="I784" s="4" t="inlineStr">
        <is>
          <t>Materials</t>
        </is>
      </c>
      <c r="J784" s="4" t="inlineStr">
        <is>
          <t>Metals &amp; Mining</t>
        </is>
      </c>
      <c r="K784" s="3" t="n">
        <v>268.7</v>
      </c>
      <c r="L784" s="3" t="n">
        <v>196.87</v>
      </c>
      <c r="M784" s="3" t="n">
        <v>29.47</v>
      </c>
      <c r="N784" s="3" t="n">
        <v>3552.83</v>
      </c>
      <c r="O784" s="4" t="inlineStr">
        <is>
          <t>Canada</t>
        </is>
      </c>
      <c r="P784" s="4" t="inlineStr">
        <is>
          <t>Canada</t>
        </is>
      </c>
      <c r="Q784" s="4" t="inlineStr">
        <is>
          <t>Friendly</t>
        </is>
      </c>
      <c r="R784" s="2" t="n"/>
      <c r="S784" s="2" t="n"/>
      <c r="T784" s="4" t="inlineStr">
        <is>
          <t>Company Takeover</t>
        </is>
      </c>
      <c r="U784" s="2" t="inlineStr">
        <is>
          <t>No</t>
        </is>
      </c>
      <c r="V784" s="2" t="inlineStr">
        <is>
          <t>No</t>
        </is>
      </c>
      <c r="W784" s="2" t="inlineStr">
        <is>
          <t>No</t>
        </is>
      </c>
      <c r="X784" s="2" t="inlineStr">
        <is>
          <t>No</t>
        </is>
      </c>
      <c r="Y784" s="2" t="inlineStr">
        <is>
          <t>No</t>
        </is>
      </c>
      <c r="Z784" s="2" t="inlineStr">
        <is>
          <t>No</t>
        </is>
      </c>
      <c r="AA784" s="6" t="n">
        <v>3.546587078</v>
      </c>
      <c r="AB784" s="2" t="n"/>
      <c r="AC784" s="6" t="n">
        <v>3.550574427</v>
      </c>
      <c r="AD784">
        <f t="array" ref="AD784">IF(SUMPRODUCT(--($AM$2:$AM$112=TRIM(LEFT($B784,IFERROR(FIND(" ",$B784)-1,LEN($B784))))))&gt;0,1,0)</f>
        <v/>
      </c>
      <c r="AE784">
        <f t="array" ref="AE784">IF(SUMPRODUCT(--($AO$2:$AO$145=TRIM(LEFT($B784,IFERROR(FIND(" ",$B784)-1,LEN($B784))))))&gt;0,1,0)</f>
        <v/>
      </c>
      <c r="AF784">
        <f t="array" ref="AF784">IF(SUMPRODUCT(--($AQ$2:$AQ$71=TRIM(LEFT($B784,IFERROR(FIND(" ",$B784)-1,LEN($B784))))))&gt;0,1,0)</f>
        <v/>
      </c>
    </row>
    <row r="785" ht="75.75" customHeight="1" thickBot="1">
      <c r="A785" s="13" t="n">
        <v>60</v>
      </c>
      <c r="B785" s="4" t="inlineStr">
        <is>
          <t>CBPX US</t>
        </is>
      </c>
      <c r="C785" s="4" t="inlineStr">
        <is>
          <t>SGO FP</t>
        </is>
      </c>
      <c r="D785" s="7" t="n">
        <v>43781</v>
      </c>
      <c r="E785" s="3" t="n">
        <v>1437.04</v>
      </c>
      <c r="F785" s="4" t="inlineStr">
        <is>
          <t>Cash</t>
        </is>
      </c>
      <c r="G785" s="3" t="n">
        <v>10.62</v>
      </c>
      <c r="H785" s="4" t="inlineStr">
        <is>
          <t>Materials</t>
        </is>
      </c>
      <c r="I785" s="4" t="inlineStr">
        <is>
          <t>Materials</t>
        </is>
      </c>
      <c r="J785" s="4" t="inlineStr">
        <is>
          <t>Construction Materials</t>
        </is>
      </c>
      <c r="K785" s="3" t="n">
        <v>75</v>
      </c>
      <c r="L785" s="3" t="n">
        <v>40</v>
      </c>
      <c r="M785" s="3" t="n">
        <v>25.4</v>
      </c>
      <c r="N785" s="3" t="n">
        <v>1283.46</v>
      </c>
      <c r="O785" s="4" t="inlineStr">
        <is>
          <t>United States</t>
        </is>
      </c>
      <c r="P785" s="4" t="inlineStr">
        <is>
          <t>France</t>
        </is>
      </c>
      <c r="Q785" s="4" t="inlineStr">
        <is>
          <t>Friendly</t>
        </is>
      </c>
      <c r="R785" s="3" t="n">
        <v>528.0599999999999</v>
      </c>
      <c r="S785" s="3" t="n">
        <v>17.7819</v>
      </c>
      <c r="T785" s="4" t="inlineStr">
        <is>
          <t>Company Takeover, Cross Border</t>
        </is>
      </c>
      <c r="U785" s="2" t="inlineStr">
        <is>
          <t>No</t>
        </is>
      </c>
      <c r="V785" s="2" t="inlineStr">
        <is>
          <t>No</t>
        </is>
      </c>
      <c r="W785" s="2" t="inlineStr">
        <is>
          <t>Yes</t>
        </is>
      </c>
      <c r="X785" s="2" t="inlineStr">
        <is>
          <t>No</t>
        </is>
      </c>
      <c r="Y785" s="2" t="inlineStr">
        <is>
          <t>No</t>
        </is>
      </c>
      <c r="Z785" s="2" t="inlineStr">
        <is>
          <t>No</t>
        </is>
      </c>
      <c r="AA785" s="6" t="n">
        <v>3.157468857</v>
      </c>
      <c r="AB785" s="6" t="n">
        <v>2.722683271</v>
      </c>
      <c r="AC785" s="6" t="n">
        <v>3.108382338</v>
      </c>
      <c r="AD785">
        <f t="array" ref="AD785">IF(SUMPRODUCT(--($AM$2:$AM$112=TRIM(LEFT($B785,IFERROR(FIND(" ",$B785)-1,LEN($B785))))))&gt;0,1,0)</f>
        <v/>
      </c>
      <c r="AE785">
        <f t="array" ref="AE785">IF(SUMPRODUCT(--($AO$2:$AO$145=TRIM(LEFT($B785,IFERROR(FIND(" ",$B785)-1,LEN($B785))))))&gt;0,1,0)</f>
        <v/>
      </c>
      <c r="AF785">
        <f t="array" ref="AF785">IF(SUMPRODUCT(--($AQ$2:$AQ$71=TRIM(LEFT($B785,IFERROR(FIND(" ",$B785)-1,LEN($B785))))))&gt;0,1,0)</f>
        <v/>
      </c>
    </row>
    <row r="786" ht="105.75" customHeight="1" thickBot="1">
      <c r="A786" s="13" t="n">
        <v>74</v>
      </c>
      <c r="B786" s="4" t="inlineStr">
        <is>
          <t>CISN US</t>
        </is>
      </c>
      <c r="C786" s="4" t="inlineStr">
        <is>
          <t>21380Z US</t>
        </is>
      </c>
      <c r="D786" s="7" t="n">
        <v>43760</v>
      </c>
      <c r="E786" s="3" t="n">
        <v>2774.89</v>
      </c>
      <c r="F786" s="4" t="inlineStr">
        <is>
          <t>Cash</t>
        </is>
      </c>
      <c r="G786" s="3" t="n">
        <v>13.27</v>
      </c>
      <c r="H786" s="4" t="inlineStr">
        <is>
          <t>Technology</t>
        </is>
      </c>
      <c r="I786" s="4" t="inlineStr">
        <is>
          <t>Software &amp; Tech Services</t>
        </is>
      </c>
      <c r="J786" s="4" t="inlineStr">
        <is>
          <t>Software</t>
        </is>
      </c>
      <c r="K786" s="3" t="n">
        <v>91.8</v>
      </c>
      <c r="L786" s="3" t="n">
        <v>53.55</v>
      </c>
      <c r="M786" s="3" t="n">
        <v>27.05</v>
      </c>
      <c r="N786" s="3" t="n">
        <v>1483.84</v>
      </c>
      <c r="O786" s="4" t="inlineStr">
        <is>
          <t>United States</t>
        </is>
      </c>
      <c r="P786" s="4" t="inlineStr">
        <is>
          <t>United States</t>
        </is>
      </c>
      <c r="Q786" s="4" t="inlineStr">
        <is>
          <t>Friendly</t>
        </is>
      </c>
      <c r="R786" s="3" t="n">
        <v>730.373</v>
      </c>
      <c r="S786" s="3" t="n">
        <v>8.860889999999999</v>
      </c>
      <c r="T786" s="4" t="inlineStr">
        <is>
          <t>PE Buyout, Company Takeover, Private Equity</t>
        </is>
      </c>
      <c r="U786" s="2" t="inlineStr">
        <is>
          <t>No</t>
        </is>
      </c>
      <c r="V786" s="2" t="inlineStr">
        <is>
          <t>No</t>
        </is>
      </c>
      <c r="W786" s="2" t="inlineStr">
        <is>
          <t>No</t>
        </is>
      </c>
      <c r="X786" s="2" t="inlineStr">
        <is>
          <t>No</t>
        </is>
      </c>
      <c r="Y786" s="2" t="inlineStr">
        <is>
          <t>Yes</t>
        </is>
      </c>
      <c r="Z786" s="2" t="inlineStr">
        <is>
          <t>No</t>
        </is>
      </c>
      <c r="AA786" s="6" t="n">
        <v>3.443245772</v>
      </c>
      <c r="AB786" s="6" t="n">
        <v>2.86354471</v>
      </c>
      <c r="AC786" s="6" t="n">
        <v>3.171387074</v>
      </c>
      <c r="AD786">
        <f t="array" ref="AD786">IF(SUMPRODUCT(--($AM$2:$AM$112=TRIM(LEFT($B786,IFERROR(FIND(" ",$B786)-1,LEN($B786))))))&gt;0,1,0)</f>
        <v/>
      </c>
      <c r="AE786">
        <f t="array" ref="AE786">IF(SUMPRODUCT(--($AO$2:$AO$145=TRIM(LEFT($B786,IFERROR(FIND(" ",$B786)-1,LEN($B786))))))&gt;0,1,0)</f>
        <v/>
      </c>
      <c r="AF786">
        <f t="array" ref="AF786">IF(SUMPRODUCT(--($AQ$2:$AQ$71=TRIM(LEFT($B786,IFERROR(FIND(" ",$B786)-1,LEN($B786))))))&gt;0,1,0)</f>
        <v/>
      </c>
    </row>
    <row r="787" ht="60.75" customHeight="1" thickBot="1">
      <c r="A787" s="13" t="n">
        <v>218</v>
      </c>
      <c r="B787" s="4" t="inlineStr">
        <is>
          <t>WCG US</t>
        </is>
      </c>
      <c r="C787" s="4" t="inlineStr">
        <is>
          <t>CNC US</t>
        </is>
      </c>
      <c r="D787" s="7" t="n">
        <v>43551</v>
      </c>
      <c r="E787" s="3" t="n">
        <v>13534.24</v>
      </c>
      <c r="F787" s="4" t="inlineStr">
        <is>
          <t>Cash and Stock</t>
        </is>
      </c>
      <c r="G787" s="3" t="n">
        <v>14.02</v>
      </c>
      <c r="H787" s="4" t="inlineStr">
        <is>
          <t>Health Care</t>
        </is>
      </c>
      <c r="I787" s="4" t="inlineStr">
        <is>
          <t>Health Care</t>
        </is>
      </c>
      <c r="J787" s="4" t="inlineStr">
        <is>
          <t>Health Care Facilities &amp; Svcs</t>
        </is>
      </c>
      <c r="K787" s="3" t="n">
        <v>908.192</v>
      </c>
      <c r="L787" s="3" t="n">
        <v>609.191</v>
      </c>
      <c r="M787" s="3" t="n">
        <v>30.03</v>
      </c>
      <c r="N787" s="3" t="n">
        <v>15891.84</v>
      </c>
      <c r="O787" s="4" t="inlineStr">
        <is>
          <t>United States</t>
        </is>
      </c>
      <c r="P787" s="4" t="inlineStr">
        <is>
          <t>United States</t>
        </is>
      </c>
      <c r="Q787" s="4" t="inlineStr">
        <is>
          <t>Friendly</t>
        </is>
      </c>
      <c r="R787" s="3" t="n">
        <v>20414.1</v>
      </c>
      <c r="S787" s="3" t="n">
        <v>3.46066</v>
      </c>
      <c r="T787" s="4" t="inlineStr">
        <is>
          <t>Company Takeover</t>
        </is>
      </c>
      <c r="U787" s="2" t="inlineStr">
        <is>
          <t>No</t>
        </is>
      </c>
      <c r="V787" s="2" t="inlineStr">
        <is>
          <t>No</t>
        </is>
      </c>
      <c r="W787" s="2" t="inlineStr">
        <is>
          <t>No</t>
        </is>
      </c>
      <c r="X787" s="2" t="inlineStr">
        <is>
          <t>No</t>
        </is>
      </c>
      <c r="Y787" s="2" t="inlineStr">
        <is>
          <t>No</t>
        </is>
      </c>
      <c r="Z787" s="2" t="inlineStr">
        <is>
          <t>No</t>
        </is>
      </c>
      <c r="AA787" s="6" t="n">
        <v>4.131433873</v>
      </c>
      <c r="AB787" s="6" t="n">
        <v>4.309930238</v>
      </c>
      <c r="AC787" s="6" t="n">
        <v>4.201174184</v>
      </c>
      <c r="AD787">
        <f t="array" ref="AD787">IF(SUMPRODUCT(--($AM$2:$AM$112=TRIM(LEFT($B787,IFERROR(FIND(" ",$B787)-1,LEN($B787))))))&gt;0,1,0)</f>
        <v/>
      </c>
      <c r="AE787">
        <f t="array" ref="AE787">IF(SUMPRODUCT(--($AO$2:$AO$145=TRIM(LEFT($B787,IFERROR(FIND(" ",$B787)-1,LEN($B787))))))&gt;0,1,0)</f>
        <v/>
      </c>
      <c r="AF787">
        <f t="array" ref="AF787">IF(SUMPRODUCT(--($AQ$2:$AQ$71=TRIM(LEFT($B787,IFERROR(FIND(" ",$B787)-1,LEN($B787))))))&gt;0,1,0)</f>
        <v/>
      </c>
    </row>
    <row r="788" ht="105.75" customHeight="1" thickBot="1">
      <c r="A788" s="13" t="n">
        <v>35</v>
      </c>
      <c r="B788" s="4" t="inlineStr">
        <is>
          <t>THOR US</t>
        </is>
      </c>
      <c r="C788" s="4" t="inlineStr">
        <is>
          <t>SAN FP</t>
        </is>
      </c>
      <c r="D788" s="7" t="n">
        <v>43808</v>
      </c>
      <c r="E788" s="3" t="n">
        <v>2086.2</v>
      </c>
      <c r="F788" s="4" t="inlineStr">
        <is>
          <t>Cash</t>
        </is>
      </c>
      <c r="G788" s="4" t="n"/>
      <c r="H788" s="4" t="inlineStr">
        <is>
          <t>Health Care</t>
        </is>
      </c>
      <c r="I788" s="4" t="inlineStr">
        <is>
          <t>Health Care</t>
        </is>
      </c>
      <c r="J788" s="4" t="inlineStr">
        <is>
          <t>Biotech &amp; Pharma</t>
        </is>
      </c>
      <c r="K788" s="4" t="n"/>
      <c r="L788" s="3" t="n">
        <v>94</v>
      </c>
      <c r="M788" s="3" t="n">
        <v>281.57</v>
      </c>
      <c r="N788" s="3" t="n">
        <v>2233.23</v>
      </c>
      <c r="O788" s="4" t="inlineStr">
        <is>
          <t>United States</t>
        </is>
      </c>
      <c r="P788" s="4" t="inlineStr">
        <is>
          <t>France</t>
        </is>
      </c>
      <c r="Q788" s="4" t="inlineStr">
        <is>
          <t>Friendly</t>
        </is>
      </c>
      <c r="R788" s="2" t="n"/>
      <c r="S788" s="2" t="n"/>
      <c r="T788" s="4" t="inlineStr">
        <is>
          <t>Company Takeover, Cross Border, Tender Offer</t>
        </is>
      </c>
      <c r="U788" s="2" t="inlineStr">
        <is>
          <t>No</t>
        </is>
      </c>
      <c r="V788" s="2" t="inlineStr">
        <is>
          <t>No</t>
        </is>
      </c>
      <c r="W788" s="2" t="inlineStr">
        <is>
          <t>Yes</t>
        </is>
      </c>
      <c r="X788" s="2" t="inlineStr">
        <is>
          <t>No</t>
        </is>
      </c>
      <c r="Y788" s="2" t="inlineStr">
        <is>
          <t>No</t>
        </is>
      </c>
      <c r="Z788" s="2" t="inlineStr">
        <is>
          <t>Yes</t>
        </is>
      </c>
      <c r="AA788" s="6" t="n">
        <v>3.319355941</v>
      </c>
      <c r="AB788" s="2" t="n"/>
      <c r="AC788" s="6" t="n">
        <v>3.348933453</v>
      </c>
      <c r="AD788">
        <f t="array" ref="AD788">IF(SUMPRODUCT(--($AM$2:$AM$112=TRIM(LEFT($B788,IFERROR(FIND(" ",$B788)-1,LEN($B788))))))&gt;0,1,0)</f>
        <v/>
      </c>
      <c r="AE788">
        <f t="array" ref="AE788">IF(SUMPRODUCT(--($AO$2:$AO$145=TRIM(LEFT($B788,IFERROR(FIND(" ",$B788)-1,LEN($B788))))))&gt;0,1,0)</f>
        <v/>
      </c>
      <c r="AF788">
        <f t="array" ref="AF788">IF(SUMPRODUCT(--($AQ$2:$AQ$71=TRIM(LEFT($B788,IFERROR(FIND(" ",$B788)-1,LEN($B788))))))&gt;0,1,0)</f>
        <v/>
      </c>
    </row>
    <row r="789" ht="75.75" customHeight="1" thickBot="1">
      <c r="A789" s="13" t="n">
        <v>30</v>
      </c>
      <c r="B789" s="4" t="inlineStr">
        <is>
          <t>ARQL US</t>
        </is>
      </c>
      <c r="C789" s="4" t="inlineStr">
        <is>
          <t>MRK US</t>
        </is>
      </c>
      <c r="D789" s="7" t="n">
        <v>43808</v>
      </c>
      <c r="E789" s="3" t="n">
        <v>2378.49</v>
      </c>
      <c r="F789" s="4" t="inlineStr">
        <is>
          <t>Cash</t>
        </is>
      </c>
      <c r="G789" s="4" t="n"/>
      <c r="H789" s="4" t="inlineStr">
        <is>
          <t>Health Care</t>
        </is>
      </c>
      <c r="I789" s="4" t="inlineStr">
        <is>
          <t>Health Care</t>
        </is>
      </c>
      <c r="J789" s="4" t="inlineStr">
        <is>
          <t>Biotech &amp; Pharma</t>
        </is>
      </c>
      <c r="K789" s="4" t="n"/>
      <c r="L789" s="3" t="n">
        <v>95.3</v>
      </c>
      <c r="M789" s="3" t="n">
        <v>132.23</v>
      </c>
      <c r="N789" s="3" t="n">
        <v>2535.32</v>
      </c>
      <c r="O789" s="4" t="inlineStr">
        <is>
          <t>United States</t>
        </is>
      </c>
      <c r="P789" s="4" t="inlineStr">
        <is>
          <t>United States</t>
        </is>
      </c>
      <c r="Q789" s="4" t="inlineStr">
        <is>
          <t>Friendly</t>
        </is>
      </c>
      <c r="R789" s="3" t="n">
        <v>25.764</v>
      </c>
      <c r="S789" s="3" t="n">
        <v>-828.126</v>
      </c>
      <c r="T789" s="4" t="inlineStr">
        <is>
          <t>Company Takeover, Tender Offer</t>
        </is>
      </c>
      <c r="U789" s="2" t="inlineStr">
        <is>
          <t>No</t>
        </is>
      </c>
      <c r="V789" s="2" t="inlineStr">
        <is>
          <t>No</t>
        </is>
      </c>
      <c r="W789" s="2" t="inlineStr">
        <is>
          <t>No</t>
        </is>
      </c>
      <c r="X789" s="2" t="inlineStr">
        <is>
          <t>No</t>
        </is>
      </c>
      <c r="Y789" s="2" t="inlineStr">
        <is>
          <t>No</t>
        </is>
      </c>
      <c r="Z789" s="2" t="inlineStr">
        <is>
          <t>Yes</t>
        </is>
      </c>
      <c r="AA789" s="6" t="n">
        <v>3.37630133</v>
      </c>
      <c r="AB789" s="6" t="n">
        <v>1.41101329</v>
      </c>
      <c r="AC789" s="6" t="n">
        <v>3.404032782</v>
      </c>
      <c r="AD789">
        <f t="array" ref="AD789">IF(SUMPRODUCT(--($AM$2:$AM$112=TRIM(LEFT($B789,IFERROR(FIND(" ",$B789)-1,LEN($B789))))))&gt;0,1,0)</f>
        <v/>
      </c>
      <c r="AE789">
        <f t="array" ref="AE789">IF(SUMPRODUCT(--($AO$2:$AO$145=TRIM(LEFT($B789,IFERROR(FIND(" ",$B789)-1,LEN($B789))))))&gt;0,1,0)</f>
        <v/>
      </c>
      <c r="AF789">
        <f t="array" ref="AF789">IF(SUMPRODUCT(--($AQ$2:$AQ$71=TRIM(LEFT($B789,IFERROR(FIND(" ",$B789)-1,LEN($B789))))))&gt;0,1,0)</f>
        <v/>
      </c>
    </row>
    <row r="790" ht="105.75" customHeight="1" thickBot="1">
      <c r="A790" s="13" t="n">
        <v>33</v>
      </c>
      <c r="B790" s="4" t="inlineStr">
        <is>
          <t>BOLD US</t>
        </is>
      </c>
      <c r="C790" s="4" t="inlineStr">
        <is>
          <t>4503 JP</t>
        </is>
      </c>
      <c r="D790" s="7" t="n">
        <v>43802</v>
      </c>
      <c r="E790" s="3" t="n">
        <v>2620.82</v>
      </c>
      <c r="F790" s="4" t="inlineStr">
        <is>
          <t>Cash</t>
        </is>
      </c>
      <c r="G790" s="4" t="n"/>
      <c r="H790" s="4" t="inlineStr">
        <is>
          <t>Health Care</t>
        </is>
      </c>
      <c r="I790" s="4" t="inlineStr">
        <is>
          <t>Health Care</t>
        </is>
      </c>
      <c r="J790" s="4" t="inlineStr">
        <is>
          <t>Biotech &amp; Pharma</t>
        </is>
      </c>
      <c r="K790" s="4" t="n"/>
      <c r="L790" s="3" t="n">
        <v>104.1</v>
      </c>
      <c r="M790" s="3" t="n">
        <v>116.77</v>
      </c>
      <c r="N790" s="3" t="n">
        <v>2942.16</v>
      </c>
      <c r="O790" s="4" t="inlineStr">
        <is>
          <t>United States</t>
        </is>
      </c>
      <c r="P790" s="4" t="inlineStr">
        <is>
          <t>Japan</t>
        </is>
      </c>
      <c r="Q790" s="4" t="inlineStr">
        <is>
          <t>Friendly</t>
        </is>
      </c>
      <c r="R790" s="2" t="n"/>
      <c r="S790" s="2" t="n"/>
      <c r="T790" s="4" t="inlineStr">
        <is>
          <t>Company Takeover, Cross Border, Tender Offer</t>
        </is>
      </c>
      <c r="U790" s="2" t="inlineStr">
        <is>
          <t>No</t>
        </is>
      </c>
      <c r="V790" s="2" t="inlineStr">
        <is>
          <t>No</t>
        </is>
      </c>
      <c r="W790" s="2" t="inlineStr">
        <is>
          <t>Yes</t>
        </is>
      </c>
      <c r="X790" s="2" t="inlineStr">
        <is>
          <t>No</t>
        </is>
      </c>
      <c r="Y790" s="2" t="inlineStr">
        <is>
          <t>No</t>
        </is>
      </c>
      <c r="Z790" s="2" t="inlineStr">
        <is>
          <t>Yes</t>
        </is>
      </c>
      <c r="AA790" s="6" t="n">
        <v>3.418437194</v>
      </c>
      <c r="AB790" s="2" t="n"/>
      <c r="AC790" s="6" t="n">
        <v>3.468666287</v>
      </c>
      <c r="AD790">
        <f t="array" ref="AD790">IF(SUMPRODUCT(--($AM$2:$AM$112=TRIM(LEFT($B790,IFERROR(FIND(" ",$B790)-1,LEN($B790))))))&gt;0,1,0)</f>
        <v/>
      </c>
      <c r="AE790">
        <f t="array" ref="AE790">IF(SUMPRODUCT(--($AO$2:$AO$145=TRIM(LEFT($B790,IFERROR(FIND(" ",$B790)-1,LEN($B790))))))&gt;0,1,0)</f>
        <v/>
      </c>
      <c r="AF790">
        <f t="array" ref="AF790">IF(SUMPRODUCT(--($AQ$2:$AQ$71=TRIM(LEFT($B790,IFERROR(FIND(" ",$B790)-1,LEN($B790))))))&gt;0,1,0)</f>
        <v/>
      </c>
    </row>
    <row r="791" ht="45.75" customHeight="1" thickBot="1">
      <c r="A791" s="13" t="n">
        <v>103</v>
      </c>
      <c r="B791" s="4" t="inlineStr">
        <is>
          <t>SRCI US</t>
        </is>
      </c>
      <c r="C791" s="4" t="inlineStr">
        <is>
          <t>PDCE US</t>
        </is>
      </c>
      <c r="D791" s="7" t="n">
        <v>43703</v>
      </c>
      <c r="E791" s="3" t="n">
        <v>1739.33</v>
      </c>
      <c r="F791" s="4" t="inlineStr">
        <is>
          <t>Stock</t>
        </is>
      </c>
      <c r="G791" s="3" t="n">
        <v>2.97</v>
      </c>
      <c r="H791" s="4" t="inlineStr">
        <is>
          <t>Energy</t>
        </is>
      </c>
      <c r="I791" s="4" t="inlineStr">
        <is>
          <t>Oil &amp; Gas</t>
        </is>
      </c>
      <c r="J791" s="4" t="inlineStr">
        <is>
          <t>Oil &amp; Gas Supply Chain</t>
        </is>
      </c>
      <c r="K791" s="3" t="n">
        <v>55</v>
      </c>
      <c r="L791" s="3" t="n">
        <v>35</v>
      </c>
      <c r="M791" s="3" t="n">
        <v>2.12</v>
      </c>
      <c r="N791" s="3" t="n">
        <v>1052.76</v>
      </c>
      <c r="O791" s="4" t="inlineStr">
        <is>
          <t>United States</t>
        </is>
      </c>
      <c r="P791" s="4" t="inlineStr">
        <is>
          <t>United States</t>
        </is>
      </c>
      <c r="Q791" s="4" t="inlineStr">
        <is>
          <t>Friendly</t>
        </is>
      </c>
      <c r="R791" s="3" t="n">
        <v>626.282</v>
      </c>
      <c r="S791" s="3" t="n">
        <v>35.6311</v>
      </c>
      <c r="T791" s="4" t="inlineStr">
        <is>
          <t>Company Takeover</t>
        </is>
      </c>
      <c r="U791" s="2" t="inlineStr">
        <is>
          <t>No</t>
        </is>
      </c>
      <c r="V791" s="2" t="inlineStr">
        <is>
          <t>No</t>
        </is>
      </c>
      <c r="W791" s="2" t="inlineStr">
        <is>
          <t>No</t>
        </is>
      </c>
      <c r="X791" s="2" t="inlineStr">
        <is>
          <t>No</t>
        </is>
      </c>
      <c r="Y791" s="2" t="inlineStr">
        <is>
          <t>No</t>
        </is>
      </c>
      <c r="Z791" s="2" t="inlineStr">
        <is>
          <t>No</t>
        </is>
      </c>
      <c r="AA791" s="6" t="n">
        <v>3.240381988</v>
      </c>
      <c r="AB791" s="6" t="n">
        <v>2.79676993</v>
      </c>
      <c r="AC791" s="6" t="n">
        <v>3.022329375</v>
      </c>
      <c r="AD791">
        <f t="array" ref="AD791">IF(SUMPRODUCT(--($AM$2:$AM$112=TRIM(LEFT($B791,IFERROR(FIND(" ",$B791)-1,LEN($B791))))))&gt;0,1,0)</f>
        <v/>
      </c>
      <c r="AE791">
        <f t="array" ref="AE791">IF(SUMPRODUCT(--($AO$2:$AO$145=TRIM(LEFT($B791,IFERROR(FIND(" ",$B791)-1,LEN($B791))))))&gt;0,1,0)</f>
        <v/>
      </c>
      <c r="AF791">
        <f t="array" ref="AF791">IF(SUMPRODUCT(--($AQ$2:$AQ$71=TRIM(LEFT($B791,IFERROR(FIND(" ",$B791)-1,LEN($B791))))))&gt;0,1,0)</f>
        <v/>
      </c>
    </row>
    <row r="792" ht="45.75" customHeight="1" thickBot="1">
      <c r="A792" s="13" t="n">
        <v>65</v>
      </c>
      <c r="B792" s="4" t="inlineStr">
        <is>
          <t>2461881D US</t>
        </is>
      </c>
      <c r="C792" s="4" t="inlineStr">
        <is>
          <t>PE US</t>
        </is>
      </c>
      <c r="D792" s="7" t="n">
        <v>43752</v>
      </c>
      <c r="E792" s="3" t="n">
        <v>2326.4</v>
      </c>
      <c r="F792" s="4" t="inlineStr">
        <is>
          <t>Stock</t>
        </is>
      </c>
      <c r="G792" s="3" t="n">
        <v>6.08</v>
      </c>
      <c r="H792" s="4" t="inlineStr">
        <is>
          <t>Energy</t>
        </is>
      </c>
      <c r="I792" s="4" t="inlineStr">
        <is>
          <t>Oil &amp; Gas</t>
        </is>
      </c>
      <c r="J792" s="4" t="inlineStr">
        <is>
          <t>Oil &amp; Gas Supply Chain</t>
        </is>
      </c>
      <c r="K792" s="3" t="n">
        <v>189.035</v>
      </c>
      <c r="L792" s="3" t="n">
        <v>57.435</v>
      </c>
      <c r="M792" s="3" t="n">
        <v>5.75</v>
      </c>
      <c r="N792" s="3" t="n">
        <v>1650.6</v>
      </c>
      <c r="O792" s="4" t="inlineStr">
        <is>
          <t>United States</t>
        </is>
      </c>
      <c r="P792" s="4" t="inlineStr">
        <is>
          <t>United States</t>
        </is>
      </c>
      <c r="Q792" s="4" t="inlineStr">
        <is>
          <t>Friendly</t>
        </is>
      </c>
      <c r="R792" s="3" t="n">
        <v>547.51</v>
      </c>
      <c r="S792" s="3" t="n">
        <v>15.7063</v>
      </c>
      <c r="T792" s="4" t="inlineStr">
        <is>
          <t>Company Takeover</t>
        </is>
      </c>
      <c r="U792" s="2" t="inlineStr">
        <is>
          <t>No</t>
        </is>
      </c>
      <c r="V792" s="2" t="inlineStr">
        <is>
          <t>No</t>
        </is>
      </c>
      <c r="W792" s="2" t="inlineStr">
        <is>
          <t>No</t>
        </is>
      </c>
      <c r="X792" s="2" t="inlineStr">
        <is>
          <t>No</t>
        </is>
      </c>
      <c r="Y792" s="2" t="inlineStr">
        <is>
          <t>No</t>
        </is>
      </c>
      <c r="Z792" s="2" t="inlineStr">
        <is>
          <t>No</t>
        </is>
      </c>
      <c r="AA792" s="6" t="n">
        <v>3.366684389</v>
      </c>
      <c r="AB792" s="6" t="n">
        <v>2.738392056</v>
      </c>
      <c r="AC792" s="6" t="n">
        <v>3.217641841</v>
      </c>
      <c r="AD792">
        <f t="array" ref="AD792">IF(SUMPRODUCT(--($AM$2:$AM$112=TRIM(LEFT($B792,IFERROR(FIND(" ",$B792)-1,LEN($B792))))))&gt;0,1,0)</f>
        <v/>
      </c>
      <c r="AE792">
        <f t="array" ref="AE792">IF(SUMPRODUCT(--($AO$2:$AO$145=TRIM(LEFT($B792,IFERROR(FIND(" ",$B792)-1,LEN($B792))))))&gt;0,1,0)</f>
        <v/>
      </c>
      <c r="AF792">
        <f t="array" ref="AF792">IF(SUMPRODUCT(--($AQ$2:$AQ$71=TRIM(LEFT($B792,IFERROR(FIND(" ",$B792)-1,LEN($B792))))))&gt;0,1,0)</f>
        <v/>
      </c>
    </row>
    <row r="793" ht="135.75" customHeight="1" thickBot="1">
      <c r="A793" s="13" t="n">
        <v>110</v>
      </c>
      <c r="B793" s="4" t="inlineStr">
        <is>
          <t>WAIR US</t>
        </is>
      </c>
      <c r="C793" s="4" t="inlineStr">
        <is>
          <t>21380Z US</t>
        </is>
      </c>
      <c r="D793" s="7" t="n">
        <v>43686</v>
      </c>
      <c r="E793" s="3" t="n">
        <v>1923.85</v>
      </c>
      <c r="F793" s="4" t="inlineStr">
        <is>
          <t>Cash</t>
        </is>
      </c>
      <c r="G793" s="3" t="n">
        <v>15.33</v>
      </c>
      <c r="H793" s="4" t="inlineStr">
        <is>
          <t>Industrials</t>
        </is>
      </c>
      <c r="I793" s="4" t="inlineStr">
        <is>
          <t>Industrial Services</t>
        </is>
      </c>
      <c r="J793" s="4" t="inlineStr">
        <is>
          <t>Industrial Support Services</t>
        </is>
      </c>
      <c r="K793" s="3" t="n">
        <v>112</v>
      </c>
      <c r="L793" s="3" t="n">
        <v>39</v>
      </c>
      <c r="M793" s="4" t="n"/>
      <c r="N793" s="3" t="n">
        <v>1102.16</v>
      </c>
      <c r="O793" s="4" t="inlineStr">
        <is>
          <t>United States</t>
        </is>
      </c>
      <c r="P793" s="4" t="inlineStr">
        <is>
          <t>United States</t>
        </is>
      </c>
      <c r="Q793" s="4" t="inlineStr">
        <is>
          <t>Friendly</t>
        </is>
      </c>
      <c r="R793" s="3" t="n">
        <v>1696.45</v>
      </c>
      <c r="S793" s="3" t="n">
        <v>4.62802</v>
      </c>
      <c r="T793" s="4" t="inlineStr">
        <is>
          <t>PE Buyout, Company Takeover, Private Equity, Going Private</t>
        </is>
      </c>
      <c r="U793" s="2" t="inlineStr">
        <is>
          <t>No</t>
        </is>
      </c>
      <c r="V793" s="2" t="inlineStr">
        <is>
          <t>No</t>
        </is>
      </c>
      <c r="W793" s="2" t="inlineStr">
        <is>
          <t>No</t>
        </is>
      </c>
      <c r="X793" s="2" t="inlineStr">
        <is>
          <t>Yes</t>
        </is>
      </c>
      <c r="Y793" s="2" t="inlineStr">
        <is>
          <t>Yes</t>
        </is>
      </c>
      <c r="Z793" s="2" t="inlineStr">
        <is>
          <t>No</t>
        </is>
      </c>
      <c r="AA793" s="6" t="n">
        <v>3.284171208</v>
      </c>
      <c r="AB793" s="6" t="n">
        <v>3.229541064</v>
      </c>
      <c r="AC793" s="6" t="n">
        <v>3.042244645</v>
      </c>
      <c r="AD793">
        <f t="array" ref="AD793">IF(SUMPRODUCT(--($AM$2:$AM$112=TRIM(LEFT($B793,IFERROR(FIND(" ",$B793)-1,LEN($B793))))))&gt;0,1,0)</f>
        <v/>
      </c>
      <c r="AE793">
        <f t="array" ref="AE793">IF(SUMPRODUCT(--($AO$2:$AO$145=TRIM(LEFT($B793,IFERROR(FIND(" ",$B793)-1,LEN($B793))))))&gt;0,1,0)</f>
        <v/>
      </c>
      <c r="AF793">
        <f t="array" ref="AF793">IF(SUMPRODUCT(--($AQ$2:$AQ$71=TRIM(LEFT($B793,IFERROR(FIND(" ",$B793)-1,LEN($B793))))))&gt;0,1,0)</f>
        <v/>
      </c>
    </row>
    <row r="794" ht="75.75" customHeight="1" thickBot="1">
      <c r="A794" s="13" t="n">
        <v>50</v>
      </c>
      <c r="B794" s="4" t="inlineStr">
        <is>
          <t>PGF CN</t>
        </is>
      </c>
      <c r="C794" s="4" t="inlineStr">
        <is>
          <t>CONA CN</t>
        </is>
      </c>
      <c r="D794" s="7" t="n">
        <v>43770</v>
      </c>
      <c r="E794" s="3" t="n">
        <v>604.23</v>
      </c>
      <c r="F794" s="4" t="inlineStr">
        <is>
          <t>Cash</t>
        </is>
      </c>
      <c r="G794" s="4" t="n"/>
      <c r="H794" s="4" t="inlineStr">
        <is>
          <t>Energy</t>
        </is>
      </c>
      <c r="I794" s="4" t="inlineStr">
        <is>
          <t>Oil &amp; Gas</t>
        </is>
      </c>
      <c r="J794" s="4" t="inlineStr">
        <is>
          <t>Oil &amp; Gas Supply Chain</t>
        </is>
      </c>
      <c r="K794" s="3" t="n">
        <v>45</v>
      </c>
      <c r="L794" s="3" t="n">
        <v>45</v>
      </c>
      <c r="M794" s="4" t="n"/>
      <c r="N794" s="3" t="n">
        <v>21.3</v>
      </c>
      <c r="O794" s="4" t="inlineStr">
        <is>
          <t>Canada</t>
        </is>
      </c>
      <c r="P794" s="4" t="inlineStr">
        <is>
          <t>Canada</t>
        </is>
      </c>
      <c r="Q794" s="4" t="inlineStr">
        <is>
          <t>Friendly</t>
        </is>
      </c>
      <c r="R794" s="3" t="n">
        <v>339.995</v>
      </c>
      <c r="S794" s="3" t="n">
        <v>-70.92359999999999</v>
      </c>
      <c r="T794" s="4" t="inlineStr">
        <is>
          <t>Company Takeover, Going Private</t>
        </is>
      </c>
      <c r="U794" s="2" t="inlineStr">
        <is>
          <t>No</t>
        </is>
      </c>
      <c r="V794" s="2" t="inlineStr">
        <is>
          <t>No</t>
        </is>
      </c>
      <c r="W794" s="2" t="inlineStr">
        <is>
          <t>No</t>
        </is>
      </c>
      <c r="X794" s="2" t="inlineStr">
        <is>
          <t>Yes</t>
        </is>
      </c>
      <c r="Y794" s="2" t="inlineStr">
        <is>
          <t>No</t>
        </is>
      </c>
      <c r="Z794" s="2" t="inlineStr">
        <is>
          <t>No</t>
        </is>
      </c>
      <c r="AA794" s="6" t="n">
        <v>2.781202284</v>
      </c>
      <c r="AB794" s="6" t="n">
        <v>2.53147253</v>
      </c>
      <c r="AC794" s="6" t="n">
        <v>1.328379603</v>
      </c>
      <c r="AD794">
        <f t="array" ref="AD794">IF(SUMPRODUCT(--($AM$2:$AM$112=TRIM(LEFT($B794,IFERROR(FIND(" ",$B794)-1,LEN($B794))))))&gt;0,1,0)</f>
        <v/>
      </c>
      <c r="AE794">
        <f t="array" ref="AE794">IF(SUMPRODUCT(--($AO$2:$AO$145=TRIM(LEFT($B794,IFERROR(FIND(" ",$B794)-1,LEN($B794))))))&gt;0,1,0)</f>
        <v/>
      </c>
      <c r="AF794">
        <f t="array" ref="AF794">IF(SUMPRODUCT(--($AQ$2:$AQ$71=TRIM(LEFT($B794,IFERROR(FIND(" ",$B794)-1,LEN($B794))))))&gt;0,1,0)</f>
        <v/>
      </c>
    </row>
    <row r="795" ht="45.75" customHeight="1" thickBot="1">
      <c r="A795" s="13" t="n">
        <v>127</v>
      </c>
      <c r="B795" s="4" t="inlineStr">
        <is>
          <t>IDDP US</t>
        </is>
      </c>
      <c r="C795" s="4" t="inlineStr">
        <is>
          <t>PLD US</t>
        </is>
      </c>
      <c r="D795" s="7" t="n">
        <v>43662</v>
      </c>
      <c r="E795" s="3" t="n">
        <v>5534.61</v>
      </c>
      <c r="F795" s="4" t="inlineStr">
        <is>
          <t>Cash</t>
        </is>
      </c>
      <c r="G795" s="3" t="n">
        <v>60.36</v>
      </c>
      <c r="H795" s="4" t="inlineStr">
        <is>
          <t>Real Estate</t>
        </is>
      </c>
      <c r="I795" s="4" t="inlineStr">
        <is>
          <t>Real Estate</t>
        </is>
      </c>
      <c r="J795" s="4" t="inlineStr">
        <is>
          <t>REIT</t>
        </is>
      </c>
      <c r="K795" s="4" t="n"/>
      <c r="L795" s="3" t="n">
        <v>96</v>
      </c>
      <c r="M795" s="4" t="n"/>
      <c r="N795" s="3" t="n">
        <v>3990</v>
      </c>
      <c r="O795" s="4" t="inlineStr">
        <is>
          <t>United States</t>
        </is>
      </c>
      <c r="P795" s="4" t="inlineStr">
        <is>
          <t>United States</t>
        </is>
      </c>
      <c r="Q795" s="4" t="inlineStr">
        <is>
          <t>Friendly</t>
        </is>
      </c>
      <c r="R795" s="2" t="n"/>
      <c r="S795" s="3" t="n">
        <v>-18.3902</v>
      </c>
      <c r="T795" s="4" t="inlineStr">
        <is>
          <t>Company Takeover</t>
        </is>
      </c>
      <c r="U795" s="2" t="inlineStr">
        <is>
          <t>No</t>
        </is>
      </c>
      <c r="V795" s="2" t="inlineStr">
        <is>
          <t>No</t>
        </is>
      </c>
      <c r="W795" s="2" t="inlineStr">
        <is>
          <t>No</t>
        </is>
      </c>
      <c r="X795" s="2" t="inlineStr">
        <is>
          <t>No</t>
        </is>
      </c>
      <c r="Y795" s="2" t="inlineStr">
        <is>
          <t>No</t>
        </is>
      </c>
      <c r="Z795" s="2" t="inlineStr">
        <is>
          <t>No</t>
        </is>
      </c>
      <c r="AA795" s="6" t="n">
        <v>3.743087023</v>
      </c>
      <c r="AB795" s="2" t="n"/>
      <c r="AC795" s="6" t="n">
        <v>3.600972896</v>
      </c>
      <c r="AD795">
        <f t="array" ref="AD795">IF(SUMPRODUCT(--($AM$2:$AM$112=TRIM(LEFT($B795,IFERROR(FIND(" ",$B795)-1,LEN($B795))))))&gt;0,1,0)</f>
        <v/>
      </c>
      <c r="AE795">
        <f t="array" ref="AE795">IF(SUMPRODUCT(--($AO$2:$AO$145=TRIM(LEFT($B795,IFERROR(FIND(" ",$B795)-1,LEN($B795))))))&gt;0,1,0)</f>
        <v/>
      </c>
      <c r="AF795">
        <f t="array" ref="AF795">IF(SUMPRODUCT(--($AQ$2:$AQ$71=TRIM(LEFT($B795,IFERROR(FIND(" ",$B795)-1,LEN($B795))))))&gt;0,1,0)</f>
        <v/>
      </c>
    </row>
    <row r="796" ht="105.75" customHeight="1" thickBot="1">
      <c r="A796" s="13" t="n">
        <v>32</v>
      </c>
      <c r="B796" s="4" t="inlineStr">
        <is>
          <t>MDCO US</t>
        </is>
      </c>
      <c r="C796" s="4" t="inlineStr">
        <is>
          <t>NOVN SW</t>
        </is>
      </c>
      <c r="D796" s="7" t="n">
        <v>43793</v>
      </c>
      <c r="E796" s="3" t="n">
        <v>7373.12</v>
      </c>
      <c r="F796" s="4" t="inlineStr">
        <is>
          <t>Cash</t>
        </is>
      </c>
      <c r="G796" s="4" t="n"/>
      <c r="H796" s="4" t="inlineStr">
        <is>
          <t>Health Care</t>
        </is>
      </c>
      <c r="I796" s="4" t="inlineStr">
        <is>
          <t>Health Care</t>
        </is>
      </c>
      <c r="J796" s="4" t="inlineStr">
        <is>
          <t>Biotech &amp; Pharma</t>
        </is>
      </c>
      <c r="K796" s="4" t="n"/>
      <c r="L796" s="3" t="n">
        <v>290</v>
      </c>
      <c r="M796" s="3" t="n">
        <v>48.42</v>
      </c>
      <c r="N796" s="3" t="n">
        <v>6776.5</v>
      </c>
      <c r="O796" s="4" t="inlineStr">
        <is>
          <t>United States</t>
        </is>
      </c>
      <c r="P796" s="4" t="inlineStr">
        <is>
          <t>Switzerland</t>
        </is>
      </c>
      <c r="Q796" s="4" t="inlineStr">
        <is>
          <t>Friendly</t>
        </is>
      </c>
      <c r="R796" s="3" t="n">
        <v>6.138</v>
      </c>
      <c r="S796" s="2" t="n"/>
      <c r="T796" s="4" t="inlineStr">
        <is>
          <t>Company Takeover, Cross Border, Tender Offer</t>
        </is>
      </c>
      <c r="U796" s="2" t="inlineStr">
        <is>
          <t>No</t>
        </is>
      </c>
      <c r="V796" s="2" t="inlineStr">
        <is>
          <t>No</t>
        </is>
      </c>
      <c r="W796" s="2" t="inlineStr">
        <is>
          <t>Yes</t>
        </is>
      </c>
      <c r="X796" s="2" t="inlineStr">
        <is>
          <t>No</t>
        </is>
      </c>
      <c r="Y796" s="2" t="inlineStr">
        <is>
          <t>No</t>
        </is>
      </c>
      <c r="Z796" s="2" t="inlineStr">
        <is>
          <t>Yes</t>
        </is>
      </c>
      <c r="AA796" s="6" t="n">
        <v>3.867651302</v>
      </c>
      <c r="AB796" s="6" t="n">
        <v>0.7880268841</v>
      </c>
      <c r="AC796" s="6" t="n">
        <v>3.831005443</v>
      </c>
      <c r="AD796">
        <f t="array" ref="AD796">IF(SUMPRODUCT(--($AM$2:$AM$112=TRIM(LEFT($B796,IFERROR(FIND(" ",$B796)-1,LEN($B796))))))&gt;0,1,0)</f>
        <v/>
      </c>
      <c r="AE796">
        <f t="array" ref="AE796">IF(SUMPRODUCT(--($AO$2:$AO$145=TRIM(LEFT($B796,IFERROR(FIND(" ",$B796)-1,LEN($B796))))))&gt;0,1,0)</f>
        <v/>
      </c>
      <c r="AF796">
        <f t="array" ref="AF796">IF(SUMPRODUCT(--($AQ$2:$AQ$71=TRIM(LEFT($B796,IFERROR(FIND(" ",$B796)-1,LEN($B796))))))&gt;0,1,0)</f>
        <v/>
      </c>
    </row>
    <row r="797" ht="75.75" customHeight="1" thickBot="1">
      <c r="A797" s="13" t="n">
        <v>94</v>
      </c>
      <c r="B797" s="4" t="inlineStr">
        <is>
          <t>ETO LN</t>
        </is>
      </c>
      <c r="C797" s="4" t="inlineStr">
        <is>
          <t>HAS US</t>
        </is>
      </c>
      <c r="D797" s="7" t="n">
        <v>43699</v>
      </c>
      <c r="E797" s="3" t="n">
        <v>3453.3</v>
      </c>
      <c r="F797" s="4" t="inlineStr">
        <is>
          <t>Cash</t>
        </is>
      </c>
      <c r="G797" s="3" t="n">
        <v>5.58</v>
      </c>
      <c r="H797" s="4" t="inlineStr">
        <is>
          <t>Communications</t>
        </is>
      </c>
      <c r="I797" s="4" t="inlineStr">
        <is>
          <t>Media</t>
        </is>
      </c>
      <c r="J797" s="4" t="inlineStr">
        <is>
          <t>Entertainment Content</t>
        </is>
      </c>
      <c r="K797" s="4" t="n"/>
      <c r="L797" s="4" t="n"/>
      <c r="M797" s="3" t="n">
        <v>31.95</v>
      </c>
      <c r="N797" s="3" t="n">
        <v>3414.45</v>
      </c>
      <c r="O797" s="4" t="inlineStr">
        <is>
          <t>Canada</t>
        </is>
      </c>
      <c r="P797" s="4" t="inlineStr">
        <is>
          <t>United States</t>
        </is>
      </c>
      <c r="Q797" s="4" t="inlineStr">
        <is>
          <t>Friendly</t>
        </is>
      </c>
      <c r="R797" s="3" t="n">
        <v>1235.63</v>
      </c>
      <c r="S797" s="3" t="n">
        <v>7.52231</v>
      </c>
      <c r="T797" s="4" t="inlineStr">
        <is>
          <t>Company Takeover, Cross Border</t>
        </is>
      </c>
      <c r="U797" s="2" t="inlineStr">
        <is>
          <t>No</t>
        </is>
      </c>
      <c r="V797" s="2" t="inlineStr">
        <is>
          <t>No</t>
        </is>
      </c>
      <c r="W797" s="2" t="inlineStr">
        <is>
          <t>Yes</t>
        </is>
      </c>
      <c r="X797" s="2" t="inlineStr">
        <is>
          <t>No</t>
        </is>
      </c>
      <c r="Y797" s="2" t="inlineStr">
        <is>
          <t>No</t>
        </is>
      </c>
      <c r="Z797" s="2" t="inlineStr">
        <is>
          <t>No</t>
        </is>
      </c>
      <c r="AA797" s="6" t="n">
        <v>3.538234309</v>
      </c>
      <c r="AB797" s="6" t="n">
        <v>3.091888444</v>
      </c>
      <c r="AC797" s="6" t="n">
        <v>3.533320757</v>
      </c>
      <c r="AD797">
        <f t="array" ref="AD797">IF(SUMPRODUCT(--($AM$2:$AM$112=TRIM(LEFT($B797,IFERROR(FIND(" ",$B797)-1,LEN($B797))))))&gt;0,1,0)</f>
        <v/>
      </c>
      <c r="AE797">
        <f t="array" ref="AE797">IF(SUMPRODUCT(--($AO$2:$AO$145=TRIM(LEFT($B797,IFERROR(FIND(" ",$B797)-1,LEN($B797))))))&gt;0,1,0)</f>
        <v/>
      </c>
      <c r="AF797">
        <f t="array" ref="AF797">IF(SUMPRODUCT(--($AQ$2:$AQ$71=TRIM(LEFT($B797,IFERROR(FIND(" ",$B797)-1,LEN($B797))))))&gt;0,1,0)</f>
        <v/>
      </c>
    </row>
    <row r="798" ht="165.75" customHeight="1" thickBot="1">
      <c r="A798" s="13" t="n">
        <v>131</v>
      </c>
      <c r="B798" s="4" t="inlineStr">
        <is>
          <t>GWR US</t>
        </is>
      </c>
      <c r="C798" s="2" t="n"/>
      <c r="D798" s="7" t="n">
        <v>43647</v>
      </c>
      <c r="E798" s="3" t="n">
        <v>9109.26</v>
      </c>
      <c r="F798" s="4" t="inlineStr">
        <is>
          <t>Cash</t>
        </is>
      </c>
      <c r="G798" s="3" t="n">
        <v>13.3</v>
      </c>
      <c r="H798" s="4" t="inlineStr">
        <is>
          <t>Industrials</t>
        </is>
      </c>
      <c r="I798" s="4" t="inlineStr">
        <is>
          <t>Industrial Services</t>
        </is>
      </c>
      <c r="J798" s="4" t="inlineStr">
        <is>
          <t>Transportation &amp; Logistics</t>
        </is>
      </c>
      <c r="K798" s="3" t="n">
        <v>388</v>
      </c>
      <c r="L798" s="3" t="n">
        <v>194</v>
      </c>
      <c r="M798" s="4" t="n"/>
      <c r="N798" s="3" t="n">
        <v>6329.93</v>
      </c>
      <c r="O798" s="4" t="inlineStr">
        <is>
          <t>United States</t>
        </is>
      </c>
      <c r="P798" s="4" t="inlineStr">
        <is>
          <t>Singapore</t>
        </is>
      </c>
      <c r="Q798" s="4" t="inlineStr">
        <is>
          <t>Friendly</t>
        </is>
      </c>
      <c r="R798" s="3" t="n">
        <v>2348.55</v>
      </c>
      <c r="S798" s="3" t="n">
        <v>17.1404</v>
      </c>
      <c r="T798" s="4" t="inlineStr">
        <is>
          <t>PE Buyout, Company Takeover, Cross Border, Private Equity, Going Private</t>
        </is>
      </c>
      <c r="U798" s="2" t="inlineStr">
        <is>
          <t>No</t>
        </is>
      </c>
      <c r="V798" s="2" t="inlineStr">
        <is>
          <t>No</t>
        </is>
      </c>
      <c r="W798" s="2" t="inlineStr">
        <is>
          <t>Yes</t>
        </is>
      </c>
      <c r="X798" s="2" t="inlineStr">
        <is>
          <t>Yes</t>
        </is>
      </c>
      <c r="Y798" s="2" t="inlineStr">
        <is>
          <t>Yes</t>
        </is>
      </c>
      <c r="Z798" s="2" t="inlineStr">
        <is>
          <t>No</t>
        </is>
      </c>
      <c r="AA798" s="6" t="n">
        <v>3.959483098</v>
      </c>
      <c r="AB798" s="6" t="n">
        <v>3.370799811</v>
      </c>
      <c r="AC798" s="6" t="n">
        <v>3.801398907</v>
      </c>
      <c r="AD798">
        <f t="array" ref="AD798">IF(SUMPRODUCT(--($AM$2:$AM$112=TRIM(LEFT($B798,IFERROR(FIND(" ",$B798)-1,LEN($B798))))))&gt;0,1,0)</f>
        <v/>
      </c>
      <c r="AE798">
        <f t="array" ref="AE798">IF(SUMPRODUCT(--($AO$2:$AO$145=TRIM(LEFT($B798,IFERROR(FIND(" ",$B798)-1,LEN($B798))))))&gt;0,1,0)</f>
        <v/>
      </c>
      <c r="AF798">
        <f t="array" ref="AF798">IF(SUMPRODUCT(--($AQ$2:$AQ$71=TRIM(LEFT($B798,IFERROR(FIND(" ",$B798)-1,LEN($B798))))))&gt;0,1,0)</f>
        <v/>
      </c>
    </row>
    <row r="799" ht="45.75" customHeight="1" thickBot="1">
      <c r="A799" s="13" t="n">
        <v>93</v>
      </c>
      <c r="B799" s="4" t="inlineStr">
        <is>
          <t>PVTL US</t>
        </is>
      </c>
      <c r="C799" s="4" t="inlineStr">
        <is>
          <t>VMW US</t>
        </is>
      </c>
      <c r="D799" s="7" t="n">
        <v>43699</v>
      </c>
      <c r="E799" s="3" t="n">
        <v>737.46</v>
      </c>
      <c r="F799" s="4" t="inlineStr">
        <is>
          <t>Cash</t>
        </is>
      </c>
      <c r="G799" s="4" t="n"/>
      <c r="H799" s="4" t="inlineStr">
        <is>
          <t>Technology</t>
        </is>
      </c>
      <c r="I799" s="4" t="inlineStr">
        <is>
          <t>Software &amp; Tech Services</t>
        </is>
      </c>
      <c r="J799" s="4" t="inlineStr">
        <is>
          <t>Software</t>
        </is>
      </c>
      <c r="K799" s="4" t="n"/>
      <c r="L799" s="3" t="n">
        <v>95</v>
      </c>
      <c r="M799" s="3" t="n">
        <v>46.05</v>
      </c>
      <c r="N799" s="3" t="n">
        <v>1445.98</v>
      </c>
      <c r="O799" s="4" t="inlineStr">
        <is>
          <t>United States</t>
        </is>
      </c>
      <c r="P799" s="4" t="inlineStr">
        <is>
          <t>United States</t>
        </is>
      </c>
      <c r="Q799" s="4" t="inlineStr">
        <is>
          <t>Friendly</t>
        </is>
      </c>
      <c r="R799" s="3" t="n">
        <v>657.494</v>
      </c>
      <c r="S799" s="3" t="n">
        <v>-19.248</v>
      </c>
      <c r="T799" s="4" t="inlineStr">
        <is>
          <t>Company Takeover</t>
        </is>
      </c>
      <c r="U799" s="2" t="inlineStr">
        <is>
          <t>No</t>
        </is>
      </c>
      <c r="V799" s="2" t="inlineStr">
        <is>
          <t>No</t>
        </is>
      </c>
      <c r="W799" s="2" t="inlineStr">
        <is>
          <t>No</t>
        </is>
      </c>
      <c r="X799" s="2" t="inlineStr">
        <is>
          <t>No</t>
        </is>
      </c>
      <c r="Y799" s="2" t="inlineStr">
        <is>
          <t>No</t>
        </is>
      </c>
      <c r="Z799" s="2" t="inlineStr">
        <is>
          <t>No</t>
        </is>
      </c>
      <c r="AA799" s="6" t="n">
        <v>2.867738469</v>
      </c>
      <c r="AB799" s="6" t="n">
        <v>2.817891794</v>
      </c>
      <c r="AC799" s="6" t="n">
        <v>3.160162286</v>
      </c>
      <c r="AD799">
        <f t="array" ref="AD799">IF(SUMPRODUCT(--($AM$2:$AM$112=TRIM(LEFT($B799,IFERROR(FIND(" ",$B799)-1,LEN($B799))))))&gt;0,1,0)</f>
        <v/>
      </c>
      <c r="AE799">
        <f t="array" ref="AE799">IF(SUMPRODUCT(--($AO$2:$AO$145=TRIM(LEFT($B799,IFERROR(FIND(" ",$B799)-1,LEN($B799))))))&gt;0,1,0)</f>
        <v/>
      </c>
      <c r="AF799">
        <f t="array" ref="AF799">IF(SUMPRODUCT(--($AQ$2:$AQ$71=TRIM(LEFT($B799,IFERROR(FIND(" ",$B799)-1,LEN($B799))))))&gt;0,1,0)</f>
        <v/>
      </c>
    </row>
    <row r="800" ht="105.75" customHeight="1" thickBot="1">
      <c r="A800" s="13" t="n">
        <v>34</v>
      </c>
      <c r="B800" s="4" t="inlineStr">
        <is>
          <t>CARB US</t>
        </is>
      </c>
      <c r="C800" s="4" t="inlineStr">
        <is>
          <t>OTEX CN</t>
        </is>
      </c>
      <c r="D800" s="7" t="n">
        <v>43780</v>
      </c>
      <c r="E800" s="3" t="n">
        <v>1359.54</v>
      </c>
      <c r="F800" s="4" t="inlineStr">
        <is>
          <t>Cash</t>
        </is>
      </c>
      <c r="G800" s="3" t="n">
        <v>19.44</v>
      </c>
      <c r="H800" s="4" t="inlineStr">
        <is>
          <t>Technology</t>
        </is>
      </c>
      <c r="I800" s="4" t="inlineStr">
        <is>
          <t>Software &amp; Tech Services</t>
        </is>
      </c>
      <c r="J800" s="4" t="inlineStr">
        <is>
          <t>Software</t>
        </is>
      </c>
      <c r="K800" s="4" t="n"/>
      <c r="L800" s="3" t="n">
        <v>28.9028</v>
      </c>
      <c r="M800" s="3" t="n">
        <v>37.49</v>
      </c>
      <c r="N800" s="3" t="n">
        <v>797.86</v>
      </c>
      <c r="O800" s="4" t="inlineStr">
        <is>
          <t>United States</t>
        </is>
      </c>
      <c r="P800" s="4" t="inlineStr">
        <is>
          <t>Canada</t>
        </is>
      </c>
      <c r="Q800" s="4" t="inlineStr">
        <is>
          <t>Friendly</t>
        </is>
      </c>
      <c r="R800" s="3" t="n">
        <v>296.408</v>
      </c>
      <c r="S800" s="3" t="n">
        <v>-2.86044</v>
      </c>
      <c r="T800" s="4" t="inlineStr">
        <is>
          <t>Company Takeover, Cross Border, Tender Offer</t>
        </is>
      </c>
      <c r="U800" s="2" t="inlineStr">
        <is>
          <t>No</t>
        </is>
      </c>
      <c r="V800" s="2" t="inlineStr">
        <is>
          <t>No</t>
        </is>
      </c>
      <c r="W800" s="2" t="inlineStr">
        <is>
          <t>Yes</t>
        </is>
      </c>
      <c r="X800" s="2" t="inlineStr">
        <is>
          <t>No</t>
        </is>
      </c>
      <c r="Y800" s="2" t="inlineStr">
        <is>
          <t>No</t>
        </is>
      </c>
      <c r="Z800" s="2" t="inlineStr">
        <is>
          <t>Yes</t>
        </is>
      </c>
      <c r="AA800" s="6" t="n">
        <v>3.13339199</v>
      </c>
      <c r="AB800" s="6" t="n">
        <v>2.471889921</v>
      </c>
      <c r="AC800" s="6" t="n">
        <v>2.901926693</v>
      </c>
      <c r="AD800">
        <f t="array" ref="AD800">IF(SUMPRODUCT(--($AM$2:$AM$112=TRIM(LEFT($B800,IFERROR(FIND(" ",$B800)-1,LEN($B800))))))&gt;0,1,0)</f>
        <v/>
      </c>
      <c r="AE800">
        <f t="array" ref="AE800">IF(SUMPRODUCT(--($AO$2:$AO$145=TRIM(LEFT($B800,IFERROR(FIND(" ",$B800)-1,LEN($B800))))))&gt;0,1,0)</f>
        <v/>
      </c>
      <c r="AF800">
        <f t="array" ref="AF800">IF(SUMPRODUCT(--($AQ$2:$AQ$71=TRIM(LEFT($B800,IFERROR(FIND(" ",$B800)-1,LEN($B800))))))&gt;0,1,0)</f>
        <v/>
      </c>
    </row>
    <row r="801" ht="45.75" customHeight="1" thickBot="1">
      <c r="A801" s="13" t="n">
        <v>116</v>
      </c>
      <c r="B801" s="4" t="inlineStr">
        <is>
          <t>CRZO US</t>
        </is>
      </c>
      <c r="C801" s="4" t="inlineStr">
        <is>
          <t>CPE US</t>
        </is>
      </c>
      <c r="D801" s="7" t="n">
        <v>43661</v>
      </c>
      <c r="E801" s="3" t="n">
        <v>2421.16</v>
      </c>
      <c r="F801" s="4" t="inlineStr">
        <is>
          <t>Stock</t>
        </is>
      </c>
      <c r="G801" s="3" t="n">
        <v>3.43</v>
      </c>
      <c r="H801" s="4" t="inlineStr">
        <is>
          <t>Energy</t>
        </is>
      </c>
      <c r="I801" s="4" t="inlineStr">
        <is>
          <t>Oil &amp; Gas</t>
        </is>
      </c>
      <c r="J801" s="4" t="inlineStr">
        <is>
          <t>Oil &amp; Gas Supply Chain</t>
        </is>
      </c>
      <c r="K801" s="3" t="n">
        <v>57</v>
      </c>
      <c r="L801" s="3" t="n">
        <v>20</v>
      </c>
      <c r="M801" s="3" t="n">
        <v>-25.96</v>
      </c>
      <c r="N801" s="3" t="n">
        <v>673.03</v>
      </c>
      <c r="O801" s="4" t="inlineStr">
        <is>
          <t>United States</t>
        </is>
      </c>
      <c r="P801" s="4" t="inlineStr">
        <is>
          <t>United States</t>
        </is>
      </c>
      <c r="Q801" s="4" t="inlineStr">
        <is>
          <t>Friendly</t>
        </is>
      </c>
      <c r="R801" s="3" t="n">
        <v>2342.98</v>
      </c>
      <c r="S801" s="3" t="n">
        <v>36.5308</v>
      </c>
      <c r="T801" s="4" t="inlineStr">
        <is>
          <t>Company Takeover</t>
        </is>
      </c>
      <c r="U801" s="2" t="inlineStr">
        <is>
          <t>No</t>
        </is>
      </c>
      <c r="V801" s="2" t="inlineStr">
        <is>
          <t>No</t>
        </is>
      </c>
      <c r="W801" s="2" t="inlineStr">
        <is>
          <t>No</t>
        </is>
      </c>
      <c r="X801" s="2" t="inlineStr">
        <is>
          <t>No</t>
        </is>
      </c>
      <c r="Y801" s="2" t="inlineStr">
        <is>
          <t>No</t>
        </is>
      </c>
      <c r="Z801" s="2" t="inlineStr">
        <is>
          <t>No</t>
        </is>
      </c>
      <c r="AA801" s="6" t="n">
        <v>3.38402349</v>
      </c>
      <c r="AB801" s="6" t="n">
        <v>3.369768581</v>
      </c>
      <c r="AC801" s="6" t="n">
        <v>2.828034423</v>
      </c>
      <c r="AD801">
        <f t="array" ref="AD801">IF(SUMPRODUCT(--($AM$2:$AM$112=TRIM(LEFT($B801,IFERROR(FIND(" ",$B801)-1,LEN($B801))))))&gt;0,1,0)</f>
        <v/>
      </c>
      <c r="AE801">
        <f t="array" ref="AE801">IF(SUMPRODUCT(--($AO$2:$AO$145=TRIM(LEFT($B801,IFERROR(FIND(" ",$B801)-1,LEN($B801))))))&gt;0,1,0)</f>
        <v/>
      </c>
      <c r="AF801">
        <f t="array" ref="AF801">IF(SUMPRODUCT(--($AQ$2:$AQ$71=TRIM(LEFT($B801,IFERROR(FIND(" ",$B801)-1,LEN($B801))))))&gt;0,1,0)</f>
        <v/>
      </c>
    </row>
    <row r="802" ht="165.75" customHeight="1" thickBot="1">
      <c r="A802" s="13" t="n">
        <v>93</v>
      </c>
      <c r="B802" s="4" t="inlineStr">
        <is>
          <t>PSDO US</t>
        </is>
      </c>
      <c r="C802" s="4" t="inlineStr">
        <is>
          <t>2496Z LN</t>
        </is>
      </c>
      <c r="D802" s="7" t="n">
        <v>43691</v>
      </c>
      <c r="E802" s="3" t="n">
        <v>2102.5</v>
      </c>
      <c r="F802" s="4" t="inlineStr">
        <is>
          <t>Cash</t>
        </is>
      </c>
      <c r="G802" s="3" t="n">
        <v>10.93</v>
      </c>
      <c r="H802" s="4" t="inlineStr">
        <is>
          <t>Technology</t>
        </is>
      </c>
      <c r="I802" s="4" t="inlineStr">
        <is>
          <t>Software &amp; Tech Services</t>
        </is>
      </c>
      <c r="J802" s="4" t="inlineStr">
        <is>
          <t>IT Services</t>
        </is>
      </c>
      <c r="K802" s="3" t="n">
        <v>80</v>
      </c>
      <c r="L802" s="3" t="n">
        <v>40</v>
      </c>
      <c r="M802" s="4" t="n"/>
      <c r="N802" s="3" t="n">
        <v>1373.8</v>
      </c>
      <c r="O802" s="4" t="inlineStr">
        <is>
          <t>United States</t>
        </is>
      </c>
      <c r="P802" s="4" t="inlineStr">
        <is>
          <t>United Kingdom</t>
        </is>
      </c>
      <c r="Q802" s="4" t="inlineStr">
        <is>
          <t>Friendly</t>
        </is>
      </c>
      <c r="R802" s="3" t="n">
        <v>3026.1</v>
      </c>
      <c r="S802" s="3" t="n">
        <v>3.75632</v>
      </c>
      <c r="T802" s="4" t="inlineStr">
        <is>
          <t>PE Buyout, Company Takeover, Cross Border, Private Equity, Going Private</t>
        </is>
      </c>
      <c r="U802" s="2" t="inlineStr">
        <is>
          <t>No</t>
        </is>
      </c>
      <c r="V802" s="2" t="inlineStr">
        <is>
          <t>No</t>
        </is>
      </c>
      <c r="W802" s="2" t="inlineStr">
        <is>
          <t>Yes</t>
        </is>
      </c>
      <c r="X802" s="2" t="inlineStr">
        <is>
          <t>Yes</t>
        </is>
      </c>
      <c r="Y802" s="2" t="inlineStr">
        <is>
          <t>Yes</t>
        </is>
      </c>
      <c r="Z802" s="2" t="inlineStr">
        <is>
          <t>No</t>
        </is>
      </c>
      <c r="AA802" s="6" t="n">
        <v>3.322736004</v>
      </c>
      <c r="AB802" s="6" t="n">
        <v>3.480883276</v>
      </c>
      <c r="AC802" s="6" t="n">
        <v>3.137923512</v>
      </c>
      <c r="AD802">
        <f t="array" ref="AD802">IF(SUMPRODUCT(--($AM$2:$AM$112=TRIM(LEFT($B802,IFERROR(FIND(" ",$B802)-1,LEN($B802))))))&gt;0,1,0)</f>
        <v/>
      </c>
      <c r="AE802">
        <f t="array" ref="AE802">IF(SUMPRODUCT(--($AO$2:$AO$145=TRIM(LEFT($B802,IFERROR(FIND(" ",$B802)-1,LEN($B802))))))&gt;0,1,0)</f>
        <v/>
      </c>
      <c r="AF802">
        <f t="array" ref="AF802">IF(SUMPRODUCT(--($AQ$2:$AQ$71=TRIM(LEFT($B802,IFERROR(FIND(" ",$B802)-1,LEN($B802))))))&gt;0,1,0)</f>
        <v/>
      </c>
    </row>
    <row r="803" ht="45.75" customHeight="1" thickBot="1">
      <c r="A803" s="13" t="n">
        <v>87</v>
      </c>
      <c r="B803" s="4" t="inlineStr">
        <is>
          <t>KML CN</t>
        </is>
      </c>
      <c r="C803" s="4" t="inlineStr">
        <is>
          <t>PPL CN</t>
        </is>
      </c>
      <c r="D803" s="7" t="n">
        <v>43698</v>
      </c>
      <c r="E803" s="3" t="n">
        <v>1694.99</v>
      </c>
      <c r="F803" s="4" t="inlineStr">
        <is>
          <t>Stock</t>
        </is>
      </c>
      <c r="G803" s="3" t="n">
        <v>8.710000000000001</v>
      </c>
      <c r="H803" s="4" t="inlineStr">
        <is>
          <t>Energy</t>
        </is>
      </c>
      <c r="I803" s="4" t="inlineStr">
        <is>
          <t>Oil &amp; Gas</t>
        </is>
      </c>
      <c r="J803" s="4" t="inlineStr">
        <is>
          <t>Oil &amp; Gas Supply Chain</t>
        </is>
      </c>
      <c r="K803" s="4" t="n"/>
      <c r="L803" s="4" t="n"/>
      <c r="M803" s="3" t="n">
        <v>33.91</v>
      </c>
      <c r="N803" s="3" t="n">
        <v>1309.72</v>
      </c>
      <c r="O803" s="4" t="inlineStr">
        <is>
          <t>Canada</t>
        </is>
      </c>
      <c r="P803" s="4" t="inlineStr">
        <is>
          <t>Canada</t>
        </is>
      </c>
      <c r="Q803" s="4" t="inlineStr">
        <is>
          <t>Friendly</t>
        </is>
      </c>
      <c r="R803" s="3" t="n">
        <v>296.231</v>
      </c>
      <c r="S803" s="3" t="n">
        <v>27.8958</v>
      </c>
      <c r="T803" s="4" t="inlineStr">
        <is>
          <t>Company Takeover</t>
        </is>
      </c>
      <c r="U803" s="2" t="inlineStr">
        <is>
          <t>No</t>
        </is>
      </c>
      <c r="V803" s="2" t="inlineStr">
        <is>
          <t>No</t>
        </is>
      </c>
      <c r="W803" s="2" t="inlineStr">
        <is>
          <t>No</t>
        </is>
      </c>
      <c r="X803" s="2" t="inlineStr">
        <is>
          <t>No</t>
        </is>
      </c>
      <c r="Y803" s="2" t="inlineStr">
        <is>
          <t>No</t>
        </is>
      </c>
      <c r="Z803" s="2" t="inlineStr">
        <is>
          <t>No</t>
        </is>
      </c>
      <c r="AA803" s="6" t="n">
        <v>3.22916714</v>
      </c>
      <c r="AB803" s="6" t="n">
        <v>2.471630505</v>
      </c>
      <c r="AC803" s="6" t="n">
        <v>3.117178459</v>
      </c>
      <c r="AD803">
        <f t="array" ref="AD803">IF(SUMPRODUCT(--($AM$2:$AM$112=TRIM(LEFT($B803,IFERROR(FIND(" ",$B803)-1,LEN($B803))))))&gt;0,1,0)</f>
        <v/>
      </c>
      <c r="AE803">
        <f t="array" ref="AE803">IF(SUMPRODUCT(--($AO$2:$AO$145=TRIM(LEFT($B803,IFERROR(FIND(" ",$B803)-1,LEN($B803))))))&gt;0,1,0)</f>
        <v/>
      </c>
      <c r="AF803">
        <f t="array" ref="AF803">IF(SUMPRODUCT(--($AQ$2:$AQ$71=TRIM(LEFT($B803,IFERROR(FIND(" ",$B803)-1,LEN($B803))))))&gt;0,1,0)</f>
        <v/>
      </c>
    </row>
    <row r="804" ht="105.75" customHeight="1" thickBot="1">
      <c r="A804" s="13" t="n">
        <v>213</v>
      </c>
      <c r="B804" s="4" t="inlineStr">
        <is>
          <t>ONCE US</t>
        </is>
      </c>
      <c r="C804" s="4" t="inlineStr">
        <is>
          <t>ROP SW</t>
        </is>
      </c>
      <c r="D804" s="7" t="n">
        <v>43521</v>
      </c>
      <c r="E804" s="3" t="n">
        <v>3747.63</v>
      </c>
      <c r="F804" s="4" t="inlineStr">
        <is>
          <t>Cash</t>
        </is>
      </c>
      <c r="G804" s="4" t="n"/>
      <c r="H804" s="4" t="inlineStr">
        <is>
          <t>Health Care</t>
        </is>
      </c>
      <c r="I804" s="4" t="inlineStr">
        <is>
          <t>Health Care</t>
        </is>
      </c>
      <c r="J804" s="4" t="inlineStr">
        <is>
          <t>Biotech &amp; Pharma</t>
        </is>
      </c>
      <c r="K804" s="4" t="n"/>
      <c r="L804" s="3" t="n">
        <v>144</v>
      </c>
      <c r="M804" s="3" t="n">
        <v>138.36</v>
      </c>
      <c r="N804" s="3" t="n">
        <v>4315.08</v>
      </c>
      <c r="O804" s="4" t="inlineStr">
        <is>
          <t>United States</t>
        </is>
      </c>
      <c r="P804" s="4" t="inlineStr">
        <is>
          <t>Switzerland</t>
        </is>
      </c>
      <c r="Q804" s="4" t="inlineStr">
        <is>
          <t>Friendly</t>
        </is>
      </c>
      <c r="R804" s="3" t="n">
        <v>64.72499999999999</v>
      </c>
      <c r="S804" s="3" t="n">
        <v>-358.242</v>
      </c>
      <c r="T804" s="4" t="inlineStr">
        <is>
          <t>Company Takeover, Cross Border, Tender Offer</t>
        </is>
      </c>
      <c r="U804" s="2" t="inlineStr">
        <is>
          <t>No</t>
        </is>
      </c>
      <c r="V804" s="2" t="inlineStr">
        <is>
          <t>No</t>
        </is>
      </c>
      <c r="W804" s="2" t="inlineStr">
        <is>
          <t>Yes</t>
        </is>
      </c>
      <c r="X804" s="2" t="inlineStr">
        <is>
          <t>No</t>
        </is>
      </c>
      <c r="Y804" s="2" t="inlineStr">
        <is>
          <t>No</t>
        </is>
      </c>
      <c r="Z804" s="2" t="inlineStr">
        <is>
          <t>Yes</t>
        </is>
      </c>
      <c r="AA804" s="6" t="n">
        <v>3.573756707</v>
      </c>
      <c r="AB804" s="6" t="n">
        <v>1.811072059</v>
      </c>
      <c r="AC804" s="6" t="n">
        <v>3.634988852</v>
      </c>
      <c r="AD804">
        <f t="array" ref="AD804">IF(SUMPRODUCT(--($AM$2:$AM$112=TRIM(LEFT($B804,IFERROR(FIND(" ",$B804)-1,LEN($B804))))))&gt;0,1,0)</f>
        <v/>
      </c>
      <c r="AE804">
        <f t="array" ref="AE804">IF(SUMPRODUCT(--($AO$2:$AO$145=TRIM(LEFT($B804,IFERROR(FIND(" ",$B804)-1,LEN($B804))))))&gt;0,1,0)</f>
        <v/>
      </c>
      <c r="AF804">
        <f t="array" ref="AF804">IF(SUMPRODUCT(--($AQ$2:$AQ$71=TRIM(LEFT($B804,IFERROR(FIND(" ",$B804)-1,LEN($B804))))))&gt;0,1,0)</f>
        <v/>
      </c>
    </row>
    <row r="805" ht="135.75" customHeight="1" thickBot="1">
      <c r="A805" s="13" t="n">
        <v>156</v>
      </c>
      <c r="B805" s="4" t="inlineStr">
        <is>
          <t>WJA CN</t>
        </is>
      </c>
      <c r="C805" s="4" t="inlineStr">
        <is>
          <t>ONEX CN</t>
        </is>
      </c>
      <c r="D805" s="7" t="n">
        <v>43598</v>
      </c>
      <c r="E805" s="3" t="n">
        <v>2621.48</v>
      </c>
      <c r="F805" s="4" t="inlineStr">
        <is>
          <t>Cash</t>
        </is>
      </c>
      <c r="G805" s="3" t="n">
        <v>6.04</v>
      </c>
      <c r="H805" s="4" t="inlineStr">
        <is>
          <t>Industrials</t>
        </is>
      </c>
      <c r="I805" s="4" t="inlineStr">
        <is>
          <t>Industrial Services</t>
        </is>
      </c>
      <c r="J805" s="4" t="inlineStr">
        <is>
          <t>Transportation &amp; Logistics</t>
        </is>
      </c>
      <c r="K805" s="4" t="n"/>
      <c r="L805" s="4" t="n"/>
      <c r="M805" s="4" t="n"/>
      <c r="N805" s="3" t="n">
        <v>2621.48</v>
      </c>
      <c r="O805" s="4" t="inlineStr">
        <is>
          <t>Canada</t>
        </is>
      </c>
      <c r="P805" s="4" t="inlineStr">
        <is>
          <t>Canada</t>
        </is>
      </c>
      <c r="Q805" s="4" t="inlineStr">
        <is>
          <t>Friendly</t>
        </is>
      </c>
      <c r="R805" s="3" t="n">
        <v>3653.47</v>
      </c>
      <c r="S805" s="3" t="n">
        <v>6.69713</v>
      </c>
      <c r="T805" s="4" t="inlineStr">
        <is>
          <t>PE Buyout, Company Takeover, Private Equity, Going Private</t>
        </is>
      </c>
      <c r="U805" s="2" t="inlineStr">
        <is>
          <t>No</t>
        </is>
      </c>
      <c r="V805" s="2" t="inlineStr">
        <is>
          <t>No</t>
        </is>
      </c>
      <c r="W805" s="2" t="inlineStr">
        <is>
          <t>No</t>
        </is>
      </c>
      <c r="X805" s="2" t="inlineStr">
        <is>
          <t>Yes</t>
        </is>
      </c>
      <c r="Y805" s="2" t="inlineStr">
        <is>
          <t>Yes</t>
        </is>
      </c>
      <c r="Z805" s="2" t="inlineStr">
        <is>
          <t>No</t>
        </is>
      </c>
      <c r="AA805" s="6" t="n">
        <v>3.418546549</v>
      </c>
      <c r="AB805" s="6" t="n">
        <v>3.562705546</v>
      </c>
      <c r="AC805" s="6" t="n">
        <v>3.418546549</v>
      </c>
      <c r="AD805">
        <f t="array" ref="AD805">IF(SUMPRODUCT(--($AM$2:$AM$112=TRIM(LEFT($B805,IFERROR(FIND(" ",$B805)-1,LEN($B805))))))&gt;0,1,0)</f>
        <v/>
      </c>
      <c r="AE805">
        <f t="array" ref="AE805">IF(SUMPRODUCT(--($AO$2:$AO$145=TRIM(LEFT($B805,IFERROR(FIND(" ",$B805)-1,LEN($B805))))))&gt;0,1,0)</f>
        <v/>
      </c>
      <c r="AF805">
        <f t="array" ref="AF805">IF(SUMPRODUCT(--($AQ$2:$AQ$71=TRIM(LEFT($B805,IFERROR(FIND(" ",$B805)-1,LEN($B805))))))&gt;0,1,0)</f>
        <v/>
      </c>
    </row>
    <row r="806" ht="165.75" customHeight="1" thickBot="1">
      <c r="A806" s="13" t="n">
        <v>64</v>
      </c>
      <c r="B806" s="4" t="inlineStr">
        <is>
          <t>DRG-U CN</t>
        </is>
      </c>
      <c r="C806" s="4" t="inlineStr">
        <is>
          <t>BX US</t>
        </is>
      </c>
      <c r="D806" s="7" t="n">
        <v>43723</v>
      </c>
      <c r="E806" s="3" t="n">
        <v>2457.96</v>
      </c>
      <c r="F806" s="4" t="inlineStr">
        <is>
          <t>Cash</t>
        </is>
      </c>
      <c r="G806" s="3" t="n">
        <v>25.24</v>
      </c>
      <c r="H806" s="4" t="inlineStr">
        <is>
          <t>Real Estate</t>
        </is>
      </c>
      <c r="I806" s="4" t="inlineStr">
        <is>
          <t>Real Estate</t>
        </is>
      </c>
      <c r="J806" s="4" t="inlineStr">
        <is>
          <t>REIT</t>
        </is>
      </c>
      <c r="K806" s="4" t="n"/>
      <c r="L806" s="4" t="n"/>
      <c r="M806" s="4" t="n"/>
      <c r="N806" s="3" t="n">
        <v>2457.96</v>
      </c>
      <c r="O806" s="4" t="inlineStr">
        <is>
          <t>Canada</t>
        </is>
      </c>
      <c r="P806" s="4" t="inlineStr">
        <is>
          <t>United States</t>
        </is>
      </c>
      <c r="Q806" s="4" t="inlineStr">
        <is>
          <t>Friendly</t>
        </is>
      </c>
      <c r="R806" s="3" t="n">
        <v>272.982</v>
      </c>
      <c r="S806" s="3" t="n">
        <v>-25.561</v>
      </c>
      <c r="T806" s="4" t="inlineStr">
        <is>
          <t>PE Buyout, Company Takeover, Cross Border, Private Equity, Going Private</t>
        </is>
      </c>
      <c r="U806" s="2" t="inlineStr">
        <is>
          <t>No</t>
        </is>
      </c>
      <c r="V806" s="2" t="inlineStr">
        <is>
          <t>No</t>
        </is>
      </c>
      <c r="W806" s="2" t="inlineStr">
        <is>
          <t>Yes</t>
        </is>
      </c>
      <c r="X806" s="2" t="inlineStr">
        <is>
          <t>Yes</t>
        </is>
      </c>
      <c r="Y806" s="2" t="inlineStr">
        <is>
          <t>Yes</t>
        </is>
      </c>
      <c r="Z806" s="2" t="inlineStr">
        <is>
          <t>No</t>
        </is>
      </c>
      <c r="AA806" s="6" t="n">
        <v>3.390574811</v>
      </c>
      <c r="AB806" s="6" t="n">
        <v>2.436134011</v>
      </c>
      <c r="AC806" s="6" t="n">
        <v>3.390574811</v>
      </c>
      <c r="AD806">
        <f t="array" ref="AD806">IF(SUMPRODUCT(--($AM$2:$AM$112=TRIM(LEFT($B806,IFERROR(FIND(" ",$B806)-1,LEN($B806))))))&gt;0,1,0)</f>
        <v/>
      </c>
      <c r="AE806">
        <f t="array" ref="AE806">IF(SUMPRODUCT(--($AO$2:$AO$145=TRIM(LEFT($B806,IFERROR(FIND(" ",$B806)-1,LEN($B806))))))&gt;0,1,0)</f>
        <v/>
      </c>
      <c r="AF806">
        <f t="array" ref="AF806">IF(SUMPRODUCT(--($AQ$2:$AQ$71=TRIM(LEFT($B806,IFERROR(FIND(" ",$B806)-1,LEN($B806))))))&gt;0,1,0)</f>
        <v/>
      </c>
    </row>
    <row r="807" ht="45.75" customHeight="1" thickBot="1">
      <c r="A807" s="13" t="n">
        <v>218</v>
      </c>
      <c r="B807" s="4" t="inlineStr">
        <is>
          <t>2370058D US</t>
        </is>
      </c>
      <c r="C807" s="4" t="inlineStr">
        <is>
          <t>TFC US</t>
        </is>
      </c>
      <c r="D807" s="7" t="n">
        <v>43503</v>
      </c>
      <c r="E807" s="3" t="n">
        <v>27894.88</v>
      </c>
      <c r="F807" s="4" t="inlineStr">
        <is>
          <t>Stock</t>
        </is>
      </c>
      <c r="G807" s="4" t="n"/>
      <c r="H807" s="4" t="inlineStr">
        <is>
          <t>Financials</t>
        </is>
      </c>
      <c r="I807" s="4" t="inlineStr">
        <is>
          <t>Banking</t>
        </is>
      </c>
      <c r="J807" s="4" t="inlineStr">
        <is>
          <t>Banking</t>
        </is>
      </c>
      <c r="K807" s="3" t="n">
        <v>1121</v>
      </c>
      <c r="L807" s="3" t="n">
        <v>1121</v>
      </c>
      <c r="M807" s="3" t="n">
        <v>5.9</v>
      </c>
      <c r="N807" s="3" t="n">
        <v>27894.88</v>
      </c>
      <c r="O807" s="4" t="inlineStr">
        <is>
          <t>United States</t>
        </is>
      </c>
      <c r="P807" s="4" t="inlineStr">
        <is>
          <t>United States</t>
        </is>
      </c>
      <c r="Q807" s="4" t="inlineStr">
        <is>
          <t>Friendly</t>
        </is>
      </c>
      <c r="R807" s="3" t="n">
        <v>10431</v>
      </c>
      <c r="S807" s="3" t="n">
        <v>31.4803</v>
      </c>
      <c r="T807" s="4" t="inlineStr">
        <is>
          <t>Company Takeover</t>
        </is>
      </c>
      <c r="U807" s="2" t="inlineStr">
        <is>
          <t>No</t>
        </is>
      </c>
      <c r="V807" s="2" t="inlineStr">
        <is>
          <t>No</t>
        </is>
      </c>
      <c r="W807" s="2" t="inlineStr">
        <is>
          <t>No</t>
        </is>
      </c>
      <c r="X807" s="2" t="inlineStr">
        <is>
          <t>No</t>
        </is>
      </c>
      <c r="Y807" s="2" t="inlineStr">
        <is>
          <t>No</t>
        </is>
      </c>
      <c r="Z807" s="2" t="inlineStr">
        <is>
          <t>No</t>
        </is>
      </c>
      <c r="AA807" s="6" t="n">
        <v>4.445524497</v>
      </c>
      <c r="AB807" s="6" t="n">
        <v>4.018325945</v>
      </c>
      <c r="AC807" s="6" t="n">
        <v>4.445524497</v>
      </c>
      <c r="AD807">
        <f t="array" ref="AD807">IF(SUMPRODUCT(--($AM$2:$AM$112=TRIM(LEFT($B807,IFERROR(FIND(" ",$B807)-1,LEN($B807))))))&gt;0,1,0)</f>
        <v/>
      </c>
      <c r="AE807">
        <f t="array" ref="AE807">IF(SUMPRODUCT(--($AO$2:$AO$145=TRIM(LEFT($B807,IFERROR(FIND(" ",$B807)-1,LEN($B807))))))&gt;0,1,0)</f>
        <v/>
      </c>
      <c r="AF807">
        <f t="array" ref="AF807">IF(SUMPRODUCT(--($AQ$2:$AQ$71=TRIM(LEFT($B807,IFERROR(FIND(" ",$B807)-1,LEN($B807))))))&gt;0,1,0)</f>
        <v/>
      </c>
    </row>
    <row r="808" ht="60.75" customHeight="1" thickBot="1">
      <c r="A808" s="13" t="n">
        <v>88</v>
      </c>
      <c r="B808" s="4" t="inlineStr">
        <is>
          <t>VSI US</t>
        </is>
      </c>
      <c r="C808" s="4" t="inlineStr">
        <is>
          <t>FRG US</t>
        </is>
      </c>
      <c r="D808" s="7" t="n">
        <v>43685</v>
      </c>
      <c r="E808" s="3" t="n">
        <v>698.84</v>
      </c>
      <c r="F808" s="4" t="inlineStr">
        <is>
          <t>Cash</t>
        </is>
      </c>
      <c r="G808" s="3" t="n">
        <v>6.63</v>
      </c>
      <c r="H808" s="4" t="inlineStr">
        <is>
          <t>Consumer Discretionary</t>
        </is>
      </c>
      <c r="I808" s="4" t="inlineStr">
        <is>
          <t>Retail &amp; Whsle - Discretionary</t>
        </is>
      </c>
      <c r="J808" s="4" t="inlineStr">
        <is>
          <t>Retail - Discretionary</t>
        </is>
      </c>
      <c r="K808" s="3" t="n">
        <v>11.34</v>
      </c>
      <c r="L808" s="3" t="n">
        <v>5.67</v>
      </c>
      <c r="M808" s="4" t="n"/>
      <c r="N808" s="3" t="n">
        <v>155.96</v>
      </c>
      <c r="O808" s="4" t="inlineStr">
        <is>
          <t>United States</t>
        </is>
      </c>
      <c r="P808" s="4" t="inlineStr">
        <is>
          <t>United States</t>
        </is>
      </c>
      <c r="Q808" s="4" t="inlineStr">
        <is>
          <t>Friendly</t>
        </is>
      </c>
      <c r="R808" s="3" t="n">
        <v>1114.16</v>
      </c>
      <c r="S808" s="3" t="n">
        <v>-0.494034</v>
      </c>
      <c r="T808" s="4" t="inlineStr">
        <is>
          <t>Company Takeover</t>
        </is>
      </c>
      <c r="U808" s="2" t="inlineStr">
        <is>
          <t>No</t>
        </is>
      </c>
      <c r="V808" s="2" t="inlineStr">
        <is>
          <t>No</t>
        </is>
      </c>
      <c r="W808" s="2" t="inlineStr">
        <is>
          <t>No</t>
        </is>
      </c>
      <c r="X808" s="2" t="inlineStr">
        <is>
          <t>No</t>
        </is>
      </c>
      <c r="Y808" s="2" t="inlineStr">
        <is>
          <t>No</t>
        </is>
      </c>
      <c r="Z808" s="2" t="inlineStr">
        <is>
          <t>No</t>
        </is>
      </c>
      <c r="AA808" s="6" t="n">
        <v>2.844377755</v>
      </c>
      <c r="AB808" s="6" t="n">
        <v>3.046947563</v>
      </c>
      <c r="AC808" s="6" t="n">
        <v>2.193013227</v>
      </c>
      <c r="AD808">
        <f t="array" ref="AD808">IF(SUMPRODUCT(--($AM$2:$AM$112=TRIM(LEFT($B808,IFERROR(FIND(" ",$B808)-1,LEN($B808))))))&gt;0,1,0)</f>
        <v/>
      </c>
      <c r="AE808">
        <f t="array" ref="AE808">IF(SUMPRODUCT(--($AO$2:$AO$145=TRIM(LEFT($B808,IFERROR(FIND(" ",$B808)-1,LEN($B808))))))&gt;0,1,0)</f>
        <v/>
      </c>
      <c r="AF808">
        <f t="array" ref="AF808">IF(SUMPRODUCT(--($AQ$2:$AQ$71=TRIM(LEFT($B808,IFERROR(FIND(" ",$B808)-1,LEN($B808))))))&gt;0,1,0)</f>
        <v/>
      </c>
    </row>
    <row r="809" ht="75.75" customHeight="1" thickBot="1">
      <c r="A809" s="13" t="n">
        <v>49</v>
      </c>
      <c r="B809" s="4" t="inlineStr">
        <is>
          <t>ROAN US</t>
        </is>
      </c>
      <c r="C809" s="4" t="inlineStr">
        <is>
          <t>1697990D US</t>
        </is>
      </c>
      <c r="D809" s="7" t="n">
        <v>43739</v>
      </c>
      <c r="E809" s="3" t="n">
        <v>940.1799999999999</v>
      </c>
      <c r="F809" s="4" t="inlineStr">
        <is>
          <t>Cash</t>
        </is>
      </c>
      <c r="G809" s="3" t="n">
        <v>2.09</v>
      </c>
      <c r="H809" s="4" t="inlineStr">
        <is>
          <t>Energy</t>
        </is>
      </c>
      <c r="I809" s="4" t="inlineStr">
        <is>
          <t>Oil &amp; Gas</t>
        </is>
      </c>
      <c r="J809" s="4" t="inlineStr">
        <is>
          <t>Oil &amp; Gas Supply Chain</t>
        </is>
      </c>
      <c r="K809" s="3" t="n">
        <v>35</v>
      </c>
      <c r="L809" s="3" t="n">
        <v>25</v>
      </c>
      <c r="M809" s="4" t="n"/>
      <c r="N809" s="3" t="n">
        <v>234.18</v>
      </c>
      <c r="O809" s="4" t="inlineStr">
        <is>
          <t>United States</t>
        </is>
      </c>
      <c r="P809" s="4" t="inlineStr">
        <is>
          <t>United States</t>
        </is>
      </c>
      <c r="Q809" s="4" t="inlineStr">
        <is>
          <t>Friendly</t>
        </is>
      </c>
      <c r="R809" s="3" t="n">
        <v>517.821</v>
      </c>
      <c r="S809" s="3" t="n">
        <v>37.3909</v>
      </c>
      <c r="T809" s="4" t="inlineStr">
        <is>
          <t>Company Takeover, Going Private</t>
        </is>
      </c>
      <c r="U809" s="2" t="inlineStr">
        <is>
          <t>No</t>
        </is>
      </c>
      <c r="V809" s="2" t="inlineStr">
        <is>
          <t>No</t>
        </is>
      </c>
      <c r="W809" s="2" t="inlineStr">
        <is>
          <t>No</t>
        </is>
      </c>
      <c r="X809" s="2" t="inlineStr">
        <is>
          <t>Yes</t>
        </is>
      </c>
      <c r="Y809" s="2" t="inlineStr">
        <is>
          <t>No</t>
        </is>
      </c>
      <c r="Z809" s="2" t="inlineStr">
        <is>
          <t>No</t>
        </is>
      </c>
      <c r="AA809" s="6" t="n">
        <v>2.973211008</v>
      </c>
      <c r="AB809" s="6" t="n">
        <v>2.714179659</v>
      </c>
      <c r="AC809" s="6" t="n">
        <v>2.369549802</v>
      </c>
      <c r="AD809">
        <f t="array" ref="AD809">IF(SUMPRODUCT(--($AM$2:$AM$112=TRIM(LEFT($B809,IFERROR(FIND(" ",$B809)-1,LEN($B809))))))&gt;0,1,0)</f>
        <v/>
      </c>
      <c r="AE809">
        <f t="array" ref="AE809">IF(SUMPRODUCT(--($AO$2:$AO$145=TRIM(LEFT($B809,IFERROR(FIND(" ",$B809)-1,LEN($B809))))))&gt;0,1,0)</f>
        <v/>
      </c>
      <c r="AF809">
        <f t="array" ref="AF809">IF(SUMPRODUCT(--($AQ$2:$AQ$71=TRIM(LEFT($B809,IFERROR(FIND(" ",$B809)-1,LEN($B809))))))&gt;0,1,0)</f>
        <v/>
      </c>
    </row>
    <row r="810" ht="45.75" customHeight="1" thickBot="1">
      <c r="A810" s="13" t="n">
        <v>83</v>
      </c>
      <c r="B810" s="4" t="inlineStr">
        <is>
          <t>VIAB US</t>
        </is>
      </c>
      <c r="C810" s="4" t="inlineStr">
        <is>
          <t>PARA US</t>
        </is>
      </c>
      <c r="D810" s="7" t="n">
        <v>43690</v>
      </c>
      <c r="E810" s="3" t="n">
        <v>21943.45</v>
      </c>
      <c r="F810" s="4" t="inlineStr">
        <is>
          <t>Stock</t>
        </is>
      </c>
      <c r="G810" s="3" t="n">
        <v>7.86</v>
      </c>
      <c r="H810" s="4" t="inlineStr">
        <is>
          <t>Communications</t>
        </is>
      </c>
      <c r="I810" s="4" t="inlineStr">
        <is>
          <t>Media</t>
        </is>
      </c>
      <c r="J810" s="4" t="inlineStr">
        <is>
          <t>Entertainment Content</t>
        </is>
      </c>
      <c r="K810" s="3" t="n">
        <v>560</v>
      </c>
      <c r="L810" s="3" t="n">
        <v>373</v>
      </c>
      <c r="M810" s="4" t="n"/>
      <c r="N810" s="3" t="n">
        <v>13707.45</v>
      </c>
      <c r="O810" s="4" t="inlineStr">
        <is>
          <t>United States</t>
        </is>
      </c>
      <c r="P810" s="4" t="inlineStr">
        <is>
          <t>United States</t>
        </is>
      </c>
      <c r="Q810" s="4" t="inlineStr">
        <is>
          <t>Friendly</t>
        </is>
      </c>
      <c r="R810" s="3" t="n">
        <v>12838</v>
      </c>
      <c r="S810" s="3" t="n">
        <v>19.1774</v>
      </c>
      <c r="T810" s="4" t="inlineStr">
        <is>
          <t>Company Takeover</t>
        </is>
      </c>
      <c r="U810" s="2" t="inlineStr">
        <is>
          <t>No</t>
        </is>
      </c>
      <c r="V810" s="2" t="inlineStr">
        <is>
          <t>No</t>
        </is>
      </c>
      <c r="W810" s="2" t="inlineStr">
        <is>
          <t>No</t>
        </is>
      </c>
      <c r="X810" s="2" t="inlineStr">
        <is>
          <t>No</t>
        </is>
      </c>
      <c r="Y810" s="2" t="inlineStr">
        <is>
          <t>No</t>
        </is>
      </c>
      <c r="Z810" s="2" t="inlineStr">
        <is>
          <t>No</t>
        </is>
      </c>
      <c r="AA810" s="6" t="n">
        <v>4.341304909</v>
      </c>
      <c r="AB810" s="6" t="n">
        <v>4.108497371</v>
      </c>
      <c r="AC810" s="6" t="n">
        <v>4.13695667</v>
      </c>
      <c r="AD810">
        <f t="array" ref="AD810">IF(SUMPRODUCT(--($AM$2:$AM$112=TRIM(LEFT($B810,IFERROR(FIND(" ",$B810)-1,LEN($B810))))))&gt;0,1,0)</f>
        <v/>
      </c>
      <c r="AE810">
        <f t="array" ref="AE810">IF(SUMPRODUCT(--($AO$2:$AO$145=TRIM(LEFT($B810,IFERROR(FIND(" ",$B810)-1,LEN($B810))))))&gt;0,1,0)</f>
        <v/>
      </c>
      <c r="AF810">
        <f t="array" ref="AF810">IF(SUMPRODUCT(--($AQ$2:$AQ$71=TRIM(LEFT($B810,IFERROR(FIND(" ",$B810)-1,LEN($B810))))))&gt;0,1,0)</f>
        <v/>
      </c>
    </row>
    <row r="811" ht="45.75" customHeight="1" thickBot="1">
      <c r="A811" s="13" t="n">
        <v>59</v>
      </c>
      <c r="B811" s="4" t="inlineStr">
        <is>
          <t>2568368D US</t>
        </is>
      </c>
      <c r="C811" s="4" t="inlineStr">
        <is>
          <t>ET US</t>
        </is>
      </c>
      <c r="D811" s="7" t="n">
        <v>43724</v>
      </c>
      <c r="E811" s="3" t="n">
        <v>3692.62</v>
      </c>
      <c r="F811" s="4" t="inlineStr">
        <is>
          <t>Cash and Stock</t>
        </is>
      </c>
      <c r="G811" s="3" t="n">
        <v>10</v>
      </c>
      <c r="H811" s="4" t="inlineStr">
        <is>
          <t>Energy</t>
        </is>
      </c>
      <c r="I811" s="4" t="inlineStr">
        <is>
          <t>Oil &amp; Gas</t>
        </is>
      </c>
      <c r="J811" s="4" t="inlineStr">
        <is>
          <t>Oil &amp; Gas Supply Chain</t>
        </is>
      </c>
      <c r="K811" s="4" t="n"/>
      <c r="L811" s="3" t="n">
        <v>54.5</v>
      </c>
      <c r="M811" s="3" t="n">
        <v>82.16</v>
      </c>
      <c r="N811" s="3" t="n">
        <v>1329.12</v>
      </c>
      <c r="O811" s="4" t="inlineStr">
        <is>
          <t>United States</t>
        </is>
      </c>
      <c r="P811" s="4" t="inlineStr">
        <is>
          <t>United States</t>
        </is>
      </c>
      <c r="Q811" s="4" t="inlineStr">
        <is>
          <t>Friendly</t>
        </is>
      </c>
      <c r="R811" s="3" t="n">
        <v>2503.26</v>
      </c>
      <c r="S811" s="3" t="n">
        <v>5.16763</v>
      </c>
      <c r="T811" s="4" t="inlineStr">
        <is>
          <t>Company Takeover</t>
        </is>
      </c>
      <c r="U811" s="2" t="inlineStr">
        <is>
          <t>No</t>
        </is>
      </c>
      <c r="V811" s="2" t="inlineStr">
        <is>
          <t>No</t>
        </is>
      </c>
      <c r="W811" s="2" t="inlineStr">
        <is>
          <t>No</t>
        </is>
      </c>
      <c r="X811" s="2" t="inlineStr">
        <is>
          <t>No</t>
        </is>
      </c>
      <c r="Y811" s="2" t="inlineStr">
        <is>
          <t>No</t>
        </is>
      </c>
      <c r="Z811" s="2" t="inlineStr">
        <is>
          <t>No</t>
        </is>
      </c>
      <c r="AA811" s="6" t="n">
        <v>3.567334618</v>
      </c>
      <c r="AB811" s="6" t="n">
        <v>3.39850596</v>
      </c>
      <c r="AC811" s="6" t="n">
        <v>3.123564193</v>
      </c>
      <c r="AD811">
        <f t="array" ref="AD811">IF(SUMPRODUCT(--($AM$2:$AM$112=TRIM(LEFT($B811,IFERROR(FIND(" ",$B811)-1,LEN($B811))))))&gt;0,1,0)</f>
        <v/>
      </c>
      <c r="AE811">
        <f t="array" ref="AE811">IF(SUMPRODUCT(--($AO$2:$AO$145=TRIM(LEFT($B811,IFERROR(FIND(" ",$B811)-1,LEN($B811))))))&gt;0,1,0)</f>
        <v/>
      </c>
      <c r="AF811">
        <f t="array" ref="AF811">IF(SUMPRODUCT(--($AQ$2:$AQ$71=TRIM(LEFT($B811,IFERROR(FIND(" ",$B811)-1,LEN($B811))))))&gt;0,1,0)</f>
        <v/>
      </c>
    </row>
    <row r="812" ht="165.75" customHeight="1" thickBot="1">
      <c r="A812" s="13" t="n">
        <v>86</v>
      </c>
      <c r="B812" s="4" t="inlineStr">
        <is>
          <t>CBM US</t>
        </is>
      </c>
      <c r="C812" s="4" t="inlineStr">
        <is>
          <t>727032Z LN</t>
        </is>
      </c>
      <c r="D812" s="7" t="n">
        <v>43684</v>
      </c>
      <c r="E812" s="3" t="n">
        <v>2486.69</v>
      </c>
      <c r="F812" s="4" t="inlineStr">
        <is>
          <t>Cash</t>
        </is>
      </c>
      <c r="G812" s="3" t="n">
        <v>18.57</v>
      </c>
      <c r="H812" s="4" t="inlineStr">
        <is>
          <t>Health Care</t>
        </is>
      </c>
      <c r="I812" s="4" t="inlineStr">
        <is>
          <t>Health Care</t>
        </is>
      </c>
      <c r="J812" s="4" t="inlineStr">
        <is>
          <t>Health Care Facilities &amp; Svcs</t>
        </is>
      </c>
      <c r="K812" s="3" t="n">
        <v>123.201</v>
      </c>
      <c r="L812" s="3" t="n">
        <v>61.6004</v>
      </c>
      <c r="M812" s="4" t="n"/>
      <c r="N812" s="3" t="n">
        <v>2019.36</v>
      </c>
      <c r="O812" s="4" t="inlineStr">
        <is>
          <t>United States</t>
        </is>
      </c>
      <c r="P812" s="4" t="inlineStr">
        <is>
          <t>United Kingdom</t>
        </is>
      </c>
      <c r="Q812" s="4" t="inlineStr">
        <is>
          <t>Friendly</t>
        </is>
      </c>
      <c r="R812" s="3" t="n">
        <v>532.093</v>
      </c>
      <c r="S812" s="3" t="n">
        <v>14.6169</v>
      </c>
      <c r="T812" s="4" t="inlineStr">
        <is>
          <t>PE Buyout, Company Takeover, Cross Border, Private Equity, Going Private</t>
        </is>
      </c>
      <c r="U812" s="2" t="inlineStr">
        <is>
          <t>No</t>
        </is>
      </c>
      <c r="V812" s="2" t="inlineStr">
        <is>
          <t>No</t>
        </is>
      </c>
      <c r="W812" s="2" t="inlineStr">
        <is>
          <t>Yes</t>
        </is>
      </c>
      <c r="X812" s="2" t="inlineStr">
        <is>
          <t>Yes</t>
        </is>
      </c>
      <c r="Y812" s="2" t="inlineStr">
        <is>
          <t>Yes</t>
        </is>
      </c>
      <c r="Z812" s="2" t="inlineStr">
        <is>
          <t>No</t>
        </is>
      </c>
      <c r="AA812" s="6" t="n">
        <v>3.395621648</v>
      </c>
      <c r="AB812" s="6" t="n">
        <v>2.725987546</v>
      </c>
      <c r="AC812" s="6" t="n">
        <v>3.305213749</v>
      </c>
      <c r="AD812">
        <f t="array" ref="AD812">IF(SUMPRODUCT(--($AM$2:$AM$112=TRIM(LEFT($B812,IFERROR(FIND(" ",$B812)-1,LEN($B812))))))&gt;0,1,0)</f>
        <v/>
      </c>
      <c r="AE812">
        <f t="array" ref="AE812">IF(SUMPRODUCT(--($AO$2:$AO$145=TRIM(LEFT($B812,IFERROR(FIND(" ",$B812)-1,LEN($B812))))))&gt;0,1,0)</f>
        <v/>
      </c>
      <c r="AF812">
        <f t="array" ref="AF812">IF(SUMPRODUCT(--($AQ$2:$AQ$71=TRIM(LEFT($B812,IFERROR(FIND(" ",$B812)-1,LEN($B812))))))&gt;0,1,0)</f>
        <v/>
      </c>
    </row>
    <row r="813" ht="45.75" customHeight="1" thickBot="1">
      <c r="A813" s="13" t="n">
        <v>114</v>
      </c>
      <c r="B813" s="4" t="inlineStr">
        <is>
          <t>ORIT US</t>
        </is>
      </c>
      <c r="C813" s="4" t="inlineStr">
        <is>
          <t>VLY US</t>
        </is>
      </c>
      <c r="D813" s="7" t="n">
        <v>43642</v>
      </c>
      <c r="E813" s="3" t="n">
        <v>748.23</v>
      </c>
      <c r="F813" s="4" t="inlineStr">
        <is>
          <t>Stock</t>
        </is>
      </c>
      <c r="G813" s="4" t="n"/>
      <c r="H813" s="4" t="inlineStr">
        <is>
          <t>Financials</t>
        </is>
      </c>
      <c r="I813" s="4" t="inlineStr">
        <is>
          <t>Banking</t>
        </is>
      </c>
      <c r="J813" s="4" t="inlineStr">
        <is>
          <t>Banking</t>
        </is>
      </c>
      <c r="K813" s="3" t="n">
        <v>1.8</v>
      </c>
      <c r="L813" s="3" t="n">
        <v>28</v>
      </c>
      <c r="M813" s="3" t="n">
        <v>1.1</v>
      </c>
      <c r="N813" s="3" t="n">
        <v>748.23</v>
      </c>
      <c r="O813" s="4" t="inlineStr">
        <is>
          <t>United States</t>
        </is>
      </c>
      <c r="P813" s="4" t="inlineStr">
        <is>
          <t>United States</t>
        </is>
      </c>
      <c r="Q813" s="4" t="inlineStr">
        <is>
          <t>Friendly</t>
        </is>
      </c>
      <c r="R813" s="3" t="n">
        <v>160.513</v>
      </c>
      <c r="S813" s="3" t="n">
        <v>64.4849</v>
      </c>
      <c r="T813" s="4" t="inlineStr">
        <is>
          <t>Company Takeover</t>
        </is>
      </c>
      <c r="U813" s="2" t="inlineStr">
        <is>
          <t>No</t>
        </is>
      </c>
      <c r="V813" s="2" t="inlineStr">
        <is>
          <t>No</t>
        </is>
      </c>
      <c r="W813" s="2" t="inlineStr">
        <is>
          <t>No</t>
        </is>
      </c>
      <c r="X813" s="2" t="inlineStr">
        <is>
          <t>No</t>
        </is>
      </c>
      <c r="Y813" s="2" t="inlineStr">
        <is>
          <t>No</t>
        </is>
      </c>
      <c r="Z813" s="2" t="inlineStr">
        <is>
          <t>No</t>
        </is>
      </c>
      <c r="AA813" s="6" t="n">
        <v>2.874035117</v>
      </c>
      <c r="AB813" s="6" t="n">
        <v>2.205510212</v>
      </c>
      <c r="AC813" s="6" t="n">
        <v>2.874035117</v>
      </c>
      <c r="AD813">
        <f t="array" ref="AD813">IF(SUMPRODUCT(--($AM$2:$AM$112=TRIM(LEFT($B813,IFERROR(FIND(" ",$B813)-1,LEN($B813))))))&gt;0,1,0)</f>
        <v/>
      </c>
      <c r="AE813">
        <f t="array" ref="AE813">IF(SUMPRODUCT(--($AO$2:$AO$145=TRIM(LEFT($B813,IFERROR(FIND(" ",$B813)-1,LEN($B813))))))&gt;0,1,0)</f>
        <v/>
      </c>
      <c r="AF813">
        <f t="array" ref="AF813">IF(SUMPRODUCT(--($AQ$2:$AQ$71=TRIM(LEFT($B813,IFERROR(FIND(" ",$B813)-1,LEN($B813))))))&gt;0,1,0)</f>
        <v/>
      </c>
    </row>
    <row r="814" ht="45.75" customHeight="1" thickBot="1">
      <c r="A814" s="13" t="n">
        <v>231</v>
      </c>
      <c r="B814" s="4" t="inlineStr">
        <is>
          <t>CELG US</t>
        </is>
      </c>
      <c r="C814" s="4" t="inlineStr">
        <is>
          <t>BMY US</t>
        </is>
      </c>
      <c r="D814" s="7" t="n">
        <v>43468</v>
      </c>
      <c r="E814" s="3" t="n">
        <v>88848.19</v>
      </c>
      <c r="F814" s="4" t="inlineStr">
        <is>
          <t>Cash and Stock</t>
        </is>
      </c>
      <c r="G814" s="3" t="n">
        <v>15.25</v>
      </c>
      <c r="H814" s="4" t="inlineStr">
        <is>
          <t>Health Care</t>
        </is>
      </c>
      <c r="I814" s="4" t="inlineStr">
        <is>
          <t>Health Care</t>
        </is>
      </c>
      <c r="J814" s="4" t="inlineStr">
        <is>
          <t>Biotech &amp; Pharma</t>
        </is>
      </c>
      <c r="K814" s="3" t="n">
        <v>2200</v>
      </c>
      <c r="L814" s="3" t="n">
        <v>2200</v>
      </c>
      <c r="M814" s="3" t="n">
        <v>51.81</v>
      </c>
      <c r="N814" s="3" t="n">
        <v>71084.19</v>
      </c>
      <c r="O814" s="4" t="inlineStr">
        <is>
          <t>United States</t>
        </is>
      </c>
      <c r="P814" s="4" t="inlineStr">
        <is>
          <t>United States</t>
        </is>
      </c>
      <c r="Q814" s="4" t="inlineStr">
        <is>
          <t>Friendly</t>
        </is>
      </c>
      <c r="R814" s="3" t="n">
        <v>15281</v>
      </c>
      <c r="S814" s="3" t="n">
        <v>46.4727</v>
      </c>
      <c r="T814" s="4" t="inlineStr">
        <is>
          <t>Company Takeover</t>
        </is>
      </c>
      <c r="U814" s="2" t="inlineStr">
        <is>
          <t>No</t>
        </is>
      </c>
      <c r="V814" s="2" t="inlineStr">
        <is>
          <t>No</t>
        </is>
      </c>
      <c r="W814" s="2" t="inlineStr">
        <is>
          <t>No</t>
        </is>
      </c>
      <c r="X814" s="2" t="inlineStr">
        <is>
          <t>No</t>
        </is>
      </c>
      <c r="Y814" s="2" t="inlineStr">
        <is>
          <t>No</t>
        </is>
      </c>
      <c r="Z814" s="2" t="inlineStr">
        <is>
          <t>No</t>
        </is>
      </c>
      <c r="AA814" s="6" t="n">
        <v>4.948648585</v>
      </c>
      <c r="AB814" s="6" t="n">
        <v>4.184151776</v>
      </c>
      <c r="AC814" s="6" t="n">
        <v>4.851773019</v>
      </c>
      <c r="AD814">
        <f t="array" ref="AD814">IF(SUMPRODUCT(--($AM$2:$AM$112=TRIM(LEFT($B814,IFERROR(FIND(" ",$B814)-1,LEN($B814))))))&gt;0,1,0)</f>
        <v/>
      </c>
      <c r="AE814">
        <f t="array" ref="AE814">IF(SUMPRODUCT(--($AO$2:$AO$145=TRIM(LEFT($B814,IFERROR(FIND(" ",$B814)-1,LEN($B814))))))&gt;0,1,0)</f>
        <v/>
      </c>
      <c r="AF814">
        <f t="array" ref="AF814">IF(SUMPRODUCT(--($AQ$2:$AQ$71=TRIM(LEFT($B814,IFERROR(FIND(" ",$B814)-1,LEN($B814))))))&gt;0,1,0)</f>
        <v/>
      </c>
    </row>
    <row r="815" ht="45.75" customHeight="1" thickBot="1">
      <c r="A815" s="13" t="n">
        <v>95</v>
      </c>
      <c r="B815" s="4" t="inlineStr">
        <is>
          <t>MCRN US</t>
        </is>
      </c>
      <c r="C815" s="4" t="inlineStr">
        <is>
          <t>HI US</t>
        </is>
      </c>
      <c r="D815" s="7" t="n">
        <v>43658</v>
      </c>
      <c r="E815" s="3" t="n">
        <v>1984.4</v>
      </c>
      <c r="F815" s="4" t="inlineStr">
        <is>
          <t>Cash and Stock</t>
        </is>
      </c>
      <c r="G815" s="3" t="n">
        <v>12.94</v>
      </c>
      <c r="H815" s="4" t="inlineStr">
        <is>
          <t>Industrials</t>
        </is>
      </c>
      <c r="I815" s="4" t="inlineStr">
        <is>
          <t>Industrial Products</t>
        </is>
      </c>
      <c r="J815" s="4" t="inlineStr">
        <is>
          <t>Machinery</t>
        </is>
      </c>
      <c r="K815" s="4" t="n"/>
      <c r="L815" s="3" t="n">
        <v>45</v>
      </c>
      <c r="M815" s="3" t="n">
        <v>33.66</v>
      </c>
      <c r="N815" s="3" t="n">
        <v>1272.7</v>
      </c>
      <c r="O815" s="4" t="inlineStr">
        <is>
          <t>United States</t>
        </is>
      </c>
      <c r="P815" s="4" t="inlineStr">
        <is>
          <t>United States</t>
        </is>
      </c>
      <c r="Q815" s="4" t="inlineStr">
        <is>
          <t>Friendly</t>
        </is>
      </c>
      <c r="R815" s="3" t="n">
        <v>1258.2</v>
      </c>
      <c r="S815" s="3" t="n">
        <v>7.77408</v>
      </c>
      <c r="T815" s="4" t="inlineStr">
        <is>
          <t>Company Takeover</t>
        </is>
      </c>
      <c r="U815" s="2" t="inlineStr">
        <is>
          <t>No</t>
        </is>
      </c>
      <c r="V815" s="2" t="inlineStr">
        <is>
          <t>No</t>
        </is>
      </c>
      <c r="W815" s="2" t="inlineStr">
        <is>
          <t>No</t>
        </is>
      </c>
      <c r="X815" s="2" t="inlineStr">
        <is>
          <t>No</t>
        </is>
      </c>
      <c r="Y815" s="2" t="inlineStr">
        <is>
          <t>No</t>
        </is>
      </c>
      <c r="Z815" s="2" t="inlineStr">
        <is>
          <t>No</t>
        </is>
      </c>
      <c r="AA815" s="6" t="n">
        <v>3.297629218</v>
      </c>
      <c r="AB815" s="6" t="n">
        <v>3.099749681</v>
      </c>
      <c r="AC815" s="6" t="n">
        <v>3.104726044</v>
      </c>
      <c r="AD815">
        <f t="array" ref="AD815">IF(SUMPRODUCT(--($AM$2:$AM$112=TRIM(LEFT($B815,IFERROR(FIND(" ",$B815)-1,LEN($B815))))))&gt;0,1,0)</f>
        <v/>
      </c>
      <c r="AE815">
        <f t="array" ref="AE815">IF(SUMPRODUCT(--($AO$2:$AO$145=TRIM(LEFT($B815,IFERROR(FIND(" ",$B815)-1,LEN($B815))))))&gt;0,1,0)</f>
        <v/>
      </c>
      <c r="AF815">
        <f t="array" ref="AF815">IF(SUMPRODUCT(--($AQ$2:$AQ$71=TRIM(LEFT($B815,IFERROR(FIND(" ",$B815)-1,LEN($B815))))))&gt;0,1,0)</f>
        <v/>
      </c>
    </row>
    <row r="816" ht="60.75" customHeight="1" thickBot="1">
      <c r="A816" s="13" t="n">
        <v>78</v>
      </c>
      <c r="B816" s="4" t="inlineStr">
        <is>
          <t>9749933D US</t>
        </is>
      </c>
      <c r="C816" s="4" t="inlineStr">
        <is>
          <t>TDAY US</t>
        </is>
      </c>
      <c r="D816" s="7" t="n">
        <v>43682</v>
      </c>
      <c r="E816" s="3" t="n">
        <v>1794.55</v>
      </c>
      <c r="F816" s="4" t="inlineStr">
        <is>
          <t>Cash and Stock</t>
        </is>
      </c>
      <c r="G816" s="3" t="n">
        <v>7.42</v>
      </c>
      <c r="H816" s="4" t="inlineStr">
        <is>
          <t>Communications</t>
        </is>
      </c>
      <c r="I816" s="4" t="inlineStr">
        <is>
          <t>Media</t>
        </is>
      </c>
      <c r="J816" s="4" t="inlineStr">
        <is>
          <t>Publishing &amp; Broadcasting</t>
        </is>
      </c>
      <c r="K816" s="3" t="n">
        <v>28</v>
      </c>
      <c r="L816" s="3" t="n">
        <v>45</v>
      </c>
      <c r="M816" s="3" t="n">
        <v>26.17</v>
      </c>
      <c r="N816" s="3" t="n">
        <v>1278.16</v>
      </c>
      <c r="O816" s="4" t="inlineStr">
        <is>
          <t>United States</t>
        </is>
      </c>
      <c r="P816" s="4" t="inlineStr">
        <is>
          <t>United States</t>
        </is>
      </c>
      <c r="Q816" s="4" t="inlineStr">
        <is>
          <t>Friendly</t>
        </is>
      </c>
      <c r="R816" s="3" t="n">
        <v>2663.55</v>
      </c>
      <c r="S816" s="3" t="n">
        <v>3.40007</v>
      </c>
      <c r="T816" s="4" t="inlineStr">
        <is>
          <t>Company Takeover</t>
        </is>
      </c>
      <c r="U816" s="2" t="inlineStr">
        <is>
          <t>No</t>
        </is>
      </c>
      <c r="V816" s="2" t="inlineStr">
        <is>
          <t>No</t>
        </is>
      </c>
      <c r="W816" s="2" t="inlineStr">
        <is>
          <t>No</t>
        </is>
      </c>
      <c r="X816" s="2" t="inlineStr">
        <is>
          <t>No</t>
        </is>
      </c>
      <c r="Y816" s="2" t="inlineStr">
        <is>
          <t>No</t>
        </is>
      </c>
      <c r="Z816" s="2" t="inlineStr">
        <is>
          <t>No</t>
        </is>
      </c>
      <c r="AA816" s="6" t="n">
        <v>3.253955563</v>
      </c>
      <c r="AB816" s="6" t="n">
        <v>3.425460854</v>
      </c>
      <c r="AC816" s="6" t="n">
        <v>3.106585222</v>
      </c>
      <c r="AD816">
        <f t="array" ref="AD816">IF(SUMPRODUCT(--($AM$2:$AM$112=TRIM(LEFT($B816,IFERROR(FIND(" ",$B816)-1,LEN($B816))))))&gt;0,1,0)</f>
        <v/>
      </c>
      <c r="AE816">
        <f t="array" ref="AE816">IF(SUMPRODUCT(--($AO$2:$AO$145=TRIM(LEFT($B816,IFERROR(FIND(" ",$B816)-1,LEN($B816))))))&gt;0,1,0)</f>
        <v/>
      </c>
      <c r="AF816">
        <f t="array" ref="AF816">IF(SUMPRODUCT(--($AQ$2:$AQ$71=TRIM(LEFT($B816,IFERROR(FIND(" ",$B816)-1,LEN($B816))))))&gt;0,1,0)</f>
        <v/>
      </c>
    </row>
    <row r="817" ht="105.75" customHeight="1" thickBot="1">
      <c r="A817" s="13" t="n">
        <v>33</v>
      </c>
      <c r="B817" s="4" t="inlineStr">
        <is>
          <t>DOVA US</t>
        </is>
      </c>
      <c r="C817" s="4" t="inlineStr">
        <is>
          <t>SOBI SS</t>
        </is>
      </c>
      <c r="D817" s="7" t="n">
        <v>43738</v>
      </c>
      <c r="E817" s="3" t="n">
        <v>799.02</v>
      </c>
      <c r="F817" s="4" t="inlineStr">
        <is>
          <t>Cash</t>
        </is>
      </c>
      <c r="G817" s="4" t="n"/>
      <c r="H817" s="4" t="inlineStr">
        <is>
          <t>Health Care</t>
        </is>
      </c>
      <c r="I817" s="4" t="inlineStr">
        <is>
          <t>Health Care</t>
        </is>
      </c>
      <c r="J817" s="4" t="inlineStr">
        <is>
          <t>Biotech &amp; Pharma</t>
        </is>
      </c>
      <c r="K817" s="4" t="n"/>
      <c r="L817" s="3" t="n">
        <v>32</v>
      </c>
      <c r="M817" s="3" t="n">
        <v>66.93000000000001</v>
      </c>
      <c r="N817" s="3" t="n">
        <v>853.55</v>
      </c>
      <c r="O817" s="4" t="inlineStr">
        <is>
          <t>United States</t>
        </is>
      </c>
      <c r="P817" s="4" t="inlineStr">
        <is>
          <t>Sweden</t>
        </is>
      </c>
      <c r="Q817" s="4" t="inlineStr">
        <is>
          <t>Friendly</t>
        </is>
      </c>
      <c r="R817" s="3" t="n">
        <v>10.355</v>
      </c>
      <c r="S817" s="3" t="n">
        <v>-531.547</v>
      </c>
      <c r="T817" s="4" t="inlineStr">
        <is>
          <t>Company Takeover, Cross Border, Tender Offer</t>
        </is>
      </c>
      <c r="U817" s="2" t="inlineStr">
        <is>
          <t>No</t>
        </is>
      </c>
      <c r="V817" s="2" t="inlineStr">
        <is>
          <t>No</t>
        </is>
      </c>
      <c r="W817" s="2" t="inlineStr">
        <is>
          <t>Yes</t>
        </is>
      </c>
      <c r="X817" s="2" t="inlineStr">
        <is>
          <t>No</t>
        </is>
      </c>
      <c r="Y817" s="2" t="inlineStr">
        <is>
          <t>No</t>
        </is>
      </c>
      <c r="Z817" s="2" t="inlineStr">
        <is>
          <t>Yes</t>
        </is>
      </c>
      <c r="AA817" s="6" t="n">
        <v>2.90255765</v>
      </c>
      <c r="AB817" s="6" t="n">
        <v>1.015150103</v>
      </c>
      <c r="AC817" s="6" t="n">
        <v>2.931228967</v>
      </c>
      <c r="AD817">
        <f t="array" ref="AD817">IF(SUMPRODUCT(--($AM$2:$AM$112=TRIM(LEFT($B817,IFERROR(FIND(" ",$B817)-1,LEN($B817))))))&gt;0,1,0)</f>
        <v/>
      </c>
      <c r="AE817">
        <f t="array" ref="AE817">IF(SUMPRODUCT(--($AO$2:$AO$145=TRIM(LEFT($B817,IFERROR(FIND(" ",$B817)-1,LEN($B817))))))&gt;0,1,0)</f>
        <v/>
      </c>
      <c r="AF817">
        <f t="array" ref="AF817">IF(SUMPRODUCT(--($AQ$2:$AQ$71=TRIM(LEFT($B817,IFERROR(FIND(" ",$B817)-1,LEN($B817))))))&gt;0,1,0)</f>
        <v/>
      </c>
    </row>
    <row r="818" ht="60.75" customHeight="1" thickBot="1">
      <c r="A818" s="13" t="n">
        <v>76</v>
      </c>
      <c r="B818" s="4" t="inlineStr">
        <is>
          <t>GHDX US</t>
        </is>
      </c>
      <c r="C818" s="4" t="inlineStr">
        <is>
          <t>EXAS US</t>
        </is>
      </c>
      <c r="D818" s="7" t="n">
        <v>43675</v>
      </c>
      <c r="E818" s="3" t="n">
        <v>3121.39</v>
      </c>
      <c r="F818" s="4" t="inlineStr">
        <is>
          <t>Cash and Stock</t>
        </is>
      </c>
      <c r="G818" s="3" t="n">
        <v>47.82</v>
      </c>
      <c r="H818" s="4" t="inlineStr">
        <is>
          <t>Health Care</t>
        </is>
      </c>
      <c r="I818" s="4" t="inlineStr">
        <is>
          <t>Health Care</t>
        </is>
      </c>
      <c r="J818" s="4" t="inlineStr">
        <is>
          <t>Medical Equipment &amp; Devices</t>
        </is>
      </c>
      <c r="K818" s="4" t="n"/>
      <c r="L818" s="3" t="n">
        <v>92.40000000000001</v>
      </c>
      <c r="M818" s="3" t="n">
        <v>36.78</v>
      </c>
      <c r="N818" s="3" t="n">
        <v>2973.41</v>
      </c>
      <c r="O818" s="4" t="inlineStr">
        <is>
          <t>United States</t>
        </is>
      </c>
      <c r="P818" s="4" t="inlineStr">
        <is>
          <t>United States</t>
        </is>
      </c>
      <c r="Q818" s="4" t="inlineStr">
        <is>
          <t>Friendly</t>
        </is>
      </c>
      <c r="R818" s="3" t="n">
        <v>394.111</v>
      </c>
      <c r="S818" s="3" t="n">
        <v>12.5622</v>
      </c>
      <c r="T818" s="4" t="inlineStr">
        <is>
          <t>Company Takeover</t>
        </is>
      </c>
      <c r="U818" s="2" t="inlineStr">
        <is>
          <t>No</t>
        </is>
      </c>
      <c r="V818" s="2" t="inlineStr">
        <is>
          <t>No</t>
        </is>
      </c>
      <c r="W818" s="2" t="inlineStr">
        <is>
          <t>No</t>
        </is>
      </c>
      <c r="X818" s="2" t="inlineStr">
        <is>
          <t>No</t>
        </is>
      </c>
      <c r="Y818" s="2" t="inlineStr">
        <is>
          <t>No</t>
        </is>
      </c>
      <c r="Z818" s="2" t="inlineStr">
        <is>
          <t>No</t>
        </is>
      </c>
      <c r="AA818" s="6" t="n">
        <v>3.494348035</v>
      </c>
      <c r="AB818" s="6" t="n">
        <v>2.595618557</v>
      </c>
      <c r="AC818" s="6" t="n">
        <v>3.473254798</v>
      </c>
      <c r="AD818">
        <f t="array" ref="AD818">IF(SUMPRODUCT(--($AM$2:$AM$112=TRIM(LEFT($B818,IFERROR(FIND(" ",$B818)-1,LEN($B818))))))&gt;0,1,0)</f>
        <v/>
      </c>
      <c r="AE818">
        <f t="array" ref="AE818">IF(SUMPRODUCT(--($AO$2:$AO$145=TRIM(LEFT($B818,IFERROR(FIND(" ",$B818)-1,LEN($B818))))))&gt;0,1,0)</f>
        <v/>
      </c>
      <c r="AF818">
        <f t="array" ref="AF818">IF(SUMPRODUCT(--($AQ$2:$AQ$71=TRIM(LEFT($B818,IFERROR(FIND(" ",$B818)-1,LEN($B818))))))&gt;0,1,0)</f>
        <v/>
      </c>
    </row>
    <row r="819" ht="165.75" customHeight="1" thickBot="1">
      <c r="A819" s="13" t="n">
        <v>126</v>
      </c>
      <c r="B819" s="4" t="inlineStr">
        <is>
          <t>BPL US</t>
        </is>
      </c>
      <c r="C819" s="4" t="inlineStr">
        <is>
          <t>559435Z AU</t>
        </is>
      </c>
      <c r="D819" s="7" t="n">
        <v>43595</v>
      </c>
      <c r="E819" s="3" t="n">
        <v>11100.18</v>
      </c>
      <c r="F819" s="4" t="inlineStr">
        <is>
          <t>Cash</t>
        </is>
      </c>
      <c r="G819" s="3" t="n">
        <v>16.84</v>
      </c>
      <c r="H819" s="4" t="inlineStr">
        <is>
          <t>Energy</t>
        </is>
      </c>
      <c r="I819" s="4" t="inlineStr">
        <is>
          <t>Oil &amp; Gas</t>
        </is>
      </c>
      <c r="J819" s="4" t="inlineStr">
        <is>
          <t>Oil &amp; Gas Supply Chain</t>
        </is>
      </c>
      <c r="K819" s="3" t="n">
        <v>390</v>
      </c>
      <c r="L819" s="3" t="n">
        <v>130</v>
      </c>
      <c r="M819" s="4" t="n"/>
      <c r="N819" s="3" t="n">
        <v>6387.58</v>
      </c>
      <c r="O819" s="4" t="inlineStr">
        <is>
          <t>United States</t>
        </is>
      </c>
      <c r="P819" s="4" t="inlineStr">
        <is>
          <t>Australia</t>
        </is>
      </c>
      <c r="Q819" s="4" t="inlineStr">
        <is>
          <t>Friendly</t>
        </is>
      </c>
      <c r="R819" s="3" t="n">
        <v>3851.39</v>
      </c>
      <c r="S819" s="3" t="n">
        <v>12.5446</v>
      </c>
      <c r="T819" s="4" t="inlineStr">
        <is>
          <t>PE Buyout, Company Takeover, Cross Border, Private Equity, Going Private</t>
        </is>
      </c>
      <c r="U819" s="2" t="inlineStr">
        <is>
          <t>No</t>
        </is>
      </c>
      <c r="V819" s="2" t="inlineStr">
        <is>
          <t>No</t>
        </is>
      </c>
      <c r="W819" s="2" t="inlineStr">
        <is>
          <t>Yes</t>
        </is>
      </c>
      <c r="X819" s="2" t="inlineStr">
        <is>
          <t>Yes</t>
        </is>
      </c>
      <c r="Y819" s="2" t="inlineStr">
        <is>
          <t>Yes</t>
        </is>
      </c>
      <c r="Z819" s="2" t="inlineStr">
        <is>
          <t>No</t>
        </is>
      </c>
      <c r="AA819" s="6" t="n">
        <v>4.045330021</v>
      </c>
      <c r="AB819" s="6" t="n">
        <v>3.585617498</v>
      </c>
      <c r="AC819" s="6" t="n">
        <v>3.805336352</v>
      </c>
      <c r="AD819">
        <f t="array" ref="AD819">IF(SUMPRODUCT(--($AM$2:$AM$112=TRIM(LEFT($B819,IFERROR(FIND(" ",$B819)-1,LEN($B819))))))&gt;0,1,0)</f>
        <v/>
      </c>
      <c r="AE819">
        <f t="array" ref="AE819">IF(SUMPRODUCT(--($AO$2:$AO$145=TRIM(LEFT($B819,IFERROR(FIND(" ",$B819)-1,LEN($B819))))))&gt;0,1,0)</f>
        <v/>
      </c>
      <c r="AF819">
        <f t="array" ref="AF819">IF(SUMPRODUCT(--($AQ$2:$AQ$71=TRIM(LEFT($B819,IFERROR(FIND(" ",$B819)-1,LEN($B819))))))&gt;0,1,0)</f>
        <v/>
      </c>
    </row>
    <row r="820" ht="45.75" customHeight="1" thickBot="1">
      <c r="A820" s="13" t="n">
        <v>100</v>
      </c>
      <c r="B820" s="4" t="inlineStr">
        <is>
          <t>LTXB US</t>
        </is>
      </c>
      <c r="C820" s="4" t="inlineStr">
        <is>
          <t>PB US</t>
        </is>
      </c>
      <c r="D820" s="7" t="n">
        <v>43633</v>
      </c>
      <c r="E820" s="3" t="n">
        <v>2026.43</v>
      </c>
      <c r="F820" s="4" t="inlineStr">
        <is>
          <t>Cash and Stock</t>
        </is>
      </c>
      <c r="G820" s="4" t="n"/>
      <c r="H820" s="4" t="inlineStr">
        <is>
          <t>Financials</t>
        </is>
      </c>
      <c r="I820" s="4" t="inlineStr">
        <is>
          <t>Banking</t>
        </is>
      </c>
      <c r="J820" s="4" t="inlineStr">
        <is>
          <t>Banking</t>
        </is>
      </c>
      <c r="K820" s="4" t="n"/>
      <c r="L820" s="3" t="n">
        <v>82</v>
      </c>
      <c r="M820" s="3" t="n">
        <v>10</v>
      </c>
      <c r="N820" s="3" t="n">
        <v>2026.43</v>
      </c>
      <c r="O820" s="4" t="inlineStr">
        <is>
          <t>United States</t>
        </is>
      </c>
      <c r="P820" s="4" t="inlineStr">
        <is>
          <t>United States</t>
        </is>
      </c>
      <c r="Q820" s="4" t="inlineStr">
        <is>
          <t>Friendly</t>
        </is>
      </c>
      <c r="R820" s="3" t="n">
        <v>464.223</v>
      </c>
      <c r="S820" s="3" t="n">
        <v>46.3849</v>
      </c>
      <c r="T820" s="4" t="inlineStr">
        <is>
          <t>Company Takeover</t>
        </is>
      </c>
      <c r="U820" s="2" t="inlineStr">
        <is>
          <t>No</t>
        </is>
      </c>
      <c r="V820" s="2" t="inlineStr">
        <is>
          <t>No</t>
        </is>
      </c>
      <c r="W820" s="2" t="inlineStr">
        <is>
          <t>No</t>
        </is>
      </c>
      <c r="X820" s="2" t="inlineStr">
        <is>
          <t>No</t>
        </is>
      </c>
      <c r="Y820" s="2" t="inlineStr">
        <is>
          <t>No</t>
        </is>
      </c>
      <c r="Z820" s="2" t="inlineStr">
        <is>
          <t>No</t>
        </is>
      </c>
      <c r="AA820" s="6" t="n">
        <v>3.306731606</v>
      </c>
      <c r="AB820" s="6" t="n">
        <v>2.666726654</v>
      </c>
      <c r="AC820" s="6" t="n">
        <v>3.306731606</v>
      </c>
      <c r="AD820">
        <f t="array" ref="AD820">IF(SUMPRODUCT(--($AM$2:$AM$112=TRIM(LEFT($B820,IFERROR(FIND(" ",$B820)-1,LEN($B820))))))&gt;0,1,0)</f>
        <v/>
      </c>
      <c r="AE820">
        <f t="array" ref="AE820">IF(SUMPRODUCT(--($AO$2:$AO$145=TRIM(LEFT($B820,IFERROR(FIND(" ",$B820)-1,LEN($B820))))))&gt;0,1,0)</f>
        <v/>
      </c>
      <c r="AF820">
        <f t="array" ref="AF820">IF(SUMPRODUCT(--($AQ$2:$AQ$71=TRIM(LEFT($B820,IFERROR(FIND(" ",$B820)-1,LEN($B820))))))&gt;0,1,0)</f>
        <v/>
      </c>
    </row>
    <row r="821" ht="60.75" customHeight="1" thickBot="1">
      <c r="A821" s="13" t="n">
        <v>95</v>
      </c>
      <c r="B821" s="4" t="inlineStr">
        <is>
          <t>NRCG US</t>
        </is>
      </c>
      <c r="C821" s="4" t="inlineStr">
        <is>
          <t>ECOL US</t>
        </is>
      </c>
      <c r="D821" s="7" t="n">
        <v>43640</v>
      </c>
      <c r="E821" s="3" t="n">
        <v>771.3200000000001</v>
      </c>
      <c r="F821" s="4" t="inlineStr">
        <is>
          <t>Stock</t>
        </is>
      </c>
      <c r="G821" s="4" t="n"/>
      <c r="H821" s="4" t="inlineStr">
        <is>
          <t>Industrials</t>
        </is>
      </c>
      <c r="I821" s="4" t="inlineStr">
        <is>
          <t>Industrial Services</t>
        </is>
      </c>
      <c r="J821" s="4" t="inlineStr">
        <is>
          <t>Engineering &amp; Construction</t>
        </is>
      </c>
      <c r="K821" s="3" t="n">
        <v>60</v>
      </c>
      <c r="L821" s="3" t="n">
        <v>35</v>
      </c>
      <c r="M821" s="3" t="n">
        <v>35.7</v>
      </c>
      <c r="N821" s="3" t="n">
        <v>435.69</v>
      </c>
      <c r="O821" s="4" t="inlineStr">
        <is>
          <t>United States</t>
        </is>
      </c>
      <c r="P821" s="4" t="inlineStr">
        <is>
          <t>United States</t>
        </is>
      </c>
      <c r="Q821" s="4" t="inlineStr">
        <is>
          <t>Friendly</t>
        </is>
      </c>
      <c r="R821" s="3" t="n">
        <v>360.17</v>
      </c>
      <c r="S821" s="3" t="n">
        <v>-8.97082</v>
      </c>
      <c r="T821" s="4" t="inlineStr">
        <is>
          <t>Company Takeover</t>
        </is>
      </c>
      <c r="U821" s="2" t="inlineStr">
        <is>
          <t>No</t>
        </is>
      </c>
      <c r="V821" s="2" t="inlineStr">
        <is>
          <t>No</t>
        </is>
      </c>
      <c r="W821" s="2" t="inlineStr">
        <is>
          <t>No</t>
        </is>
      </c>
      <c r="X821" s="2" t="inlineStr">
        <is>
          <t>No</t>
        </is>
      </c>
      <c r="Y821" s="2" t="inlineStr">
        <is>
          <t>No</t>
        </is>
      </c>
      <c r="Z821" s="2" t="inlineStr">
        <is>
          <t>No</t>
        </is>
      </c>
      <c r="AA821" s="6" t="n">
        <v>2.887234593</v>
      </c>
      <c r="AB821" s="6" t="n">
        <v>2.556507536</v>
      </c>
      <c r="AC821" s="6" t="n">
        <v>2.639177592</v>
      </c>
      <c r="AD821">
        <f t="array" ref="AD821">IF(SUMPRODUCT(--($AM$2:$AM$112=TRIM(LEFT($B821,IFERROR(FIND(" ",$B821)-1,LEN($B821))))))&gt;0,1,0)</f>
        <v/>
      </c>
      <c r="AE821">
        <f t="array" ref="AE821">IF(SUMPRODUCT(--($AO$2:$AO$145=TRIM(LEFT($B821,IFERROR(FIND(" ",$B821)-1,LEN($B821))))))&gt;0,1,0)</f>
        <v/>
      </c>
      <c r="AF821">
        <f t="array" ref="AF821">IF(SUMPRODUCT(--($AQ$2:$AQ$71=TRIM(LEFT($B821,IFERROR(FIND(" ",$B821)-1,LEN($B821))))))&gt;0,1,0)</f>
        <v/>
      </c>
    </row>
    <row r="822" ht="45.75" customHeight="1" thickBot="1">
      <c r="A822" s="13" t="n">
        <v>80</v>
      </c>
      <c r="B822" s="4" t="inlineStr">
        <is>
          <t>UBNK US</t>
        </is>
      </c>
      <c r="C822" s="4" t="inlineStr">
        <is>
          <t>PBCT US</t>
        </is>
      </c>
      <c r="D822" s="7" t="n">
        <v>43661</v>
      </c>
      <c r="E822" s="3" t="n">
        <v>730.1</v>
      </c>
      <c r="F822" s="4" t="inlineStr">
        <is>
          <t>Stock</t>
        </is>
      </c>
      <c r="G822" s="4" t="n"/>
      <c r="H822" s="4" t="inlineStr">
        <is>
          <t>Financials</t>
        </is>
      </c>
      <c r="I822" s="4" t="inlineStr">
        <is>
          <t>Banking</t>
        </is>
      </c>
      <c r="J822" s="4" t="inlineStr">
        <is>
          <t>Banking</t>
        </is>
      </c>
      <c r="K822" s="4" t="n"/>
      <c r="L822" s="3" t="n">
        <v>28.278</v>
      </c>
      <c r="M822" s="3" t="n">
        <v>4.15</v>
      </c>
      <c r="N822" s="3" t="n">
        <v>730.1</v>
      </c>
      <c r="O822" s="4" t="inlineStr">
        <is>
          <t>United States</t>
        </is>
      </c>
      <c r="P822" s="4" t="inlineStr">
        <is>
          <t>United States</t>
        </is>
      </c>
      <c r="Q822" s="4" t="inlineStr">
        <is>
          <t>Friendly</t>
        </is>
      </c>
      <c r="R822" s="3" t="n">
        <v>309.735</v>
      </c>
      <c r="S822" s="3" t="n">
        <v>21.689</v>
      </c>
      <c r="T822" s="4" t="inlineStr">
        <is>
          <t>Company Takeover</t>
        </is>
      </c>
      <c r="U822" s="2" t="inlineStr">
        <is>
          <t>No</t>
        </is>
      </c>
      <c r="V822" s="2" t="inlineStr">
        <is>
          <t>No</t>
        </is>
      </c>
      <c r="W822" s="2" t="inlineStr">
        <is>
          <t>No</t>
        </is>
      </c>
      <c r="X822" s="2" t="inlineStr">
        <is>
          <t>No</t>
        </is>
      </c>
      <c r="Y822" s="2" t="inlineStr">
        <is>
          <t>No</t>
        </is>
      </c>
      <c r="Z822" s="2" t="inlineStr">
        <is>
          <t>No</t>
        </is>
      </c>
      <c r="AA822" s="6" t="n">
        <v>2.863382348</v>
      </c>
      <c r="AB822" s="6" t="n">
        <v>2.490990283</v>
      </c>
      <c r="AC822" s="6" t="n">
        <v>2.863382348</v>
      </c>
      <c r="AD822">
        <f t="array" ref="AD822">IF(SUMPRODUCT(--($AM$2:$AM$112=TRIM(LEFT($B822,IFERROR(FIND(" ",$B822)-1,LEN($B822))))))&gt;0,1,0)</f>
        <v/>
      </c>
      <c r="AE822">
        <f t="array" ref="AE822">IF(SUMPRODUCT(--($AO$2:$AO$145=TRIM(LEFT($B822,IFERROR(FIND(" ",$B822)-1,LEN($B822))))))&gt;0,1,0)</f>
        <v/>
      </c>
      <c r="AF822">
        <f t="array" ref="AF822">IF(SUMPRODUCT(--($AQ$2:$AQ$71=TRIM(LEFT($B822,IFERROR(FIND(" ",$B822)-1,LEN($B822))))))&gt;0,1,0)</f>
        <v/>
      </c>
    </row>
    <row r="823" ht="45.75" customHeight="1" thickBot="1">
      <c r="A823" s="13" t="n">
        <v>99</v>
      </c>
      <c r="B823" s="4" t="inlineStr">
        <is>
          <t>CJ US</t>
        </is>
      </c>
      <c r="C823" s="4" t="inlineStr">
        <is>
          <t>NEX US</t>
        </is>
      </c>
      <c r="D823" s="7" t="n">
        <v>43633</v>
      </c>
      <c r="E823" s="3" t="n">
        <v>1047.8</v>
      </c>
      <c r="F823" s="4" t="inlineStr">
        <is>
          <t>Stock</t>
        </is>
      </c>
      <c r="G823" s="3" t="n">
        <v>15.64</v>
      </c>
      <c r="H823" s="4" t="inlineStr">
        <is>
          <t>Energy</t>
        </is>
      </c>
      <c r="I823" s="4" t="inlineStr">
        <is>
          <t>Oil &amp; Gas</t>
        </is>
      </c>
      <c r="J823" s="4" t="inlineStr">
        <is>
          <t>Oil &amp; Gas Services &amp; Equip</t>
        </is>
      </c>
      <c r="K823" s="3" t="n">
        <v>30</v>
      </c>
      <c r="L823" s="3" t="n">
        <v>30</v>
      </c>
      <c r="M823" s="3" t="n">
        <v>12.98</v>
      </c>
      <c r="N823" s="3" t="n">
        <v>822.8</v>
      </c>
      <c r="O823" s="4" t="inlineStr">
        <is>
          <t>United States</t>
        </is>
      </c>
      <c r="P823" s="4" t="inlineStr">
        <is>
          <t>United States</t>
        </is>
      </c>
      <c r="Q823" s="4" t="inlineStr">
        <is>
          <t>Friendly</t>
        </is>
      </c>
      <c r="R823" s="3" t="n">
        <v>1821.56</v>
      </c>
      <c r="S823" s="3" t="n">
        <v>-15.2364</v>
      </c>
      <c r="T823" s="4" t="inlineStr">
        <is>
          <t>Company Takeover</t>
        </is>
      </c>
      <c r="U823" s="2" t="inlineStr">
        <is>
          <t>No</t>
        </is>
      </c>
      <c r="V823" s="2" t="inlineStr">
        <is>
          <t>No</t>
        </is>
      </c>
      <c r="W823" s="2" t="inlineStr">
        <is>
          <t>No</t>
        </is>
      </c>
      <c r="X823" s="2" t="inlineStr">
        <is>
          <t>No</t>
        </is>
      </c>
      <c r="Y823" s="2" t="inlineStr">
        <is>
          <t>No</t>
        </is>
      </c>
      <c r="Z823" s="2" t="inlineStr">
        <is>
          <t>No</t>
        </is>
      </c>
      <c r="AA823" s="6" t="n">
        <v>3.020278394</v>
      </c>
      <c r="AB823" s="6" t="n">
        <v>3.260443481</v>
      </c>
      <c r="AC823" s="6" t="n">
        <v>2.915294283</v>
      </c>
      <c r="AD823">
        <f t="array" ref="AD823">IF(SUMPRODUCT(--($AM$2:$AM$112=TRIM(LEFT($B823,IFERROR(FIND(" ",$B823)-1,LEN($B823))))))&gt;0,1,0)</f>
        <v/>
      </c>
      <c r="AE823">
        <f t="array" ref="AE823">IF(SUMPRODUCT(--($AO$2:$AO$145=TRIM(LEFT($B823,IFERROR(FIND(" ",$B823)-1,LEN($B823))))))&gt;0,1,0)</f>
        <v/>
      </c>
      <c r="AF823">
        <f t="array" ref="AF823">IF(SUMPRODUCT(--($AQ$2:$AQ$71=TRIM(LEFT($B823,IFERROR(FIND(" ",$B823)-1,LEN($B823))))))&gt;0,1,0)</f>
        <v/>
      </c>
    </row>
    <row r="824" ht="75.75" customHeight="1" thickBot="1">
      <c r="A824" s="13" t="n">
        <v>100</v>
      </c>
      <c r="B824" s="4" t="inlineStr">
        <is>
          <t>MDSO US</t>
        </is>
      </c>
      <c r="C824" s="4" t="inlineStr">
        <is>
          <t>DSY FP</t>
        </is>
      </c>
      <c r="D824" s="7" t="n">
        <v>43628</v>
      </c>
      <c r="E824" s="3" t="n">
        <v>5734.9</v>
      </c>
      <c r="F824" s="4" t="inlineStr">
        <is>
          <t>Cash</t>
        </is>
      </c>
      <c r="G824" s="3" t="n">
        <v>68.02</v>
      </c>
      <c r="H824" s="4" t="inlineStr">
        <is>
          <t>Health Care</t>
        </is>
      </c>
      <c r="I824" s="4" t="inlineStr">
        <is>
          <t>Health Care</t>
        </is>
      </c>
      <c r="J824" s="4" t="inlineStr">
        <is>
          <t>Health Care Facilities &amp; Svcs</t>
        </is>
      </c>
      <c r="K824" s="4" t="n"/>
      <c r="L824" s="3" t="n">
        <v>207</v>
      </c>
      <c r="M824" s="4" t="n"/>
      <c r="N824" s="3" t="n">
        <v>5743.54</v>
      </c>
      <c r="O824" s="4" t="inlineStr">
        <is>
          <t>United States</t>
        </is>
      </c>
      <c r="P824" s="4" t="inlineStr">
        <is>
          <t>France</t>
        </is>
      </c>
      <c r="Q824" s="4" t="inlineStr">
        <is>
          <t>Friendly</t>
        </is>
      </c>
      <c r="R824" s="3" t="n">
        <v>635.696</v>
      </c>
      <c r="S824" s="3" t="n">
        <v>4.68055</v>
      </c>
      <c r="T824" s="4" t="inlineStr">
        <is>
          <t>Company Takeover, Cross Border</t>
        </is>
      </c>
      <c r="U824" s="2" t="inlineStr">
        <is>
          <t>No</t>
        </is>
      </c>
      <c r="V824" s="2" t="inlineStr">
        <is>
          <t>No</t>
        </is>
      </c>
      <c r="W824" s="2" t="inlineStr">
        <is>
          <t>Yes</t>
        </is>
      </c>
      <c r="X824" s="2" t="inlineStr">
        <is>
          <t>No</t>
        </is>
      </c>
      <c r="Y824" s="2" t="inlineStr">
        <is>
          <t>No</t>
        </is>
      </c>
      <c r="Z824" s="2" t="inlineStr">
        <is>
          <t>No</t>
        </is>
      </c>
      <c r="AA824" s="6" t="n">
        <v>3.758525849</v>
      </c>
      <c r="AB824" s="6" t="n">
        <v>2.803249479</v>
      </c>
      <c r="AC824" s="6" t="n">
        <v>3.75917965</v>
      </c>
      <c r="AD824">
        <f t="array" ref="AD824">IF(SUMPRODUCT(--($AM$2:$AM$112=TRIM(LEFT($B824,IFERROR(FIND(" ",$B824)-1,LEN($B824))))))&gt;0,1,0)</f>
        <v/>
      </c>
      <c r="AE824">
        <f t="array" ref="AE824">IF(SUMPRODUCT(--($AO$2:$AO$145=TRIM(LEFT($B824,IFERROR(FIND(" ",$B824)-1,LEN($B824))))))&gt;0,1,0)</f>
        <v/>
      </c>
      <c r="AF824">
        <f t="array" ref="AF824">IF(SUMPRODUCT(--($AQ$2:$AQ$71=TRIM(LEFT($B824,IFERROR(FIND(" ",$B824)-1,LEN($B824))))))&gt;0,1,0)</f>
        <v/>
      </c>
    </row>
    <row r="825" ht="75.75" customHeight="1" thickBot="1">
      <c r="A825" s="13" t="n">
        <v>59</v>
      </c>
      <c r="B825" s="4" t="inlineStr">
        <is>
          <t>CVRS US</t>
        </is>
      </c>
      <c r="C825" s="4" t="inlineStr">
        <is>
          <t>SHL GR</t>
        </is>
      </c>
      <c r="D825" s="7" t="n">
        <v>43685</v>
      </c>
      <c r="E825" s="3" t="n">
        <v>862.3</v>
      </c>
      <c r="F825" s="4" t="inlineStr">
        <is>
          <t>Cash</t>
        </is>
      </c>
      <c r="G825" s="4" t="n"/>
      <c r="H825" s="4" t="inlineStr">
        <is>
          <t>Health Care</t>
        </is>
      </c>
      <c r="I825" s="4" t="inlineStr">
        <is>
          <t>Health Care</t>
        </is>
      </c>
      <c r="J825" s="4" t="inlineStr">
        <is>
          <t>Medical Equipment &amp; Devices</t>
        </is>
      </c>
      <c r="K825" s="4" t="n"/>
      <c r="L825" s="3" t="n">
        <v>32.515</v>
      </c>
      <c r="M825" s="4" t="n"/>
      <c r="N825" s="3" t="n">
        <v>884.6799999999999</v>
      </c>
      <c r="O825" s="4" t="inlineStr">
        <is>
          <t>United States</t>
        </is>
      </c>
      <c r="P825" s="4" t="inlineStr">
        <is>
          <t>Germany</t>
        </is>
      </c>
      <c r="Q825" s="4" t="inlineStr">
        <is>
          <t>Friendly</t>
        </is>
      </c>
      <c r="R825" s="3" t="n">
        <v>10.781</v>
      </c>
      <c r="S825" s="3" t="n">
        <v>-224.774</v>
      </c>
      <c r="T825" s="4" t="inlineStr">
        <is>
          <t>Company Takeover, Cross Border</t>
        </is>
      </c>
      <c r="U825" s="2" t="inlineStr">
        <is>
          <t>No</t>
        </is>
      </c>
      <c r="V825" s="2" t="inlineStr">
        <is>
          <t>No</t>
        </is>
      </c>
      <c r="W825" s="2" t="inlineStr">
        <is>
          <t>Yes</t>
        </is>
      </c>
      <c r="X825" s="2" t="inlineStr">
        <is>
          <t>No</t>
        </is>
      </c>
      <c r="Y825" s="2" t="inlineStr">
        <is>
          <t>No</t>
        </is>
      </c>
      <c r="Z825" s="2" t="inlineStr">
        <is>
          <t>No</t>
        </is>
      </c>
      <c r="AA825" s="6" t="n">
        <v>2.935658386</v>
      </c>
      <c r="AB825" s="6" t="n">
        <v>1.032659046</v>
      </c>
      <c r="AC825" s="6" t="n">
        <v>2.946786209</v>
      </c>
      <c r="AD825">
        <f t="array" ref="AD825">IF(SUMPRODUCT(--($AM$2:$AM$112=TRIM(LEFT($B825,IFERROR(FIND(" ",$B825)-1,LEN($B825))))))&gt;0,1,0)</f>
        <v/>
      </c>
      <c r="AE825">
        <f t="array" ref="AE825">IF(SUMPRODUCT(--($AO$2:$AO$145=TRIM(LEFT($B825,IFERROR(FIND(" ",$B825)-1,LEN($B825))))))&gt;0,1,0)</f>
        <v/>
      </c>
      <c r="AF825">
        <f t="array" ref="AF825">IF(SUMPRODUCT(--($AQ$2:$AQ$71=TRIM(LEFT($B825,IFERROR(FIND(" ",$B825)-1,LEN($B825))))))&gt;0,1,0)</f>
        <v/>
      </c>
    </row>
    <row r="826" ht="75.75" customHeight="1" thickBot="1">
      <c r="A826" s="13" t="n">
        <v>91</v>
      </c>
      <c r="B826" s="4" t="inlineStr">
        <is>
          <t>RTEC US</t>
        </is>
      </c>
      <c r="C826" s="4" t="inlineStr">
        <is>
          <t>ONTO US</t>
        </is>
      </c>
      <c r="D826" s="7" t="n">
        <v>43640</v>
      </c>
      <c r="E826" s="3" t="n">
        <v>626.9299999999999</v>
      </c>
      <c r="F826" s="4" t="inlineStr">
        <is>
          <t>Stock</t>
        </is>
      </c>
      <c r="G826" s="3" t="n">
        <v>12.94</v>
      </c>
      <c r="H826" s="4" t="inlineStr">
        <is>
          <t>Technology</t>
        </is>
      </c>
      <c r="I826" s="4" t="inlineStr">
        <is>
          <t>Tech Hardware &amp; Semiconductors</t>
        </is>
      </c>
      <c r="J826" s="4" t="inlineStr">
        <is>
          <t>Semiconductors</t>
        </is>
      </c>
      <c r="K826" s="3" t="n">
        <v>26</v>
      </c>
      <c r="L826" s="4" t="n"/>
      <c r="M826" s="3" t="n">
        <v>5.06</v>
      </c>
      <c r="N826" s="3" t="n">
        <v>782.5</v>
      </c>
      <c r="O826" s="4" t="inlineStr">
        <is>
          <t>United States</t>
        </is>
      </c>
      <c r="P826" s="4" t="inlineStr">
        <is>
          <t>United States</t>
        </is>
      </c>
      <c r="Q826" s="4" t="inlineStr">
        <is>
          <t>Friendly</t>
        </is>
      </c>
      <c r="R826" s="3" t="n">
        <v>273.784</v>
      </c>
      <c r="S826" s="3" t="n">
        <v>11.1366</v>
      </c>
      <c r="T826" s="4" t="inlineStr">
        <is>
          <t>Company Takeover</t>
        </is>
      </c>
      <c r="U826" s="2" t="inlineStr">
        <is>
          <t>No</t>
        </is>
      </c>
      <c r="V826" s="2" t="inlineStr">
        <is>
          <t>No</t>
        </is>
      </c>
      <c r="W826" s="2" t="inlineStr">
        <is>
          <t>No</t>
        </is>
      </c>
      <c r="X826" s="2" t="inlineStr">
        <is>
          <t>No</t>
        </is>
      </c>
      <c r="Y826" s="2" t="inlineStr">
        <is>
          <t>No</t>
        </is>
      </c>
      <c r="Z826" s="2" t="inlineStr">
        <is>
          <t>No</t>
        </is>
      </c>
      <c r="AA826" s="6" t="n">
        <v>2.797219052</v>
      </c>
      <c r="AB826" s="6" t="n">
        <v>2.437408064</v>
      </c>
      <c r="AC826" s="6" t="n">
        <v>2.893484346</v>
      </c>
      <c r="AD826">
        <f t="array" ref="AD826">IF(SUMPRODUCT(--($AM$2:$AM$112=TRIM(LEFT($B826,IFERROR(FIND(" ",$B826)-1,LEN($B826))))))&gt;0,1,0)</f>
        <v/>
      </c>
      <c r="AE826">
        <f t="array" ref="AE826">IF(SUMPRODUCT(--($AO$2:$AO$145=TRIM(LEFT($B826,IFERROR(FIND(" ",$B826)-1,LEN($B826))))))&gt;0,1,0)</f>
        <v/>
      </c>
      <c r="AF826">
        <f t="array" ref="AF826">IF(SUMPRODUCT(--($AQ$2:$AQ$71=TRIM(LEFT($B826,IFERROR(FIND(" ",$B826)-1,LEN($B826))))))&gt;0,1,0)</f>
        <v/>
      </c>
    </row>
    <row r="827" ht="105.75" customHeight="1" thickBot="1">
      <c r="A827" s="13" t="n">
        <v>28</v>
      </c>
      <c r="B827" s="4" t="inlineStr">
        <is>
          <t>ALDR US</t>
        </is>
      </c>
      <c r="C827" s="4" t="inlineStr">
        <is>
          <t>HLUNB DC</t>
        </is>
      </c>
      <c r="D827" s="7" t="n">
        <v>43724</v>
      </c>
      <c r="E827" s="3" t="n">
        <v>1289.52</v>
      </c>
      <c r="F827" s="4" t="inlineStr">
        <is>
          <t>Cash</t>
        </is>
      </c>
      <c r="G827" s="4" t="n"/>
      <c r="H827" s="4" t="inlineStr">
        <is>
          <t>Health Care</t>
        </is>
      </c>
      <c r="I827" s="4" t="inlineStr">
        <is>
          <t>Health Care</t>
        </is>
      </c>
      <c r="J827" s="4" t="inlineStr">
        <is>
          <t>Biotech &amp; Pharma</t>
        </is>
      </c>
      <c r="K827" s="4" t="n"/>
      <c r="L827" s="3" t="n">
        <v>87</v>
      </c>
      <c r="M827" s="4" t="n"/>
      <c r="N827" s="3" t="n">
        <v>1505.47</v>
      </c>
      <c r="O827" s="4" t="inlineStr">
        <is>
          <t>United States</t>
        </is>
      </c>
      <c r="P827" s="4" t="inlineStr">
        <is>
          <t>Denmark</t>
        </is>
      </c>
      <c r="Q827" s="4" t="inlineStr">
        <is>
          <t>Friendly</t>
        </is>
      </c>
      <c r="R827" s="2" t="n"/>
      <c r="S827" s="2" t="n"/>
      <c r="T827" s="4" t="inlineStr">
        <is>
          <t>Company Takeover, Cross Border, Tender Offer</t>
        </is>
      </c>
      <c r="U827" s="2" t="inlineStr">
        <is>
          <t>No</t>
        </is>
      </c>
      <c r="V827" s="2" t="inlineStr">
        <is>
          <t>No</t>
        </is>
      </c>
      <c r="W827" s="2" t="inlineStr">
        <is>
          <t>Yes</t>
        </is>
      </c>
      <c r="X827" s="2" t="inlineStr">
        <is>
          <t>No</t>
        </is>
      </c>
      <c r="Y827" s="2" t="inlineStr">
        <is>
          <t>No</t>
        </is>
      </c>
      <c r="Z827" s="2" t="inlineStr">
        <is>
          <t>Yes</t>
        </is>
      </c>
      <c r="AA827" s="6" t="n">
        <v>3.110428082</v>
      </c>
      <c r="AB827" s="2" t="n"/>
      <c r="AC827" s="6" t="n">
        <v>3.177672106</v>
      </c>
      <c r="AD827">
        <f t="array" ref="AD827">IF(SUMPRODUCT(--($AM$2:$AM$112=TRIM(LEFT($B827,IFERROR(FIND(" ",$B827)-1,LEN($B827))))))&gt;0,1,0)</f>
        <v/>
      </c>
      <c r="AE827">
        <f t="array" ref="AE827">IF(SUMPRODUCT(--($AO$2:$AO$145=TRIM(LEFT($B827,IFERROR(FIND(" ",$B827)-1,LEN($B827))))))&gt;0,1,0)</f>
        <v/>
      </c>
      <c r="AF827">
        <f t="array" ref="AF827">IF(SUMPRODUCT(--($AQ$2:$AQ$71=TRIM(LEFT($B827,IFERROR(FIND(" ",$B827)-1,LEN($B827))))))&gt;0,1,0)</f>
        <v/>
      </c>
    </row>
    <row r="828" ht="75.75" customHeight="1" thickBot="1">
      <c r="A828" s="13" t="n">
        <v>109</v>
      </c>
      <c r="B828" s="4" t="inlineStr">
        <is>
          <t>ISCA US</t>
        </is>
      </c>
      <c r="C828" s="4" t="inlineStr">
        <is>
          <t>1358117D US</t>
        </is>
      </c>
      <c r="D828" s="7" t="n">
        <v>43607</v>
      </c>
      <c r="E828" s="3" t="n">
        <v>1936.24</v>
      </c>
      <c r="F828" s="4" t="inlineStr">
        <is>
          <t>Cash</t>
        </is>
      </c>
      <c r="G828" s="3" t="n">
        <v>9.9</v>
      </c>
      <c r="H828" s="4" t="inlineStr">
        <is>
          <t>Consumer Discretionary</t>
        </is>
      </c>
      <c r="I828" s="4" t="inlineStr">
        <is>
          <t>Consumer Discretionary Services</t>
        </is>
      </c>
      <c r="J828" s="4" t="inlineStr">
        <is>
          <t>Leisure Facilities &amp; Services</t>
        </is>
      </c>
      <c r="K828" s="3" t="n">
        <v>117</v>
      </c>
      <c r="L828" s="3" t="n">
        <v>78</v>
      </c>
      <c r="M828" s="4" t="n"/>
      <c r="N828" s="3" t="n">
        <v>1953.94</v>
      </c>
      <c r="O828" s="4" t="inlineStr">
        <is>
          <t>United States</t>
        </is>
      </c>
      <c r="P828" s="4" t="inlineStr">
        <is>
          <t>United States</t>
        </is>
      </c>
      <c r="Q828" s="4" t="inlineStr">
        <is>
          <t>Friendly</t>
        </is>
      </c>
      <c r="R828" s="3" t="n">
        <v>675.0359999999999</v>
      </c>
      <c r="S828" s="3" t="n">
        <v>12.414</v>
      </c>
      <c r="T828" s="4" t="inlineStr">
        <is>
          <t>Company Takeover, Going Private</t>
        </is>
      </c>
      <c r="U828" s="2" t="inlineStr">
        <is>
          <t>No</t>
        </is>
      </c>
      <c r="V828" s="2" t="inlineStr">
        <is>
          <t>No</t>
        </is>
      </c>
      <c r="W828" s="2" t="inlineStr">
        <is>
          <t>No</t>
        </is>
      </c>
      <c r="X828" s="2" t="inlineStr">
        <is>
          <t>Yes</t>
        </is>
      </c>
      <c r="Y828" s="2" t="inlineStr">
        <is>
          <t>No</t>
        </is>
      </c>
      <c r="Z828" s="2" t="inlineStr">
        <is>
          <t>No</t>
        </is>
      </c>
      <c r="AA828" s="6" t="n">
        <v>3.286959188</v>
      </c>
      <c r="AB828" s="6" t="n">
        <v>2.829326935</v>
      </c>
      <c r="AC828" s="6" t="n">
        <v>3.290911224</v>
      </c>
      <c r="AD828">
        <f t="array" ref="AD828">IF(SUMPRODUCT(--($AM$2:$AM$112=TRIM(LEFT($B828,IFERROR(FIND(" ",$B828)-1,LEN($B828))))))&gt;0,1,0)</f>
        <v/>
      </c>
      <c r="AE828">
        <f t="array" ref="AE828">IF(SUMPRODUCT(--($AO$2:$AO$145=TRIM(LEFT($B828,IFERROR(FIND(" ",$B828)-1,LEN($B828))))))&gt;0,1,0)</f>
        <v/>
      </c>
      <c r="AF828">
        <f t="array" ref="AF828">IF(SUMPRODUCT(--($AQ$2:$AQ$71=TRIM(LEFT($B828,IFERROR(FIND(" ",$B828)-1,LEN($B828))))))&gt;0,1,0)</f>
        <v/>
      </c>
    </row>
    <row r="829" ht="135.75" customHeight="1" thickBot="1">
      <c r="A829" s="13" t="n">
        <v>57</v>
      </c>
      <c r="B829" s="4" t="inlineStr">
        <is>
          <t>TYPE US</t>
        </is>
      </c>
      <c r="C829" s="4" t="inlineStr">
        <is>
          <t>3069467Z US</t>
        </is>
      </c>
      <c r="D829" s="7" t="n">
        <v>43672</v>
      </c>
      <c r="E829" s="3" t="n">
        <v>859.76</v>
      </c>
      <c r="F829" s="4" t="inlineStr">
        <is>
          <t>Cash</t>
        </is>
      </c>
      <c r="G829" s="3" t="n">
        <v>15.31</v>
      </c>
      <c r="H829" s="4" t="inlineStr">
        <is>
          <t>Technology</t>
        </is>
      </c>
      <c r="I829" s="4" t="inlineStr">
        <is>
          <t>Software &amp; Tech Services</t>
        </is>
      </c>
      <c r="J829" s="4" t="inlineStr">
        <is>
          <t>Software</t>
        </is>
      </c>
      <c r="K829" s="3" t="n">
        <v>49.5</v>
      </c>
      <c r="L829" s="3" t="n">
        <v>24.75</v>
      </c>
      <c r="M829" s="4" t="n"/>
      <c r="N829" s="3" t="n">
        <v>821.26</v>
      </c>
      <c r="O829" s="4" t="inlineStr">
        <is>
          <t>United States</t>
        </is>
      </c>
      <c r="P829" s="4" t="inlineStr">
        <is>
          <t>United States</t>
        </is>
      </c>
      <c r="Q829" s="4" t="inlineStr">
        <is>
          <t>Friendly</t>
        </is>
      </c>
      <c r="R829" s="3" t="n">
        <v>246.737</v>
      </c>
      <c r="S829" s="3" t="n">
        <v>17.3431</v>
      </c>
      <c r="T829" s="4" t="inlineStr">
        <is>
          <t>PE Buyout, Company Takeover, Private Equity, Going Private</t>
        </is>
      </c>
      <c r="U829" s="2" t="inlineStr">
        <is>
          <t>No</t>
        </is>
      </c>
      <c r="V829" s="2" t="inlineStr">
        <is>
          <t>No</t>
        </is>
      </c>
      <c r="W829" s="2" t="inlineStr">
        <is>
          <t>No</t>
        </is>
      </c>
      <c r="X829" s="2" t="inlineStr">
        <is>
          <t>Yes</t>
        </is>
      </c>
      <c r="Y829" s="2" t="inlineStr">
        <is>
          <t>Yes</t>
        </is>
      </c>
      <c r="Z829" s="2" t="inlineStr">
        <is>
          <t>No</t>
        </is>
      </c>
      <c r="AA829" s="6" t="n">
        <v>2.934377236</v>
      </c>
      <c r="AB829" s="6" t="n">
        <v>2.39223428</v>
      </c>
      <c r="AC829" s="6" t="n">
        <v>2.914480671</v>
      </c>
      <c r="AD829">
        <f t="array" ref="AD829">IF(SUMPRODUCT(--($AM$2:$AM$112=TRIM(LEFT($B829,IFERROR(FIND(" ",$B829)-1,LEN($B829))))))&gt;0,1,0)</f>
        <v/>
      </c>
      <c r="AE829">
        <f t="array" ref="AE829">IF(SUMPRODUCT(--($AO$2:$AO$145=TRIM(LEFT($B829,IFERROR(FIND(" ",$B829)-1,LEN($B829))))))&gt;0,1,0)</f>
        <v/>
      </c>
      <c r="AF829">
        <f t="array" ref="AF829">IF(SUMPRODUCT(--($AQ$2:$AQ$71=TRIM(LEFT($B829,IFERROR(FIND(" ",$B829)-1,LEN($B829))))))&gt;0,1,0)</f>
        <v/>
      </c>
    </row>
    <row r="830" ht="75.75" customHeight="1" thickBot="1">
      <c r="A830" s="13" t="n">
        <v>51</v>
      </c>
      <c r="B830" s="4" t="inlineStr">
        <is>
          <t>2319518D US</t>
        </is>
      </c>
      <c r="C830" s="4" t="inlineStr">
        <is>
          <t>1580196D US</t>
        </is>
      </c>
      <c r="D830" s="7" t="n">
        <v>43679</v>
      </c>
      <c r="E830" s="3" t="n">
        <v>1102.15</v>
      </c>
      <c r="F830" s="4" t="inlineStr">
        <is>
          <t>Cash</t>
        </is>
      </c>
      <c r="G830" s="3" t="n">
        <v>14.24</v>
      </c>
      <c r="H830" s="4" t="inlineStr">
        <is>
          <t>Industrials</t>
        </is>
      </c>
      <c r="I830" s="4" t="inlineStr">
        <is>
          <t>Industrial Services</t>
        </is>
      </c>
      <c r="J830" s="4" t="inlineStr">
        <is>
          <t>Commercial Support Services</t>
        </is>
      </c>
      <c r="K830" s="3" t="n">
        <v>67.5</v>
      </c>
      <c r="L830" s="3" t="n">
        <v>30.9</v>
      </c>
      <c r="M830" s="4" t="n"/>
      <c r="N830" s="3" t="n">
        <v>1101.71</v>
      </c>
      <c r="O830" s="4" t="inlineStr">
        <is>
          <t>United States</t>
        </is>
      </c>
      <c r="P830" s="4" t="inlineStr">
        <is>
          <t>United States</t>
        </is>
      </c>
      <c r="Q830" s="4" t="inlineStr">
        <is>
          <t>Friendly</t>
        </is>
      </c>
      <c r="R830" s="3" t="n">
        <v>743.614</v>
      </c>
      <c r="S830" s="3" t="n">
        <v>5.09339</v>
      </c>
      <c r="T830" s="4" t="inlineStr">
        <is>
          <t>Company Takeover, Going Private</t>
        </is>
      </c>
      <c r="U830" s="2" t="inlineStr">
        <is>
          <t>No</t>
        </is>
      </c>
      <c r="V830" s="2" t="inlineStr">
        <is>
          <t>No</t>
        </is>
      </c>
      <c r="W830" s="2" t="inlineStr">
        <is>
          <t>No</t>
        </is>
      </c>
      <c r="X830" s="2" t="inlineStr">
        <is>
          <t>Yes</t>
        </is>
      </c>
      <c r="Y830" s="2" t="inlineStr">
        <is>
          <t>No</t>
        </is>
      </c>
      <c r="Z830" s="2" t="inlineStr">
        <is>
          <t>No</t>
        </is>
      </c>
      <c r="AA830" s="6" t="n">
        <v>3.042240705</v>
      </c>
      <c r="AB830" s="6" t="n">
        <v>2.871347558</v>
      </c>
      <c r="AC830" s="6" t="n">
        <v>3.042067291</v>
      </c>
      <c r="AD830">
        <f t="array" ref="AD830">IF(SUMPRODUCT(--($AM$2:$AM$112=TRIM(LEFT($B830,IFERROR(FIND(" ",$B830)-1,LEN($B830))))))&gt;0,1,0)</f>
        <v/>
      </c>
      <c r="AE830">
        <f t="array" ref="AE830">IF(SUMPRODUCT(--($AO$2:$AO$145=TRIM(LEFT($B830,IFERROR(FIND(" ",$B830)-1,LEN($B830))))))&gt;0,1,0)</f>
        <v/>
      </c>
      <c r="AF830">
        <f t="array" ref="AF830">IF(SUMPRODUCT(--($AQ$2:$AQ$71=TRIM(LEFT($B830,IFERROR(FIND(" ",$B830)-1,LEN($B830))))))&gt;0,1,0)</f>
        <v/>
      </c>
    </row>
    <row r="831" ht="45.75" customHeight="1" thickBot="1">
      <c r="A831" s="13" t="n">
        <v>411</v>
      </c>
      <c r="B831" s="4" t="inlineStr">
        <is>
          <t>CTWS US</t>
        </is>
      </c>
      <c r="C831" s="4" t="inlineStr">
        <is>
          <t>HTO US</t>
        </is>
      </c>
      <c r="D831" s="7" t="n">
        <v>43174</v>
      </c>
      <c r="E831" s="3" t="n">
        <v>1118.2</v>
      </c>
      <c r="F831" s="4" t="inlineStr">
        <is>
          <t>Cash</t>
        </is>
      </c>
      <c r="G831" s="3" t="n">
        <v>22.16</v>
      </c>
      <c r="H831" s="4" t="inlineStr">
        <is>
          <t>Utilities</t>
        </is>
      </c>
      <c r="I831" s="4" t="inlineStr">
        <is>
          <t>Utilities</t>
        </is>
      </c>
      <c r="J831" s="4" t="inlineStr">
        <is>
          <t>Gas &amp; Water Utilities</t>
        </is>
      </c>
      <c r="K831" s="3" t="n">
        <v>42.5</v>
      </c>
      <c r="L831" s="3" t="n">
        <v>28.1</v>
      </c>
      <c r="M831" s="4" t="n"/>
      <c r="N831" s="3" t="n">
        <v>844.78</v>
      </c>
      <c r="O831" s="4" t="inlineStr">
        <is>
          <t>United States</t>
        </is>
      </c>
      <c r="P831" s="4" t="inlineStr">
        <is>
          <t>United States</t>
        </is>
      </c>
      <c r="Q831" s="4" t="inlineStr">
        <is>
          <t>Friendly</t>
        </is>
      </c>
      <c r="R831" s="3" t="n">
        <v>116.665</v>
      </c>
      <c r="S831" s="3" t="n">
        <v>30.4592</v>
      </c>
      <c r="T831" s="4" t="inlineStr">
        <is>
          <t>Company Takeover</t>
        </is>
      </c>
      <c r="U831" s="2" t="inlineStr">
        <is>
          <t>No</t>
        </is>
      </c>
      <c r="V831" s="2" t="inlineStr">
        <is>
          <t>No</t>
        </is>
      </c>
      <c r="W831" s="2" t="inlineStr">
        <is>
          <t>No</t>
        </is>
      </c>
      <c r="X831" s="2" t="inlineStr">
        <is>
          <t>No</t>
        </is>
      </c>
      <c r="Y831" s="2" t="inlineStr">
        <is>
          <t>No</t>
        </is>
      </c>
      <c r="Z831" s="2" t="inlineStr">
        <is>
          <t>No</t>
        </is>
      </c>
      <c r="AA831" s="6" t="n">
        <v>3.048519488</v>
      </c>
      <c r="AB831" s="6" t="n">
        <v>2.066940585</v>
      </c>
      <c r="AC831" s="6" t="n">
        <v>2.926743623</v>
      </c>
      <c r="AD831">
        <f t="array" ref="AD831">IF(SUMPRODUCT(--($AM$2:$AM$112=TRIM(LEFT($B831,IFERROR(FIND(" ",$B831)-1,LEN($B831))))))&gt;0,1,0)</f>
        <v/>
      </c>
      <c r="AE831">
        <f t="array" ref="AE831">IF(SUMPRODUCT(--($AO$2:$AO$145=TRIM(LEFT($B831,IFERROR(FIND(" ",$B831)-1,LEN($B831))))))&gt;0,1,0)</f>
        <v/>
      </c>
      <c r="AF831">
        <f t="array" ref="AF831">IF(SUMPRODUCT(--($AQ$2:$AQ$71=TRIM(LEFT($B831,IFERROR(FIND(" ",$B831)-1,LEN($B831))))))&gt;0,1,0)</f>
        <v/>
      </c>
    </row>
    <row r="832" ht="75.75" customHeight="1" thickBot="1">
      <c r="A832" s="13" t="n">
        <v>35</v>
      </c>
      <c r="B832" s="4" t="inlineStr">
        <is>
          <t>CBLK US</t>
        </is>
      </c>
      <c r="C832" s="4" t="inlineStr">
        <is>
          <t>VMW US</t>
        </is>
      </c>
      <c r="D832" s="7" t="n">
        <v>43699</v>
      </c>
      <c r="E832" s="3" t="n">
        <v>1781.52</v>
      </c>
      <c r="F832" s="4" t="inlineStr">
        <is>
          <t>Cash</t>
        </is>
      </c>
      <c r="G832" s="4" t="n"/>
      <c r="H832" s="4" t="inlineStr">
        <is>
          <t>Technology</t>
        </is>
      </c>
      <c r="I832" s="4" t="inlineStr">
        <is>
          <t>Software &amp; Tech Services</t>
        </is>
      </c>
      <c r="J832" s="4" t="inlineStr">
        <is>
          <t>Software</t>
        </is>
      </c>
      <c r="K832" s="4" t="n"/>
      <c r="L832" s="3" t="n">
        <v>70</v>
      </c>
      <c r="M832" s="3" t="n">
        <v>28.34</v>
      </c>
      <c r="N832" s="3" t="n">
        <v>1912.28</v>
      </c>
      <c r="O832" s="4" t="inlineStr">
        <is>
          <t>United States</t>
        </is>
      </c>
      <c r="P832" s="4" t="inlineStr">
        <is>
          <t>United States</t>
        </is>
      </c>
      <c r="Q832" s="4" t="inlineStr">
        <is>
          <t>Friendly</t>
        </is>
      </c>
      <c r="R832" s="3" t="n">
        <v>209.724</v>
      </c>
      <c r="S832" s="3" t="n">
        <v>-31.837</v>
      </c>
      <c r="T832" s="4" t="inlineStr">
        <is>
          <t>Company Takeover, Tender Offer</t>
        </is>
      </c>
      <c r="U832" s="2" t="inlineStr">
        <is>
          <t>No</t>
        </is>
      </c>
      <c r="V832" s="2" t="inlineStr">
        <is>
          <t>No</t>
        </is>
      </c>
      <c r="W832" s="2" t="inlineStr">
        <is>
          <t>No</t>
        </is>
      </c>
      <c r="X832" s="2" t="inlineStr">
        <is>
          <t>No</t>
        </is>
      </c>
      <c r="Y832" s="2" t="inlineStr">
        <is>
          <t>No</t>
        </is>
      </c>
      <c r="Z832" s="2" t="inlineStr">
        <is>
          <t>Yes</t>
        </is>
      </c>
      <c r="AA832" s="6" t="n">
        <v>3.250790702</v>
      </c>
      <c r="AB832" s="6" t="n">
        <v>2.321648132</v>
      </c>
      <c r="AC832" s="6" t="n">
        <v>3.281551483</v>
      </c>
      <c r="AD832">
        <f t="array" ref="AD832">IF(SUMPRODUCT(--($AM$2:$AM$112=TRIM(LEFT($B832,IFERROR(FIND(" ",$B832)-1,LEN($B832))))))&gt;0,1,0)</f>
        <v/>
      </c>
      <c r="AE832">
        <f t="array" ref="AE832">IF(SUMPRODUCT(--($AO$2:$AO$145=TRIM(LEFT($B832,IFERROR(FIND(" ",$B832)-1,LEN($B832))))))&gt;0,1,0)</f>
        <v/>
      </c>
      <c r="AF832">
        <f t="array" ref="AF832">IF(SUMPRODUCT(--($AQ$2:$AQ$71=TRIM(LEFT($B832,IFERROR(FIND(" ",$B832)-1,LEN($B832))))))&gt;0,1,0)</f>
        <v/>
      </c>
    </row>
    <row r="833" ht="75.75" customHeight="1" thickBot="1">
      <c r="A833" s="13" t="n">
        <v>140</v>
      </c>
      <c r="B833" s="4" t="inlineStr">
        <is>
          <t>VSM US</t>
        </is>
      </c>
      <c r="C833" s="4" t="inlineStr">
        <is>
          <t>MRK GR</t>
        </is>
      </c>
      <c r="D833" s="7" t="n">
        <v>43550</v>
      </c>
      <c r="E833" s="3" t="n">
        <v>6355.63</v>
      </c>
      <c r="F833" s="4" t="inlineStr">
        <is>
          <t>Cash</t>
        </is>
      </c>
      <c r="G833" s="3" t="n">
        <v>14.65</v>
      </c>
      <c r="H833" s="4" t="inlineStr">
        <is>
          <t>Materials</t>
        </is>
      </c>
      <c r="I833" s="4" t="inlineStr">
        <is>
          <t>Materials</t>
        </is>
      </c>
      <c r="J833" s="4" t="inlineStr">
        <is>
          <t>Chemicals</t>
        </is>
      </c>
      <c r="K833" s="4" t="n"/>
      <c r="L833" s="3" t="n">
        <v>235</v>
      </c>
      <c r="M833" s="4" t="n"/>
      <c r="N833" s="3" t="n">
        <v>5784.63</v>
      </c>
      <c r="O833" s="4" t="inlineStr">
        <is>
          <t>United States</t>
        </is>
      </c>
      <c r="P833" s="4" t="inlineStr">
        <is>
          <t>Germany</t>
        </is>
      </c>
      <c r="Q833" s="4" t="inlineStr">
        <is>
          <t>Hostile to Friendly</t>
        </is>
      </c>
      <c r="R833" s="3" t="n">
        <v>1372.3</v>
      </c>
      <c r="S833" s="3" t="n">
        <v>17.1689</v>
      </c>
      <c r="T833" s="4" t="inlineStr">
        <is>
          <t>Competing Bid, Company Takeover</t>
        </is>
      </c>
      <c r="U833" s="2" t="inlineStr">
        <is>
          <t>No</t>
        </is>
      </c>
      <c r="V833" s="2" t="inlineStr">
        <is>
          <t>Yes</t>
        </is>
      </c>
      <c r="W833" s="2" t="inlineStr">
        <is>
          <t>No</t>
        </is>
      </c>
      <c r="X833" s="2" t="inlineStr">
        <is>
          <t>No</t>
        </is>
      </c>
      <c r="Y833" s="2" t="inlineStr">
        <is>
          <t>No</t>
        </is>
      </c>
      <c r="Z833" s="2" t="inlineStr">
        <is>
          <t>No</t>
        </is>
      </c>
      <c r="AA833" s="6" t="n">
        <v>3.803158606</v>
      </c>
      <c r="AB833" s="6" t="n">
        <v>3.137449063</v>
      </c>
      <c r="AC833" s="6" t="n">
        <v>3.762275586</v>
      </c>
      <c r="AD833">
        <f t="array" ref="AD833">IF(SUMPRODUCT(--($AM$2:$AM$112=TRIM(LEFT($B833,IFERROR(FIND(" ",$B833)-1,LEN($B833))))))&gt;0,1,0)</f>
        <v/>
      </c>
      <c r="AE833">
        <f t="array" ref="AE833">IF(SUMPRODUCT(--($AO$2:$AO$145=TRIM(LEFT($B833,IFERROR(FIND(" ",$B833)-1,LEN($B833))))))&gt;0,1,0)</f>
        <v/>
      </c>
      <c r="AF833">
        <f t="array" ref="AF833">IF(SUMPRODUCT(--($AQ$2:$AQ$71=TRIM(LEFT($B833,IFERROR(FIND(" ",$B833)-1,LEN($B833))))))&gt;0,1,0)</f>
        <v/>
      </c>
    </row>
    <row r="834" ht="75.75" customHeight="1" thickBot="1">
      <c r="A834" s="13" t="n">
        <v>79</v>
      </c>
      <c r="B834" s="4" t="inlineStr">
        <is>
          <t>2606902D US</t>
        </is>
      </c>
      <c r="C834" s="4" t="inlineStr">
        <is>
          <t>1725739D US</t>
        </is>
      </c>
      <c r="D834" s="7" t="n">
        <v>43633</v>
      </c>
      <c r="E834" s="3" t="n">
        <v>3689.66</v>
      </c>
      <c r="F834" s="4" t="inlineStr">
        <is>
          <t>Cash</t>
        </is>
      </c>
      <c r="G834" s="3" t="n">
        <v>18.59</v>
      </c>
      <c r="H834" s="4" t="inlineStr">
        <is>
          <t>Industrials</t>
        </is>
      </c>
      <c r="I834" s="4" t="inlineStr">
        <is>
          <t>Industrial Services</t>
        </is>
      </c>
      <c r="J834" s="4" t="inlineStr">
        <is>
          <t>Commercial Support Services</t>
        </is>
      </c>
      <c r="K834" s="3" t="n">
        <v>221.71</v>
      </c>
      <c r="L834" s="3" t="n">
        <v>110.86</v>
      </c>
      <c r="M834" s="4" t="n"/>
      <c r="N834" s="3" t="n">
        <v>2656.89</v>
      </c>
      <c r="O834" s="4" t="inlineStr">
        <is>
          <t>United States</t>
        </is>
      </c>
      <c r="P834" s="4" t="inlineStr">
        <is>
          <t>United States</t>
        </is>
      </c>
      <c r="Q834" s="4" t="inlineStr">
        <is>
          <t>Friendly</t>
        </is>
      </c>
      <c r="R834" s="3" t="n">
        <v>991.66</v>
      </c>
      <c r="S834" s="2" t="n"/>
      <c r="T834" s="4" t="inlineStr">
        <is>
          <t>Company Takeover, Going Private</t>
        </is>
      </c>
      <c r="U834" s="2" t="inlineStr">
        <is>
          <t>No</t>
        </is>
      </c>
      <c r="V834" s="2" t="inlineStr">
        <is>
          <t>No</t>
        </is>
      </c>
      <c r="W834" s="2" t="inlineStr">
        <is>
          <t>No</t>
        </is>
      </c>
      <c r="X834" s="2" t="inlineStr">
        <is>
          <t>Yes</t>
        </is>
      </c>
      <c r="Y834" s="2" t="inlineStr">
        <is>
          <t>No</t>
        </is>
      </c>
      <c r="Z834" s="2" t="inlineStr">
        <is>
          <t>No</t>
        </is>
      </c>
      <c r="AA834" s="6" t="n">
        <v>3.566986348</v>
      </c>
      <c r="AB834" s="6" t="n">
        <v>2.996362796</v>
      </c>
      <c r="AC834" s="6" t="n">
        <v>3.424373574</v>
      </c>
      <c r="AD834">
        <f t="array" ref="AD834">IF(SUMPRODUCT(--($AM$2:$AM$112=TRIM(LEFT($B834,IFERROR(FIND(" ",$B834)-1,LEN($B834))))))&gt;0,1,0)</f>
        <v/>
      </c>
      <c r="AE834">
        <f t="array" ref="AE834">IF(SUMPRODUCT(--($AO$2:$AO$145=TRIM(LEFT($B834,IFERROR(FIND(" ",$B834)-1,LEN($B834))))))&gt;0,1,0)</f>
        <v/>
      </c>
      <c r="AF834">
        <f t="array" ref="AF834">IF(SUMPRODUCT(--($AQ$2:$AQ$71=TRIM(LEFT($B834,IFERROR(FIND(" ",$B834)-1,LEN($B834))))))&gt;0,1,0)</f>
        <v/>
      </c>
    </row>
    <row r="835" ht="135.75" customHeight="1" thickBot="1">
      <c r="A835" s="13" t="n">
        <v>135</v>
      </c>
      <c r="B835" s="4" t="inlineStr">
        <is>
          <t>VNR CN</t>
        </is>
      </c>
      <c r="C835" s="4" t="inlineStr">
        <is>
          <t>1118Z CN</t>
        </is>
      </c>
      <c r="D835" s="7" t="n">
        <v>43551</v>
      </c>
      <c r="E835" s="3" t="n">
        <v>824.35</v>
      </c>
      <c r="F835" s="4" t="inlineStr">
        <is>
          <t>Cash</t>
        </is>
      </c>
      <c r="G835" s="4" t="n"/>
      <c r="H835" s="4" t="inlineStr">
        <is>
          <t>Utilities</t>
        </is>
      </c>
      <c r="I835" s="4" t="inlineStr">
        <is>
          <t>Utilities</t>
        </is>
      </c>
      <c r="J835" s="4" t="inlineStr">
        <is>
          <t>Gas &amp; Water Utilities</t>
        </is>
      </c>
      <c r="K835" s="4" t="n"/>
      <c r="L835" s="4" t="n"/>
      <c r="M835" s="4" t="n"/>
      <c r="N835" s="3" t="n">
        <v>762.9299999999999</v>
      </c>
      <c r="O835" s="4" t="inlineStr">
        <is>
          <t>Canada</t>
        </is>
      </c>
      <c r="P835" s="4" t="inlineStr">
        <is>
          <t>Canada</t>
        </is>
      </c>
      <c r="Q835" s="4" t="inlineStr">
        <is>
          <t>Friendly</t>
        </is>
      </c>
      <c r="R835" s="2" t="n"/>
      <c r="S835" s="2" t="n"/>
      <c r="T835" s="4" t="inlineStr">
        <is>
          <t>PE Buyout, Company Takeover, Private Equity, Going Private</t>
        </is>
      </c>
      <c r="U835" s="2" t="inlineStr">
        <is>
          <t>No</t>
        </is>
      </c>
      <c r="V835" s="2" t="inlineStr">
        <is>
          <t>No</t>
        </is>
      </c>
      <c r="W835" s="2" t="inlineStr">
        <is>
          <t>No</t>
        </is>
      </c>
      <c r="X835" s="2" t="inlineStr">
        <is>
          <t>Yes</t>
        </is>
      </c>
      <c r="Y835" s="2" t="inlineStr">
        <is>
          <t>Yes</t>
        </is>
      </c>
      <c r="Z835" s="2" t="inlineStr">
        <is>
          <t>No</t>
        </is>
      </c>
      <c r="AA835" s="6" t="n">
        <v>2.916111642</v>
      </c>
      <c r="AB835" s="2" t="n"/>
      <c r="AC835" s="6" t="n">
        <v>2.882484693</v>
      </c>
      <c r="AD835">
        <f t="array" ref="AD835">IF(SUMPRODUCT(--($AM$2:$AM$112=TRIM(LEFT($B835,IFERROR(FIND(" ",$B835)-1,LEN($B835))))))&gt;0,1,0)</f>
        <v/>
      </c>
      <c r="AE835">
        <f t="array" ref="AE835">IF(SUMPRODUCT(--($AO$2:$AO$145=TRIM(LEFT($B835,IFERROR(FIND(" ",$B835)-1,LEN($B835))))))&gt;0,1,0)</f>
        <v/>
      </c>
      <c r="AF835">
        <f t="array" ref="AF835">IF(SUMPRODUCT(--($AQ$2:$AQ$71=TRIM(LEFT($B835,IFERROR(FIND(" ",$B835)-1,LEN($B835))))))&gt;0,1,0)</f>
        <v/>
      </c>
    </row>
    <row r="836" ht="75.75" customHeight="1" thickBot="1">
      <c r="A836" s="13" t="n">
        <v>144</v>
      </c>
      <c r="B836" s="4" t="inlineStr">
        <is>
          <t>OAK US</t>
        </is>
      </c>
      <c r="C836" s="4" t="inlineStr">
        <is>
          <t>BN CN</t>
        </is>
      </c>
      <c r="D836" s="7" t="n">
        <v>43537</v>
      </c>
      <c r="E836" s="3" t="n">
        <v>4339.63</v>
      </c>
      <c r="F836" s="4" t="inlineStr">
        <is>
          <t>Cash or Stock</t>
        </is>
      </c>
      <c r="G836" s="3" t="n">
        <v>6.5</v>
      </c>
      <c r="H836" s="4" t="inlineStr">
        <is>
          <t>Financials</t>
        </is>
      </c>
      <c r="I836" s="4" t="inlineStr">
        <is>
          <t>Financial Services</t>
        </is>
      </c>
      <c r="J836" s="4" t="inlineStr">
        <is>
          <t>Asset Management</t>
        </is>
      </c>
      <c r="K836" s="4" t="n"/>
      <c r="L836" s="3" t="n">
        <v>225</v>
      </c>
      <c r="M836" s="4" t="n"/>
      <c r="N836" s="3" t="n">
        <v>4339.63</v>
      </c>
      <c r="O836" s="4" t="inlineStr">
        <is>
          <t>United States</t>
        </is>
      </c>
      <c r="P836" s="4" t="inlineStr">
        <is>
          <t>Canada</t>
        </is>
      </c>
      <c r="Q836" s="4" t="inlineStr">
        <is>
          <t>Friendly</t>
        </is>
      </c>
      <c r="R836" s="3" t="n">
        <v>700.366</v>
      </c>
      <c r="S836" s="3" t="n">
        <v>79.8443</v>
      </c>
      <c r="T836" s="4" t="inlineStr">
        <is>
          <t>Cross Border, Majority purchase</t>
        </is>
      </c>
      <c r="U836" s="2" t="inlineStr">
        <is>
          <t>No</t>
        </is>
      </c>
      <c r="V836" s="2" t="inlineStr">
        <is>
          <t>No</t>
        </is>
      </c>
      <c r="W836" s="2" t="inlineStr">
        <is>
          <t>Yes</t>
        </is>
      </c>
      <c r="X836" s="2" t="inlineStr">
        <is>
          <t>No</t>
        </is>
      </c>
      <c r="Y836" s="2" t="inlineStr">
        <is>
          <t>No</t>
        </is>
      </c>
      <c r="Z836" s="2" t="inlineStr">
        <is>
          <t>No</t>
        </is>
      </c>
      <c r="AA836" s="6" t="n">
        <v>3.637452703</v>
      </c>
      <c r="AB836" s="6" t="n">
        <v>2.845325055</v>
      </c>
      <c r="AC836" s="6" t="n">
        <v>3.637452703</v>
      </c>
      <c r="AD836">
        <f t="array" ref="AD836">IF(SUMPRODUCT(--($AM$2:$AM$112=TRIM(LEFT($B836,IFERROR(FIND(" ",$B836)-1,LEN($B836))))))&gt;0,1,0)</f>
        <v/>
      </c>
      <c r="AE836">
        <f t="array" ref="AE836">IF(SUMPRODUCT(--($AO$2:$AO$145=TRIM(LEFT($B836,IFERROR(FIND(" ",$B836)-1,LEN($B836))))))&gt;0,1,0)</f>
        <v/>
      </c>
      <c r="AF836">
        <f t="array" ref="AF836">IF(SUMPRODUCT(--($AQ$2:$AQ$71=TRIM(LEFT($B836,IFERROR(FIND(" ",$B836)-1,LEN($B836))))))&gt;0,1,0)</f>
        <v/>
      </c>
    </row>
    <row r="837" ht="45.75" customHeight="1" thickBot="1">
      <c r="A837" s="13" t="n">
        <v>64</v>
      </c>
      <c r="B837" s="4" t="inlineStr">
        <is>
          <t>NRE US</t>
        </is>
      </c>
      <c r="C837" s="4" t="inlineStr">
        <is>
          <t>CS FP</t>
        </is>
      </c>
      <c r="D837" s="7" t="n">
        <v>43649</v>
      </c>
      <c r="E837" s="3" t="n">
        <v>1065.67</v>
      </c>
      <c r="F837" s="4" t="inlineStr">
        <is>
          <t>Cash</t>
        </is>
      </c>
      <c r="G837" s="3" t="n">
        <v>4.51</v>
      </c>
      <c r="H837" s="4" t="inlineStr">
        <is>
          <t>Real Estate</t>
        </is>
      </c>
      <c r="I837" s="4" t="inlineStr">
        <is>
          <t>Real Estate</t>
        </is>
      </c>
      <c r="J837" s="4" t="inlineStr">
        <is>
          <t>REIT</t>
        </is>
      </c>
      <c r="K837" s="3" t="n">
        <v>53</v>
      </c>
      <c r="L837" s="3" t="n">
        <v>31</v>
      </c>
      <c r="M837" s="3" t="n">
        <v>5.7</v>
      </c>
      <c r="N837" s="3" t="n">
        <v>855.83</v>
      </c>
      <c r="O837" s="4" t="inlineStr">
        <is>
          <t>United States</t>
        </is>
      </c>
      <c r="P837" s="4" t="inlineStr">
        <is>
          <t>France</t>
        </is>
      </c>
      <c r="Q837" s="4" t="inlineStr">
        <is>
          <t>Friendly</t>
        </is>
      </c>
      <c r="R837" s="3" t="n">
        <v>121.968</v>
      </c>
      <c r="S837" s="3" t="n">
        <v>213.915</v>
      </c>
      <c r="T837" s="4" t="inlineStr">
        <is>
          <t>Company Takeover</t>
        </is>
      </c>
      <c r="U837" s="2" t="inlineStr">
        <is>
          <t>No</t>
        </is>
      </c>
      <c r="V837" s="2" t="inlineStr">
        <is>
          <t>No</t>
        </is>
      </c>
      <c r="W837" s="2" t="inlineStr">
        <is>
          <t>No</t>
        </is>
      </c>
      <c r="X837" s="2" t="inlineStr">
        <is>
          <t>No</t>
        </is>
      </c>
      <c r="Y837" s="2" t="inlineStr">
        <is>
          <t>No</t>
        </is>
      </c>
      <c r="Z837" s="2" t="inlineStr">
        <is>
          <t>No</t>
        </is>
      </c>
      <c r="AA837" s="6" t="n">
        <v>3.02762274</v>
      </c>
      <c r="AB837" s="6" t="n">
        <v>2.086245902</v>
      </c>
      <c r="AC837" s="6" t="n">
        <v>2.932387506</v>
      </c>
      <c r="AD837">
        <f t="array" ref="AD837">IF(SUMPRODUCT(--($AM$2:$AM$112=TRIM(LEFT($B837,IFERROR(FIND(" ",$B837)-1,LEN($B837))))))&gt;0,1,0)</f>
        <v/>
      </c>
      <c r="AE837">
        <f t="array" ref="AE837">IF(SUMPRODUCT(--($AO$2:$AO$145=TRIM(LEFT($B837,IFERROR(FIND(" ",$B837)-1,LEN($B837))))))&gt;0,1,0)</f>
        <v/>
      </c>
      <c r="AF837">
        <f t="array" ref="AF837">IF(SUMPRODUCT(--($AQ$2:$AQ$71=TRIM(LEFT($B837,IFERROR(FIND(" ",$B837)-1,LEN($B837))))))&gt;0,1,0)</f>
        <v/>
      </c>
    </row>
    <row r="838" ht="105.75" customHeight="1" thickBot="1">
      <c r="A838" s="13" t="n">
        <v>57</v>
      </c>
      <c r="B838" s="4" t="inlineStr">
        <is>
          <t>TOWR US</t>
        </is>
      </c>
      <c r="C838" s="4" t="inlineStr">
        <is>
          <t>1670610D US</t>
        </is>
      </c>
      <c r="D838" s="7" t="n">
        <v>43658</v>
      </c>
      <c r="E838" s="3" t="n">
        <v>962.48</v>
      </c>
      <c r="F838" s="4" t="inlineStr">
        <is>
          <t>Cash</t>
        </is>
      </c>
      <c r="G838" s="3" t="n">
        <v>6.41</v>
      </c>
      <c r="H838" s="4" t="inlineStr">
        <is>
          <t>Consumer Discretionary</t>
        </is>
      </c>
      <c r="I838" s="4" t="inlineStr">
        <is>
          <t>Consumer Discretionary Products</t>
        </is>
      </c>
      <c r="J838" s="4" t="inlineStr">
        <is>
          <t>Automotive</t>
        </is>
      </c>
      <c r="K838" s="4" t="n"/>
      <c r="L838" s="3" t="n">
        <v>19.85</v>
      </c>
      <c r="M838" s="4" t="n"/>
      <c r="N838" s="3" t="n">
        <v>641.35</v>
      </c>
      <c r="O838" s="4" t="inlineStr">
        <is>
          <t>United States</t>
        </is>
      </c>
      <c r="P838" s="4" t="inlineStr">
        <is>
          <t>United States</t>
        </is>
      </c>
      <c r="Q838" s="4" t="inlineStr">
        <is>
          <t>Friendly</t>
        </is>
      </c>
      <c r="R838" s="3" t="n">
        <v>1571.85</v>
      </c>
      <c r="S838" s="3" t="n">
        <v>4.63832</v>
      </c>
      <c r="T838" s="4" t="inlineStr">
        <is>
          <t>Company Takeover, Tender Offer, Going Private</t>
        </is>
      </c>
      <c r="U838" s="2" t="inlineStr">
        <is>
          <t>No</t>
        </is>
      </c>
      <c r="V838" s="2" t="inlineStr">
        <is>
          <t>No</t>
        </is>
      </c>
      <c r="W838" s="2" t="inlineStr">
        <is>
          <t>No</t>
        </is>
      </c>
      <c r="X838" s="2" t="inlineStr">
        <is>
          <t>Yes</t>
        </is>
      </c>
      <c r="Y838" s="2" t="inlineStr">
        <is>
          <t>No</t>
        </is>
      </c>
      <c r="Z838" s="2" t="inlineStr">
        <is>
          <t>Yes</t>
        </is>
      </c>
      <c r="AA838" s="6" t="n">
        <v>2.983391714</v>
      </c>
      <c r="AB838" s="6" t="n">
        <v>3.196411099</v>
      </c>
      <c r="AC838" s="6" t="n">
        <v>2.807095099</v>
      </c>
      <c r="AD838">
        <f t="array" ref="AD838">IF(SUMPRODUCT(--($AM$2:$AM$112=TRIM(LEFT($B838,IFERROR(FIND(" ",$B838)-1,LEN($B838))))))&gt;0,1,0)</f>
        <v/>
      </c>
      <c r="AE838">
        <f t="array" ref="AE838">IF(SUMPRODUCT(--($AO$2:$AO$145=TRIM(LEFT($B838,IFERROR(FIND(" ",$B838)-1,LEN($B838))))))&gt;0,1,0)</f>
        <v/>
      </c>
      <c r="AF838">
        <f t="array" ref="AF838">IF(SUMPRODUCT(--($AQ$2:$AQ$71=TRIM(LEFT($B838,IFERROR(FIND(" ",$B838)-1,LEN($B838))))))&gt;0,1,0)</f>
        <v/>
      </c>
    </row>
    <row r="839" ht="135.75" customHeight="1" thickBot="1">
      <c r="A839" s="13" t="n">
        <v>52</v>
      </c>
      <c r="B839" s="4" t="inlineStr">
        <is>
          <t>RUF/U CN</t>
        </is>
      </c>
      <c r="C839" s="4" t="inlineStr">
        <is>
          <t>0461694D US</t>
        </is>
      </c>
      <c r="D839" s="7" t="n">
        <v>43664</v>
      </c>
      <c r="E839" s="3" t="n">
        <v>1198.8</v>
      </c>
      <c r="F839" s="4" t="inlineStr">
        <is>
          <t>Cash</t>
        </is>
      </c>
      <c r="G839" s="4" t="n"/>
      <c r="H839" s="4" t="inlineStr">
        <is>
          <t>Real Estate</t>
        </is>
      </c>
      <c r="I839" s="4" t="inlineStr">
        <is>
          <t>Real Estate</t>
        </is>
      </c>
      <c r="J839" s="4" t="inlineStr">
        <is>
          <t>REIT</t>
        </is>
      </c>
      <c r="K839" s="3" t="n">
        <v>50</v>
      </c>
      <c r="L839" s="3" t="n">
        <v>9.5</v>
      </c>
      <c r="M839" s="4" t="n"/>
      <c r="N839" s="3" t="n">
        <v>583.97</v>
      </c>
      <c r="O839" s="4" t="inlineStr">
        <is>
          <t>Canada</t>
        </is>
      </c>
      <c r="P839" s="4" t="inlineStr">
        <is>
          <t>United States</t>
        </is>
      </c>
      <c r="Q839" s="4" t="inlineStr">
        <is>
          <t>Friendly</t>
        </is>
      </c>
      <c r="R839" s="3" t="n">
        <v>109.612</v>
      </c>
      <c r="S839" s="3" t="n">
        <v>43.3332</v>
      </c>
      <c r="T839" s="4" t="inlineStr">
        <is>
          <t>Company Takeover, Cross Border, Going Private, PE Buyout</t>
        </is>
      </c>
      <c r="U839" s="2" t="inlineStr">
        <is>
          <t>No</t>
        </is>
      </c>
      <c r="V839" s="2" t="inlineStr">
        <is>
          <t>No</t>
        </is>
      </c>
      <c r="W839" s="2" t="inlineStr">
        <is>
          <t>Yes</t>
        </is>
      </c>
      <c r="X839" s="2" t="inlineStr">
        <is>
          <t>Yes</t>
        </is>
      </c>
      <c r="Y839" s="2" t="inlineStr">
        <is>
          <t>Yes</t>
        </is>
      </c>
      <c r="Z839" s="2" t="inlineStr">
        <is>
          <t>No</t>
        </is>
      </c>
      <c r="AA839" s="6" t="n">
        <v>3.078746734</v>
      </c>
      <c r="AB839" s="6" t="n">
        <v>2.039858102</v>
      </c>
      <c r="AC839" s="6" t="n">
        <v>2.766390537</v>
      </c>
      <c r="AD839">
        <f t="array" ref="AD839">IF(SUMPRODUCT(--($AM$2:$AM$112=TRIM(LEFT($B839,IFERROR(FIND(" ",$B839)-1,LEN($B839))))))&gt;0,1,0)</f>
        <v/>
      </c>
      <c r="AE839">
        <f t="array" ref="AE839">IF(SUMPRODUCT(--($AO$2:$AO$145=TRIM(LEFT($B839,IFERROR(FIND(" ",$B839)-1,LEN($B839))))))&gt;0,1,0)</f>
        <v/>
      </c>
      <c r="AF839">
        <f t="array" ref="AF839">IF(SUMPRODUCT(--($AQ$2:$AQ$71=TRIM(LEFT($B839,IFERROR(FIND(" ",$B839)-1,LEN($B839))))))&gt;0,1,0)</f>
        <v/>
      </c>
    </row>
    <row r="840" ht="105.75" customHeight="1" thickBot="1">
      <c r="A840" s="13" t="n">
        <v>79</v>
      </c>
      <c r="B840" s="4" t="inlineStr">
        <is>
          <t>SFLY US</t>
        </is>
      </c>
      <c r="C840" s="4" t="inlineStr">
        <is>
          <t>9990822D US</t>
        </is>
      </c>
      <c r="D840" s="7" t="n">
        <v>43626</v>
      </c>
      <c r="E840" s="3" t="n">
        <v>2596.83</v>
      </c>
      <c r="F840" s="4" t="inlineStr">
        <is>
          <t>Cash</t>
        </is>
      </c>
      <c r="G840" s="3" t="n">
        <v>11.85</v>
      </c>
      <c r="H840" s="4" t="inlineStr">
        <is>
          <t>Communications</t>
        </is>
      </c>
      <c r="I840" s="4" t="inlineStr">
        <is>
          <t>Media</t>
        </is>
      </c>
      <c r="J840" s="4" t="inlineStr">
        <is>
          <t>Internet Media &amp; Services</t>
        </is>
      </c>
      <c r="K840" s="3" t="n">
        <v>102.5</v>
      </c>
      <c r="L840" s="3" t="n">
        <v>51.2</v>
      </c>
      <c r="M840" s="3" t="n">
        <v>8.08</v>
      </c>
      <c r="N840" s="3" t="n">
        <v>1744.2</v>
      </c>
      <c r="O840" s="4" t="inlineStr">
        <is>
          <t>United States</t>
        </is>
      </c>
      <c r="P840" s="4" t="inlineStr">
        <is>
          <t>United States</t>
        </is>
      </c>
      <c r="Q840" s="4" t="inlineStr">
        <is>
          <t>Friendly</t>
        </is>
      </c>
      <c r="R840" s="3" t="n">
        <v>1961.82</v>
      </c>
      <c r="S840" s="3" t="n">
        <v>2.77572</v>
      </c>
      <c r="T840" s="4" t="inlineStr">
        <is>
          <t>PE Buyout, Company Takeover, Private Equity</t>
        </is>
      </c>
      <c r="U840" s="2" t="inlineStr">
        <is>
          <t>No</t>
        </is>
      </c>
      <c r="V840" s="2" t="inlineStr">
        <is>
          <t>No</t>
        </is>
      </c>
      <c r="W840" s="2" t="inlineStr">
        <is>
          <t>No</t>
        </is>
      </c>
      <c r="X840" s="2" t="inlineStr">
        <is>
          <t>No</t>
        </is>
      </c>
      <c r="Y840" s="2" t="inlineStr">
        <is>
          <t>Yes</t>
        </is>
      </c>
      <c r="Z840" s="2" t="inlineStr">
        <is>
          <t>No</t>
        </is>
      </c>
      <c r="AA840" s="6" t="n">
        <v>3.41444352</v>
      </c>
      <c r="AB840" s="6" t="n">
        <v>3.292659158</v>
      </c>
      <c r="AC840" s="6" t="n">
        <v>3.241596282</v>
      </c>
      <c r="AD840">
        <f t="array" ref="AD840">IF(SUMPRODUCT(--($AM$2:$AM$112=TRIM(LEFT($B840,IFERROR(FIND(" ",$B840)-1,LEN($B840))))))&gt;0,1,0)</f>
        <v/>
      </c>
      <c r="AE840">
        <f t="array" ref="AE840">IF(SUMPRODUCT(--($AO$2:$AO$145=TRIM(LEFT($B840,IFERROR(FIND(" ",$B840)-1,LEN($B840))))))&gt;0,1,0)</f>
        <v/>
      </c>
      <c r="AF840">
        <f t="array" ref="AF840">IF(SUMPRODUCT(--($AQ$2:$AQ$71=TRIM(LEFT($B840,IFERROR(FIND(" ",$B840)-1,LEN($B840))))))&gt;0,1,0)</f>
        <v/>
      </c>
    </row>
    <row r="841" ht="75.75" customHeight="1" thickBot="1">
      <c r="A841" s="13" t="n">
        <v>95</v>
      </c>
      <c r="B841" s="4" t="inlineStr">
        <is>
          <t>CRAY US</t>
        </is>
      </c>
      <c r="C841" s="4" t="inlineStr">
        <is>
          <t>HPE US</t>
        </is>
      </c>
      <c r="D841" s="7" t="n">
        <v>43602</v>
      </c>
      <c r="E841" s="3" t="n">
        <v>1295.59</v>
      </c>
      <c r="F841" s="4" t="inlineStr">
        <is>
          <t>Cash</t>
        </is>
      </c>
      <c r="G841" s="4" t="n"/>
      <c r="H841" s="4" t="inlineStr">
        <is>
          <t>Technology</t>
        </is>
      </c>
      <c r="I841" s="4" t="inlineStr">
        <is>
          <t>Tech Hardware &amp; Semiconductors</t>
        </is>
      </c>
      <c r="J841" s="4" t="inlineStr">
        <is>
          <t>Technology Hardware</t>
        </is>
      </c>
      <c r="K841" s="4" t="n"/>
      <c r="L841" s="3" t="n">
        <v>46</v>
      </c>
      <c r="M841" s="3" t="n">
        <v>26.81</v>
      </c>
      <c r="N841" s="3" t="n">
        <v>1459.84</v>
      </c>
      <c r="O841" s="4" t="inlineStr">
        <is>
          <t>United States</t>
        </is>
      </c>
      <c r="P841" s="4" t="inlineStr">
        <is>
          <t>United States</t>
        </is>
      </c>
      <c r="Q841" s="4" t="inlineStr">
        <is>
          <t>Friendly</t>
        </is>
      </c>
      <c r="R841" s="3" t="n">
        <v>455.948</v>
      </c>
      <c r="S841" s="3" t="n">
        <v>-27.998</v>
      </c>
      <c r="T841" s="4" t="inlineStr">
        <is>
          <t>Company Takeover</t>
        </is>
      </c>
      <c r="U841" s="2" t="inlineStr">
        <is>
          <t>No</t>
        </is>
      </c>
      <c r="V841" s="2" t="inlineStr">
        <is>
          <t>No</t>
        </is>
      </c>
      <c r="W841" s="2" t="inlineStr">
        <is>
          <t>No</t>
        </is>
      </c>
      <c r="X841" s="2" t="inlineStr">
        <is>
          <t>No</t>
        </is>
      </c>
      <c r="Y841" s="2" t="inlineStr">
        <is>
          <t>No</t>
        </is>
      </c>
      <c r="Z841" s="2" t="inlineStr">
        <is>
          <t>No</t>
        </is>
      </c>
      <c r="AA841" s="6" t="n">
        <v>3.112467587</v>
      </c>
      <c r="AB841" s="6" t="n">
        <v>2.658915315</v>
      </c>
      <c r="AC841" s="6" t="n">
        <v>3.164305259</v>
      </c>
      <c r="AD841">
        <f t="array" ref="AD841">IF(SUMPRODUCT(--($AM$2:$AM$112=TRIM(LEFT($B841,IFERROR(FIND(" ",$B841)-1,LEN($B841))))))&gt;0,1,0)</f>
        <v/>
      </c>
      <c r="AE841">
        <f t="array" ref="AE841">IF(SUMPRODUCT(--($AO$2:$AO$145=TRIM(LEFT($B841,IFERROR(FIND(" ",$B841)-1,LEN($B841))))))&gt;0,1,0)</f>
        <v/>
      </c>
      <c r="AF841">
        <f t="array" ref="AF841">IF(SUMPRODUCT(--($AQ$2:$AQ$71=TRIM(LEFT($B841,IFERROR(FIND(" ",$B841)-1,LEN($B841))))))&gt;0,1,0)</f>
        <v/>
      </c>
    </row>
    <row r="842" ht="135.75" customHeight="1" thickBot="1">
      <c r="A842" s="13" t="n">
        <v>69</v>
      </c>
      <c r="B842" s="4" t="inlineStr">
        <is>
          <t>DFRG US</t>
        </is>
      </c>
      <c r="C842" s="4" t="inlineStr">
        <is>
          <t>63090Z US</t>
        </is>
      </c>
      <c r="D842" s="7" t="n">
        <v>43640</v>
      </c>
      <c r="E842" s="3" t="n">
        <v>823.67</v>
      </c>
      <c r="F842" s="4" t="inlineStr">
        <is>
          <t>Cash</t>
        </is>
      </c>
      <c r="G842" s="4" t="n"/>
      <c r="H842" s="4" t="inlineStr">
        <is>
          <t>Consumer Discretionary</t>
        </is>
      </c>
      <c r="I842" s="4" t="inlineStr">
        <is>
          <t>Consumer Discretionary Services</t>
        </is>
      </c>
      <c r="J842" s="4" t="inlineStr">
        <is>
          <t>Leisure Facilities &amp; Services</t>
        </is>
      </c>
      <c r="K842" s="3" t="n">
        <v>15.52</v>
      </c>
      <c r="L842" s="3" t="n">
        <v>9.595000000000001</v>
      </c>
      <c r="M842" s="4" t="n"/>
      <c r="N842" s="3" t="n">
        <v>267.33</v>
      </c>
      <c r="O842" s="4" t="inlineStr">
        <is>
          <t>United States</t>
        </is>
      </c>
      <c r="P842" s="4" t="inlineStr">
        <is>
          <t>United States</t>
        </is>
      </c>
      <c r="Q842" s="4" t="inlineStr">
        <is>
          <t>Friendly</t>
        </is>
      </c>
      <c r="R842" s="3" t="n">
        <v>378.216</v>
      </c>
      <c r="S842" s="3" t="n">
        <v>-6.70149</v>
      </c>
      <c r="T842" s="4" t="inlineStr">
        <is>
          <t>PE Buyout, Company Takeover, Private Equity, Going Private</t>
        </is>
      </c>
      <c r="U842" s="2" t="inlineStr">
        <is>
          <t>No</t>
        </is>
      </c>
      <c r="V842" s="2" t="inlineStr">
        <is>
          <t>No</t>
        </is>
      </c>
      <c r="W842" s="2" t="inlineStr">
        <is>
          <t>No</t>
        </is>
      </c>
      <c r="X842" s="2" t="inlineStr">
        <is>
          <t>Yes</t>
        </is>
      </c>
      <c r="Y842" s="2" t="inlineStr">
        <is>
          <t>Yes</t>
        </is>
      </c>
      <c r="Z842" s="2" t="inlineStr">
        <is>
          <t>No</t>
        </is>
      </c>
      <c r="AA842" s="6" t="n">
        <v>2.915753248</v>
      </c>
      <c r="AB842" s="6" t="n">
        <v>2.577739897</v>
      </c>
      <c r="AC842" s="6" t="n">
        <v>2.427047698</v>
      </c>
      <c r="AD842">
        <f t="array" ref="AD842">IF(SUMPRODUCT(--($AM$2:$AM$112=TRIM(LEFT($B842,IFERROR(FIND(" ",$B842)-1,LEN($B842))))))&gt;0,1,0)</f>
        <v/>
      </c>
      <c r="AE842">
        <f t="array" ref="AE842">IF(SUMPRODUCT(--($AO$2:$AO$145=TRIM(LEFT($B842,IFERROR(FIND(" ",$B842)-1,LEN($B842))))))&gt;0,1,0)</f>
        <v/>
      </c>
      <c r="AF842">
        <f t="array" ref="AF842">IF(SUMPRODUCT(--($AQ$2:$AQ$71=TRIM(LEFT($B842,IFERROR(FIND(" ",$B842)-1,LEN($B842))))))&gt;0,1,0)</f>
        <v/>
      </c>
    </row>
    <row r="843" ht="75.75" customHeight="1" thickBot="1">
      <c r="A843" s="13" t="n">
        <v>229</v>
      </c>
      <c r="B843" s="4" t="inlineStr">
        <is>
          <t>FNSR US</t>
        </is>
      </c>
      <c r="C843" s="4" t="inlineStr">
        <is>
          <t>COHR US</t>
        </is>
      </c>
      <c r="D843" s="7" t="n">
        <v>43413</v>
      </c>
      <c r="E843" s="3" t="n">
        <v>2637.09</v>
      </c>
      <c r="F843" s="4" t="inlineStr">
        <is>
          <t>Cash or Stock</t>
        </is>
      </c>
      <c r="G843" s="3" t="n">
        <v>49.34</v>
      </c>
      <c r="H843" s="4" t="inlineStr">
        <is>
          <t>Technology</t>
        </is>
      </c>
      <c r="I843" s="4" t="inlineStr">
        <is>
          <t>Tech Hardware &amp; Semiconductors</t>
        </is>
      </c>
      <c r="J843" s="4" t="inlineStr">
        <is>
          <t>Technology Hardware</t>
        </is>
      </c>
      <c r="K843" s="3" t="n">
        <v>105.2</v>
      </c>
      <c r="L843" s="3" t="n">
        <v>105.2</v>
      </c>
      <c r="M843" s="3" t="n">
        <v>51.97</v>
      </c>
      <c r="N843" s="3" t="n">
        <v>3047.5</v>
      </c>
      <c r="O843" s="4" t="inlineStr">
        <is>
          <t>United States</t>
        </is>
      </c>
      <c r="P843" s="4" t="inlineStr">
        <is>
          <t>United States</t>
        </is>
      </c>
      <c r="Q843" s="4" t="inlineStr">
        <is>
          <t>Friendly</t>
        </is>
      </c>
      <c r="R843" s="3" t="n">
        <v>1280.48</v>
      </c>
      <c r="S843" s="3" t="n">
        <v>-1.9535</v>
      </c>
      <c r="T843" s="4" t="inlineStr">
        <is>
          <t>Company Takeover</t>
        </is>
      </c>
      <c r="U843" s="2" t="inlineStr">
        <is>
          <t>No</t>
        </is>
      </c>
      <c r="V843" s="2" t="inlineStr">
        <is>
          <t>No</t>
        </is>
      </c>
      <c r="W843" s="2" t="inlineStr">
        <is>
          <t>No</t>
        </is>
      </c>
      <c r="X843" s="2" t="inlineStr">
        <is>
          <t>No</t>
        </is>
      </c>
      <c r="Y843" s="2" t="inlineStr">
        <is>
          <t>No</t>
        </is>
      </c>
      <c r="Z843" s="2" t="inlineStr">
        <is>
          <t>No</t>
        </is>
      </c>
      <c r="AA843" s="6" t="n">
        <v>3.421124952</v>
      </c>
      <c r="AB843" s="6" t="n">
        <v>3.1073728</v>
      </c>
      <c r="AC843" s="6" t="n">
        <v>3.483943714</v>
      </c>
      <c r="AD843">
        <f t="array" ref="AD843">IF(SUMPRODUCT(--($AM$2:$AM$112=TRIM(LEFT($B843,IFERROR(FIND(" ",$B843)-1,LEN($B843))))))&gt;0,1,0)</f>
        <v/>
      </c>
      <c r="AE843">
        <f t="array" ref="AE843">IF(SUMPRODUCT(--($AO$2:$AO$145=TRIM(LEFT($B843,IFERROR(FIND(" ",$B843)-1,LEN($B843))))))&gt;0,1,0)</f>
        <v/>
      </c>
      <c r="AF843">
        <f t="array" ref="AF843">IF(SUMPRODUCT(--($AQ$2:$AQ$71=TRIM(LEFT($B843,IFERROR(FIND(" ",$B843)-1,LEN($B843))))))&gt;0,1,0)</f>
        <v/>
      </c>
    </row>
    <row r="844" ht="60.75" customHeight="1" thickBot="1">
      <c r="A844" s="13" t="n">
        <v>209</v>
      </c>
      <c r="B844" s="4" t="inlineStr">
        <is>
          <t>2512543D US</t>
        </is>
      </c>
      <c r="C844" s="4" t="inlineStr">
        <is>
          <t>NXST US</t>
        </is>
      </c>
      <c r="D844" s="7" t="n">
        <v>43437</v>
      </c>
      <c r="E844" s="3" t="n">
        <v>8012.92</v>
      </c>
      <c r="F844" s="4" t="inlineStr">
        <is>
          <t>Cash</t>
        </is>
      </c>
      <c r="G844" s="3" t="n">
        <v>11.98</v>
      </c>
      <c r="H844" s="4" t="inlineStr">
        <is>
          <t>Communications</t>
        </is>
      </c>
      <c r="I844" s="4" t="inlineStr">
        <is>
          <t>Media</t>
        </is>
      </c>
      <c r="J844" s="4" t="inlineStr">
        <is>
          <t>Publishing &amp; Broadcasting</t>
        </is>
      </c>
      <c r="K844" s="4" t="n"/>
      <c r="L844" s="3" t="n">
        <v>135</v>
      </c>
      <c r="M844" s="3" t="n">
        <v>19.95</v>
      </c>
      <c r="N844" s="3" t="n">
        <v>5976.33</v>
      </c>
      <c r="O844" s="4" t="inlineStr">
        <is>
          <t>United States</t>
        </is>
      </c>
      <c r="P844" s="4" t="inlineStr">
        <is>
          <t>United States</t>
        </is>
      </c>
      <c r="Q844" s="4" t="inlineStr">
        <is>
          <t>Friendly</t>
        </is>
      </c>
      <c r="R844" s="3" t="n">
        <v>2009.73</v>
      </c>
      <c r="S844" s="3" t="n">
        <v>16.4242</v>
      </c>
      <c r="T844" s="4" t="inlineStr">
        <is>
          <t>Company Takeover</t>
        </is>
      </c>
      <c r="U844" s="2" t="inlineStr">
        <is>
          <t>No</t>
        </is>
      </c>
      <c r="V844" s="2" t="inlineStr">
        <is>
          <t>No</t>
        </is>
      </c>
      <c r="W844" s="2" t="inlineStr">
        <is>
          <t>No</t>
        </is>
      </c>
      <c r="X844" s="2" t="inlineStr">
        <is>
          <t>No</t>
        </is>
      </c>
      <c r="Y844" s="2" t="inlineStr">
        <is>
          <t>No</t>
        </is>
      </c>
      <c r="Z844" s="2" t="inlineStr">
        <is>
          <t>No</t>
        </is>
      </c>
      <c r="AA844" s="6" t="n">
        <v>3.903790807</v>
      </c>
      <c r="AB844" s="6" t="n">
        <v>3.303137715</v>
      </c>
      <c r="AC844" s="6" t="n">
        <v>3.77643457</v>
      </c>
      <c r="AD844">
        <f t="array" ref="AD844">IF(SUMPRODUCT(--($AM$2:$AM$112=TRIM(LEFT($B844,IFERROR(FIND(" ",$B844)-1,LEN($B844))))))&gt;0,1,0)</f>
        <v/>
      </c>
      <c r="AE844">
        <f t="array" ref="AE844">IF(SUMPRODUCT(--($AO$2:$AO$145=TRIM(LEFT($B844,IFERROR(FIND(" ",$B844)-1,LEN($B844))))))&gt;0,1,0)</f>
        <v/>
      </c>
      <c r="AF844">
        <f t="array" ref="AF844">IF(SUMPRODUCT(--($AQ$2:$AQ$71=TRIM(LEFT($B844,IFERROR(FIND(" ",$B844)-1,LEN($B844))))))&gt;0,1,0)</f>
        <v/>
      </c>
    </row>
    <row r="845" ht="45.75" customHeight="1" thickBot="1">
      <c r="A845" s="13" t="n">
        <v>82</v>
      </c>
      <c r="B845" s="4" t="inlineStr">
        <is>
          <t>TSS US</t>
        </is>
      </c>
      <c r="C845" s="4" t="inlineStr">
        <is>
          <t>GPN US</t>
        </is>
      </c>
      <c r="D845" s="7" t="n">
        <v>43613</v>
      </c>
      <c r="E845" s="3" t="n">
        <v>25014.23</v>
      </c>
      <c r="F845" s="4" t="inlineStr">
        <is>
          <t>Stock</t>
        </is>
      </c>
      <c r="G845" s="3" t="n">
        <v>19.53</v>
      </c>
      <c r="H845" s="4" t="inlineStr">
        <is>
          <t>Financials</t>
        </is>
      </c>
      <c r="I845" s="4" t="inlineStr">
        <is>
          <t>Financial Services</t>
        </is>
      </c>
      <c r="J845" s="4" t="inlineStr">
        <is>
          <t>Specialty Finance</t>
        </is>
      </c>
      <c r="K845" s="3" t="n">
        <v>860</v>
      </c>
      <c r="L845" s="3" t="n">
        <v>860</v>
      </c>
      <c r="M845" s="3" t="n">
        <v>18.32</v>
      </c>
      <c r="N845" s="3" t="n">
        <v>21113.04</v>
      </c>
      <c r="O845" s="4" t="inlineStr">
        <is>
          <t>United States</t>
        </is>
      </c>
      <c r="P845" s="4" t="inlineStr">
        <is>
          <t>United States</t>
        </is>
      </c>
      <c r="Q845" s="4" t="inlineStr">
        <is>
          <t>Friendly</t>
        </is>
      </c>
      <c r="R845" s="3" t="n">
        <v>4028.21</v>
      </c>
      <c r="S845" s="3" t="n">
        <v>21.1559</v>
      </c>
      <c r="T845" s="4" t="inlineStr">
        <is>
          <t>Company Takeover</t>
        </is>
      </c>
      <c r="U845" s="2" t="inlineStr">
        <is>
          <t>No</t>
        </is>
      </c>
      <c r="V845" s="2" t="inlineStr">
        <is>
          <t>No</t>
        </is>
      </c>
      <c r="W845" s="2" t="inlineStr">
        <is>
          <t>No</t>
        </is>
      </c>
      <c r="X845" s="2" t="inlineStr">
        <is>
          <t>No</t>
        </is>
      </c>
      <c r="Y845" s="2" t="inlineStr">
        <is>
          <t>No</t>
        </is>
      </c>
      <c r="Z845" s="2" t="inlineStr">
        <is>
          <t>No</t>
        </is>
      </c>
      <c r="AA845" s="6" t="n">
        <v>4.398187139</v>
      </c>
      <c r="AB845" s="6" t="n">
        <v>3.605112103</v>
      </c>
      <c r="AC845" s="6" t="n">
        <v>4.324550771</v>
      </c>
      <c r="AD845">
        <f t="array" ref="AD845">IF(SUMPRODUCT(--($AM$2:$AM$112=TRIM(LEFT($B845,IFERROR(FIND(" ",$B845)-1,LEN($B845))))))&gt;0,1,0)</f>
        <v/>
      </c>
      <c r="AE845">
        <f t="array" ref="AE845">IF(SUMPRODUCT(--($AO$2:$AO$145=TRIM(LEFT($B845,IFERROR(FIND(" ",$B845)-1,LEN($B845))))))&gt;0,1,0)</f>
        <v/>
      </c>
      <c r="AF845">
        <f t="array" ref="AF845">IF(SUMPRODUCT(--($AQ$2:$AQ$71=TRIM(LEFT($B845,IFERROR(FIND(" ",$B845)-1,LEN($B845))))))&gt;0,1,0)</f>
        <v/>
      </c>
    </row>
    <row r="846" ht="45.75" customHeight="1" thickBot="1">
      <c r="A846" s="13" t="n">
        <v>98</v>
      </c>
      <c r="B846" s="4" t="inlineStr">
        <is>
          <t>CHSP US</t>
        </is>
      </c>
      <c r="C846" s="4" t="inlineStr">
        <is>
          <t>PK US</t>
        </is>
      </c>
      <c r="D846" s="7" t="n">
        <v>43591</v>
      </c>
      <c r="E846" s="3" t="n">
        <v>2540.23</v>
      </c>
      <c r="F846" s="4" t="inlineStr">
        <is>
          <t>Cash and Stock</t>
        </is>
      </c>
      <c r="G846" s="3" t="n">
        <v>14.43</v>
      </c>
      <c r="H846" s="4" t="inlineStr">
        <is>
          <t>Real Estate</t>
        </is>
      </c>
      <c r="I846" s="4" t="inlineStr">
        <is>
          <t>Real Estate</t>
        </is>
      </c>
      <c r="J846" s="4" t="inlineStr">
        <is>
          <t>REIT</t>
        </is>
      </c>
      <c r="K846" s="4" t="n"/>
      <c r="L846" s="3" t="n">
        <v>62.5</v>
      </c>
      <c r="M846" s="3" t="n">
        <v>8.710000000000001</v>
      </c>
      <c r="N846" s="3" t="n">
        <v>1860.1</v>
      </c>
      <c r="O846" s="4" t="inlineStr">
        <is>
          <t>United States</t>
        </is>
      </c>
      <c r="P846" s="4" t="inlineStr">
        <is>
          <t>United States</t>
        </is>
      </c>
      <c r="Q846" s="4" t="inlineStr">
        <is>
          <t>Friendly</t>
        </is>
      </c>
      <c r="R846" s="3" t="n">
        <v>597.172</v>
      </c>
      <c r="S846" s="3" t="n">
        <v>15.6813</v>
      </c>
      <c r="T846" s="4" t="inlineStr">
        <is>
          <t>Company Takeover</t>
        </is>
      </c>
      <c r="U846" s="2" t="inlineStr">
        <is>
          <t>No</t>
        </is>
      </c>
      <c r="V846" s="2" t="inlineStr">
        <is>
          <t>No</t>
        </is>
      </c>
      <c r="W846" s="2" t="inlineStr">
        <is>
          <t>No</t>
        </is>
      </c>
      <c r="X846" s="2" t="inlineStr">
        <is>
          <t>No</t>
        </is>
      </c>
      <c r="Y846" s="2" t="inlineStr">
        <is>
          <t>No</t>
        </is>
      </c>
      <c r="Z846" s="2" t="inlineStr">
        <is>
          <t>No</t>
        </is>
      </c>
      <c r="AA846" s="6" t="n">
        <v>3.404873041</v>
      </c>
      <c r="AB846" s="6" t="n">
        <v>2.776099436</v>
      </c>
      <c r="AC846" s="6" t="n">
        <v>3.269536293</v>
      </c>
      <c r="AD846">
        <f t="array" ref="AD846">IF(SUMPRODUCT(--($AM$2:$AM$112=TRIM(LEFT($B846,IFERROR(FIND(" ",$B846)-1,LEN($B846))))))&gt;0,1,0)</f>
        <v/>
      </c>
      <c r="AE846">
        <f t="array" ref="AE846">IF(SUMPRODUCT(--($AO$2:$AO$145=TRIM(LEFT($B846,IFERROR(FIND(" ",$B846)-1,LEN($B846))))))&gt;0,1,0)</f>
        <v/>
      </c>
      <c r="AF846">
        <f t="array" ref="AF846">IF(SUMPRODUCT(--($AQ$2:$AQ$71=TRIM(LEFT($B846,IFERROR(FIND(" ",$B846)-1,LEN($B846))))))&gt;0,1,0)</f>
        <v/>
      </c>
    </row>
    <row r="847" ht="60.75" customHeight="1" thickBot="1">
      <c r="A847" s="13" t="n">
        <v>52</v>
      </c>
      <c r="B847" s="4" t="inlineStr">
        <is>
          <t>PCMI US</t>
        </is>
      </c>
      <c r="C847" s="4" t="inlineStr">
        <is>
          <t>NSIT US</t>
        </is>
      </c>
      <c r="D847" s="7" t="n">
        <v>43640</v>
      </c>
      <c r="E847" s="3" t="n">
        <v>571.4400000000001</v>
      </c>
      <c r="F847" s="4" t="inlineStr">
        <is>
          <t>Cash</t>
        </is>
      </c>
      <c r="G847" s="3" t="n">
        <v>9.94</v>
      </c>
      <c r="H847" s="4" t="inlineStr">
        <is>
          <t>Consumer Discretionary</t>
        </is>
      </c>
      <c r="I847" s="4" t="inlineStr">
        <is>
          <t>Retail &amp; Whsle - Discretionary</t>
        </is>
      </c>
      <c r="J847" s="4" t="inlineStr">
        <is>
          <t>Wholesale - Discretionary</t>
        </is>
      </c>
      <c r="K847" s="4" t="n"/>
      <c r="L847" s="3" t="n">
        <v>16.6</v>
      </c>
      <c r="M847" s="3" t="n">
        <v>37.49</v>
      </c>
      <c r="N847" s="3" t="n">
        <v>428.98</v>
      </c>
      <c r="O847" s="4" t="inlineStr">
        <is>
          <t>United States</t>
        </is>
      </c>
      <c r="P847" s="4" t="inlineStr">
        <is>
          <t>United States</t>
        </is>
      </c>
      <c r="Q847" s="4" t="inlineStr">
        <is>
          <t>Friendly</t>
        </is>
      </c>
      <c r="R847" s="3" t="n">
        <v>9175.84</v>
      </c>
      <c r="S847" s="3" t="n">
        <v>1.97519</v>
      </c>
      <c r="T847" s="4" t="inlineStr">
        <is>
          <t>Company Takeover</t>
        </is>
      </c>
      <c r="U847" s="2" t="inlineStr">
        <is>
          <t>No</t>
        </is>
      </c>
      <c r="V847" s="2" t="inlineStr">
        <is>
          <t>No</t>
        </is>
      </c>
      <c r="W847" s="2" t="inlineStr">
        <is>
          <t>No</t>
        </is>
      </c>
      <c r="X847" s="2" t="inlineStr">
        <is>
          <t>No</t>
        </is>
      </c>
      <c r="Y847" s="2" t="inlineStr">
        <is>
          <t>No</t>
        </is>
      </c>
      <c r="Z847" s="2" t="inlineStr">
        <is>
          <t>No</t>
        </is>
      </c>
      <c r="AA847" s="6" t="n">
        <v>2.756970637</v>
      </c>
      <c r="AB847" s="6" t="n">
        <v>3.962645832</v>
      </c>
      <c r="AC847" s="6" t="n">
        <v>2.632437045</v>
      </c>
      <c r="AD847">
        <f t="array" ref="AD847">IF(SUMPRODUCT(--($AM$2:$AM$112=TRIM(LEFT($B847,IFERROR(FIND(" ",$B847)-1,LEN($B847))))))&gt;0,1,0)</f>
        <v/>
      </c>
      <c r="AE847">
        <f t="array" ref="AE847">IF(SUMPRODUCT(--($AO$2:$AO$145=TRIM(LEFT($B847,IFERROR(FIND(" ",$B847)-1,LEN($B847))))))&gt;0,1,0)</f>
        <v/>
      </c>
      <c r="AF847">
        <f t="array" ref="AF847">IF(SUMPRODUCT(--($AQ$2:$AQ$71=TRIM(LEFT($B847,IFERROR(FIND(" ",$B847)-1,LEN($B847))))))&gt;0,1,0)</f>
        <v/>
      </c>
    </row>
    <row r="848" ht="60.75" customHeight="1" thickBot="1">
      <c r="A848" s="13" t="n">
        <v>47</v>
      </c>
      <c r="B848" s="4" t="inlineStr">
        <is>
          <t>WAGE US</t>
        </is>
      </c>
      <c r="C848" s="4" t="inlineStr">
        <is>
          <t>HQY US</t>
        </is>
      </c>
      <c r="D848" s="7" t="n">
        <v>43643</v>
      </c>
      <c r="E848" s="3" t="n">
        <v>1185.45</v>
      </c>
      <c r="F848" s="4" t="inlineStr">
        <is>
          <t>Cash</t>
        </is>
      </c>
      <c r="G848" s="4" t="n"/>
      <c r="H848" s="4" t="inlineStr">
        <is>
          <t>Industrials</t>
        </is>
      </c>
      <c r="I848" s="4" t="inlineStr">
        <is>
          <t>Industrial Services</t>
        </is>
      </c>
      <c r="J848" s="4" t="inlineStr">
        <is>
          <t>Commercial Support Services</t>
        </is>
      </c>
      <c r="K848" s="4" t="n"/>
      <c r="L848" s="3" t="n">
        <v>69.65689999999999</v>
      </c>
      <c r="M848" s="4" t="n"/>
      <c r="N848" s="3" t="n">
        <v>2061.39</v>
      </c>
      <c r="O848" s="4" t="inlineStr">
        <is>
          <t>United States</t>
        </is>
      </c>
      <c r="P848" s="4" t="inlineStr">
        <is>
          <t>United States</t>
        </is>
      </c>
      <c r="Q848" s="4" t="inlineStr">
        <is>
          <t>Friendly</t>
        </is>
      </c>
      <c r="R848" s="3" t="n">
        <v>472.183</v>
      </c>
      <c r="S848" s="3" t="n">
        <v>4.60857</v>
      </c>
      <c r="T848" s="4" t="inlineStr">
        <is>
          <t>Company Takeover</t>
        </is>
      </c>
      <c r="U848" s="2" t="inlineStr">
        <is>
          <t>No</t>
        </is>
      </c>
      <c r="V848" s="2" t="inlineStr">
        <is>
          <t>No</t>
        </is>
      </c>
      <c r="W848" s="2" t="inlineStr">
        <is>
          <t>No</t>
        </is>
      </c>
      <c r="X848" s="2" t="inlineStr">
        <is>
          <t>No</t>
        </is>
      </c>
      <c r="Y848" s="2" t="inlineStr">
        <is>
          <t>No</t>
        </is>
      </c>
      <c r="Z848" s="2" t="inlineStr">
        <is>
          <t>No</t>
        </is>
      </c>
      <c r="AA848" s="6" t="n">
        <v>3.073883241</v>
      </c>
      <c r="AB848" s="6" t="n">
        <v>2.674110347</v>
      </c>
      <c r="AC848" s="6" t="n">
        <v>3.314160165</v>
      </c>
      <c r="AD848">
        <f t="array" ref="AD848">IF(SUMPRODUCT(--($AM$2:$AM$112=TRIM(LEFT($B848,IFERROR(FIND(" ",$B848)-1,LEN($B848))))))&gt;0,1,0)</f>
        <v/>
      </c>
      <c r="AE848">
        <f t="array" ref="AE848">IF(SUMPRODUCT(--($AO$2:$AO$145=TRIM(LEFT($B848,IFERROR(FIND(" ",$B848)-1,LEN($B848))))))&gt;0,1,0)</f>
        <v/>
      </c>
      <c r="AF848">
        <f t="array" ref="AF848">IF(SUMPRODUCT(--($AQ$2:$AQ$71=TRIM(LEFT($B848,IFERROR(FIND(" ",$B848)-1,LEN($B848))))))&gt;0,1,0)</f>
        <v/>
      </c>
    </row>
    <row r="849" ht="120.75" customHeight="1" thickBot="1">
      <c r="A849" s="13" t="n">
        <v>103</v>
      </c>
      <c r="B849" s="4" t="inlineStr">
        <is>
          <t>APU US</t>
        </is>
      </c>
      <c r="C849" s="4" t="inlineStr">
        <is>
          <t>UGI US</t>
        </is>
      </c>
      <c r="D849" s="7" t="n">
        <v>43557</v>
      </c>
      <c r="E849" s="3" t="n">
        <v>5359.98</v>
      </c>
      <c r="F849" s="4" t="inlineStr">
        <is>
          <t>Cash or Stock</t>
        </is>
      </c>
      <c r="G849" s="3" t="n">
        <v>12.12</v>
      </c>
      <c r="H849" s="4" t="inlineStr">
        <is>
          <t>Utilities</t>
        </is>
      </c>
      <c r="I849" s="4" t="inlineStr">
        <is>
          <t>Utilities</t>
        </is>
      </c>
      <c r="J849" s="4" t="inlineStr">
        <is>
          <t>Gas &amp; Water Utilities</t>
        </is>
      </c>
      <c r="K849" s="4" t="n"/>
      <c r="L849" s="3" t="n">
        <v>20</v>
      </c>
      <c r="M849" s="4" t="n"/>
      <c r="N849" s="3" t="n">
        <v>2430.74</v>
      </c>
      <c r="O849" s="4" t="inlineStr">
        <is>
          <t>United States</t>
        </is>
      </c>
      <c r="P849" s="4" t="inlineStr">
        <is>
          <t>United States</t>
        </is>
      </c>
      <c r="Q849" s="4" t="inlineStr">
        <is>
          <t>Friendly</t>
        </is>
      </c>
      <c r="R849" s="3" t="n">
        <v>2271</v>
      </c>
      <c r="S849" s="3" t="n">
        <v>16.8837</v>
      </c>
      <c r="T849" s="4" t="inlineStr">
        <is>
          <t>Company Takeover, Additional Stake Purchase</t>
        </is>
      </c>
      <c r="U849" s="2" t="inlineStr">
        <is>
          <t>Yes</t>
        </is>
      </c>
      <c r="V849" s="2" t="inlineStr">
        <is>
          <t>No</t>
        </is>
      </c>
      <c r="W849" s="2" t="inlineStr">
        <is>
          <t>No</t>
        </is>
      </c>
      <c r="X849" s="2" t="inlineStr">
        <is>
          <t>No</t>
        </is>
      </c>
      <c r="Y849" s="2" t="inlineStr">
        <is>
          <t>No</t>
        </is>
      </c>
      <c r="Z849" s="2" t="inlineStr">
        <is>
          <t>No</t>
        </is>
      </c>
      <c r="AA849" s="6" t="n">
        <v>3.729163169</v>
      </c>
      <c r="AB849" s="6" t="n">
        <v>3.356217134</v>
      </c>
      <c r="AC849" s="6" t="n">
        <v>3.385738508</v>
      </c>
      <c r="AD849">
        <f t="array" ref="AD849">IF(SUMPRODUCT(--($AM$2:$AM$112=TRIM(LEFT($B849,IFERROR(FIND(" ",$B849)-1,LEN($B849))))))&gt;0,1,0)</f>
        <v/>
      </c>
      <c r="AE849">
        <f t="array" ref="AE849">IF(SUMPRODUCT(--($AO$2:$AO$145=TRIM(LEFT($B849,IFERROR(FIND(" ",$B849)-1,LEN($B849))))))&gt;0,1,0)</f>
        <v/>
      </c>
      <c r="AF849">
        <f t="array" ref="AF849">IF(SUMPRODUCT(--($AQ$2:$AQ$71=TRIM(LEFT($B849,IFERROR(FIND(" ",$B849)-1,LEN($B849))))))&gt;0,1,0)</f>
        <v/>
      </c>
    </row>
    <row r="850" ht="45.75" customHeight="1" thickBot="1">
      <c r="A850" s="13" t="n">
        <v>67</v>
      </c>
      <c r="B850" s="4" t="inlineStr">
        <is>
          <t>2616271D US</t>
        </is>
      </c>
      <c r="C850" s="4" t="inlineStr">
        <is>
          <t>OXY US</t>
        </is>
      </c>
      <c r="D850" s="7" t="n">
        <v>43594</v>
      </c>
      <c r="E850" s="3" t="n">
        <v>55162.46</v>
      </c>
      <c r="F850" s="4" t="inlineStr">
        <is>
          <t>Cash and Stock</t>
        </is>
      </c>
      <c r="G850" s="3" t="n">
        <v>8.050000000000001</v>
      </c>
      <c r="H850" s="4" t="inlineStr">
        <is>
          <t>Energy</t>
        </is>
      </c>
      <c r="I850" s="4" t="inlineStr">
        <is>
          <t>Oil &amp; Gas</t>
        </is>
      </c>
      <c r="J850" s="4" t="inlineStr">
        <is>
          <t>Oil &amp; Gas Supply Chain</t>
        </is>
      </c>
      <c r="K850" s="3" t="n">
        <v>1000</v>
      </c>
      <c r="L850" s="3" t="n">
        <v>1000</v>
      </c>
      <c r="M850" s="3" t="n">
        <v>14.78</v>
      </c>
      <c r="N850" s="3" t="n">
        <v>38713.46</v>
      </c>
      <c r="O850" s="4" t="inlineStr">
        <is>
          <t>United States</t>
        </is>
      </c>
      <c r="P850" s="4" t="inlineStr">
        <is>
          <t>United States</t>
        </is>
      </c>
      <c r="Q850" s="4" t="inlineStr">
        <is>
          <t>Unsolicited to Friendly</t>
        </is>
      </c>
      <c r="R850" s="3" t="n">
        <v>12837</v>
      </c>
      <c r="S850" s="3" t="n">
        <v>11.6897</v>
      </c>
      <c r="T850" s="4" t="inlineStr">
        <is>
          <t>Company Takeover</t>
        </is>
      </c>
      <c r="U850" s="2" t="inlineStr">
        <is>
          <t>No</t>
        </is>
      </c>
      <c r="V850" s="2" t="inlineStr">
        <is>
          <t>No</t>
        </is>
      </c>
      <c r="W850" s="2" t="inlineStr">
        <is>
          <t>No</t>
        </is>
      </c>
      <c r="X850" s="2" t="inlineStr">
        <is>
          <t>No</t>
        </is>
      </c>
      <c r="Y850" s="2" t="inlineStr">
        <is>
          <t>No</t>
        </is>
      </c>
      <c r="Z850" s="2" t="inlineStr">
        <is>
          <t>No</t>
        </is>
      </c>
      <c r="AA850" s="6" t="n">
        <v>4.741643626</v>
      </c>
      <c r="AB850" s="6" t="n">
        <v>4.108463541</v>
      </c>
      <c r="AC850" s="6" t="n">
        <v>4.587861988</v>
      </c>
      <c r="AD850">
        <f t="array" ref="AD850">IF(SUMPRODUCT(--($AM$2:$AM$112=TRIM(LEFT($B850,IFERROR(FIND(" ",$B850)-1,LEN($B850))))))&gt;0,1,0)</f>
        <v/>
      </c>
      <c r="AE850">
        <f t="array" ref="AE850">IF(SUMPRODUCT(--($AO$2:$AO$145=TRIM(LEFT($B850,IFERROR(FIND(" ",$B850)-1,LEN($B850))))))&gt;0,1,0)</f>
        <v/>
      </c>
      <c r="AF850">
        <f t="array" ref="AF850">IF(SUMPRODUCT(--($AQ$2:$AQ$71=TRIM(LEFT($B850,IFERROR(FIND(" ",$B850)-1,LEN($B850))))))&gt;0,1,0)</f>
        <v/>
      </c>
    </row>
    <row r="851" ht="105.75" customHeight="1" thickBot="1">
      <c r="A851" s="13" t="n">
        <v>44</v>
      </c>
      <c r="B851" s="4" t="inlineStr">
        <is>
          <t>BKS US</t>
        </is>
      </c>
      <c r="C851" s="4" t="inlineStr">
        <is>
          <t>978325Z US</t>
        </is>
      </c>
      <c r="D851" s="7" t="n">
        <v>43623</v>
      </c>
      <c r="E851" s="3" t="n">
        <v>589.16</v>
      </c>
      <c r="F851" s="4" t="inlineStr">
        <is>
          <t>Cash</t>
        </is>
      </c>
      <c r="G851" s="3" t="n">
        <v>5.07</v>
      </c>
      <c r="H851" s="4" t="inlineStr">
        <is>
          <t>Consumer Discretionary</t>
        </is>
      </c>
      <c r="I851" s="4" t="inlineStr">
        <is>
          <t>Retail &amp; Whsle - Discretionary</t>
        </is>
      </c>
      <c r="J851" s="4" t="inlineStr">
        <is>
          <t>Retail - Discretionary</t>
        </is>
      </c>
      <c r="K851" s="4" t="n"/>
      <c r="L851" s="4" t="n"/>
      <c r="M851" s="4" t="n"/>
      <c r="N851" s="3" t="n">
        <v>475.77</v>
      </c>
      <c r="O851" s="4" t="inlineStr">
        <is>
          <t>United States</t>
        </is>
      </c>
      <c r="P851" s="4" t="inlineStr">
        <is>
          <t>United States</t>
        </is>
      </c>
      <c r="Q851" s="4" t="inlineStr">
        <is>
          <t>Friendly</t>
        </is>
      </c>
      <c r="R851" s="3" t="n">
        <v>3552.74</v>
      </c>
      <c r="S851" s="3" t="n">
        <v>0.465246</v>
      </c>
      <c r="T851" s="4" t="inlineStr">
        <is>
          <t>Company Takeover, Tender Offer, Going Private</t>
        </is>
      </c>
      <c r="U851" s="2" t="inlineStr">
        <is>
          <t>No</t>
        </is>
      </c>
      <c r="V851" s="2" t="inlineStr">
        <is>
          <t>No</t>
        </is>
      </c>
      <c r="W851" s="2" t="inlineStr">
        <is>
          <t>No</t>
        </is>
      </c>
      <c r="X851" s="2" t="inlineStr">
        <is>
          <t>Yes</t>
        </is>
      </c>
      <c r="Y851" s="2" t="inlineStr">
        <is>
          <t>No</t>
        </is>
      </c>
      <c r="Z851" s="2" t="inlineStr">
        <is>
          <t>Yes</t>
        </is>
      </c>
      <c r="AA851" s="6" t="n">
        <v>2.770233253</v>
      </c>
      <c r="AB851" s="6" t="n">
        <v>3.550563426</v>
      </c>
      <c r="AC851" s="6" t="n">
        <v>2.677397054</v>
      </c>
      <c r="AD851">
        <f t="array" ref="AD851">IF(SUMPRODUCT(--($AM$2:$AM$112=TRIM(LEFT($B851,IFERROR(FIND(" ",$B851)-1,LEN($B851))))))&gt;0,1,0)</f>
        <v/>
      </c>
      <c r="AE851">
        <f t="array" ref="AE851">IF(SUMPRODUCT(--($AO$2:$AO$145=TRIM(LEFT($B851,IFERROR(FIND(" ",$B851)-1,LEN($B851))))))&gt;0,1,0)</f>
        <v/>
      </c>
      <c r="AF851">
        <f t="array" ref="AF851">IF(SUMPRODUCT(--($AQ$2:$AQ$71=TRIM(LEFT($B851,IFERROR(FIND(" ",$B851)-1,LEN($B851))))))&gt;0,1,0)</f>
        <v/>
      </c>
    </row>
    <row r="852" ht="75.75" customHeight="1" thickBot="1">
      <c r="A852" s="13" t="n">
        <v>62</v>
      </c>
      <c r="B852" s="4" t="inlineStr">
        <is>
          <t>CTRL US</t>
        </is>
      </c>
      <c r="C852" s="4" t="inlineStr">
        <is>
          <t>1010537D US</t>
        </is>
      </c>
      <c r="D852" s="7" t="n">
        <v>43594</v>
      </c>
      <c r="E852" s="3" t="n">
        <v>543.22</v>
      </c>
      <c r="F852" s="4" t="inlineStr">
        <is>
          <t>Cash</t>
        </is>
      </c>
      <c r="G852" s="3" t="n">
        <v>19.78</v>
      </c>
      <c r="H852" s="4" t="inlineStr">
        <is>
          <t>Technology</t>
        </is>
      </c>
      <c r="I852" s="4" t="inlineStr">
        <is>
          <t>Tech Hardware &amp; Semiconductors</t>
        </is>
      </c>
      <c r="J852" s="4" t="inlineStr">
        <is>
          <t>Technology Hardware</t>
        </is>
      </c>
      <c r="K852" s="4" t="n"/>
      <c r="L852" s="4" t="n"/>
      <c r="M852" s="3" t="n">
        <v>37.32</v>
      </c>
      <c r="N852" s="3" t="n">
        <v>636.41</v>
      </c>
      <c r="O852" s="4" t="inlineStr">
        <is>
          <t>United States</t>
        </is>
      </c>
      <c r="P852" s="4" t="inlineStr">
        <is>
          <t>United States</t>
        </is>
      </c>
      <c r="Q852" s="4" t="inlineStr">
        <is>
          <t>Friendly</t>
        </is>
      </c>
      <c r="R852" s="3" t="n">
        <v>272.458</v>
      </c>
      <c r="S852" s="3" t="n">
        <v>6.28384</v>
      </c>
      <c r="T852" s="4" t="inlineStr">
        <is>
          <t>Company Takeover, Going Private</t>
        </is>
      </c>
      <c r="U852" s="2" t="inlineStr">
        <is>
          <t>No</t>
        </is>
      </c>
      <c r="V852" s="2" t="inlineStr">
        <is>
          <t>No</t>
        </is>
      </c>
      <c r="W852" s="2" t="inlineStr">
        <is>
          <t>No</t>
        </is>
      </c>
      <c r="X852" s="2" t="inlineStr">
        <is>
          <t>Yes</t>
        </is>
      </c>
      <c r="Y852" s="2" t="inlineStr">
        <is>
          <t>No</t>
        </is>
      </c>
      <c r="Z852" s="2" t="inlineStr">
        <is>
          <t>No</t>
        </is>
      </c>
      <c r="AA852" s="6" t="n">
        <v>2.734975751</v>
      </c>
      <c r="AB852" s="6" t="n">
        <v>2.435299564</v>
      </c>
      <c r="AC852" s="6" t="n">
        <v>2.803736995</v>
      </c>
      <c r="AD852">
        <f t="array" ref="AD852">IF(SUMPRODUCT(--($AM$2:$AM$112=TRIM(LEFT($B852,IFERROR(FIND(" ",$B852)-1,LEN($B852))))))&gt;0,1,0)</f>
        <v/>
      </c>
      <c r="AE852">
        <f t="array" ref="AE852">IF(SUMPRODUCT(--($AO$2:$AO$145=TRIM(LEFT($B852,IFERROR(FIND(" ",$B852)-1,LEN($B852))))))&gt;0,1,0)</f>
        <v/>
      </c>
      <c r="AF852">
        <f t="array" ref="AF852">IF(SUMPRODUCT(--($AQ$2:$AQ$71=TRIM(LEFT($B852,IFERROR(FIND(" ",$B852)-1,LEN($B852))))))&gt;0,1,0)</f>
        <v/>
      </c>
    </row>
    <row r="853" ht="45.75" customHeight="1" thickBot="1">
      <c r="A853" s="13" t="n">
        <v>39</v>
      </c>
      <c r="B853" s="4" t="inlineStr">
        <is>
          <t>DATA US</t>
        </is>
      </c>
      <c r="C853" s="4" t="inlineStr">
        <is>
          <t>CRM US</t>
        </is>
      </c>
      <c r="D853" s="7" t="n">
        <v>43626</v>
      </c>
      <c r="E853" s="3" t="n">
        <v>13981.08</v>
      </c>
      <c r="F853" s="4" t="inlineStr">
        <is>
          <t>Stock</t>
        </is>
      </c>
      <c r="G853" s="4" t="n"/>
      <c r="H853" s="4" t="inlineStr">
        <is>
          <t>Technology</t>
        </is>
      </c>
      <c r="I853" s="4" t="inlineStr">
        <is>
          <t>Software &amp; Tech Services</t>
        </is>
      </c>
      <c r="J853" s="4" t="inlineStr">
        <is>
          <t>Software</t>
        </is>
      </c>
      <c r="K853" s="4" t="n"/>
      <c r="L853" s="3" t="n">
        <v>552</v>
      </c>
      <c r="M853" s="3" t="n">
        <v>46.24</v>
      </c>
      <c r="N853" s="3" t="n">
        <v>14766.8</v>
      </c>
      <c r="O853" s="4" t="inlineStr">
        <is>
          <t>United States</t>
        </is>
      </c>
      <c r="P853" s="4" t="inlineStr">
        <is>
          <t>United States</t>
        </is>
      </c>
      <c r="Q853" s="4" t="inlineStr">
        <is>
          <t>Friendly</t>
        </is>
      </c>
      <c r="R853" s="3" t="n">
        <v>1155.35</v>
      </c>
      <c r="S853" s="3" t="n">
        <v>-12.2964</v>
      </c>
      <c r="T853" s="4" t="inlineStr">
        <is>
          <t>Company Takeover</t>
        </is>
      </c>
      <c r="U853" s="2" t="inlineStr">
        <is>
          <t>No</t>
        </is>
      </c>
      <c r="V853" s="2" t="inlineStr">
        <is>
          <t>No</t>
        </is>
      </c>
      <c r="W853" s="2" t="inlineStr">
        <is>
          <t>No</t>
        </is>
      </c>
      <c r="X853" s="2" t="inlineStr">
        <is>
          <t>No</t>
        </is>
      </c>
      <c r="Y853" s="2" t="inlineStr">
        <is>
          <t>No</t>
        </is>
      </c>
      <c r="Z853" s="2" t="inlineStr">
        <is>
          <t>No</t>
        </is>
      </c>
      <c r="AA853" s="6" t="n">
        <v>4.145540721</v>
      </c>
      <c r="AB853" s="6" t="n">
        <v>3.062713569</v>
      </c>
      <c r="AC853" s="6" t="n">
        <v>4.169286393</v>
      </c>
      <c r="AD853">
        <f t="array" ref="AD853">IF(SUMPRODUCT(--($AM$2:$AM$112=TRIM(LEFT($B853,IFERROR(FIND(" ",$B853)-1,LEN($B853))))))&gt;0,1,0)</f>
        <v/>
      </c>
      <c r="AE853">
        <f t="array" ref="AE853">IF(SUMPRODUCT(--($AO$2:$AO$145=TRIM(LEFT($B853,IFERROR(FIND(" ",$B853)-1,LEN($B853))))))&gt;0,1,0)</f>
        <v/>
      </c>
      <c r="AF853">
        <f t="array" ref="AF853">IF(SUMPRODUCT(--($AQ$2:$AQ$71=TRIM(LEFT($B853,IFERROR(FIND(" ",$B853)-1,LEN($B853))))))&gt;0,1,0)</f>
        <v/>
      </c>
    </row>
    <row r="854" ht="45.75" customHeight="1" thickBot="1">
      <c r="A854" s="13" t="n">
        <v>134</v>
      </c>
      <c r="B854" s="4" t="inlineStr">
        <is>
          <t>9745633D US</t>
        </is>
      </c>
      <c r="C854" s="4" t="inlineStr">
        <is>
          <t>TCF US</t>
        </is>
      </c>
      <c r="D854" s="7" t="n">
        <v>43493</v>
      </c>
      <c r="E854" s="3" t="n">
        <v>4270.19</v>
      </c>
      <c r="F854" s="4" t="inlineStr">
        <is>
          <t>Stock</t>
        </is>
      </c>
      <c r="G854" s="4" t="n"/>
      <c r="H854" s="4" t="inlineStr">
        <is>
          <t>Financials</t>
        </is>
      </c>
      <c r="I854" s="4" t="inlineStr">
        <is>
          <t>Banking</t>
        </is>
      </c>
      <c r="J854" s="4" t="inlineStr">
        <is>
          <t>Banking</t>
        </is>
      </c>
      <c r="K854" s="4" t="n"/>
      <c r="L854" s="3" t="n">
        <v>134</v>
      </c>
      <c r="M854" s="3" t="n">
        <v>-1.44</v>
      </c>
      <c r="N854" s="3" t="n">
        <v>3407.77</v>
      </c>
      <c r="O854" s="4" t="inlineStr">
        <is>
          <t>United States</t>
        </is>
      </c>
      <c r="P854" s="4" t="inlineStr">
        <is>
          <t>United States</t>
        </is>
      </c>
      <c r="Q854" s="4" t="inlineStr">
        <is>
          <t>Friendly</t>
        </is>
      </c>
      <c r="R854" s="3" t="n">
        <v>1613.15</v>
      </c>
      <c r="S854" s="3" t="n">
        <v>29.5798</v>
      </c>
      <c r="T854" s="4" t="inlineStr">
        <is>
          <t>Company Takeover</t>
        </is>
      </c>
      <c r="U854" s="2" t="inlineStr">
        <is>
          <t>No</t>
        </is>
      </c>
      <c r="V854" s="2" t="inlineStr">
        <is>
          <t>No</t>
        </is>
      </c>
      <c r="W854" s="2" t="inlineStr">
        <is>
          <t>No</t>
        </is>
      </c>
      <c r="X854" s="2" t="inlineStr">
        <is>
          <t>No</t>
        </is>
      </c>
      <c r="Y854" s="2" t="inlineStr">
        <is>
          <t>No</t>
        </is>
      </c>
      <c r="Z854" s="2" t="inlineStr">
        <is>
          <t>No</t>
        </is>
      </c>
      <c r="AA854" s="6" t="n">
        <v>3.630447199</v>
      </c>
      <c r="AB854" s="6" t="n">
        <v>3.207674752</v>
      </c>
      <c r="AC854" s="6" t="n">
        <v>3.532470275</v>
      </c>
      <c r="AD854">
        <f t="array" ref="AD854">IF(SUMPRODUCT(--($AM$2:$AM$112=TRIM(LEFT($B854,IFERROR(FIND(" ",$B854)-1,LEN($B854))))))&gt;0,1,0)</f>
        <v/>
      </c>
      <c r="AE854">
        <f t="array" ref="AE854">IF(SUMPRODUCT(--($AO$2:$AO$145=TRIM(LEFT($B854,IFERROR(FIND(" ",$B854)-1,LEN($B854))))))&gt;0,1,0)</f>
        <v/>
      </c>
      <c r="AF854">
        <f t="array" ref="AF854">IF(SUMPRODUCT(--($AQ$2:$AQ$71=TRIM(LEFT($B854,IFERROR(FIND(" ",$B854)-1,LEN($B854))))))&gt;0,1,0)</f>
        <v/>
      </c>
    </row>
    <row r="855" ht="45.75" customHeight="1" thickBot="1">
      <c r="A855" s="13" t="n">
        <v>98</v>
      </c>
      <c r="B855" s="4" t="inlineStr">
        <is>
          <t>WP US</t>
        </is>
      </c>
      <c r="C855" s="4" t="inlineStr">
        <is>
          <t>FIS US</t>
        </is>
      </c>
      <c r="D855" s="7" t="n">
        <v>43542</v>
      </c>
      <c r="E855" s="3" t="n">
        <v>41054.83</v>
      </c>
      <c r="F855" s="4" t="inlineStr">
        <is>
          <t>Cash and Stock</t>
        </is>
      </c>
      <c r="G855" s="3" t="n">
        <v>28.64</v>
      </c>
      <c r="H855" s="4" t="inlineStr">
        <is>
          <t>Financials</t>
        </is>
      </c>
      <c r="I855" s="4" t="inlineStr">
        <is>
          <t>Financial Services</t>
        </is>
      </c>
      <c r="J855" s="4" t="inlineStr">
        <is>
          <t>Specialty Finance</t>
        </is>
      </c>
      <c r="K855" s="4" t="n"/>
      <c r="L855" s="4" t="n"/>
      <c r="M855" s="3" t="n">
        <v>17.17</v>
      </c>
      <c r="N855" s="3" t="n">
        <v>33346.53</v>
      </c>
      <c r="O855" s="4" t="inlineStr">
        <is>
          <t>United States</t>
        </is>
      </c>
      <c r="P855" s="4" t="inlineStr">
        <is>
          <t>United States</t>
        </is>
      </c>
      <c r="Q855" s="4" t="inlineStr">
        <is>
          <t>Friendly</t>
        </is>
      </c>
      <c r="R855" s="3" t="n">
        <v>3925.4</v>
      </c>
      <c r="S855" s="3" t="n">
        <v>14.4956</v>
      </c>
      <c r="T855" s="4" t="inlineStr">
        <is>
          <t>Company Takeover</t>
        </is>
      </c>
      <c r="U855" s="2" t="inlineStr">
        <is>
          <t>No</t>
        </is>
      </c>
      <c r="V855" s="2" t="inlineStr">
        <is>
          <t>No</t>
        </is>
      </c>
      <c r="W855" s="2" t="inlineStr">
        <is>
          <t>No</t>
        </is>
      </c>
      <c r="X855" s="2" t="inlineStr">
        <is>
          <t>No</t>
        </is>
      </c>
      <c r="Y855" s="2" t="inlineStr">
        <is>
          <t>No</t>
        </is>
      </c>
      <c r="Z855" s="2" t="inlineStr">
        <is>
          <t>No</t>
        </is>
      </c>
      <c r="AA855" s="6" t="n">
        <v>4.613364258</v>
      </c>
      <c r="AB855" s="6" t="n">
        <v>3.593883918</v>
      </c>
      <c r="AC855" s="6" t="n">
        <v>4.523050648</v>
      </c>
      <c r="AD855">
        <f t="array" ref="AD855">IF(SUMPRODUCT(--($AM$2:$AM$112=TRIM(LEFT($B855,IFERROR(FIND(" ",$B855)-1,LEN($B855))))))&gt;0,1,0)</f>
        <v/>
      </c>
      <c r="AE855">
        <f t="array" ref="AE855">IF(SUMPRODUCT(--($AO$2:$AO$145=TRIM(LEFT($B855,IFERROR(FIND(" ",$B855)-1,LEN($B855))))))&gt;0,1,0)</f>
        <v/>
      </c>
      <c r="AF855">
        <f t="array" ref="AF855">IF(SUMPRODUCT(--($AQ$2:$AQ$71=TRIM(LEFT($B855,IFERROR(FIND(" ",$B855)-1,LEN($B855))))))&gt;0,1,0)</f>
        <v/>
      </c>
    </row>
    <row r="856" ht="75.75" customHeight="1" thickBot="1">
      <c r="A856" s="13" t="n">
        <v>33</v>
      </c>
      <c r="B856" s="4" t="inlineStr">
        <is>
          <t>1832555D US</t>
        </is>
      </c>
      <c r="C856" s="4" t="inlineStr">
        <is>
          <t>PFE US</t>
        </is>
      </c>
      <c r="D856" s="7" t="n">
        <v>43633</v>
      </c>
      <c r="E856" s="3" t="n">
        <v>10988.89</v>
      </c>
      <c r="F856" s="4" t="inlineStr">
        <is>
          <t>Cash</t>
        </is>
      </c>
      <c r="G856" s="4" t="n"/>
      <c r="H856" s="4" t="inlineStr">
        <is>
          <t>Health Care</t>
        </is>
      </c>
      <c r="I856" s="4" t="inlineStr">
        <is>
          <t>Health Care</t>
        </is>
      </c>
      <c r="J856" s="4" t="inlineStr">
        <is>
          <t>Biotech &amp; Pharma</t>
        </is>
      </c>
      <c r="K856" s="4" t="n"/>
      <c r="L856" s="3" t="n">
        <v>400</v>
      </c>
      <c r="M856" s="3" t="n">
        <v>76.44</v>
      </c>
      <c r="N856" s="3" t="n">
        <v>10644.04</v>
      </c>
      <c r="O856" s="4" t="inlineStr">
        <is>
          <t>United States</t>
        </is>
      </c>
      <c r="P856" s="4" t="inlineStr">
        <is>
          <t>United States</t>
        </is>
      </c>
      <c r="Q856" s="4" t="inlineStr">
        <is>
          <t>Friendly</t>
        </is>
      </c>
      <c r="R856" s="3" t="n">
        <v>173.768</v>
      </c>
      <c r="S856" s="3" t="n">
        <v>-50.1551</v>
      </c>
      <c r="T856" s="4" t="inlineStr">
        <is>
          <t>Company Takeover, Tender Offer</t>
        </is>
      </c>
      <c r="U856" s="2" t="inlineStr">
        <is>
          <t>No</t>
        </is>
      </c>
      <c r="V856" s="2" t="inlineStr">
        <is>
          <t>No</t>
        </is>
      </c>
      <c r="W856" s="2" t="inlineStr">
        <is>
          <t>No</t>
        </is>
      </c>
      <c r="X856" s="2" t="inlineStr">
        <is>
          <t>No</t>
        </is>
      </c>
      <c r="Y856" s="2" t="inlineStr">
        <is>
          <t>No</t>
        </is>
      </c>
      <c r="Z856" s="2" t="inlineStr">
        <is>
          <t>Yes</t>
        </is>
      </c>
      <c r="AA856" s="6" t="n">
        <v>4.040953826</v>
      </c>
      <c r="AB856" s="6" t="n">
        <v>2.239969803</v>
      </c>
      <c r="AC856" s="6" t="n">
        <v>4.027106498</v>
      </c>
      <c r="AD856">
        <f t="array" ref="AD856">IF(SUMPRODUCT(--($AM$2:$AM$112=TRIM(LEFT($B856,IFERROR(FIND(" ",$B856)-1,LEN($B856))))))&gt;0,1,0)</f>
        <v/>
      </c>
      <c r="AE856">
        <f t="array" ref="AE856">IF(SUMPRODUCT(--($AO$2:$AO$145=TRIM(LEFT($B856,IFERROR(FIND(" ",$B856)-1,LEN($B856))))))&gt;0,1,0)</f>
        <v/>
      </c>
      <c r="AF856">
        <f t="array" ref="AF856">IF(SUMPRODUCT(--($AQ$2:$AQ$71=TRIM(LEFT($B856,IFERROR(FIND(" ",$B856)-1,LEN($B856))))))&gt;0,1,0)</f>
        <v/>
      </c>
    </row>
    <row r="857" ht="45.75" customHeight="1" thickBot="1">
      <c r="A857" s="13" t="n">
        <v>60</v>
      </c>
      <c r="B857" s="4" t="inlineStr">
        <is>
          <t>ANDX US</t>
        </is>
      </c>
      <c r="C857" s="4" t="inlineStr">
        <is>
          <t>MPLX US</t>
        </is>
      </c>
      <c r="D857" s="7" t="n">
        <v>43593</v>
      </c>
      <c r="E857" s="3" t="n">
        <v>10178.07</v>
      </c>
      <c r="F857" s="4" t="inlineStr">
        <is>
          <t>Stock</t>
        </is>
      </c>
      <c r="G857" s="3" t="n">
        <v>10.59</v>
      </c>
      <c r="H857" s="4" t="inlineStr">
        <is>
          <t>Energy</t>
        </is>
      </c>
      <c r="I857" s="4" t="inlineStr">
        <is>
          <t>Oil &amp; Gas</t>
        </is>
      </c>
      <c r="J857" s="4" t="inlineStr">
        <is>
          <t>Oil &amp; Gas Supply Chain</t>
        </is>
      </c>
      <c r="K857" s="4" t="n"/>
      <c r="L857" s="4" t="n"/>
      <c r="M857" s="4" t="n"/>
      <c r="N857" s="3" t="n">
        <v>5224.07</v>
      </c>
      <c r="O857" s="4" t="inlineStr">
        <is>
          <t>United States</t>
        </is>
      </c>
      <c r="P857" s="4" t="inlineStr">
        <is>
          <t>United States</t>
        </is>
      </c>
      <c r="Q857" s="4" t="inlineStr">
        <is>
          <t>Friendly</t>
        </is>
      </c>
      <c r="R857" s="3" t="n">
        <v>10027</v>
      </c>
      <c r="S857" s="2" t="n"/>
      <c r="T857" s="4" t="inlineStr">
        <is>
          <t>Majority purchase</t>
        </is>
      </c>
      <c r="U857" s="2" t="inlineStr">
        <is>
          <t>No</t>
        </is>
      </c>
      <c r="V857" s="2" t="inlineStr">
        <is>
          <t>No</t>
        </is>
      </c>
      <c r="W857" s="2" t="inlineStr">
        <is>
          <t>No</t>
        </is>
      </c>
      <c r="X857" s="2" t="inlineStr">
        <is>
          <t>No</t>
        </is>
      </c>
      <c r="Y857" s="2" t="inlineStr">
        <is>
          <t>No</t>
        </is>
      </c>
      <c r="Z857" s="2" t="inlineStr">
        <is>
          <t>No</t>
        </is>
      </c>
      <c r="AA857" s="6" t="n">
        <v>4.007665433</v>
      </c>
      <c r="AB857" s="6" t="n">
        <v>4.001171015</v>
      </c>
      <c r="AC857" s="6" t="n">
        <v>3.718008988</v>
      </c>
      <c r="AD857">
        <f t="array" ref="AD857">IF(SUMPRODUCT(--($AM$2:$AM$112=TRIM(LEFT($B857,IFERROR(FIND(" ",$B857)-1,LEN($B857))))))&gt;0,1,0)</f>
        <v/>
      </c>
      <c r="AE857">
        <f t="array" ref="AE857">IF(SUMPRODUCT(--($AO$2:$AO$145=TRIM(LEFT($B857,IFERROR(FIND(" ",$B857)-1,LEN($B857))))))&gt;0,1,0)</f>
        <v/>
      </c>
      <c r="AF857">
        <f t="array" ref="AF857">IF(SUMPRODUCT(--($AQ$2:$AQ$71=TRIM(LEFT($B857,IFERROR(FIND(" ",$B857)-1,LEN($B857))))))&gt;0,1,0)</f>
        <v/>
      </c>
    </row>
    <row r="858" ht="120.75" customHeight="1" thickBot="1">
      <c r="A858" s="13" t="n">
        <v>60</v>
      </c>
      <c r="B858" s="4" t="inlineStr">
        <is>
          <t>ANDX US</t>
        </is>
      </c>
      <c r="C858" s="4" t="inlineStr">
        <is>
          <t>MPLX US</t>
        </is>
      </c>
      <c r="D858" s="7" t="n">
        <v>43593</v>
      </c>
      <c r="E858" s="3" t="n">
        <v>3288.99</v>
      </c>
      <c r="F858" s="4" t="inlineStr">
        <is>
          <t>Stock</t>
        </is>
      </c>
      <c r="G858" s="3" t="n">
        <v>7.26</v>
      </c>
      <c r="H858" s="4" t="inlineStr">
        <is>
          <t>Energy</t>
        </is>
      </c>
      <c r="I858" s="4" t="inlineStr">
        <is>
          <t>Oil &amp; Gas</t>
        </is>
      </c>
      <c r="J858" s="4" t="inlineStr">
        <is>
          <t>Oil &amp; Gas Supply Chain</t>
        </is>
      </c>
      <c r="K858" s="4" t="n"/>
      <c r="L858" s="4" t="n"/>
      <c r="M858" s="3" t="n">
        <v>8.26</v>
      </c>
      <c r="N858" s="3" t="n">
        <v>3288.99</v>
      </c>
      <c r="O858" s="4" t="inlineStr">
        <is>
          <t>United States</t>
        </is>
      </c>
      <c r="P858" s="4" t="inlineStr">
        <is>
          <t>United States</t>
        </is>
      </c>
      <c r="Q858" s="4" t="inlineStr">
        <is>
          <t>Friendly</t>
        </is>
      </c>
      <c r="R858" s="3" t="n">
        <v>10027</v>
      </c>
      <c r="S858" s="2" t="n"/>
      <c r="T858" s="4" t="inlineStr">
        <is>
          <t>Company Takeover, Additional Stake Purchase</t>
        </is>
      </c>
      <c r="U858" s="2" t="inlineStr">
        <is>
          <t>Yes</t>
        </is>
      </c>
      <c r="V858" s="2" t="inlineStr">
        <is>
          <t>No</t>
        </is>
      </c>
      <c r="W858" s="2" t="inlineStr">
        <is>
          <t>No</t>
        </is>
      </c>
      <c r="X858" s="2" t="inlineStr">
        <is>
          <t>No</t>
        </is>
      </c>
      <c r="Y858" s="2" t="inlineStr">
        <is>
          <t>No</t>
        </is>
      </c>
      <c r="Z858" s="2" t="inlineStr">
        <is>
          <t>No</t>
        </is>
      </c>
      <c r="AA858" s="6" t="n">
        <v>3.517062553</v>
      </c>
      <c r="AB858" s="6" t="n">
        <v>4.001171015</v>
      </c>
      <c r="AC858" s="6" t="n">
        <v>3.517062553</v>
      </c>
      <c r="AD858">
        <f t="array" ref="AD858">IF(SUMPRODUCT(--($AM$2:$AM$112=TRIM(LEFT($B858,IFERROR(FIND(" ",$B858)-1,LEN($B858))))))&gt;0,1,0)</f>
        <v/>
      </c>
      <c r="AE858">
        <f t="array" ref="AE858">IF(SUMPRODUCT(--($AO$2:$AO$145=TRIM(LEFT($B858,IFERROR(FIND(" ",$B858)-1,LEN($B858))))))&gt;0,1,0)</f>
        <v/>
      </c>
      <c r="AF858">
        <f t="array" ref="AF858">IF(SUMPRODUCT(--($AQ$2:$AQ$71=TRIM(LEFT($B858,IFERROR(FIND(" ",$B858)-1,LEN($B858))))))&gt;0,1,0)</f>
        <v/>
      </c>
    </row>
    <row r="859" ht="45.75" customHeight="1" thickBot="1">
      <c r="A859" s="13" t="n">
        <v>139</v>
      </c>
      <c r="B859" s="4" t="inlineStr">
        <is>
          <t>FDC US</t>
        </is>
      </c>
      <c r="C859" s="4" t="inlineStr">
        <is>
          <t>FISV US</t>
        </is>
      </c>
      <c r="D859" s="7" t="n">
        <v>43481</v>
      </c>
      <c r="E859" s="3" t="n">
        <v>38170.65</v>
      </c>
      <c r="F859" s="4" t="inlineStr">
        <is>
          <t>Stock</t>
        </is>
      </c>
      <c r="G859" s="3" t="n">
        <v>12.79</v>
      </c>
      <c r="H859" s="4" t="inlineStr">
        <is>
          <t>Financials</t>
        </is>
      </c>
      <c r="I859" s="4" t="inlineStr">
        <is>
          <t>Financial Services</t>
        </is>
      </c>
      <c r="J859" s="4" t="inlineStr">
        <is>
          <t>Specialty Finance</t>
        </is>
      </c>
      <c r="K859" s="3" t="n">
        <v>665</v>
      </c>
      <c r="L859" s="4" t="n"/>
      <c r="M859" s="3" t="n">
        <v>31.06</v>
      </c>
      <c r="N859" s="3" t="n">
        <v>21016.65</v>
      </c>
      <c r="O859" s="4" t="inlineStr">
        <is>
          <t>United States</t>
        </is>
      </c>
      <c r="P859" s="4" t="inlineStr">
        <is>
          <t>United States</t>
        </is>
      </c>
      <c r="Q859" s="4" t="inlineStr">
        <is>
          <t>Friendly</t>
        </is>
      </c>
      <c r="R859" s="3" t="n">
        <v>9498</v>
      </c>
      <c r="S859" s="3" t="n">
        <v>20.9113</v>
      </c>
      <c r="T859" s="4" t="inlineStr">
        <is>
          <t>Company Takeover</t>
        </is>
      </c>
      <c r="U859" s="2" t="inlineStr">
        <is>
          <t>No</t>
        </is>
      </c>
      <c r="V859" s="2" t="inlineStr">
        <is>
          <t>No</t>
        </is>
      </c>
      <c r="W859" s="2" t="inlineStr">
        <is>
          <t>No</t>
        </is>
      </c>
      <c r="X859" s="2" t="inlineStr">
        <is>
          <t>No</t>
        </is>
      </c>
      <c r="Y859" s="2" t="inlineStr">
        <is>
          <t>No</t>
        </is>
      </c>
      <c r="Z859" s="2" t="inlineStr">
        <is>
          <t>No</t>
        </is>
      </c>
      <c r="AA859" s="6" t="n">
        <v>4.581729556</v>
      </c>
      <c r="AB859" s="6" t="n">
        <v>3.977632165</v>
      </c>
      <c r="AC859" s="6" t="n">
        <v>4.322563492</v>
      </c>
      <c r="AD859">
        <f t="array" ref="AD859">IF(SUMPRODUCT(--($AM$2:$AM$112=TRIM(LEFT($B859,IFERROR(FIND(" ",$B859)-1,LEN($B859))))))&gt;0,1,0)</f>
        <v/>
      </c>
      <c r="AE859">
        <f t="array" ref="AE859">IF(SUMPRODUCT(--($AO$2:$AO$145=TRIM(LEFT($B859,IFERROR(FIND(" ",$B859)-1,LEN($B859))))))&gt;0,1,0)</f>
        <v/>
      </c>
      <c r="AF859">
        <f t="array" ref="AF859">IF(SUMPRODUCT(--($AQ$2:$AQ$71=TRIM(LEFT($B859,IFERROR(FIND(" ",$B859)-1,LEN($B859))))))&gt;0,1,0)</f>
        <v/>
      </c>
    </row>
    <row r="860" ht="45.75" customHeight="1" thickBot="1">
      <c r="A860" s="13" t="n">
        <v>75</v>
      </c>
      <c r="B860" s="4" t="inlineStr">
        <is>
          <t>LEXEA US</t>
        </is>
      </c>
      <c r="C860" s="4" t="inlineStr">
        <is>
          <t>EXPE US</t>
        </is>
      </c>
      <c r="D860" s="7" t="n">
        <v>43571</v>
      </c>
      <c r="E860" s="3" t="n">
        <v>4203.45</v>
      </c>
      <c r="F860" s="4" t="inlineStr">
        <is>
          <t>Stock</t>
        </is>
      </c>
      <c r="G860" s="3" t="n">
        <v>3.27</v>
      </c>
      <c r="H860" s="4" t="inlineStr">
        <is>
          <t>Communications</t>
        </is>
      </c>
      <c r="I860" s="4" t="inlineStr">
        <is>
          <t>Media</t>
        </is>
      </c>
      <c r="J860" s="4" t="inlineStr">
        <is>
          <t>Internet Media &amp; Services</t>
        </is>
      </c>
      <c r="K860" s="4" t="n"/>
      <c r="L860" s="3" t="n">
        <v>72</v>
      </c>
      <c r="M860" s="3" t="n">
        <v>0.49</v>
      </c>
      <c r="N860" s="3" t="n">
        <v>2525.45</v>
      </c>
      <c r="O860" s="4" t="inlineStr">
        <is>
          <t>United States</t>
        </is>
      </c>
      <c r="P860" s="4" t="inlineStr">
        <is>
          <t>United States</t>
        </is>
      </c>
      <c r="Q860" s="4" t="inlineStr">
        <is>
          <t>Unsolicited to Friendly</t>
        </is>
      </c>
      <c r="R860" s="3" t="n">
        <v>11449</v>
      </c>
      <c r="S860" s="3" t="n">
        <v>-5.3138</v>
      </c>
      <c r="T860" s="4" t="inlineStr">
        <is>
          <t>Company Takeover</t>
        </is>
      </c>
      <c r="U860" s="2" t="inlineStr">
        <is>
          <t>No</t>
        </is>
      </c>
      <c r="V860" s="2" t="inlineStr">
        <is>
          <t>No</t>
        </is>
      </c>
      <c r="W860" s="2" t="inlineStr">
        <is>
          <t>No</t>
        </is>
      </c>
      <c r="X860" s="2" t="inlineStr">
        <is>
          <t>No</t>
        </is>
      </c>
      <c r="Y860" s="2" t="inlineStr">
        <is>
          <t>No</t>
        </is>
      </c>
      <c r="Z860" s="2" t="inlineStr">
        <is>
          <t>No</t>
        </is>
      </c>
      <c r="AA860" s="6" t="n">
        <v>3.623605886</v>
      </c>
      <c r="AB860" s="6" t="n">
        <v>4.058767555</v>
      </c>
      <c r="AC860" s="6" t="n">
        <v>3.402338775</v>
      </c>
      <c r="AD860">
        <f t="array" ref="AD860">IF(SUMPRODUCT(--($AM$2:$AM$112=TRIM(LEFT($B860,IFERROR(FIND(" ",$B860)-1,LEN($B860))))))&gt;0,1,0)</f>
        <v/>
      </c>
      <c r="AE860">
        <f t="array" ref="AE860">IF(SUMPRODUCT(--($AO$2:$AO$145=TRIM(LEFT($B860,IFERROR(FIND(" ",$B860)-1,LEN($B860))))))&gt;0,1,0)</f>
        <v/>
      </c>
      <c r="AF860">
        <f t="array" ref="AF860">IF(SUMPRODUCT(--($AQ$2:$AQ$71=TRIM(LEFT($B860,IFERROR(FIND(" ",$B860)-1,LEN($B860))))))&gt;0,1,0)</f>
        <v/>
      </c>
    </row>
    <row r="861" ht="135.75" customHeight="1" thickBot="1">
      <c r="A861" s="13" t="n">
        <v>73</v>
      </c>
      <c r="B861" s="4" t="inlineStr">
        <is>
          <t>EFII US</t>
        </is>
      </c>
      <c r="C861" s="4" t="inlineStr">
        <is>
          <t>8210273Z US</t>
        </is>
      </c>
      <c r="D861" s="7" t="n">
        <v>43570</v>
      </c>
      <c r="E861" s="3" t="n">
        <v>1619.32</v>
      </c>
      <c r="F861" s="4" t="inlineStr">
        <is>
          <t>Cash</t>
        </is>
      </c>
      <c r="G861" s="3" t="n">
        <v>21.83</v>
      </c>
      <c r="H861" s="4" t="inlineStr">
        <is>
          <t>Technology</t>
        </is>
      </c>
      <c r="I861" s="4" t="inlineStr">
        <is>
          <t>Tech Hardware &amp; Semiconductors</t>
        </is>
      </c>
      <c r="J861" s="4" t="inlineStr">
        <is>
          <t>Technology Hardware</t>
        </is>
      </c>
      <c r="K861" s="3" t="n">
        <v>109.94</v>
      </c>
      <c r="L861" s="3" t="n">
        <v>59.2</v>
      </c>
      <c r="M861" s="4" t="n"/>
      <c r="N861" s="3" t="n">
        <v>1577.76</v>
      </c>
      <c r="O861" s="4" t="inlineStr">
        <is>
          <t>United States</t>
        </is>
      </c>
      <c r="P861" s="4" t="inlineStr">
        <is>
          <t>United States</t>
        </is>
      </c>
      <c r="Q861" s="4" t="inlineStr">
        <is>
          <t>Friendly</t>
        </is>
      </c>
      <c r="R861" s="3" t="n">
        <v>1015.02</v>
      </c>
      <c r="S861" s="3" t="n">
        <v>0.859571</v>
      </c>
      <c r="T861" s="4" t="inlineStr">
        <is>
          <t>PE Buyout, Company Takeover, Private Equity, Going Private</t>
        </is>
      </c>
      <c r="U861" s="2" t="inlineStr">
        <is>
          <t>No</t>
        </is>
      </c>
      <c r="V861" s="2" t="inlineStr">
        <is>
          <t>No</t>
        </is>
      </c>
      <c r="W861" s="2" t="inlineStr">
        <is>
          <t>No</t>
        </is>
      </c>
      <c r="X861" s="2" t="inlineStr">
        <is>
          <t>Yes</t>
        </is>
      </c>
      <c r="Y861" s="2" t="inlineStr">
        <is>
          <t>Yes</t>
        </is>
      </c>
      <c r="Z861" s="2" t="inlineStr">
        <is>
          <t>No</t>
        </is>
      </c>
      <c r="AA861" s="6" t="n">
        <v>3.20933268</v>
      </c>
      <c r="AB861" s="6" t="n">
        <v>3.0064746</v>
      </c>
      <c r="AC861" s="6" t="n">
        <v>3.198040941</v>
      </c>
      <c r="AD861">
        <f t="array" ref="AD861">IF(SUMPRODUCT(--($AM$2:$AM$112=TRIM(LEFT($B861,IFERROR(FIND(" ",$B861)-1,LEN($B861))))))&gt;0,1,0)</f>
        <v/>
      </c>
      <c r="AE861">
        <f t="array" ref="AE861">IF(SUMPRODUCT(--($AO$2:$AO$145=TRIM(LEFT($B861,IFERROR(FIND(" ",$B861)-1,LEN($B861))))))&gt;0,1,0)</f>
        <v/>
      </c>
      <c r="AF861">
        <f t="array" ref="AF861">IF(SUMPRODUCT(--($AQ$2:$AQ$71=TRIM(LEFT($B861,IFERROR(FIND(" ",$B861)-1,LEN($B861))))))&gt;0,1,0)</f>
        <v/>
      </c>
    </row>
    <row r="862" ht="75.75" customHeight="1" thickBot="1">
      <c r="A862" s="13" t="n">
        <v>51</v>
      </c>
      <c r="B862" s="4" t="inlineStr">
        <is>
          <t>AGB CN</t>
        </is>
      </c>
      <c r="C862" s="4" t="inlineStr">
        <is>
          <t>SBM AU</t>
        </is>
      </c>
      <c r="D862" s="7" t="n">
        <v>43599</v>
      </c>
      <c r="E862" s="3" t="n">
        <v>600.64</v>
      </c>
      <c r="F862" s="4" t="inlineStr">
        <is>
          <t>Cash</t>
        </is>
      </c>
      <c r="G862" s="3" t="n">
        <v>9.77</v>
      </c>
      <c r="H862" s="4" t="inlineStr">
        <is>
          <t>Materials</t>
        </is>
      </c>
      <c r="I862" s="4" t="inlineStr">
        <is>
          <t>Materials</t>
        </is>
      </c>
      <c r="J862" s="4" t="inlineStr">
        <is>
          <t>Metals &amp; Mining</t>
        </is>
      </c>
      <c r="K862" s="3" t="n">
        <v>25</v>
      </c>
      <c r="L862" s="3" t="n">
        <v>25</v>
      </c>
      <c r="M862" s="3" t="n">
        <v>36.65</v>
      </c>
      <c r="N862" s="3" t="n">
        <v>539.34</v>
      </c>
      <c r="O862" s="4" t="inlineStr">
        <is>
          <t>Canada</t>
        </is>
      </c>
      <c r="P862" s="4" t="inlineStr">
        <is>
          <t>Australia</t>
        </is>
      </c>
      <c r="Q862" s="4" t="inlineStr">
        <is>
          <t>Friendly</t>
        </is>
      </c>
      <c r="R862" s="3" t="n">
        <v>99.0479</v>
      </c>
      <c r="S862" s="3" t="n">
        <v>34.1009</v>
      </c>
      <c r="T862" s="4" t="inlineStr">
        <is>
          <t>Company Takeover, Cross Border</t>
        </is>
      </c>
      <c r="U862" s="2" t="inlineStr">
        <is>
          <t>No</t>
        </is>
      </c>
      <c r="V862" s="2" t="inlineStr">
        <is>
          <t>No</t>
        </is>
      </c>
      <c r="W862" s="2" t="inlineStr">
        <is>
          <t>Yes</t>
        </is>
      </c>
      <c r="X862" s="2" t="inlineStr">
        <is>
          <t>No</t>
        </is>
      </c>
      <c r="Y862" s="2" t="inlineStr">
        <is>
          <t>No</t>
        </is>
      </c>
      <c r="Z862" s="2" t="inlineStr">
        <is>
          <t>No</t>
        </is>
      </c>
      <c r="AA862" s="6" t="n">
        <v>2.778614251</v>
      </c>
      <c r="AB862" s="6" t="n">
        <v>1.995845272</v>
      </c>
      <c r="AC862" s="6" t="n">
        <v>2.731862631</v>
      </c>
      <c r="AD862">
        <f t="array" ref="AD862">IF(SUMPRODUCT(--($AM$2:$AM$112=TRIM(LEFT($B862,IFERROR(FIND(" ",$B862)-1,LEN($B862))))))&gt;0,1,0)</f>
        <v/>
      </c>
      <c r="AE862">
        <f t="array" ref="AE862">IF(SUMPRODUCT(--($AO$2:$AO$145=TRIM(LEFT($B862,IFERROR(FIND(" ",$B862)-1,LEN($B862))))))&gt;0,1,0)</f>
        <v/>
      </c>
      <c r="AF862">
        <f t="array" ref="AF862">IF(SUMPRODUCT(--($AQ$2:$AQ$71=TRIM(LEFT($B862,IFERROR(FIND(" ",$B862)-1,LEN($B862))))))&gt;0,1,0)</f>
        <v/>
      </c>
    </row>
    <row r="863" ht="75.75" customHeight="1" thickBot="1">
      <c r="A863" s="13" t="n">
        <v>70</v>
      </c>
      <c r="B863" s="4" t="inlineStr">
        <is>
          <t>BRSS US</t>
        </is>
      </c>
      <c r="C863" s="4" t="inlineStr">
        <is>
          <t>2740681Z GR</t>
        </is>
      </c>
      <c r="D863" s="7" t="n">
        <v>43565</v>
      </c>
      <c r="E863" s="3" t="n">
        <v>1150.72</v>
      </c>
      <c r="F863" s="4" t="inlineStr">
        <is>
          <t>Cash</t>
        </is>
      </c>
      <c r="G863" s="3" t="n">
        <v>9.59</v>
      </c>
      <c r="H863" s="4" t="inlineStr">
        <is>
          <t>Industrials</t>
        </is>
      </c>
      <c r="I863" s="4" t="inlineStr">
        <is>
          <t>Industrial Products</t>
        </is>
      </c>
      <c r="J863" s="4" t="inlineStr">
        <is>
          <t>Industrial Intermediate Prod</t>
        </is>
      </c>
      <c r="K863" s="4" t="n"/>
      <c r="L863" s="3" t="n">
        <v>39.9525</v>
      </c>
      <c r="M863" s="3" t="n">
        <v>30.56</v>
      </c>
      <c r="N863" s="3" t="n">
        <v>965.92</v>
      </c>
      <c r="O863" s="4" t="inlineStr">
        <is>
          <t>United States</t>
        </is>
      </c>
      <c r="P863" s="4" t="inlineStr">
        <is>
          <t>Germany</t>
        </is>
      </c>
      <c r="Q863" s="4" t="inlineStr">
        <is>
          <t>Friendly</t>
        </is>
      </c>
      <c r="R863" s="3" t="n">
        <v>1765.4</v>
      </c>
      <c r="S863" s="3" t="n">
        <v>5.63258</v>
      </c>
      <c r="T863" s="4" t="inlineStr">
        <is>
          <t>Company Takeover, Cross Border</t>
        </is>
      </c>
      <c r="U863" s="2" t="inlineStr">
        <is>
          <t>No</t>
        </is>
      </c>
      <c r="V863" s="2" t="inlineStr">
        <is>
          <t>No</t>
        </is>
      </c>
      <c r="W863" s="2" t="inlineStr">
        <is>
          <t>Yes</t>
        </is>
      </c>
      <c r="X863" s="2" t="inlineStr">
        <is>
          <t>No</t>
        </is>
      </c>
      <c r="Y863" s="2" t="inlineStr">
        <is>
          <t>No</t>
        </is>
      </c>
      <c r="Z863" s="2" t="inlineStr">
        <is>
          <t>No</t>
        </is>
      </c>
      <c r="AA863" s="6" t="n">
        <v>3.060969661</v>
      </c>
      <c r="AB863" s="6" t="n">
        <v>3.246843122</v>
      </c>
      <c r="AC863" s="6" t="n">
        <v>2.984941159</v>
      </c>
      <c r="AD863">
        <f t="array" ref="AD863">IF(SUMPRODUCT(--($AM$2:$AM$112=TRIM(LEFT($B863,IFERROR(FIND(" ",$B863)-1,LEN($B863))))))&gt;0,1,0)</f>
        <v/>
      </c>
      <c r="AE863">
        <f t="array" ref="AE863">IF(SUMPRODUCT(--($AO$2:$AO$145=TRIM(LEFT($B863,IFERROR(FIND(" ",$B863)-1,LEN($B863))))))&gt;0,1,0)</f>
        <v/>
      </c>
      <c r="AF863">
        <f t="array" ref="AF863">IF(SUMPRODUCT(--($AQ$2:$AQ$71=TRIM(LEFT($B863,IFERROR(FIND(" ",$B863)-1,LEN($B863))))))&gt;0,1,0)</f>
        <v/>
      </c>
    </row>
    <row r="864" ht="45.75" customHeight="1" thickBot="1">
      <c r="A864" s="13" t="n">
        <v>182</v>
      </c>
      <c r="B864" s="4" t="inlineStr">
        <is>
          <t>RHT US</t>
        </is>
      </c>
      <c r="C864" s="4" t="inlineStr">
        <is>
          <t>IBM US</t>
        </is>
      </c>
      <c r="D864" s="7" t="n">
        <v>43401</v>
      </c>
      <c r="E864" s="3" t="n">
        <v>31802.52</v>
      </c>
      <c r="F864" s="4" t="inlineStr">
        <is>
          <t>Cash</t>
        </is>
      </c>
      <c r="G864" s="3" t="n">
        <v>52.76</v>
      </c>
      <c r="H864" s="4" t="inlineStr">
        <is>
          <t>Technology</t>
        </is>
      </c>
      <c r="I864" s="4" t="inlineStr">
        <is>
          <t>Software &amp; Tech Services</t>
        </is>
      </c>
      <c r="J864" s="4" t="inlineStr">
        <is>
          <t>Software</t>
        </is>
      </c>
      <c r="K864" s="4" t="n"/>
      <c r="L864" s="3" t="n">
        <v>975</v>
      </c>
      <c r="M864" s="3" t="n">
        <v>54.02</v>
      </c>
      <c r="N864" s="3" t="n">
        <v>33443.85</v>
      </c>
      <c r="O864" s="4" t="inlineStr">
        <is>
          <t>United States</t>
        </is>
      </c>
      <c r="P864" s="4" t="inlineStr">
        <is>
          <t>United States</t>
        </is>
      </c>
      <c r="Q864" s="4" t="inlineStr">
        <is>
          <t>Friendly</t>
        </is>
      </c>
      <c r="R864" s="3" t="n">
        <v>3362.07</v>
      </c>
      <c r="S864" s="3" t="n">
        <v>15.2813</v>
      </c>
      <c r="T864" s="4" t="inlineStr">
        <is>
          <t>Company Takeover</t>
        </is>
      </c>
      <c r="U864" s="2" t="inlineStr">
        <is>
          <t>No</t>
        </is>
      </c>
      <c r="V864" s="2" t="inlineStr">
        <is>
          <t>No</t>
        </is>
      </c>
      <c r="W864" s="2" t="inlineStr">
        <is>
          <t>No</t>
        </is>
      </c>
      <c r="X864" s="2" t="inlineStr">
        <is>
          <t>No</t>
        </is>
      </c>
      <c r="Y864" s="2" t="inlineStr">
        <is>
          <t>No</t>
        </is>
      </c>
      <c r="Z864" s="2" t="inlineStr">
        <is>
          <t>No</t>
        </is>
      </c>
      <c r="AA864" s="6" t="n">
        <v>4.502461534</v>
      </c>
      <c r="AB864" s="6" t="n">
        <v>3.526606751</v>
      </c>
      <c r="AC864" s="6" t="n">
        <v>4.524316267</v>
      </c>
      <c r="AD864">
        <f t="array" ref="AD864">IF(SUMPRODUCT(--($AM$2:$AM$112=TRIM(LEFT($B864,IFERROR(FIND(" ",$B864)-1,LEN($B864))))))&gt;0,1,0)</f>
        <v/>
      </c>
      <c r="AE864">
        <f t="array" ref="AE864">IF(SUMPRODUCT(--($AO$2:$AO$145=TRIM(LEFT($B864,IFERROR(FIND(" ",$B864)-1,LEN($B864))))))&gt;0,1,0)</f>
        <v/>
      </c>
      <c r="AF864">
        <f t="array" ref="AF864">IF(SUMPRODUCT(--($AQ$2:$AQ$71=TRIM(LEFT($B864,IFERROR(FIND(" ",$B864)-1,LEN($B864))))))&gt;0,1,0)</f>
        <v/>
      </c>
    </row>
    <row r="865" ht="45.75" customHeight="1" thickBot="1">
      <c r="A865" s="13" t="n">
        <v>76</v>
      </c>
      <c r="B865" s="4" t="inlineStr">
        <is>
          <t>2259062D US</t>
        </is>
      </c>
      <c r="C865" s="4" t="inlineStr">
        <is>
          <t>JLL US</t>
        </is>
      </c>
      <c r="D865" s="7" t="n">
        <v>43543</v>
      </c>
      <c r="E865" s="3" t="n">
        <v>1979.68</v>
      </c>
      <c r="F865" s="4" t="inlineStr">
        <is>
          <t>Cash and Stock</t>
        </is>
      </c>
      <c r="G865" s="3" t="n">
        <v>16.68</v>
      </c>
      <c r="H865" s="4" t="inlineStr">
        <is>
          <t>Financials</t>
        </is>
      </c>
      <c r="I865" s="4" t="inlineStr">
        <is>
          <t>Financial Services</t>
        </is>
      </c>
      <c r="J865" s="4" t="inlineStr">
        <is>
          <t>Specialty Finance</t>
        </is>
      </c>
      <c r="K865" s="3" t="n">
        <v>75</v>
      </c>
      <c r="L865" s="3" t="n">
        <v>54</v>
      </c>
      <c r="M865" s="3" t="n">
        <v>9.66</v>
      </c>
      <c r="N865" s="3" t="n">
        <v>1932.9</v>
      </c>
      <c r="O865" s="4" t="inlineStr">
        <is>
          <t>United States</t>
        </is>
      </c>
      <c r="P865" s="4" t="inlineStr">
        <is>
          <t>United States</t>
        </is>
      </c>
      <c r="Q865" s="4" t="inlineStr">
        <is>
          <t>Friendly</t>
        </is>
      </c>
      <c r="R865" s="3" t="n">
        <v>662.042</v>
      </c>
      <c r="S865" s="3" t="n">
        <v>16.0792</v>
      </c>
      <c r="T865" s="4" t="inlineStr">
        <is>
          <t>Company Takeover</t>
        </is>
      </c>
      <c r="U865" s="2" t="inlineStr">
        <is>
          <t>No</t>
        </is>
      </c>
      <c r="V865" s="2" t="inlineStr">
        <is>
          <t>No</t>
        </is>
      </c>
      <c r="W865" s="2" t="inlineStr">
        <is>
          <t>No</t>
        </is>
      </c>
      <c r="X865" s="2" t="inlineStr">
        <is>
          <t>No</t>
        </is>
      </c>
      <c r="Y865" s="2" t="inlineStr">
        <is>
          <t>No</t>
        </is>
      </c>
      <c r="Z865" s="2" t="inlineStr">
        <is>
          <t>No</t>
        </is>
      </c>
      <c r="AA865" s="6" t="n">
        <v>3.296594996</v>
      </c>
      <c r="AB865" s="6" t="n">
        <v>2.820885542</v>
      </c>
      <c r="AC865" s="6" t="n">
        <v>3.286209386</v>
      </c>
      <c r="AD865">
        <f t="array" ref="AD865">IF(SUMPRODUCT(--($AM$2:$AM$112=TRIM(LEFT($B865,IFERROR(FIND(" ",$B865)-1,LEN($B865))))))&gt;0,1,0)</f>
        <v/>
      </c>
      <c r="AE865">
        <f t="array" ref="AE865">IF(SUMPRODUCT(--($AO$2:$AO$145=TRIM(LEFT($B865,IFERROR(FIND(" ",$B865)-1,LEN($B865))))))&gt;0,1,0)</f>
        <v/>
      </c>
      <c r="AF865">
        <f t="array" ref="AF865">IF(SUMPRODUCT(--($AQ$2:$AQ$71=TRIM(LEFT($B865,IFERROR(FIND(" ",$B865)-1,LEN($B865))))))&gt;0,1,0)</f>
        <v/>
      </c>
    </row>
    <row r="866" ht="45.75" customHeight="1" thickBot="1">
      <c r="A866" s="13" t="n">
        <v>186</v>
      </c>
      <c r="B866" s="4" t="inlineStr">
        <is>
          <t>1927294D US</t>
        </is>
      </c>
      <c r="C866" s="4" t="inlineStr">
        <is>
          <t>LHX US</t>
        </is>
      </c>
      <c r="D866" s="7" t="n">
        <v>43387</v>
      </c>
      <c r="E866" s="3" t="n">
        <v>19551.88</v>
      </c>
      <c r="F866" s="4" t="inlineStr">
        <is>
          <t>Stock</t>
        </is>
      </c>
      <c r="G866" s="3" t="n">
        <v>14.57</v>
      </c>
      <c r="H866" s="4" t="inlineStr">
        <is>
          <t>Industrials</t>
        </is>
      </c>
      <c r="I866" s="4" t="inlineStr">
        <is>
          <t>Industrial Products</t>
        </is>
      </c>
      <c r="J866" s="4" t="inlineStr">
        <is>
          <t>Aerospace &amp; Defense</t>
        </is>
      </c>
      <c r="K866" s="3" t="n">
        <v>700</v>
      </c>
      <c r="L866" s="3" t="n">
        <v>590</v>
      </c>
      <c r="M866" s="3" t="n">
        <v>2.11</v>
      </c>
      <c r="N866" s="3" t="n">
        <v>17017.88</v>
      </c>
      <c r="O866" s="4" t="inlineStr">
        <is>
          <t>United States</t>
        </is>
      </c>
      <c r="P866" s="4" t="inlineStr">
        <is>
          <t>United States</t>
        </is>
      </c>
      <c r="Q866" s="4" t="inlineStr">
        <is>
          <t>Friendly</t>
        </is>
      </c>
      <c r="R866" s="3" t="n">
        <v>10244</v>
      </c>
      <c r="S866" s="3" t="n">
        <v>10.9903</v>
      </c>
      <c r="T866" s="4" t="inlineStr">
        <is>
          <t>Company Takeover</t>
        </is>
      </c>
      <c r="U866" s="2" t="inlineStr">
        <is>
          <t>No</t>
        </is>
      </c>
      <c r="V866" s="2" t="inlineStr">
        <is>
          <t>No</t>
        </is>
      </c>
      <c r="W866" s="2" t="inlineStr">
        <is>
          <t>No</t>
        </is>
      </c>
      <c r="X866" s="2" t="inlineStr">
        <is>
          <t>No</t>
        </is>
      </c>
      <c r="Y866" s="2" t="inlineStr">
        <is>
          <t>No</t>
        </is>
      </c>
      <c r="Z866" s="2" t="inlineStr">
        <is>
          <t>No</t>
        </is>
      </c>
      <c r="AA866" s="6" t="n">
        <v>4.291188523</v>
      </c>
      <c r="AB866" s="6" t="n">
        <v>4.01046957</v>
      </c>
      <c r="AC866" s="6" t="n">
        <v>4.230905457</v>
      </c>
      <c r="AD866">
        <f t="array" ref="AD866">IF(SUMPRODUCT(--($AM$2:$AM$112=TRIM(LEFT($B866,IFERROR(FIND(" ",$B866)-1,LEN($B866))))))&gt;0,1,0)</f>
        <v/>
      </c>
      <c r="AE866">
        <f t="array" ref="AE866">IF(SUMPRODUCT(--($AO$2:$AO$145=TRIM(LEFT($B866,IFERROR(FIND(" ",$B866)-1,LEN($B866))))))&gt;0,1,0)</f>
        <v/>
      </c>
      <c r="AF866">
        <f t="array" ref="AF866">IF(SUMPRODUCT(--($AQ$2:$AQ$71=TRIM(LEFT($B866,IFERROR(FIND(" ",$B866)-1,LEN($B866))))))&gt;0,1,0)</f>
        <v/>
      </c>
    </row>
    <row r="867" ht="135.75" customHeight="1" thickBot="1">
      <c r="A867" s="13" t="n">
        <v>91</v>
      </c>
      <c r="B867" s="4" t="inlineStr">
        <is>
          <t>LABL US</t>
        </is>
      </c>
      <c r="C867" s="4" t="inlineStr">
        <is>
          <t>21380Z US</t>
        </is>
      </c>
      <c r="D867" s="7" t="n">
        <v>43521</v>
      </c>
      <c r="E867" s="3" t="n">
        <v>2517.54</v>
      </c>
      <c r="F867" s="4" t="inlineStr">
        <is>
          <t>Cash</t>
        </is>
      </c>
      <c r="G867" s="3" t="n">
        <v>9.199999999999999</v>
      </c>
      <c r="H867" s="4" t="inlineStr">
        <is>
          <t>Materials</t>
        </is>
      </c>
      <c r="I867" s="4" t="inlineStr">
        <is>
          <t>Materials</t>
        </is>
      </c>
      <c r="J867" s="4" t="inlineStr">
        <is>
          <t>Containers &amp; Packaging</t>
        </is>
      </c>
      <c r="K867" s="3" t="n">
        <v>103.3</v>
      </c>
      <c r="L867" s="3" t="n">
        <v>36.2</v>
      </c>
      <c r="M867" s="4" t="n"/>
      <c r="N867" s="3" t="n">
        <v>1025.87</v>
      </c>
      <c r="O867" s="4" t="inlineStr">
        <is>
          <t>United States</t>
        </is>
      </c>
      <c r="P867" s="4" t="inlineStr">
        <is>
          <t>United States</t>
        </is>
      </c>
      <c r="Q867" s="4" t="inlineStr">
        <is>
          <t>Friendly</t>
        </is>
      </c>
      <c r="R867" s="3" t="n">
        <v>1725.55</v>
      </c>
      <c r="S867" s="3" t="n">
        <v>3.55503</v>
      </c>
      <c r="T867" s="4" t="inlineStr">
        <is>
          <t>PE Buyout, Company Takeover, Private Equity, Going Private</t>
        </is>
      </c>
      <c r="U867" s="2" t="inlineStr">
        <is>
          <t>No</t>
        </is>
      </c>
      <c r="V867" s="2" t="inlineStr">
        <is>
          <t>No</t>
        </is>
      </c>
      <c r="W867" s="2" t="inlineStr">
        <is>
          <t>No</t>
        </is>
      </c>
      <c r="X867" s="2" t="inlineStr">
        <is>
          <t>Yes</t>
        </is>
      </c>
      <c r="Y867" s="2" t="inlineStr">
        <is>
          <t>Yes</t>
        </is>
      </c>
      <c r="Z867" s="2" t="inlineStr">
        <is>
          <t>No</t>
        </is>
      </c>
      <c r="AA867" s="6" t="n">
        <v>3.40097638</v>
      </c>
      <c r="AB867" s="6" t="n">
        <v>3.236927548</v>
      </c>
      <c r="AC867" s="6" t="n">
        <v>3.01109233</v>
      </c>
      <c r="AD867">
        <f t="array" ref="AD867">IF(SUMPRODUCT(--($AM$2:$AM$112=TRIM(LEFT($B867,IFERROR(FIND(" ",$B867)-1,LEN($B867))))))&gt;0,1,0)</f>
        <v/>
      </c>
      <c r="AE867">
        <f t="array" ref="AE867">IF(SUMPRODUCT(--($AO$2:$AO$145=TRIM(LEFT($B867,IFERROR(FIND(" ",$B867)-1,LEN($B867))))))&gt;0,1,0)</f>
        <v/>
      </c>
      <c r="AF867">
        <f t="array" ref="AF867">IF(SUMPRODUCT(--($AQ$2:$AQ$71=TRIM(LEFT($B867,IFERROR(FIND(" ",$B867)-1,LEN($B867))))))&gt;0,1,0)</f>
        <v/>
      </c>
    </row>
    <row r="868" ht="165.75" customHeight="1" thickBot="1">
      <c r="A868" s="13" t="n">
        <v>48</v>
      </c>
      <c r="B868" s="4" t="inlineStr">
        <is>
          <t>SFS US</t>
        </is>
      </c>
      <c r="C868" s="4" t="inlineStr">
        <is>
          <t>APO US</t>
        </is>
      </c>
      <c r="D868" s="7" t="n">
        <v>43571</v>
      </c>
      <c r="E868" s="3" t="n">
        <v>1983.11</v>
      </c>
      <c r="F868" s="4" t="inlineStr">
        <is>
          <t>Cash</t>
        </is>
      </c>
      <c r="G868" s="3" t="n">
        <v>26.37</v>
      </c>
      <c r="H868" s="4" t="inlineStr">
        <is>
          <t>Consumer Staples</t>
        </is>
      </c>
      <c r="I868" s="4" t="inlineStr">
        <is>
          <t>Retail &amp; Wholesale - Staples</t>
        </is>
      </c>
      <c r="J868" s="4" t="inlineStr">
        <is>
          <t>Retail - Consumer Staples</t>
        </is>
      </c>
      <c r="K868" s="4" t="n"/>
      <c r="L868" s="4" t="n"/>
      <c r="M868" s="3" t="n">
        <v>25.47</v>
      </c>
      <c r="N868" s="3" t="n">
        <v>497.4</v>
      </c>
      <c r="O868" s="4" t="inlineStr">
        <is>
          <t>United States</t>
        </is>
      </c>
      <c r="P868" s="4" t="inlineStr">
        <is>
          <t>United States</t>
        </is>
      </c>
      <c r="Q868" s="4" t="inlineStr">
        <is>
          <t>Friendly</t>
        </is>
      </c>
      <c r="R868" s="3" t="n">
        <v>4741.77</v>
      </c>
      <c r="S868" s="3" t="n">
        <v>-1.17807</v>
      </c>
      <c r="T868" s="4" t="inlineStr">
        <is>
          <t>PE Buyout, Company Takeover, Private Equity, Tender Offer, Going Private</t>
        </is>
      </c>
      <c r="U868" s="2" t="inlineStr">
        <is>
          <t>No</t>
        </is>
      </c>
      <c r="V868" s="2" t="inlineStr">
        <is>
          <t>No</t>
        </is>
      </c>
      <c r="W868" s="2" t="inlineStr">
        <is>
          <t>No</t>
        </is>
      </c>
      <c r="X868" s="2" t="inlineStr">
        <is>
          <t>Yes</t>
        </is>
      </c>
      <c r="Y868" s="2" t="inlineStr">
        <is>
          <t>Yes</t>
        </is>
      </c>
      <c r="Z868" s="2" t="inlineStr">
        <is>
          <t>Yes</t>
        </is>
      </c>
      <c r="AA868" s="6" t="n">
        <v>3.297346805</v>
      </c>
      <c r="AB868" s="6" t="n">
        <v>3.675940485</v>
      </c>
      <c r="AC868" s="6" t="n">
        <v>2.696705781</v>
      </c>
      <c r="AD868">
        <f t="array" ref="AD868">IF(SUMPRODUCT(--($AM$2:$AM$112=TRIM(LEFT($B868,IFERROR(FIND(" ",$B868)-1,LEN($B868))))))&gt;0,1,0)</f>
        <v/>
      </c>
      <c r="AE868">
        <f t="array" ref="AE868">IF(SUMPRODUCT(--($AO$2:$AO$145=TRIM(LEFT($B868,IFERROR(FIND(" ",$B868)-1,LEN($B868))))))&gt;0,1,0)</f>
        <v/>
      </c>
      <c r="AF868">
        <f t="array" ref="AF868">IF(SUMPRODUCT(--($AQ$2:$AQ$71=TRIM(LEFT($B868,IFERROR(FIND(" ",$B868)-1,LEN($B868))))))&gt;0,1,0)</f>
        <v/>
      </c>
    </row>
    <row r="869" ht="75.75" customHeight="1" thickBot="1">
      <c r="A869" s="13" t="n">
        <v>62</v>
      </c>
      <c r="B869" s="4" t="inlineStr">
        <is>
          <t>QTNA US</t>
        </is>
      </c>
      <c r="C869" s="4" t="inlineStr">
        <is>
          <t>ON US</t>
        </is>
      </c>
      <c r="D869" s="7" t="n">
        <v>43551</v>
      </c>
      <c r="E869" s="3" t="n">
        <v>937.4</v>
      </c>
      <c r="F869" s="4" t="inlineStr">
        <is>
          <t>Cash</t>
        </is>
      </c>
      <c r="G869" s="3" t="n">
        <v>122.2</v>
      </c>
      <c r="H869" s="4" t="inlineStr">
        <is>
          <t>Technology</t>
        </is>
      </c>
      <c r="I869" s="4" t="inlineStr">
        <is>
          <t>Tech Hardware &amp; Semiconductors</t>
        </is>
      </c>
      <c r="J869" s="4" t="inlineStr">
        <is>
          <t>Technology Hardware</t>
        </is>
      </c>
      <c r="K869" s="4" t="n"/>
      <c r="L869" s="3" t="n">
        <v>32.165</v>
      </c>
      <c r="M869" s="3" t="n">
        <v>24.58</v>
      </c>
      <c r="N869" s="3" t="n">
        <v>937.4</v>
      </c>
      <c r="O869" s="4" t="inlineStr">
        <is>
          <t>United States</t>
        </is>
      </c>
      <c r="P869" s="4" t="inlineStr">
        <is>
          <t>United States</t>
        </is>
      </c>
      <c r="Q869" s="4" t="inlineStr">
        <is>
          <t>Friendly</t>
        </is>
      </c>
      <c r="R869" s="3" t="n">
        <v>220.46</v>
      </c>
      <c r="S869" s="3" t="n">
        <v>1.35438</v>
      </c>
      <c r="T869" s="4" t="inlineStr">
        <is>
          <t>Company Takeover</t>
        </is>
      </c>
      <c r="U869" s="2" t="inlineStr">
        <is>
          <t>No</t>
        </is>
      </c>
      <c r="V869" s="2" t="inlineStr">
        <is>
          <t>No</t>
        </is>
      </c>
      <c r="W869" s="2" t="inlineStr">
        <is>
          <t>No</t>
        </is>
      </c>
      <c r="X869" s="2" t="inlineStr">
        <is>
          <t>No</t>
        </is>
      </c>
      <c r="Y869" s="2" t="inlineStr">
        <is>
          <t>No</t>
        </is>
      </c>
      <c r="Z869" s="2" t="inlineStr">
        <is>
          <t>No</t>
        </is>
      </c>
      <c r="AA869" s="6" t="n">
        <v>2.971924949</v>
      </c>
      <c r="AB869" s="6" t="n">
        <v>2.343329803</v>
      </c>
      <c r="AC869" s="6" t="n">
        <v>2.971924949</v>
      </c>
      <c r="AD869">
        <f t="array" ref="AD869">IF(SUMPRODUCT(--($AM$2:$AM$112=TRIM(LEFT($B869,IFERROR(FIND(" ",$B869)-1,LEN($B869))))))&gt;0,1,0)</f>
        <v/>
      </c>
      <c r="AE869">
        <f t="array" ref="AE869">IF(SUMPRODUCT(--($AO$2:$AO$145=TRIM(LEFT($B869,IFERROR(FIND(" ",$B869)-1,LEN($B869))))))&gt;0,1,0)</f>
        <v/>
      </c>
      <c r="AF869">
        <f t="array" ref="AF869">IF(SUMPRODUCT(--($AQ$2:$AQ$71=TRIM(LEFT($B869,IFERROR(FIND(" ",$B869)-1,LEN($B869))))))&gt;0,1,0)</f>
        <v/>
      </c>
    </row>
    <row r="870" ht="45.75" customHeight="1" thickBot="1">
      <c r="A870" s="13" t="n">
        <v>61</v>
      </c>
      <c r="B870" s="4" t="inlineStr">
        <is>
          <t>TIER US</t>
        </is>
      </c>
      <c r="C870" s="4" t="inlineStr">
        <is>
          <t>CUZ US</t>
        </is>
      </c>
      <c r="D870" s="7" t="n">
        <v>43549</v>
      </c>
      <c r="E870" s="3" t="n">
        <v>2246.84</v>
      </c>
      <c r="F870" s="4" t="inlineStr">
        <is>
          <t>Stock</t>
        </is>
      </c>
      <c r="G870" s="3" t="n">
        <v>35.01</v>
      </c>
      <c r="H870" s="4" t="inlineStr">
        <is>
          <t>Real Estate</t>
        </is>
      </c>
      <c r="I870" s="4" t="inlineStr">
        <is>
          <t>Real Estate</t>
        </is>
      </c>
      <c r="J870" s="4" t="inlineStr">
        <is>
          <t>REIT</t>
        </is>
      </c>
      <c r="K870" s="4" t="n"/>
      <c r="L870" s="3" t="n">
        <v>45.45</v>
      </c>
      <c r="M870" s="3" t="n">
        <v>17.69</v>
      </c>
      <c r="N870" s="3" t="n">
        <v>1562.83</v>
      </c>
      <c r="O870" s="4" t="inlineStr">
        <is>
          <t>United States</t>
        </is>
      </c>
      <c r="P870" s="4" t="inlineStr">
        <is>
          <t>United States</t>
        </is>
      </c>
      <c r="Q870" s="4" t="inlineStr">
        <is>
          <t>Friendly</t>
        </is>
      </c>
      <c r="R870" s="2" t="n"/>
      <c r="S870" s="2" t="n"/>
      <c r="T870" s="4" t="inlineStr">
        <is>
          <t>Company Takeover</t>
        </is>
      </c>
      <c r="U870" s="2" t="inlineStr">
        <is>
          <t>No</t>
        </is>
      </c>
      <c r="V870" s="2" t="inlineStr">
        <is>
          <t>No</t>
        </is>
      </c>
      <c r="W870" s="2" t="inlineStr">
        <is>
          <t>No</t>
        </is>
      </c>
      <c r="X870" s="2" t="inlineStr">
        <is>
          <t>No</t>
        </is>
      </c>
      <c r="Y870" s="2" t="inlineStr">
        <is>
          <t>No</t>
        </is>
      </c>
      <c r="Z870" s="2" t="inlineStr">
        <is>
          <t>No</t>
        </is>
      </c>
      <c r="AA870" s="6" t="n">
        <v>3.351572147</v>
      </c>
      <c r="AB870" s="2" t="n"/>
      <c r="AC870" s="6" t="n">
        <v>3.193911739</v>
      </c>
      <c r="AD870">
        <f t="array" ref="AD870">IF(SUMPRODUCT(--($AM$2:$AM$112=TRIM(LEFT($B870,IFERROR(FIND(" ",$B870)-1,LEN($B870))))))&gt;0,1,0)</f>
        <v/>
      </c>
      <c r="AE870">
        <f t="array" ref="AE870">IF(SUMPRODUCT(--($AO$2:$AO$145=TRIM(LEFT($B870,IFERROR(FIND(" ",$B870)-1,LEN($B870))))))&gt;0,1,0)</f>
        <v/>
      </c>
      <c r="AF870">
        <f t="array" ref="AF870">IF(SUMPRODUCT(--($AQ$2:$AQ$71=TRIM(LEFT($B870,IFERROR(FIND(" ",$B870)-1,LEN($B870))))))&gt;0,1,0)</f>
        <v/>
      </c>
    </row>
    <row r="871" ht="45.75" customHeight="1" thickBot="1">
      <c r="A871" s="13" t="n">
        <v>54</v>
      </c>
      <c r="B871" s="4" t="inlineStr">
        <is>
          <t>STUS/A CN</t>
        </is>
      </c>
      <c r="C871" s="4" t="inlineStr">
        <is>
          <t>TCN CN</t>
        </is>
      </c>
      <c r="D871" s="7" t="n">
        <v>43557</v>
      </c>
      <c r="E871" s="3" t="n">
        <v>1353.68</v>
      </c>
      <c r="F871" s="4" t="inlineStr">
        <is>
          <t>Stock</t>
        </is>
      </c>
      <c r="G871" s="4" t="n"/>
      <c r="H871" s="4" t="inlineStr">
        <is>
          <t>N.A.</t>
        </is>
      </c>
      <c r="I871" s="4" t="inlineStr">
        <is>
          <t>N.A.</t>
        </is>
      </c>
      <c r="J871" s="4" t="inlineStr">
        <is>
          <t>N.A.</t>
        </is>
      </c>
      <c r="K871" s="4" t="n"/>
      <c r="L871" s="4" t="n"/>
      <c r="M871" s="4" t="n"/>
      <c r="N871" s="3" t="n">
        <v>437.68</v>
      </c>
      <c r="O871" s="4" t="inlineStr">
        <is>
          <t>Canada</t>
        </is>
      </c>
      <c r="P871" s="4" t="inlineStr">
        <is>
          <t>Canada</t>
        </is>
      </c>
      <c r="Q871" s="4" t="inlineStr">
        <is>
          <t>Friendly</t>
        </is>
      </c>
      <c r="R871" s="2" t="n"/>
      <c r="S871" s="2" t="n"/>
      <c r="T871" s="4" t="inlineStr">
        <is>
          <t>Company Takeover</t>
        </is>
      </c>
      <c r="U871" s="2" t="inlineStr">
        <is>
          <t>No</t>
        </is>
      </c>
      <c r="V871" s="2" t="inlineStr">
        <is>
          <t>No</t>
        </is>
      </c>
      <c r="W871" s="2" t="inlineStr">
        <is>
          <t>No</t>
        </is>
      </c>
      <c r="X871" s="2" t="inlineStr">
        <is>
          <t>No</t>
        </is>
      </c>
      <c r="Y871" s="2" t="inlineStr">
        <is>
          <t>No</t>
        </is>
      </c>
      <c r="Z871" s="2" t="inlineStr">
        <is>
          <t>No</t>
        </is>
      </c>
      <c r="AA871" s="6" t="n">
        <v>3.131516012</v>
      </c>
      <c r="AB871" s="2" t="n"/>
      <c r="AC871" s="6" t="n">
        <v>2.641156702</v>
      </c>
      <c r="AD871">
        <f t="array" ref="AD871">IF(SUMPRODUCT(--($AM$2:$AM$112=TRIM(LEFT($B871,IFERROR(FIND(" ",$B871)-1,LEN($B871))))))&gt;0,1,0)</f>
        <v/>
      </c>
      <c r="AE871">
        <f t="array" ref="AE871">IF(SUMPRODUCT(--($AO$2:$AO$145=TRIM(LEFT($B871,IFERROR(FIND(" ",$B871)-1,LEN($B871))))))&gt;0,1,0)</f>
        <v/>
      </c>
      <c r="AF871">
        <f t="array" ref="AF871">IF(SUMPRODUCT(--($AQ$2:$AQ$71=TRIM(LEFT($B871,IFERROR(FIND(" ",$B871)-1,LEN($B871))))))&gt;0,1,0)</f>
        <v/>
      </c>
    </row>
    <row r="872" ht="75.75" customHeight="1" thickBot="1">
      <c r="A872" s="13" t="n">
        <v>39</v>
      </c>
      <c r="B872" s="4" t="inlineStr">
        <is>
          <t>KEYW US</t>
        </is>
      </c>
      <c r="C872" s="4" t="inlineStr">
        <is>
          <t>9990213D US</t>
        </is>
      </c>
      <c r="D872" s="7" t="n">
        <v>43577</v>
      </c>
      <c r="E872" s="3" t="n">
        <v>817.97</v>
      </c>
      <c r="F872" s="4" t="inlineStr">
        <is>
          <t>Cash</t>
        </is>
      </c>
      <c r="G872" s="3" t="n">
        <v>25.43</v>
      </c>
      <c r="H872" s="4" t="inlineStr">
        <is>
          <t>Technology</t>
        </is>
      </c>
      <c r="I872" s="4" t="inlineStr">
        <is>
          <t>Software &amp; Tech Services</t>
        </is>
      </c>
      <c r="J872" s="4" t="inlineStr">
        <is>
          <t>Software</t>
        </is>
      </c>
      <c r="K872" s="4" t="n"/>
      <c r="L872" s="3" t="n">
        <v>21</v>
      </c>
      <c r="M872" s="3" t="n">
        <v>36.72</v>
      </c>
      <c r="N872" s="3" t="n">
        <v>563.14</v>
      </c>
      <c r="O872" s="4" t="inlineStr">
        <is>
          <t>United States</t>
        </is>
      </c>
      <c r="P872" s="4" t="inlineStr">
        <is>
          <t>United States</t>
        </is>
      </c>
      <c r="Q872" s="4" t="inlineStr">
        <is>
          <t>Friendly</t>
        </is>
      </c>
      <c r="R872" s="3" t="n">
        <v>506.84</v>
      </c>
      <c r="S872" s="3" t="n">
        <v>1.70897</v>
      </c>
      <c r="T872" s="4" t="inlineStr">
        <is>
          <t>Company Takeover, Tender Offer</t>
        </is>
      </c>
      <c r="U872" s="2" t="inlineStr">
        <is>
          <t>No</t>
        </is>
      </c>
      <c r="V872" s="2" t="inlineStr">
        <is>
          <t>No</t>
        </is>
      </c>
      <c r="W872" s="2" t="inlineStr">
        <is>
          <t>No</t>
        </is>
      </c>
      <c r="X872" s="2" t="inlineStr">
        <is>
          <t>No</t>
        </is>
      </c>
      <c r="Y872" s="2" t="inlineStr">
        <is>
          <t>No</t>
        </is>
      </c>
      <c r="Z872" s="2" t="inlineStr">
        <is>
          <t>Yes</t>
        </is>
      </c>
      <c r="AA872" s="6" t="n">
        <v>2.912737376</v>
      </c>
      <c r="AB872" s="6" t="n">
        <v>2.704870882</v>
      </c>
      <c r="AC872" s="6" t="n">
        <v>2.750616377</v>
      </c>
      <c r="AD872">
        <f t="array" ref="AD872">IF(SUMPRODUCT(--($AM$2:$AM$112=TRIM(LEFT($B872,IFERROR(FIND(" ",$B872)-1,LEN($B872))))))&gt;0,1,0)</f>
        <v/>
      </c>
      <c r="AE872">
        <f t="array" ref="AE872">IF(SUMPRODUCT(--($AO$2:$AO$145=TRIM(LEFT($B872,IFERROR(FIND(" ",$B872)-1,LEN($B872))))))&gt;0,1,0)</f>
        <v/>
      </c>
      <c r="AF872">
        <f t="array" ref="AF872">IF(SUMPRODUCT(--($AQ$2:$AQ$71=TRIM(LEFT($B872,IFERROR(FIND(" ",$B872)-1,LEN($B872))))))&gt;0,1,0)</f>
        <v/>
      </c>
    </row>
    <row r="873" ht="75.75" customHeight="1" thickBot="1">
      <c r="A873" s="13" t="n">
        <v>222</v>
      </c>
      <c r="B873" s="4" t="inlineStr">
        <is>
          <t>BMS US</t>
        </is>
      </c>
      <c r="C873" s="4" t="inlineStr">
        <is>
          <t>AMCR US</t>
        </is>
      </c>
      <c r="D873" s="7" t="n">
        <v>43318</v>
      </c>
      <c r="E873" s="3" t="n">
        <v>6230.55</v>
      </c>
      <c r="F873" s="4" t="inlineStr">
        <is>
          <t>Stock</t>
        </is>
      </c>
      <c r="G873" s="3" t="n">
        <v>20.26</v>
      </c>
      <c r="H873" s="4" t="inlineStr">
        <is>
          <t>Materials</t>
        </is>
      </c>
      <c r="I873" s="4" t="inlineStr">
        <is>
          <t>Materials</t>
        </is>
      </c>
      <c r="J873" s="4" t="inlineStr">
        <is>
          <t>Containers &amp; Packaging</t>
        </is>
      </c>
      <c r="K873" s="3" t="n">
        <v>130</v>
      </c>
      <c r="L873" s="3" t="n">
        <v>130</v>
      </c>
      <c r="M873" s="3" t="n">
        <v>21.89</v>
      </c>
      <c r="N873" s="3" t="n">
        <v>4762.65</v>
      </c>
      <c r="O873" s="4" t="inlineStr">
        <is>
          <t>United States</t>
        </is>
      </c>
      <c r="P873" s="4" t="inlineStr">
        <is>
          <t>Australia</t>
        </is>
      </c>
      <c r="Q873" s="4" t="inlineStr">
        <is>
          <t>Friendly</t>
        </is>
      </c>
      <c r="R873" s="3" t="n">
        <v>4089.9</v>
      </c>
      <c r="S873" s="3" t="n">
        <v>9.24235</v>
      </c>
      <c r="T873" s="4" t="inlineStr">
        <is>
          <t>Company Takeover, Cross Border</t>
        </is>
      </c>
      <c r="U873" s="2" t="inlineStr">
        <is>
          <t>No</t>
        </is>
      </c>
      <c r="V873" s="2" t="inlineStr">
        <is>
          <t>No</t>
        </is>
      </c>
      <c r="W873" s="2" t="inlineStr">
        <is>
          <t>Yes</t>
        </is>
      </c>
      <c r="X873" s="2" t="inlineStr">
        <is>
          <t>No</t>
        </is>
      </c>
      <c r="Y873" s="2" t="inlineStr">
        <is>
          <t>No</t>
        </is>
      </c>
      <c r="Z873" s="2" t="inlineStr">
        <is>
          <t>No</t>
        </is>
      </c>
      <c r="AA873" s="6" t="n">
        <v>3.794526386</v>
      </c>
      <c r="AB873" s="6" t="n">
        <v>3.611712689</v>
      </c>
      <c r="AC873" s="6" t="n">
        <v>3.677848667</v>
      </c>
      <c r="AD873">
        <f t="array" ref="AD873">IF(SUMPRODUCT(--($AM$2:$AM$112=TRIM(LEFT($B873,IFERROR(FIND(" ",$B873)-1,LEN($B873))))))&gt;0,1,0)</f>
        <v/>
      </c>
      <c r="AE873">
        <f t="array" ref="AE873">IF(SUMPRODUCT(--($AO$2:$AO$145=TRIM(LEFT($B873,IFERROR(FIND(" ",$B873)-1,LEN($B873))))))&gt;0,1,0)</f>
        <v/>
      </c>
      <c r="AF873">
        <f t="array" ref="AF873">IF(SUMPRODUCT(--($AQ$2:$AQ$71=TRIM(LEFT($B873,IFERROR(FIND(" ",$B873)-1,LEN($B873))))))&gt;0,1,0)</f>
        <v/>
      </c>
    </row>
    <row r="874" ht="45.75" customHeight="1" thickBot="1">
      <c r="A874" s="13" t="n">
        <v>71</v>
      </c>
      <c r="B874" s="4" t="inlineStr">
        <is>
          <t>NITE US</t>
        </is>
      </c>
      <c r="C874" s="4" t="inlineStr">
        <is>
          <t>BIIB US</t>
        </is>
      </c>
      <c r="D874" s="7" t="n">
        <v>43528</v>
      </c>
      <c r="E874" s="3" t="n">
        <v>753.0700000000001</v>
      </c>
      <c r="F874" s="4" t="inlineStr">
        <is>
          <t>Cash</t>
        </is>
      </c>
      <c r="G874" s="4" t="n"/>
      <c r="H874" s="4" t="inlineStr">
        <is>
          <t>Health Care</t>
        </is>
      </c>
      <c r="I874" s="4" t="inlineStr">
        <is>
          <t>Health Care</t>
        </is>
      </c>
      <c r="J874" s="4" t="inlineStr">
        <is>
          <t>Biotech &amp; Pharma</t>
        </is>
      </c>
      <c r="K874" s="4" t="n"/>
      <c r="L874" s="4" t="n"/>
      <c r="M874" s="3" t="n">
        <v>74.44</v>
      </c>
      <c r="N874" s="3" t="n">
        <v>853.84</v>
      </c>
      <c r="O874" s="4" t="inlineStr">
        <is>
          <t>United States</t>
        </is>
      </c>
      <c r="P874" s="4" t="inlineStr">
        <is>
          <t>United States</t>
        </is>
      </c>
      <c r="Q874" s="4" t="inlineStr">
        <is>
          <t>Friendly</t>
        </is>
      </c>
      <c r="R874" s="2" t="n"/>
      <c r="S874" s="2" t="n"/>
      <c r="T874" s="4" t="inlineStr">
        <is>
          <t>Company Takeover</t>
        </is>
      </c>
      <c r="U874" s="2" t="inlineStr">
        <is>
          <t>No</t>
        </is>
      </c>
      <c r="V874" s="2" t="inlineStr">
        <is>
          <t>No</t>
        </is>
      </c>
      <c r="W874" s="2" t="inlineStr">
        <is>
          <t>No</t>
        </is>
      </c>
      <c r="X874" s="2" t="inlineStr">
        <is>
          <t>No</t>
        </is>
      </c>
      <c r="Y874" s="2" t="inlineStr">
        <is>
          <t>No</t>
        </is>
      </c>
      <c r="Z874" s="2" t="inlineStr">
        <is>
          <t>No</t>
        </is>
      </c>
      <c r="AA874" s="6" t="n">
        <v>2.876835347</v>
      </c>
      <c r="AB874" s="2" t="n"/>
      <c r="AC874" s="6" t="n">
        <v>2.931376496</v>
      </c>
      <c r="AD874">
        <f t="array" ref="AD874">IF(SUMPRODUCT(--($AM$2:$AM$112=TRIM(LEFT($B874,IFERROR(FIND(" ",$B874)-1,LEN($B874))))))&gt;0,1,0)</f>
        <v/>
      </c>
      <c r="AE874">
        <f t="array" ref="AE874">IF(SUMPRODUCT(--($AO$2:$AO$145=TRIM(LEFT($B874,IFERROR(FIND(" ",$B874)-1,LEN($B874))))))&gt;0,1,0)</f>
        <v/>
      </c>
      <c r="AF874">
        <f t="array" ref="AF874">IF(SUMPRODUCT(--($AQ$2:$AQ$71=TRIM(LEFT($B874,IFERROR(FIND(" ",$B874)-1,LEN($B874))))))&gt;0,1,0)</f>
        <v/>
      </c>
    </row>
    <row r="875" ht="135.75" customHeight="1" thickBot="1">
      <c r="A875" s="13" t="n">
        <v>124</v>
      </c>
      <c r="B875" s="4" t="inlineStr">
        <is>
          <t>TVPT US</t>
        </is>
      </c>
      <c r="C875" s="2" t="n"/>
      <c r="D875" s="7" t="n">
        <v>43444</v>
      </c>
      <c r="E875" s="3" t="n">
        <v>4055.53</v>
      </c>
      <c r="F875" s="4" t="inlineStr">
        <is>
          <t>Cash</t>
        </is>
      </c>
      <c r="G875" s="3" t="n">
        <v>8.16</v>
      </c>
      <c r="H875" s="4" t="inlineStr">
        <is>
          <t>Consumer Discretionary</t>
        </is>
      </c>
      <c r="I875" s="4" t="inlineStr">
        <is>
          <t>Consumer Discretionary Services</t>
        </is>
      </c>
      <c r="J875" s="4" t="inlineStr">
        <is>
          <t>Leisure Facilities &amp; Services</t>
        </is>
      </c>
      <c r="K875" s="3" t="n">
        <v>124.6</v>
      </c>
      <c r="L875" s="3" t="n">
        <v>31.1</v>
      </c>
      <c r="M875" s="3" t="n">
        <v>6.52</v>
      </c>
      <c r="N875" s="3" t="n">
        <v>1991.31</v>
      </c>
      <c r="O875" s="4" t="inlineStr">
        <is>
          <t>United States</t>
        </is>
      </c>
      <c r="P875" s="4" t="inlineStr">
        <is>
          <t>United States</t>
        </is>
      </c>
      <c r="Q875" s="4" t="inlineStr">
        <is>
          <t>Friendly</t>
        </is>
      </c>
      <c r="R875" s="3" t="n">
        <v>2551.06</v>
      </c>
      <c r="S875" s="3" t="n">
        <v>8.95407</v>
      </c>
      <c r="T875" s="4" t="inlineStr">
        <is>
          <t>PE Buyout, Company Takeover, Going Private, Private Equity</t>
        </is>
      </c>
      <c r="U875" s="2" t="inlineStr">
        <is>
          <t>No</t>
        </is>
      </c>
      <c r="V875" s="2" t="inlineStr">
        <is>
          <t>No</t>
        </is>
      </c>
      <c r="W875" s="2" t="inlineStr">
        <is>
          <t>No</t>
        </is>
      </c>
      <c r="X875" s="2" t="inlineStr">
        <is>
          <t>Yes</t>
        </is>
      </c>
      <c r="Y875" s="2" t="inlineStr">
        <is>
          <t>Yes</t>
        </is>
      </c>
      <c r="Z875" s="2" t="inlineStr">
        <is>
          <t>No</t>
        </is>
      </c>
      <c r="AA875" s="6" t="n">
        <v>3.608047618</v>
      </c>
      <c r="AB875" s="6" t="n">
        <v>3.406720673</v>
      </c>
      <c r="AC875" s="6" t="n">
        <v>3.299138875</v>
      </c>
      <c r="AD875">
        <f t="array" ref="AD875">IF(SUMPRODUCT(--($AM$2:$AM$112=TRIM(LEFT($B875,IFERROR(FIND(" ",$B875)-1,LEN($B875))))))&gt;0,1,0)</f>
        <v/>
      </c>
      <c r="AE875">
        <f t="array" ref="AE875">IF(SUMPRODUCT(--($AO$2:$AO$145=TRIM(LEFT($B875,IFERROR(FIND(" ",$B875)-1,LEN($B875))))))&gt;0,1,0)</f>
        <v/>
      </c>
      <c r="AF875">
        <f t="array" ref="AF875">IF(SUMPRODUCT(--($AQ$2:$AQ$71=TRIM(LEFT($B875,IFERROR(FIND(" ",$B875)-1,LEN($B875))))))&gt;0,1,0)</f>
        <v/>
      </c>
    </row>
    <row r="876" ht="45.75" customHeight="1" thickBot="1">
      <c r="A876" s="13" t="n">
        <v>198</v>
      </c>
      <c r="B876" s="4" t="inlineStr">
        <is>
          <t>NAVG US</t>
        </is>
      </c>
      <c r="C876" s="4" t="inlineStr">
        <is>
          <t>HIG US</t>
        </is>
      </c>
      <c r="D876" s="7" t="n">
        <v>43334</v>
      </c>
      <c r="E876" s="3" t="n">
        <v>2083.57</v>
      </c>
      <c r="F876" s="4" t="inlineStr">
        <is>
          <t>Cash</t>
        </is>
      </c>
      <c r="G876" s="4" t="n"/>
      <c r="H876" s="4" t="inlineStr">
        <is>
          <t>Financials</t>
        </is>
      </c>
      <c r="I876" s="4" t="inlineStr">
        <is>
          <t>Insurance</t>
        </is>
      </c>
      <c r="J876" s="4" t="inlineStr">
        <is>
          <t>Insurance</t>
        </is>
      </c>
      <c r="K876" s="4" t="n"/>
      <c r="L876" s="3" t="n">
        <v>68.25</v>
      </c>
      <c r="M876" s="3" t="n">
        <v>14.06</v>
      </c>
      <c r="N876" s="3" t="n">
        <v>2083.57</v>
      </c>
      <c r="O876" s="4" t="inlineStr">
        <is>
          <t>United States</t>
        </is>
      </c>
      <c r="P876" s="4" t="inlineStr">
        <is>
          <t>United States</t>
        </is>
      </c>
      <c r="Q876" s="4" t="inlineStr">
        <is>
          <t>Friendly</t>
        </is>
      </c>
      <c r="R876" s="3" t="n">
        <v>1443.16</v>
      </c>
      <c r="S876" s="3" t="n">
        <v>1.87965</v>
      </c>
      <c r="T876" s="4" t="inlineStr">
        <is>
          <t>Company Takeover</t>
        </is>
      </c>
      <c r="U876" s="2" t="inlineStr">
        <is>
          <t>No</t>
        </is>
      </c>
      <c r="V876" s="2" t="inlineStr">
        <is>
          <t>No</t>
        </is>
      </c>
      <c r="W876" s="2" t="inlineStr">
        <is>
          <t>No</t>
        </is>
      </c>
      <c r="X876" s="2" t="inlineStr">
        <is>
          <t>No</t>
        </is>
      </c>
      <c r="Y876" s="2" t="inlineStr">
        <is>
          <t>No</t>
        </is>
      </c>
      <c r="Z876" s="2" t="inlineStr">
        <is>
          <t>No</t>
        </is>
      </c>
      <c r="AA876" s="6" t="n">
        <v>3.318808096</v>
      </c>
      <c r="AB876" s="6" t="n">
        <v>3.159314483</v>
      </c>
      <c r="AC876" s="6" t="n">
        <v>3.318808096</v>
      </c>
      <c r="AD876">
        <f t="array" ref="AD876">IF(SUMPRODUCT(--($AM$2:$AM$112=TRIM(LEFT($B876,IFERROR(FIND(" ",$B876)-1,LEN($B876))))))&gt;0,1,0)</f>
        <v/>
      </c>
      <c r="AE876">
        <f t="array" ref="AE876">IF(SUMPRODUCT(--($AO$2:$AO$145=TRIM(LEFT($B876,IFERROR(FIND(" ",$B876)-1,LEN($B876))))))&gt;0,1,0)</f>
        <v/>
      </c>
      <c r="AF876">
        <f t="array" ref="AF876">IF(SUMPRODUCT(--($AQ$2:$AQ$71=TRIM(LEFT($B876,IFERROR(FIND(" ",$B876)-1,LEN($B876))))))&gt;0,1,0)</f>
        <v/>
      </c>
    </row>
    <row r="877" ht="45.75" customHeight="1" thickBot="1">
      <c r="A877" s="13" t="n">
        <v>152</v>
      </c>
      <c r="B877" s="4" t="inlineStr">
        <is>
          <t>HIFR US</t>
        </is>
      </c>
      <c r="C877" s="4" t="inlineStr">
        <is>
          <t>SRE US</t>
        </is>
      </c>
      <c r="D877" s="7" t="n">
        <v>43391</v>
      </c>
      <c r="E877" s="3" t="n">
        <v>1864.34</v>
      </c>
      <c r="F877" s="4" t="inlineStr">
        <is>
          <t>Cash</t>
        </is>
      </c>
      <c r="G877" s="3" t="n">
        <v>15.51</v>
      </c>
      <c r="H877" s="4" t="inlineStr">
        <is>
          <t>Utilities</t>
        </is>
      </c>
      <c r="I877" s="4" t="inlineStr">
        <is>
          <t>Utilities</t>
        </is>
      </c>
      <c r="J877" s="4" t="inlineStr">
        <is>
          <t>Electric Utilities</t>
        </is>
      </c>
      <c r="K877" s="4" t="n"/>
      <c r="L877" s="3" t="n">
        <v>45</v>
      </c>
      <c r="M877" s="3" t="n">
        <v>3.17</v>
      </c>
      <c r="N877" s="3" t="n">
        <v>923.21</v>
      </c>
      <c r="O877" s="4" t="inlineStr">
        <is>
          <t>United States</t>
        </is>
      </c>
      <c r="P877" s="4" t="inlineStr">
        <is>
          <t>United States</t>
        </is>
      </c>
      <c r="Q877" s="4" t="inlineStr">
        <is>
          <t>Friendly</t>
        </is>
      </c>
      <c r="R877" s="3" t="n">
        <v>200.354</v>
      </c>
      <c r="S877" s="3" t="n">
        <v>60.4451</v>
      </c>
      <c r="T877" s="4" t="inlineStr">
        <is>
          <t>Company Takeover</t>
        </is>
      </c>
      <c r="U877" s="2" t="inlineStr">
        <is>
          <t>No</t>
        </is>
      </c>
      <c r="V877" s="2" t="inlineStr">
        <is>
          <t>No</t>
        </is>
      </c>
      <c r="W877" s="2" t="inlineStr">
        <is>
          <t>No</t>
        </is>
      </c>
      <c r="X877" s="2" t="inlineStr">
        <is>
          <t>No</t>
        </is>
      </c>
      <c r="Y877" s="2" t="inlineStr">
        <is>
          <t>No</t>
        </is>
      </c>
      <c r="Z877" s="2" t="inlineStr">
        <is>
          <t>No</t>
        </is>
      </c>
      <c r="AA877" s="6" t="n">
        <v>3.270525118</v>
      </c>
      <c r="AB877" s="6" t="n">
        <v>2.301798017</v>
      </c>
      <c r="AC877" s="6" t="n">
        <v>2.9653005</v>
      </c>
      <c r="AD877">
        <f t="array" ref="AD877">IF(SUMPRODUCT(--($AM$2:$AM$112=TRIM(LEFT($B877,IFERROR(FIND(" ",$B877)-1,LEN($B877))))))&gt;0,1,0)</f>
        <v/>
      </c>
      <c r="AE877">
        <f t="array" ref="AE877">IF(SUMPRODUCT(--($AO$2:$AO$145=TRIM(LEFT($B877,IFERROR(FIND(" ",$B877)-1,LEN($B877))))))&gt;0,1,0)</f>
        <v/>
      </c>
      <c r="AF877">
        <f t="array" ref="AF877">IF(SUMPRODUCT(--($AQ$2:$AQ$71=TRIM(LEFT($B877,IFERROR(FIND(" ",$B877)-1,LEN($B877))))))&gt;0,1,0)</f>
        <v/>
      </c>
    </row>
    <row r="878" ht="45.75" customHeight="1" thickBot="1">
      <c r="A878" s="13" t="n">
        <v>98</v>
      </c>
      <c r="B878" s="4" t="inlineStr">
        <is>
          <t>2291909D US</t>
        </is>
      </c>
      <c r="C878" s="4" t="inlineStr">
        <is>
          <t>OHI US</t>
        </is>
      </c>
      <c r="D878" s="7" t="n">
        <v>43467</v>
      </c>
      <c r="E878" s="3" t="n">
        <v>590.48</v>
      </c>
      <c r="F878" s="4" t="inlineStr">
        <is>
          <t>Cash and Stock</t>
        </is>
      </c>
      <c r="G878" s="3" t="n">
        <v>14.23</v>
      </c>
      <c r="H878" s="4" t="inlineStr">
        <is>
          <t>Real Estate</t>
        </is>
      </c>
      <c r="I878" s="4" t="inlineStr">
        <is>
          <t>Real Estate</t>
        </is>
      </c>
      <c r="J878" s="4" t="inlineStr">
        <is>
          <t>REIT</t>
        </is>
      </c>
      <c r="K878" s="4" t="n"/>
      <c r="L878" s="3" t="n">
        <v>6.5339</v>
      </c>
      <c r="M878" s="3" t="n">
        <v>56.84</v>
      </c>
      <c r="N878" s="3" t="n">
        <v>325.84</v>
      </c>
      <c r="O878" s="4" t="inlineStr">
        <is>
          <t>United States</t>
        </is>
      </c>
      <c r="P878" s="4" t="inlineStr">
        <is>
          <t>United States</t>
        </is>
      </c>
      <c r="Q878" s="4" t="inlineStr">
        <is>
          <t>Friendly</t>
        </is>
      </c>
      <c r="R878" s="3" t="n">
        <v>57.26</v>
      </c>
      <c r="S878" s="3" t="n">
        <v>35.4307</v>
      </c>
      <c r="T878" s="4" t="inlineStr">
        <is>
          <t>Company Takeover</t>
        </is>
      </c>
      <c r="U878" s="2" t="inlineStr">
        <is>
          <t>No</t>
        </is>
      </c>
      <c r="V878" s="2" t="inlineStr">
        <is>
          <t>No</t>
        </is>
      </c>
      <c r="W878" s="2" t="inlineStr">
        <is>
          <t>No</t>
        </is>
      </c>
      <c r="X878" s="2" t="inlineStr">
        <is>
          <t>No</t>
        </is>
      </c>
      <c r="Y878" s="2" t="inlineStr">
        <is>
          <t>No</t>
        </is>
      </c>
      <c r="Z878" s="2" t="inlineStr">
        <is>
          <t>No</t>
        </is>
      </c>
      <c r="AA878" s="6" t="n">
        <v>2.771205192</v>
      </c>
      <c r="AB878" s="6" t="n">
        <v>1.757851344</v>
      </c>
      <c r="AC878" s="6" t="n">
        <v>2.513004397</v>
      </c>
      <c r="AD878">
        <f t="array" ref="AD878">IF(SUMPRODUCT(--($AM$2:$AM$112=TRIM(LEFT($B878,IFERROR(FIND(" ",$B878)-1,LEN($B878))))))&gt;0,1,0)</f>
        <v/>
      </c>
      <c r="AE878">
        <f t="array" ref="AE878">IF(SUMPRODUCT(--($AO$2:$AO$145=TRIM(LEFT($B878,IFERROR(FIND(" ",$B878)-1,LEN($B878))))))&gt;0,1,0)</f>
        <v/>
      </c>
      <c r="AF878">
        <f t="array" ref="AF878">IF(SUMPRODUCT(--($AQ$2:$AQ$71=TRIM(LEFT($B878,IFERROR(FIND(" ",$B878)-1,LEN($B878))))))&gt;0,1,0)</f>
        <v/>
      </c>
    </row>
    <row r="879" ht="210.75" customHeight="1" thickBot="1">
      <c r="A879" s="13" t="n">
        <v>175</v>
      </c>
      <c r="B879" s="4" t="inlineStr">
        <is>
          <t>MPMQ US</t>
        </is>
      </c>
      <c r="C879" s="2" t="n"/>
      <c r="D879" s="7" t="n">
        <v>43356</v>
      </c>
      <c r="E879" s="3" t="n">
        <v>2602.32</v>
      </c>
      <c r="F879" s="4" t="inlineStr">
        <is>
          <t>Cash</t>
        </is>
      </c>
      <c r="G879" s="3" t="n">
        <v>9.199999999999999</v>
      </c>
      <c r="H879" s="4" t="inlineStr">
        <is>
          <t>Materials</t>
        </is>
      </c>
      <c r="I879" s="4" t="inlineStr">
        <is>
          <t>Materials</t>
        </is>
      </c>
      <c r="J879" s="4" t="inlineStr">
        <is>
          <t>Chemicals</t>
        </is>
      </c>
      <c r="K879" s="4" t="n"/>
      <c r="L879" s="4" t="n"/>
      <c r="M879" s="4" t="n"/>
      <c r="N879" s="3" t="n">
        <v>1565.32</v>
      </c>
      <c r="O879" s="4" t="inlineStr">
        <is>
          <t>United States</t>
        </is>
      </c>
      <c r="P879" s="4" t="inlineStr">
        <is>
          <t>South Korea</t>
        </is>
      </c>
      <c r="Q879" s="4" t="inlineStr">
        <is>
          <t>Friendly</t>
        </is>
      </c>
      <c r="R879" s="3" t="n">
        <v>2705</v>
      </c>
      <c r="S879" s="3" t="n">
        <v>7.61553</v>
      </c>
      <c r="T879" s="4" t="inlineStr">
        <is>
          <t>Private Placement, Company Takeover, Cross Border, Private Equity, Going Private, PE Buyout</t>
        </is>
      </c>
      <c r="U879" s="2" t="inlineStr">
        <is>
          <t>No</t>
        </is>
      </c>
      <c r="V879" s="2" t="inlineStr">
        <is>
          <t>No</t>
        </is>
      </c>
      <c r="W879" s="2" t="inlineStr">
        <is>
          <t>Yes</t>
        </is>
      </c>
      <c r="X879" s="2" t="inlineStr">
        <is>
          <t>Yes</t>
        </is>
      </c>
      <c r="Y879" s="2" t="inlineStr">
        <is>
          <t>Yes</t>
        </is>
      </c>
      <c r="Z879" s="2" t="inlineStr">
        <is>
          <t>No</t>
        </is>
      </c>
      <c r="AA879" s="6" t="n">
        <v>3.415360699</v>
      </c>
      <c r="AB879" s="6" t="n">
        <v>3.432167269</v>
      </c>
      <c r="AC879" s="6" t="n">
        <v>3.194603134</v>
      </c>
      <c r="AD879">
        <f t="array" ref="AD879">IF(SUMPRODUCT(--($AM$2:$AM$112=TRIM(LEFT($B879,IFERROR(FIND(" ",$B879)-1,LEN($B879))))))&gt;0,1,0)</f>
        <v/>
      </c>
      <c r="AE879">
        <f t="array" ref="AE879">IF(SUMPRODUCT(--($AO$2:$AO$145=TRIM(LEFT($B879,IFERROR(FIND(" ",$B879)-1,LEN($B879))))))&gt;0,1,0)</f>
        <v/>
      </c>
      <c r="AF879">
        <f t="array" ref="AF879">IF(SUMPRODUCT(--($AQ$2:$AQ$71=TRIM(LEFT($B879,IFERROR(FIND(" ",$B879)-1,LEN($B879))))))&gt;0,1,0)</f>
        <v/>
      </c>
    </row>
    <row r="880" ht="165.75" customHeight="1" thickBot="1">
      <c r="A880" s="13" t="n">
        <v>66</v>
      </c>
      <c r="B880" s="4" t="inlineStr">
        <is>
          <t>2604374D US</t>
        </is>
      </c>
      <c r="C880" s="2" t="n"/>
      <c r="D880" s="7" t="n">
        <v>43500</v>
      </c>
      <c r="E880" s="3" t="n">
        <v>10365.79</v>
      </c>
      <c r="F880" s="4" t="inlineStr">
        <is>
          <t>Cash</t>
        </is>
      </c>
      <c r="G880" s="3" t="n">
        <v>79.86</v>
      </c>
      <c r="H880" s="4" t="inlineStr">
        <is>
          <t>Technology</t>
        </is>
      </c>
      <c r="I880" s="4" t="inlineStr">
        <is>
          <t>Software &amp; Tech Services</t>
        </is>
      </c>
      <c r="J880" s="4" t="inlineStr">
        <is>
          <t>Software</t>
        </is>
      </c>
      <c r="K880" s="3" t="n">
        <v>550</v>
      </c>
      <c r="L880" s="3" t="n">
        <v>110</v>
      </c>
      <c r="M880" s="4" t="n"/>
      <c r="N880" s="3" t="n">
        <v>10365.79</v>
      </c>
      <c r="O880" s="4" t="inlineStr">
        <is>
          <t>United States</t>
        </is>
      </c>
      <c r="P880" s="4" t="inlineStr">
        <is>
          <t>Singapore</t>
        </is>
      </c>
      <c r="Q880" s="4" t="inlineStr">
        <is>
          <t>Friendly</t>
        </is>
      </c>
      <c r="R880" s="3" t="n">
        <v>1140.54</v>
      </c>
      <c r="S880" s="3" t="n">
        <v>5.69063</v>
      </c>
      <c r="T880" s="4" t="inlineStr">
        <is>
          <t>PE Buyout, Company Takeover, Cross Border, Private Equity, Going Private</t>
        </is>
      </c>
      <c r="U880" s="2" t="inlineStr">
        <is>
          <t>No</t>
        </is>
      </c>
      <c r="V880" s="2" t="inlineStr">
        <is>
          <t>No</t>
        </is>
      </c>
      <c r="W880" s="2" t="inlineStr">
        <is>
          <t>Yes</t>
        </is>
      </c>
      <c r="X880" s="2" t="inlineStr">
        <is>
          <t>Yes</t>
        </is>
      </c>
      <c r="Y880" s="2" t="inlineStr">
        <is>
          <t>Yes</t>
        </is>
      </c>
      <c r="Z880" s="2" t="inlineStr">
        <is>
          <t>No</t>
        </is>
      </c>
      <c r="AA880" s="6" t="n">
        <v>4.015602406</v>
      </c>
      <c r="AB880" s="6" t="n">
        <v>3.057110521</v>
      </c>
      <c r="AC880" s="6" t="n">
        <v>4.015602406</v>
      </c>
      <c r="AD880">
        <f t="array" ref="AD880">IF(SUMPRODUCT(--($AM$2:$AM$112=TRIM(LEFT($B880,IFERROR(FIND(" ",$B880)-1,LEN($B880))))))&gt;0,1,0)</f>
        <v/>
      </c>
      <c r="AE880">
        <f t="array" ref="AE880">IF(SUMPRODUCT(--($AO$2:$AO$145=TRIM(LEFT($B880,IFERROR(FIND(" ",$B880)-1,LEN($B880))))))&gt;0,1,0)</f>
        <v/>
      </c>
      <c r="AF880">
        <f t="array" ref="AF880">IF(SUMPRODUCT(--($AQ$2:$AQ$71=TRIM(LEFT($B880,IFERROR(FIND(" ",$B880)-1,LEN($B880))))))&gt;0,1,0)</f>
        <v/>
      </c>
    </row>
    <row r="881" ht="75.75" customHeight="1" thickBot="1">
      <c r="A881" s="13" t="n">
        <v>59</v>
      </c>
      <c r="B881" s="4" t="inlineStr">
        <is>
          <t>SUM CN</t>
        </is>
      </c>
      <c r="C881" s="4" t="inlineStr">
        <is>
          <t>MS US</t>
        </is>
      </c>
      <c r="D881" s="7" t="n">
        <v>43507</v>
      </c>
      <c r="E881" s="3" t="n">
        <v>761.0599999999999</v>
      </c>
      <c r="F881" s="4" t="inlineStr">
        <is>
          <t>Cash</t>
        </is>
      </c>
      <c r="G881" s="3" t="n">
        <v>64.2</v>
      </c>
      <c r="H881" s="4" t="inlineStr">
        <is>
          <t>Financials</t>
        </is>
      </c>
      <c r="I881" s="4" t="inlineStr">
        <is>
          <t>Financial Services</t>
        </is>
      </c>
      <c r="J881" s="4" t="inlineStr">
        <is>
          <t>Specialty Finance</t>
        </is>
      </c>
      <c r="K881" s="4" t="n"/>
      <c r="L881" s="4" t="n"/>
      <c r="M881" s="3" t="n">
        <v>47.88</v>
      </c>
      <c r="N881" s="3" t="n">
        <v>825.45</v>
      </c>
      <c r="O881" s="4" t="inlineStr">
        <is>
          <t>Canada</t>
        </is>
      </c>
      <c r="P881" s="4" t="inlineStr">
        <is>
          <t>United States</t>
        </is>
      </c>
      <c r="Q881" s="4" t="inlineStr">
        <is>
          <t>Friendly</t>
        </is>
      </c>
      <c r="R881" s="3" t="n">
        <v>8.260020000000001</v>
      </c>
      <c r="S881" s="3" t="n">
        <v>70.4393</v>
      </c>
      <c r="T881" s="4" t="inlineStr">
        <is>
          <t>Company Takeover, Cross Border</t>
        </is>
      </c>
      <c r="U881" s="2" t="inlineStr">
        <is>
          <t>No</t>
        </is>
      </c>
      <c r="V881" s="2" t="inlineStr">
        <is>
          <t>No</t>
        </is>
      </c>
      <c r="W881" s="2" t="inlineStr">
        <is>
          <t>Yes</t>
        </is>
      </c>
      <c r="X881" s="2" t="inlineStr">
        <is>
          <t>No</t>
        </is>
      </c>
      <c r="Y881" s="2" t="inlineStr">
        <is>
          <t>No</t>
        </is>
      </c>
      <c r="Z881" s="2" t="inlineStr">
        <is>
          <t>No</t>
        </is>
      </c>
      <c r="AA881" s="6" t="n">
        <v>2.881418897</v>
      </c>
      <c r="AB881" s="6" t="n">
        <v>0.9169810989</v>
      </c>
      <c r="AC881" s="6" t="n">
        <v>2.916690772</v>
      </c>
      <c r="AD881">
        <f t="array" ref="AD881">IF(SUMPRODUCT(--($AM$2:$AM$112=TRIM(LEFT($B881,IFERROR(FIND(" ",$B881)-1,LEN($B881))))))&gt;0,1,0)</f>
        <v/>
      </c>
      <c r="AE881">
        <f t="array" ref="AE881">IF(SUMPRODUCT(--($AO$2:$AO$145=TRIM(LEFT($B881,IFERROR(FIND(" ",$B881)-1,LEN($B881))))))&gt;0,1,0)</f>
        <v/>
      </c>
      <c r="AF881">
        <f t="array" ref="AF881">IF(SUMPRODUCT(--($AQ$2:$AQ$71=TRIM(LEFT($B881,IFERROR(FIND(" ",$B881)-1,LEN($B881))))))&gt;0,1,0)</f>
        <v/>
      </c>
    </row>
    <row r="882" ht="180.75" customHeight="1" thickBot="1">
      <c r="A882" s="13" t="n">
        <v>54</v>
      </c>
      <c r="B882" s="4" t="inlineStr">
        <is>
          <t>COTY US</t>
        </is>
      </c>
      <c r="C882" s="4" t="inlineStr">
        <is>
          <t>1074556D LX</t>
        </is>
      </c>
      <c r="D882" s="7" t="n">
        <v>43508</v>
      </c>
      <c r="E882" s="3" t="n">
        <v>9149.530000000001</v>
      </c>
      <c r="F882" s="4" t="inlineStr">
        <is>
          <t>Cash</t>
        </is>
      </c>
      <c r="G882" s="4" t="n"/>
      <c r="H882" s="4" t="inlineStr">
        <is>
          <t>Consumer Staples</t>
        </is>
      </c>
      <c r="I882" s="4" t="inlineStr">
        <is>
          <t>Consumer Staple Products</t>
        </is>
      </c>
      <c r="J882" s="4" t="inlineStr">
        <is>
          <t>Household Products</t>
        </is>
      </c>
      <c r="K882" s="4" t="n"/>
      <c r="L882" s="4" t="n"/>
      <c r="M882" s="3" t="n">
        <v>55.46</v>
      </c>
      <c r="N882" s="3" t="n">
        <v>1750.43</v>
      </c>
      <c r="O882" s="4" t="inlineStr">
        <is>
          <t>United States</t>
        </is>
      </c>
      <c r="P882" s="4" t="inlineStr">
        <is>
          <t>Austria</t>
        </is>
      </c>
      <c r="Q882" s="4" t="inlineStr">
        <is>
          <t>Friendly</t>
        </is>
      </c>
      <c r="R882" s="3" t="n">
        <v>5892.9</v>
      </c>
      <c r="S882" s="3" t="n">
        <v>-0.402432</v>
      </c>
      <c r="T882" s="4" t="inlineStr">
        <is>
          <t>Cross Border, Private Equity, Majority purchase, Additional Stake Purchase, Tender Offer</t>
        </is>
      </c>
      <c r="U882" s="2" t="inlineStr">
        <is>
          <t>Yes</t>
        </is>
      </c>
      <c r="V882" s="2" t="inlineStr">
        <is>
          <t>No</t>
        </is>
      </c>
      <c r="W882" s="2" t="inlineStr">
        <is>
          <t>Yes</t>
        </is>
      </c>
      <c r="X882" s="2" t="inlineStr">
        <is>
          <t>No</t>
        </is>
      </c>
      <c r="Y882" s="2" t="inlineStr">
        <is>
          <t>No</t>
        </is>
      </c>
      <c r="Z882" s="2" t="inlineStr">
        <is>
          <t>Yes</t>
        </is>
      </c>
      <c r="AA882" s="6" t="n">
        <v>3.961398785</v>
      </c>
      <c r="AB882" s="6" t="n">
        <v>3.770329071</v>
      </c>
      <c r="AC882" s="6" t="n">
        <v>3.243144748</v>
      </c>
      <c r="AD882">
        <f t="array" ref="AD882">IF(SUMPRODUCT(--($AM$2:$AM$112=TRIM(LEFT($B882,IFERROR(FIND(" ",$B882)-1,LEN($B882))))))&gt;0,1,0)</f>
        <v/>
      </c>
      <c r="AE882">
        <f t="array" ref="AE882">IF(SUMPRODUCT(--($AO$2:$AO$145=TRIM(LEFT($B882,IFERROR(FIND(" ",$B882)-1,LEN($B882))))))&gt;0,1,0)</f>
        <v/>
      </c>
      <c r="AF882">
        <f t="array" ref="AF882">IF(SUMPRODUCT(--($AQ$2:$AQ$71=TRIM(LEFT($B882,IFERROR(FIND(" ",$B882)-1,LEN($B882))))))&gt;0,1,0)</f>
        <v/>
      </c>
    </row>
    <row r="883" ht="105.75" customHeight="1" thickBot="1">
      <c r="A883" s="13" t="n">
        <v>228</v>
      </c>
      <c r="B883" s="4" t="inlineStr">
        <is>
          <t>2390302D US</t>
        </is>
      </c>
      <c r="C883" s="4" t="inlineStr">
        <is>
          <t>7685199Z GR</t>
        </is>
      </c>
      <c r="D883" s="7" t="n">
        <v>43262</v>
      </c>
      <c r="E883" s="3" t="n">
        <v>6796.89</v>
      </c>
      <c r="F883" s="4" t="inlineStr">
        <is>
          <t>Cash</t>
        </is>
      </c>
      <c r="G883" s="3" t="n">
        <v>15.28</v>
      </c>
      <c r="H883" s="4" t="inlineStr">
        <is>
          <t>Materials</t>
        </is>
      </c>
      <c r="I883" s="4" t="inlineStr">
        <is>
          <t>Materials</t>
        </is>
      </c>
      <c r="J883" s="4" t="inlineStr">
        <is>
          <t>Construction Materials</t>
        </is>
      </c>
      <c r="K883" s="4" t="n"/>
      <c r="L883" s="3" t="n">
        <v>215</v>
      </c>
      <c r="M883" s="4" t="n"/>
      <c r="N883" s="3" t="n">
        <v>6074.89</v>
      </c>
      <c r="O883" s="4" t="inlineStr">
        <is>
          <t>United States</t>
        </is>
      </c>
      <c r="P883" s="4" t="inlineStr">
        <is>
          <t>Germany</t>
        </is>
      </c>
      <c r="Q883" s="4" t="inlineStr">
        <is>
          <t>Friendly</t>
        </is>
      </c>
      <c r="R883" s="3" t="n">
        <v>3336</v>
      </c>
      <c r="S883" s="3" t="n">
        <v>6.80456</v>
      </c>
      <c r="T883" s="4" t="inlineStr">
        <is>
          <t>Company Takeover, Cross Border, Going Private</t>
        </is>
      </c>
      <c r="U883" s="2" t="inlineStr">
        <is>
          <t>No</t>
        </is>
      </c>
      <c r="V883" s="2" t="inlineStr">
        <is>
          <t>No</t>
        </is>
      </c>
      <c r="W883" s="2" t="inlineStr">
        <is>
          <t>Yes</t>
        </is>
      </c>
      <c r="X883" s="2" t="inlineStr">
        <is>
          <t>Yes</t>
        </is>
      </c>
      <c r="Y883" s="2" t="inlineStr">
        <is>
          <t>No</t>
        </is>
      </c>
      <c r="Z883" s="2" t="inlineStr">
        <is>
          <t>No</t>
        </is>
      </c>
      <c r="AA883" s="6" t="n">
        <v>3.832310241</v>
      </c>
      <c r="AB883" s="6" t="n">
        <v>3.523226042</v>
      </c>
      <c r="AC883" s="6" t="n">
        <v>3.783538418</v>
      </c>
      <c r="AD883">
        <f t="array" ref="AD883">IF(SUMPRODUCT(--($AM$2:$AM$112=TRIM(LEFT($B883,IFERROR(FIND(" ",$B883)-1,LEN($B883))))))&gt;0,1,0)</f>
        <v/>
      </c>
      <c r="AE883">
        <f t="array" ref="AE883">IF(SUMPRODUCT(--($AO$2:$AO$145=TRIM(LEFT($B883,IFERROR(FIND(" ",$B883)-1,LEN($B883))))))&gt;0,1,0)</f>
        <v/>
      </c>
      <c r="AF883">
        <f t="array" ref="AF883">IF(SUMPRODUCT(--($AQ$2:$AQ$71=TRIM(LEFT($B883,IFERROR(FIND(" ",$B883)-1,LEN($B883))))))&gt;0,1,0)</f>
        <v/>
      </c>
    </row>
    <row r="884" ht="75.75" customHeight="1" thickBot="1">
      <c r="A884" s="13" t="n">
        <v>72</v>
      </c>
      <c r="B884" s="4" t="inlineStr">
        <is>
          <t>1861468D CN</t>
        </is>
      </c>
      <c r="C884" s="4" t="inlineStr">
        <is>
          <t>NEM US</t>
        </is>
      </c>
      <c r="D884" s="7" t="n">
        <v>43479</v>
      </c>
      <c r="E884" s="3" t="n">
        <v>12290.19</v>
      </c>
      <c r="F884" s="4" t="inlineStr">
        <is>
          <t>Cash and Stock</t>
        </is>
      </c>
      <c r="G884" s="4" t="n"/>
      <c r="H884" s="4" t="inlineStr">
        <is>
          <t>Materials</t>
        </is>
      </c>
      <c r="I884" s="4" t="inlineStr">
        <is>
          <t>Materials</t>
        </is>
      </c>
      <c r="J884" s="4" t="inlineStr">
        <is>
          <t>Metals &amp; Mining</t>
        </is>
      </c>
      <c r="K884" s="3" t="n">
        <v>350</v>
      </c>
      <c r="L884" s="3" t="n">
        <v>650</v>
      </c>
      <c r="M884" s="3" t="n">
        <v>12.51</v>
      </c>
      <c r="N884" s="3" t="n">
        <v>9487.190000000001</v>
      </c>
      <c r="O884" s="4" t="inlineStr">
        <is>
          <t>Canada</t>
        </is>
      </c>
      <c r="P884" s="4" t="inlineStr">
        <is>
          <t>United States</t>
        </is>
      </c>
      <c r="Q884" s="4" t="inlineStr">
        <is>
          <t>Friendly</t>
        </is>
      </c>
      <c r="R884" s="3" t="n">
        <v>11812</v>
      </c>
      <c r="S884" s="3" t="n">
        <v>-154.65</v>
      </c>
      <c r="T884" s="4" t="inlineStr">
        <is>
          <t>Company Takeover, Cross Border</t>
        </is>
      </c>
      <c r="U884" s="2" t="inlineStr">
        <is>
          <t>No</t>
        </is>
      </c>
      <c r="V884" s="2" t="inlineStr">
        <is>
          <t>No</t>
        </is>
      </c>
      <c r="W884" s="2" t="inlineStr">
        <is>
          <t>Yes</t>
        </is>
      </c>
      <c r="X884" s="2" t="inlineStr">
        <is>
          <t>No</t>
        </is>
      </c>
      <c r="Y884" s="2" t="inlineStr">
        <is>
          <t>No</t>
        </is>
      </c>
      <c r="Z884" s="2" t="inlineStr">
        <is>
          <t>No</t>
        </is>
      </c>
      <c r="AA884" s="6" t="n">
        <v>4.089558597</v>
      </c>
      <c r="AB884" s="6" t="n">
        <v>4.072323438</v>
      </c>
      <c r="AC884" s="6" t="n">
        <v>3.977137598</v>
      </c>
      <c r="AD884">
        <f t="array" ref="AD884">IF(SUMPRODUCT(--($AM$2:$AM$112=TRIM(LEFT($B884,IFERROR(FIND(" ",$B884)-1,LEN($B884))))))&gt;0,1,0)</f>
        <v/>
      </c>
      <c r="AE884">
        <f t="array" ref="AE884">IF(SUMPRODUCT(--($AO$2:$AO$145=TRIM(LEFT($B884,IFERROR(FIND(" ",$B884)-1,LEN($B884))))))&gt;0,1,0)</f>
        <v/>
      </c>
      <c r="AF884">
        <f t="array" ref="AF884">IF(SUMPRODUCT(--($AQ$2:$AQ$71=TRIM(LEFT($B884,IFERROR(FIND(" ",$B884)-1,LEN($B884))))))&gt;0,1,0)</f>
        <v/>
      </c>
    </row>
    <row r="885" ht="75.75" customHeight="1" thickBot="1">
      <c r="A885" s="13" t="n">
        <v>39</v>
      </c>
      <c r="B885" s="4" t="inlineStr">
        <is>
          <t>CMTA US</t>
        </is>
      </c>
      <c r="C885" s="4" t="inlineStr">
        <is>
          <t>IPN FP</t>
        </is>
      </c>
      <c r="D885" s="7" t="n">
        <v>43521</v>
      </c>
      <c r="E885" s="3" t="n">
        <v>863.26</v>
      </c>
      <c r="F885" s="4" t="inlineStr">
        <is>
          <t>Cash</t>
        </is>
      </c>
      <c r="G885" s="4" t="n"/>
      <c r="H885" s="4" t="inlineStr">
        <is>
          <t>Health Care</t>
        </is>
      </c>
      <c r="I885" s="4" t="inlineStr">
        <is>
          <t>Health Care</t>
        </is>
      </c>
      <c r="J885" s="4" t="inlineStr">
        <is>
          <t>Biotech &amp; Pharma</t>
        </is>
      </c>
      <c r="K885" s="4" t="n"/>
      <c r="L885" s="4" t="n"/>
      <c r="M885" s="3" t="n">
        <v>79.20999999999999</v>
      </c>
      <c r="N885" s="3" t="n">
        <v>945.3099999999999</v>
      </c>
      <c r="O885" s="4" t="inlineStr">
        <is>
          <t>Canada</t>
        </is>
      </c>
      <c r="P885" s="4" t="inlineStr">
        <is>
          <t>France</t>
        </is>
      </c>
      <c r="Q885" s="4" t="inlineStr">
        <is>
          <t>Friendly</t>
        </is>
      </c>
      <c r="R885" s="2" t="n"/>
      <c r="S885" s="2" t="n"/>
      <c r="T885" s="4" t="inlineStr">
        <is>
          <t>Company Takeover, Cross Border</t>
        </is>
      </c>
      <c r="U885" s="2" t="inlineStr">
        <is>
          <t>No</t>
        </is>
      </c>
      <c r="V885" s="2" t="inlineStr">
        <is>
          <t>No</t>
        </is>
      </c>
      <c r="W885" s="2" t="inlineStr">
        <is>
          <t>Yes</t>
        </is>
      </c>
      <c r="X885" s="2" t="inlineStr">
        <is>
          <t>No</t>
        </is>
      </c>
      <c r="Y885" s="2" t="inlineStr">
        <is>
          <t>No</t>
        </is>
      </c>
      <c r="Z885" s="2" t="inlineStr">
        <is>
          <t>No</t>
        </is>
      </c>
      <c r="AA885" s="6" t="n">
        <v>2.936141618</v>
      </c>
      <c r="AB885" s="2" t="n"/>
      <c r="AC885" s="6" t="n">
        <v>2.975574252</v>
      </c>
      <c r="AD885">
        <f t="array" ref="AD885">IF(SUMPRODUCT(--($AM$2:$AM$112=TRIM(LEFT($B885,IFERROR(FIND(" ",$B885)-1,LEN($B885))))))&gt;0,1,0)</f>
        <v/>
      </c>
      <c r="AE885">
        <f t="array" ref="AE885">IF(SUMPRODUCT(--($AO$2:$AO$145=TRIM(LEFT($B885,IFERROR(FIND(" ",$B885)-1,LEN($B885))))))&gt;0,1,0)</f>
        <v/>
      </c>
      <c r="AF885">
        <f t="array" ref="AF885">IF(SUMPRODUCT(--($AQ$2:$AQ$71=TRIM(LEFT($B885,IFERROR(FIND(" ",$B885)-1,LEN($B885))))))&gt;0,1,0)</f>
        <v/>
      </c>
    </row>
    <row r="886" ht="120.75" customHeight="1" thickBot="1">
      <c r="A886" s="13" t="n">
        <v>98</v>
      </c>
      <c r="B886" s="4" t="inlineStr">
        <is>
          <t>AGTF CN</t>
        </is>
      </c>
      <c r="C886" s="2" t="n"/>
      <c r="D886" s="7" t="n">
        <v>43438</v>
      </c>
      <c r="E886" s="3" t="n">
        <v>659.51</v>
      </c>
      <c r="F886" s="4" t="inlineStr">
        <is>
          <t>Cash</t>
        </is>
      </c>
      <c r="G886" s="3" t="n">
        <v>22.19</v>
      </c>
      <c r="H886" s="4" t="inlineStr">
        <is>
          <t>Consumer Staples</t>
        </is>
      </c>
      <c r="I886" s="4" t="inlineStr">
        <is>
          <t>Consumer Staple Products</t>
        </is>
      </c>
      <c r="J886" s="4" t="inlineStr">
        <is>
          <t>Food</t>
        </is>
      </c>
      <c r="K886" s="4" t="n"/>
      <c r="L886" s="3" t="n">
        <v>11.5</v>
      </c>
      <c r="M886" s="3" t="n">
        <v>9.32</v>
      </c>
      <c r="N886" s="3" t="n">
        <v>273.63</v>
      </c>
      <c r="O886" s="4" t="inlineStr">
        <is>
          <t>Canada</t>
        </is>
      </c>
      <c r="P886" s="4" t="inlineStr">
        <is>
          <t>Canada</t>
        </is>
      </c>
      <c r="Q886" s="4" t="inlineStr">
        <is>
          <t>Friendly</t>
        </is>
      </c>
      <c r="R886" s="3" t="n">
        <v>2120.65</v>
      </c>
      <c r="S886" s="2" t="n"/>
      <c r="T886" s="4" t="inlineStr">
        <is>
          <t>Company Takeover, Going Private, Management Buyout</t>
        </is>
      </c>
      <c r="U886" s="2" t="inlineStr">
        <is>
          <t>No</t>
        </is>
      </c>
      <c r="V886" s="2" t="inlineStr">
        <is>
          <t>No</t>
        </is>
      </c>
      <c r="W886" s="2" t="inlineStr">
        <is>
          <t>No</t>
        </is>
      </c>
      <c r="X886" s="2" t="inlineStr">
        <is>
          <t>Yes</t>
        </is>
      </c>
      <c r="Y886" s="2" t="inlineStr">
        <is>
          <t>No</t>
        </is>
      </c>
      <c r="Z886" s="2" t="inlineStr">
        <is>
          <t>No</t>
        </is>
      </c>
      <c r="AA886" s="6" t="n">
        <v>2.819221385</v>
      </c>
      <c r="AB886" s="6" t="n">
        <v>3.326468997</v>
      </c>
      <c r="AC886" s="6" t="n">
        <v>2.43716371</v>
      </c>
      <c r="AD886">
        <f t="array" ref="AD886">IF(SUMPRODUCT(--($AM$2:$AM$112=TRIM(LEFT($B886,IFERROR(FIND(" ",$B886)-1,LEN($B886))))))&gt;0,1,0)</f>
        <v/>
      </c>
      <c r="AE886">
        <f t="array" ref="AE886">IF(SUMPRODUCT(--($AO$2:$AO$145=TRIM(LEFT($B886,IFERROR(FIND(" ",$B886)-1,LEN($B886))))))&gt;0,1,0)</f>
        <v/>
      </c>
      <c r="AF886">
        <f t="array" ref="AF886">IF(SUMPRODUCT(--($AQ$2:$AQ$71=TRIM(LEFT($B886,IFERROR(FIND(" ",$B886)-1,LEN($B886))))))&gt;0,1,0)</f>
        <v/>
      </c>
    </row>
    <row r="887" ht="105.75" customHeight="1" thickBot="1">
      <c r="A887" s="13" t="n">
        <v>28</v>
      </c>
      <c r="B887" s="4" t="inlineStr">
        <is>
          <t>OSIR US</t>
        </is>
      </c>
      <c r="C887" s="4" t="inlineStr">
        <is>
          <t>SN/ LN</t>
        </is>
      </c>
      <c r="D887" s="7" t="n">
        <v>43536</v>
      </c>
      <c r="E887" s="3" t="n">
        <v>615.63</v>
      </c>
      <c r="F887" s="4" t="inlineStr">
        <is>
          <t>Cash</t>
        </is>
      </c>
      <c r="G887" s="3" t="n">
        <v>57.4</v>
      </c>
      <c r="H887" s="4" t="inlineStr">
        <is>
          <t>Health Care</t>
        </is>
      </c>
      <c r="I887" s="4" t="inlineStr">
        <is>
          <t>Health Care</t>
        </is>
      </c>
      <c r="J887" s="4" t="inlineStr">
        <is>
          <t>Biotech &amp; Pharma</t>
        </is>
      </c>
      <c r="K887" s="4" t="n"/>
      <c r="L887" s="3" t="n">
        <v>18.6825</v>
      </c>
      <c r="M887" s="3" t="n">
        <v>12.77</v>
      </c>
      <c r="N887" s="3" t="n">
        <v>655.99</v>
      </c>
      <c r="O887" s="4" t="inlineStr">
        <is>
          <t>United States</t>
        </is>
      </c>
      <c r="P887" s="4" t="inlineStr">
        <is>
          <t>United Kingdom</t>
        </is>
      </c>
      <c r="Q887" s="4" t="inlineStr">
        <is>
          <t>Friendly</t>
        </is>
      </c>
      <c r="R887" s="3" t="n">
        <v>142.824</v>
      </c>
      <c r="S887" s="3" t="n">
        <v>6.8987</v>
      </c>
      <c r="T887" s="4" t="inlineStr">
        <is>
          <t>Company Takeover, Cross Border, Tender Offer</t>
        </is>
      </c>
      <c r="U887" s="2" t="inlineStr">
        <is>
          <t>No</t>
        </is>
      </c>
      <c r="V887" s="2" t="inlineStr">
        <is>
          <t>No</t>
        </is>
      </c>
      <c r="W887" s="2" t="inlineStr">
        <is>
          <t>Yes</t>
        </is>
      </c>
      <c r="X887" s="2" t="inlineStr">
        <is>
          <t>No</t>
        </is>
      </c>
      <c r="Y887" s="2" t="inlineStr">
        <is>
          <t>No</t>
        </is>
      </c>
      <c r="Z887" s="2" t="inlineStr">
        <is>
          <t>Yes</t>
        </is>
      </c>
      <c r="AA887" s="6" t="n">
        <v>2.789319775</v>
      </c>
      <c r="AB887" s="6" t="n">
        <v>2.154801192</v>
      </c>
      <c r="AC887" s="6" t="n">
        <v>2.816897219</v>
      </c>
      <c r="AD887">
        <f t="array" ref="AD887">IF(SUMPRODUCT(--($AM$2:$AM$112=TRIM(LEFT($B887,IFERROR(FIND(" ",$B887)-1,LEN($B887))))))&gt;0,1,0)</f>
        <v/>
      </c>
      <c r="AE887">
        <f t="array" ref="AE887">IF(SUMPRODUCT(--($AO$2:$AO$145=TRIM(LEFT($B887,IFERROR(FIND(" ",$B887)-1,LEN($B887))))))&gt;0,1,0)</f>
        <v/>
      </c>
      <c r="AF887">
        <f t="array" ref="AF887">IF(SUMPRODUCT(--($AQ$2:$AQ$71=TRIM(LEFT($B887,IFERROR(FIND(" ",$B887)-1,LEN($B887))))))&gt;0,1,0)</f>
        <v/>
      </c>
    </row>
    <row r="888" ht="45.75" customHeight="1" thickBot="1">
      <c r="A888" s="13" t="n">
        <v>134</v>
      </c>
      <c r="B888" s="4" t="inlineStr">
        <is>
          <t>RDC US</t>
        </is>
      </c>
      <c r="C888" s="4" t="inlineStr">
        <is>
          <t>VALPQ US</t>
        </is>
      </c>
      <c r="D888" s="7" t="n">
        <v>43381</v>
      </c>
      <c r="E888" s="3" t="n">
        <v>2855.93</v>
      </c>
      <c r="F888" s="4" t="inlineStr">
        <is>
          <t>Stock</t>
        </is>
      </c>
      <c r="G888" s="3" t="n">
        <v>9.800000000000001</v>
      </c>
      <c r="H888" s="4" t="inlineStr">
        <is>
          <t>Energy</t>
        </is>
      </c>
      <c r="I888" s="4" t="inlineStr">
        <is>
          <t>Oil &amp; Gas</t>
        </is>
      </c>
      <c r="J888" s="4" t="inlineStr">
        <is>
          <t>Oil &amp; Gas Services &amp; Equip</t>
        </is>
      </c>
      <c r="K888" s="4" t="n"/>
      <c r="L888" s="4" t="n"/>
      <c r="M888" s="3" t="n">
        <v>-32.29</v>
      </c>
      <c r="N888" s="3" t="n">
        <v>1509.23</v>
      </c>
      <c r="O888" s="4" t="inlineStr">
        <is>
          <t>United States</t>
        </is>
      </c>
      <c r="P888" s="4" t="inlineStr">
        <is>
          <t>United States</t>
        </is>
      </c>
      <c r="Q888" s="4" t="inlineStr">
        <is>
          <t>Friendly</t>
        </is>
      </c>
      <c r="R888" s="2" t="n"/>
      <c r="S888" s="3" t="n">
        <v>-36.1421</v>
      </c>
      <c r="T888" s="4" t="inlineStr">
        <is>
          <t>Company Takeover</t>
        </is>
      </c>
      <c r="U888" s="2" t="inlineStr">
        <is>
          <t>No</t>
        </is>
      </c>
      <c r="V888" s="2" t="inlineStr">
        <is>
          <t>No</t>
        </is>
      </c>
      <c r="W888" s="2" t="inlineStr">
        <is>
          <t>No</t>
        </is>
      </c>
      <c r="X888" s="2" t="inlineStr">
        <is>
          <t>No</t>
        </is>
      </c>
      <c r="Y888" s="2" t="inlineStr">
        <is>
          <t>No</t>
        </is>
      </c>
      <c r="Z888" s="2" t="inlineStr">
        <is>
          <t>No</t>
        </is>
      </c>
      <c r="AA888" s="6" t="n">
        <v>3.455747559</v>
      </c>
      <c r="AB888" s="2" t="n"/>
      <c r="AC888" s="6" t="n">
        <v>3.178755429</v>
      </c>
      <c r="AD888">
        <f t="array" ref="AD888">IF(SUMPRODUCT(--($AM$2:$AM$112=TRIM(LEFT($B888,IFERROR(FIND(" ",$B888)-1,LEN($B888))))))&gt;0,1,0)</f>
        <v/>
      </c>
      <c r="AE888">
        <f t="array" ref="AE888">IF(SUMPRODUCT(--($AO$2:$AO$145=TRIM(LEFT($B888,IFERROR(FIND(" ",$B888)-1,LEN($B888))))))&gt;0,1,0)</f>
        <v/>
      </c>
      <c r="AF888">
        <f t="array" ref="AF888">IF(SUMPRODUCT(--($AQ$2:$AQ$71=TRIM(LEFT($B888,IFERROR(FIND(" ",$B888)-1,LEN($B888))))))&gt;0,1,0)</f>
        <v/>
      </c>
    </row>
    <row r="889" ht="75.75" customHeight="1" thickBot="1">
      <c r="A889" s="13" t="n">
        <v>107</v>
      </c>
      <c r="B889" s="4" t="inlineStr">
        <is>
          <t>ARRS US</t>
        </is>
      </c>
      <c r="C889" s="4" t="inlineStr">
        <is>
          <t>VISN US</t>
        </is>
      </c>
      <c r="D889" s="7" t="n">
        <v>43412</v>
      </c>
      <c r="E889" s="3" t="n">
        <v>7335.45</v>
      </c>
      <c r="F889" s="4" t="inlineStr">
        <is>
          <t>Cash</t>
        </is>
      </c>
      <c r="G889" s="3" t="n">
        <v>12.44</v>
      </c>
      <c r="H889" s="4" t="inlineStr">
        <is>
          <t>Technology</t>
        </is>
      </c>
      <c r="I889" s="4" t="inlineStr">
        <is>
          <t>Tech Hardware &amp; Semiconductors</t>
        </is>
      </c>
      <c r="J889" s="4" t="inlineStr">
        <is>
          <t>Technology Hardware</t>
        </is>
      </c>
      <c r="K889" s="3" t="n">
        <v>250</v>
      </c>
      <c r="L889" s="3" t="n">
        <v>58</v>
      </c>
      <c r="M889" s="3" t="n">
        <v>32.09</v>
      </c>
      <c r="N889" s="3" t="n">
        <v>5725.5</v>
      </c>
      <c r="O889" s="4" t="inlineStr">
        <is>
          <t>United States</t>
        </is>
      </c>
      <c r="P889" s="4" t="inlineStr">
        <is>
          <t>United States</t>
        </is>
      </c>
      <c r="Q889" s="4" t="inlineStr">
        <is>
          <t>Friendly</t>
        </is>
      </c>
      <c r="R889" s="3" t="n">
        <v>4205.8</v>
      </c>
      <c r="S889" s="3" t="n">
        <v>2.65306</v>
      </c>
      <c r="T889" s="4" t="inlineStr">
        <is>
          <t>Company Takeover</t>
        </is>
      </c>
      <c r="U889" s="2" t="inlineStr">
        <is>
          <t>No</t>
        </is>
      </c>
      <c r="V889" s="2" t="inlineStr">
        <is>
          <t>No</t>
        </is>
      </c>
      <c r="W889" s="2" t="inlineStr">
        <is>
          <t>No</t>
        </is>
      </c>
      <c r="X889" s="2" t="inlineStr">
        <is>
          <t>No</t>
        </is>
      </c>
      <c r="Y889" s="2" t="inlineStr">
        <is>
          <t>No</t>
        </is>
      </c>
      <c r="Z889" s="2" t="inlineStr">
        <is>
          <t>No</t>
        </is>
      </c>
      <c r="AA889" s="6" t="n">
        <v>3.865426761</v>
      </c>
      <c r="AB889" s="6" t="n">
        <v>3.623848617</v>
      </c>
      <c r="AC889" s="6" t="n">
        <v>3.757813419</v>
      </c>
      <c r="AD889">
        <f t="array" ref="AD889">IF(SUMPRODUCT(--($AM$2:$AM$112=TRIM(LEFT($B889,IFERROR(FIND(" ",$B889)-1,LEN($B889))))))&gt;0,1,0)</f>
        <v/>
      </c>
      <c r="AE889">
        <f t="array" ref="AE889">IF(SUMPRODUCT(--($AO$2:$AO$145=TRIM(LEFT($B889,IFERROR(FIND(" ",$B889)-1,LEN($B889))))))&gt;0,1,0)</f>
        <v/>
      </c>
      <c r="AF889">
        <f t="array" ref="AF889">IF(SUMPRODUCT(--($AQ$2:$AQ$71=TRIM(LEFT($B889,IFERROR(FIND(" ",$B889)-1,LEN($B889))))))&gt;0,1,0)</f>
        <v/>
      </c>
    </row>
    <row r="890" ht="75.75" customHeight="1" thickBot="1">
      <c r="A890" s="13" t="n">
        <v>146</v>
      </c>
      <c r="B890" s="4" t="inlineStr">
        <is>
          <t>IDTI US</t>
        </is>
      </c>
      <c r="C890" s="4" t="inlineStr">
        <is>
          <t>6723 JP</t>
        </is>
      </c>
      <c r="D890" s="7" t="n">
        <v>43353</v>
      </c>
      <c r="E890" s="3" t="n">
        <v>6516.46</v>
      </c>
      <c r="F890" s="4" t="inlineStr">
        <is>
          <t>Cash</t>
        </is>
      </c>
      <c r="G890" s="3" t="n">
        <v>31.53</v>
      </c>
      <c r="H890" s="4" t="inlineStr">
        <is>
          <t>Technology</t>
        </is>
      </c>
      <c r="I890" s="4" t="inlineStr">
        <is>
          <t>Tech Hardware &amp; Semiconductors</t>
        </is>
      </c>
      <c r="J890" s="4" t="inlineStr">
        <is>
          <t>Semiconductors</t>
        </is>
      </c>
      <c r="K890" s="3" t="n">
        <v>166.4</v>
      </c>
      <c r="L890" s="3" t="n">
        <v>166.4</v>
      </c>
      <c r="M890" s="3" t="n">
        <v>27.55</v>
      </c>
      <c r="N890" s="3" t="n">
        <v>6366.77</v>
      </c>
      <c r="O890" s="4" t="inlineStr">
        <is>
          <t>United States</t>
        </is>
      </c>
      <c r="P890" s="4" t="inlineStr">
        <is>
          <t>Japan</t>
        </is>
      </c>
      <c r="Q890" s="4" t="inlineStr">
        <is>
          <t>Friendly</t>
        </is>
      </c>
      <c r="R890" s="3" t="n">
        <v>842.764</v>
      </c>
      <c r="S890" s="3" t="n">
        <v>15.1513</v>
      </c>
      <c r="T890" s="4" t="inlineStr">
        <is>
          <t>Company Takeover, Cross Border</t>
        </is>
      </c>
      <c r="U890" s="2" t="inlineStr">
        <is>
          <t>No</t>
        </is>
      </c>
      <c r="V890" s="2" t="inlineStr">
        <is>
          <t>No</t>
        </is>
      </c>
      <c r="W890" s="2" t="inlineStr">
        <is>
          <t>Yes</t>
        </is>
      </c>
      <c r="X890" s="2" t="inlineStr">
        <is>
          <t>No</t>
        </is>
      </c>
      <c r="Y890" s="2" t="inlineStr">
        <is>
          <t>No</t>
        </is>
      </c>
      <c r="Z890" s="2" t="inlineStr">
        <is>
          <t>No</t>
        </is>
      </c>
      <c r="AA890" s="6" t="n">
        <v>3.814011734</v>
      </c>
      <c r="AB890" s="6" t="n">
        <v>2.925705976</v>
      </c>
      <c r="AC890" s="6" t="n">
        <v>3.803919161</v>
      </c>
      <c r="AD890">
        <f t="array" ref="AD890">IF(SUMPRODUCT(--($AM$2:$AM$112=TRIM(LEFT($B890,IFERROR(FIND(" ",$B890)-1,LEN($B890))))))&gt;0,1,0)</f>
        <v/>
      </c>
      <c r="AE890">
        <f t="array" ref="AE890">IF(SUMPRODUCT(--($AO$2:$AO$145=TRIM(LEFT($B890,IFERROR(FIND(" ",$B890)-1,LEN($B890))))))&gt;0,1,0)</f>
        <v/>
      </c>
      <c r="AF890">
        <f t="array" ref="AF890">IF(SUMPRODUCT(--($AQ$2:$AQ$71=TRIM(LEFT($B890,IFERROR(FIND(" ",$B890)-1,LEN($B890))))))&gt;0,1,0)</f>
        <v/>
      </c>
    </row>
    <row r="891" ht="45.75" customHeight="1" thickBot="1">
      <c r="A891" s="13" t="n">
        <v>91</v>
      </c>
      <c r="B891" s="4" t="inlineStr">
        <is>
          <t>NCOM US</t>
        </is>
      </c>
      <c r="C891" s="4" t="inlineStr">
        <is>
          <t>CSFL US</t>
        </is>
      </c>
      <c r="D891" s="7" t="n">
        <v>43430</v>
      </c>
      <c r="E891" s="3" t="n">
        <v>835.91</v>
      </c>
      <c r="F891" s="4" t="inlineStr">
        <is>
          <t>Stock</t>
        </is>
      </c>
      <c r="G891" s="4" t="n"/>
      <c r="H891" s="4" t="inlineStr">
        <is>
          <t>Financials</t>
        </is>
      </c>
      <c r="I891" s="4" t="inlineStr">
        <is>
          <t>Banking</t>
        </is>
      </c>
      <c r="J891" s="4" t="inlineStr">
        <is>
          <t>Banking</t>
        </is>
      </c>
      <c r="K891" s="3" t="n">
        <v>31.8</v>
      </c>
      <c r="L891" s="3" t="n">
        <v>31.8</v>
      </c>
      <c r="M891" s="3" t="n">
        <v>8.050000000000001</v>
      </c>
      <c r="N891" s="3" t="n">
        <v>835.91</v>
      </c>
      <c r="O891" s="4" t="inlineStr">
        <is>
          <t>United States</t>
        </is>
      </c>
      <c r="P891" s="4" t="inlineStr">
        <is>
          <t>United States</t>
        </is>
      </c>
      <c r="Q891" s="4" t="inlineStr">
        <is>
          <t>Friendly</t>
        </is>
      </c>
      <c r="R891" s="3" t="n">
        <v>190.939</v>
      </c>
      <c r="S891" s="3" t="n">
        <v>33.9879</v>
      </c>
      <c r="T891" s="4" t="inlineStr">
        <is>
          <t>Company Takeover</t>
        </is>
      </c>
      <c r="U891" s="2" t="inlineStr">
        <is>
          <t>No</t>
        </is>
      </c>
      <c r="V891" s="2" t="inlineStr">
        <is>
          <t>No</t>
        </is>
      </c>
      <c r="W891" s="2" t="inlineStr">
        <is>
          <t>No</t>
        </is>
      </c>
      <c r="X891" s="2" t="inlineStr">
        <is>
          <t>No</t>
        </is>
      </c>
      <c r="Y891" s="2" t="inlineStr">
        <is>
          <t>No</t>
        </is>
      </c>
      <c r="Z891" s="2" t="inlineStr">
        <is>
          <t>No</t>
        </is>
      </c>
      <c r="AA891" s="6" t="n">
        <v>2.922159521</v>
      </c>
      <c r="AB891" s="6" t="n">
        <v>2.280894644</v>
      </c>
      <c r="AC891" s="6" t="n">
        <v>2.922159521</v>
      </c>
      <c r="AD891">
        <f t="array" ref="AD891">IF(SUMPRODUCT(--($AM$2:$AM$112=TRIM(LEFT($B891,IFERROR(FIND(" ",$B891)-1,LEN($B891))))))&gt;0,1,0)</f>
        <v/>
      </c>
      <c r="AE891">
        <f t="array" ref="AE891">IF(SUMPRODUCT(--($AO$2:$AO$145=TRIM(LEFT($B891,IFERROR(FIND(" ",$B891)-1,LEN($B891))))))&gt;0,1,0)</f>
        <v/>
      </c>
      <c r="AF891">
        <f t="array" ref="AF891">IF(SUMPRODUCT(--($AQ$2:$AQ$71=TRIM(LEFT($B891,IFERROR(FIND(" ",$B891)-1,LEN($B891))))))&gt;0,1,0)</f>
        <v/>
      </c>
    </row>
    <row r="892" ht="45.75" customHeight="1" thickBot="1">
      <c r="A892" s="13" t="n">
        <v>138</v>
      </c>
      <c r="B892" s="4" t="inlineStr">
        <is>
          <t>BHBK US</t>
        </is>
      </c>
      <c r="C892" s="4" t="inlineStr">
        <is>
          <t>INDB US</t>
        </is>
      </c>
      <c r="D892" s="7" t="n">
        <v>43363</v>
      </c>
      <c r="E892" s="3" t="n">
        <v>704.2</v>
      </c>
      <c r="F892" s="4" t="inlineStr">
        <is>
          <t>Cash and Stock</t>
        </is>
      </c>
      <c r="G892" s="4" t="n"/>
      <c r="H892" s="4" t="inlineStr">
        <is>
          <t>Financials</t>
        </is>
      </c>
      <c r="I892" s="4" t="inlineStr">
        <is>
          <t>Banking</t>
        </is>
      </c>
      <c r="J892" s="4" t="inlineStr">
        <is>
          <t>Banking</t>
        </is>
      </c>
      <c r="K892" s="4" t="n"/>
      <c r="L892" s="3" t="n">
        <v>26.2</v>
      </c>
      <c r="M892" s="3" t="n">
        <v>13.75</v>
      </c>
      <c r="N892" s="3" t="n">
        <v>704.2</v>
      </c>
      <c r="O892" s="4" t="inlineStr">
        <is>
          <t>United States</t>
        </is>
      </c>
      <c r="P892" s="4" t="inlineStr">
        <is>
          <t>United States</t>
        </is>
      </c>
      <c r="Q892" s="4" t="inlineStr">
        <is>
          <t>Friendly</t>
        </is>
      </c>
      <c r="R892" s="3" t="n">
        <v>117.052</v>
      </c>
      <c r="S892" s="3" t="n">
        <v>36.9608</v>
      </c>
      <c r="T892" s="4" t="inlineStr">
        <is>
          <t>Company Takeover</t>
        </is>
      </c>
      <c r="U892" s="2" t="inlineStr">
        <is>
          <t>No</t>
        </is>
      </c>
      <c r="V892" s="2" t="inlineStr">
        <is>
          <t>No</t>
        </is>
      </c>
      <c r="W892" s="2" t="inlineStr">
        <is>
          <t>No</t>
        </is>
      </c>
      <c r="X892" s="2" t="inlineStr">
        <is>
          <t>No</t>
        </is>
      </c>
      <c r="Y892" s="2" t="inlineStr">
        <is>
          <t>No</t>
        </is>
      </c>
      <c r="Z892" s="2" t="inlineStr">
        <is>
          <t>No</t>
        </is>
      </c>
      <c r="AA892" s="6" t="n">
        <v>2.847696021</v>
      </c>
      <c r="AB892" s="6" t="n">
        <v>2.068378839</v>
      </c>
      <c r="AC892" s="6" t="n">
        <v>2.847696021</v>
      </c>
      <c r="AD892">
        <f t="array" ref="AD892">IF(SUMPRODUCT(--($AM$2:$AM$112=TRIM(LEFT($B892,IFERROR(FIND(" ",$B892)-1,LEN($B892))))))&gt;0,1,0)</f>
        <v/>
      </c>
      <c r="AE892">
        <f t="array" ref="AE892">IF(SUMPRODUCT(--($AO$2:$AO$145=TRIM(LEFT($B892,IFERROR(FIND(" ",$B892)-1,LEN($B892))))))&gt;0,1,0)</f>
        <v/>
      </c>
      <c r="AF892">
        <f t="array" ref="AF892">IF(SUMPRODUCT(--($AQ$2:$AQ$71=TRIM(LEFT($B892,IFERROR(FIND(" ",$B892)-1,LEN($B892))))))&gt;0,1,0)</f>
        <v/>
      </c>
    </row>
    <row r="893" ht="45.75" customHeight="1" thickBot="1">
      <c r="A893" s="13" t="n">
        <v>220</v>
      </c>
      <c r="B893" s="4" t="inlineStr">
        <is>
          <t>MBFI US</t>
        </is>
      </c>
      <c r="C893" s="4" t="inlineStr">
        <is>
          <t>FITB US</t>
        </is>
      </c>
      <c r="D893" s="7" t="n">
        <v>43241</v>
      </c>
      <c r="E893" s="3" t="n">
        <v>4480.71</v>
      </c>
      <c r="F893" s="4" t="inlineStr">
        <is>
          <t>Cash and Stock</t>
        </is>
      </c>
      <c r="G893" s="4" t="n"/>
      <c r="H893" s="4" t="inlineStr">
        <is>
          <t>Financials</t>
        </is>
      </c>
      <c r="I893" s="4" t="inlineStr">
        <is>
          <t>Banking</t>
        </is>
      </c>
      <c r="J893" s="4" t="inlineStr">
        <is>
          <t>Banking</t>
        </is>
      </c>
      <c r="K893" s="4" t="n"/>
      <c r="L893" s="3" t="n">
        <v>151.2</v>
      </c>
      <c r="M893" s="3" t="n">
        <v>24.11</v>
      </c>
      <c r="N893" s="3" t="n">
        <v>4480.71</v>
      </c>
      <c r="O893" s="4" t="inlineStr">
        <is>
          <t>United States</t>
        </is>
      </c>
      <c r="P893" s="4" t="inlineStr">
        <is>
          <t>United States</t>
        </is>
      </c>
      <c r="Q893" s="4" t="inlineStr">
        <is>
          <t>Friendly</t>
        </is>
      </c>
      <c r="R893" s="3" t="n">
        <v>1092.23</v>
      </c>
      <c r="S893" s="3" t="n">
        <v>25.7204</v>
      </c>
      <c r="T893" s="4" t="inlineStr">
        <is>
          <t>Company Takeover</t>
        </is>
      </c>
      <c r="U893" s="2" t="inlineStr">
        <is>
          <t>No</t>
        </is>
      </c>
      <c r="V893" s="2" t="inlineStr">
        <is>
          <t>No</t>
        </is>
      </c>
      <c r="W893" s="2" t="inlineStr">
        <is>
          <t>No</t>
        </is>
      </c>
      <c r="X893" s="2" t="inlineStr">
        <is>
          <t>No</t>
        </is>
      </c>
      <c r="Y893" s="2" t="inlineStr">
        <is>
          <t>No</t>
        </is>
      </c>
      <c r="Z893" s="2" t="inlineStr">
        <is>
          <t>No</t>
        </is>
      </c>
      <c r="AA893" s="6" t="n">
        <v>3.651346836</v>
      </c>
      <c r="AB893" s="6" t="n">
        <v>3.038314101</v>
      </c>
      <c r="AC893" s="6" t="n">
        <v>3.651346836</v>
      </c>
      <c r="AD893">
        <f t="array" ref="AD893">IF(SUMPRODUCT(--($AM$2:$AM$112=TRIM(LEFT($B893,IFERROR(FIND(" ",$B893)-1,LEN($B893))))))&gt;0,1,0)</f>
        <v/>
      </c>
      <c r="AE893">
        <f t="array" ref="AE893">IF(SUMPRODUCT(--($AO$2:$AO$145=TRIM(LEFT($B893,IFERROR(FIND(" ",$B893)-1,LEN($B893))))))&gt;0,1,0)</f>
        <v/>
      </c>
      <c r="AF893">
        <f t="array" ref="AF893">IF(SUMPRODUCT(--($AQ$2:$AQ$71=TRIM(LEFT($B893,IFERROR(FIND(" ",$B893)-1,LEN($B893))))))&gt;0,1,0)</f>
        <v/>
      </c>
    </row>
    <row r="894" ht="45.75" customHeight="1" thickBot="1">
      <c r="A894" s="13" t="n">
        <v>331</v>
      </c>
      <c r="B894" s="4" t="inlineStr">
        <is>
          <t>TFCFA US</t>
        </is>
      </c>
      <c r="C894" s="4" t="inlineStr">
        <is>
          <t>DIS US</t>
        </is>
      </c>
      <c r="D894" s="7" t="n">
        <v>43083</v>
      </c>
      <c r="E894" s="3" t="n">
        <v>83343.34</v>
      </c>
      <c r="F894" s="4" t="inlineStr">
        <is>
          <t>Cash or Stock</t>
        </is>
      </c>
      <c r="G894" s="3" t="n">
        <v>11.95</v>
      </c>
      <c r="H894" s="4" t="inlineStr">
        <is>
          <t>Communications</t>
        </is>
      </c>
      <c r="I894" s="4" t="inlineStr">
        <is>
          <t>Media</t>
        </is>
      </c>
      <c r="J894" s="4" t="inlineStr">
        <is>
          <t>Entertainment Content</t>
        </is>
      </c>
      <c r="K894" s="3" t="n">
        <v>2500</v>
      </c>
      <c r="L894" s="3" t="n">
        <v>1525</v>
      </c>
      <c r="M894" s="3" t="n">
        <v>1.44</v>
      </c>
      <c r="N894" s="3" t="n">
        <v>70395.34</v>
      </c>
      <c r="O894" s="4" t="inlineStr">
        <is>
          <t>United States</t>
        </is>
      </c>
      <c r="P894" s="4" t="inlineStr">
        <is>
          <t>United States</t>
        </is>
      </c>
      <c r="Q894" s="4" t="inlineStr">
        <is>
          <t>Friendly</t>
        </is>
      </c>
      <c r="R894" s="3" t="n">
        <v>30400</v>
      </c>
      <c r="S894" s="3" t="n">
        <v>20.9879</v>
      </c>
      <c r="T894" s="4" t="inlineStr">
        <is>
          <t>Company Takeover</t>
        </is>
      </c>
      <c r="U894" s="2" t="inlineStr">
        <is>
          <t>No</t>
        </is>
      </c>
      <c r="V894" s="2" t="inlineStr">
        <is>
          <t>No</t>
        </is>
      </c>
      <c r="W894" s="2" t="inlineStr">
        <is>
          <t>No</t>
        </is>
      </c>
      <c r="X894" s="2" t="inlineStr">
        <is>
          <t>No</t>
        </is>
      </c>
      <c r="Y894" s="2" t="inlineStr">
        <is>
          <t>No</t>
        </is>
      </c>
      <c r="Z894" s="2" t="inlineStr">
        <is>
          <t>No</t>
        </is>
      </c>
      <c r="AA894" s="6" t="n">
        <v>4.920870901</v>
      </c>
      <c r="AB894" s="6" t="n">
        <v>4.482873584</v>
      </c>
      <c r="AC894" s="6" t="n">
        <v>4.847543911</v>
      </c>
      <c r="AD894">
        <f t="array" ref="AD894">IF(SUMPRODUCT(--($AM$2:$AM$112=TRIM(LEFT($B894,IFERROR(FIND(" ",$B894)-1,LEN($B894))))))&gt;0,1,0)</f>
        <v/>
      </c>
      <c r="AE894">
        <f t="array" ref="AE894">IF(SUMPRODUCT(--($AO$2:$AO$145=TRIM(LEFT($B894,IFERROR(FIND(" ",$B894)-1,LEN($B894))))))&gt;0,1,0)</f>
        <v/>
      </c>
      <c r="AF894">
        <f t="array" ref="AF894">IF(SUMPRODUCT(--($AQ$2:$AQ$71=TRIM(LEFT($B894,IFERROR(FIND(" ",$B894)-1,LEN($B894))))))&gt;0,1,0)</f>
        <v/>
      </c>
    </row>
    <row r="895" ht="45.75" customHeight="1" thickBot="1">
      <c r="A895" s="13" t="n">
        <v>112</v>
      </c>
      <c r="B895" s="4" t="inlineStr">
        <is>
          <t>ESL US</t>
        </is>
      </c>
      <c r="C895" s="4" t="inlineStr">
        <is>
          <t>TDG US</t>
        </is>
      </c>
      <c r="D895" s="7" t="n">
        <v>43383</v>
      </c>
      <c r="E895" s="3" t="n">
        <v>3991.84</v>
      </c>
      <c r="F895" s="4" t="inlineStr">
        <is>
          <t>Cash</t>
        </is>
      </c>
      <c r="G895" s="3" t="n">
        <v>13.8</v>
      </c>
      <c r="H895" s="4" t="inlineStr">
        <is>
          <t>Industrials</t>
        </is>
      </c>
      <c r="I895" s="4" t="inlineStr">
        <is>
          <t>Industrial Products</t>
        </is>
      </c>
      <c r="J895" s="4" t="inlineStr">
        <is>
          <t>Aerospace &amp; Defense</t>
        </is>
      </c>
      <c r="K895" s="4" t="n"/>
      <c r="L895" s="3" t="n">
        <v>128.855</v>
      </c>
      <c r="M895" s="3" t="n">
        <v>36.41</v>
      </c>
      <c r="N895" s="3" t="n">
        <v>3606.75</v>
      </c>
      <c r="O895" s="4" t="inlineStr">
        <is>
          <t>United States</t>
        </is>
      </c>
      <c r="P895" s="4" t="inlineStr">
        <is>
          <t>United States</t>
        </is>
      </c>
      <c r="Q895" s="4" t="inlineStr">
        <is>
          <t>Friendly</t>
        </is>
      </c>
      <c r="R895" s="3" t="n">
        <v>2034.84</v>
      </c>
      <c r="S895" s="3" t="n">
        <v>10.0557</v>
      </c>
      <c r="T895" s="4" t="inlineStr">
        <is>
          <t>Company Takeover</t>
        </is>
      </c>
      <c r="U895" s="2" t="inlineStr">
        <is>
          <t>No</t>
        </is>
      </c>
      <c r="V895" s="2" t="inlineStr">
        <is>
          <t>No</t>
        </is>
      </c>
      <c r="W895" s="2" t="inlineStr">
        <is>
          <t>No</t>
        </is>
      </c>
      <c r="X895" s="2" t="inlineStr">
        <is>
          <t>No</t>
        </is>
      </c>
      <c r="Y895" s="2" t="inlineStr">
        <is>
          <t>No</t>
        </is>
      </c>
      <c r="Z895" s="2" t="inlineStr">
        <is>
          <t>No</t>
        </is>
      </c>
      <c r="AA895" s="6" t="n">
        <v>3.601173126</v>
      </c>
      <c r="AB895" s="6" t="n">
        <v>3.308530266</v>
      </c>
      <c r="AC895" s="6" t="n">
        <v>3.55711604</v>
      </c>
      <c r="AD895">
        <f t="array" ref="AD895">IF(SUMPRODUCT(--($AM$2:$AM$112=TRIM(LEFT($B895,IFERROR(FIND(" ",$B895)-1,LEN($B895))))))&gt;0,1,0)</f>
        <v/>
      </c>
      <c r="AE895">
        <f t="array" ref="AE895">IF(SUMPRODUCT(--($AO$2:$AO$145=TRIM(LEFT($B895,IFERROR(FIND(" ",$B895)-1,LEN($B895))))))&gt;0,1,0)</f>
        <v/>
      </c>
      <c r="AF895">
        <f t="array" ref="AF895">IF(SUMPRODUCT(--($AQ$2:$AQ$71=TRIM(LEFT($B895,IFERROR(FIND(" ",$B895)-1,LEN($B895))))))&gt;0,1,0)</f>
        <v/>
      </c>
    </row>
    <row r="896" ht="120.75" customHeight="1" thickBot="1">
      <c r="A896" s="13" t="n">
        <v>112</v>
      </c>
      <c r="B896" s="4" t="inlineStr">
        <is>
          <t>9966611D US</t>
        </is>
      </c>
      <c r="C896" s="4" t="inlineStr">
        <is>
          <t>AM US</t>
        </is>
      </c>
      <c r="D896" s="7" t="n">
        <v>43382</v>
      </c>
      <c r="E896" s="3" t="n">
        <v>2786.85</v>
      </c>
      <c r="F896" s="4" t="inlineStr">
        <is>
          <t>Cash or Stock</t>
        </is>
      </c>
      <c r="G896" s="3" t="n">
        <v>10.6</v>
      </c>
      <c r="H896" s="4" t="inlineStr">
        <is>
          <t>Energy</t>
        </is>
      </c>
      <c r="I896" s="4" t="inlineStr">
        <is>
          <t>Oil &amp; Gas</t>
        </is>
      </c>
      <c r="J896" s="4" t="inlineStr">
        <is>
          <t>Oil &amp; Gas Supply Chain</t>
        </is>
      </c>
      <c r="K896" s="4" t="n"/>
      <c r="L896" s="4" t="n"/>
      <c r="M896" s="4" t="n"/>
      <c r="N896" s="3" t="n">
        <v>2786.85</v>
      </c>
      <c r="O896" s="4" t="inlineStr">
        <is>
          <t>United States</t>
        </is>
      </c>
      <c r="P896" s="4" t="inlineStr">
        <is>
          <t>United States</t>
        </is>
      </c>
      <c r="Q896" s="4" t="inlineStr">
        <is>
          <t>Friendly</t>
        </is>
      </c>
      <c r="R896" s="3" t="n">
        <v>1028.52</v>
      </c>
      <c r="S896" s="3" t="n">
        <v>59.0721</v>
      </c>
      <c r="T896" s="4" t="inlineStr">
        <is>
          <t>Company Takeover, Additional Stake Purchase</t>
        </is>
      </c>
      <c r="U896" s="2" t="inlineStr">
        <is>
          <t>Yes</t>
        </is>
      </c>
      <c r="V896" s="2" t="inlineStr">
        <is>
          <t>No</t>
        </is>
      </c>
      <c r="W896" s="2" t="inlineStr">
        <is>
          <t>No</t>
        </is>
      </c>
      <c r="X896" s="2" t="inlineStr">
        <is>
          <t>No</t>
        </is>
      </c>
      <c r="Y896" s="2" t="inlineStr">
        <is>
          <t>No</t>
        </is>
      </c>
      <c r="Z896" s="2" t="inlineStr">
        <is>
          <t>No</t>
        </is>
      </c>
      <c r="AA896" s="6" t="n">
        <v>3.445113594</v>
      </c>
      <c r="AB896" s="6" t="n">
        <v>3.012212741</v>
      </c>
      <c r="AC896" s="6" t="n">
        <v>3.445113594</v>
      </c>
      <c r="AD896">
        <f t="array" ref="AD896">IF(SUMPRODUCT(--($AM$2:$AM$112=TRIM(LEFT($B896,IFERROR(FIND(" ",$B896)-1,LEN($B896))))))&gt;0,1,0)</f>
        <v/>
      </c>
      <c r="AE896">
        <f t="array" ref="AE896">IF(SUMPRODUCT(--($AO$2:$AO$145=TRIM(LEFT($B896,IFERROR(FIND(" ",$B896)-1,LEN($B896))))))&gt;0,1,0)</f>
        <v/>
      </c>
      <c r="AF896">
        <f t="array" ref="AF896">IF(SUMPRODUCT(--($AQ$2:$AQ$71=TRIM(LEFT($B896,IFERROR(FIND(" ",$B896)-1,LEN($B896))))))&gt;0,1,0)</f>
        <v/>
      </c>
    </row>
    <row r="897" ht="150.75" customHeight="1" thickBot="1">
      <c r="A897" s="13" t="n">
        <v>111</v>
      </c>
      <c r="B897" s="4" t="inlineStr">
        <is>
          <t>9966611D US</t>
        </is>
      </c>
      <c r="C897" s="4" t="inlineStr">
        <is>
          <t>AM US</t>
        </is>
      </c>
      <c r="D897" s="7" t="n">
        <v>43382</v>
      </c>
      <c r="E897" s="3" t="n">
        <v>3025.29</v>
      </c>
      <c r="F897" s="4" t="inlineStr">
        <is>
          <t>Cash and Stock</t>
        </is>
      </c>
      <c r="G897" s="3" t="n">
        <v>8.029999999999999</v>
      </c>
      <c r="H897" s="4" t="inlineStr">
        <is>
          <t>Energy</t>
        </is>
      </c>
      <c r="I897" s="4" t="inlineStr">
        <is>
          <t>Oil &amp; Gas</t>
        </is>
      </c>
      <c r="J897" s="4" t="inlineStr">
        <is>
          <t>Oil &amp; Gas Supply Chain</t>
        </is>
      </c>
      <c r="K897" s="4" t="n"/>
      <c r="L897" s="4" t="n"/>
      <c r="M897" s="4" t="n"/>
      <c r="N897" s="3" t="n">
        <v>1633.25</v>
      </c>
      <c r="O897" s="4" t="inlineStr">
        <is>
          <t>United States</t>
        </is>
      </c>
      <c r="P897" s="4" t="inlineStr">
        <is>
          <t>United States</t>
        </is>
      </c>
      <c r="Q897" s="4" t="inlineStr">
        <is>
          <t>Friendly</t>
        </is>
      </c>
      <c r="R897" s="3" t="n">
        <v>1028.52</v>
      </c>
      <c r="S897" s="3" t="n">
        <v>59.0721</v>
      </c>
      <c r="T897" s="4" t="inlineStr">
        <is>
          <t>Related Party Transaction, Company Takeover, Majority purchase</t>
        </is>
      </c>
      <c r="U897" s="2" t="inlineStr">
        <is>
          <t>No</t>
        </is>
      </c>
      <c r="V897" s="2" t="inlineStr">
        <is>
          <t>No</t>
        </is>
      </c>
      <c r="W897" s="2" t="inlineStr">
        <is>
          <t>No</t>
        </is>
      </c>
      <c r="X897" s="2" t="inlineStr">
        <is>
          <t>No</t>
        </is>
      </c>
      <c r="Y897" s="2" t="inlineStr">
        <is>
          <t>No</t>
        </is>
      </c>
      <c r="Z897" s="2" t="inlineStr">
        <is>
          <t>No</t>
        </is>
      </c>
      <c r="AA897" s="6" t="n">
        <v>3.480767012</v>
      </c>
      <c r="AB897" s="6" t="n">
        <v>3.012212741</v>
      </c>
      <c r="AC897" s="6" t="n">
        <v>3.213052667</v>
      </c>
      <c r="AD897">
        <f t="array" ref="AD897">IF(SUMPRODUCT(--($AM$2:$AM$112=TRIM(LEFT($B897,IFERROR(FIND(" ",$B897)-1,LEN($B897))))))&gt;0,1,0)</f>
        <v/>
      </c>
      <c r="AE897">
        <f t="array" ref="AE897">IF(SUMPRODUCT(--($AO$2:$AO$145=TRIM(LEFT($B897,IFERROR(FIND(" ",$B897)-1,LEN($B897))))))&gt;0,1,0)</f>
        <v/>
      </c>
      <c r="AF897">
        <f t="array" ref="AF897">IF(SUMPRODUCT(--($AQ$2:$AQ$71=TRIM(LEFT($B897,IFERROR(FIND(" ",$B897)-1,LEN($B897))))))&gt;0,1,0)</f>
        <v/>
      </c>
    </row>
    <row r="898" ht="75.75" customHeight="1" thickBot="1">
      <c r="A898" s="13" t="n">
        <v>66</v>
      </c>
      <c r="B898" s="4" t="inlineStr">
        <is>
          <t>NTRI US</t>
        </is>
      </c>
      <c r="C898" s="4" t="inlineStr">
        <is>
          <t>TVTY US</t>
        </is>
      </c>
      <c r="D898" s="7" t="n">
        <v>43444</v>
      </c>
      <c r="E898" s="3" t="n">
        <v>1289.43</v>
      </c>
      <c r="F898" s="4" t="inlineStr">
        <is>
          <t>Cash and Stock</t>
        </is>
      </c>
      <c r="G898" s="3" t="n">
        <v>13.09</v>
      </c>
      <c r="H898" s="4" t="inlineStr">
        <is>
          <t>Consumer Discretionary</t>
        </is>
      </c>
      <c r="I898" s="4" t="inlineStr">
        <is>
          <t>Consumer Discretionary Services</t>
        </is>
      </c>
      <c r="J898" s="4" t="inlineStr">
        <is>
          <t>Consumer Services</t>
        </is>
      </c>
      <c r="K898" s="4" t="n"/>
      <c r="L898" s="3" t="n">
        <v>45</v>
      </c>
      <c r="M898" s="4" t="n"/>
      <c r="N898" s="3" t="n">
        <v>1381.98</v>
      </c>
      <c r="O898" s="4" t="inlineStr">
        <is>
          <t>United States</t>
        </is>
      </c>
      <c r="P898" s="4" t="inlineStr">
        <is>
          <t>United States</t>
        </is>
      </c>
      <c r="Q898" s="4" t="inlineStr">
        <is>
          <t>Friendly</t>
        </is>
      </c>
      <c r="R898" s="3" t="n">
        <v>691.039</v>
      </c>
      <c r="S898" s="3" t="n">
        <v>10.7118</v>
      </c>
      <c r="T898" s="4" t="inlineStr">
        <is>
          <t>Company Takeover</t>
        </is>
      </c>
      <c r="U898" s="2" t="inlineStr">
        <is>
          <t>No</t>
        </is>
      </c>
      <c r="V898" s="2" t="inlineStr">
        <is>
          <t>No</t>
        </is>
      </c>
      <c r="W898" s="2" t="inlineStr">
        <is>
          <t>No</t>
        </is>
      </c>
      <c r="X898" s="2" t="inlineStr">
        <is>
          <t>No</t>
        </is>
      </c>
      <c r="Y898" s="2" t="inlineStr">
        <is>
          <t>No</t>
        </is>
      </c>
      <c r="Z898" s="2" t="inlineStr">
        <is>
          <t>No</t>
        </is>
      </c>
      <c r="AA898" s="6" t="n">
        <v>3.11039777</v>
      </c>
      <c r="AB898" s="6" t="n">
        <v>2.839502558</v>
      </c>
      <c r="AC898" s="6" t="n">
        <v>3.140501758</v>
      </c>
      <c r="AD898">
        <f t="array" ref="AD898">IF(SUMPRODUCT(--($AM$2:$AM$112=TRIM(LEFT($B898,IFERROR(FIND(" ",$B898)-1,LEN($B898))))))&gt;0,1,0)</f>
        <v/>
      </c>
      <c r="AE898">
        <f t="array" ref="AE898">IF(SUMPRODUCT(--($AO$2:$AO$145=TRIM(LEFT($B898,IFERROR(FIND(" ",$B898)-1,LEN($B898))))))&gt;0,1,0)</f>
        <v/>
      </c>
      <c r="AF898">
        <f t="array" ref="AF898">IF(SUMPRODUCT(--($AQ$2:$AQ$71=TRIM(LEFT($B898,IFERROR(FIND(" ",$B898)-1,LEN($B898))))))&gt;0,1,0)</f>
        <v/>
      </c>
    </row>
    <row r="899" ht="135.75" customHeight="1" thickBot="1">
      <c r="A899" s="13" t="n">
        <v>134</v>
      </c>
      <c r="B899" s="4" t="inlineStr">
        <is>
          <t>NSU CN</t>
        </is>
      </c>
      <c r="C899" s="4" t="inlineStr">
        <is>
          <t>2899 HK</t>
        </is>
      </c>
      <c r="D899" s="7" t="n">
        <v>43348</v>
      </c>
      <c r="E899" s="3" t="n">
        <v>1248.75</v>
      </c>
      <c r="F899" s="4" t="inlineStr">
        <is>
          <t>Cash</t>
        </is>
      </c>
      <c r="G899" s="3" t="n">
        <v>22.98</v>
      </c>
      <c r="H899" s="4" t="inlineStr">
        <is>
          <t>Materials</t>
        </is>
      </c>
      <c r="I899" s="4" t="inlineStr">
        <is>
          <t>Materials</t>
        </is>
      </c>
      <c r="J899" s="4" t="inlineStr">
        <is>
          <t>Metals &amp; Mining</t>
        </is>
      </c>
      <c r="K899" s="4" t="n"/>
      <c r="L899" s="4" t="n"/>
      <c r="M899" s="3" t="n">
        <v>23.32</v>
      </c>
      <c r="N899" s="3" t="n">
        <v>1376.01</v>
      </c>
      <c r="O899" s="4" t="inlineStr">
        <is>
          <t>Canada</t>
        </is>
      </c>
      <c r="P899" s="4" t="inlineStr">
        <is>
          <t>China</t>
        </is>
      </c>
      <c r="Q899" s="4" t="inlineStr">
        <is>
          <t>Friendly</t>
        </is>
      </c>
      <c r="R899" s="2" t="n"/>
      <c r="S899" s="2" t="n"/>
      <c r="T899" s="4" t="inlineStr">
        <is>
          <t>Company Takeover, Squeeze out, Cross Border, Tender Offer</t>
        </is>
      </c>
      <c r="U899" s="2" t="inlineStr">
        <is>
          <t>No</t>
        </is>
      </c>
      <c r="V899" s="2" t="inlineStr">
        <is>
          <t>No</t>
        </is>
      </c>
      <c r="W899" s="2" t="inlineStr">
        <is>
          <t>Yes</t>
        </is>
      </c>
      <c r="X899" s="2" t="inlineStr">
        <is>
          <t>No</t>
        </is>
      </c>
      <c r="Y899" s="2" t="inlineStr">
        <is>
          <t>No</t>
        </is>
      </c>
      <c r="Z899" s="2" t="inlineStr">
        <is>
          <t>Yes</t>
        </is>
      </c>
      <c r="AA899" s="6" t="n">
        <v>3.096475501</v>
      </c>
      <c r="AB899" s="2" t="n"/>
      <c r="AC899" s="6" t="n">
        <v>3.13862159</v>
      </c>
      <c r="AD899">
        <f t="array" ref="AD899">IF(SUMPRODUCT(--($AM$2:$AM$112=TRIM(LEFT($B899,IFERROR(FIND(" ",$B899)-1,LEN($B899))))))&gt;0,1,0)</f>
        <v/>
      </c>
      <c r="AE899">
        <f t="array" ref="AE899">IF(SUMPRODUCT(--($AO$2:$AO$145=TRIM(LEFT($B899,IFERROR(FIND(" ",$B899)-1,LEN($B899))))))&gt;0,1,0)</f>
        <v/>
      </c>
      <c r="AF899">
        <f t="array" ref="AF899">IF(SUMPRODUCT(--($AQ$2:$AQ$71=TRIM(LEFT($B899,IFERROR(FIND(" ",$B899)-1,LEN($B899))))))&gt;0,1,0)</f>
        <v/>
      </c>
    </row>
    <row r="900" ht="135.75" customHeight="1" thickBot="1">
      <c r="A900" s="13" t="n">
        <v>59</v>
      </c>
      <c r="B900" s="4" t="inlineStr">
        <is>
          <t>1933924D US</t>
        </is>
      </c>
      <c r="C900" s="4" t="inlineStr">
        <is>
          <t>804856Z US</t>
        </is>
      </c>
      <c r="D900" s="7" t="n">
        <v>43452</v>
      </c>
      <c r="E900" s="3" t="n">
        <v>1340.03</v>
      </c>
      <c r="F900" s="4" t="inlineStr">
        <is>
          <t>Cash</t>
        </is>
      </c>
      <c r="G900" s="3" t="n">
        <v>8.949999999999999</v>
      </c>
      <c r="H900" s="4" t="inlineStr">
        <is>
          <t>Health Care</t>
        </is>
      </c>
      <c r="I900" s="4" t="inlineStr">
        <is>
          <t>Health Care</t>
        </is>
      </c>
      <c r="J900" s="4" t="inlineStr">
        <is>
          <t>Health Care Facilities &amp; Svcs</t>
        </is>
      </c>
      <c r="K900" s="4" t="n"/>
      <c r="L900" s="4" t="n"/>
      <c r="M900" s="3" t="n">
        <v>28.73</v>
      </c>
      <c r="N900" s="3" t="n">
        <v>641.0599999999999</v>
      </c>
      <c r="O900" s="4" t="inlineStr">
        <is>
          <t>United States</t>
        </is>
      </c>
      <c r="P900" s="4" t="inlineStr">
        <is>
          <t>United States</t>
        </is>
      </c>
      <c r="Q900" s="4" t="inlineStr">
        <is>
          <t>Friendly</t>
        </is>
      </c>
      <c r="R900" s="3" t="n">
        <v>1602.2</v>
      </c>
      <c r="S900" s="3" t="n">
        <v>3.39345</v>
      </c>
      <c r="T900" s="4" t="inlineStr">
        <is>
          <t>PE Buyout, Company Takeover, Private Equity, Going Private</t>
        </is>
      </c>
      <c r="U900" s="2" t="inlineStr">
        <is>
          <t>No</t>
        </is>
      </c>
      <c r="V900" s="2" t="inlineStr">
        <is>
          <t>No</t>
        </is>
      </c>
      <c r="W900" s="2" t="inlineStr">
        <is>
          <t>No</t>
        </is>
      </c>
      <c r="X900" s="2" t="inlineStr">
        <is>
          <t>Yes</t>
        </is>
      </c>
      <c r="Y900" s="2" t="inlineStr">
        <is>
          <t>Yes</t>
        </is>
      </c>
      <c r="Z900" s="2" t="inlineStr">
        <is>
          <t>No</t>
        </is>
      </c>
      <c r="AA900" s="6" t="n">
        <v>3.127114521</v>
      </c>
      <c r="AB900" s="6" t="n">
        <v>3.204716727</v>
      </c>
      <c r="AC900" s="6" t="n">
        <v>2.806898679</v>
      </c>
      <c r="AD900">
        <f t="array" ref="AD900">IF(SUMPRODUCT(--($AM$2:$AM$112=TRIM(LEFT($B900,IFERROR(FIND(" ",$B900)-1,LEN($B900))))))&gt;0,1,0)</f>
        <v/>
      </c>
      <c r="AE900">
        <f t="array" ref="AE900">IF(SUMPRODUCT(--($AO$2:$AO$145=TRIM(LEFT($B900,IFERROR(FIND(" ",$B900)-1,LEN($B900))))))&gt;0,1,0)</f>
        <v/>
      </c>
      <c r="AF900">
        <f t="array" ref="AF900">IF(SUMPRODUCT(--($AQ$2:$AQ$71=TRIM(LEFT($B900,IFERROR(FIND(" ",$B900)-1,LEN($B900))))))&gt;0,1,0)</f>
        <v/>
      </c>
    </row>
    <row r="901" ht="45.75" customHeight="1" thickBot="1">
      <c r="A901" s="13" t="n">
        <v>120</v>
      </c>
      <c r="B901" s="4" t="inlineStr">
        <is>
          <t>NXEO US</t>
        </is>
      </c>
      <c r="C901" s="4" t="inlineStr">
        <is>
          <t>UNVR US</t>
        </is>
      </c>
      <c r="D901" s="7" t="n">
        <v>43360</v>
      </c>
      <c r="E901" s="3" t="n">
        <v>1847.59</v>
      </c>
      <c r="F901" s="4" t="inlineStr">
        <is>
          <t>Cash and Stock</t>
        </is>
      </c>
      <c r="G901" s="3" t="n">
        <v>8.960000000000001</v>
      </c>
      <c r="H901" s="4" t="inlineStr">
        <is>
          <t>Materials</t>
        </is>
      </c>
      <c r="I901" s="4" t="inlineStr">
        <is>
          <t>Materials</t>
        </is>
      </c>
      <c r="J901" s="4" t="inlineStr">
        <is>
          <t>Chemicals</t>
        </is>
      </c>
      <c r="K901" s="3" t="n">
        <v>128</v>
      </c>
      <c r="L901" s="4" t="n"/>
      <c r="M901" s="3" t="n">
        <v>15.08</v>
      </c>
      <c r="N901" s="3" t="n">
        <v>1037.19</v>
      </c>
      <c r="O901" s="4" t="inlineStr">
        <is>
          <t>United States</t>
        </is>
      </c>
      <c r="P901" s="4" t="inlineStr">
        <is>
          <t>United States</t>
        </is>
      </c>
      <c r="Q901" s="4" t="inlineStr">
        <is>
          <t>Friendly</t>
        </is>
      </c>
      <c r="R901" s="3" t="n">
        <v>4034.2</v>
      </c>
      <c r="S901" s="3" t="n">
        <v>2.23245</v>
      </c>
      <c r="T901" s="4" t="inlineStr">
        <is>
          <t>Company Takeover</t>
        </is>
      </c>
      <c r="U901" s="2" t="inlineStr">
        <is>
          <t>No</t>
        </is>
      </c>
      <c r="V901" s="2" t="inlineStr">
        <is>
          <t>No</t>
        </is>
      </c>
      <c r="W901" s="2" t="inlineStr">
        <is>
          <t>No</t>
        </is>
      </c>
      <c r="X901" s="2" t="inlineStr">
        <is>
          <t>No</t>
        </is>
      </c>
      <c r="Y901" s="2" t="inlineStr">
        <is>
          <t>No</t>
        </is>
      </c>
      <c r="Z901" s="2" t="inlineStr">
        <is>
          <t>No</t>
        </is>
      </c>
      <c r="AA901" s="6" t="n">
        <v>3.266605603</v>
      </c>
      <c r="AB901" s="6" t="n">
        <v>3.605757425</v>
      </c>
      <c r="AC901" s="6" t="n">
        <v>3.015858321</v>
      </c>
      <c r="AD901">
        <f t="array" ref="AD901">IF(SUMPRODUCT(--($AM$2:$AM$112=TRIM(LEFT($B901,IFERROR(FIND(" ",$B901)-1,LEN($B901))))))&gt;0,1,0)</f>
        <v/>
      </c>
      <c r="AE901">
        <f t="array" ref="AE901">IF(SUMPRODUCT(--($AO$2:$AO$145=TRIM(LEFT($B901,IFERROR(FIND(" ",$B901)-1,LEN($B901))))))&gt;0,1,0)</f>
        <v/>
      </c>
      <c r="AF901">
        <f t="array" ref="AF901">IF(SUMPRODUCT(--($AQ$2:$AQ$71=TRIM(LEFT($B901,IFERROR(FIND(" ",$B901)-1,LEN($B901))))))&gt;0,1,0)</f>
        <v/>
      </c>
    </row>
    <row r="902" ht="45.75" customHeight="1" thickBot="1">
      <c r="A902" s="13" t="n">
        <v>75</v>
      </c>
      <c r="B902" s="4" t="inlineStr">
        <is>
          <t>REN US</t>
        </is>
      </c>
      <c r="C902" s="4" t="inlineStr">
        <is>
          <t>XEC US</t>
        </is>
      </c>
      <c r="D902" s="7" t="n">
        <v>43423</v>
      </c>
      <c r="E902" s="3" t="n">
        <v>1531.82</v>
      </c>
      <c r="F902" s="4" t="inlineStr">
        <is>
          <t>Cash or Stock</t>
        </is>
      </c>
      <c r="G902" s="3" t="n">
        <v>10.41</v>
      </c>
      <c r="H902" s="4" t="inlineStr">
        <is>
          <t>Energy</t>
        </is>
      </c>
      <c r="I902" s="4" t="inlineStr">
        <is>
          <t>Oil &amp; Gas</t>
        </is>
      </c>
      <c r="J902" s="4" t="inlineStr">
        <is>
          <t>Oil &amp; Gas Supply Chain</t>
        </is>
      </c>
      <c r="K902" s="4" t="n"/>
      <c r="L902" s="3" t="n">
        <v>35.9</v>
      </c>
      <c r="M902" s="3" t="n">
        <v>21.13</v>
      </c>
      <c r="N902" s="3" t="n">
        <v>828.95</v>
      </c>
      <c r="O902" s="4" t="inlineStr">
        <is>
          <t>United States</t>
        </is>
      </c>
      <c r="P902" s="4" t="inlineStr">
        <is>
          <t>United States</t>
        </is>
      </c>
      <c r="Q902" s="4" t="inlineStr">
        <is>
          <t>Friendly</t>
        </is>
      </c>
      <c r="R902" s="3" t="n">
        <v>307.208</v>
      </c>
      <c r="S902" s="3" t="n">
        <v>11.9651</v>
      </c>
      <c r="T902" s="4" t="inlineStr">
        <is>
          <t>Company Takeover</t>
        </is>
      </c>
      <c r="U902" s="2" t="inlineStr">
        <is>
          <t>No</t>
        </is>
      </c>
      <c r="V902" s="2" t="inlineStr">
        <is>
          <t>No</t>
        </is>
      </c>
      <c r="W902" s="2" t="inlineStr">
        <is>
          <t>No</t>
        </is>
      </c>
      <c r="X902" s="2" t="inlineStr">
        <is>
          <t>No</t>
        </is>
      </c>
      <c r="Y902" s="2" t="inlineStr">
        <is>
          <t>No</t>
        </is>
      </c>
      <c r="Z902" s="2" t="inlineStr">
        <is>
          <t>No</t>
        </is>
      </c>
      <c r="AA902" s="6" t="n">
        <v>3.185207736</v>
      </c>
      <c r="AB902" s="6" t="n">
        <v>2.487432521</v>
      </c>
      <c r="AC902" s="6" t="n">
        <v>2.918528336</v>
      </c>
      <c r="AD902">
        <f t="array" ref="AD902">IF(SUMPRODUCT(--($AM$2:$AM$112=TRIM(LEFT($B902,IFERROR(FIND(" ",$B902)-1,LEN($B902))))))&gt;0,1,0)</f>
        <v/>
      </c>
      <c r="AE902">
        <f t="array" ref="AE902">IF(SUMPRODUCT(--($AO$2:$AO$145=TRIM(LEFT($B902,IFERROR(FIND(" ",$B902)-1,LEN($B902))))))&gt;0,1,0)</f>
        <v/>
      </c>
      <c r="AF902">
        <f t="array" ref="AF902">IF(SUMPRODUCT(--($AQ$2:$AQ$71=TRIM(LEFT($B902,IFERROR(FIND(" ",$B902)-1,LEN($B902))))))&gt;0,1,0)</f>
        <v/>
      </c>
    </row>
    <row r="903" ht="45.75" customHeight="1" thickBot="1">
      <c r="A903" s="13" t="n">
        <v>148</v>
      </c>
      <c r="B903" s="4" t="inlineStr">
        <is>
          <t>BNCL US</t>
        </is>
      </c>
      <c r="C903" s="4" t="inlineStr">
        <is>
          <t>WSFS US</t>
        </is>
      </c>
      <c r="D903" s="7" t="n">
        <v>43320</v>
      </c>
      <c r="E903" s="3" t="n">
        <v>1493.8</v>
      </c>
      <c r="F903" s="4" t="inlineStr">
        <is>
          <t>Cash and Stock</t>
        </is>
      </c>
      <c r="G903" s="4" t="n"/>
      <c r="H903" s="4" t="inlineStr">
        <is>
          <t>Financials</t>
        </is>
      </c>
      <c r="I903" s="4" t="inlineStr">
        <is>
          <t>Banking</t>
        </is>
      </c>
      <c r="J903" s="4" t="inlineStr">
        <is>
          <t>Banking</t>
        </is>
      </c>
      <c r="K903" s="3" t="n">
        <v>52.5</v>
      </c>
      <c r="L903" s="3" t="n">
        <v>52.5</v>
      </c>
      <c r="M903" s="3" t="n">
        <v>18.85</v>
      </c>
      <c r="N903" s="3" t="n">
        <v>1493.8</v>
      </c>
      <c r="O903" s="4" t="inlineStr">
        <is>
          <t>United States</t>
        </is>
      </c>
      <c r="P903" s="4" t="inlineStr">
        <is>
          <t>United States</t>
        </is>
      </c>
      <c r="Q903" s="4" t="inlineStr">
        <is>
          <t>Friendly</t>
        </is>
      </c>
      <c r="R903" s="3" t="n">
        <v>237.351</v>
      </c>
      <c r="S903" s="3" t="n">
        <v>30.2967</v>
      </c>
      <c r="T903" s="4" t="inlineStr">
        <is>
          <t>Company Takeover</t>
        </is>
      </c>
      <c r="U903" s="2" t="inlineStr">
        <is>
          <t>No</t>
        </is>
      </c>
      <c r="V903" s="2" t="inlineStr">
        <is>
          <t>No</t>
        </is>
      </c>
      <c r="W903" s="2" t="inlineStr">
        <is>
          <t>No</t>
        </is>
      </c>
      <c r="X903" s="2" t="inlineStr">
        <is>
          <t>No</t>
        </is>
      </c>
      <c r="Y903" s="2" t="inlineStr">
        <is>
          <t>No</t>
        </is>
      </c>
      <c r="Z903" s="2" t="inlineStr">
        <is>
          <t>No</t>
        </is>
      </c>
      <c r="AA903" s="6" t="n">
        <v>3.174292455</v>
      </c>
      <c r="AB903" s="6" t="n">
        <v>2.375391066</v>
      </c>
      <c r="AC903" s="6" t="n">
        <v>3.174292455</v>
      </c>
      <c r="AD903">
        <f t="array" ref="AD903">IF(SUMPRODUCT(--($AM$2:$AM$112=TRIM(LEFT($B903,IFERROR(FIND(" ",$B903)-1,LEN($B903))))))&gt;0,1,0)</f>
        <v/>
      </c>
      <c r="AE903">
        <f t="array" ref="AE903">IF(SUMPRODUCT(--($AO$2:$AO$145=TRIM(LEFT($B903,IFERROR(FIND(" ",$B903)-1,LEN($B903))))))&gt;0,1,0)</f>
        <v/>
      </c>
      <c r="AF903">
        <f t="array" ref="AF903">IF(SUMPRODUCT(--($AQ$2:$AQ$71=TRIM(LEFT($B903,IFERROR(FIND(" ",$B903)-1,LEN($B903))))))&gt;0,1,0)</f>
        <v/>
      </c>
    </row>
    <row r="904" ht="60.75" customHeight="1" thickBot="1">
      <c r="A904" s="13" t="n">
        <v>83</v>
      </c>
      <c r="B904" s="4" t="inlineStr">
        <is>
          <t>ITG US</t>
        </is>
      </c>
      <c r="C904" s="4" t="inlineStr">
        <is>
          <t>VIRT US</t>
        </is>
      </c>
      <c r="D904" s="7" t="n">
        <v>43411</v>
      </c>
      <c r="E904" s="3" t="n">
        <v>1017.34</v>
      </c>
      <c r="F904" s="4" t="inlineStr">
        <is>
          <t>Cash</t>
        </is>
      </c>
      <c r="G904" s="3" t="n">
        <v>18.65</v>
      </c>
      <c r="H904" s="4" t="inlineStr">
        <is>
          <t>Financials</t>
        </is>
      </c>
      <c r="I904" s="4" t="inlineStr">
        <is>
          <t>Financial Services</t>
        </is>
      </c>
      <c r="J904" s="4" t="inlineStr">
        <is>
          <t>Institutional Financial Svcs</t>
        </is>
      </c>
      <c r="K904" s="4" t="n"/>
      <c r="L904" s="3" t="n">
        <v>33.76</v>
      </c>
      <c r="M904" s="3" t="n">
        <v>10.62</v>
      </c>
      <c r="N904" s="3" t="n">
        <v>999.5700000000001</v>
      </c>
      <c r="O904" s="4" t="inlineStr">
        <is>
          <t>United States</t>
        </is>
      </c>
      <c r="P904" s="4" t="inlineStr">
        <is>
          <t>United States</t>
        </is>
      </c>
      <c r="Q904" s="4" t="inlineStr">
        <is>
          <t>Friendly</t>
        </is>
      </c>
      <c r="R904" s="2" t="n"/>
      <c r="S904" s="2" t="n"/>
      <c r="T904" s="4" t="inlineStr">
        <is>
          <t>Company Takeover</t>
        </is>
      </c>
      <c r="U904" s="2" t="inlineStr">
        <is>
          <t>No</t>
        </is>
      </c>
      <c r="V904" s="2" t="inlineStr">
        <is>
          <t>No</t>
        </is>
      </c>
      <c r="W904" s="2" t="inlineStr">
        <is>
          <t>No</t>
        </is>
      </c>
      <c r="X904" s="2" t="inlineStr">
        <is>
          <t>No</t>
        </is>
      </c>
      <c r="Y904" s="2" t="inlineStr">
        <is>
          <t>No</t>
        </is>
      </c>
      <c r="Z904" s="2" t="inlineStr">
        <is>
          <t>No</t>
        </is>
      </c>
      <c r="AA904" s="6" t="n">
        <v>3.007466121</v>
      </c>
      <c r="AB904" s="2" t="n"/>
      <c r="AC904" s="6" t="n">
        <v>2.999813213</v>
      </c>
      <c r="AD904">
        <f t="array" ref="AD904">IF(SUMPRODUCT(--($AM$2:$AM$112=TRIM(LEFT($B904,IFERROR(FIND(" ",$B904)-1,LEN($B904))))))&gt;0,1,0)</f>
        <v/>
      </c>
      <c r="AE904">
        <f t="array" ref="AE904">IF(SUMPRODUCT(--($AO$2:$AO$145=TRIM(LEFT($B904,IFERROR(FIND(" ",$B904)-1,LEN($B904))))))&gt;0,1,0)</f>
        <v/>
      </c>
      <c r="AF904">
        <f t="array" ref="AF904">IF(SUMPRODUCT(--($AQ$2:$AQ$71=TRIM(LEFT($B904,IFERROR(FIND(" ",$B904)-1,LEN($B904))))))&gt;0,1,0)</f>
        <v/>
      </c>
    </row>
    <row r="905" ht="45.75" customHeight="1" thickBot="1">
      <c r="A905" s="13" t="n">
        <v>81</v>
      </c>
      <c r="B905" s="4" t="inlineStr">
        <is>
          <t>9953211D US</t>
        </is>
      </c>
      <c r="C905" s="4" t="inlineStr">
        <is>
          <t>WES US</t>
        </is>
      </c>
      <c r="D905" s="7" t="n">
        <v>43412</v>
      </c>
      <c r="E905" s="3" t="n">
        <v>9369.620000000001</v>
      </c>
      <c r="F905" s="4" t="inlineStr">
        <is>
          <t>Stock</t>
        </is>
      </c>
      <c r="G905" s="3" t="n">
        <v>13.93</v>
      </c>
      <c r="H905" s="4" t="inlineStr">
        <is>
          <t>Energy</t>
        </is>
      </c>
      <c r="I905" s="4" t="inlineStr">
        <is>
          <t>Oil &amp; Gas</t>
        </is>
      </c>
      <c r="J905" s="4" t="inlineStr">
        <is>
          <t>Oil &amp; Gas Supply Chain</t>
        </is>
      </c>
      <c r="K905" s="4" t="n"/>
      <c r="L905" s="3" t="n">
        <v>60</v>
      </c>
      <c r="M905" s="3" t="n">
        <v>7.49</v>
      </c>
      <c r="N905" s="3" t="n">
        <v>4933.82</v>
      </c>
      <c r="O905" s="4" t="inlineStr">
        <is>
          <t>United States</t>
        </is>
      </c>
      <c r="P905" s="4" t="inlineStr">
        <is>
          <t>United States</t>
        </is>
      </c>
      <c r="Q905" s="4" t="inlineStr">
        <is>
          <t>Friendly</t>
        </is>
      </c>
      <c r="R905" s="3" t="n">
        <v>3843.4</v>
      </c>
      <c r="S905" s="3" t="n">
        <v>41.0217</v>
      </c>
      <c r="T905" s="4" t="inlineStr">
        <is>
          <t>Majority purchase</t>
        </is>
      </c>
      <c r="U905" s="2" t="inlineStr">
        <is>
          <t>No</t>
        </is>
      </c>
      <c r="V905" s="2" t="inlineStr">
        <is>
          <t>No</t>
        </is>
      </c>
      <c r="W905" s="2" t="inlineStr">
        <is>
          <t>No</t>
        </is>
      </c>
      <c r="X905" s="2" t="inlineStr">
        <is>
          <t>No</t>
        </is>
      </c>
      <c r="Y905" s="2" t="inlineStr">
        <is>
          <t>No</t>
        </is>
      </c>
      <c r="Z905" s="2" t="inlineStr">
        <is>
          <t>No</t>
        </is>
      </c>
      <c r="AA905" s="6" t="n">
        <v>3.971721978</v>
      </c>
      <c r="AB905" s="6" t="n">
        <v>3.584715586</v>
      </c>
      <c r="AC905" s="6" t="n">
        <v>3.693183301</v>
      </c>
      <c r="AD905">
        <f t="array" ref="AD905">IF(SUMPRODUCT(--($AM$2:$AM$112=TRIM(LEFT($B905,IFERROR(FIND(" ",$B905)-1,LEN($B905))))))&gt;0,1,0)</f>
        <v/>
      </c>
      <c r="AE905">
        <f t="array" ref="AE905">IF(SUMPRODUCT(--($AO$2:$AO$145=TRIM(LEFT($B905,IFERROR(FIND(" ",$B905)-1,LEN($B905))))))&gt;0,1,0)</f>
        <v/>
      </c>
      <c r="AF905">
        <f t="array" ref="AF905">IF(SUMPRODUCT(--($AQ$2:$AQ$71=TRIM(LEFT($B905,IFERROR(FIND(" ",$B905)-1,LEN($B905))))))&gt;0,1,0)</f>
        <v/>
      </c>
    </row>
    <row r="906" ht="180.75" customHeight="1" thickBot="1">
      <c r="A906" s="13" t="n">
        <v>68</v>
      </c>
      <c r="B906" s="4" t="inlineStr">
        <is>
          <t>TLP US</t>
        </is>
      </c>
      <c r="C906" s="4" t="inlineStr">
        <is>
          <t>180323Z US</t>
        </is>
      </c>
      <c r="D906" s="7" t="n">
        <v>43430</v>
      </c>
      <c r="E906" s="3" t="n">
        <v>1116.68</v>
      </c>
      <c r="F906" s="4" t="inlineStr">
        <is>
          <t>Cash</t>
        </is>
      </c>
      <c r="G906" s="3" t="n">
        <v>11.66</v>
      </c>
      <c r="H906" s="4" t="inlineStr">
        <is>
          <t>Energy</t>
        </is>
      </c>
      <c r="I906" s="4" t="inlineStr">
        <is>
          <t>Oil &amp; Gas</t>
        </is>
      </c>
      <c r="J906" s="4" t="inlineStr">
        <is>
          <t>Oil &amp; Gas Supply Chain</t>
        </is>
      </c>
      <c r="K906" s="3" t="n">
        <v>27</v>
      </c>
      <c r="L906" s="4" t="n"/>
      <c r="M906" s="4" t="n"/>
      <c r="N906" s="3" t="n">
        <v>535.51</v>
      </c>
      <c r="O906" s="4" t="inlineStr">
        <is>
          <t>United States</t>
        </is>
      </c>
      <c r="P906" s="4" t="inlineStr">
        <is>
          <t>United States</t>
        </is>
      </c>
      <c r="Q906" s="4" t="inlineStr">
        <is>
          <t>Friendly</t>
        </is>
      </c>
      <c r="R906" s="3" t="n">
        <v>645.972</v>
      </c>
      <c r="S906" s="3" t="n">
        <v>41.0635</v>
      </c>
      <c r="T906" s="4" t="inlineStr">
        <is>
          <t>PE Buyout, Company Takeover, Private Equity, Additional Stake Purchase, Going Private</t>
        </is>
      </c>
      <c r="U906" s="2" t="inlineStr">
        <is>
          <t>Yes</t>
        </is>
      </c>
      <c r="V906" s="2" t="inlineStr">
        <is>
          <t>No</t>
        </is>
      </c>
      <c r="W906" s="2" t="inlineStr">
        <is>
          <t>No</t>
        </is>
      </c>
      <c r="X906" s="2" t="inlineStr">
        <is>
          <t>Yes</t>
        </is>
      </c>
      <c r="Y906" s="2" t="inlineStr">
        <is>
          <t>Yes</t>
        </is>
      </c>
      <c r="Z906" s="2" t="inlineStr">
        <is>
          <t>No</t>
        </is>
      </c>
      <c r="AA906" s="6" t="n">
        <v>3.047928738</v>
      </c>
      <c r="AB906" s="6" t="n">
        <v>2.810213694</v>
      </c>
      <c r="AC906" s="6" t="n">
        <v>2.728767585</v>
      </c>
      <c r="AD906">
        <f t="array" ref="AD906">IF(SUMPRODUCT(--($AM$2:$AM$112=TRIM(LEFT($B906,IFERROR(FIND(" ",$B906)-1,LEN($B906))))))&gt;0,1,0)</f>
        <v/>
      </c>
      <c r="AE906">
        <f t="array" ref="AE906">IF(SUMPRODUCT(--($AO$2:$AO$145=TRIM(LEFT($B906,IFERROR(FIND(" ",$B906)-1,LEN($B906))))))&gt;0,1,0)</f>
        <v/>
      </c>
      <c r="AF906">
        <f t="array" ref="AF906">IF(SUMPRODUCT(--($AQ$2:$AQ$71=TRIM(LEFT($B906,IFERROR(FIND(" ",$B906)-1,LEN($B906))))))&gt;0,1,0)</f>
        <v/>
      </c>
    </row>
    <row r="907" ht="75.75" customHeight="1" thickBot="1">
      <c r="A907" s="13" t="n">
        <v>76</v>
      </c>
      <c r="B907" s="4" t="inlineStr">
        <is>
          <t>THO CN</t>
        </is>
      </c>
      <c r="C907" s="4" t="inlineStr">
        <is>
          <t>PAAS CN</t>
        </is>
      </c>
      <c r="D907" s="7" t="n">
        <v>43418</v>
      </c>
      <c r="E907" s="3" t="n">
        <v>1048.56</v>
      </c>
      <c r="F907" s="4" t="inlineStr">
        <is>
          <t>Cash or Stock</t>
        </is>
      </c>
      <c r="G907" s="4" t="n"/>
      <c r="H907" s="4" t="inlineStr">
        <is>
          <t>Materials</t>
        </is>
      </c>
      <c r="I907" s="4" t="inlineStr">
        <is>
          <t>Materials</t>
        </is>
      </c>
      <c r="J907" s="4" t="inlineStr">
        <is>
          <t>Metals &amp; Mining</t>
        </is>
      </c>
      <c r="K907" s="3" t="n">
        <v>38</v>
      </c>
      <c r="L907" s="3" t="n">
        <v>38</v>
      </c>
      <c r="M907" s="3" t="n">
        <v>42.35</v>
      </c>
      <c r="N907" s="3" t="n">
        <v>1094.62</v>
      </c>
      <c r="O907" s="4" t="inlineStr">
        <is>
          <t>United States</t>
        </is>
      </c>
      <c r="P907" s="4" t="inlineStr">
        <is>
          <t>Canada</t>
        </is>
      </c>
      <c r="Q907" s="4" t="inlineStr">
        <is>
          <t>Friendly</t>
        </is>
      </c>
      <c r="R907" s="3" t="n">
        <v>733.557</v>
      </c>
      <c r="S907" s="3" t="n">
        <v>-42.68</v>
      </c>
      <c r="T907" s="4" t="inlineStr">
        <is>
          <t>Company Takeover, Cross Border</t>
        </is>
      </c>
      <c r="U907" s="2" t="inlineStr">
        <is>
          <t>No</t>
        </is>
      </c>
      <c r="V907" s="2" t="inlineStr">
        <is>
          <t>No</t>
        </is>
      </c>
      <c r="W907" s="2" t="inlineStr">
        <is>
          <t>Yes</t>
        </is>
      </c>
      <c r="X907" s="2" t="inlineStr">
        <is>
          <t>No</t>
        </is>
      </c>
      <c r="Y907" s="2" t="inlineStr">
        <is>
          <t>No</t>
        </is>
      </c>
      <c r="Z907" s="2" t="inlineStr">
        <is>
          <t>No</t>
        </is>
      </c>
      <c r="AA907" s="6" t="n">
        <v>3.020593286</v>
      </c>
      <c r="AB907" s="6" t="n">
        <v>2.865433866</v>
      </c>
      <c r="AC907" s="6" t="n">
        <v>3.039263379</v>
      </c>
      <c r="AD907">
        <f t="array" ref="AD907">IF(SUMPRODUCT(--($AM$2:$AM$112=TRIM(LEFT($B907,IFERROR(FIND(" ",$B907)-1,LEN($B907))))))&gt;0,1,0)</f>
        <v/>
      </c>
      <c r="AE907">
        <f t="array" ref="AE907">IF(SUMPRODUCT(--($AO$2:$AO$145=TRIM(LEFT($B907,IFERROR(FIND(" ",$B907)-1,LEN($B907))))))&gt;0,1,0)</f>
        <v/>
      </c>
      <c r="AF907">
        <f t="array" ref="AF907">IF(SUMPRODUCT(--($AQ$2:$AQ$71=TRIM(LEFT($B907,IFERROR(FIND(" ",$B907)-1,LEN($B907))))))&gt;0,1,0)</f>
        <v/>
      </c>
    </row>
    <row r="908" ht="135.75" customHeight="1" thickBot="1">
      <c r="A908" s="13" t="n">
        <v>405</v>
      </c>
      <c r="B908" s="4" t="inlineStr">
        <is>
          <t>NXTM US</t>
        </is>
      </c>
      <c r="C908" s="4" t="inlineStr">
        <is>
          <t>1410712D GR</t>
        </is>
      </c>
      <c r="D908" s="7" t="n">
        <v>42954</v>
      </c>
      <c r="E908" s="3" t="n">
        <v>1909.87</v>
      </c>
      <c r="F908" s="4" t="inlineStr">
        <is>
          <t>Cash</t>
        </is>
      </c>
      <c r="G908" s="3" t="n">
        <v>69.87</v>
      </c>
      <c r="H908" s="4" t="inlineStr">
        <is>
          <t>Health Care</t>
        </is>
      </c>
      <c r="I908" s="4" t="inlineStr">
        <is>
          <t>Health Care</t>
        </is>
      </c>
      <c r="J908" s="4" t="inlineStr">
        <is>
          <t>Medical Equipment &amp; Devices</t>
        </is>
      </c>
      <c r="K908" s="3" t="n">
        <v>100</v>
      </c>
      <c r="L908" s="3" t="n">
        <v>60</v>
      </c>
      <c r="M908" s="4" t="n"/>
      <c r="N908" s="3" t="n">
        <v>1972.06</v>
      </c>
      <c r="O908" s="4" t="inlineStr">
        <is>
          <t>United States</t>
        </is>
      </c>
      <c r="P908" s="4" t="inlineStr">
        <is>
          <t>Germany</t>
        </is>
      </c>
      <c r="Q908" s="4" t="inlineStr">
        <is>
          <t>Friendly</t>
        </is>
      </c>
      <c r="R908" s="3" t="n">
        <v>393.941</v>
      </c>
      <c r="S908" s="3" t="n">
        <v>-0.654474</v>
      </c>
      <c r="T908" s="4" t="inlineStr">
        <is>
          <t>Company Takeover, Cross Border, Private Equity, PE Buyout</t>
        </is>
      </c>
      <c r="U908" s="2" t="inlineStr">
        <is>
          <t>No</t>
        </is>
      </c>
      <c r="V908" s="2" t="inlineStr">
        <is>
          <t>No</t>
        </is>
      </c>
      <c r="W908" s="2" t="inlineStr">
        <is>
          <t>Yes</t>
        </is>
      </c>
      <c r="X908" s="2" t="inlineStr">
        <is>
          <t>No</t>
        </is>
      </c>
      <c r="Y908" s="2" t="inlineStr">
        <is>
          <t>Yes</t>
        </is>
      </c>
      <c r="Z908" s="2" t="inlineStr">
        <is>
          <t>No</t>
        </is>
      </c>
      <c r="AA908" s="6" t="n">
        <v>3.281003807</v>
      </c>
      <c r="AB908" s="6" t="n">
        <v>2.595431183</v>
      </c>
      <c r="AC908" s="6" t="n">
        <v>3.294920124</v>
      </c>
      <c r="AD908">
        <f t="array" ref="AD908">IF(SUMPRODUCT(--($AM$2:$AM$112=TRIM(LEFT($B908,IFERROR(FIND(" ",$B908)-1,LEN($B908))))))&gt;0,1,0)</f>
        <v/>
      </c>
      <c r="AE908">
        <f t="array" ref="AE908">IF(SUMPRODUCT(--($AO$2:$AO$145=TRIM(LEFT($B908,IFERROR(FIND(" ",$B908)-1,LEN($B908))))))&gt;0,1,0)</f>
        <v/>
      </c>
      <c r="AF908">
        <f t="array" ref="AF908">IF(SUMPRODUCT(--($AQ$2:$AQ$71=TRIM(LEFT($B908,IFERROR(FIND(" ",$B908)-1,LEN($B908))))))&gt;0,1,0)</f>
        <v/>
      </c>
    </row>
    <row r="909" ht="150.75" customHeight="1" thickBot="1">
      <c r="A909" s="13" t="n">
        <v>125</v>
      </c>
      <c r="B909" s="4" t="inlineStr">
        <is>
          <t>1853748D CN</t>
        </is>
      </c>
      <c r="C909" s="4" t="inlineStr">
        <is>
          <t>ESI CN</t>
        </is>
      </c>
      <c r="D909" s="7" t="n">
        <v>43342</v>
      </c>
      <c r="E909" s="3" t="n">
        <v>678.66</v>
      </c>
      <c r="F909" s="4" t="inlineStr">
        <is>
          <t>Cash</t>
        </is>
      </c>
      <c r="G909" s="3" t="n">
        <v>7.52</v>
      </c>
      <c r="H909" s="4" t="inlineStr">
        <is>
          <t>Energy</t>
        </is>
      </c>
      <c r="I909" s="4" t="inlineStr">
        <is>
          <t>Oil &amp; Gas</t>
        </is>
      </c>
      <c r="J909" s="4" t="inlineStr">
        <is>
          <t>Oil &amp; Gas Services &amp; Equip</t>
        </is>
      </c>
      <c r="K909" s="4" t="n"/>
      <c r="L909" s="4" t="n"/>
      <c r="M909" s="3" t="n">
        <v>1.14</v>
      </c>
      <c r="N909" s="3" t="n">
        <v>319.16</v>
      </c>
      <c r="O909" s="4" t="inlineStr">
        <is>
          <t>Canada</t>
        </is>
      </c>
      <c r="P909" s="4" t="inlineStr">
        <is>
          <t>Canada</t>
        </is>
      </c>
      <c r="Q909" s="4" t="inlineStr">
        <is>
          <t>Unsolicited to Hostile</t>
        </is>
      </c>
      <c r="R909" s="3" t="n">
        <v>386.703</v>
      </c>
      <c r="S909" s="3" t="n">
        <v>-109.498</v>
      </c>
      <c r="T909" s="4" t="inlineStr">
        <is>
          <t>Company Takeover, Going Private, Additional Stake Purchase, Tender Offer</t>
        </is>
      </c>
      <c r="U909" s="2" t="inlineStr">
        <is>
          <t>Yes</t>
        </is>
      </c>
      <c r="V909" s="2" t="inlineStr">
        <is>
          <t>No</t>
        </is>
      </c>
      <c r="W909" s="2" t="inlineStr">
        <is>
          <t>No</t>
        </is>
      </c>
      <c r="X909" s="2" t="inlineStr">
        <is>
          <t>Yes</t>
        </is>
      </c>
      <c r="Y909" s="2" t="inlineStr">
        <is>
          <t>No</t>
        </is>
      </c>
      <c r="Z909" s="2" t="inlineStr">
        <is>
          <t>Yes</t>
        </is>
      </c>
      <c r="AA909" s="6" t="n">
        <v>2.831652253</v>
      </c>
      <c r="AB909" s="6" t="n">
        <v>2.587377541</v>
      </c>
      <c r="AC909" s="6" t="n">
        <v>2.504008456</v>
      </c>
      <c r="AD909">
        <f t="array" ref="AD909">IF(SUMPRODUCT(--($AM$2:$AM$112=TRIM(LEFT($B909,IFERROR(FIND(" ",$B909)-1,LEN($B909))))))&gt;0,1,0)</f>
        <v/>
      </c>
      <c r="AE909">
        <f t="array" ref="AE909">IF(SUMPRODUCT(--($AO$2:$AO$145=TRIM(LEFT($B909,IFERROR(FIND(" ",$B909)-1,LEN($B909))))))&gt;0,1,0)</f>
        <v/>
      </c>
      <c r="AF909">
        <f t="array" ref="AF909">IF(SUMPRODUCT(--($AQ$2:$AQ$71=TRIM(LEFT($B909,IFERROR(FIND(" ",$B909)-1,LEN($B909))))))&gt;0,1,0)</f>
        <v/>
      </c>
    </row>
    <row r="910" ht="105.75" customHeight="1" thickBot="1">
      <c r="A910" s="13" t="n">
        <v>32</v>
      </c>
      <c r="B910" s="4" t="inlineStr">
        <is>
          <t>LOXO US</t>
        </is>
      </c>
      <c r="C910" s="4" t="inlineStr">
        <is>
          <t>LLY US</t>
        </is>
      </c>
      <c r="D910" s="7" t="n">
        <v>43472</v>
      </c>
      <c r="E910" s="3" t="n">
        <v>6973.93</v>
      </c>
      <c r="F910" s="4" t="inlineStr">
        <is>
          <t>Cash</t>
        </is>
      </c>
      <c r="G910" s="4" t="n"/>
      <c r="H910" s="4" t="inlineStr">
        <is>
          <t>Health Care</t>
        </is>
      </c>
      <c r="I910" s="4" t="inlineStr">
        <is>
          <t>Health Care</t>
        </is>
      </c>
      <c r="J910" s="4" t="inlineStr">
        <is>
          <t>Biotech &amp; Pharma</t>
        </is>
      </c>
      <c r="K910" s="4" t="n"/>
      <c r="L910" s="3" t="n">
        <v>265</v>
      </c>
      <c r="M910" s="3" t="n">
        <v>72.73999999999999</v>
      </c>
      <c r="N910" s="3" t="n">
        <v>7595.93</v>
      </c>
      <c r="O910" s="4" t="inlineStr">
        <is>
          <t>United States</t>
        </is>
      </c>
      <c r="P910" s="4" t="inlineStr">
        <is>
          <t>United States</t>
        </is>
      </c>
      <c r="Q910" s="4" t="inlineStr">
        <is>
          <t>Friendly</t>
        </is>
      </c>
      <c r="R910" s="3" t="n">
        <v>21.3</v>
      </c>
      <c r="S910" s="3" t="n">
        <v>-50.3315</v>
      </c>
      <c r="T910" s="4" t="inlineStr">
        <is>
          <t>Company Takeover, Squeeze out, Tender Offer</t>
        </is>
      </c>
      <c r="U910" s="2" t="inlineStr">
        <is>
          <t>No</t>
        </is>
      </c>
      <c r="V910" s="2" t="inlineStr">
        <is>
          <t>No</t>
        </is>
      </c>
      <c r="W910" s="2" t="inlineStr">
        <is>
          <t>No</t>
        </is>
      </c>
      <c r="X910" s="2" t="inlineStr">
        <is>
          <t>No</t>
        </is>
      </c>
      <c r="Y910" s="2" t="inlineStr">
        <is>
          <t>No</t>
        </is>
      </c>
      <c r="Z910" s="2" t="inlineStr">
        <is>
          <t>Yes</t>
        </is>
      </c>
      <c r="AA910" s="6" t="n">
        <v>3.843477584</v>
      </c>
      <c r="AB910" s="6" t="n">
        <v>1.328379603</v>
      </c>
      <c r="AC910" s="6" t="n">
        <v>3.880580954</v>
      </c>
      <c r="AD910">
        <f t="array" ref="AD910">IF(SUMPRODUCT(--($AM$2:$AM$112=TRIM(LEFT($B910,IFERROR(FIND(" ",$B910)-1,LEN($B910))))))&gt;0,1,0)</f>
        <v/>
      </c>
      <c r="AE910">
        <f t="array" ref="AE910">IF(SUMPRODUCT(--($AO$2:$AO$145=TRIM(LEFT($B910,IFERROR(FIND(" ",$B910)-1,LEN($B910))))))&gt;0,1,0)</f>
        <v/>
      </c>
      <c r="AF910">
        <f t="array" ref="AF910">IF(SUMPRODUCT(--($AQ$2:$AQ$71=TRIM(LEFT($B910,IFERROR(FIND(" ",$B910)-1,LEN($B910))))))&gt;0,1,0)</f>
        <v/>
      </c>
    </row>
    <row r="911" ht="135.75" customHeight="1" thickBot="1">
      <c r="A911" s="13" t="n">
        <v>42</v>
      </c>
      <c r="B911" s="4" t="inlineStr">
        <is>
          <t>2512660D US</t>
        </is>
      </c>
      <c r="C911" s="4" t="inlineStr">
        <is>
          <t>389272Z US</t>
        </is>
      </c>
      <c r="D911" s="7" t="n">
        <v>43458</v>
      </c>
      <c r="E911" s="3" t="n">
        <v>1727.51</v>
      </c>
      <c r="F911" s="4" t="inlineStr">
        <is>
          <t>Cash</t>
        </is>
      </c>
      <c r="G911" s="4" t="n"/>
      <c r="H911" s="4" t="inlineStr">
        <is>
          <t>Technology</t>
        </is>
      </c>
      <c r="I911" s="4" t="inlineStr">
        <is>
          <t>Software &amp; Tech Services</t>
        </is>
      </c>
      <c r="J911" s="4" t="inlineStr">
        <is>
          <t>Software</t>
        </is>
      </c>
      <c r="K911" s="4" t="n"/>
      <c r="L911" s="3" t="n">
        <v>57.168</v>
      </c>
      <c r="M911" s="4" t="n"/>
      <c r="N911" s="3" t="n">
        <v>1803.17</v>
      </c>
      <c r="O911" s="4" t="inlineStr">
        <is>
          <t>United States</t>
        </is>
      </c>
      <c r="P911" s="4" t="inlineStr">
        <is>
          <t>United States</t>
        </is>
      </c>
      <c r="Q911" s="4" t="inlineStr">
        <is>
          <t>Friendly</t>
        </is>
      </c>
      <c r="R911" s="3" t="n">
        <v>182.626</v>
      </c>
      <c r="S911" s="3" t="n">
        <v>-16.5236</v>
      </c>
      <c r="T911" s="4" t="inlineStr">
        <is>
          <t>PE Buyout, Company Takeover, Private Equity, Going Private</t>
        </is>
      </c>
      <c r="U911" s="2" t="inlineStr">
        <is>
          <t>No</t>
        </is>
      </c>
      <c r="V911" s="2" t="inlineStr">
        <is>
          <t>No</t>
        </is>
      </c>
      <c r="W911" s="2" t="inlineStr">
        <is>
          <t>No</t>
        </is>
      </c>
      <c r="X911" s="2" t="inlineStr">
        <is>
          <t>Yes</t>
        </is>
      </c>
      <c r="Y911" s="2" t="inlineStr">
        <is>
          <t>Yes</t>
        </is>
      </c>
      <c r="Z911" s="2" t="inlineStr">
        <is>
          <t>No</t>
        </is>
      </c>
      <c r="AA911" s="6" t="n">
        <v>3.23742057</v>
      </c>
      <c r="AB911" s="6" t="n">
        <v>2.261562607</v>
      </c>
      <c r="AC911" s="6" t="n">
        <v>3.256036673</v>
      </c>
      <c r="AD911">
        <f t="array" ref="AD911">IF(SUMPRODUCT(--($AM$2:$AM$112=TRIM(LEFT($B911,IFERROR(FIND(" ",$B911)-1,LEN($B911))))))&gt;0,1,0)</f>
        <v/>
      </c>
      <c r="AE911">
        <f t="array" ref="AE911">IF(SUMPRODUCT(--($AO$2:$AO$145=TRIM(LEFT($B911,IFERROR(FIND(" ",$B911)-1,LEN($B911))))))&gt;0,1,0)</f>
        <v/>
      </c>
      <c r="AF911">
        <f t="array" ref="AF911">IF(SUMPRODUCT(--($AQ$2:$AQ$71=TRIM(LEFT($B911,IFERROR(FIND(" ",$B911)-1,LEN($B911))))))&gt;0,1,0)</f>
        <v/>
      </c>
    </row>
    <row r="912" ht="135.75" customHeight="1" thickBot="1">
      <c r="A912" s="13" t="n">
        <v>124</v>
      </c>
      <c r="B912" s="4" t="inlineStr">
        <is>
          <t>AHL US</t>
        </is>
      </c>
      <c r="C912" s="4" t="inlineStr">
        <is>
          <t>APO US</t>
        </is>
      </c>
      <c r="D912" s="7" t="n">
        <v>43340</v>
      </c>
      <c r="E912" s="3" t="n">
        <v>2550.16</v>
      </c>
      <c r="F912" s="4" t="inlineStr">
        <is>
          <t>Cash</t>
        </is>
      </c>
      <c r="G912" s="4" t="n"/>
      <c r="H912" s="4" t="inlineStr">
        <is>
          <t>Financials</t>
        </is>
      </c>
      <c r="I912" s="4" t="inlineStr">
        <is>
          <t>Insurance</t>
        </is>
      </c>
      <c r="J912" s="4" t="inlineStr">
        <is>
          <t>Insurance</t>
        </is>
      </c>
      <c r="K912" s="3" t="n">
        <v>165.87</v>
      </c>
      <c r="L912" s="3" t="n">
        <v>82.935</v>
      </c>
      <c r="M912" s="4" t="n"/>
      <c r="N912" s="3" t="n">
        <v>2550.16</v>
      </c>
      <c r="O912" s="4" t="inlineStr">
        <is>
          <t>Bermuda</t>
        </is>
      </c>
      <c r="P912" s="4" t="inlineStr">
        <is>
          <t>United States</t>
        </is>
      </c>
      <c r="Q912" s="4" t="inlineStr">
        <is>
          <t>Friendly</t>
        </is>
      </c>
      <c r="R912" s="3" t="n">
        <v>3219.6</v>
      </c>
      <c r="S912" s="2" t="n"/>
      <c r="T912" s="4" t="inlineStr">
        <is>
          <t>PE Buyout, Company Takeover, Private Equity, Going Private</t>
        </is>
      </c>
      <c r="U912" s="2" t="inlineStr">
        <is>
          <t>No</t>
        </is>
      </c>
      <c r="V912" s="2" t="inlineStr">
        <is>
          <t>No</t>
        </is>
      </c>
      <c r="W912" s="2" t="inlineStr">
        <is>
          <t>No</t>
        </is>
      </c>
      <c r="X912" s="2" t="inlineStr">
        <is>
          <t>Yes</t>
        </is>
      </c>
      <c r="Y912" s="2" t="inlineStr">
        <is>
          <t>Yes</t>
        </is>
      </c>
      <c r="Z912" s="2" t="inlineStr">
        <is>
          <t>No</t>
        </is>
      </c>
      <c r="AA912" s="6" t="n">
        <v>3.406567429</v>
      </c>
      <c r="AB912" s="6" t="n">
        <v>3.507801919</v>
      </c>
      <c r="AC912" s="6" t="n">
        <v>3.406567429</v>
      </c>
      <c r="AD912">
        <f t="array" ref="AD912">IF(SUMPRODUCT(--($AM$2:$AM$112=TRIM(LEFT($B912,IFERROR(FIND(" ",$B912)-1,LEN($B912))))))&gt;0,1,0)</f>
        <v/>
      </c>
      <c r="AE912">
        <f t="array" ref="AE912">IF(SUMPRODUCT(--($AO$2:$AO$145=TRIM(LEFT($B912,IFERROR(FIND(" ",$B912)-1,LEN($B912))))))&gt;0,1,0)</f>
        <v/>
      </c>
      <c r="AF912">
        <f t="array" ref="AF912">IF(SUMPRODUCT(--($AQ$2:$AQ$71=TRIM(LEFT($B912,IFERROR(FIND(" ",$B912)-1,LEN($B912))))))&gt;0,1,0)</f>
        <v/>
      </c>
    </row>
    <row r="913" ht="75.75" customHeight="1" thickBot="1">
      <c r="A913" s="13" t="n">
        <v>76</v>
      </c>
      <c r="B913" s="4" t="inlineStr">
        <is>
          <t>NFX US</t>
        </is>
      </c>
      <c r="C913" s="4" t="inlineStr">
        <is>
          <t>OVV US</t>
        </is>
      </c>
      <c r="D913" s="7" t="n">
        <v>43405</v>
      </c>
      <c r="E913" s="3" t="n">
        <v>8181.15</v>
      </c>
      <c r="F913" s="4" t="inlineStr">
        <is>
          <t>Stock</t>
        </is>
      </c>
      <c r="G913" s="3" t="n">
        <v>1.55</v>
      </c>
      <c r="H913" s="4" t="inlineStr">
        <is>
          <t>Energy</t>
        </is>
      </c>
      <c r="I913" s="4" t="inlineStr">
        <is>
          <t>Oil &amp; Gas</t>
        </is>
      </c>
      <c r="J913" s="4" t="inlineStr">
        <is>
          <t>Oil &amp; Gas Supply Chain</t>
        </is>
      </c>
      <c r="K913" s="3" t="n">
        <v>300</v>
      </c>
      <c r="L913" s="3" t="n">
        <v>150</v>
      </c>
      <c r="M913" s="3" t="n">
        <v>25.5</v>
      </c>
      <c r="N913" s="3" t="n">
        <v>6009.15</v>
      </c>
      <c r="O913" s="4" t="inlineStr">
        <is>
          <t>United States</t>
        </is>
      </c>
      <c r="P913" s="4" t="inlineStr">
        <is>
          <t>Canada</t>
        </is>
      </c>
      <c r="Q913" s="4" t="inlineStr">
        <is>
          <t>Friendly</t>
        </is>
      </c>
      <c r="R913" s="2" t="n"/>
      <c r="S913" s="2" t="n"/>
      <c r="T913" s="4" t="inlineStr">
        <is>
          <t>Company Takeover, Cross Border</t>
        </is>
      </c>
      <c r="U913" s="2" t="inlineStr">
        <is>
          <t>No</t>
        </is>
      </c>
      <c r="V913" s="2" t="inlineStr">
        <is>
          <t>No</t>
        </is>
      </c>
      <c r="W913" s="2" t="inlineStr">
        <is>
          <t>Yes</t>
        </is>
      </c>
      <c r="X913" s="2" t="inlineStr">
        <is>
          <t>No</t>
        </is>
      </c>
      <c r="Y913" s="2" t="inlineStr">
        <is>
          <t>No</t>
        </is>
      </c>
      <c r="Z913" s="2" t="inlineStr">
        <is>
          <t>No</t>
        </is>
      </c>
      <c r="AA913" s="6" t="n">
        <v>3.912814355</v>
      </c>
      <c r="AB913" s="2" t="n"/>
      <c r="AC913" s="6" t="n">
        <v>3.778813045</v>
      </c>
      <c r="AD913">
        <f t="array" ref="AD913">IF(SUMPRODUCT(--($AM$2:$AM$112=TRIM(LEFT($B913,IFERROR(FIND(" ",$B913)-1,LEN($B913))))))&gt;0,1,0)</f>
        <v/>
      </c>
      <c r="AE913">
        <f t="array" ref="AE913">IF(SUMPRODUCT(--($AO$2:$AO$145=TRIM(LEFT($B913,IFERROR(FIND(" ",$B913)-1,LEN($B913))))))&gt;0,1,0)</f>
        <v/>
      </c>
      <c r="AF913">
        <f t="array" ref="AF913">IF(SUMPRODUCT(--($AQ$2:$AQ$71=TRIM(LEFT($B913,IFERROR(FIND(" ",$B913)-1,LEN($B913))))))&gt;0,1,0)</f>
        <v/>
      </c>
    </row>
    <row r="914" ht="180.75" customHeight="1" thickBot="1">
      <c r="A914" s="13" t="n">
        <v>67</v>
      </c>
      <c r="B914" s="4" t="inlineStr">
        <is>
          <t>1885807D US</t>
        </is>
      </c>
      <c r="C914" s="2" t="n"/>
      <c r="D914" s="7" t="n">
        <v>43416</v>
      </c>
      <c r="E914" s="3" t="n">
        <v>4948.92</v>
      </c>
      <c r="F914" s="4" t="inlineStr">
        <is>
          <t>Cash</t>
        </is>
      </c>
      <c r="G914" s="3" t="n">
        <v>17.09</v>
      </c>
      <c r="H914" s="4" t="inlineStr">
        <is>
          <t>Technology</t>
        </is>
      </c>
      <c r="I914" s="4" t="inlineStr">
        <is>
          <t>Software &amp; Tech Services</t>
        </is>
      </c>
      <c r="J914" s="4" t="inlineStr">
        <is>
          <t>Software</t>
        </is>
      </c>
      <c r="K914" s="3" t="n">
        <v>312.635</v>
      </c>
      <c r="L914" s="3" t="n">
        <v>142.105</v>
      </c>
      <c r="M914" s="4" t="n"/>
      <c r="N914" s="3" t="n">
        <v>4994.22</v>
      </c>
      <c r="O914" s="4" t="inlineStr">
        <is>
          <t>United States</t>
        </is>
      </c>
      <c r="P914" s="4" t="inlineStr">
        <is>
          <t>United States</t>
        </is>
      </c>
      <c r="Q914" s="4" t="inlineStr">
        <is>
          <t>Unsolicited to Friendly</t>
        </is>
      </c>
      <c r="R914" s="3" t="n">
        <v>1220.3</v>
      </c>
      <c r="S914" s="3" t="n">
        <v>12.3608</v>
      </c>
      <c r="T914" s="4" t="inlineStr">
        <is>
          <t>PE Buyout, Company Takeover, Private Equity, Additional Stake Purchase, Going Private</t>
        </is>
      </c>
      <c r="U914" s="2" t="inlineStr">
        <is>
          <t>Yes</t>
        </is>
      </c>
      <c r="V914" s="2" t="inlineStr">
        <is>
          <t>No</t>
        </is>
      </c>
      <c r="W914" s="2" t="inlineStr">
        <is>
          <t>No</t>
        </is>
      </c>
      <c r="X914" s="2" t="inlineStr">
        <is>
          <t>Yes</t>
        </is>
      </c>
      <c r="Y914" s="2" t="inlineStr">
        <is>
          <t>Yes</t>
        </is>
      </c>
      <c r="Z914" s="2" t="inlineStr">
        <is>
          <t>No</t>
        </is>
      </c>
      <c r="AA914" s="6" t="n">
        <v>3.694510433</v>
      </c>
      <c r="AB914" s="6" t="n">
        <v>3.086466611</v>
      </c>
      <c r="AC914" s="6" t="n">
        <v>3.69846767</v>
      </c>
      <c r="AD914">
        <f t="array" ref="AD914">IF(SUMPRODUCT(--($AM$2:$AM$112=TRIM(LEFT($B914,IFERROR(FIND(" ",$B914)-1,LEN($B914))))))&gt;0,1,0)</f>
        <v/>
      </c>
      <c r="AE914">
        <f t="array" ref="AE914">IF(SUMPRODUCT(--($AO$2:$AO$145=TRIM(LEFT($B914,IFERROR(FIND(" ",$B914)-1,LEN($B914))))))&gt;0,1,0)</f>
        <v/>
      </c>
      <c r="AF914">
        <f t="array" ref="AF914">IF(SUMPRODUCT(--($AQ$2:$AQ$71=TRIM(LEFT($B914,IFERROR(FIND(" ",$B914)-1,LEN($B914))))))&gt;0,1,0)</f>
        <v/>
      </c>
    </row>
    <row r="915" ht="135.75" customHeight="1" thickBot="1">
      <c r="A915" s="13" t="n">
        <v>134</v>
      </c>
      <c r="B915" s="4" t="inlineStr">
        <is>
          <t>1806854D US</t>
        </is>
      </c>
      <c r="C915" s="2" t="n"/>
      <c r="D915" s="7" t="n">
        <v>43320</v>
      </c>
      <c r="E915" s="3" t="n">
        <v>6877.29</v>
      </c>
      <c r="F915" s="4" t="inlineStr">
        <is>
          <t>Cash</t>
        </is>
      </c>
      <c r="G915" s="3" t="n">
        <v>12.31</v>
      </c>
      <c r="H915" s="4" t="inlineStr">
        <is>
          <t>Financials</t>
        </is>
      </c>
      <c r="I915" s="4" t="inlineStr">
        <is>
          <t>Financial Services</t>
        </is>
      </c>
      <c r="J915" s="4" t="inlineStr">
        <is>
          <t>Specialty Finance</t>
        </is>
      </c>
      <c r="K915" s="3" t="n">
        <v>980.1</v>
      </c>
      <c r="L915" s="3" t="n">
        <v>81.40000000000001</v>
      </c>
      <c r="M915" s="3" t="n">
        <v>14.06</v>
      </c>
      <c r="N915" s="3" t="n">
        <v>5377.29</v>
      </c>
      <c r="O915" s="4" t="inlineStr">
        <is>
          <t>United States</t>
        </is>
      </c>
      <c r="P915" s="4" t="inlineStr">
        <is>
          <t>United States</t>
        </is>
      </c>
      <c r="Q915" s="4" t="inlineStr">
        <is>
          <t>Friendly</t>
        </is>
      </c>
      <c r="R915" s="3" t="n">
        <v>2314</v>
      </c>
      <c r="S915" s="2" t="n"/>
      <c r="T915" s="4" t="inlineStr">
        <is>
          <t>PE Buyout, Company Takeover, Going Private, Private Equity</t>
        </is>
      </c>
      <c r="U915" s="2" t="inlineStr">
        <is>
          <t>No</t>
        </is>
      </c>
      <c r="V915" s="2" t="inlineStr">
        <is>
          <t>No</t>
        </is>
      </c>
      <c r="W915" s="2" t="inlineStr">
        <is>
          <t>No</t>
        </is>
      </c>
      <c r="X915" s="2" t="inlineStr">
        <is>
          <t>Yes</t>
        </is>
      </c>
      <c r="Y915" s="2" t="inlineStr">
        <is>
          <t>Yes</t>
        </is>
      </c>
      <c r="Z915" s="2" t="inlineStr">
        <is>
          <t>No</t>
        </is>
      </c>
      <c r="AA915" s="6" t="n">
        <v>3.837417338</v>
      </c>
      <c r="AB915" s="6" t="n">
        <v>3.364363355</v>
      </c>
      <c r="AC915" s="6" t="n">
        <v>3.730563459</v>
      </c>
      <c r="AD915">
        <f t="array" ref="AD915">IF(SUMPRODUCT(--($AM$2:$AM$112=TRIM(LEFT($B915,IFERROR(FIND(" ",$B915)-1,LEN($B915))))))&gt;0,1,0)</f>
        <v/>
      </c>
      <c r="AE915">
        <f t="array" ref="AE915">IF(SUMPRODUCT(--($AO$2:$AO$145=TRIM(LEFT($B915,IFERROR(FIND(" ",$B915)-1,LEN($B915))))))&gt;0,1,0)</f>
        <v/>
      </c>
      <c r="AF915">
        <f t="array" ref="AF915">IF(SUMPRODUCT(--($AQ$2:$AQ$71=TRIM(LEFT($B915,IFERROR(FIND(" ",$B915)-1,LEN($B915))))))&gt;0,1,0)</f>
        <v/>
      </c>
    </row>
    <row r="916" ht="75.75" customHeight="1" thickBot="1">
      <c r="A916" s="13" t="n">
        <v>70</v>
      </c>
      <c r="B916" s="4" t="inlineStr">
        <is>
          <t>ESIO US</t>
        </is>
      </c>
      <c r="C916" s="4" t="inlineStr">
        <is>
          <t>MKSI US</t>
        </is>
      </c>
      <c r="D916" s="7" t="n">
        <v>43403</v>
      </c>
      <c r="E916" s="3" t="n">
        <v>906.92</v>
      </c>
      <c r="F916" s="4" t="inlineStr">
        <is>
          <t>Cash</t>
        </is>
      </c>
      <c r="G916" s="3" t="n">
        <v>7.02</v>
      </c>
      <c r="H916" s="4" t="inlineStr">
        <is>
          <t>Technology</t>
        </is>
      </c>
      <c r="I916" s="4" t="inlineStr">
        <is>
          <t>Tech Hardware &amp; Semiconductors</t>
        </is>
      </c>
      <c r="J916" s="4" t="inlineStr">
        <is>
          <t>Semiconductors</t>
        </is>
      </c>
      <c r="K916" s="4" t="n"/>
      <c r="L916" s="3" t="n">
        <v>35.65</v>
      </c>
      <c r="M916" s="4" t="n"/>
      <c r="N916" s="3" t="n">
        <v>1024.14</v>
      </c>
      <c r="O916" s="4" t="inlineStr">
        <is>
          <t>United States</t>
        </is>
      </c>
      <c r="P916" s="4" t="inlineStr">
        <is>
          <t>United States</t>
        </is>
      </c>
      <c r="Q916" s="4" t="inlineStr">
        <is>
          <t>Unsolicited</t>
        </is>
      </c>
      <c r="R916" s="3" t="n">
        <v>367.884</v>
      </c>
      <c r="S916" s="3" t="n">
        <v>23.992</v>
      </c>
      <c r="T916" s="4" t="inlineStr">
        <is>
          <t>Company Takeover</t>
        </is>
      </c>
      <c r="U916" s="2" t="inlineStr">
        <is>
          <t>No</t>
        </is>
      </c>
      <c r="V916" s="2" t="inlineStr">
        <is>
          <t>No</t>
        </is>
      </c>
      <c r="W916" s="2" t="inlineStr">
        <is>
          <t>No</t>
        </is>
      </c>
      <c r="X916" s="2" t="inlineStr">
        <is>
          <t>No</t>
        </is>
      </c>
      <c r="Y916" s="2" t="inlineStr">
        <is>
          <t>No</t>
        </is>
      </c>
      <c r="Z916" s="2" t="inlineStr">
        <is>
          <t>No</t>
        </is>
      </c>
      <c r="AA916" s="6" t="n">
        <v>2.957568979</v>
      </c>
      <c r="AB916" s="6" t="n">
        <v>2.5657109</v>
      </c>
      <c r="AC916" s="6" t="n">
        <v>3.010359329</v>
      </c>
      <c r="AD916">
        <f t="array" ref="AD916">IF(SUMPRODUCT(--($AM$2:$AM$112=TRIM(LEFT($B916,IFERROR(FIND(" ",$B916)-1,LEN($B916))))))&gt;0,1,0)</f>
        <v/>
      </c>
      <c r="AE916">
        <f t="array" ref="AE916">IF(SUMPRODUCT(--($AO$2:$AO$145=TRIM(LEFT($B916,IFERROR(FIND(" ",$B916)-1,LEN($B916))))))&gt;0,1,0)</f>
        <v/>
      </c>
      <c r="AF916">
        <f t="array" ref="AF916">IF(SUMPRODUCT(--($AQ$2:$AQ$71=TRIM(LEFT($B916,IFERROR(FIND(" ",$B916)-1,LEN($B916))))))&gt;0,1,0)</f>
        <v/>
      </c>
    </row>
    <row r="917" ht="45.75" customHeight="1" thickBot="1">
      <c r="A917" s="13" t="n">
        <v>205</v>
      </c>
      <c r="B917" s="4" t="inlineStr">
        <is>
          <t>VVC US</t>
        </is>
      </c>
      <c r="C917" s="4" t="inlineStr">
        <is>
          <t>CNP US</t>
        </is>
      </c>
      <c r="D917" s="7" t="n">
        <v>43213</v>
      </c>
      <c r="E917" s="3" t="n">
        <v>8053.22</v>
      </c>
      <c r="F917" s="4" t="inlineStr">
        <is>
          <t>Cash</t>
        </is>
      </c>
      <c r="G917" s="3" t="n">
        <v>13.83</v>
      </c>
      <c r="H917" s="4" t="inlineStr">
        <is>
          <t>Utilities</t>
        </is>
      </c>
      <c r="I917" s="4" t="inlineStr">
        <is>
          <t>Utilities</t>
        </is>
      </c>
      <c r="J917" s="4" t="inlineStr">
        <is>
          <t>Gas &amp; Water Utilities</t>
        </is>
      </c>
      <c r="K917" s="3" t="n">
        <v>210</v>
      </c>
      <c r="L917" s="3" t="n">
        <v>150</v>
      </c>
      <c r="M917" s="3" t="n">
        <v>14.07</v>
      </c>
      <c r="N917" s="3" t="n">
        <v>5981.62</v>
      </c>
      <c r="O917" s="4" t="inlineStr">
        <is>
          <t>United States</t>
        </is>
      </c>
      <c r="P917" s="4" t="inlineStr">
        <is>
          <t>United States</t>
        </is>
      </c>
      <c r="Q917" s="4" t="inlineStr">
        <is>
          <t>Friendly</t>
        </is>
      </c>
      <c r="R917" s="3" t="n">
        <v>2657.3</v>
      </c>
      <c r="S917" s="3" t="n">
        <v>9.44115</v>
      </c>
      <c r="T917" s="4" t="inlineStr">
        <is>
          <t>Company Takeover</t>
        </is>
      </c>
      <c r="U917" s="2" t="inlineStr">
        <is>
          <t>No</t>
        </is>
      </c>
      <c r="V917" s="2" t="inlineStr">
        <is>
          <t>No</t>
        </is>
      </c>
      <c r="W917" s="2" t="inlineStr">
        <is>
          <t>No</t>
        </is>
      </c>
      <c r="X917" s="2" t="inlineStr">
        <is>
          <t>No</t>
        </is>
      </c>
      <c r="Y917" s="2" t="inlineStr">
        <is>
          <t>No</t>
        </is>
      </c>
      <c r="Z917" s="2" t="inlineStr">
        <is>
          <t>No</t>
        </is>
      </c>
      <c r="AA917" s="6" t="n">
        <v>3.905969563</v>
      </c>
      <c r="AB917" s="6" t="n">
        <v>3.424440588</v>
      </c>
      <c r="AC917" s="6" t="n">
        <v>3.77681882</v>
      </c>
      <c r="AD917">
        <f t="array" ref="AD917">IF(SUMPRODUCT(--($AM$2:$AM$112=TRIM(LEFT($B917,IFERROR(FIND(" ",$B917)-1,LEN($B917))))))&gt;0,1,0)</f>
        <v/>
      </c>
      <c r="AE917">
        <f t="array" ref="AE917">IF(SUMPRODUCT(--($AO$2:$AO$145=TRIM(LEFT($B917,IFERROR(FIND(" ",$B917)-1,LEN($B917))))))&gt;0,1,0)</f>
        <v/>
      </c>
      <c r="AF917">
        <f t="array" ref="AF917">IF(SUMPRODUCT(--($AQ$2:$AQ$71=TRIM(LEFT($B917,IFERROR(FIND(" ",$B917)-1,LEN($B917))))))&gt;0,1,0)</f>
        <v/>
      </c>
    </row>
    <row r="918" ht="45.75" customHeight="1" thickBot="1">
      <c r="A918" s="13" t="n">
        <v>95</v>
      </c>
      <c r="B918" s="4" t="inlineStr">
        <is>
          <t>P US</t>
        </is>
      </c>
      <c r="C918" s="4" t="inlineStr">
        <is>
          <t>9210611D US</t>
        </is>
      </c>
      <c r="D918" s="7" t="n">
        <v>43367</v>
      </c>
      <c r="E918" s="3" t="n">
        <v>2532.55</v>
      </c>
      <c r="F918" s="4" t="inlineStr">
        <is>
          <t>Stock</t>
        </is>
      </c>
      <c r="G918" s="4" t="n"/>
      <c r="H918" s="4" t="inlineStr">
        <is>
          <t>Communications</t>
        </is>
      </c>
      <c r="I918" s="4" t="inlineStr">
        <is>
          <t>Media</t>
        </is>
      </c>
      <c r="J918" s="4" t="inlineStr">
        <is>
          <t>Internet Media &amp; Services</t>
        </is>
      </c>
      <c r="K918" s="4" t="n"/>
      <c r="L918" s="3" t="n">
        <v>105</v>
      </c>
      <c r="M918" s="3" t="n">
        <v>11.54</v>
      </c>
      <c r="N918" s="3" t="n">
        <v>2703.07</v>
      </c>
      <c r="O918" s="4" t="inlineStr">
        <is>
          <t>United States</t>
        </is>
      </c>
      <c r="P918" s="4" t="inlineStr">
        <is>
          <t>United States</t>
        </is>
      </c>
      <c r="Q918" s="4" t="inlineStr">
        <is>
          <t>Friendly</t>
        </is>
      </c>
      <c r="R918" s="3" t="n">
        <v>3662.84</v>
      </c>
      <c r="S918" s="3" t="n">
        <v>4.21426</v>
      </c>
      <c r="T918" s="4" t="inlineStr">
        <is>
          <t>Company Takeover</t>
        </is>
      </c>
      <c r="U918" s="2" t="inlineStr">
        <is>
          <t>No</t>
        </is>
      </c>
      <c r="V918" s="2" t="inlineStr">
        <is>
          <t>No</t>
        </is>
      </c>
      <c r="W918" s="2" t="inlineStr">
        <is>
          <t>No</t>
        </is>
      </c>
      <c r="X918" s="2" t="inlineStr">
        <is>
          <t>No</t>
        </is>
      </c>
      <c r="Y918" s="2" t="inlineStr">
        <is>
          <t>No</t>
        </is>
      </c>
      <c r="Z918" s="2" t="inlineStr">
        <is>
          <t>No</t>
        </is>
      </c>
      <c r="AA918" s="6" t="n">
        <v>3.403558028</v>
      </c>
      <c r="AB918" s="6" t="n">
        <v>3.563817948</v>
      </c>
      <c r="AC918" s="6" t="n">
        <v>3.431857293</v>
      </c>
      <c r="AD918">
        <f t="array" ref="AD918">IF(SUMPRODUCT(--($AM$2:$AM$112=TRIM(LEFT($B918,IFERROR(FIND(" ",$B918)-1,LEN($B918))))))&gt;0,1,0)</f>
        <v/>
      </c>
      <c r="AE918">
        <f t="array" ref="AE918">IF(SUMPRODUCT(--($AO$2:$AO$145=TRIM(LEFT($B918,IFERROR(FIND(" ",$B918)-1,LEN($B918))))))&gt;0,1,0)</f>
        <v/>
      </c>
      <c r="AF918">
        <f t="array" ref="AF918">IF(SUMPRODUCT(--($AQ$2:$AQ$71=TRIM(LEFT($B918,IFERROR(FIND(" ",$B918)-1,LEN($B918))))))&gt;0,1,0)</f>
        <v/>
      </c>
    </row>
    <row r="919" ht="45.75" customHeight="1" thickBot="1">
      <c r="A919" s="13" t="n">
        <v>80</v>
      </c>
      <c r="B919" s="4" t="inlineStr">
        <is>
          <t>SEND US</t>
        </is>
      </c>
      <c r="C919" s="4" t="inlineStr">
        <is>
          <t>TWLO US</t>
        </is>
      </c>
      <c r="D919" s="7" t="n">
        <v>43388</v>
      </c>
      <c r="E919" s="3" t="n">
        <v>1834.78</v>
      </c>
      <c r="F919" s="4" t="inlineStr">
        <is>
          <t>Stock</t>
        </is>
      </c>
      <c r="G919" s="3" t="n">
        <v>490.71</v>
      </c>
      <c r="H919" s="4" t="inlineStr">
        <is>
          <t>Technology</t>
        </is>
      </c>
      <c r="I919" s="4" t="inlineStr">
        <is>
          <t>Software &amp; Tech Services</t>
        </is>
      </c>
      <c r="J919" s="4" t="inlineStr">
        <is>
          <t>Software</t>
        </is>
      </c>
      <c r="K919" s="4" t="n"/>
      <c r="L919" s="4" t="n"/>
      <c r="M919" s="3" t="n">
        <v>12.88</v>
      </c>
      <c r="N919" s="3" t="n">
        <v>2001.52</v>
      </c>
      <c r="O919" s="4" t="inlineStr">
        <is>
          <t>United States</t>
        </is>
      </c>
      <c r="P919" s="4" t="inlineStr">
        <is>
          <t>United States</t>
        </is>
      </c>
      <c r="Q919" s="4" t="inlineStr">
        <is>
          <t>Friendly</t>
        </is>
      </c>
      <c r="R919" s="3" t="n">
        <v>111.888</v>
      </c>
      <c r="S919" s="3" t="n">
        <v>-5.11475</v>
      </c>
      <c r="T919" s="4" t="inlineStr">
        <is>
          <t>Company Takeover</t>
        </is>
      </c>
      <c r="U919" s="2" t="inlineStr">
        <is>
          <t>No</t>
        </is>
      </c>
      <c r="V919" s="2" t="inlineStr">
        <is>
          <t>No</t>
        </is>
      </c>
      <c r="W919" s="2" t="inlineStr">
        <is>
          <t>No</t>
        </is>
      </c>
      <c r="X919" s="2" t="inlineStr">
        <is>
          <t>No</t>
        </is>
      </c>
      <c r="Y919" s="2" t="inlineStr">
        <is>
          <t>No</t>
        </is>
      </c>
      <c r="Z919" s="2" t="inlineStr">
        <is>
          <t>No</t>
        </is>
      </c>
      <c r="AA919" s="6" t="n">
        <v>3.263583997</v>
      </c>
      <c r="AB919" s="6" t="n">
        <v>2.048783511</v>
      </c>
      <c r="AC919" s="6" t="n">
        <v>3.301359934</v>
      </c>
      <c r="AD919">
        <f t="array" ref="AD919">IF(SUMPRODUCT(--($AM$2:$AM$112=TRIM(LEFT($B919,IFERROR(FIND(" ",$B919)-1,LEN($B919))))))&gt;0,1,0)</f>
        <v/>
      </c>
      <c r="AE919">
        <f t="array" ref="AE919">IF(SUMPRODUCT(--($AO$2:$AO$145=TRIM(LEFT($B919,IFERROR(FIND(" ",$B919)-1,LEN($B919))))))&gt;0,1,0)</f>
        <v/>
      </c>
      <c r="AF919">
        <f t="array" ref="AF919">IF(SUMPRODUCT(--($AQ$2:$AQ$71=TRIM(LEFT($B919,IFERROR(FIND(" ",$B919)-1,LEN($B919))))))&gt;0,1,0)</f>
        <v/>
      </c>
    </row>
    <row r="920" ht="45.75" customHeight="1" thickBot="1">
      <c r="A920" s="13" t="n">
        <v>69</v>
      </c>
      <c r="B920" s="4" t="inlineStr">
        <is>
          <t>WRD US</t>
        </is>
      </c>
      <c r="C920" s="4" t="inlineStr">
        <is>
          <t>EXE US</t>
        </is>
      </c>
      <c r="D920" s="7" t="n">
        <v>43403</v>
      </c>
      <c r="E920" s="3" t="n">
        <v>1209.23</v>
      </c>
      <c r="F920" s="4" t="inlineStr">
        <is>
          <t>Cash or Stock</t>
        </is>
      </c>
      <c r="G920" s="3" t="n">
        <v>3.32</v>
      </c>
      <c r="H920" s="4" t="inlineStr">
        <is>
          <t>Energy</t>
        </is>
      </c>
      <c r="I920" s="4" t="inlineStr">
        <is>
          <t>Oil &amp; Gas</t>
        </is>
      </c>
      <c r="J920" s="4" t="inlineStr">
        <is>
          <t>Oil &amp; Gas Supply Chain</t>
        </is>
      </c>
      <c r="K920" s="3" t="n">
        <v>120</v>
      </c>
      <c r="L920" s="3" t="n">
        <v>85</v>
      </c>
      <c r="M920" s="4" t="n"/>
      <c r="N920" s="3" t="n">
        <v>306.02</v>
      </c>
      <c r="O920" s="4" t="inlineStr">
        <is>
          <t>United States</t>
        </is>
      </c>
      <c r="P920" s="4" t="inlineStr">
        <is>
          <t>United States</t>
        </is>
      </c>
      <c r="Q920" s="4" t="inlineStr">
        <is>
          <t>Friendly</t>
        </is>
      </c>
      <c r="R920" s="3" t="n">
        <v>95.2877</v>
      </c>
      <c r="S920" s="3" t="n">
        <v>-269.764</v>
      </c>
      <c r="T920" s="4" t="inlineStr">
        <is>
          <t>Company Takeover</t>
        </is>
      </c>
      <c r="U920" s="2" t="inlineStr">
        <is>
          <t>No</t>
        </is>
      </c>
      <c r="V920" s="2" t="inlineStr">
        <is>
          <t>No</t>
        </is>
      </c>
      <c r="W920" s="2" t="inlineStr">
        <is>
          <t>No</t>
        </is>
      </c>
      <c r="X920" s="2" t="inlineStr">
        <is>
          <t>No</t>
        </is>
      </c>
      <c r="Y920" s="2" t="inlineStr">
        <is>
          <t>No</t>
        </is>
      </c>
      <c r="Z920" s="2" t="inlineStr">
        <is>
          <t>No</t>
        </is>
      </c>
      <c r="AA920" s="6" t="n">
        <v>3.082508913</v>
      </c>
      <c r="AB920" s="6" t="n">
        <v>1.979036844</v>
      </c>
      <c r="AC920" s="6" t="n">
        <v>2.485749811</v>
      </c>
      <c r="AD920">
        <f t="array" ref="AD920">IF(SUMPRODUCT(--($AM$2:$AM$112=TRIM(LEFT($B920,IFERROR(FIND(" ",$B920)-1,LEN($B920))))))&gt;0,1,0)</f>
        <v/>
      </c>
      <c r="AE920">
        <f t="array" ref="AE920">IF(SUMPRODUCT(--($AO$2:$AO$145=TRIM(LEFT($B920,IFERROR(FIND(" ",$B920)-1,LEN($B920))))))&gt;0,1,0)</f>
        <v/>
      </c>
      <c r="AF920">
        <f t="array" ref="AF920">IF(SUMPRODUCT(--($AQ$2:$AQ$71=TRIM(LEFT($B920,IFERROR(FIND(" ",$B920)-1,LEN($B920))))))&gt;0,1,0)</f>
        <v/>
      </c>
    </row>
    <row r="921" ht="135.75" customHeight="1" thickBot="1">
      <c r="A921" s="13" t="n">
        <v>101</v>
      </c>
      <c r="B921" s="4" t="inlineStr">
        <is>
          <t>ESND US</t>
        </is>
      </c>
      <c r="C921" s="4" t="inlineStr">
        <is>
          <t>2619871D US</t>
        </is>
      </c>
      <c r="D921" s="7" t="n">
        <v>43357</v>
      </c>
      <c r="E921" s="3" t="n">
        <v>921.85</v>
      </c>
      <c r="F921" s="4" t="inlineStr">
        <is>
          <t>Cash</t>
        </is>
      </c>
      <c r="G921" s="4" t="n"/>
      <c r="H921" s="4" t="inlineStr">
        <is>
          <t>Industrials</t>
        </is>
      </c>
      <c r="I921" s="4" t="inlineStr">
        <is>
          <t>Industrial Services</t>
        </is>
      </c>
      <c r="J921" s="4" t="inlineStr">
        <is>
          <t>Industrial Support Services</t>
        </is>
      </c>
      <c r="K921" s="3" t="n">
        <v>20</v>
      </c>
      <c r="L921" s="3" t="n">
        <v>12</v>
      </c>
      <c r="M921" s="3" t="n">
        <v>-8.35</v>
      </c>
      <c r="N921" s="3" t="n">
        <v>428.87</v>
      </c>
      <c r="O921" s="4" t="inlineStr">
        <is>
          <t>United States</t>
        </is>
      </c>
      <c r="P921" s="4" t="inlineStr">
        <is>
          <t>United States</t>
        </is>
      </c>
      <c r="Q921" s="4" t="inlineStr">
        <is>
          <t>Unsolicited</t>
        </is>
      </c>
      <c r="R921" s="3" t="n">
        <v>5037.33</v>
      </c>
      <c r="S921" s="3" t="n">
        <v>-0.734478</v>
      </c>
      <c r="T921" s="4" t="inlineStr">
        <is>
          <t>Company Takeover, Additional Stake Purchase, Tender Offer</t>
        </is>
      </c>
      <c r="U921" s="2" t="inlineStr">
        <is>
          <t>Yes</t>
        </is>
      </c>
      <c r="V921" s="2" t="inlineStr">
        <is>
          <t>No</t>
        </is>
      </c>
      <c r="W921" s="2" t="inlineStr">
        <is>
          <t>No</t>
        </is>
      </c>
      <c r="X921" s="2" t="inlineStr">
        <is>
          <t>No</t>
        </is>
      </c>
      <c r="Y921" s="2" t="inlineStr">
        <is>
          <t>No</t>
        </is>
      </c>
      <c r="Z921" s="2" t="inlineStr">
        <is>
          <t>Yes</t>
        </is>
      </c>
      <c r="AA921" s="6" t="n">
        <v>2.96466026</v>
      </c>
      <c r="AB921" s="6" t="n">
        <v>3.702200403</v>
      </c>
      <c r="AC921" s="6" t="n">
        <v>2.632325668</v>
      </c>
      <c r="AD921">
        <f t="array" ref="AD921">IF(SUMPRODUCT(--($AM$2:$AM$112=TRIM(LEFT($B921,IFERROR(FIND(" ",$B921)-1,LEN($B921))))))&gt;0,1,0)</f>
        <v/>
      </c>
      <c r="AE921">
        <f t="array" ref="AE921">IF(SUMPRODUCT(--($AO$2:$AO$145=TRIM(LEFT($B921,IFERROR(FIND(" ",$B921)-1,LEN($B921))))))&gt;0,1,0)</f>
        <v/>
      </c>
      <c r="AF921">
        <f t="array" ref="AF921">IF(SUMPRODUCT(--($AQ$2:$AQ$71=TRIM(LEFT($B921,IFERROR(FIND(" ",$B921)-1,LEN($B921))))))&gt;0,1,0)</f>
        <v/>
      </c>
    </row>
    <row r="922" ht="45.75" customHeight="1" thickBot="1">
      <c r="A922" s="13" t="n">
        <v>86</v>
      </c>
      <c r="B922" s="4" t="inlineStr">
        <is>
          <t>ANCX US</t>
        </is>
      </c>
      <c r="C922" s="4" t="inlineStr">
        <is>
          <t>AUB US</t>
        </is>
      </c>
      <c r="D922" s="7" t="n">
        <v>43378</v>
      </c>
      <c r="E922" s="3" t="n">
        <v>627.67</v>
      </c>
      <c r="F922" s="4" t="inlineStr">
        <is>
          <t>Stock</t>
        </is>
      </c>
      <c r="G922" s="4" t="n"/>
      <c r="H922" s="4" t="inlineStr">
        <is>
          <t>Financials</t>
        </is>
      </c>
      <c r="I922" s="4" t="inlineStr">
        <is>
          <t>Banking</t>
        </is>
      </c>
      <c r="J922" s="4" t="inlineStr">
        <is>
          <t>Banking</t>
        </is>
      </c>
      <c r="K922" s="3" t="n">
        <v>25</v>
      </c>
      <c r="L922" s="3" t="n">
        <v>25</v>
      </c>
      <c r="M922" s="3" t="n">
        <v>9.82</v>
      </c>
      <c r="N922" s="3" t="n">
        <v>627.67</v>
      </c>
      <c r="O922" s="4" t="inlineStr">
        <is>
          <t>United States</t>
        </is>
      </c>
      <c r="P922" s="4" t="inlineStr">
        <is>
          <t>United States</t>
        </is>
      </c>
      <c r="Q922" s="4" t="inlineStr">
        <is>
          <t>Friendly</t>
        </is>
      </c>
      <c r="R922" s="2" t="n"/>
      <c r="S922" s="3" t="n">
        <v>34.7344</v>
      </c>
      <c r="T922" s="4" t="inlineStr">
        <is>
          <t>Company Takeover</t>
        </is>
      </c>
      <c r="U922" s="2" t="inlineStr">
        <is>
          <t>No</t>
        </is>
      </c>
      <c r="V922" s="2" t="inlineStr">
        <is>
          <t>No</t>
        </is>
      </c>
      <c r="W922" s="2" t="inlineStr">
        <is>
          <t>No</t>
        </is>
      </c>
      <c r="X922" s="2" t="inlineStr">
        <is>
          <t>No</t>
        </is>
      </c>
      <c r="Y922" s="2" t="inlineStr">
        <is>
          <t>No</t>
        </is>
      </c>
      <c r="Z922" s="2" t="inlineStr">
        <is>
          <t>No</t>
        </is>
      </c>
      <c r="AA922" s="6" t="n">
        <v>2.797731372</v>
      </c>
      <c r="AB922" s="2" t="n"/>
      <c r="AC922" s="6" t="n">
        <v>2.797731372</v>
      </c>
      <c r="AD922">
        <f t="array" ref="AD922">IF(SUMPRODUCT(--($AM$2:$AM$112=TRIM(LEFT($B922,IFERROR(FIND(" ",$B922)-1,LEN($B922))))))&gt;0,1,0)</f>
        <v/>
      </c>
      <c r="AE922">
        <f t="array" ref="AE922">IF(SUMPRODUCT(--($AO$2:$AO$145=TRIM(LEFT($B922,IFERROR(FIND(" ",$B922)-1,LEN($B922))))))&gt;0,1,0)</f>
        <v/>
      </c>
      <c r="AF922">
        <f t="array" ref="AF922">IF(SUMPRODUCT(--($AQ$2:$AQ$71=TRIM(LEFT($B922,IFERROR(FIND(" ",$B922)-1,LEN($B922))))))&gt;0,1,0)</f>
        <v/>
      </c>
    </row>
    <row r="923" ht="45.75" customHeight="1" thickBot="1">
      <c r="A923" s="13" t="n">
        <v>71</v>
      </c>
      <c r="B923" s="4" t="inlineStr">
        <is>
          <t>ENLK US</t>
        </is>
      </c>
      <c r="C923" s="4" t="inlineStr">
        <is>
          <t>ENLC US</t>
        </is>
      </c>
      <c r="D923" s="7" t="n">
        <v>43395</v>
      </c>
      <c r="E923" s="3" t="n">
        <v>10224.07</v>
      </c>
      <c r="F923" s="4" t="inlineStr">
        <is>
          <t>Stock</t>
        </is>
      </c>
      <c r="G923" s="3" t="n">
        <v>10.43</v>
      </c>
      <c r="H923" s="4" t="inlineStr">
        <is>
          <t>Energy</t>
        </is>
      </c>
      <c r="I923" s="4" t="inlineStr">
        <is>
          <t>Oil &amp; Gas</t>
        </is>
      </c>
      <c r="J923" s="4" t="inlineStr">
        <is>
          <t>Oil &amp; Gas Supply Chain</t>
        </is>
      </c>
      <c r="K923" s="4" t="n"/>
      <c r="L923" s="3" t="n">
        <v>55</v>
      </c>
      <c r="M923" s="3" t="n">
        <v>-1</v>
      </c>
      <c r="N923" s="3" t="n">
        <v>6052.17</v>
      </c>
      <c r="O923" s="4" t="inlineStr">
        <is>
          <t>United States</t>
        </is>
      </c>
      <c r="P923" s="4" t="inlineStr">
        <is>
          <t>United States</t>
        </is>
      </c>
      <c r="Q923" s="4" t="inlineStr">
        <is>
          <t>Friendly</t>
        </is>
      </c>
      <c r="R923" s="3" t="n">
        <v>6900.1</v>
      </c>
      <c r="S923" s="3" t="n">
        <v>8.45476</v>
      </c>
      <c r="T923" s="4" t="inlineStr">
        <is>
          <t>Company Takeover</t>
        </is>
      </c>
      <c r="U923" s="2" t="inlineStr">
        <is>
          <t>No</t>
        </is>
      </c>
      <c r="V923" s="2" t="inlineStr">
        <is>
          <t>No</t>
        </is>
      </c>
      <c r="W923" s="2" t="inlineStr">
        <is>
          <t>No</t>
        </is>
      </c>
      <c r="X923" s="2" t="inlineStr">
        <is>
          <t>No</t>
        </is>
      </c>
      <c r="Y923" s="2" t="inlineStr">
        <is>
          <t>No</t>
        </is>
      </c>
      <c r="Z923" s="2" t="inlineStr">
        <is>
          <t>No</t>
        </is>
      </c>
      <c r="AA923" s="6" t="n">
        <v>4.009623814</v>
      </c>
      <c r="AB923" s="6" t="n">
        <v>3.838855385</v>
      </c>
      <c r="AC923" s="6" t="n">
        <v>3.781911118</v>
      </c>
      <c r="AD923">
        <f t="array" ref="AD923">IF(SUMPRODUCT(--($AM$2:$AM$112=TRIM(LEFT($B923,IFERROR(FIND(" ",$B923)-1,LEN($B923))))))&gt;0,1,0)</f>
        <v/>
      </c>
      <c r="AE923">
        <f t="array" ref="AE923">IF(SUMPRODUCT(--($AO$2:$AO$145=TRIM(LEFT($B923,IFERROR(FIND(" ",$B923)-1,LEN($B923))))))&gt;0,1,0)</f>
        <v/>
      </c>
      <c r="AF923">
        <f t="array" ref="AF923">IF(SUMPRODUCT(--($AQ$2:$AQ$71=TRIM(LEFT($B923,IFERROR(FIND(" ",$B923)-1,LEN($B923))))))&gt;0,1,0)</f>
        <v/>
      </c>
    </row>
    <row r="924" ht="120.75" customHeight="1" thickBot="1">
      <c r="A924" s="13" t="n">
        <v>46</v>
      </c>
      <c r="B924" s="4" t="inlineStr">
        <is>
          <t>1851869D US</t>
        </is>
      </c>
      <c r="C924" s="4" t="inlineStr">
        <is>
          <t>D US</t>
        </is>
      </c>
      <c r="D924" s="7" t="n">
        <v>43430</v>
      </c>
      <c r="E924" s="3" t="n">
        <v>891.98</v>
      </c>
      <c r="F924" s="4" t="inlineStr">
        <is>
          <t>Stock</t>
        </is>
      </c>
      <c r="G924" s="3" t="n">
        <v>4.56</v>
      </c>
      <c r="H924" s="4" t="inlineStr">
        <is>
          <t>Energy</t>
        </is>
      </c>
      <c r="I924" s="4" t="inlineStr">
        <is>
          <t>Oil &amp; Gas</t>
        </is>
      </c>
      <c r="J924" s="4" t="inlineStr">
        <is>
          <t>Oil &amp; Gas Supply Chain</t>
        </is>
      </c>
      <c r="K924" s="4" t="n"/>
      <c r="L924" s="4" t="n"/>
      <c r="M924" s="3" t="n">
        <v>-0.09</v>
      </c>
      <c r="N924" s="3" t="n">
        <v>891.98</v>
      </c>
      <c r="O924" s="4" t="inlineStr">
        <is>
          <t>United States</t>
        </is>
      </c>
      <c r="P924" s="4" t="inlineStr">
        <is>
          <t>United States</t>
        </is>
      </c>
      <c r="Q924" s="4" t="inlineStr">
        <is>
          <t>Friendly</t>
        </is>
      </c>
      <c r="R924" s="3" t="n">
        <v>480.2</v>
      </c>
      <c r="S924" s="3" t="n">
        <v>46.3836</v>
      </c>
      <c r="T924" s="4" t="inlineStr">
        <is>
          <t>Company Takeover, Additional Stake Purchase</t>
        </is>
      </c>
      <c r="U924" s="2" t="inlineStr">
        <is>
          <t>Yes</t>
        </is>
      </c>
      <c r="V924" s="2" t="inlineStr">
        <is>
          <t>No</t>
        </is>
      </c>
      <c r="W924" s="2" t="inlineStr">
        <is>
          <t>No</t>
        </is>
      </c>
      <c r="X924" s="2" t="inlineStr">
        <is>
          <t>No</t>
        </is>
      </c>
      <c r="Y924" s="2" t="inlineStr">
        <is>
          <t>No</t>
        </is>
      </c>
      <c r="Z924" s="2" t="inlineStr">
        <is>
          <t>No</t>
        </is>
      </c>
      <c r="AA924" s="6" t="n">
        <v>2.950355117</v>
      </c>
      <c r="AB924" s="6" t="n">
        <v>2.681422156</v>
      </c>
      <c r="AC924" s="6" t="n">
        <v>2.950355117</v>
      </c>
      <c r="AD924">
        <f t="array" ref="AD924">IF(SUMPRODUCT(--($AM$2:$AM$112=TRIM(LEFT($B924,IFERROR(FIND(" ",$B924)-1,LEN($B924))))))&gt;0,1,0)</f>
        <v/>
      </c>
      <c r="AE924">
        <f t="array" ref="AE924">IF(SUMPRODUCT(--($AO$2:$AO$145=TRIM(LEFT($B924,IFERROR(FIND(" ",$B924)-1,LEN($B924))))))&gt;0,1,0)</f>
        <v/>
      </c>
      <c r="AF924">
        <f t="array" ref="AF924">IF(SUMPRODUCT(--($AQ$2:$AQ$71=TRIM(LEFT($B924,IFERROR(FIND(" ",$B924)-1,LEN($B924))))))&gt;0,1,0)</f>
        <v/>
      </c>
    </row>
    <row r="925" ht="135.75" customHeight="1" thickBot="1">
      <c r="A925" s="13" t="n">
        <v>60</v>
      </c>
      <c r="B925" s="4" t="inlineStr">
        <is>
          <t>BOJA US</t>
        </is>
      </c>
      <c r="C925" s="2" t="n"/>
      <c r="D925" s="7" t="n">
        <v>43410</v>
      </c>
      <c r="E925" s="3" t="n">
        <v>593.73</v>
      </c>
      <c r="F925" s="4" t="inlineStr">
        <is>
          <t>Cash</t>
        </is>
      </c>
      <c r="G925" s="3" t="n">
        <v>14.1</v>
      </c>
      <c r="H925" s="4" t="inlineStr">
        <is>
          <t>Consumer Discretionary</t>
        </is>
      </c>
      <c r="I925" s="4" t="inlineStr">
        <is>
          <t>Consumer Discretionary Services</t>
        </is>
      </c>
      <c r="J925" s="4" t="inlineStr">
        <is>
          <t>Leisure Facilities &amp; Services</t>
        </is>
      </c>
      <c r="K925" s="3" t="n">
        <v>45</v>
      </c>
      <c r="L925" s="3" t="n">
        <v>24</v>
      </c>
      <c r="M925" s="4" t="n"/>
      <c r="N925" s="3" t="n">
        <v>593.73</v>
      </c>
      <c r="O925" s="4" t="inlineStr">
        <is>
          <t>United States</t>
        </is>
      </c>
      <c r="P925" s="4" t="inlineStr">
        <is>
          <t>United States</t>
        </is>
      </c>
      <c r="Q925" s="4" t="inlineStr">
        <is>
          <t>Friendly</t>
        </is>
      </c>
      <c r="R925" s="3" t="n">
        <v>547.438</v>
      </c>
      <c r="S925" s="3" t="n">
        <v>4.67683</v>
      </c>
      <c r="T925" s="4" t="inlineStr">
        <is>
          <t>PE Buyout, Company Takeover, Private Equity, Going Private</t>
        </is>
      </c>
      <c r="U925" s="2" t="inlineStr">
        <is>
          <t>No</t>
        </is>
      </c>
      <c r="V925" s="2" t="inlineStr">
        <is>
          <t>No</t>
        </is>
      </c>
      <c r="W925" s="2" t="inlineStr">
        <is>
          <t>No</t>
        </is>
      </c>
      <c r="X925" s="2" t="inlineStr">
        <is>
          <t>Yes</t>
        </is>
      </c>
      <c r="Y925" s="2" t="inlineStr">
        <is>
          <t>Yes</t>
        </is>
      </c>
      <c r="Z925" s="2" t="inlineStr">
        <is>
          <t>No</t>
        </is>
      </c>
      <c r="AA925" s="6" t="n">
        <v>2.773588994</v>
      </c>
      <c r="AB925" s="6" t="n">
        <v>2.73833494</v>
      </c>
      <c r="AC925" s="6" t="n">
        <v>2.773588994</v>
      </c>
      <c r="AD925">
        <f t="array" ref="AD925">IF(SUMPRODUCT(--($AM$2:$AM$112=TRIM(LEFT($B925,IFERROR(FIND(" ",$B925)-1,LEN($B925))))))&gt;0,1,0)</f>
        <v/>
      </c>
      <c r="AE925">
        <f t="array" ref="AE925">IF(SUMPRODUCT(--($AO$2:$AO$145=TRIM(LEFT($B925,IFERROR(FIND(" ",$B925)-1,LEN($B925))))))&gt;0,1,0)</f>
        <v/>
      </c>
      <c r="AF925">
        <f t="array" ref="AF925">IF(SUMPRODUCT(--($AQ$2:$AQ$71=TRIM(LEFT($B925,IFERROR(FIND(" ",$B925)-1,LEN($B925))))))&gt;0,1,0)</f>
        <v/>
      </c>
    </row>
    <row r="926" ht="105.75" customHeight="1" thickBot="1">
      <c r="A926" s="13" t="n">
        <v>53</v>
      </c>
      <c r="B926" s="4" t="inlineStr">
        <is>
          <t>XM US</t>
        </is>
      </c>
      <c r="C926" s="4" t="inlineStr">
        <is>
          <t>SAP GR</t>
        </is>
      </c>
      <c r="D926" s="7" t="n">
        <v>43415</v>
      </c>
      <c r="E926" s="3" t="n">
        <v>7862.26</v>
      </c>
      <c r="F926" s="4" t="inlineStr">
        <is>
          <t>Cash</t>
        </is>
      </c>
      <c r="G926" s="4" t="n"/>
      <c r="H926" s="4" t="inlineStr">
        <is>
          <t>Technology</t>
        </is>
      </c>
      <c r="I926" s="4" t="inlineStr">
        <is>
          <t>Software &amp; Tech Services</t>
        </is>
      </c>
      <c r="J926" s="4" t="inlineStr">
        <is>
          <t>Software</t>
        </is>
      </c>
      <c r="K926" s="4" t="n"/>
      <c r="L926" s="4" t="n"/>
      <c r="M926" s="4" t="n"/>
      <c r="N926" s="3" t="n">
        <v>8000</v>
      </c>
      <c r="O926" s="4" t="inlineStr">
        <is>
          <t>United States</t>
        </is>
      </c>
      <c r="P926" s="4" t="inlineStr">
        <is>
          <t>Germany</t>
        </is>
      </c>
      <c r="Q926" s="4" t="inlineStr">
        <is>
          <t>Friendly</t>
        </is>
      </c>
      <c r="R926" s="3" t="n">
        <v>1458.63</v>
      </c>
      <c r="S926" s="3" t="n">
        <v>-66.04259999999999</v>
      </c>
      <c r="T926" s="4" t="inlineStr">
        <is>
          <t>Company Takeover, Cross Border, Private Equity</t>
        </is>
      </c>
      <c r="U926" s="2" t="inlineStr">
        <is>
          <t>No</t>
        </is>
      </c>
      <c r="V926" s="2" t="inlineStr">
        <is>
          <t>No</t>
        </is>
      </c>
      <c r="W926" s="2" t="inlineStr">
        <is>
          <t>Yes</t>
        </is>
      </c>
      <c r="X926" s="2" t="inlineStr">
        <is>
          <t>No</t>
        </is>
      </c>
      <c r="Y926" s="2" t="inlineStr">
        <is>
          <t>No</t>
        </is>
      </c>
      <c r="Z926" s="2" t="inlineStr">
        <is>
          <t>No</t>
        </is>
      </c>
      <c r="AA926" s="6" t="n">
        <v>3.895547402</v>
      </c>
      <c r="AB926" s="6" t="n">
        <v>3.163945142</v>
      </c>
      <c r="AC926" s="6" t="n">
        <v>3.903089987</v>
      </c>
      <c r="AD926">
        <f t="array" ref="AD926">IF(SUMPRODUCT(--($AM$2:$AM$112=TRIM(LEFT($B926,IFERROR(FIND(" ",$B926)-1,LEN($B926))))))&gt;0,1,0)</f>
        <v/>
      </c>
      <c r="AE926">
        <f t="array" ref="AE926">IF(SUMPRODUCT(--($AO$2:$AO$145=TRIM(LEFT($B926,IFERROR(FIND(" ",$B926)-1,LEN($B926))))))&gt;0,1,0)</f>
        <v/>
      </c>
      <c r="AF926">
        <f t="array" ref="AF926">IF(SUMPRODUCT(--($AQ$2:$AQ$71=TRIM(LEFT($B926,IFERROR(FIND(" ",$B926)-1,LEN($B926))))))&gt;0,1,0)</f>
        <v/>
      </c>
    </row>
    <row r="927" ht="105.75" customHeight="1" thickBot="1">
      <c r="A927" s="13" t="n">
        <v>38</v>
      </c>
      <c r="B927" s="4" t="inlineStr">
        <is>
          <t>TSRO US</t>
        </is>
      </c>
      <c r="C927" s="4" t="inlineStr">
        <is>
          <t>GSK LN</t>
        </is>
      </c>
      <c r="D927" s="7" t="n">
        <v>43437</v>
      </c>
      <c r="E927" s="3" t="n">
        <v>4465.07</v>
      </c>
      <c r="F927" s="4" t="inlineStr">
        <is>
          <t>Cash</t>
        </is>
      </c>
      <c r="G927" s="4" t="n"/>
      <c r="H927" s="4" t="inlineStr">
        <is>
          <t>Health Care</t>
        </is>
      </c>
      <c r="I927" s="4" t="inlineStr">
        <is>
          <t>Health Care</t>
        </is>
      </c>
      <c r="J927" s="4" t="inlineStr">
        <is>
          <t>Biotech &amp; Pharma</t>
        </is>
      </c>
      <c r="K927" s="4" t="n"/>
      <c r="L927" s="3" t="n">
        <v>162.5</v>
      </c>
      <c r="M927" s="3" t="n">
        <v>110.15</v>
      </c>
      <c r="N927" s="3" t="n">
        <v>4298.3</v>
      </c>
      <c r="O927" s="4" t="inlineStr">
        <is>
          <t>United States</t>
        </is>
      </c>
      <c r="P927" s="4" t="inlineStr">
        <is>
          <t>United Kingdom</t>
        </is>
      </c>
      <c r="Q927" s="4" t="inlineStr">
        <is>
          <t>Friendly</t>
        </is>
      </c>
      <c r="R927" s="3" t="n">
        <v>223.326</v>
      </c>
      <c r="S927" s="3" t="n">
        <v>-283.266</v>
      </c>
      <c r="T927" s="4" t="inlineStr">
        <is>
          <t>Company Takeover, Cross Border, Tender Offer</t>
        </is>
      </c>
      <c r="U927" s="2" t="inlineStr">
        <is>
          <t>No</t>
        </is>
      </c>
      <c r="V927" s="2" t="inlineStr">
        <is>
          <t>No</t>
        </is>
      </c>
      <c r="W927" s="2" t="inlineStr">
        <is>
          <t>Yes</t>
        </is>
      </c>
      <c r="X927" s="2" t="inlineStr">
        <is>
          <t>No</t>
        </is>
      </c>
      <c r="Y927" s="2" t="inlineStr">
        <is>
          <t>No</t>
        </is>
      </c>
      <c r="Z927" s="2" t="inlineStr">
        <is>
          <t>Yes</t>
        </is>
      </c>
      <c r="AA927" s="6" t="n">
        <v>3.649828272</v>
      </c>
      <c r="AB927" s="6" t="n">
        <v>2.348939287</v>
      </c>
      <c r="AC927" s="6" t="n">
        <v>3.633296724</v>
      </c>
      <c r="AD927">
        <f t="array" ref="AD927">IF(SUMPRODUCT(--($AM$2:$AM$112=TRIM(LEFT($B927,IFERROR(FIND(" ",$B927)-1,LEN($B927))))))&gt;0,1,0)</f>
        <v/>
      </c>
      <c r="AE927">
        <f t="array" ref="AE927">IF(SUMPRODUCT(--($AO$2:$AO$145=TRIM(LEFT($B927,IFERROR(FIND(" ",$B927)-1,LEN($B927))))))&gt;0,1,0)</f>
        <v/>
      </c>
      <c r="AF927">
        <f t="array" ref="AF927">IF(SUMPRODUCT(--($AQ$2:$AQ$71=TRIM(LEFT($B927,IFERROR(FIND(" ",$B927)-1,LEN($B927))))))&gt;0,1,0)</f>
        <v/>
      </c>
    </row>
    <row r="928" ht="45.75" customHeight="1" thickBot="1">
      <c r="A928" s="13" t="n">
        <v>91</v>
      </c>
      <c r="B928" s="4" t="inlineStr">
        <is>
          <t>EGL US</t>
        </is>
      </c>
      <c r="C928" s="4" t="inlineStr">
        <is>
          <t>SAIC US</t>
        </is>
      </c>
      <c r="D928" s="7" t="n">
        <v>43353</v>
      </c>
      <c r="E928" s="3" t="n">
        <v>2376.99</v>
      </c>
      <c r="F928" s="4" t="inlineStr">
        <is>
          <t>Stock</t>
        </is>
      </c>
      <c r="G928" s="3" t="n">
        <v>14.31</v>
      </c>
      <c r="H928" s="4" t="inlineStr">
        <is>
          <t>Technology</t>
        </is>
      </c>
      <c r="I928" s="4" t="inlineStr">
        <is>
          <t>Software &amp; Tech Services</t>
        </is>
      </c>
      <c r="J928" s="4" t="inlineStr">
        <is>
          <t>IT Services</t>
        </is>
      </c>
      <c r="K928" s="3" t="n">
        <v>100</v>
      </c>
      <c r="L928" s="3" t="n">
        <v>50</v>
      </c>
      <c r="M928" s="3" t="n">
        <v>16.25</v>
      </c>
      <c r="N928" s="3" t="n">
        <v>1491.59</v>
      </c>
      <c r="O928" s="4" t="inlineStr">
        <is>
          <t>United States</t>
        </is>
      </c>
      <c r="P928" s="4" t="inlineStr">
        <is>
          <t>United States</t>
        </is>
      </c>
      <c r="Q928" s="4" t="inlineStr">
        <is>
          <t>Friendly</t>
        </is>
      </c>
      <c r="R928" s="3" t="n">
        <v>1931.89</v>
      </c>
      <c r="S928" s="3" t="n">
        <v>5.91057</v>
      </c>
      <c r="T928" s="4" t="inlineStr">
        <is>
          <t>Company Takeover</t>
        </is>
      </c>
      <c r="U928" s="2" t="inlineStr">
        <is>
          <t>No</t>
        </is>
      </c>
      <c r="V928" s="2" t="inlineStr">
        <is>
          <t>No</t>
        </is>
      </c>
      <c r="W928" s="2" t="inlineStr">
        <is>
          <t>No</t>
        </is>
      </c>
      <c r="X928" s="2" t="inlineStr">
        <is>
          <t>No</t>
        </is>
      </c>
      <c r="Y928" s="2" t="inlineStr">
        <is>
          <t>No</t>
        </is>
      </c>
      <c r="Z928" s="2" t="inlineStr">
        <is>
          <t>No</t>
        </is>
      </c>
      <c r="AA928" s="6" t="n">
        <v>3.376027355</v>
      </c>
      <c r="AB928" s="6" t="n">
        <v>3.285982394</v>
      </c>
      <c r="AC928" s="6" t="n">
        <v>3.173649463</v>
      </c>
      <c r="AD928">
        <f t="array" ref="AD928">IF(SUMPRODUCT(--($AM$2:$AM$112=TRIM(LEFT($B928,IFERROR(FIND(" ",$B928)-1,LEN($B928))))))&gt;0,1,0)</f>
        <v/>
      </c>
      <c r="AE928">
        <f t="array" ref="AE928">IF(SUMPRODUCT(--($AO$2:$AO$145=TRIM(LEFT($B928,IFERROR(FIND(" ",$B928)-1,LEN($B928))))))&gt;0,1,0)</f>
        <v/>
      </c>
      <c r="AF928">
        <f t="array" ref="AF928">IF(SUMPRODUCT(--($AQ$2:$AQ$71=TRIM(LEFT($B928,IFERROR(FIND(" ",$B928)-1,LEN($B928))))))&gt;0,1,0)</f>
        <v/>
      </c>
    </row>
    <row r="929" ht="135.75" customHeight="1" thickBot="1">
      <c r="A929" s="13" t="n">
        <v>68</v>
      </c>
      <c r="B929" s="4" t="inlineStr">
        <is>
          <t>IMPV US</t>
        </is>
      </c>
      <c r="C929" s="4" t="inlineStr">
        <is>
          <t>129626Z US</t>
        </is>
      </c>
      <c r="D929" s="7" t="n">
        <v>43383</v>
      </c>
      <c r="E929" s="3" t="n">
        <v>1554.11</v>
      </c>
      <c r="F929" s="4" t="inlineStr">
        <is>
          <t>Cash</t>
        </is>
      </c>
      <c r="G929" s="3" t="n">
        <v>3100.71</v>
      </c>
      <c r="H929" s="4" t="inlineStr">
        <is>
          <t>Technology</t>
        </is>
      </c>
      <c r="I929" s="4" t="inlineStr">
        <is>
          <t>Software &amp; Tech Services</t>
        </is>
      </c>
      <c r="J929" s="4" t="inlineStr">
        <is>
          <t>Software</t>
        </is>
      </c>
      <c r="K929" s="4" t="n"/>
      <c r="L929" s="4" t="n"/>
      <c r="M929" s="4" t="n"/>
      <c r="N929" s="3" t="n">
        <v>1950.91</v>
      </c>
      <c r="O929" s="4" t="inlineStr">
        <is>
          <t>United States</t>
        </is>
      </c>
      <c r="P929" s="4" t="inlineStr">
        <is>
          <t>United States</t>
        </is>
      </c>
      <c r="Q929" s="4" t="inlineStr">
        <is>
          <t>Friendly</t>
        </is>
      </c>
      <c r="R929" s="3" t="n">
        <v>321.716</v>
      </c>
      <c r="S929" s="3" t="n">
        <v>-3.5007</v>
      </c>
      <c r="T929" s="4" t="inlineStr">
        <is>
          <t>PE Buyout, Company Takeover, Private Equity, Going Private</t>
        </is>
      </c>
      <c r="U929" s="2" t="inlineStr">
        <is>
          <t>No</t>
        </is>
      </c>
      <c r="V929" s="2" t="inlineStr">
        <is>
          <t>No</t>
        </is>
      </c>
      <c r="W929" s="2" t="inlineStr">
        <is>
          <t>No</t>
        </is>
      </c>
      <c r="X929" s="2" t="inlineStr">
        <is>
          <t>Yes</t>
        </is>
      </c>
      <c r="Y929" s="2" t="inlineStr">
        <is>
          <t>Yes</t>
        </is>
      </c>
      <c r="Z929" s="2" t="inlineStr">
        <is>
          <t>No</t>
        </is>
      </c>
      <c r="AA929" s="6" t="n">
        <v>3.191481755</v>
      </c>
      <c r="AB929" s="6" t="n">
        <v>2.50747266</v>
      </c>
      <c r="AC929" s="6" t="n">
        <v>3.290237235</v>
      </c>
      <c r="AD929">
        <f t="array" ref="AD929">IF(SUMPRODUCT(--($AM$2:$AM$112=TRIM(LEFT($B929,IFERROR(FIND(" ",$B929)-1,LEN($B929))))))&gt;0,1,0)</f>
        <v/>
      </c>
      <c r="AE929">
        <f t="array" ref="AE929">IF(SUMPRODUCT(--($AO$2:$AO$145=TRIM(LEFT($B929,IFERROR(FIND(" ",$B929)-1,LEN($B929))))))&gt;0,1,0)</f>
        <v/>
      </c>
      <c r="AF929">
        <f t="array" ref="AF929">IF(SUMPRODUCT(--($AQ$2:$AQ$71=TRIM(LEFT($B929,IFERROR(FIND(" ",$B929)-1,LEN($B929))))))&gt;0,1,0)</f>
        <v/>
      </c>
    </row>
    <row r="930" ht="165.75" customHeight="1" thickBot="1">
      <c r="A930" s="13" t="n">
        <v>31</v>
      </c>
      <c r="B930" s="4" t="inlineStr">
        <is>
          <t>EQGP US</t>
        </is>
      </c>
      <c r="C930" s="4" t="inlineStr">
        <is>
          <t>ETRN US</t>
        </is>
      </c>
      <c r="D930" s="7" t="n">
        <v>43434</v>
      </c>
      <c r="E930" s="3" t="n">
        <v>529.3</v>
      </c>
      <c r="F930" s="4" t="inlineStr">
        <is>
          <t>Cash</t>
        </is>
      </c>
      <c r="G930" s="3" t="n">
        <v>6.52</v>
      </c>
      <c r="H930" s="4" t="inlineStr">
        <is>
          <t>Energy</t>
        </is>
      </c>
      <c r="I930" s="4" t="inlineStr">
        <is>
          <t>Oil &amp; Gas</t>
        </is>
      </c>
      <c r="J930" s="4" t="inlineStr">
        <is>
          <t>Oil &amp; Gas Supply Chain</t>
        </is>
      </c>
      <c r="K930" s="4" t="n"/>
      <c r="L930" s="4" t="n"/>
      <c r="M930" s="3" t="n">
        <v>23.49</v>
      </c>
      <c r="N930" s="3" t="n">
        <v>529.3</v>
      </c>
      <c r="O930" s="4" t="inlineStr">
        <is>
          <t>United States</t>
        </is>
      </c>
      <c r="P930" s="4" t="inlineStr">
        <is>
          <t>United States</t>
        </is>
      </c>
      <c r="Q930" s="4" t="inlineStr">
        <is>
          <t>Friendly</t>
        </is>
      </c>
      <c r="R930" s="3" t="n">
        <v>834.096</v>
      </c>
      <c r="S930" s="3" t="n">
        <v>67.48220000000001</v>
      </c>
      <c r="T930" s="4" t="inlineStr">
        <is>
          <t>Option Agreement, Company Takeover, Additional Stake Purchase</t>
        </is>
      </c>
      <c r="U930" s="2" t="inlineStr">
        <is>
          <t>Yes</t>
        </is>
      </c>
      <c r="V930" s="2" t="inlineStr">
        <is>
          <t>No</t>
        </is>
      </c>
      <c r="W930" s="2" t="inlineStr">
        <is>
          <t>No</t>
        </is>
      </c>
      <c r="X930" s="2" t="inlineStr">
        <is>
          <t>No</t>
        </is>
      </c>
      <c r="Y930" s="2" t="inlineStr">
        <is>
          <t>No</t>
        </is>
      </c>
      <c r="Z930" s="2" t="inlineStr">
        <is>
          <t>No</t>
        </is>
      </c>
      <c r="AA930" s="6" t="n">
        <v>2.723701894</v>
      </c>
      <c r="AB930" s="6" t="n">
        <v>2.921216038</v>
      </c>
      <c r="AC930" s="6" t="n">
        <v>2.723701894</v>
      </c>
      <c r="AD930">
        <f t="array" ref="AD930">IF(SUMPRODUCT(--($AM$2:$AM$112=TRIM(LEFT($B930,IFERROR(FIND(" ",$B930)-1,LEN($B930))))))&gt;0,1,0)</f>
        <v/>
      </c>
      <c r="AE930">
        <f t="array" ref="AE930">IF(SUMPRODUCT(--($AO$2:$AO$145=TRIM(LEFT($B930,IFERROR(FIND(" ",$B930)-1,LEN($B930))))))&gt;0,1,0)</f>
        <v/>
      </c>
      <c r="AF930">
        <f t="array" ref="AF930">IF(SUMPRODUCT(--($AQ$2:$AQ$71=TRIM(LEFT($B930,IFERROR(FIND(" ",$B930)-1,LEN($B930))))))&gt;0,1,0)</f>
        <v/>
      </c>
    </row>
    <row r="931" ht="135.75" customHeight="1" thickBot="1">
      <c r="A931" s="13" t="n">
        <v>44</v>
      </c>
      <c r="B931" s="4" t="inlineStr">
        <is>
          <t>APTI US</t>
        </is>
      </c>
      <c r="C931" s="4" t="inlineStr">
        <is>
          <t>389272Z US</t>
        </is>
      </c>
      <c r="D931" s="7" t="n">
        <v>43415</v>
      </c>
      <c r="E931" s="3" t="n">
        <v>1649.76</v>
      </c>
      <c r="F931" s="4" t="inlineStr">
        <is>
          <t>Cash</t>
        </is>
      </c>
      <c r="G931" s="4" t="n"/>
      <c r="H931" s="4" t="inlineStr">
        <is>
          <t>Technology</t>
        </is>
      </c>
      <c r="I931" s="4" t="inlineStr">
        <is>
          <t>Software &amp; Tech Services</t>
        </is>
      </c>
      <c r="J931" s="4" t="inlineStr">
        <is>
          <t>Software</t>
        </is>
      </c>
      <c r="K931" s="4" t="n"/>
      <c r="L931" s="3" t="n">
        <v>58.14</v>
      </c>
      <c r="M931" s="4" t="n"/>
      <c r="N931" s="3" t="n">
        <v>1795.03</v>
      </c>
      <c r="O931" s="4" t="inlineStr">
        <is>
          <t>United States</t>
        </is>
      </c>
      <c r="P931" s="4" t="inlineStr">
        <is>
          <t>United States</t>
        </is>
      </c>
      <c r="Q931" s="4" t="inlineStr">
        <is>
          <t>Friendly</t>
        </is>
      </c>
      <c r="R931" s="3" t="n">
        <v>188.519</v>
      </c>
      <c r="S931" s="3" t="n">
        <v>-9.77237</v>
      </c>
      <c r="T931" s="4" t="inlineStr">
        <is>
          <t>PE Buyout, Company Takeover, Private Equity, Going Private</t>
        </is>
      </c>
      <c r="U931" s="2" t="inlineStr">
        <is>
          <t>No</t>
        </is>
      </c>
      <c r="V931" s="2" t="inlineStr">
        <is>
          <t>No</t>
        </is>
      </c>
      <c r="W931" s="2" t="inlineStr">
        <is>
          <t>No</t>
        </is>
      </c>
      <c r="X931" s="2" t="inlineStr">
        <is>
          <t>Yes</t>
        </is>
      </c>
      <c r="Y931" s="2" t="inlineStr">
        <is>
          <t>Yes</t>
        </is>
      </c>
      <c r="Z931" s="2" t="inlineStr">
        <is>
          <t>No</t>
        </is>
      </c>
      <c r="AA931" s="6" t="n">
        <v>3.21742077</v>
      </c>
      <c r="AB931" s="6" t="n">
        <v>2.275355127</v>
      </c>
      <c r="AC931" s="6" t="n">
        <v>3.254071711</v>
      </c>
      <c r="AD931">
        <f t="array" ref="AD931">IF(SUMPRODUCT(--($AM$2:$AM$112=TRIM(LEFT($B931,IFERROR(FIND(" ",$B931)-1,LEN($B931))))))&gt;0,1,0)</f>
        <v/>
      </c>
      <c r="AE931">
        <f t="array" ref="AE931">IF(SUMPRODUCT(--($AO$2:$AO$145=TRIM(LEFT($B931,IFERROR(FIND(" ",$B931)-1,LEN($B931))))))&gt;0,1,0)</f>
        <v/>
      </c>
      <c r="AF931">
        <f t="array" ref="AF931">IF(SUMPRODUCT(--($AQ$2:$AQ$71=TRIM(LEFT($B931,IFERROR(FIND(" ",$B931)-1,LEN($B931))))))&gt;0,1,0)</f>
        <v/>
      </c>
    </row>
    <row r="932" ht="120.75" customHeight="1" thickBot="1">
      <c r="A932" s="13" t="n">
        <v>61</v>
      </c>
      <c r="B932" s="4" t="inlineStr">
        <is>
          <t>VLP US</t>
        </is>
      </c>
      <c r="C932" s="4" t="inlineStr">
        <is>
          <t>VLO US</t>
        </is>
      </c>
      <c r="D932" s="7" t="n">
        <v>43391</v>
      </c>
      <c r="E932" s="3" t="n">
        <v>950.47</v>
      </c>
      <c r="F932" s="4" t="inlineStr">
        <is>
          <t>Cash</t>
        </is>
      </c>
      <c r="G932" s="3" t="n">
        <v>7.54</v>
      </c>
      <c r="H932" s="4" t="inlineStr">
        <is>
          <t>Energy</t>
        </is>
      </c>
      <c r="I932" s="4" t="inlineStr">
        <is>
          <t>Oil &amp; Gas</t>
        </is>
      </c>
      <c r="J932" s="4" t="inlineStr">
        <is>
          <t>Oil &amp; Gas Supply Chain</t>
        </is>
      </c>
      <c r="K932" s="4" t="n"/>
      <c r="L932" s="4" t="n"/>
      <c r="M932" s="3" t="n">
        <v>9.539999999999999</v>
      </c>
      <c r="N932" s="3" t="n">
        <v>950.47</v>
      </c>
      <c r="O932" s="4" t="inlineStr">
        <is>
          <t>United States</t>
        </is>
      </c>
      <c r="P932" s="4" t="inlineStr">
        <is>
          <t>United States</t>
        </is>
      </c>
      <c r="Q932" s="4" t="inlineStr">
        <is>
          <t>Friendly</t>
        </is>
      </c>
      <c r="R932" s="3" t="n">
        <v>144766</v>
      </c>
      <c r="S932" s="2" t="n"/>
      <c r="T932" s="4" t="inlineStr">
        <is>
          <t>Company Takeover, Additional Stake Purchase</t>
        </is>
      </c>
      <c r="U932" s="2" t="inlineStr">
        <is>
          <t>Yes</t>
        </is>
      </c>
      <c r="V932" s="2" t="inlineStr">
        <is>
          <t>No</t>
        </is>
      </c>
      <c r="W932" s="2" t="inlineStr">
        <is>
          <t>No</t>
        </is>
      </c>
      <c r="X932" s="2" t="inlineStr">
        <is>
          <t>No</t>
        </is>
      </c>
      <c r="Y932" s="2" t="inlineStr">
        <is>
          <t>No</t>
        </is>
      </c>
      <c r="Z932" s="2" t="inlineStr">
        <is>
          <t>No</t>
        </is>
      </c>
      <c r="AA932" s="6" t="n">
        <v>2.977938414</v>
      </c>
      <c r="AB932" s="6" t="n">
        <v>5.160666575</v>
      </c>
      <c r="AC932" s="6" t="n">
        <v>2.977938414</v>
      </c>
      <c r="AD932">
        <f t="array" ref="AD932">IF(SUMPRODUCT(--($AM$2:$AM$112=TRIM(LEFT($B932,IFERROR(FIND(" ",$B932)-1,LEN($B932))))))&gt;0,1,0)</f>
        <v/>
      </c>
      <c r="AE932">
        <f t="array" ref="AE932">IF(SUMPRODUCT(--($AO$2:$AO$145=TRIM(LEFT($B932,IFERROR(FIND(" ",$B932)-1,LEN($B932))))))&gt;0,1,0)</f>
        <v/>
      </c>
      <c r="AF932">
        <f t="array" ref="AF932">IF(SUMPRODUCT(--($AQ$2:$AQ$71=TRIM(LEFT($B932,IFERROR(FIND(" ",$B932)-1,LEN($B932))))))&gt;0,1,0)</f>
        <v/>
      </c>
    </row>
    <row r="933" ht="75.75" customHeight="1" thickBot="1">
      <c r="A933" s="13" t="n">
        <v>177</v>
      </c>
      <c r="B933" s="4" t="inlineStr">
        <is>
          <t>SHP LN</t>
        </is>
      </c>
      <c r="C933" s="4" t="inlineStr">
        <is>
          <t>4502 JP</t>
        </is>
      </c>
      <c r="D933" s="7" t="n">
        <v>43228</v>
      </c>
      <c r="E933" s="3" t="n">
        <v>80971.73</v>
      </c>
      <c r="F933" s="4" t="inlineStr">
        <is>
          <t>Cash and Stock</t>
        </is>
      </c>
      <c r="G933" s="3" t="n">
        <v>16.02</v>
      </c>
      <c r="H933" s="4" t="inlineStr">
        <is>
          <t>Health Care</t>
        </is>
      </c>
      <c r="I933" s="4" t="inlineStr">
        <is>
          <t>Health Care</t>
        </is>
      </c>
      <c r="J933" s="4" t="inlineStr">
        <is>
          <t>Biotech &amp; Pharma</t>
        </is>
      </c>
      <c r="K933" s="3" t="n">
        <v>1224.01</v>
      </c>
      <c r="L933" s="4" t="n"/>
      <c r="M933" s="3" t="n">
        <v>32.57</v>
      </c>
      <c r="N933" s="3" t="n">
        <v>62768.53</v>
      </c>
      <c r="O933" s="4" t="inlineStr">
        <is>
          <t>United States</t>
        </is>
      </c>
      <c r="P933" s="4" t="inlineStr">
        <is>
          <t>Japan</t>
        </is>
      </c>
      <c r="Q933" s="4" t="inlineStr">
        <is>
          <t>Friendly</t>
        </is>
      </c>
      <c r="R933" s="3" t="n">
        <v>15160.6</v>
      </c>
      <c r="S933" s="3" t="n">
        <v>21.2116</v>
      </c>
      <c r="T933" s="4" t="inlineStr">
        <is>
          <t>Company Takeover, Cross Border</t>
        </is>
      </c>
      <c r="U933" s="2" t="inlineStr">
        <is>
          <t>No</t>
        </is>
      </c>
      <c r="V933" s="2" t="inlineStr">
        <is>
          <t>No</t>
        </is>
      </c>
      <c r="W933" s="2" t="inlineStr">
        <is>
          <t>Yes</t>
        </is>
      </c>
      <c r="X933" s="2" t="inlineStr">
        <is>
          <t>No</t>
        </is>
      </c>
      <c r="Y933" s="2" t="inlineStr">
        <is>
          <t>No</t>
        </is>
      </c>
      <c r="Z933" s="2" t="inlineStr">
        <is>
          <t>No</t>
        </is>
      </c>
      <c r="AA933" s="6" t="n">
        <v>4.908333418</v>
      </c>
      <c r="AB933" s="6" t="n">
        <v>4.180716389</v>
      </c>
      <c r="AC933" s="6" t="n">
        <v>4.797741958</v>
      </c>
      <c r="AD933">
        <f t="array" ref="AD933">IF(SUMPRODUCT(--($AM$2:$AM$112=TRIM(LEFT($B933,IFERROR(FIND(" ",$B933)-1,LEN($B933))))))&gt;0,1,0)</f>
        <v/>
      </c>
      <c r="AE933">
        <f t="array" ref="AE933">IF(SUMPRODUCT(--($AO$2:$AO$145=TRIM(LEFT($B933,IFERROR(FIND(" ",$B933)-1,LEN($B933))))))&gt;0,1,0)</f>
        <v/>
      </c>
      <c r="AF933">
        <f t="array" ref="AF933">IF(SUMPRODUCT(--($AQ$2:$AQ$71=TRIM(LEFT($B933,IFERROR(FIND(" ",$B933)-1,LEN($B933))))))&gt;0,1,0)</f>
        <v/>
      </c>
    </row>
    <row r="934" ht="165.75" customHeight="1" thickBot="1">
      <c r="A934" s="13" t="n">
        <v>45</v>
      </c>
      <c r="B934" s="4" t="inlineStr">
        <is>
          <t>CVON US</t>
        </is>
      </c>
      <c r="C934" s="4" t="inlineStr">
        <is>
          <t>2270Z LN</t>
        </is>
      </c>
      <c r="D934" s="7" t="n">
        <v>43410</v>
      </c>
      <c r="E934" s="3" t="n">
        <v>1652.27</v>
      </c>
      <c r="F934" s="4" t="inlineStr">
        <is>
          <t>Cash</t>
        </is>
      </c>
      <c r="G934" s="3" t="n">
        <v>22.91</v>
      </c>
      <c r="H934" s="4" t="inlineStr">
        <is>
          <t>Technology</t>
        </is>
      </c>
      <c r="I934" s="4" t="inlineStr">
        <is>
          <t>Software &amp; Tech Services</t>
        </is>
      </c>
      <c r="J934" s="4" t="inlineStr">
        <is>
          <t>IT Services</t>
        </is>
      </c>
      <c r="K934" s="4" t="n"/>
      <c r="L934" s="4" t="n"/>
      <c r="M934" s="4" t="n"/>
      <c r="N934" s="3" t="n">
        <v>954.98</v>
      </c>
      <c r="O934" s="4" t="inlineStr">
        <is>
          <t>United States</t>
        </is>
      </c>
      <c r="P934" s="4" t="inlineStr">
        <is>
          <t>United Kingdom</t>
        </is>
      </c>
      <c r="Q934" s="4" t="inlineStr">
        <is>
          <t>Friendly</t>
        </is>
      </c>
      <c r="R934" s="2" t="n"/>
      <c r="S934" s="3" t="n">
        <v>2.97085</v>
      </c>
      <c r="T934" s="4" t="inlineStr">
        <is>
          <t>PE Buyout, Company Takeover, Private Equity, Tender Offer, Going Private</t>
        </is>
      </c>
      <c r="U934" s="2" t="inlineStr">
        <is>
          <t>No</t>
        </is>
      </c>
      <c r="V934" s="2" t="inlineStr">
        <is>
          <t>No</t>
        </is>
      </c>
      <c r="W934" s="2" t="inlineStr">
        <is>
          <t>No</t>
        </is>
      </c>
      <c r="X934" s="2" t="inlineStr">
        <is>
          <t>Yes</t>
        </is>
      </c>
      <c r="Y934" s="2" t="inlineStr">
        <is>
          <t>Yes</t>
        </is>
      </c>
      <c r="Z934" s="2" t="inlineStr">
        <is>
          <t>Yes</t>
        </is>
      </c>
      <c r="AA934" s="6" t="n">
        <v>3.218081018</v>
      </c>
      <c r="AB934" s="2" t="n"/>
      <c r="AC934" s="6" t="n">
        <v>2.979994276</v>
      </c>
      <c r="AD934">
        <f t="array" ref="AD934">IF(SUMPRODUCT(--($AM$2:$AM$112=TRIM(LEFT($B934,IFERROR(FIND(" ",$B934)-1,LEN($B934))))))&gt;0,1,0)</f>
        <v/>
      </c>
      <c r="AE934">
        <f t="array" ref="AE934">IF(SUMPRODUCT(--($AO$2:$AO$145=TRIM(LEFT($B934,IFERROR(FIND(" ",$B934)-1,LEN($B934))))))&gt;0,1,0)</f>
        <v/>
      </c>
      <c r="AF934">
        <f t="array" ref="AF934">IF(SUMPRODUCT(--($AQ$2:$AQ$71=TRIM(LEFT($B934,IFERROR(FIND(" ",$B934)-1,LEN($B934))))))&gt;0,1,0)</f>
        <v/>
      </c>
    </row>
    <row r="935" ht="45.75" customHeight="1" thickBot="1">
      <c r="A935" s="13" t="n">
        <v>68</v>
      </c>
      <c r="B935" s="4" t="inlineStr">
        <is>
          <t>HDP US</t>
        </is>
      </c>
      <c r="C935" s="4" t="inlineStr">
        <is>
          <t>CLDR US</t>
        </is>
      </c>
      <c r="D935" s="7" t="n">
        <v>43376</v>
      </c>
      <c r="E935" s="3" t="n">
        <v>1826.47</v>
      </c>
      <c r="F935" s="4" t="inlineStr">
        <is>
          <t>Stock</t>
        </is>
      </c>
      <c r="G935" s="4" t="n"/>
      <c r="H935" s="4" t="inlineStr">
        <is>
          <t>Technology</t>
        </is>
      </c>
      <c r="I935" s="4" t="inlineStr">
        <is>
          <t>Software &amp; Tech Services</t>
        </is>
      </c>
      <c r="J935" s="4" t="inlineStr">
        <is>
          <t>Software</t>
        </is>
      </c>
      <c r="K935" s="3" t="n">
        <v>95</v>
      </c>
      <c r="L935" s="3" t="n">
        <v>65</v>
      </c>
      <c r="M935" s="3" t="n">
        <v>-0.41</v>
      </c>
      <c r="N935" s="3" t="n">
        <v>1907.93</v>
      </c>
      <c r="O935" s="4" t="inlineStr">
        <is>
          <t>United States</t>
        </is>
      </c>
      <c r="P935" s="4" t="inlineStr">
        <is>
          <t>United States</t>
        </is>
      </c>
      <c r="Q935" s="4" t="inlineStr">
        <is>
          <t>Friendly</t>
        </is>
      </c>
      <c r="R935" s="3" t="n">
        <v>261.81</v>
      </c>
      <c r="S935" s="3" t="n">
        <v>-48.9575</v>
      </c>
      <c r="T935" s="4" t="inlineStr">
        <is>
          <t>Company Takeover</t>
        </is>
      </c>
      <c r="U935" s="2" t="inlineStr">
        <is>
          <t>No</t>
        </is>
      </c>
      <c r="V935" s="2" t="inlineStr">
        <is>
          <t>No</t>
        </is>
      </c>
      <c r="W935" s="2" t="inlineStr">
        <is>
          <t>No</t>
        </is>
      </c>
      <c r="X935" s="2" t="inlineStr">
        <is>
          <t>No</t>
        </is>
      </c>
      <c r="Y935" s="2" t="inlineStr">
        <is>
          <t>No</t>
        </is>
      </c>
      <c r="Z935" s="2" t="inlineStr">
        <is>
          <t>No</t>
        </is>
      </c>
      <c r="AA935" s="6" t="n">
        <v>3.261612543</v>
      </c>
      <c r="AB935" s="6" t="n">
        <v>2.417986231</v>
      </c>
      <c r="AC935" s="6" t="n">
        <v>3.280562437</v>
      </c>
      <c r="AD935">
        <f t="array" ref="AD935">IF(SUMPRODUCT(--($AM$2:$AM$112=TRIM(LEFT($B935,IFERROR(FIND(" ",$B935)-1,LEN($B935))))))&gt;0,1,0)</f>
        <v/>
      </c>
      <c r="AE935">
        <f t="array" ref="AE935">IF(SUMPRODUCT(--($AO$2:$AO$145=TRIM(LEFT($B935,IFERROR(FIND(" ",$B935)-1,LEN($B935))))))&gt;0,1,0)</f>
        <v/>
      </c>
      <c r="AF935">
        <f t="array" ref="AF935">IF(SUMPRODUCT(--($AQ$2:$AQ$71=TRIM(LEFT($B935,IFERROR(FIND(" ",$B935)-1,LEN($B935))))))&gt;0,1,0)</f>
        <v/>
      </c>
    </row>
    <row r="936" ht="45.75" customHeight="1" thickBot="1">
      <c r="A936" s="13" t="n">
        <v>261</v>
      </c>
      <c r="B936" s="4" t="inlineStr">
        <is>
          <t>SCG US</t>
        </is>
      </c>
      <c r="C936" s="4" t="inlineStr">
        <is>
          <t>D US</t>
        </is>
      </c>
      <c r="D936" s="7" t="n">
        <v>43103</v>
      </c>
      <c r="E936" s="3" t="n">
        <v>14504.33</v>
      </c>
      <c r="F936" s="4" t="inlineStr">
        <is>
          <t>Stock</t>
        </is>
      </c>
      <c r="G936" s="3" t="n">
        <v>27.57</v>
      </c>
      <c r="H936" s="4" t="inlineStr">
        <is>
          <t>Utilities</t>
        </is>
      </c>
      <c r="I936" s="4" t="inlineStr">
        <is>
          <t>Utilities</t>
        </is>
      </c>
      <c r="J936" s="4" t="inlineStr">
        <is>
          <t>Electric Utilities</t>
        </is>
      </c>
      <c r="K936" s="4" t="n"/>
      <c r="L936" s="3" t="n">
        <v>240</v>
      </c>
      <c r="M936" s="3" t="n">
        <v>31.84</v>
      </c>
      <c r="N936" s="3" t="n">
        <v>7861.33</v>
      </c>
      <c r="O936" s="4" t="inlineStr">
        <is>
          <t>United States</t>
        </is>
      </c>
      <c r="P936" s="4" t="inlineStr">
        <is>
          <t>United States</t>
        </is>
      </c>
      <c r="Q936" s="4" t="inlineStr">
        <is>
          <t>Friendly</t>
        </is>
      </c>
      <c r="R936" s="3" t="n">
        <v>4052</v>
      </c>
      <c r="S936" s="3" t="n">
        <v>-17.9911</v>
      </c>
      <c r="T936" s="4" t="inlineStr">
        <is>
          <t>Company Takeover</t>
        </is>
      </c>
      <c r="U936" s="2" t="inlineStr">
        <is>
          <t>No</t>
        </is>
      </c>
      <c r="V936" s="2" t="inlineStr">
        <is>
          <t>No</t>
        </is>
      </c>
      <c r="W936" s="2" t="inlineStr">
        <is>
          <t>No</t>
        </is>
      </c>
      <c r="X936" s="2" t="inlineStr">
        <is>
          <t>No</t>
        </is>
      </c>
      <c r="Y936" s="2" t="inlineStr">
        <is>
          <t>No</t>
        </is>
      </c>
      <c r="Z936" s="2" t="inlineStr">
        <is>
          <t>No</t>
        </is>
      </c>
      <c r="AA936" s="6" t="n">
        <v>4.161497672</v>
      </c>
      <c r="AB936" s="6" t="n">
        <v>3.607669437</v>
      </c>
      <c r="AC936" s="6" t="n">
        <v>3.895496027</v>
      </c>
      <c r="AD936">
        <f t="array" ref="AD936">IF(SUMPRODUCT(--($AM$2:$AM$112=TRIM(LEFT($B936,IFERROR(FIND(" ",$B936)-1,LEN($B936))))))&gt;0,1,0)</f>
        <v/>
      </c>
      <c r="AE936">
        <f t="array" ref="AE936">IF(SUMPRODUCT(--($AO$2:$AO$145=TRIM(LEFT($B936,IFERROR(FIND(" ",$B936)-1,LEN($B936))))))&gt;0,1,0)</f>
        <v/>
      </c>
      <c r="AF936">
        <f t="array" ref="AF936">IF(SUMPRODUCT(--($AQ$2:$AQ$71=TRIM(LEFT($B936,IFERROR(FIND(" ",$B936)-1,LEN($B936))))))&gt;0,1,0)</f>
        <v/>
      </c>
    </row>
    <row r="937" ht="45.75" customHeight="1" thickBot="1">
      <c r="A937" s="13" t="n">
        <v>78</v>
      </c>
      <c r="B937" s="4" t="inlineStr">
        <is>
          <t>SIR US</t>
        </is>
      </c>
      <c r="C937" s="4" t="inlineStr">
        <is>
          <t>OPITQ US</t>
        </is>
      </c>
      <c r="D937" s="7" t="n">
        <v>43360</v>
      </c>
      <c r="E937" s="3" t="n">
        <v>3680.12</v>
      </c>
      <c r="F937" s="4" t="inlineStr">
        <is>
          <t>Stock</t>
        </is>
      </c>
      <c r="G937" s="3" t="n">
        <v>12.67</v>
      </c>
      <c r="H937" s="4" t="inlineStr">
        <is>
          <t>Real Estate</t>
        </is>
      </c>
      <c r="I937" s="4" t="inlineStr">
        <is>
          <t>Real Estate</t>
        </is>
      </c>
      <c r="J937" s="4" t="inlineStr">
        <is>
          <t>REIT</t>
        </is>
      </c>
      <c r="K937" s="4" t="n"/>
      <c r="L937" s="4" t="n"/>
      <c r="M937" s="3" t="n">
        <v>92.95</v>
      </c>
      <c r="N937" s="3" t="n">
        <v>1572.29</v>
      </c>
      <c r="O937" s="4" t="inlineStr">
        <is>
          <t>United States</t>
        </is>
      </c>
      <c r="P937" s="4" t="inlineStr">
        <is>
          <t>United States</t>
        </is>
      </c>
      <c r="Q937" s="4" t="inlineStr">
        <is>
          <t>Friendly</t>
        </is>
      </c>
      <c r="R937" s="3" t="n">
        <v>468.103</v>
      </c>
      <c r="S937" s="3" t="n">
        <v>26.7703</v>
      </c>
      <c r="T937" s="4" t="inlineStr">
        <is>
          <t>Company Takeover</t>
        </is>
      </c>
      <c r="U937" s="2" t="inlineStr">
        <is>
          <t>No</t>
        </is>
      </c>
      <c r="V937" s="2" t="inlineStr">
        <is>
          <t>No</t>
        </is>
      </c>
      <c r="W937" s="2" t="inlineStr">
        <is>
          <t>No</t>
        </is>
      </c>
      <c r="X937" s="2" t="inlineStr">
        <is>
          <t>No</t>
        </is>
      </c>
      <c r="Y937" s="2" t="inlineStr">
        <is>
          <t>No</t>
        </is>
      </c>
      <c r="Z937" s="2" t="inlineStr">
        <is>
          <t>No</t>
        </is>
      </c>
      <c r="AA937" s="6" t="n">
        <v>3.56586198</v>
      </c>
      <c r="AB937" s="6" t="n">
        <v>2.670341424</v>
      </c>
      <c r="AC937" s="6" t="n">
        <v>3.196532652</v>
      </c>
      <c r="AD937">
        <f t="array" ref="AD937">IF(SUMPRODUCT(--($AM$2:$AM$112=TRIM(LEFT($B937,IFERROR(FIND(" ",$B937)-1,LEN($B937))))))&gt;0,1,0)</f>
        <v/>
      </c>
      <c r="AE937">
        <f t="array" ref="AE937">IF(SUMPRODUCT(--($AO$2:$AO$145=TRIM(LEFT($B937,IFERROR(FIND(" ",$B937)-1,LEN($B937))))))&gt;0,1,0)</f>
        <v/>
      </c>
      <c r="AF937">
        <f t="array" ref="AF937">IF(SUMPRODUCT(--($AQ$2:$AQ$71=TRIM(LEFT($B937,IFERROR(FIND(" ",$B937)-1,LEN($B937))))))&gt;0,1,0)</f>
        <v/>
      </c>
    </row>
    <row r="938" ht="45.75" customHeight="1" thickBot="1">
      <c r="A938" s="13" t="n">
        <v>117</v>
      </c>
      <c r="B938" s="4" t="inlineStr">
        <is>
          <t>FCB US</t>
        </is>
      </c>
      <c r="C938" s="4" t="inlineStr">
        <is>
          <t>SNV US</t>
        </is>
      </c>
      <c r="D938" s="7" t="n">
        <v>43305</v>
      </c>
      <c r="E938" s="3" t="n">
        <v>2692.62</v>
      </c>
      <c r="F938" s="4" t="inlineStr">
        <is>
          <t>Stock</t>
        </is>
      </c>
      <c r="G938" s="4" t="n"/>
      <c r="H938" s="4" t="inlineStr">
        <is>
          <t>Financials</t>
        </is>
      </c>
      <c r="I938" s="4" t="inlineStr">
        <is>
          <t>Banking</t>
        </is>
      </c>
      <c r="J938" s="4" t="inlineStr">
        <is>
          <t>Banking</t>
        </is>
      </c>
      <c r="K938" s="3" t="n">
        <v>93.5</v>
      </c>
      <c r="L938" s="3" t="n">
        <v>93.5</v>
      </c>
      <c r="M938" s="3" t="n">
        <v>-4.79</v>
      </c>
      <c r="N938" s="3" t="n">
        <v>2692.62</v>
      </c>
      <c r="O938" s="4" t="inlineStr">
        <is>
          <t>United States</t>
        </is>
      </c>
      <c r="P938" s="4" t="inlineStr">
        <is>
          <t>United States</t>
        </is>
      </c>
      <c r="Q938" s="4" t="inlineStr">
        <is>
          <t>Friendly</t>
        </is>
      </c>
      <c r="R938" s="3" t="n">
        <v>409.117</v>
      </c>
      <c r="S938" s="3" t="n">
        <v>55.485</v>
      </c>
      <c r="T938" s="4" t="inlineStr">
        <is>
          <t>Company Takeover</t>
        </is>
      </c>
      <c r="U938" s="2" t="inlineStr">
        <is>
          <t>No</t>
        </is>
      </c>
      <c r="V938" s="2" t="inlineStr">
        <is>
          <t>No</t>
        </is>
      </c>
      <c r="W938" s="2" t="inlineStr">
        <is>
          <t>No</t>
        </is>
      </c>
      <c r="X938" s="2" t="inlineStr">
        <is>
          <t>No</t>
        </is>
      </c>
      <c r="Y938" s="2" t="inlineStr">
        <is>
          <t>No</t>
        </is>
      </c>
      <c r="Z938" s="2" t="inlineStr">
        <is>
          <t>No</t>
        </is>
      </c>
      <c r="AA938" s="6" t="n">
        <v>3.430175067</v>
      </c>
      <c r="AB938" s="6" t="n">
        <v>2.611847526</v>
      </c>
      <c r="AC938" s="6" t="n">
        <v>3.430175067</v>
      </c>
      <c r="AD938">
        <f t="array" ref="AD938">IF(SUMPRODUCT(--($AM$2:$AM$112=TRIM(LEFT($B938,IFERROR(FIND(" ",$B938)-1,LEN($B938))))))&gt;0,1,0)</f>
        <v/>
      </c>
      <c r="AE938">
        <f t="array" ref="AE938">IF(SUMPRODUCT(--($AO$2:$AO$145=TRIM(LEFT($B938,IFERROR(FIND(" ",$B938)-1,LEN($B938))))))&gt;0,1,0)</f>
        <v/>
      </c>
      <c r="AF938">
        <f t="array" ref="AF938">IF(SUMPRODUCT(--($AQ$2:$AQ$71=TRIM(LEFT($B938,IFERROR(FIND(" ",$B938)-1,LEN($B938))))))&gt;0,1,0)</f>
        <v/>
      </c>
    </row>
    <row r="939" ht="75.75" customHeight="1" thickBot="1">
      <c r="A939" s="13" t="n">
        <v>139</v>
      </c>
      <c r="B939" s="4" t="inlineStr">
        <is>
          <t>MSPP US</t>
        </is>
      </c>
      <c r="C939" s="4" t="inlineStr">
        <is>
          <t>WSC US</t>
        </is>
      </c>
      <c r="D939" s="7" t="n">
        <v>43273</v>
      </c>
      <c r="E939" s="3" t="n">
        <v>1141.72</v>
      </c>
      <c r="F939" s="4" t="inlineStr">
        <is>
          <t>Cash and Stock</t>
        </is>
      </c>
      <c r="G939" s="4" t="n"/>
      <c r="H939" s="4" t="inlineStr">
        <is>
          <t>Consumer Discretionary</t>
        </is>
      </c>
      <c r="I939" s="4" t="inlineStr">
        <is>
          <t>Consumer Discretionary Products</t>
        </is>
      </c>
      <c r="J939" s="4" t="inlineStr">
        <is>
          <t>Home Construction</t>
        </is>
      </c>
      <c r="K939" s="3" t="n">
        <v>35</v>
      </c>
      <c r="L939" s="4" t="n"/>
      <c r="M939" s="4" t="n"/>
      <c r="N939" s="3" t="n">
        <v>1141.72</v>
      </c>
      <c r="O939" s="4" t="inlineStr">
        <is>
          <t>United States</t>
        </is>
      </c>
      <c r="P939" s="4" t="inlineStr">
        <is>
          <t>United States</t>
        </is>
      </c>
      <c r="Q939" s="4" t="inlineStr">
        <is>
          <t>Friendly</t>
        </is>
      </c>
      <c r="R939" s="2" t="n"/>
      <c r="S939" s="2" t="n"/>
      <c r="T939" s="4" t="inlineStr">
        <is>
          <t>Company Takeover</t>
        </is>
      </c>
      <c r="U939" s="2" t="inlineStr">
        <is>
          <t>No</t>
        </is>
      </c>
      <c r="V939" s="2" t="inlineStr">
        <is>
          <t>No</t>
        </is>
      </c>
      <c r="W939" s="2" t="inlineStr">
        <is>
          <t>No</t>
        </is>
      </c>
      <c r="X939" s="2" t="inlineStr">
        <is>
          <t>No</t>
        </is>
      </c>
      <c r="Y939" s="2" t="inlineStr">
        <is>
          <t>No</t>
        </is>
      </c>
      <c r="Z939" s="2" t="inlineStr">
        <is>
          <t>No</t>
        </is>
      </c>
      <c r="AA939" s="6" t="n">
        <v>3.057559609</v>
      </c>
      <c r="AB939" s="2" t="n"/>
      <c r="AC939" s="6" t="n">
        <v>3.057559609</v>
      </c>
      <c r="AD939">
        <f t="array" ref="AD939">IF(SUMPRODUCT(--($AM$2:$AM$112=TRIM(LEFT($B939,IFERROR(FIND(" ",$B939)-1,LEN($B939))))))&gt;0,1,0)</f>
        <v/>
      </c>
      <c r="AE939">
        <f t="array" ref="AE939">IF(SUMPRODUCT(--($AO$2:$AO$145=TRIM(LEFT($B939,IFERROR(FIND(" ",$B939)-1,LEN($B939))))))&gt;0,1,0)</f>
        <v/>
      </c>
      <c r="AF939">
        <f t="array" ref="AF939">IF(SUMPRODUCT(--($AQ$2:$AQ$71=TRIM(LEFT($B939,IFERROR(FIND(" ",$B939)-1,LEN($B939))))))&gt;0,1,0)</f>
        <v/>
      </c>
    </row>
    <row r="940" ht="45.75" customHeight="1" thickBot="1">
      <c r="A940" s="13" t="n">
        <v>162</v>
      </c>
      <c r="B940" s="4" t="inlineStr">
        <is>
          <t>GBNK US</t>
        </is>
      </c>
      <c r="C940" s="4" t="inlineStr">
        <is>
          <t>IBTX US</t>
        </is>
      </c>
      <c r="D940" s="7" t="n">
        <v>43242</v>
      </c>
      <c r="E940" s="3" t="n">
        <v>985.51</v>
      </c>
      <c r="F940" s="4" t="inlineStr">
        <is>
          <t>Stock</t>
        </is>
      </c>
      <c r="G940" s="4" t="n"/>
      <c r="H940" s="4" t="inlineStr">
        <is>
          <t>Financials</t>
        </is>
      </c>
      <c r="I940" s="4" t="inlineStr">
        <is>
          <t>Banking</t>
        </is>
      </c>
      <c r="J940" s="4" t="inlineStr">
        <is>
          <t>Banking</t>
        </is>
      </c>
      <c r="K940" s="4" t="n"/>
      <c r="L940" s="4" t="n"/>
      <c r="M940" s="3" t="n">
        <v>14.07</v>
      </c>
      <c r="N940" s="3" t="n">
        <v>985.51</v>
      </c>
      <c r="O940" s="4" t="inlineStr">
        <is>
          <t>United States</t>
        </is>
      </c>
      <c r="P940" s="4" t="inlineStr">
        <is>
          <t>United States</t>
        </is>
      </c>
      <c r="Q940" s="4" t="inlineStr">
        <is>
          <t>Friendly</t>
        </is>
      </c>
      <c r="R940" s="3" t="n">
        <v>159.746</v>
      </c>
      <c r="S940" s="3" t="n">
        <v>42.4207</v>
      </c>
      <c r="T940" s="4" t="inlineStr">
        <is>
          <t>Company Takeover</t>
        </is>
      </c>
      <c r="U940" s="2" t="inlineStr">
        <is>
          <t>No</t>
        </is>
      </c>
      <c r="V940" s="2" t="inlineStr">
        <is>
          <t>No</t>
        </is>
      </c>
      <c r="W940" s="2" t="inlineStr">
        <is>
          <t>No</t>
        </is>
      </c>
      <c r="X940" s="2" t="inlineStr">
        <is>
          <t>No</t>
        </is>
      </c>
      <c r="Y940" s="2" t="inlineStr">
        <is>
          <t>No</t>
        </is>
      </c>
      <c r="Z940" s="2" t="inlineStr">
        <is>
          <t>No</t>
        </is>
      </c>
      <c r="AA940" s="6" t="n">
        <v>2.993661035</v>
      </c>
      <c r="AB940" s="6" t="n">
        <v>2.203429992</v>
      </c>
      <c r="AC940" s="6" t="n">
        <v>2.993661035</v>
      </c>
      <c r="AD940">
        <f t="array" ref="AD940">IF(SUMPRODUCT(--($AM$2:$AM$112=TRIM(LEFT($B940,IFERROR(FIND(" ",$B940)-1,LEN($B940))))))&gt;0,1,0)</f>
        <v/>
      </c>
      <c r="AE940">
        <f t="array" ref="AE940">IF(SUMPRODUCT(--($AO$2:$AO$145=TRIM(LEFT($B940,IFERROR(FIND(" ",$B940)-1,LEN($B940))))))&gt;0,1,0)</f>
        <v/>
      </c>
      <c r="AF940">
        <f t="array" ref="AF940">IF(SUMPRODUCT(--($AQ$2:$AQ$71=TRIM(LEFT($B940,IFERROR(FIND(" ",$B940)-1,LEN($B940))))))&gt;0,1,0)</f>
        <v/>
      </c>
    </row>
    <row r="941" ht="45.75" customHeight="1" thickBot="1">
      <c r="A941" s="13" t="n">
        <v>168</v>
      </c>
      <c r="B941" s="4" t="inlineStr">
        <is>
          <t>STBZ US</t>
        </is>
      </c>
      <c r="C941" s="4" t="inlineStr">
        <is>
          <t>9966911D US</t>
        </is>
      </c>
      <c r="D941" s="7" t="n">
        <v>43233</v>
      </c>
      <c r="E941" s="3" t="n">
        <v>965.28</v>
      </c>
      <c r="F941" s="4" t="inlineStr">
        <is>
          <t>Stock</t>
        </is>
      </c>
      <c r="G941" s="4" t="n"/>
      <c r="H941" s="4" t="inlineStr">
        <is>
          <t>Financials</t>
        </is>
      </c>
      <c r="I941" s="4" t="inlineStr">
        <is>
          <t>Banking</t>
        </is>
      </c>
      <c r="J941" s="4" t="inlineStr">
        <is>
          <t>Banking</t>
        </is>
      </c>
      <c r="K941" s="4" t="n"/>
      <c r="L941" s="3" t="n">
        <v>37.5</v>
      </c>
      <c r="M941" s="3" t="n">
        <v>-23.14</v>
      </c>
      <c r="N941" s="3" t="n">
        <v>965.28</v>
      </c>
      <c r="O941" s="4" t="inlineStr">
        <is>
          <t>United States</t>
        </is>
      </c>
      <c r="P941" s="4" t="inlineStr">
        <is>
          <t>United States</t>
        </is>
      </c>
      <c r="Q941" s="4" t="inlineStr">
        <is>
          <t>Friendly</t>
        </is>
      </c>
      <c r="R941" s="3" t="n">
        <v>248.135</v>
      </c>
      <c r="S941" s="3" t="n">
        <v>34.1957</v>
      </c>
      <c r="T941" s="4" t="inlineStr">
        <is>
          <t>Company Takeover</t>
        </is>
      </c>
      <c r="U941" s="2" t="inlineStr">
        <is>
          <t>No</t>
        </is>
      </c>
      <c r="V941" s="2" t="inlineStr">
        <is>
          <t>No</t>
        </is>
      </c>
      <c r="W941" s="2" t="inlineStr">
        <is>
          <t>No</t>
        </is>
      </c>
      <c r="X941" s="2" t="inlineStr">
        <is>
          <t>No</t>
        </is>
      </c>
      <c r="Y941" s="2" t="inlineStr">
        <is>
          <t>No</t>
        </is>
      </c>
      <c r="Z941" s="2" t="inlineStr">
        <is>
          <t>No</t>
        </is>
      </c>
      <c r="AA941" s="6" t="n">
        <v>2.984653308</v>
      </c>
      <c r="AB941" s="6" t="n">
        <v>2.394688027</v>
      </c>
      <c r="AC941" s="6" t="n">
        <v>2.984653308</v>
      </c>
      <c r="AD941">
        <f t="array" ref="AD941">IF(SUMPRODUCT(--($AM$2:$AM$112=TRIM(LEFT($B941,IFERROR(FIND(" ",$B941)-1,LEN($B941))))))&gt;0,1,0)</f>
        <v/>
      </c>
      <c r="AE941">
        <f t="array" ref="AE941">IF(SUMPRODUCT(--($AO$2:$AO$145=TRIM(LEFT($B941,IFERROR(FIND(" ",$B941)-1,LEN($B941))))))&gt;0,1,0)</f>
        <v/>
      </c>
      <c r="AF941">
        <f t="array" ref="AF941">IF(SUMPRODUCT(--($AQ$2:$AQ$71=TRIM(LEFT($B941,IFERROR(FIND(" ",$B941)-1,LEN($B941))))))&gt;0,1,0)</f>
        <v/>
      </c>
    </row>
    <row r="942" ht="45.75" customHeight="1" thickBot="1">
      <c r="A942" s="13" t="n">
        <v>117</v>
      </c>
      <c r="B942" s="4" t="inlineStr">
        <is>
          <t>GNBC US</t>
        </is>
      </c>
      <c r="C942" s="4" t="inlineStr">
        <is>
          <t>VBTX US</t>
        </is>
      </c>
      <c r="D942" s="7" t="n">
        <v>43305</v>
      </c>
      <c r="E942" s="3" t="n">
        <v>946.97</v>
      </c>
      <c r="F942" s="4" t="inlineStr">
        <is>
          <t>Stock</t>
        </is>
      </c>
      <c r="G942" s="4" t="n"/>
      <c r="H942" s="4" t="inlineStr">
        <is>
          <t>Financials</t>
        </is>
      </c>
      <c r="I942" s="4" t="inlineStr">
        <is>
          <t>Banking</t>
        </is>
      </c>
      <c r="J942" s="4" t="inlineStr">
        <is>
          <t>Banking</t>
        </is>
      </c>
      <c r="K942" s="3" t="n">
        <v>40</v>
      </c>
      <c r="L942" s="3" t="n">
        <v>40</v>
      </c>
      <c r="M942" s="3" t="n">
        <v>14.7</v>
      </c>
      <c r="N942" s="3" t="n">
        <v>946.97</v>
      </c>
      <c r="O942" s="4" t="inlineStr">
        <is>
          <t>United States</t>
        </is>
      </c>
      <c r="P942" s="4" t="inlineStr">
        <is>
          <t>United States</t>
        </is>
      </c>
      <c r="Q942" s="4" t="inlineStr">
        <is>
          <t>Friendly</t>
        </is>
      </c>
      <c r="R942" s="3" t="n">
        <v>190.762</v>
      </c>
      <c r="S942" s="3" t="n">
        <v>37.6687</v>
      </c>
      <c r="T942" s="4" t="inlineStr">
        <is>
          <t>Company Takeover</t>
        </is>
      </c>
      <c r="U942" s="2" t="inlineStr">
        <is>
          <t>No</t>
        </is>
      </c>
      <c r="V942" s="2" t="inlineStr">
        <is>
          <t>No</t>
        </is>
      </c>
      <c r="W942" s="2" t="inlineStr">
        <is>
          <t>No</t>
        </is>
      </c>
      <c r="X942" s="2" t="inlineStr">
        <is>
          <t>No</t>
        </is>
      </c>
      <c r="Y942" s="2" t="inlineStr">
        <is>
          <t>No</t>
        </is>
      </c>
      <c r="Z942" s="2" t="inlineStr">
        <is>
          <t>No</t>
        </is>
      </c>
      <c r="AA942" s="6" t="n">
        <v>2.976336221</v>
      </c>
      <c r="AB942" s="6" t="n">
        <v>2.280491867</v>
      </c>
      <c r="AC942" s="6" t="n">
        <v>2.976336221</v>
      </c>
      <c r="AD942">
        <f t="array" ref="AD942">IF(SUMPRODUCT(--($AM$2:$AM$112=TRIM(LEFT($B942,IFERROR(FIND(" ",$B942)-1,LEN($B942))))))&gt;0,1,0)</f>
        <v/>
      </c>
      <c r="AE942">
        <f t="array" ref="AE942">IF(SUMPRODUCT(--($AO$2:$AO$145=TRIM(LEFT($B942,IFERROR(FIND(" ",$B942)-1,LEN($B942))))))&gt;0,1,0)</f>
        <v/>
      </c>
      <c r="AF942">
        <f t="array" ref="AF942">IF(SUMPRODUCT(--($AQ$2:$AQ$71=TRIM(LEFT($B942,IFERROR(FIND(" ",$B942)-1,LEN($B942))))))&gt;0,1,0)</f>
        <v/>
      </c>
    </row>
    <row r="943" ht="75.75" customHeight="1" thickBot="1">
      <c r="A943" s="13" t="n">
        <v>48</v>
      </c>
      <c r="B943" s="4" t="inlineStr">
        <is>
          <t>ECYT US</t>
        </is>
      </c>
      <c r="C943" s="4" t="inlineStr">
        <is>
          <t>NOVN SW</t>
        </is>
      </c>
      <c r="D943" s="7" t="n">
        <v>43391</v>
      </c>
      <c r="E943" s="3" t="n">
        <v>1843.44</v>
      </c>
      <c r="F943" s="4" t="inlineStr">
        <is>
          <t>Cash</t>
        </is>
      </c>
      <c r="G943" s="4" t="n"/>
      <c r="H943" s="4" t="inlineStr">
        <is>
          <t>Health Care</t>
        </is>
      </c>
      <c r="I943" s="4" t="inlineStr">
        <is>
          <t>Health Care</t>
        </is>
      </c>
      <c r="J943" s="4" t="inlineStr">
        <is>
          <t>Biotech &amp; Pharma</t>
        </is>
      </c>
      <c r="K943" s="3" t="n">
        <v>150</v>
      </c>
      <c r="L943" s="3" t="n">
        <v>73.5</v>
      </c>
      <c r="M943" s="3" t="n">
        <v>44.69</v>
      </c>
      <c r="N943" s="3" t="n">
        <v>2010.23</v>
      </c>
      <c r="O943" s="4" t="inlineStr">
        <is>
          <t>United States</t>
        </is>
      </c>
      <c r="P943" s="4" t="inlineStr">
        <is>
          <t>Switzerland</t>
        </is>
      </c>
      <c r="Q943" s="4" t="inlineStr">
        <is>
          <t>Friendly</t>
        </is>
      </c>
      <c r="R943" s="3" t="n">
        <v>0.07000000000000001</v>
      </c>
      <c r="S943" s="3" t="n">
        <v>-34084.5</v>
      </c>
      <c r="T943" s="4" t="inlineStr">
        <is>
          <t>Company Takeover, Cross Border</t>
        </is>
      </c>
      <c r="U943" s="2" t="inlineStr">
        <is>
          <t>No</t>
        </is>
      </c>
      <c r="V943" s="2" t="inlineStr">
        <is>
          <t>No</t>
        </is>
      </c>
      <c r="W943" s="2" t="inlineStr">
        <is>
          <t>Yes</t>
        </is>
      </c>
      <c r="X943" s="2" t="inlineStr">
        <is>
          <t>No</t>
        </is>
      </c>
      <c r="Y943" s="2" t="inlineStr">
        <is>
          <t>No</t>
        </is>
      </c>
      <c r="Z943" s="2" t="inlineStr">
        <is>
          <t>No</t>
        </is>
      </c>
      <c r="AA943" s="6" t="n">
        <v>3.265629007</v>
      </c>
      <c r="AB943" s="6" t="n">
        <v>-1.15490196</v>
      </c>
      <c r="AC943" s="6" t="n">
        <v>3.30324575</v>
      </c>
      <c r="AD943">
        <f t="array" ref="AD943">IF(SUMPRODUCT(--($AM$2:$AM$112=TRIM(LEFT($B943,IFERROR(FIND(" ",$B943)-1,LEN($B943))))))&gt;0,1,0)</f>
        <v/>
      </c>
      <c r="AE943">
        <f t="array" ref="AE943">IF(SUMPRODUCT(--($AO$2:$AO$145=TRIM(LEFT($B943,IFERROR(FIND(" ",$B943)-1,LEN($B943))))))&gt;0,1,0)</f>
        <v/>
      </c>
      <c r="AF943">
        <f t="array" ref="AF943">IF(SUMPRODUCT(--($AQ$2:$AQ$71=TRIM(LEFT($B943,IFERROR(FIND(" ",$B943)-1,LEN($B943))))))&gt;0,1,0)</f>
        <v/>
      </c>
    </row>
    <row r="944" ht="60.75" customHeight="1" thickBot="1">
      <c r="A944" s="13" t="n">
        <v>207</v>
      </c>
      <c r="B944" s="4" t="inlineStr">
        <is>
          <t>ESRX US</t>
        </is>
      </c>
      <c r="C944" s="4" t="inlineStr">
        <is>
          <t>CI US</t>
        </is>
      </c>
      <c r="D944" s="7" t="n">
        <v>43167</v>
      </c>
      <c r="E944" s="3" t="n">
        <v>68369.38</v>
      </c>
      <c r="F944" s="4" t="inlineStr">
        <is>
          <t>Cash and Stock</t>
        </is>
      </c>
      <c r="G944" s="3" t="n">
        <v>9.369999999999999</v>
      </c>
      <c r="H944" s="4" t="inlineStr">
        <is>
          <t>Health Care</t>
        </is>
      </c>
      <c r="I944" s="4" t="inlineStr">
        <is>
          <t>Health Care</t>
        </is>
      </c>
      <c r="J944" s="4" t="inlineStr">
        <is>
          <t>Health Care Facilities &amp; Svcs</t>
        </is>
      </c>
      <c r="K944" s="3" t="n">
        <v>2100</v>
      </c>
      <c r="L944" s="4" t="n"/>
      <c r="M944" s="3" t="n">
        <v>28.07</v>
      </c>
      <c r="N944" s="3" t="n">
        <v>54664.58</v>
      </c>
      <c r="O944" s="4" t="inlineStr">
        <is>
          <t>United States</t>
        </is>
      </c>
      <c r="P944" s="4" t="inlineStr">
        <is>
          <t>United States</t>
        </is>
      </c>
      <c r="Q944" s="4" t="inlineStr">
        <is>
          <t>Friendly</t>
        </is>
      </c>
      <c r="R944" s="3" t="n">
        <v>100065</v>
      </c>
      <c r="S944" s="3" t="n">
        <v>5.27344</v>
      </c>
      <c r="T944" s="4" t="inlineStr">
        <is>
          <t>Company Takeover</t>
        </is>
      </c>
      <c r="U944" s="2" t="inlineStr">
        <is>
          <t>No</t>
        </is>
      </c>
      <c r="V944" s="2" t="inlineStr">
        <is>
          <t>No</t>
        </is>
      </c>
      <c r="W944" s="2" t="inlineStr">
        <is>
          <t>No</t>
        </is>
      </c>
      <c r="X944" s="2" t="inlineStr">
        <is>
          <t>No</t>
        </is>
      </c>
      <c r="Y944" s="2" t="inlineStr">
        <is>
          <t>No</t>
        </is>
      </c>
      <c r="Z944" s="2" t="inlineStr">
        <is>
          <t>No</t>
        </is>
      </c>
      <c r="AA944" s="6" t="n">
        <v>4.834861642</v>
      </c>
      <c r="AB944" s="6" t="n">
        <v>5.0002822</v>
      </c>
      <c r="AC944" s="6" t="n">
        <v>4.737706016</v>
      </c>
      <c r="AD944">
        <f t="array" ref="AD944">IF(SUMPRODUCT(--($AM$2:$AM$112=TRIM(LEFT($B944,IFERROR(FIND(" ",$B944)-1,LEN($B944))))))&gt;0,1,0)</f>
        <v/>
      </c>
      <c r="AE944">
        <f t="array" ref="AE944">IF(SUMPRODUCT(--($AO$2:$AO$145=TRIM(LEFT($B944,IFERROR(FIND(" ",$B944)-1,LEN($B944))))))&gt;0,1,0)</f>
        <v/>
      </c>
      <c r="AF944">
        <f t="array" ref="AF944">IF(SUMPRODUCT(--($AQ$2:$AQ$71=TRIM(LEFT($B944,IFERROR(FIND(" ",$B944)-1,LEN($B944))))))&gt;0,1,0)</f>
        <v/>
      </c>
    </row>
    <row r="945" ht="75.75" customHeight="1" thickBot="1">
      <c r="A945" s="13" t="n">
        <v>64</v>
      </c>
      <c r="B945" s="4" t="inlineStr">
        <is>
          <t>XOXO US</t>
        </is>
      </c>
      <c r="C945" s="4" t="inlineStr">
        <is>
          <t>2679513Z US</t>
        </is>
      </c>
      <c r="D945" s="7" t="n">
        <v>43368</v>
      </c>
      <c r="E945" s="3" t="n">
        <v>788.8099999999999</v>
      </c>
      <c r="F945" s="4" t="inlineStr">
        <is>
          <t>Cash</t>
        </is>
      </c>
      <c r="G945" s="3" t="n">
        <v>27.31</v>
      </c>
      <c r="H945" s="4" t="inlineStr">
        <is>
          <t>Communications</t>
        </is>
      </c>
      <c r="I945" s="4" t="inlineStr">
        <is>
          <t>Media</t>
        </is>
      </c>
      <c r="J945" s="4" t="inlineStr">
        <is>
          <t>Internet Media &amp; Services</t>
        </is>
      </c>
      <c r="K945" s="3" t="n">
        <v>50</v>
      </c>
      <c r="L945" s="3" t="n">
        <v>24.3</v>
      </c>
      <c r="M945" s="4" t="n"/>
      <c r="N945" s="3" t="n">
        <v>906.7</v>
      </c>
      <c r="O945" s="4" t="inlineStr">
        <is>
          <t>United States</t>
        </is>
      </c>
      <c r="P945" s="4" t="inlineStr">
        <is>
          <t>United States</t>
        </is>
      </c>
      <c r="Q945" s="4" t="inlineStr">
        <is>
          <t>Friendly</t>
        </is>
      </c>
      <c r="R945" s="3" t="n">
        <v>160.556</v>
      </c>
      <c r="S945" s="3" t="n">
        <v>13.1268</v>
      </c>
      <c r="T945" s="4" t="inlineStr">
        <is>
          <t>Company Takeover, Going Private</t>
        </is>
      </c>
      <c r="U945" s="2" t="inlineStr">
        <is>
          <t>No</t>
        </is>
      </c>
      <c r="V945" s="2" t="inlineStr">
        <is>
          <t>No</t>
        </is>
      </c>
      <c r="W945" s="2" t="inlineStr">
        <is>
          <t>No</t>
        </is>
      </c>
      <c r="X945" s="2" t="inlineStr">
        <is>
          <t>Yes</t>
        </is>
      </c>
      <c r="Y945" s="2" t="inlineStr">
        <is>
          <t>No</t>
        </is>
      </c>
      <c r="Z945" s="2" t="inlineStr">
        <is>
          <t>No</t>
        </is>
      </c>
      <c r="AA945" s="6" t="n">
        <v>2.896972408</v>
      </c>
      <c r="AB945" s="6" t="n">
        <v>2.20562654</v>
      </c>
      <c r="AC945" s="6" t="n">
        <v>2.957463616</v>
      </c>
      <c r="AD945">
        <f t="array" ref="AD945">IF(SUMPRODUCT(--($AM$2:$AM$112=TRIM(LEFT($B945,IFERROR(FIND(" ",$B945)-1,LEN($B945))))))&gt;0,1,0)</f>
        <v/>
      </c>
      <c r="AE945">
        <f t="array" ref="AE945">IF(SUMPRODUCT(--($AO$2:$AO$145=TRIM(LEFT($B945,IFERROR(FIND(" ",$B945)-1,LEN($B945))))))&gt;0,1,0)</f>
        <v/>
      </c>
      <c r="AF945">
        <f t="array" ref="AF945">IF(SUMPRODUCT(--($AQ$2:$AQ$71=TRIM(LEFT($B945,IFERROR(FIND(" ",$B945)-1,LEN($B945))))))&gt;0,1,0)</f>
        <v/>
      </c>
    </row>
    <row r="946" ht="75.75" customHeight="1" thickBot="1">
      <c r="A946" s="13" t="n">
        <v>68</v>
      </c>
      <c r="B946" s="4" t="inlineStr">
        <is>
          <t>EEP US</t>
        </is>
      </c>
      <c r="C946" s="4" t="inlineStr">
        <is>
          <t>ENB CN</t>
        </is>
      </c>
      <c r="D946" s="7" t="n">
        <v>43361</v>
      </c>
      <c r="E946" s="3" t="n">
        <v>9200.84</v>
      </c>
      <c r="F946" s="4" t="inlineStr">
        <is>
          <t>Stock</t>
        </is>
      </c>
      <c r="G946" s="3" t="n">
        <v>7.16</v>
      </c>
      <c r="H946" s="4" t="inlineStr">
        <is>
          <t>Energy</t>
        </is>
      </c>
      <c r="I946" s="4" t="inlineStr">
        <is>
          <t>Oil &amp; Gas</t>
        </is>
      </c>
      <c r="J946" s="4" t="inlineStr">
        <is>
          <t>Oil &amp; Gas Supply Chain</t>
        </is>
      </c>
      <c r="K946" s="4" t="n"/>
      <c r="L946" s="4" t="n"/>
      <c r="M946" s="3" t="n">
        <v>3.61</v>
      </c>
      <c r="N946" s="3" t="n">
        <v>2476.84</v>
      </c>
      <c r="O946" s="4" t="inlineStr">
        <is>
          <t>United States</t>
        </is>
      </c>
      <c r="P946" s="4" t="inlineStr">
        <is>
          <t>Canada</t>
        </is>
      </c>
      <c r="Q946" s="4" t="inlineStr">
        <is>
          <t>Friendly</t>
        </is>
      </c>
      <c r="R946" s="3" t="n">
        <v>2428</v>
      </c>
      <c r="S946" s="3" t="n">
        <v>43.868</v>
      </c>
      <c r="T946" s="4" t="inlineStr">
        <is>
          <t>Company Takeover, Cross Border</t>
        </is>
      </c>
      <c r="U946" s="2" t="inlineStr">
        <is>
          <t>No</t>
        </is>
      </c>
      <c r="V946" s="2" t="inlineStr">
        <is>
          <t>No</t>
        </is>
      </c>
      <c r="W946" s="2" t="inlineStr">
        <is>
          <t>Yes</t>
        </is>
      </c>
      <c r="X946" s="2" t="inlineStr">
        <is>
          <t>No</t>
        </is>
      </c>
      <c r="Y946" s="2" t="inlineStr">
        <is>
          <t>No</t>
        </is>
      </c>
      <c r="Z946" s="2" t="inlineStr">
        <is>
          <t>No</t>
        </is>
      </c>
      <c r="AA946" s="6" t="n">
        <v>3.963827479</v>
      </c>
      <c r="AB946" s="6" t="n">
        <v>3.385248682</v>
      </c>
      <c r="AC946" s="6" t="n">
        <v>3.393897953</v>
      </c>
      <c r="AD946">
        <f t="array" ref="AD946">IF(SUMPRODUCT(--($AM$2:$AM$112=TRIM(LEFT($B946,IFERROR(FIND(" ",$B946)-1,LEN($B946))))))&gt;0,1,0)</f>
        <v/>
      </c>
      <c r="AE946">
        <f t="array" ref="AE946">IF(SUMPRODUCT(--($AO$2:$AO$145=TRIM(LEFT($B946,IFERROR(FIND(" ",$B946)-1,LEN($B946))))))&gt;0,1,0)</f>
        <v/>
      </c>
      <c r="AF946">
        <f t="array" ref="AF946">IF(SUMPRODUCT(--($AQ$2:$AQ$71=TRIM(LEFT($B946,IFERROR(FIND(" ",$B946)-1,LEN($B946))))))&gt;0,1,0)</f>
        <v/>
      </c>
    </row>
    <row r="947" ht="45.75" customHeight="1" thickBot="1">
      <c r="A947" s="13" t="n">
        <v>109</v>
      </c>
      <c r="B947" s="4" t="inlineStr">
        <is>
          <t>CCT US</t>
        </is>
      </c>
      <c r="C947" s="4" t="inlineStr">
        <is>
          <t>FSK US</t>
        </is>
      </c>
      <c r="D947" s="7" t="n">
        <v>43304</v>
      </c>
      <c r="E947" s="3" t="n">
        <v>3558.49</v>
      </c>
      <c r="F947" s="4" t="inlineStr">
        <is>
          <t>Stock</t>
        </is>
      </c>
      <c r="G947" s="4" t="n"/>
      <c r="H947" s="4" t="inlineStr">
        <is>
          <t>Financials</t>
        </is>
      </c>
      <c r="I947" s="4" t="inlineStr">
        <is>
          <t>Financial Services</t>
        </is>
      </c>
      <c r="J947" s="4" t="inlineStr">
        <is>
          <t>Asset Management</t>
        </is>
      </c>
      <c r="K947" s="3" t="n">
        <v>75.11709999999999</v>
      </c>
      <c r="L947" s="3" t="n">
        <v>75.11709999999999</v>
      </c>
      <c r="M947" s="3" t="n">
        <v>10.53</v>
      </c>
      <c r="N947" s="3" t="n">
        <v>2119.4</v>
      </c>
      <c r="O947" s="4" t="inlineStr">
        <is>
          <t>United States</t>
        </is>
      </c>
      <c r="P947" s="4" t="inlineStr">
        <is>
          <t>United States</t>
        </is>
      </c>
      <c r="Q947" s="4" t="inlineStr">
        <is>
          <t>Friendly</t>
        </is>
      </c>
      <c r="R947" s="3" t="n">
        <v>397.709</v>
      </c>
      <c r="S947" s="3" t="n">
        <v>36.5369</v>
      </c>
      <c r="T947" s="4" t="inlineStr">
        <is>
          <t>Company Takeover</t>
        </is>
      </c>
      <c r="U947" s="2" t="inlineStr">
        <is>
          <t>No</t>
        </is>
      </c>
      <c r="V947" s="2" t="inlineStr">
        <is>
          <t>No</t>
        </is>
      </c>
      <c r="W947" s="2" t="inlineStr">
        <is>
          <t>No</t>
        </is>
      </c>
      <c r="X947" s="2" t="inlineStr">
        <is>
          <t>No</t>
        </is>
      </c>
      <c r="Y947" s="2" t="inlineStr">
        <is>
          <t>No</t>
        </is>
      </c>
      <c r="Z947" s="2" t="inlineStr">
        <is>
          <t>No</t>
        </is>
      </c>
      <c r="AA947" s="6" t="n">
        <v>3.55126575</v>
      </c>
      <c r="AB947" s="6" t="n">
        <v>2.599565419</v>
      </c>
      <c r="AC947" s="6" t="n">
        <v>3.32621293</v>
      </c>
      <c r="AD947">
        <f t="array" ref="AD947">IF(SUMPRODUCT(--($AM$2:$AM$112=TRIM(LEFT($B947,IFERROR(FIND(" ",$B947)-1,LEN($B947))))))&gt;0,1,0)</f>
        <v/>
      </c>
      <c r="AE947">
        <f t="array" ref="AE947">IF(SUMPRODUCT(--($AO$2:$AO$145=TRIM(LEFT($B947,IFERROR(FIND(" ",$B947)-1,LEN($B947))))))&gt;0,1,0)</f>
        <v/>
      </c>
      <c r="AF947">
        <f t="array" ref="AF947">IF(SUMPRODUCT(--($AQ$2:$AQ$71=TRIM(LEFT($B947,IFERROR(FIND(" ",$B947)-1,LEN($B947))))))&gt;0,1,0)</f>
        <v/>
      </c>
    </row>
    <row r="948" ht="135.75" customHeight="1" thickBot="1">
      <c r="A948" s="13" t="n">
        <v>68</v>
      </c>
      <c r="B948" s="4" t="inlineStr">
        <is>
          <t>EEQ US</t>
        </is>
      </c>
      <c r="C948" s="4" t="inlineStr">
        <is>
          <t>ENB CN</t>
        </is>
      </c>
      <c r="D948" s="7" t="n">
        <v>43361</v>
      </c>
      <c r="E948" s="3" t="n">
        <v>994.11</v>
      </c>
      <c r="F948" s="4" t="inlineStr">
        <is>
          <t>Stock</t>
        </is>
      </c>
      <c r="G948" s="4" t="n"/>
      <c r="H948" s="4" t="inlineStr">
        <is>
          <t>Energy</t>
        </is>
      </c>
      <c r="I948" s="4" t="inlineStr">
        <is>
          <t>Oil &amp; Gas</t>
        </is>
      </c>
      <c r="J948" s="4" t="inlineStr">
        <is>
          <t>Oil &amp; Gas Supply Chain</t>
        </is>
      </c>
      <c r="K948" s="4" t="n"/>
      <c r="L948" s="4" t="n"/>
      <c r="M948" s="3" t="n">
        <v>8.539999999999999</v>
      </c>
      <c r="N948" s="3" t="n">
        <v>995.11</v>
      </c>
      <c r="O948" s="4" t="inlineStr">
        <is>
          <t>United States</t>
        </is>
      </c>
      <c r="P948" s="4" t="inlineStr">
        <is>
          <t>Canada</t>
        </is>
      </c>
      <c r="Q948" s="4" t="inlineStr">
        <is>
          <t>Friendly</t>
        </is>
      </c>
      <c r="R948" s="2" t="n"/>
      <c r="S948" s="2" t="n"/>
      <c r="T948" s="4" t="inlineStr">
        <is>
          <t>Company Takeover, Cross Border, Additional Stake Purchase</t>
        </is>
      </c>
      <c r="U948" s="2" t="inlineStr">
        <is>
          <t>Yes</t>
        </is>
      </c>
      <c r="V948" s="2" t="inlineStr">
        <is>
          <t>No</t>
        </is>
      </c>
      <c r="W948" s="2" t="inlineStr">
        <is>
          <t>Yes</t>
        </is>
      </c>
      <c r="X948" s="2" t="inlineStr">
        <is>
          <t>No</t>
        </is>
      </c>
      <c r="Y948" s="2" t="inlineStr">
        <is>
          <t>No</t>
        </is>
      </c>
      <c r="Z948" s="2" t="inlineStr">
        <is>
          <t>No</t>
        </is>
      </c>
      <c r="AA948" s="6" t="n">
        <v>2.997434442</v>
      </c>
      <c r="AB948" s="2" t="n"/>
      <c r="AC948" s="6" t="n">
        <v>2.997871091</v>
      </c>
      <c r="AD948">
        <f t="array" ref="AD948">IF(SUMPRODUCT(--($AM$2:$AM$112=TRIM(LEFT($B948,IFERROR(FIND(" ",$B948)-1,LEN($B948))))))&gt;0,1,0)</f>
        <v/>
      </c>
      <c r="AE948">
        <f t="array" ref="AE948">IF(SUMPRODUCT(--($AO$2:$AO$145=TRIM(LEFT($B948,IFERROR(FIND(" ",$B948)-1,LEN($B948))))))&gt;0,1,0)</f>
        <v/>
      </c>
      <c r="AF948">
        <f t="array" ref="AF948">IF(SUMPRODUCT(--($AQ$2:$AQ$71=TRIM(LEFT($B948,IFERROR(FIND(" ",$B948)-1,LEN($B948))))))&gt;0,1,0)</f>
        <v/>
      </c>
    </row>
    <row r="949" ht="135.75" customHeight="1" thickBot="1">
      <c r="A949" s="13" t="n">
        <v>47</v>
      </c>
      <c r="B949" s="4" t="inlineStr">
        <is>
          <t>ABCD US</t>
        </is>
      </c>
      <c r="C949" s="4" t="inlineStr">
        <is>
          <t>3311331Z US</t>
        </is>
      </c>
      <c r="D949" s="7" t="n">
        <v>43388</v>
      </c>
      <c r="E949" s="3" t="n">
        <v>733.88</v>
      </c>
      <c r="F949" s="4" t="inlineStr">
        <is>
          <t>Cash</t>
        </is>
      </c>
      <c r="G949" s="3" t="n">
        <v>17.88</v>
      </c>
      <c r="H949" s="4" t="inlineStr">
        <is>
          <t>Consumer Discretionary</t>
        </is>
      </c>
      <c r="I949" s="4" t="inlineStr">
        <is>
          <t>Consumer Discretionary Services</t>
        </is>
      </c>
      <c r="J949" s="4" t="inlineStr">
        <is>
          <t>Consumer Services</t>
        </is>
      </c>
      <c r="K949" s="4" t="n"/>
      <c r="L949" s="4" t="n"/>
      <c r="M949" s="4" t="n"/>
      <c r="N949" s="3" t="n">
        <v>685.23</v>
      </c>
      <c r="O949" s="4" t="inlineStr">
        <is>
          <t>United States</t>
        </is>
      </c>
      <c r="P949" s="4" t="inlineStr">
        <is>
          <t>United States</t>
        </is>
      </c>
      <c r="Q949" s="4" t="inlineStr">
        <is>
          <t>Friendly</t>
        </is>
      </c>
      <c r="R949" s="3" t="n">
        <v>158.184</v>
      </c>
      <c r="S949" s="3" t="n">
        <v>13.1322</v>
      </c>
      <c r="T949" s="4" t="inlineStr">
        <is>
          <t>PE Buyout, Company Takeover, Private Equity, Going Private</t>
        </is>
      </c>
      <c r="U949" s="2" t="inlineStr">
        <is>
          <t>No</t>
        </is>
      </c>
      <c r="V949" s="2" t="inlineStr">
        <is>
          <t>No</t>
        </is>
      </c>
      <c r="W949" s="2" t="inlineStr">
        <is>
          <t>No</t>
        </is>
      </c>
      <c r="X949" s="2" t="inlineStr">
        <is>
          <t>Yes</t>
        </is>
      </c>
      <c r="Y949" s="2" t="inlineStr">
        <is>
          <t>Yes</t>
        </is>
      </c>
      <c r="Z949" s="2" t="inlineStr">
        <is>
          <t>No</t>
        </is>
      </c>
      <c r="AA949" s="6" t="n">
        <v>2.865625052</v>
      </c>
      <c r="AB949" s="6" t="n">
        <v>2.199162553</v>
      </c>
      <c r="AC949" s="6" t="n">
        <v>2.835836369</v>
      </c>
      <c r="AD949">
        <f t="array" ref="AD949">IF(SUMPRODUCT(--($AM$2:$AM$112=TRIM(LEFT($B949,IFERROR(FIND(" ",$B949)-1,LEN($B949))))))&gt;0,1,0)</f>
        <v/>
      </c>
      <c r="AE949">
        <f t="array" ref="AE949">IF(SUMPRODUCT(--($AO$2:$AO$145=TRIM(LEFT($B949,IFERROR(FIND(" ",$B949)-1,LEN($B949))))))&gt;0,1,0)</f>
        <v/>
      </c>
      <c r="AF949">
        <f t="array" ref="AF949">IF(SUMPRODUCT(--($AQ$2:$AQ$71=TRIM(LEFT($B949,IFERROR(FIND(" ",$B949)-1,LEN($B949))))))&gt;0,1,0)</f>
        <v/>
      </c>
    </row>
    <row r="950" ht="45.75" customHeight="1" thickBot="1">
      <c r="A950" s="13" t="n">
        <v>50</v>
      </c>
      <c r="B950" s="4" t="inlineStr">
        <is>
          <t>PXX CN</t>
        </is>
      </c>
      <c r="C950" s="4" t="inlineStr">
        <is>
          <t>IPCO SS</t>
        </is>
      </c>
      <c r="D950" s="7" t="n">
        <v>43383</v>
      </c>
      <c r="E950" s="3" t="n">
        <v>556.42</v>
      </c>
      <c r="F950" s="4" t="inlineStr">
        <is>
          <t>Stock</t>
        </is>
      </c>
      <c r="G950" s="3" t="n">
        <v>22.56</v>
      </c>
      <c r="H950" s="4" t="inlineStr">
        <is>
          <t>Energy</t>
        </is>
      </c>
      <c r="I950" s="4" t="inlineStr">
        <is>
          <t>Oil &amp; Gas</t>
        </is>
      </c>
      <c r="J950" s="4" t="inlineStr">
        <is>
          <t>Oil &amp; Gas Supply Chain</t>
        </is>
      </c>
      <c r="K950" s="4" t="n"/>
      <c r="L950" s="3" t="n">
        <v>20</v>
      </c>
      <c r="M950" s="3" t="n">
        <v>46.05</v>
      </c>
      <c r="N950" s="3" t="n">
        <v>462.43</v>
      </c>
      <c r="O950" s="4" t="inlineStr">
        <is>
          <t>Canada</t>
        </is>
      </c>
      <c r="P950" s="4" t="inlineStr">
        <is>
          <t>Canada</t>
        </is>
      </c>
      <c r="Q950" s="4" t="inlineStr">
        <is>
          <t>Friendly</t>
        </is>
      </c>
      <c r="R950" s="3" t="n">
        <v>97.2039</v>
      </c>
      <c r="S950" s="3" t="n">
        <v>-11.2267</v>
      </c>
      <c r="T950" s="4" t="inlineStr">
        <is>
          <t>Company Takeover</t>
        </is>
      </c>
      <c r="U950" s="2" t="inlineStr">
        <is>
          <t>No</t>
        </is>
      </c>
      <c r="V950" s="2" t="inlineStr">
        <is>
          <t>No</t>
        </is>
      </c>
      <c r="W950" s="2" t="inlineStr">
        <is>
          <t>No</t>
        </is>
      </c>
      <c r="X950" s="2" t="inlineStr">
        <is>
          <t>No</t>
        </is>
      </c>
      <c r="Y950" s="2" t="inlineStr">
        <is>
          <t>No</t>
        </is>
      </c>
      <c r="Z950" s="2" t="inlineStr">
        <is>
          <t>No</t>
        </is>
      </c>
      <c r="AA950" s="6" t="n">
        <v>2.745402732</v>
      </c>
      <c r="AB950" s="6" t="n">
        <v>1.98768369</v>
      </c>
      <c r="AC950" s="6" t="n">
        <v>2.665046001</v>
      </c>
      <c r="AD950">
        <f t="array" ref="AD950">IF(SUMPRODUCT(--($AM$2:$AM$112=TRIM(LEFT($B950,IFERROR(FIND(" ",$B950)-1,LEN($B950))))))&gt;0,1,0)</f>
        <v/>
      </c>
      <c r="AE950">
        <f t="array" ref="AE950">IF(SUMPRODUCT(--($AO$2:$AO$145=TRIM(LEFT($B950,IFERROR(FIND(" ",$B950)-1,LEN($B950))))))&gt;0,1,0)</f>
        <v/>
      </c>
      <c r="AF950">
        <f t="array" ref="AF950">IF(SUMPRODUCT(--($AQ$2:$AQ$71=TRIM(LEFT($B950,IFERROR(FIND(" ",$B950)-1,LEN($B950))))))&gt;0,1,0)</f>
        <v/>
      </c>
    </row>
    <row r="951" ht="135.75" customHeight="1" thickBot="1">
      <c r="A951" s="13" t="n">
        <v>82</v>
      </c>
      <c r="B951" s="4" t="inlineStr">
        <is>
          <t>SEP US</t>
        </is>
      </c>
      <c r="C951" s="4" t="inlineStr">
        <is>
          <t>ENB CN</t>
        </is>
      </c>
      <c r="D951" s="7" t="n">
        <v>43336</v>
      </c>
      <c r="E951" s="3" t="n">
        <v>3158.62</v>
      </c>
      <c r="F951" s="4" t="inlineStr">
        <is>
          <t>Stock</t>
        </is>
      </c>
      <c r="G951" s="3" t="n">
        <v>17.59</v>
      </c>
      <c r="H951" s="4" t="inlineStr">
        <is>
          <t>Energy</t>
        </is>
      </c>
      <c r="I951" s="4" t="inlineStr">
        <is>
          <t>Oil &amp; Gas</t>
        </is>
      </c>
      <c r="J951" s="4" t="inlineStr">
        <is>
          <t>Oil &amp; Gas Supply Chain</t>
        </is>
      </c>
      <c r="K951" s="4" t="n"/>
      <c r="L951" s="4" t="n"/>
      <c r="M951" s="3" t="n">
        <v>6.61</v>
      </c>
      <c r="N951" s="3" t="n">
        <v>3158.62</v>
      </c>
      <c r="O951" s="4" t="inlineStr">
        <is>
          <t>United States</t>
        </is>
      </c>
      <c r="P951" s="4" t="inlineStr">
        <is>
          <t>Canada</t>
        </is>
      </c>
      <c r="Q951" s="4" t="inlineStr">
        <is>
          <t>Friendly</t>
        </is>
      </c>
      <c r="R951" s="3" t="n">
        <v>1950</v>
      </c>
      <c r="S951" s="3" t="n">
        <v>33.6977</v>
      </c>
      <c r="T951" s="4" t="inlineStr">
        <is>
          <t>Company Takeover, Cross Border, Additional Stake Purchase</t>
        </is>
      </c>
      <c r="U951" s="2" t="inlineStr">
        <is>
          <t>Yes</t>
        </is>
      </c>
      <c r="V951" s="2" t="inlineStr">
        <is>
          <t>No</t>
        </is>
      </c>
      <c r="W951" s="2" t="inlineStr">
        <is>
          <t>Yes</t>
        </is>
      </c>
      <c r="X951" s="2" t="inlineStr">
        <is>
          <t>No</t>
        </is>
      </c>
      <c r="Y951" s="2" t="inlineStr">
        <is>
          <t>No</t>
        </is>
      </c>
      <c r="Z951" s="2" t="inlineStr">
        <is>
          <t>No</t>
        </is>
      </c>
      <c r="AA951" s="6" t="n">
        <v>3.499497381</v>
      </c>
      <c r="AB951" s="6" t="n">
        <v>3.290034611</v>
      </c>
      <c r="AC951" s="6" t="n">
        <v>3.499497381</v>
      </c>
      <c r="AD951">
        <f t="array" ref="AD951">IF(SUMPRODUCT(--($AM$2:$AM$112=TRIM(LEFT($B951,IFERROR(FIND(" ",$B951)-1,LEN($B951))))))&gt;0,1,0)</f>
        <v/>
      </c>
      <c r="AE951">
        <f t="array" ref="AE951">IF(SUMPRODUCT(--($AO$2:$AO$145=TRIM(LEFT($B951,IFERROR(FIND(" ",$B951)-1,LEN($B951))))))&gt;0,1,0)</f>
        <v/>
      </c>
      <c r="AF951">
        <f t="array" ref="AF951">IF(SUMPRODUCT(--($AQ$2:$AQ$71=TRIM(LEFT($B951,IFERROR(FIND(" ",$B951)-1,LEN($B951))))))&gt;0,1,0)</f>
        <v/>
      </c>
    </row>
    <row r="952" ht="45.75" customHeight="1" thickBot="1">
      <c r="A952" s="13" t="n">
        <v>121</v>
      </c>
      <c r="B952" s="4" t="inlineStr">
        <is>
          <t>KERX US</t>
        </is>
      </c>
      <c r="C952" s="4" t="inlineStr">
        <is>
          <t>AKBA US</t>
        </is>
      </c>
      <c r="D952" s="7" t="n">
        <v>43279</v>
      </c>
      <c r="E952" s="3" t="n">
        <v>537.71</v>
      </c>
      <c r="F952" s="4" t="inlineStr">
        <is>
          <t>Stock</t>
        </is>
      </c>
      <c r="G952" s="4" t="n"/>
      <c r="H952" s="4" t="inlineStr">
        <is>
          <t>Health Care</t>
        </is>
      </c>
      <c r="I952" s="4" t="inlineStr">
        <is>
          <t>Health Care</t>
        </is>
      </c>
      <c r="J952" s="4" t="inlineStr">
        <is>
          <t>Biotech &amp; Pharma</t>
        </is>
      </c>
      <c r="K952" s="3" t="n">
        <v>22</v>
      </c>
      <c r="L952" s="3" t="n">
        <v>22</v>
      </c>
      <c r="M952" s="3" t="n">
        <v>-22.32</v>
      </c>
      <c r="N952" s="3" t="n">
        <v>472.8</v>
      </c>
      <c r="O952" s="4" t="inlineStr">
        <is>
          <t>United States</t>
        </is>
      </c>
      <c r="P952" s="4" t="inlineStr">
        <is>
          <t>United States</t>
        </is>
      </c>
      <c r="Q952" s="4" t="inlineStr">
        <is>
          <t>Friendly</t>
        </is>
      </c>
      <c r="R952" s="3" t="n">
        <v>170.301</v>
      </c>
      <c r="S952" s="3" t="n">
        <v>-94.03830000000001</v>
      </c>
      <c r="T952" s="4" t="inlineStr">
        <is>
          <t>Company Takeover</t>
        </is>
      </c>
      <c r="U952" s="2" t="inlineStr">
        <is>
          <t>No</t>
        </is>
      </c>
      <c r="V952" s="2" t="inlineStr">
        <is>
          <t>No</t>
        </is>
      </c>
      <c r="W952" s="2" t="inlineStr">
        <is>
          <t>No</t>
        </is>
      </c>
      <c r="X952" s="2" t="inlineStr">
        <is>
          <t>No</t>
        </is>
      </c>
      <c r="Y952" s="2" t="inlineStr">
        <is>
          <t>No</t>
        </is>
      </c>
      <c r="Z952" s="2" t="inlineStr">
        <is>
          <t>No</t>
        </is>
      </c>
      <c r="AA952" s="6" t="n">
        <v>2.730548113</v>
      </c>
      <c r="AB952" s="6" t="n">
        <v>2.231217198</v>
      </c>
      <c r="AC952" s="6" t="n">
        <v>2.674677468</v>
      </c>
      <c r="AD952">
        <f t="array" ref="AD952">IF(SUMPRODUCT(--($AM$2:$AM$112=TRIM(LEFT($B952,IFERROR(FIND(" ",$B952)-1,LEN($B952))))))&gt;0,1,0)</f>
        <v/>
      </c>
      <c r="AE952">
        <f t="array" ref="AE952">IF(SUMPRODUCT(--($AO$2:$AO$145=TRIM(LEFT($B952,IFERROR(FIND(" ",$B952)-1,LEN($B952))))))&gt;0,1,0)</f>
        <v/>
      </c>
      <c r="AF952">
        <f t="array" ref="AF952">IF(SUMPRODUCT(--($AQ$2:$AQ$71=TRIM(LEFT($B952,IFERROR(FIND(" ",$B952)-1,LEN($B952))))))&gt;0,1,0)</f>
        <v/>
      </c>
    </row>
    <row r="953" ht="75.75" customHeight="1" thickBot="1">
      <c r="A953" s="13" t="n">
        <v>197</v>
      </c>
      <c r="B953" s="4" t="inlineStr">
        <is>
          <t>OCLR US</t>
        </is>
      </c>
      <c r="C953" s="4" t="inlineStr">
        <is>
          <t>LITE US</t>
        </is>
      </c>
      <c r="D953" s="7" t="n">
        <v>43171</v>
      </c>
      <c r="E953" s="3" t="n">
        <v>1320.77</v>
      </c>
      <c r="F953" s="4" t="inlineStr">
        <is>
          <t>Cash and Stock</t>
        </is>
      </c>
      <c r="G953" s="3" t="n">
        <v>9.210000000000001</v>
      </c>
      <c r="H953" s="4" t="inlineStr">
        <is>
          <t>Technology</t>
        </is>
      </c>
      <c r="I953" s="4" t="inlineStr">
        <is>
          <t>Tech Hardware &amp; Semiconductors</t>
        </is>
      </c>
      <c r="J953" s="4" t="inlineStr">
        <is>
          <t>Semiconductors</t>
        </is>
      </c>
      <c r="K953" s="3" t="n">
        <v>80</v>
      </c>
      <c r="L953" s="3" t="n">
        <v>63</v>
      </c>
      <c r="M953" s="3" t="n">
        <v>33.11</v>
      </c>
      <c r="N953" s="3" t="n">
        <v>1607.47</v>
      </c>
      <c r="O953" s="4" t="inlineStr">
        <is>
          <t>United States</t>
        </is>
      </c>
      <c r="P953" s="4" t="inlineStr">
        <is>
          <t>United States</t>
        </is>
      </c>
      <c r="Q953" s="4" t="inlineStr">
        <is>
          <t>Friendly</t>
        </is>
      </c>
      <c r="R953" s="3" t="n">
        <v>543.17</v>
      </c>
      <c r="S953" s="3" t="n">
        <v>9.152010000000001</v>
      </c>
      <c r="T953" s="4" t="inlineStr">
        <is>
          <t>Company Takeover</t>
        </is>
      </c>
      <c r="U953" s="2" t="inlineStr">
        <is>
          <t>No</t>
        </is>
      </c>
      <c r="V953" s="2" t="inlineStr">
        <is>
          <t>No</t>
        </is>
      </c>
      <c r="W953" s="2" t="inlineStr">
        <is>
          <t>No</t>
        </is>
      </c>
      <c r="X953" s="2" t="inlineStr">
        <is>
          <t>No</t>
        </is>
      </c>
      <c r="Y953" s="2" t="inlineStr">
        <is>
          <t>No</t>
        </is>
      </c>
      <c r="Z953" s="2" t="inlineStr">
        <is>
          <t>No</t>
        </is>
      </c>
      <c r="AA953" s="6" t="n">
        <v>3.120827196</v>
      </c>
      <c r="AB953" s="6" t="n">
        <v>2.734935775</v>
      </c>
      <c r="AC953" s="6" t="n">
        <v>3.206142876</v>
      </c>
      <c r="AD953">
        <f t="array" ref="AD953">IF(SUMPRODUCT(--($AM$2:$AM$112=TRIM(LEFT($B953,IFERROR(FIND(" ",$B953)-1,LEN($B953))))))&gt;0,1,0)</f>
        <v/>
      </c>
      <c r="AE953">
        <f t="array" ref="AE953">IF(SUMPRODUCT(--($AO$2:$AO$145=TRIM(LEFT($B953,IFERROR(FIND(" ",$B953)-1,LEN($B953))))))&gt;0,1,0)</f>
        <v/>
      </c>
      <c r="AF953">
        <f t="array" ref="AF953">IF(SUMPRODUCT(--($AQ$2:$AQ$71=TRIM(LEFT($B953,IFERROR(FIND(" ",$B953)-1,LEN($B953))))))&gt;0,1,0)</f>
        <v/>
      </c>
    </row>
    <row r="954" ht="165.75" customHeight="1" thickBot="1">
      <c r="A954" s="13" t="n">
        <v>95</v>
      </c>
      <c r="B954" s="4" t="inlineStr">
        <is>
          <t>FCE/A US</t>
        </is>
      </c>
      <c r="C954" s="4" t="inlineStr">
        <is>
          <t>BN CN</t>
        </is>
      </c>
      <c r="D954" s="7" t="n">
        <v>43312</v>
      </c>
      <c r="E954" s="3" t="n">
        <v>9731.620000000001</v>
      </c>
      <c r="F954" s="4" t="inlineStr">
        <is>
          <t>Cash</t>
        </is>
      </c>
      <c r="G954" s="3" t="n">
        <v>28.7</v>
      </c>
      <c r="H954" s="4" t="inlineStr">
        <is>
          <t>Real Estate</t>
        </is>
      </c>
      <c r="I954" s="4" t="inlineStr">
        <is>
          <t>Real Estate</t>
        </is>
      </c>
      <c r="J954" s="4" t="inlineStr">
        <is>
          <t>REIT</t>
        </is>
      </c>
      <c r="K954" s="3" t="n">
        <v>488</v>
      </c>
      <c r="L954" s="3" t="n">
        <v>261</v>
      </c>
      <c r="M954" s="4" t="n"/>
      <c r="N954" s="3" t="n">
        <v>6773.37</v>
      </c>
      <c r="O954" s="4" t="inlineStr">
        <is>
          <t>United States</t>
        </is>
      </c>
      <c r="P954" s="4" t="inlineStr">
        <is>
          <t>Canada</t>
        </is>
      </c>
      <c r="Q954" s="4" t="inlineStr">
        <is>
          <t>Friendly</t>
        </is>
      </c>
      <c r="R954" s="3" t="n">
        <v>911.926</v>
      </c>
      <c r="S954" s="3" t="n">
        <v>17.0292</v>
      </c>
      <c r="T954" s="4" t="inlineStr">
        <is>
          <t>PE Buyout, Company Takeover, Cross Border, Private Equity, Going Private</t>
        </is>
      </c>
      <c r="U954" s="2" t="inlineStr">
        <is>
          <t>No</t>
        </is>
      </c>
      <c r="V954" s="2" t="inlineStr">
        <is>
          <t>No</t>
        </is>
      </c>
      <c r="W954" s="2" t="inlineStr">
        <is>
          <t>Yes</t>
        </is>
      </c>
      <c r="X954" s="2" t="inlineStr">
        <is>
          <t>Yes</t>
        </is>
      </c>
      <c r="Y954" s="2" t="inlineStr">
        <is>
          <t>Yes</t>
        </is>
      </c>
      <c r="Z954" s="2" t="inlineStr">
        <is>
          <t>No</t>
        </is>
      </c>
      <c r="AA954" s="6" t="n">
        <v>3.988185142</v>
      </c>
      <c r="AB954" s="6" t="n">
        <v>2.959959598</v>
      </c>
      <c r="AC954" s="6" t="n">
        <v>3.8308048</v>
      </c>
      <c r="AD954">
        <f t="array" ref="AD954">IF(SUMPRODUCT(--($AM$2:$AM$112=TRIM(LEFT($B954,IFERROR(FIND(" ",$B954)-1,LEN($B954))))))&gt;0,1,0)</f>
        <v/>
      </c>
      <c r="AE954">
        <f t="array" ref="AE954">IF(SUMPRODUCT(--($AO$2:$AO$145=TRIM(LEFT($B954,IFERROR(FIND(" ",$B954)-1,LEN($B954))))))&gt;0,1,0)</f>
        <v/>
      </c>
      <c r="AF954">
        <f t="array" ref="AF954">IF(SUMPRODUCT(--($AQ$2:$AQ$71=TRIM(LEFT($B954,IFERROR(FIND(" ",$B954)-1,LEN($B954))))))&gt;0,1,0)</f>
        <v/>
      </c>
    </row>
    <row r="955" ht="75.75" customHeight="1" thickBot="1">
      <c r="A955" s="13" t="n">
        <v>55</v>
      </c>
      <c r="B955" s="4" t="inlineStr">
        <is>
          <t>SONC US</t>
        </is>
      </c>
      <c r="C955" s="4" t="inlineStr">
        <is>
          <t>0208044D US</t>
        </is>
      </c>
      <c r="D955" s="7" t="n">
        <v>43368</v>
      </c>
      <c r="E955" s="3" t="n">
        <v>2263.08</v>
      </c>
      <c r="F955" s="4" t="inlineStr">
        <is>
          <t>Cash</t>
        </is>
      </c>
      <c r="G955" s="3" t="n">
        <v>15.63</v>
      </c>
      <c r="H955" s="4" t="inlineStr">
        <is>
          <t>Consumer Discretionary</t>
        </is>
      </c>
      <c r="I955" s="4" t="inlineStr">
        <is>
          <t>Consumer Discretionary Services</t>
        </is>
      </c>
      <c r="J955" s="4" t="inlineStr">
        <is>
          <t>Leisure Facilities &amp; Services</t>
        </is>
      </c>
      <c r="K955" s="4" t="n"/>
      <c r="L955" s="3" t="n">
        <v>47.736</v>
      </c>
      <c r="M955" s="3" t="n">
        <v>20.33</v>
      </c>
      <c r="N955" s="3" t="n">
        <v>1613.17</v>
      </c>
      <c r="O955" s="4" t="inlineStr">
        <is>
          <t>United States</t>
        </is>
      </c>
      <c r="P955" s="4" t="inlineStr">
        <is>
          <t>United States</t>
        </is>
      </c>
      <c r="Q955" s="4" t="inlineStr">
        <is>
          <t>Friendly</t>
        </is>
      </c>
      <c r="R955" s="3" t="n">
        <v>81.3681</v>
      </c>
      <c r="S955" s="2" t="n"/>
      <c r="T955" s="4" t="inlineStr">
        <is>
          <t>Company Takeover</t>
        </is>
      </c>
      <c r="U955" s="2" t="inlineStr">
        <is>
          <t>No</t>
        </is>
      </c>
      <c r="V955" s="2" t="inlineStr">
        <is>
          <t>No</t>
        </is>
      </c>
      <c r="W955" s="2" t="inlineStr">
        <is>
          <t>No</t>
        </is>
      </c>
      <c r="X955" s="2" t="inlineStr">
        <is>
          <t>No</t>
        </is>
      </c>
      <c r="Y955" s="2" t="inlineStr">
        <is>
          <t>No</t>
        </is>
      </c>
      <c r="Z955" s="2" t="inlineStr">
        <is>
          <t>No</t>
        </is>
      </c>
      <c r="AA955" s="6" t="n">
        <v>3.354699907</v>
      </c>
      <c r="AB955" s="6" t="n">
        <v>1.910454175</v>
      </c>
      <c r="AC955" s="6" t="n">
        <v>3.207680137</v>
      </c>
      <c r="AD955">
        <f t="array" ref="AD955">IF(SUMPRODUCT(--($AM$2:$AM$112=TRIM(LEFT($B955,IFERROR(FIND(" ",$B955)-1,LEN($B955))))))&gt;0,1,0)</f>
        <v/>
      </c>
      <c r="AE955">
        <f t="array" ref="AE955">IF(SUMPRODUCT(--($AO$2:$AO$145=TRIM(LEFT($B955,IFERROR(FIND(" ",$B955)-1,LEN($B955))))))&gt;0,1,0)</f>
        <v/>
      </c>
      <c r="AF955">
        <f t="array" ref="AF955">IF(SUMPRODUCT(--($AQ$2:$AQ$71=TRIM(LEFT($B955,IFERROR(FIND(" ",$B955)-1,LEN($B955))))))&gt;0,1,0)</f>
        <v/>
      </c>
    </row>
    <row r="956" ht="180.75" customHeight="1" thickBot="1">
      <c r="A956" s="13" t="n">
        <v>30</v>
      </c>
      <c r="B956" s="2" t="n"/>
      <c r="C956" s="4" t="inlineStr">
        <is>
          <t>ENS US</t>
        </is>
      </c>
      <c r="D956" s="7" t="n">
        <v>43402</v>
      </c>
      <c r="E956" s="3" t="n">
        <v>750</v>
      </c>
      <c r="F956" s="4" t="inlineStr">
        <is>
          <t>Cash and Stock</t>
        </is>
      </c>
      <c r="G956" s="4" t="n"/>
      <c r="H956" s="4" t="inlineStr">
        <is>
          <t>Industrials, Industrials, Technology</t>
        </is>
      </c>
      <c r="I956" s="4" t="inlineStr">
        <is>
          <t>Industrial Products, Industrial Products, Tech Hardware &amp; Semiconductors</t>
        </is>
      </c>
      <c r="J956" s="4" t="inlineStr">
        <is>
          <t>Electrical Equipment, Electrical Equipment, Technology Hardware</t>
        </is>
      </c>
      <c r="K956" s="4" t="n"/>
      <c r="L956" s="4" t="n"/>
      <c r="M956" s="4" t="n"/>
      <c r="N956" s="3" t="n">
        <v>750</v>
      </c>
      <c r="O956" s="4" t="inlineStr">
        <is>
          <t>United States</t>
        </is>
      </c>
      <c r="P956" s="4" t="inlineStr">
        <is>
          <t>United States</t>
        </is>
      </c>
      <c r="Q956" s="4" t="inlineStr">
        <is>
          <t>Friendly</t>
        </is>
      </c>
      <c r="R956" s="2" t="n"/>
      <c r="S956" s="2" t="n"/>
      <c r="T956" s="4" t="inlineStr">
        <is>
          <t>Company Takeover, Cross Border</t>
        </is>
      </c>
      <c r="U956" s="2" t="inlineStr">
        <is>
          <t>No</t>
        </is>
      </c>
      <c r="V956" s="2" t="inlineStr">
        <is>
          <t>No</t>
        </is>
      </c>
      <c r="W956" s="2" t="inlineStr">
        <is>
          <t>Yes</t>
        </is>
      </c>
      <c r="X956" s="2" t="inlineStr">
        <is>
          <t>No</t>
        </is>
      </c>
      <c r="Y956" s="2" t="inlineStr">
        <is>
          <t>No</t>
        </is>
      </c>
      <c r="Z956" s="2" t="inlineStr">
        <is>
          <t>No</t>
        </is>
      </c>
      <c r="AA956" s="6" t="n">
        <v>2.875061263</v>
      </c>
      <c r="AB956" s="2" t="n"/>
      <c r="AC956" s="6" t="n">
        <v>2.875061263</v>
      </c>
      <c r="AD956">
        <f t="array" ref="AD956">IF(SUMPRODUCT(--($AM$2:$AM$112=TRIM(LEFT($B956,IFERROR(FIND(" ",$B956)-1,LEN($B956))))))&gt;0,1,0)</f>
        <v/>
      </c>
      <c r="AE956">
        <f t="array" ref="AE956">IF(SUMPRODUCT(--($AO$2:$AO$145=TRIM(LEFT($B956,IFERROR(FIND(" ",$B956)-1,LEN($B956))))))&gt;0,1,0)</f>
        <v/>
      </c>
      <c r="AF956">
        <f t="array" ref="AF956">IF(SUMPRODUCT(--($AQ$2:$AQ$71=TRIM(LEFT($B956,IFERROR(FIND(" ",$B956)-1,LEN($B956))))))&gt;0,1,0)</f>
        <v/>
      </c>
    </row>
    <row r="957" ht="135.75" customHeight="1" thickBot="1">
      <c r="A957" s="13" t="n">
        <v>33</v>
      </c>
      <c r="B957" s="4" t="inlineStr">
        <is>
          <t>ARII US</t>
        </is>
      </c>
      <c r="C957" s="4" t="inlineStr">
        <is>
          <t>1349933D US</t>
        </is>
      </c>
      <c r="D957" s="7" t="n">
        <v>43395</v>
      </c>
      <c r="E957" s="3" t="n">
        <v>1781.24</v>
      </c>
      <c r="F957" s="4" t="inlineStr">
        <is>
          <t>Cash</t>
        </is>
      </c>
      <c r="G957" s="3" t="n">
        <v>12.88</v>
      </c>
      <c r="H957" s="4" t="inlineStr">
        <is>
          <t>Industrials</t>
        </is>
      </c>
      <c r="I957" s="4" t="inlineStr">
        <is>
          <t>Industrial Products</t>
        </is>
      </c>
      <c r="J957" s="4" t="inlineStr">
        <is>
          <t>Transportation Equipment</t>
        </is>
      </c>
      <c r="K957" s="3" t="n">
        <v>130</v>
      </c>
      <c r="L957" s="3" t="n">
        <v>65</v>
      </c>
      <c r="M957" s="4" t="n"/>
      <c r="N957" s="3" t="n">
        <v>1335.87</v>
      </c>
      <c r="O957" s="4" t="inlineStr">
        <is>
          <t>United States</t>
        </is>
      </c>
      <c r="P957" s="4" t="inlineStr">
        <is>
          <t>United States</t>
        </is>
      </c>
      <c r="Q957" s="4" t="inlineStr">
        <is>
          <t>Friendly</t>
        </is>
      </c>
      <c r="R957" s="3" t="n">
        <v>476.843</v>
      </c>
      <c r="S957" s="3" t="n">
        <v>15.6309</v>
      </c>
      <c r="T957" s="4" t="inlineStr">
        <is>
          <t>PE Buyout, Company Takeover, Private Equity, Going Private</t>
        </is>
      </c>
      <c r="U957" s="2" t="inlineStr">
        <is>
          <t>No</t>
        </is>
      </c>
      <c r="V957" s="2" t="inlineStr">
        <is>
          <t>No</t>
        </is>
      </c>
      <c r="W957" s="2" t="inlineStr">
        <is>
          <t>No</t>
        </is>
      </c>
      <c r="X957" s="2" t="inlineStr">
        <is>
          <t>Yes</t>
        </is>
      </c>
      <c r="Y957" s="2" t="inlineStr">
        <is>
          <t>Yes</t>
        </is>
      </c>
      <c r="Z957" s="2" t="inlineStr">
        <is>
          <t>No</t>
        </is>
      </c>
      <c r="AA957" s="6" t="n">
        <v>3.250722439</v>
      </c>
      <c r="AB957" s="6" t="n">
        <v>2.678375412</v>
      </c>
      <c r="AC957" s="6" t="n">
        <v>3.125764197</v>
      </c>
      <c r="AD957">
        <f t="array" ref="AD957">IF(SUMPRODUCT(--($AM$2:$AM$112=TRIM(LEFT($B957,IFERROR(FIND(" ",$B957)-1,LEN($B957))))))&gt;0,1,0)</f>
        <v/>
      </c>
      <c r="AE957">
        <f t="array" ref="AE957">IF(SUMPRODUCT(--($AO$2:$AO$145=TRIM(LEFT($B957,IFERROR(FIND(" ",$B957)-1,LEN($B957))))))&gt;0,1,0)</f>
        <v/>
      </c>
      <c r="AF957">
        <f t="array" ref="AF957">IF(SUMPRODUCT(--($AQ$2:$AQ$71=TRIM(LEFT($B957,IFERROR(FIND(" ",$B957)-1,LEN($B957))))))&gt;0,1,0)</f>
        <v/>
      </c>
    </row>
    <row r="958" ht="75.75" customHeight="1" thickBot="1">
      <c r="A958" s="13" t="n">
        <v>63</v>
      </c>
      <c r="B958" s="4" t="inlineStr">
        <is>
          <t>LHO US</t>
        </is>
      </c>
      <c r="C958" s="4" t="inlineStr">
        <is>
          <t>PEB US</t>
        </is>
      </c>
      <c r="D958" s="7" t="n">
        <v>43349</v>
      </c>
      <c r="E958" s="3" t="n">
        <v>5030.67</v>
      </c>
      <c r="F958" s="4" t="inlineStr">
        <is>
          <t>Cash or Stock</t>
        </is>
      </c>
      <c r="G958" s="3" t="n">
        <v>16.48</v>
      </c>
      <c r="H958" s="4" t="inlineStr">
        <is>
          <t>Real Estate</t>
        </is>
      </c>
      <c r="I958" s="4" t="inlineStr">
        <is>
          <t>Real Estate</t>
        </is>
      </c>
      <c r="J958" s="4" t="inlineStr">
        <is>
          <t>REIT</t>
        </is>
      </c>
      <c r="K958" s="3" t="n">
        <v>81</v>
      </c>
      <c r="L958" s="3" t="n">
        <v>112</v>
      </c>
      <c r="M958" s="4" t="n"/>
      <c r="N958" s="3" t="n">
        <v>4173.03</v>
      </c>
      <c r="O958" s="4" t="inlineStr">
        <is>
          <t>United States</t>
        </is>
      </c>
      <c r="P958" s="4" t="inlineStr">
        <is>
          <t>United States</t>
        </is>
      </c>
      <c r="Q958" s="4" t="inlineStr">
        <is>
          <t>Unsolicited</t>
        </is>
      </c>
      <c r="R958" s="3" t="n">
        <v>1419.95</v>
      </c>
      <c r="S958" s="3" t="n">
        <v>10.6127</v>
      </c>
      <c r="T958" s="4" t="inlineStr">
        <is>
          <t>Competing Bid, Company Takeover</t>
        </is>
      </c>
      <c r="U958" s="2" t="inlineStr">
        <is>
          <t>No</t>
        </is>
      </c>
      <c r="V958" s="2" t="inlineStr">
        <is>
          <t>Yes</t>
        </is>
      </c>
      <c r="W958" s="2" t="inlineStr">
        <is>
          <t>No</t>
        </is>
      </c>
      <c r="X958" s="2" t="inlineStr">
        <is>
          <t>No</t>
        </is>
      </c>
      <c r="Y958" s="2" t="inlineStr">
        <is>
          <t>No</t>
        </is>
      </c>
      <c r="Z958" s="2" t="inlineStr">
        <is>
          <t>No</t>
        </is>
      </c>
      <c r="AA958" s="6" t="n">
        <v>3.70162583</v>
      </c>
      <c r="AB958" s="6" t="n">
        <v>3.152273052</v>
      </c>
      <c r="AC958" s="6" t="n">
        <v>3.620451507</v>
      </c>
      <c r="AD958">
        <f t="array" ref="AD958">IF(SUMPRODUCT(--($AM$2:$AM$112=TRIM(LEFT($B958,IFERROR(FIND(" ",$B958)-1,LEN($B958))))))&gt;0,1,0)</f>
        <v/>
      </c>
      <c r="AE958">
        <f t="array" ref="AE958">IF(SUMPRODUCT(--($AO$2:$AO$145=TRIM(LEFT($B958,IFERROR(FIND(" ",$B958)-1,LEN($B958))))))&gt;0,1,0)</f>
        <v/>
      </c>
      <c r="AF958">
        <f t="array" ref="AF958">IF(SUMPRODUCT(--($AQ$2:$AQ$71=TRIM(LEFT($B958,IFERROR(FIND(" ",$B958)-1,LEN($B958))))))&gt;0,1,0)</f>
        <v/>
      </c>
    </row>
    <row r="959" ht="165.75" customHeight="1" thickBot="1">
      <c r="A959" s="13" t="n">
        <v>160</v>
      </c>
      <c r="B959" s="4" t="inlineStr">
        <is>
          <t>MITL US</t>
        </is>
      </c>
      <c r="C959" s="4" t="inlineStr">
        <is>
          <t>0111436D LN</t>
        </is>
      </c>
      <c r="D959" s="7" t="n">
        <v>43214</v>
      </c>
      <c r="E959" s="3" t="n">
        <v>1936.04</v>
      </c>
      <c r="F959" s="4" t="inlineStr">
        <is>
          <t>Cash</t>
        </is>
      </c>
      <c r="G959" s="3" t="n">
        <v>29.69</v>
      </c>
      <c r="H959" s="4" t="inlineStr">
        <is>
          <t>Technology</t>
        </is>
      </c>
      <c r="I959" s="4" t="inlineStr">
        <is>
          <t>Tech Hardware &amp; Semiconductors</t>
        </is>
      </c>
      <c r="J959" s="4" t="inlineStr">
        <is>
          <t>Technology Hardware</t>
        </is>
      </c>
      <c r="K959" s="4" t="n"/>
      <c r="L959" s="4" t="n"/>
      <c r="M959" s="4" t="n"/>
      <c r="N959" s="3" t="n">
        <v>1350.24</v>
      </c>
      <c r="O959" s="4" t="inlineStr">
        <is>
          <t>United States</t>
        </is>
      </c>
      <c r="P959" s="4" t="inlineStr">
        <is>
          <t>United Kingdom</t>
        </is>
      </c>
      <c r="Q959" s="4" t="inlineStr">
        <is>
          <t>Friendly</t>
        </is>
      </c>
      <c r="R959" s="3" t="n">
        <v>1059.1</v>
      </c>
      <c r="S959" s="3" t="n">
        <v>-0.674847</v>
      </c>
      <c r="T959" s="4" t="inlineStr">
        <is>
          <t>PE Buyout, Company Takeover, Cross Border, Private Equity, Going Private</t>
        </is>
      </c>
      <c r="U959" s="2" t="inlineStr">
        <is>
          <t>No</t>
        </is>
      </c>
      <c r="V959" s="2" t="inlineStr">
        <is>
          <t>No</t>
        </is>
      </c>
      <c r="W959" s="2" t="inlineStr">
        <is>
          <t>Yes</t>
        </is>
      </c>
      <c r="X959" s="2" t="inlineStr">
        <is>
          <t>Yes</t>
        </is>
      </c>
      <c r="Y959" s="2" t="inlineStr">
        <is>
          <t>Yes</t>
        </is>
      </c>
      <c r="Z959" s="2" t="inlineStr">
        <is>
          <t>No</t>
        </is>
      </c>
      <c r="AA959" s="6" t="n">
        <v>3.286914326</v>
      </c>
      <c r="AB959" s="6" t="n">
        <v>3.024936968</v>
      </c>
      <c r="AC959" s="6" t="n">
        <v>3.13041097</v>
      </c>
      <c r="AD959">
        <f t="array" ref="AD959">IF(SUMPRODUCT(--($AM$2:$AM$112=TRIM(LEFT($B959,IFERROR(FIND(" ",$B959)-1,LEN($B959))))))&gt;0,1,0)</f>
        <v/>
      </c>
      <c r="AE959">
        <f t="array" ref="AE959">IF(SUMPRODUCT(--($AO$2:$AO$145=TRIM(LEFT($B959,IFERROR(FIND(" ",$B959)-1,LEN($B959))))))&gt;0,1,0)</f>
        <v/>
      </c>
      <c r="AF959">
        <f t="array" ref="AF959">IF(SUMPRODUCT(--($AQ$2:$AQ$71=TRIM(LEFT($B959,IFERROR(FIND(" ",$B959)-1,LEN($B959))))))&gt;0,1,0)</f>
        <v/>
      </c>
    </row>
    <row r="960" ht="45.75" customHeight="1" thickBot="1">
      <c r="A960" s="13" t="n">
        <v>79</v>
      </c>
      <c r="B960" s="4" t="inlineStr">
        <is>
          <t>EGN US</t>
        </is>
      </c>
      <c r="C960" s="4" t="inlineStr">
        <is>
          <t>FANG US</t>
        </is>
      </c>
      <c r="D960" s="7" t="n">
        <v>43326</v>
      </c>
      <c r="E960" s="3" t="n">
        <v>9144.68</v>
      </c>
      <c r="F960" s="4" t="inlineStr">
        <is>
          <t>Stock</t>
        </is>
      </c>
      <c r="G960" s="3" t="n">
        <v>11.25</v>
      </c>
      <c r="H960" s="4" t="inlineStr">
        <is>
          <t>Energy</t>
        </is>
      </c>
      <c r="I960" s="4" t="inlineStr">
        <is>
          <t>Oil &amp; Gas</t>
        </is>
      </c>
      <c r="J960" s="4" t="inlineStr">
        <is>
          <t>Oil &amp; Gas Supply Chain</t>
        </is>
      </c>
      <c r="K960" s="3" t="n">
        <v>400</v>
      </c>
      <c r="L960" s="3" t="n">
        <v>250</v>
      </c>
      <c r="M960" s="3" t="n">
        <v>15.63</v>
      </c>
      <c r="N960" s="3" t="n">
        <v>8316.799999999999</v>
      </c>
      <c r="O960" s="4" t="inlineStr">
        <is>
          <t>United States</t>
        </is>
      </c>
      <c r="P960" s="4" t="inlineStr">
        <is>
          <t>United States</t>
        </is>
      </c>
      <c r="Q960" s="4" t="inlineStr">
        <is>
          <t>Friendly</t>
        </is>
      </c>
      <c r="R960" s="3" t="n">
        <v>971.804</v>
      </c>
      <c r="S960" s="3" t="n">
        <v>20.9136</v>
      </c>
      <c r="T960" s="4" t="inlineStr">
        <is>
          <t>Company Takeover</t>
        </is>
      </c>
      <c r="U960" s="2" t="inlineStr">
        <is>
          <t>No</t>
        </is>
      </c>
      <c r="V960" s="2" t="inlineStr">
        <is>
          <t>No</t>
        </is>
      </c>
      <c r="W960" s="2" t="inlineStr">
        <is>
          <t>No</t>
        </is>
      </c>
      <c r="X960" s="2" t="inlineStr">
        <is>
          <t>No</t>
        </is>
      </c>
      <c r="Y960" s="2" t="inlineStr">
        <is>
          <t>No</t>
        </is>
      </c>
      <c r="Z960" s="2" t="inlineStr">
        <is>
          <t>No</t>
        </is>
      </c>
      <c r="AA960" s="6" t="n">
        <v>3.961168513</v>
      </c>
      <c r="AB960" s="6" t="n">
        <v>2.987578682</v>
      </c>
      <c r="AC960" s="6" t="n">
        <v>3.919956258</v>
      </c>
      <c r="AD960">
        <f t="array" ref="AD960">IF(SUMPRODUCT(--($AM$2:$AM$112=TRIM(LEFT($B960,IFERROR(FIND(" ",$B960)-1,LEN($B960))))))&gt;0,1,0)</f>
        <v/>
      </c>
      <c r="AE960">
        <f t="array" ref="AE960">IF(SUMPRODUCT(--($AO$2:$AO$145=TRIM(LEFT($B960,IFERROR(FIND(" ",$B960)-1,LEN($B960))))))&gt;0,1,0)</f>
        <v/>
      </c>
      <c r="AF960">
        <f t="array" ref="AF960">IF(SUMPRODUCT(--($AQ$2:$AQ$71=TRIM(LEFT($B960,IFERROR(FIND(" ",$B960)-1,LEN($B960))))))&gt;0,1,0)</f>
        <v/>
      </c>
    </row>
    <row r="961" ht="210.75" customHeight="1" thickBot="1">
      <c r="A961" s="13" t="n">
        <v>234</v>
      </c>
      <c r="B961" s="4" t="inlineStr">
        <is>
          <t>AFSI US</t>
        </is>
      </c>
      <c r="C961" s="2" t="n"/>
      <c r="D961" s="7" t="n">
        <v>43109</v>
      </c>
      <c r="E961" s="3" t="n">
        <v>1301.13</v>
      </c>
      <c r="F961" s="4" t="inlineStr">
        <is>
          <t>Cash</t>
        </is>
      </c>
      <c r="G961" s="4" t="n"/>
      <c r="H961" s="4" t="inlineStr">
        <is>
          <t>Financials</t>
        </is>
      </c>
      <c r="I961" s="4" t="inlineStr">
        <is>
          <t>Insurance</t>
        </is>
      </c>
      <c r="J961" s="4" t="inlineStr">
        <is>
          <t>Insurance</t>
        </is>
      </c>
      <c r="K961" s="4" t="n"/>
      <c r="L961" s="4" t="n"/>
      <c r="M961" s="4" t="n"/>
      <c r="N961" s="3" t="n">
        <v>1301.13</v>
      </c>
      <c r="O961" s="4" t="inlineStr">
        <is>
          <t>United States</t>
        </is>
      </c>
      <c r="P961" s="4" t="inlineStr">
        <is>
          <t>United States</t>
        </is>
      </c>
      <c r="Q961" s="4" t="inlineStr">
        <is>
          <t>Unsolicited</t>
        </is>
      </c>
      <c r="R961" s="3" t="n">
        <v>5958.94</v>
      </c>
      <c r="S961" s="3" t="n">
        <v>4.36206</v>
      </c>
      <c r="T961" s="4" t="inlineStr">
        <is>
          <t>PE Buyout, Company Takeover, Cross Border, Management Buyout, Private Equity, Going Private</t>
        </is>
      </c>
      <c r="U961" s="2" t="inlineStr">
        <is>
          <t>No</t>
        </is>
      </c>
      <c r="V961" s="2" t="inlineStr">
        <is>
          <t>No</t>
        </is>
      </c>
      <c r="W961" s="2" t="inlineStr">
        <is>
          <t>Yes</t>
        </is>
      </c>
      <c r="X961" s="2" t="inlineStr">
        <is>
          <t>Yes</t>
        </is>
      </c>
      <c r="Y961" s="2" t="inlineStr">
        <is>
          <t>Yes</t>
        </is>
      </c>
      <c r="Z961" s="2" t="inlineStr">
        <is>
          <t>No</t>
        </is>
      </c>
      <c r="AA961" s="6" t="n">
        <v>3.11432069</v>
      </c>
      <c r="AB961" s="6" t="n">
        <v>3.775169013</v>
      </c>
      <c r="AC961" s="6" t="n">
        <v>3.11432069</v>
      </c>
      <c r="AD961">
        <f t="array" ref="AD961">IF(SUMPRODUCT(--($AM$2:$AM$112=TRIM(LEFT($B961,IFERROR(FIND(" ",$B961)-1,LEN($B961))))))&gt;0,1,0)</f>
        <v/>
      </c>
      <c r="AE961">
        <f t="array" ref="AE961">IF(SUMPRODUCT(--($AO$2:$AO$145=TRIM(LEFT($B961,IFERROR(FIND(" ",$B961)-1,LEN($B961))))))&gt;0,1,0)</f>
        <v/>
      </c>
      <c r="AF961">
        <f t="array" ref="AF961">IF(SUMPRODUCT(--($AQ$2:$AQ$71=TRIM(LEFT($B961,IFERROR(FIND(" ",$B961)-1,LEN($B961))))))&gt;0,1,0)</f>
        <v/>
      </c>
    </row>
    <row r="962" ht="60.75" customHeight="1" thickBot="1">
      <c r="A962" s="13" t="n">
        <v>259</v>
      </c>
      <c r="B962" s="4" t="inlineStr">
        <is>
          <t>AET US</t>
        </is>
      </c>
      <c r="C962" s="4" t="inlineStr">
        <is>
          <t>CVS US</t>
        </is>
      </c>
      <c r="D962" s="7" t="n">
        <v>43072</v>
      </c>
      <c r="E962" s="3" t="n">
        <v>68113.12</v>
      </c>
      <c r="F962" s="4" t="inlineStr">
        <is>
          <t>Cash and Stock</t>
        </is>
      </c>
      <c r="G962" s="3" t="n">
        <v>15.81</v>
      </c>
      <c r="H962" s="4" t="inlineStr">
        <is>
          <t>Health Care</t>
        </is>
      </c>
      <c r="I962" s="4" t="inlineStr">
        <is>
          <t>Health Care</t>
        </is>
      </c>
      <c r="J962" s="4" t="inlineStr">
        <is>
          <t>Health Care Facilities &amp; Svcs</t>
        </is>
      </c>
      <c r="K962" s="3" t="n">
        <v>2100</v>
      </c>
      <c r="L962" s="3" t="n">
        <v>2100</v>
      </c>
      <c r="M962" s="3" t="n">
        <v>16.54</v>
      </c>
      <c r="N962" s="3" t="n">
        <v>66751.12</v>
      </c>
      <c r="O962" s="4" t="inlineStr">
        <is>
          <t>United States</t>
        </is>
      </c>
      <c r="P962" s="4" t="inlineStr">
        <is>
          <t>United States</t>
        </is>
      </c>
      <c r="Q962" s="4" t="inlineStr">
        <is>
          <t>Friendly</t>
        </is>
      </c>
      <c r="R962" s="3" t="n">
        <v>60535</v>
      </c>
      <c r="S962" s="3" t="n">
        <v>9.05884</v>
      </c>
      <c r="T962" s="4" t="inlineStr">
        <is>
          <t>Company Takeover</t>
        </is>
      </c>
      <c r="U962" s="2" t="inlineStr">
        <is>
          <t>No</t>
        </is>
      </c>
      <c r="V962" s="2" t="inlineStr">
        <is>
          <t>No</t>
        </is>
      </c>
      <c r="W962" s="2" t="inlineStr">
        <is>
          <t>No</t>
        </is>
      </c>
      <c r="X962" s="2" t="inlineStr">
        <is>
          <t>No</t>
        </is>
      </c>
      <c r="Y962" s="2" t="inlineStr">
        <is>
          <t>No</t>
        </is>
      </c>
      <c r="Z962" s="2" t="inlineStr">
        <is>
          <t>No</t>
        </is>
      </c>
      <c r="AA962" s="6" t="n">
        <v>4.833230774</v>
      </c>
      <c r="AB962" s="6" t="n">
        <v>4.782006547</v>
      </c>
      <c r="AC962" s="6" t="n">
        <v>4.824458557</v>
      </c>
      <c r="AD962">
        <f t="array" ref="AD962">IF(SUMPRODUCT(--($AM$2:$AM$112=TRIM(LEFT($B962,IFERROR(FIND(" ",$B962)-1,LEN($B962))))))&gt;0,1,0)</f>
        <v/>
      </c>
      <c r="AE962">
        <f t="array" ref="AE962">IF(SUMPRODUCT(--($AO$2:$AO$145=TRIM(LEFT($B962,IFERROR(FIND(" ",$B962)-1,LEN($B962))))))&gt;0,1,0)</f>
        <v/>
      </c>
      <c r="AF962">
        <f t="array" ref="AF962">IF(SUMPRODUCT(--($AQ$2:$AQ$71=TRIM(LEFT($B962,IFERROR(FIND(" ",$B962)-1,LEN($B962))))))&gt;0,1,0)</f>
        <v/>
      </c>
    </row>
    <row r="963" ht="45.75" customHeight="1" thickBot="1">
      <c r="A963" s="13" t="n">
        <v>321</v>
      </c>
      <c r="B963" s="4" t="inlineStr">
        <is>
          <t>COL US</t>
        </is>
      </c>
      <c r="C963" s="4" t="inlineStr">
        <is>
          <t>RTX US</t>
        </is>
      </c>
      <c r="D963" s="7" t="n">
        <v>42983</v>
      </c>
      <c r="E963" s="3" t="n">
        <v>29500.19</v>
      </c>
      <c r="F963" s="4" t="inlineStr">
        <is>
          <t>Cash and Stock</t>
        </is>
      </c>
      <c r="G963" s="3" t="n">
        <v>21.18</v>
      </c>
      <c r="H963" s="4" t="inlineStr">
        <is>
          <t>Industrials</t>
        </is>
      </c>
      <c r="I963" s="4" t="inlineStr">
        <is>
          <t>Industrial Products</t>
        </is>
      </c>
      <c r="J963" s="4" t="inlineStr">
        <is>
          <t>Aerospace &amp; Defense</t>
        </is>
      </c>
      <c r="K963" s="4" t="n"/>
      <c r="L963" s="3" t="n">
        <v>695</v>
      </c>
      <c r="M963" s="3" t="n">
        <v>8.619999999999999</v>
      </c>
      <c r="N963" s="3" t="n">
        <v>22299.19</v>
      </c>
      <c r="O963" s="4" t="inlineStr">
        <is>
          <t>United States</t>
        </is>
      </c>
      <c r="P963" s="4" t="inlineStr">
        <is>
          <t>United States</t>
        </is>
      </c>
      <c r="Q963" s="4" t="inlineStr">
        <is>
          <t>Friendly</t>
        </is>
      </c>
      <c r="R963" s="3" t="n">
        <v>8665</v>
      </c>
      <c r="S963" s="3" t="n">
        <v>16.9186</v>
      </c>
      <c r="T963" s="4" t="inlineStr">
        <is>
          <t>Company Takeover</t>
        </is>
      </c>
      <c r="U963" s="2" t="inlineStr">
        <is>
          <t>No</t>
        </is>
      </c>
      <c r="V963" s="2" t="inlineStr">
        <is>
          <t>No</t>
        </is>
      </c>
      <c r="W963" s="2" t="inlineStr">
        <is>
          <t>No</t>
        </is>
      </c>
      <c r="X963" s="2" t="inlineStr">
        <is>
          <t>No</t>
        </is>
      </c>
      <c r="Y963" s="2" t="inlineStr">
        <is>
          <t>No</t>
        </is>
      </c>
      <c r="Z963" s="2" t="inlineStr">
        <is>
          <t>No</t>
        </is>
      </c>
      <c r="AA963" s="6" t="n">
        <v>4.469824813</v>
      </c>
      <c r="AB963" s="6" t="n">
        <v>3.937768567</v>
      </c>
      <c r="AC963" s="6" t="n">
        <v>4.348289088</v>
      </c>
      <c r="AD963">
        <f t="array" ref="AD963">IF(SUMPRODUCT(--($AM$2:$AM$112=TRIM(LEFT($B963,IFERROR(FIND(" ",$B963)-1,LEN($B963))))))&gt;0,1,0)</f>
        <v/>
      </c>
      <c r="AE963">
        <f t="array" ref="AE963">IF(SUMPRODUCT(--($AO$2:$AO$145=TRIM(LEFT($B963,IFERROR(FIND(" ",$B963)-1,LEN($B963))))))&gt;0,1,0)</f>
        <v/>
      </c>
      <c r="AF963">
        <f t="array" ref="AF963">IF(SUMPRODUCT(--($AQ$2:$AQ$71=TRIM(LEFT($B963,IFERROR(FIND(" ",$B963)-1,LEN($B963))))))&gt;0,1,0)</f>
        <v/>
      </c>
    </row>
    <row r="964" ht="75.75" customHeight="1" thickBot="1">
      <c r="A964" s="13" t="n">
        <v>86</v>
      </c>
      <c r="B964" s="4" t="inlineStr">
        <is>
          <t>LPNT US</t>
        </is>
      </c>
      <c r="C964" s="4" t="inlineStr">
        <is>
          <t>3355228Z US</t>
        </is>
      </c>
      <c r="D964" s="7" t="n">
        <v>43304</v>
      </c>
      <c r="E964" s="3" t="n">
        <v>5297.74</v>
      </c>
      <c r="F964" s="4" t="inlineStr">
        <is>
          <t>Cash</t>
        </is>
      </c>
      <c r="G964" s="3" t="n">
        <v>8.07</v>
      </c>
      <c r="H964" s="4" t="inlineStr">
        <is>
          <t>Health Care</t>
        </is>
      </c>
      <c r="I964" s="4" t="inlineStr">
        <is>
          <t>Health Care</t>
        </is>
      </c>
      <c r="J964" s="4" t="inlineStr">
        <is>
          <t>Health Care Facilities &amp; Svcs</t>
        </is>
      </c>
      <c r="K964" s="3" t="n">
        <v>160.703</v>
      </c>
      <c r="L964" s="3" t="n">
        <v>80.352</v>
      </c>
      <c r="M964" s="4" t="n"/>
      <c r="N964" s="3" t="n">
        <v>2520.64</v>
      </c>
      <c r="O964" s="4" t="inlineStr">
        <is>
          <t>United States</t>
        </is>
      </c>
      <c r="P964" s="4" t="inlineStr">
        <is>
          <t>United States</t>
        </is>
      </c>
      <c r="Q964" s="4" t="inlineStr">
        <is>
          <t>Friendly</t>
        </is>
      </c>
      <c r="R964" s="3" t="n">
        <v>6291.4</v>
      </c>
      <c r="S964" s="3" t="n">
        <v>4.98232</v>
      </c>
      <c r="T964" s="4" t="inlineStr">
        <is>
          <t>Company Takeover, Going Private</t>
        </is>
      </c>
      <c r="U964" s="2" t="inlineStr">
        <is>
          <t>No</t>
        </is>
      </c>
      <c r="V964" s="2" t="inlineStr">
        <is>
          <t>No</t>
        </is>
      </c>
      <c r="W964" s="2" t="inlineStr">
        <is>
          <t>No</t>
        </is>
      </c>
      <c r="X964" s="2" t="inlineStr">
        <is>
          <t>Yes</t>
        </is>
      </c>
      <c r="Y964" s="2" t="inlineStr">
        <is>
          <t>No</t>
        </is>
      </c>
      <c r="Z964" s="2" t="inlineStr">
        <is>
          <t>No</t>
        </is>
      </c>
      <c r="AA964" s="6" t="n">
        <v>3.72409064</v>
      </c>
      <c r="AB964" s="6" t="n">
        <v>3.798747298</v>
      </c>
      <c r="AC964" s="6" t="n">
        <v>3.401510824</v>
      </c>
      <c r="AD964">
        <f t="array" ref="AD964">IF(SUMPRODUCT(--($AM$2:$AM$112=TRIM(LEFT($B964,IFERROR(FIND(" ",$B964)-1,LEN($B964))))))&gt;0,1,0)</f>
        <v/>
      </c>
      <c r="AE964">
        <f t="array" ref="AE964">IF(SUMPRODUCT(--($AO$2:$AO$145=TRIM(LEFT($B964,IFERROR(FIND(" ",$B964)-1,LEN($B964))))))&gt;0,1,0)</f>
        <v/>
      </c>
      <c r="AF964">
        <f t="array" ref="AF964">IF(SUMPRODUCT(--($AQ$2:$AQ$71=TRIM(LEFT($B964,IFERROR(FIND(" ",$B964)-1,LEN($B964))))))&gt;0,1,0)</f>
        <v/>
      </c>
    </row>
    <row r="965" ht="75.75" customHeight="1" thickBot="1">
      <c r="A965" s="13" t="n">
        <v>52</v>
      </c>
      <c r="B965" s="4" t="inlineStr">
        <is>
          <t>IL US</t>
        </is>
      </c>
      <c r="C965" s="4" t="inlineStr">
        <is>
          <t>SSNC US</t>
        </is>
      </c>
      <c r="D965" s="7" t="n">
        <v>43349</v>
      </c>
      <c r="E965" s="3" t="n">
        <v>1500</v>
      </c>
      <c r="F965" s="4" t="inlineStr">
        <is>
          <t>Cash and Stock</t>
        </is>
      </c>
      <c r="G965" s="4" t="n"/>
      <c r="H965" s="4" t="inlineStr">
        <is>
          <t>Technology</t>
        </is>
      </c>
      <c r="I965" s="4" t="inlineStr">
        <is>
          <t>Software &amp; Tech Services</t>
        </is>
      </c>
      <c r="J965" s="4" t="inlineStr">
        <is>
          <t>Software</t>
        </is>
      </c>
      <c r="K965" s="4" t="n"/>
      <c r="L965" s="4" t="n"/>
      <c r="M965" s="4" t="n"/>
      <c r="N965" s="3" t="n">
        <v>1500</v>
      </c>
      <c r="O965" s="4" t="inlineStr">
        <is>
          <t>United States</t>
        </is>
      </c>
      <c r="P965" s="4" t="inlineStr">
        <is>
          <t>United States</t>
        </is>
      </c>
      <c r="Q965" s="4" t="inlineStr">
        <is>
          <t>Friendly</t>
        </is>
      </c>
      <c r="R965" s="3" t="n">
        <v>276.153</v>
      </c>
      <c r="S965" s="3" t="n">
        <v>-4.2969</v>
      </c>
      <c r="T965" s="4" t="inlineStr">
        <is>
          <t>Company Takeover, Private Equity</t>
        </is>
      </c>
      <c r="U965" s="2" t="inlineStr">
        <is>
          <t>No</t>
        </is>
      </c>
      <c r="V965" s="2" t="inlineStr">
        <is>
          <t>No</t>
        </is>
      </c>
      <c r="W965" s="2" t="inlineStr">
        <is>
          <t>No</t>
        </is>
      </c>
      <c r="X965" s="2" t="inlineStr">
        <is>
          <t>No</t>
        </is>
      </c>
      <c r="Y965" s="2" t="inlineStr">
        <is>
          <t>No</t>
        </is>
      </c>
      <c r="Z965" s="2" t="inlineStr">
        <is>
          <t>No</t>
        </is>
      </c>
      <c r="AA965" s="6" t="n">
        <v>3.176091259</v>
      </c>
      <c r="AB965" s="6" t="n">
        <v>2.441149766</v>
      </c>
      <c r="AC965" s="6" t="n">
        <v>3.176091259</v>
      </c>
      <c r="AD965">
        <f t="array" ref="AD965">IF(SUMPRODUCT(--($AM$2:$AM$112=TRIM(LEFT($B965,IFERROR(FIND(" ",$B965)-1,LEN($B965))))))&gt;0,1,0)</f>
        <v/>
      </c>
      <c r="AE965">
        <f t="array" ref="AE965">IF(SUMPRODUCT(--($AO$2:$AO$145=TRIM(LEFT($B965,IFERROR(FIND(" ",$B965)-1,LEN($B965))))))&gt;0,1,0)</f>
        <v/>
      </c>
      <c r="AF965">
        <f t="array" ref="AF965">IF(SUMPRODUCT(--($AQ$2:$AQ$71=TRIM(LEFT($B965,IFERROR(FIND(" ",$B965)-1,LEN($B965))))))&gt;0,1,0)</f>
        <v/>
      </c>
    </row>
    <row r="966" ht="45.75" customHeight="1" thickBot="1">
      <c r="A966" s="13" t="n">
        <v>67</v>
      </c>
      <c r="B966" s="4" t="inlineStr">
        <is>
          <t>KMG US</t>
        </is>
      </c>
      <c r="C966" s="4" t="inlineStr">
        <is>
          <t>CCMP US</t>
        </is>
      </c>
      <c r="D966" s="7" t="n">
        <v>43327</v>
      </c>
      <c r="E966" s="3" t="n">
        <v>1537.91</v>
      </c>
      <c r="F966" s="4" t="inlineStr">
        <is>
          <t>Cash and Stock</t>
        </is>
      </c>
      <c r="G966" s="3" t="n">
        <v>13.03</v>
      </c>
      <c r="H966" s="4" t="inlineStr">
        <is>
          <t>Materials</t>
        </is>
      </c>
      <c r="I966" s="4" t="inlineStr">
        <is>
          <t>Materials</t>
        </is>
      </c>
      <c r="J966" s="4" t="inlineStr">
        <is>
          <t>Chemicals</t>
        </is>
      </c>
      <c r="K966" s="4" t="n"/>
      <c r="L966" s="3" t="n">
        <v>38.765</v>
      </c>
      <c r="M966" s="3" t="n">
        <v>12.08</v>
      </c>
      <c r="N966" s="3" t="n">
        <v>1236.18</v>
      </c>
      <c r="O966" s="4" t="inlineStr">
        <is>
          <t>United States</t>
        </is>
      </c>
      <c r="P966" s="4" t="inlineStr">
        <is>
          <t>United States</t>
        </is>
      </c>
      <c r="Q966" s="4" t="inlineStr">
        <is>
          <t>Friendly</t>
        </is>
      </c>
      <c r="R966" s="3" t="n">
        <v>465.556</v>
      </c>
      <c r="S966" s="3" t="n">
        <v>18.929</v>
      </c>
      <c r="T966" s="4" t="inlineStr">
        <is>
          <t>Company Takeover</t>
        </is>
      </c>
      <c r="U966" s="2" t="inlineStr">
        <is>
          <t>No</t>
        </is>
      </c>
      <c r="V966" s="2" t="inlineStr">
        <is>
          <t>No</t>
        </is>
      </c>
      <c r="W966" s="2" t="inlineStr">
        <is>
          <t>No</t>
        </is>
      </c>
      <c r="X966" s="2" t="inlineStr">
        <is>
          <t>No</t>
        </is>
      </c>
      <c r="Y966" s="2" t="inlineStr">
        <is>
          <t>No</t>
        </is>
      </c>
      <c r="Z966" s="2" t="inlineStr">
        <is>
          <t>No</t>
        </is>
      </c>
      <c r="AA966" s="6" t="n">
        <v>3.186930921</v>
      </c>
      <c r="AB966" s="6" t="n">
        <v>2.667971928</v>
      </c>
      <c r="AC966" s="6" t="n">
        <v>3.092081713</v>
      </c>
      <c r="AD966">
        <f t="array" ref="AD966">IF(SUMPRODUCT(--($AM$2:$AM$112=TRIM(LEFT($B966,IFERROR(FIND(" ",$B966)-1,LEN($B966))))))&gt;0,1,0)</f>
        <v/>
      </c>
      <c r="AE966">
        <f t="array" ref="AE966">IF(SUMPRODUCT(--($AO$2:$AO$145=TRIM(LEFT($B966,IFERROR(FIND(" ",$B966)-1,LEN($B966))))))&gt;0,1,0)</f>
        <v/>
      </c>
      <c r="AF966">
        <f t="array" ref="AF966">IF(SUMPRODUCT(--($AQ$2:$AQ$71=TRIM(LEFT($B966,IFERROR(FIND(" ",$B966)-1,LEN($B966))))))&gt;0,1,0)</f>
        <v/>
      </c>
    </row>
    <row r="967" ht="75.75" customHeight="1" thickBot="1">
      <c r="A967" s="13" t="n">
        <v>56</v>
      </c>
      <c r="B967" s="4" t="inlineStr">
        <is>
          <t>REXXQ US</t>
        </is>
      </c>
      <c r="C967" s="4" t="inlineStr">
        <is>
          <t>0562792D US</t>
        </is>
      </c>
      <c r="D967" s="7" t="n">
        <v>43342</v>
      </c>
      <c r="E967" s="3" t="n">
        <v>1535.66</v>
      </c>
      <c r="F967" s="4" t="inlineStr">
        <is>
          <t>Cash</t>
        </is>
      </c>
      <c r="G967" s="3" t="n">
        <v>24.11</v>
      </c>
      <c r="H967" s="4" t="inlineStr">
        <is>
          <t>Energy</t>
        </is>
      </c>
      <c r="I967" s="4" t="inlineStr">
        <is>
          <t>Oil &amp; Gas</t>
        </is>
      </c>
      <c r="J967" s="4" t="inlineStr">
        <is>
          <t>Oil &amp; Gas Supply Chain</t>
        </is>
      </c>
      <c r="K967" s="4" t="n"/>
      <c r="L967" s="4" t="n"/>
      <c r="M967" s="4" t="n"/>
      <c r="N967" s="3" t="n">
        <v>600.5</v>
      </c>
      <c r="O967" s="4" t="inlineStr">
        <is>
          <t>United States</t>
        </is>
      </c>
      <c r="P967" s="4" t="inlineStr">
        <is>
          <t>United States</t>
        </is>
      </c>
      <c r="Q967" s="4" t="inlineStr">
        <is>
          <t>Friendly</t>
        </is>
      </c>
      <c r="R967" s="3" t="n">
        <v>205.266</v>
      </c>
      <c r="S967" s="3" t="n">
        <v>1.42504</v>
      </c>
      <c r="T967" s="4" t="inlineStr">
        <is>
          <t>Company Takeover, Going Private</t>
        </is>
      </c>
      <c r="U967" s="2" t="inlineStr">
        <is>
          <t>No</t>
        </is>
      </c>
      <c r="V967" s="2" t="inlineStr">
        <is>
          <t>No</t>
        </is>
      </c>
      <c r="W967" s="2" t="inlineStr">
        <is>
          <t>No</t>
        </is>
      </c>
      <c r="X967" s="2" t="inlineStr">
        <is>
          <t>Yes</t>
        </is>
      </c>
      <c r="Y967" s="2" t="inlineStr">
        <is>
          <t>No</t>
        </is>
      </c>
      <c r="Z967" s="2" t="inlineStr">
        <is>
          <t>No</t>
        </is>
      </c>
      <c r="AA967" s="6" t="n">
        <v>3.186295072</v>
      </c>
      <c r="AB967" s="6" t="n">
        <v>2.312317019</v>
      </c>
      <c r="AC967" s="6" t="n">
        <v>2.778513012</v>
      </c>
      <c r="AD967">
        <f t="array" ref="AD967">IF(SUMPRODUCT(--($AM$2:$AM$112=TRIM(LEFT($B967,IFERROR(FIND(" ",$B967)-1,LEN($B967))))))&gt;0,1,0)</f>
        <v/>
      </c>
      <c r="AE967">
        <f t="array" ref="AE967">IF(SUMPRODUCT(--($AO$2:$AO$145=TRIM(LEFT($B967,IFERROR(FIND(" ",$B967)-1,LEN($B967))))))&gt;0,1,0)</f>
        <v/>
      </c>
      <c r="AF967">
        <f t="array" ref="AF967">IF(SUMPRODUCT(--($AQ$2:$AQ$71=TRIM(LEFT($B967,IFERROR(FIND(" ",$B967)-1,LEN($B967))))))&gt;0,1,0)</f>
        <v/>
      </c>
    </row>
    <row r="968" ht="120.75" customHeight="1" thickBot="1">
      <c r="A968" s="13" t="n">
        <v>40</v>
      </c>
      <c r="B968" s="4" t="inlineStr">
        <is>
          <t>ENF CN</t>
        </is>
      </c>
      <c r="C968" s="4" t="inlineStr">
        <is>
          <t>ENB CN</t>
        </is>
      </c>
      <c r="D968" s="7" t="n">
        <v>43361</v>
      </c>
      <c r="E968" s="3" t="n">
        <v>3653.14</v>
      </c>
      <c r="F968" s="4" t="inlineStr">
        <is>
          <t>Cash and Stock</t>
        </is>
      </c>
      <c r="G968" s="4" t="n"/>
      <c r="H968" s="4" t="inlineStr">
        <is>
          <t>Energy</t>
        </is>
      </c>
      <c r="I968" s="4" t="inlineStr">
        <is>
          <t>Oil &amp; Gas</t>
        </is>
      </c>
      <c r="J968" s="4" t="inlineStr">
        <is>
          <t>Oil &amp; Gas Supply Chain</t>
        </is>
      </c>
      <c r="K968" s="4" t="n"/>
      <c r="L968" s="4" t="n"/>
      <c r="M968" s="3" t="n">
        <v>3.54</v>
      </c>
      <c r="N968" s="3" t="n">
        <v>3656.22</v>
      </c>
      <c r="O968" s="4" t="inlineStr">
        <is>
          <t>Canada</t>
        </is>
      </c>
      <c r="P968" s="4" t="inlineStr">
        <is>
          <t>Canada</t>
        </is>
      </c>
      <c r="Q968" s="4" t="inlineStr">
        <is>
          <t>Friendly</t>
        </is>
      </c>
      <c r="R968" s="2" t="n"/>
      <c r="S968" s="2" t="n"/>
      <c r="T968" s="4" t="inlineStr">
        <is>
          <t>Company Takeover, Additional Stake Purchase</t>
        </is>
      </c>
      <c r="U968" s="2" t="inlineStr">
        <is>
          <t>Yes</t>
        </is>
      </c>
      <c r="V968" s="2" t="inlineStr">
        <is>
          <t>No</t>
        </is>
      </c>
      <c r="W968" s="2" t="inlineStr">
        <is>
          <t>No</t>
        </is>
      </c>
      <c r="X968" s="2" t="inlineStr">
        <is>
          <t>No</t>
        </is>
      </c>
      <c r="Y968" s="2" t="inlineStr">
        <is>
          <t>No</t>
        </is>
      </c>
      <c r="Z968" s="2" t="inlineStr">
        <is>
          <t>No</t>
        </is>
      </c>
      <c r="AA968" s="6" t="n">
        <v>3.562666316</v>
      </c>
      <c r="AB968" s="2" t="n"/>
      <c r="AC968" s="6" t="n">
        <v>3.56303232</v>
      </c>
      <c r="AD968">
        <f t="array" ref="AD968">IF(SUMPRODUCT(--($AM$2:$AM$112=TRIM(LEFT($B968,IFERROR(FIND(" ",$B968)-1,LEN($B968))))))&gt;0,1,0)</f>
        <v/>
      </c>
      <c r="AE968">
        <f t="array" ref="AE968">IF(SUMPRODUCT(--($AO$2:$AO$145=TRIM(LEFT($B968,IFERROR(FIND(" ",$B968)-1,LEN($B968))))))&gt;0,1,0)</f>
        <v/>
      </c>
      <c r="AF968">
        <f t="array" ref="AF968">IF(SUMPRODUCT(--($AQ$2:$AQ$71=TRIM(LEFT($B968,IFERROR(FIND(" ",$B968)-1,LEN($B968))))))&gt;0,1,0)</f>
        <v/>
      </c>
    </row>
    <row r="969" ht="60.75" customHeight="1" thickBot="1">
      <c r="A969" s="13" t="n">
        <v>53</v>
      </c>
      <c r="B969" s="4" t="inlineStr">
        <is>
          <t>KTWO US</t>
        </is>
      </c>
      <c r="C969" s="4" t="inlineStr">
        <is>
          <t>SYK US</t>
        </is>
      </c>
      <c r="D969" s="7" t="n">
        <v>43342</v>
      </c>
      <c r="E969" s="3" t="n">
        <v>1258.89</v>
      </c>
      <c r="F969" s="4" t="inlineStr">
        <is>
          <t>Cash</t>
        </is>
      </c>
      <c r="G969" s="4" t="n"/>
      <c r="H969" s="4" t="inlineStr">
        <is>
          <t>Health Care</t>
        </is>
      </c>
      <c r="I969" s="4" t="inlineStr">
        <is>
          <t>Health Care</t>
        </is>
      </c>
      <c r="J969" s="4" t="inlineStr">
        <is>
          <t>Medical Equipment &amp; Devices</t>
        </is>
      </c>
      <c r="K969" s="4" t="n"/>
      <c r="L969" s="3" t="n">
        <v>47.6</v>
      </c>
      <c r="M969" s="3" t="n">
        <v>29.04</v>
      </c>
      <c r="N969" s="3" t="n">
        <v>1198.96</v>
      </c>
      <c r="O969" s="4" t="inlineStr">
        <is>
          <t>United States</t>
        </is>
      </c>
      <c r="P969" s="4" t="inlineStr">
        <is>
          <t>United States</t>
        </is>
      </c>
      <c r="Q969" s="4" t="inlineStr">
        <is>
          <t>Friendly</t>
        </is>
      </c>
      <c r="R969" s="2" t="n"/>
      <c r="S969" s="2" t="n"/>
      <c r="T969" s="4" t="inlineStr">
        <is>
          <t>Company Takeover</t>
        </is>
      </c>
      <c r="U969" s="2" t="inlineStr">
        <is>
          <t>No</t>
        </is>
      </c>
      <c r="V969" s="2" t="inlineStr">
        <is>
          <t>No</t>
        </is>
      </c>
      <c r="W969" s="2" t="inlineStr">
        <is>
          <t>No</t>
        </is>
      </c>
      <c r="X969" s="2" t="inlineStr">
        <is>
          <t>No</t>
        </is>
      </c>
      <c r="Y969" s="2" t="inlineStr">
        <is>
          <t>No</t>
        </is>
      </c>
      <c r="Z969" s="2" t="inlineStr">
        <is>
          <t>No</t>
        </is>
      </c>
      <c r="AA969" s="6" t="n">
        <v>3.099987784</v>
      </c>
      <c r="AB969" s="2" t="n"/>
      <c r="AC969" s="6" t="n">
        <v>3.078804694</v>
      </c>
      <c r="AD969">
        <f t="array" ref="AD969">IF(SUMPRODUCT(--($AM$2:$AM$112=TRIM(LEFT($B969,IFERROR(FIND(" ",$B969)-1,LEN($B969))))))&gt;0,1,0)</f>
        <v/>
      </c>
      <c r="AE969">
        <f t="array" ref="AE969">IF(SUMPRODUCT(--($AO$2:$AO$145=TRIM(LEFT($B969,IFERROR(FIND(" ",$B969)-1,LEN($B969))))))&gt;0,1,0)</f>
        <v/>
      </c>
      <c r="AF969">
        <f t="array" ref="AF969">IF(SUMPRODUCT(--($AQ$2:$AQ$71=TRIM(LEFT($B969,IFERROR(FIND(" ",$B969)-1,LEN($B969))))))&gt;0,1,0)</f>
        <v/>
      </c>
    </row>
    <row r="970" ht="45.75" customHeight="1" thickBot="1">
      <c r="A970" s="13" t="n">
        <v>85</v>
      </c>
      <c r="B970" s="4" t="inlineStr">
        <is>
          <t>2326248D US</t>
        </is>
      </c>
      <c r="C970" s="4" t="inlineStr">
        <is>
          <t>AVGO US</t>
        </is>
      </c>
      <c r="D970" s="7" t="n">
        <v>43292</v>
      </c>
      <c r="E970" s="3" t="n">
        <v>18128</v>
      </c>
      <c r="F970" s="4" t="inlineStr">
        <is>
          <t>Cash</t>
        </is>
      </c>
      <c r="G970" s="3" t="n">
        <v>13.67</v>
      </c>
      <c r="H970" s="4" t="inlineStr">
        <is>
          <t>Technology</t>
        </is>
      </c>
      <c r="I970" s="4" t="inlineStr">
        <is>
          <t>Software &amp; Tech Services</t>
        </is>
      </c>
      <c r="J970" s="4" t="inlineStr">
        <is>
          <t>Software</t>
        </is>
      </c>
      <c r="K970" s="4" t="n"/>
      <c r="L970" s="3" t="n">
        <v>566</v>
      </c>
      <c r="M970" s="3" t="n">
        <v>22.82</v>
      </c>
      <c r="N970" s="3" t="n">
        <v>18750</v>
      </c>
      <c r="O970" s="4" t="inlineStr">
        <is>
          <t>United States</t>
        </is>
      </c>
      <c r="P970" s="4" t="inlineStr">
        <is>
          <t>United States</t>
        </is>
      </c>
      <c r="Q970" s="4" t="inlineStr">
        <is>
          <t>Friendly</t>
        </is>
      </c>
      <c r="R970" s="3" t="n">
        <v>4235</v>
      </c>
      <c r="S970" s="3" t="n">
        <v>21.0277</v>
      </c>
      <c r="T970" s="4" t="inlineStr">
        <is>
          <t>Company Takeover</t>
        </is>
      </c>
      <c r="U970" s="2" t="inlineStr">
        <is>
          <t>No</t>
        </is>
      </c>
      <c r="V970" s="2" t="inlineStr">
        <is>
          <t>No</t>
        </is>
      </c>
      <c r="W970" s="2" t="inlineStr">
        <is>
          <t>No</t>
        </is>
      </c>
      <c r="X970" s="2" t="inlineStr">
        <is>
          <t>No</t>
        </is>
      </c>
      <c r="Y970" s="2" t="inlineStr">
        <is>
          <t>No</t>
        </is>
      </c>
      <c r="Z970" s="2" t="inlineStr">
        <is>
          <t>No</t>
        </is>
      </c>
      <c r="AA970" s="6" t="n">
        <v>4.258349893</v>
      </c>
      <c r="AB970" s="6" t="n">
        <v>3.626853415</v>
      </c>
      <c r="AC970" s="6" t="n">
        <v>4.273001272</v>
      </c>
      <c r="AD970">
        <f t="array" ref="AD970">IF(SUMPRODUCT(--($AM$2:$AM$112=TRIM(LEFT($B970,IFERROR(FIND(" ",$B970)-1,LEN($B970))))))&gt;0,1,0)</f>
        <v/>
      </c>
      <c r="AE970">
        <f t="array" ref="AE970">IF(SUMPRODUCT(--($AO$2:$AO$145=TRIM(LEFT($B970,IFERROR(FIND(" ",$B970)-1,LEN($B970))))))&gt;0,1,0)</f>
        <v/>
      </c>
      <c r="AF970">
        <f t="array" ref="AF970">IF(SUMPRODUCT(--($AQ$2:$AQ$71=TRIM(LEFT($B970,IFERROR(FIND(" ",$B970)-1,LEN($B970))))))&gt;0,1,0)</f>
        <v/>
      </c>
    </row>
    <row r="971" ht="60.75" customHeight="1" thickBot="1">
      <c r="A971" s="13" t="n">
        <v>201</v>
      </c>
      <c r="B971" s="4" t="inlineStr">
        <is>
          <t>KS US</t>
        </is>
      </c>
      <c r="C971" s="4" t="inlineStr">
        <is>
          <t>WRK US</t>
        </is>
      </c>
      <c r="D971" s="7" t="n">
        <v>43129</v>
      </c>
      <c r="E971" s="3" t="n">
        <v>4934.24</v>
      </c>
      <c r="F971" s="4" t="inlineStr">
        <is>
          <t>Cash or Stock</t>
        </is>
      </c>
      <c r="G971" s="3" t="n">
        <v>12.79</v>
      </c>
      <c r="H971" s="4" t="inlineStr">
        <is>
          <t>Materials</t>
        </is>
      </c>
      <c r="I971" s="4" t="inlineStr">
        <is>
          <t>Materials</t>
        </is>
      </c>
      <c r="J971" s="4" t="inlineStr">
        <is>
          <t>Containers &amp; Packaging</t>
        </is>
      </c>
      <c r="K971" s="4" t="n"/>
      <c r="L971" s="3" t="n">
        <v>105.6</v>
      </c>
      <c r="M971" s="4" t="n"/>
      <c r="N971" s="3" t="n">
        <v>3393.48</v>
      </c>
      <c r="O971" s="4" t="inlineStr">
        <is>
          <t>United States</t>
        </is>
      </c>
      <c r="P971" s="4" t="inlineStr">
        <is>
          <t>United States</t>
        </is>
      </c>
      <c r="Q971" s="4" t="inlineStr">
        <is>
          <t>Friendly</t>
        </is>
      </c>
      <c r="R971" s="3" t="n">
        <v>3315.66</v>
      </c>
      <c r="S971" s="3" t="n">
        <v>9.211080000000001</v>
      </c>
      <c r="T971" s="4" t="inlineStr">
        <is>
          <t>Company Takeover</t>
        </is>
      </c>
      <c r="U971" s="2" t="inlineStr">
        <is>
          <t>No</t>
        </is>
      </c>
      <c r="V971" s="2" t="inlineStr">
        <is>
          <t>No</t>
        </is>
      </c>
      <c r="W971" s="2" t="inlineStr">
        <is>
          <t>No</t>
        </is>
      </c>
      <c r="X971" s="2" t="inlineStr">
        <is>
          <t>No</t>
        </is>
      </c>
      <c r="Y971" s="2" t="inlineStr">
        <is>
          <t>No</t>
        </is>
      </c>
      <c r="Z971" s="2" t="inlineStr">
        <is>
          <t>No</t>
        </is>
      </c>
      <c r="AA971" s="6" t="n">
        <v>3.69322027</v>
      </c>
      <c r="AB971" s="6" t="n">
        <v>3.52056999</v>
      </c>
      <c r="AC971" s="6" t="n">
        <v>3.530645294</v>
      </c>
      <c r="AD971">
        <f t="array" ref="AD971">IF(SUMPRODUCT(--($AM$2:$AM$112=TRIM(LEFT($B971,IFERROR(FIND(" ",$B971)-1,LEN($B971))))))&gt;0,1,0)</f>
        <v/>
      </c>
      <c r="AE971">
        <f t="array" ref="AE971">IF(SUMPRODUCT(--($AO$2:$AO$145=TRIM(LEFT($B971,IFERROR(FIND(" ",$B971)-1,LEN($B971))))))&gt;0,1,0)</f>
        <v/>
      </c>
      <c r="AF971">
        <f t="array" ref="AF971">IF(SUMPRODUCT(--($AQ$2:$AQ$71=TRIM(LEFT($B971,IFERROR(FIND(" ",$B971)-1,LEN($B971))))))&gt;0,1,0)</f>
        <v/>
      </c>
    </row>
    <row r="972" ht="45.75" customHeight="1" thickBot="1">
      <c r="A972" s="13" t="n">
        <v>100</v>
      </c>
      <c r="B972" s="4" t="inlineStr">
        <is>
          <t>CPPY US</t>
        </is>
      </c>
      <c r="C972" s="4" t="inlineStr">
        <is>
          <t>WPC US</t>
        </is>
      </c>
      <c r="D972" s="7" t="n">
        <v>43269</v>
      </c>
      <c r="E972" s="3" t="n">
        <v>5493.89</v>
      </c>
      <c r="F972" s="4" t="inlineStr">
        <is>
          <t>Stock</t>
        </is>
      </c>
      <c r="G972" s="4" t="n"/>
      <c r="H972" s="4" t="inlineStr">
        <is>
          <t>Real Estate</t>
        </is>
      </c>
      <c r="I972" s="4" t="inlineStr">
        <is>
          <t>Real Estate</t>
        </is>
      </c>
      <c r="J972" s="4" t="inlineStr">
        <is>
          <t>REIT</t>
        </is>
      </c>
      <c r="K972" s="4" t="n"/>
      <c r="L972" s="3" t="n">
        <v>114</v>
      </c>
      <c r="M972" s="4" t="n"/>
      <c r="N972" s="3" t="n">
        <v>3650.43</v>
      </c>
      <c r="O972" s="4" t="inlineStr">
        <is>
          <t>United States</t>
        </is>
      </c>
      <c r="P972" s="4" t="inlineStr">
        <is>
          <t>United States</t>
        </is>
      </c>
      <c r="Q972" s="4" t="inlineStr">
        <is>
          <t>Friendly</t>
        </is>
      </c>
      <c r="R972" s="3" t="n">
        <v>447.654</v>
      </c>
      <c r="S972" s="3" t="n">
        <v>41.1255</v>
      </c>
      <c r="T972" s="4" t="inlineStr">
        <is>
          <t>Company Takeover</t>
        </is>
      </c>
      <c r="U972" s="2" t="inlineStr">
        <is>
          <t>No</t>
        </is>
      </c>
      <c r="V972" s="2" t="inlineStr">
        <is>
          <t>No</t>
        </is>
      </c>
      <c r="W972" s="2" t="inlineStr">
        <is>
          <t>No</t>
        </is>
      </c>
      <c r="X972" s="2" t="inlineStr">
        <is>
          <t>No</t>
        </is>
      </c>
      <c r="Y972" s="2" t="inlineStr">
        <is>
          <t>No</t>
        </is>
      </c>
      <c r="Z972" s="2" t="inlineStr">
        <is>
          <t>No</t>
        </is>
      </c>
      <c r="AA972" s="6" t="n">
        <v>3.73987996</v>
      </c>
      <c r="AB972" s="6" t="n">
        <v>2.650942469</v>
      </c>
      <c r="AC972" s="6" t="n">
        <v>3.562344025</v>
      </c>
      <c r="AD972">
        <f t="array" ref="AD972">IF(SUMPRODUCT(--($AM$2:$AM$112=TRIM(LEFT($B972,IFERROR(FIND(" ",$B972)-1,LEN($B972))))))&gt;0,1,0)</f>
        <v/>
      </c>
      <c r="AE972">
        <f t="array" ref="AE972">IF(SUMPRODUCT(--($AO$2:$AO$145=TRIM(LEFT($B972,IFERROR(FIND(" ",$B972)-1,LEN($B972))))))&gt;0,1,0)</f>
        <v/>
      </c>
      <c r="AF972">
        <f t="array" ref="AF972">IF(SUMPRODUCT(--($AQ$2:$AQ$71=TRIM(LEFT($B972,IFERROR(FIND(" ",$B972)-1,LEN($B972))))))&gt;0,1,0)</f>
        <v/>
      </c>
    </row>
    <row r="973" ht="105.75" customHeight="1" thickBot="1">
      <c r="A973" s="13" t="n">
        <v>43</v>
      </c>
      <c r="B973" s="4" t="inlineStr">
        <is>
          <t>CHP-U CN</t>
        </is>
      </c>
      <c r="C973" s="4" t="inlineStr">
        <is>
          <t>WN CN</t>
        </is>
      </c>
      <c r="D973" s="7" t="n">
        <v>43347</v>
      </c>
      <c r="E973" s="3" t="n">
        <v>9280.059999999999</v>
      </c>
      <c r="F973" s="4" t="inlineStr">
        <is>
          <t>Stock</t>
        </is>
      </c>
      <c r="G973" s="3" t="n">
        <v>24.39</v>
      </c>
      <c r="H973" s="4" t="inlineStr">
        <is>
          <t>Real Estate</t>
        </is>
      </c>
      <c r="I973" s="4" t="inlineStr">
        <is>
          <t>Real Estate</t>
        </is>
      </c>
      <c r="J973" s="4" t="inlineStr">
        <is>
          <t>REIT</t>
        </is>
      </c>
      <c r="K973" s="4" t="n"/>
      <c r="L973" s="4" t="n"/>
      <c r="M973" s="4" t="n"/>
      <c r="N973" s="3" t="n">
        <v>3875.48</v>
      </c>
      <c r="O973" s="4" t="inlineStr">
        <is>
          <t>Canada</t>
        </is>
      </c>
      <c r="P973" s="4" t="inlineStr">
        <is>
          <t>Canada</t>
        </is>
      </c>
      <c r="Q973" s="4" t="inlineStr">
        <is>
          <t>Friendly</t>
        </is>
      </c>
      <c r="R973" s="3" t="n">
        <v>1012.71</v>
      </c>
      <c r="S973" s="3" t="n">
        <v>67.232</v>
      </c>
      <c r="T973" s="4" t="inlineStr">
        <is>
          <t>Majority purchase, Additional Stake Purchase</t>
        </is>
      </c>
      <c r="U973" s="2" t="inlineStr">
        <is>
          <t>Yes</t>
        </is>
      </c>
      <c r="V973" s="2" t="inlineStr">
        <is>
          <t>No</t>
        </is>
      </c>
      <c r="W973" s="2" t="inlineStr">
        <is>
          <t>No</t>
        </is>
      </c>
      <c r="X973" s="2" t="inlineStr">
        <is>
          <t>No</t>
        </is>
      </c>
      <c r="Y973" s="2" t="inlineStr">
        <is>
          <t>No</t>
        </is>
      </c>
      <c r="Z973" s="2" t="inlineStr">
        <is>
          <t>No</t>
        </is>
      </c>
      <c r="AA973" s="6" t="n">
        <v>3.967550784</v>
      </c>
      <c r="AB973" s="6" t="n">
        <v>3.005485098</v>
      </c>
      <c r="AC973" s="6" t="n">
        <v>3.5883255</v>
      </c>
      <c r="AD973">
        <f t="array" ref="AD973">IF(SUMPRODUCT(--($AM$2:$AM$112=TRIM(LEFT($B973,IFERROR(FIND(" ",$B973)-1,LEN($B973))))))&gt;0,1,0)</f>
        <v/>
      </c>
      <c r="AE973">
        <f t="array" ref="AE973">IF(SUMPRODUCT(--($AO$2:$AO$145=TRIM(LEFT($B973,IFERROR(FIND(" ",$B973)-1,LEN($B973))))))&gt;0,1,0)</f>
        <v/>
      </c>
      <c r="AF973">
        <f t="array" ref="AF973">IF(SUMPRODUCT(--($AQ$2:$AQ$71=TRIM(LEFT($B973,IFERROR(FIND(" ",$B973)-1,LEN($B973))))))&gt;0,1,0)</f>
        <v/>
      </c>
    </row>
    <row r="974" ht="45.75" customHeight="1" thickBot="1">
      <c r="A974" s="13" t="n">
        <v>88</v>
      </c>
      <c r="B974" s="4" t="inlineStr">
        <is>
          <t>PF US</t>
        </is>
      </c>
      <c r="C974" s="4" t="inlineStr">
        <is>
          <t>CAG US</t>
        </is>
      </c>
      <c r="D974" s="7" t="n">
        <v>43278</v>
      </c>
      <c r="E974" s="3" t="n">
        <v>10742.6</v>
      </c>
      <c r="F974" s="4" t="inlineStr">
        <is>
          <t>Cash and Stock</t>
        </is>
      </c>
      <c r="G974" s="3" t="n">
        <v>18.25</v>
      </c>
      <c r="H974" s="4" t="inlineStr">
        <is>
          <t>Consumer Staples</t>
        </is>
      </c>
      <c r="I974" s="4" t="inlineStr">
        <is>
          <t>Consumer Staple Products</t>
        </is>
      </c>
      <c r="J974" s="4" t="inlineStr">
        <is>
          <t>Food</t>
        </is>
      </c>
      <c r="K974" s="4" t="n"/>
      <c r="L974" s="3" t="n">
        <v>263.785</v>
      </c>
      <c r="M974" s="3" t="n">
        <v>4.96</v>
      </c>
      <c r="N974" s="3" t="n">
        <v>8061.65</v>
      </c>
      <c r="O974" s="4" t="inlineStr">
        <is>
          <t>United States</t>
        </is>
      </c>
      <c r="P974" s="4" t="inlineStr">
        <is>
          <t>United States</t>
        </is>
      </c>
      <c r="Q974" s="4" t="inlineStr">
        <is>
          <t>Friendly</t>
        </is>
      </c>
      <c r="R974" s="3" t="n">
        <v>3144</v>
      </c>
      <c r="S974" s="3" t="n">
        <v>16.2203</v>
      </c>
      <c r="T974" s="4" t="inlineStr">
        <is>
          <t>Company Takeover</t>
        </is>
      </c>
      <c r="U974" s="2" t="inlineStr">
        <is>
          <t>No</t>
        </is>
      </c>
      <c r="V974" s="2" t="inlineStr">
        <is>
          <t>No</t>
        </is>
      </c>
      <c r="W974" s="2" t="inlineStr">
        <is>
          <t>No</t>
        </is>
      </c>
      <c r="X974" s="2" t="inlineStr">
        <is>
          <t>No</t>
        </is>
      </c>
      <c r="Y974" s="2" t="inlineStr">
        <is>
          <t>No</t>
        </is>
      </c>
      <c r="Z974" s="2" t="inlineStr">
        <is>
          <t>No</t>
        </is>
      </c>
      <c r="AA974" s="6" t="n">
        <v>4.031109405</v>
      </c>
      <c r="AB974" s="6" t="n">
        <v>3.497482537</v>
      </c>
      <c r="AC974" s="6" t="n">
        <v>3.906423939</v>
      </c>
      <c r="AD974">
        <f t="array" ref="AD974">IF(SUMPRODUCT(--($AM$2:$AM$112=TRIM(LEFT($B974,IFERROR(FIND(" ",$B974)-1,LEN($B974))))))&gt;0,1,0)</f>
        <v/>
      </c>
      <c r="AE974">
        <f t="array" ref="AE974">IF(SUMPRODUCT(--($AO$2:$AO$145=TRIM(LEFT($B974,IFERROR(FIND(" ",$B974)-1,LEN($B974))))))&gt;0,1,0)</f>
        <v/>
      </c>
      <c r="AF974">
        <f t="array" ref="AF974">IF(SUMPRODUCT(--($AQ$2:$AQ$71=TRIM(LEFT($B974,IFERROR(FIND(" ",$B974)-1,LEN($B974))))))&gt;0,1,0)</f>
        <v/>
      </c>
    </row>
    <row r="975" ht="60.75" customHeight="1" thickBot="1">
      <c r="A975" s="13" t="n">
        <v>63</v>
      </c>
      <c r="B975" s="4" t="inlineStr">
        <is>
          <t>SVU US</t>
        </is>
      </c>
      <c r="C975" s="4" t="inlineStr">
        <is>
          <t>UNFI US</t>
        </is>
      </c>
      <c r="D975" s="7" t="n">
        <v>43307</v>
      </c>
      <c r="E975" s="3" t="n">
        <v>3121.27</v>
      </c>
      <c r="F975" s="4" t="inlineStr">
        <is>
          <t>Cash</t>
        </is>
      </c>
      <c r="G975" s="3" t="n">
        <v>9.66</v>
      </c>
      <c r="H975" s="4" t="inlineStr">
        <is>
          <t>Consumer Staples</t>
        </is>
      </c>
      <c r="I975" s="4" t="inlineStr">
        <is>
          <t>Retail &amp; Wholesale - Staples</t>
        </is>
      </c>
      <c r="J975" s="4" t="inlineStr">
        <is>
          <t>Retail - Consumer Staples</t>
        </is>
      </c>
      <c r="K975" s="4" t="n"/>
      <c r="L975" s="3" t="n">
        <v>40.5</v>
      </c>
      <c r="M975" s="3" t="n">
        <v>53.76</v>
      </c>
      <c r="N975" s="3" t="n">
        <v>1255.28</v>
      </c>
      <c r="O975" s="4" t="inlineStr">
        <is>
          <t>United States</t>
        </is>
      </c>
      <c r="P975" s="4" t="inlineStr">
        <is>
          <t>United States</t>
        </is>
      </c>
      <c r="Q975" s="4" t="inlineStr">
        <is>
          <t>Friendly</t>
        </is>
      </c>
      <c r="R975" s="3" t="n">
        <v>14157</v>
      </c>
      <c r="S975" s="3" t="n">
        <v>0.284828</v>
      </c>
      <c r="T975" s="4" t="inlineStr">
        <is>
          <t>Company Takeover</t>
        </is>
      </c>
      <c r="U975" s="2" t="inlineStr">
        <is>
          <t>No</t>
        </is>
      </c>
      <c r="V975" s="2" t="inlineStr">
        <is>
          <t>No</t>
        </is>
      </c>
      <c r="W975" s="2" t="inlineStr">
        <is>
          <t>No</t>
        </is>
      </c>
      <c r="X975" s="2" t="inlineStr">
        <is>
          <t>No</t>
        </is>
      </c>
      <c r="Y975" s="2" t="inlineStr">
        <is>
          <t>No</t>
        </is>
      </c>
      <c r="Z975" s="2" t="inlineStr">
        <is>
          <t>No</t>
        </is>
      </c>
      <c r="AA975" s="6" t="n">
        <v>3.494331338</v>
      </c>
      <c r="AB975" s="6" t="n">
        <v>4.150971232</v>
      </c>
      <c r="AC975" s="6" t="n">
        <v>3.098740609</v>
      </c>
      <c r="AD975">
        <f t="array" ref="AD975">IF(SUMPRODUCT(--($AM$2:$AM$112=TRIM(LEFT($B975,IFERROR(FIND(" ",$B975)-1,LEN($B975))))))&gt;0,1,0)</f>
        <v/>
      </c>
      <c r="AE975">
        <f t="array" ref="AE975">IF(SUMPRODUCT(--($AO$2:$AO$145=TRIM(LEFT($B975,IFERROR(FIND(" ",$B975)-1,LEN($B975))))))&gt;0,1,0)</f>
        <v/>
      </c>
      <c r="AF975">
        <f t="array" ref="AF975">IF(SUMPRODUCT(--($AQ$2:$AQ$71=TRIM(LEFT($B975,IFERROR(FIND(" ",$B975)-1,LEN($B975))))))&gt;0,1,0)</f>
        <v/>
      </c>
    </row>
    <row r="976" ht="45.75" customHeight="1" thickBot="1">
      <c r="A976" s="13" t="n">
        <v>58</v>
      </c>
      <c r="B976" s="4" t="inlineStr">
        <is>
          <t>ETP US</t>
        </is>
      </c>
      <c r="C976" s="4" t="inlineStr">
        <is>
          <t>ET US</t>
        </is>
      </c>
      <c r="D976" s="7" t="n">
        <v>43313</v>
      </c>
      <c r="E976" s="3" t="n">
        <v>59299.55</v>
      </c>
      <c r="F976" s="4" t="inlineStr">
        <is>
          <t>Stock</t>
        </is>
      </c>
      <c r="G976" s="3" t="n">
        <v>11.09</v>
      </c>
      <c r="H976" s="4" t="inlineStr">
        <is>
          <t>Energy</t>
        </is>
      </c>
      <c r="I976" s="4" t="inlineStr">
        <is>
          <t>Oil &amp; Gas</t>
        </is>
      </c>
      <c r="J976" s="4" t="inlineStr">
        <is>
          <t>Oil &amp; Gas Supply Chain</t>
        </is>
      </c>
      <c r="K976" s="4" t="n"/>
      <c r="L976" s="3" t="n">
        <v>750</v>
      </c>
      <c r="M976" s="3" t="n">
        <v>14.94</v>
      </c>
      <c r="N976" s="3" t="n">
        <v>25897.55</v>
      </c>
      <c r="O976" s="4" t="inlineStr">
        <is>
          <t>United States</t>
        </is>
      </c>
      <c r="P976" s="4" t="inlineStr">
        <is>
          <t>United States</t>
        </is>
      </c>
      <c r="Q976" s="4" t="inlineStr">
        <is>
          <t>Friendly</t>
        </is>
      </c>
      <c r="R976" s="3" t="n">
        <v>38954</v>
      </c>
      <c r="S976" s="3" t="n">
        <v>7.69882</v>
      </c>
      <c r="T976" s="4" t="inlineStr">
        <is>
          <t>Company Takeover</t>
        </is>
      </c>
      <c r="U976" s="2" t="inlineStr">
        <is>
          <t>No</t>
        </is>
      </c>
      <c r="V976" s="2" t="inlineStr">
        <is>
          <t>No</t>
        </is>
      </c>
      <c r="W976" s="2" t="inlineStr">
        <is>
          <t>No</t>
        </is>
      </c>
      <c r="X976" s="2" t="inlineStr">
        <is>
          <t>No</t>
        </is>
      </c>
      <c r="Y976" s="2" t="inlineStr">
        <is>
          <t>No</t>
        </is>
      </c>
      <c r="Z976" s="2" t="inlineStr">
        <is>
          <t>No</t>
        </is>
      </c>
      <c r="AA976" s="6" t="n">
        <v>4.773051398</v>
      </c>
      <c r="AB976" s="6" t="n">
        <v>4.59055206</v>
      </c>
      <c r="AC976" s="6" t="n">
        <v>4.41325868</v>
      </c>
      <c r="AD976">
        <f t="array" ref="AD976">IF(SUMPRODUCT(--($AM$2:$AM$112=TRIM(LEFT($B976,IFERROR(FIND(" ",$B976)-1,LEN($B976))))))&gt;0,1,0)</f>
        <v/>
      </c>
      <c r="AE976">
        <f t="array" ref="AE976">IF(SUMPRODUCT(--($AO$2:$AO$145=TRIM(LEFT($B976,IFERROR(FIND(" ",$B976)-1,LEN($B976))))))&gt;0,1,0)</f>
        <v/>
      </c>
      <c r="AF976">
        <f t="array" ref="AF976">IF(SUMPRODUCT(--($AQ$2:$AQ$71=TRIM(LEFT($B976,IFERROR(FIND(" ",$B976)-1,LEN($B976))))))&gt;0,1,0)</f>
        <v/>
      </c>
    </row>
    <row r="977" ht="75.75" customHeight="1" thickBot="1">
      <c r="A977" s="13" t="n">
        <v>57</v>
      </c>
      <c r="B977" s="4" t="inlineStr">
        <is>
          <t>ECI CN</t>
        </is>
      </c>
      <c r="C977" s="4" t="inlineStr">
        <is>
          <t>BIP US</t>
        </is>
      </c>
      <c r="D977" s="7" t="n">
        <v>43313</v>
      </c>
      <c r="E977" s="3" t="n">
        <v>2392.9</v>
      </c>
      <c r="F977" s="4" t="inlineStr">
        <is>
          <t>Cash</t>
        </is>
      </c>
      <c r="G977" s="3" t="n">
        <v>10.72</v>
      </c>
      <c r="H977" s="4" t="inlineStr">
        <is>
          <t>Consumer Discretionary</t>
        </is>
      </c>
      <c r="I977" s="4" t="inlineStr">
        <is>
          <t>Consumer Discretionary Services</t>
        </is>
      </c>
      <c r="J977" s="4" t="inlineStr">
        <is>
          <t>Consumer Services</t>
        </is>
      </c>
      <c r="K977" s="4" t="n"/>
      <c r="L977" s="3" t="n">
        <v>111</v>
      </c>
      <c r="M977" s="3" t="n">
        <v>58.01</v>
      </c>
      <c r="N977" s="3" t="n">
        <v>2392.9</v>
      </c>
      <c r="O977" s="4" t="inlineStr">
        <is>
          <t>Canada</t>
        </is>
      </c>
      <c r="P977" s="4" t="inlineStr">
        <is>
          <t>Canada</t>
        </is>
      </c>
      <c r="Q977" s="4" t="inlineStr">
        <is>
          <t>Friendly</t>
        </is>
      </c>
      <c r="R977" s="3" t="n">
        <v>969.947</v>
      </c>
      <c r="S977" s="3" t="n">
        <v>10.3116</v>
      </c>
      <c r="T977" s="4" t="inlineStr">
        <is>
          <t>Company Takeover</t>
        </is>
      </c>
      <c r="U977" s="2" t="inlineStr">
        <is>
          <t>No</t>
        </is>
      </c>
      <c r="V977" s="2" t="inlineStr">
        <is>
          <t>No</t>
        </is>
      </c>
      <c r="W977" s="2" t="inlineStr">
        <is>
          <t>No</t>
        </is>
      </c>
      <c r="X977" s="2" t="inlineStr">
        <is>
          <t>No</t>
        </is>
      </c>
      <c r="Y977" s="2" t="inlineStr">
        <is>
          <t>No</t>
        </is>
      </c>
      <c r="Z977" s="2" t="inlineStr">
        <is>
          <t>No</t>
        </is>
      </c>
      <c r="AA977" s="6" t="n">
        <v>3.37892455</v>
      </c>
      <c r="AB977" s="6" t="n">
        <v>2.986748004</v>
      </c>
      <c r="AC977" s="6" t="n">
        <v>3.37892455</v>
      </c>
      <c r="AD977">
        <f t="array" ref="AD977">IF(SUMPRODUCT(--($AM$2:$AM$112=TRIM(LEFT($B977,IFERROR(FIND(" ",$B977)-1,LEN($B977))))))&gt;0,1,0)</f>
        <v/>
      </c>
      <c r="AE977">
        <f t="array" ref="AE977">IF(SUMPRODUCT(--($AO$2:$AO$145=TRIM(LEFT($B977,IFERROR(FIND(" ",$B977)-1,LEN($B977))))))&gt;0,1,0)</f>
        <v/>
      </c>
      <c r="AF977">
        <f t="array" ref="AF977">IF(SUMPRODUCT(--($AQ$2:$AQ$71=TRIM(LEFT($B977,IFERROR(FIND(" ",$B977)-1,LEN($B977))))))&gt;0,1,0)</f>
        <v/>
      </c>
    </row>
    <row r="978" ht="75.75" customHeight="1" thickBot="1">
      <c r="A978" s="13" t="n">
        <v>83</v>
      </c>
      <c r="B978" s="4" t="inlineStr">
        <is>
          <t>XRM US</t>
        </is>
      </c>
      <c r="C978" s="4" t="inlineStr">
        <is>
          <t>ANDR AV</t>
        </is>
      </c>
      <c r="D978" s="7" t="n">
        <v>43276</v>
      </c>
      <c r="E978" s="3" t="n">
        <v>811.77</v>
      </c>
      <c r="F978" s="4" t="inlineStr">
        <is>
          <t>Cash</t>
        </is>
      </c>
      <c r="G978" s="3" t="n">
        <v>9.029999999999999</v>
      </c>
      <c r="H978" s="4" t="inlineStr">
        <is>
          <t>Industrials</t>
        </is>
      </c>
      <c r="I978" s="4" t="inlineStr">
        <is>
          <t>Industrial Products</t>
        </is>
      </c>
      <c r="J978" s="4" t="inlineStr">
        <is>
          <t>Machinery</t>
        </is>
      </c>
      <c r="K978" s="3" t="n">
        <v>25</v>
      </c>
      <c r="L978" s="3" t="n">
        <v>25</v>
      </c>
      <c r="M978" s="4" t="n"/>
      <c r="N978" s="3" t="n">
        <v>221.77</v>
      </c>
      <c r="O978" s="4" t="inlineStr">
        <is>
          <t>United States</t>
        </is>
      </c>
      <c r="P978" s="4" t="inlineStr">
        <is>
          <t>Austria</t>
        </is>
      </c>
      <c r="Q978" s="4" t="inlineStr">
        <is>
          <t>Friendly</t>
        </is>
      </c>
      <c r="R978" s="3" t="n">
        <v>481.048</v>
      </c>
      <c r="S978" s="3" t="n">
        <v>11.4445</v>
      </c>
      <c r="T978" s="4" t="inlineStr">
        <is>
          <t>Company Takeover, Cross Border</t>
        </is>
      </c>
      <c r="U978" s="2" t="inlineStr">
        <is>
          <t>No</t>
        </is>
      </c>
      <c r="V978" s="2" t="inlineStr">
        <is>
          <t>No</t>
        </is>
      </c>
      <c r="W978" s="2" t="inlineStr">
        <is>
          <t>Yes</t>
        </is>
      </c>
      <c r="X978" s="2" t="inlineStr">
        <is>
          <t>No</t>
        </is>
      </c>
      <c r="Y978" s="2" t="inlineStr">
        <is>
          <t>No</t>
        </is>
      </c>
      <c r="Z978" s="2" t="inlineStr">
        <is>
          <t>No</t>
        </is>
      </c>
      <c r="AA978" s="6" t="n">
        <v>2.909432997</v>
      </c>
      <c r="AB978" s="6" t="n">
        <v>2.682188413</v>
      </c>
      <c r="AC978" s="6" t="n">
        <v>2.345902796</v>
      </c>
      <c r="AD978">
        <f t="array" ref="AD978">IF(SUMPRODUCT(--($AM$2:$AM$112=TRIM(LEFT($B978,IFERROR(FIND(" ",$B978)-1,LEN($B978))))))&gt;0,1,0)</f>
        <v/>
      </c>
      <c r="AE978">
        <f t="array" ref="AE978">IF(SUMPRODUCT(--($AO$2:$AO$145=TRIM(LEFT($B978,IFERROR(FIND(" ",$B978)-1,LEN($B978))))))&gt;0,1,0)</f>
        <v/>
      </c>
      <c r="AF978">
        <f t="array" ref="AF978">IF(SUMPRODUCT(--($AQ$2:$AQ$71=TRIM(LEFT($B978,IFERROR(FIND(" ",$B978)-1,LEN($B978))))))&gt;0,1,0)</f>
        <v/>
      </c>
    </row>
    <row r="979" ht="75.75" customHeight="1" thickBot="1">
      <c r="A979" s="13" t="n">
        <v>217</v>
      </c>
      <c r="B979" s="4" t="inlineStr">
        <is>
          <t>PNK US</t>
        </is>
      </c>
      <c r="C979" s="4" t="inlineStr">
        <is>
          <t>PENN US</t>
        </is>
      </c>
      <c r="D979" s="7" t="n">
        <v>43087</v>
      </c>
      <c r="E979" s="3" t="n">
        <v>5741.3</v>
      </c>
      <c r="F979" s="4" t="inlineStr">
        <is>
          <t>Cash and Stock</t>
        </is>
      </c>
      <c r="G979" s="3" t="n">
        <v>9.029999999999999</v>
      </c>
      <c r="H979" s="4" t="inlineStr">
        <is>
          <t>Consumer Discretionary</t>
        </is>
      </c>
      <c r="I979" s="4" t="inlineStr">
        <is>
          <t>Consumer Discretionary Services</t>
        </is>
      </c>
      <c r="J979" s="4" t="inlineStr">
        <is>
          <t>Leisure Facilities &amp; Services</t>
        </is>
      </c>
      <c r="K979" s="3" t="n">
        <v>125</v>
      </c>
      <c r="L979" s="3" t="n">
        <v>60</v>
      </c>
      <c r="M979" s="3" t="n">
        <v>5.61</v>
      </c>
      <c r="N979" s="3" t="n">
        <v>1934.6</v>
      </c>
      <c r="O979" s="4" t="inlineStr">
        <is>
          <t>United States</t>
        </is>
      </c>
      <c r="P979" s="4" t="inlineStr">
        <is>
          <t>United States</t>
        </is>
      </c>
      <c r="Q979" s="4" t="inlineStr">
        <is>
          <t>Friendly</t>
        </is>
      </c>
      <c r="R979" s="3" t="n">
        <v>2561.85</v>
      </c>
      <c r="S979" s="3" t="n">
        <v>17.547</v>
      </c>
      <c r="T979" s="4" t="inlineStr">
        <is>
          <t>Company Takeover</t>
        </is>
      </c>
      <c r="U979" s="2" t="inlineStr">
        <is>
          <t>No</t>
        </is>
      </c>
      <c r="V979" s="2" t="inlineStr">
        <is>
          <t>No</t>
        </is>
      </c>
      <c r="W979" s="2" t="inlineStr">
        <is>
          <t>No</t>
        </is>
      </c>
      <c r="X979" s="2" t="inlineStr">
        <is>
          <t>No</t>
        </is>
      </c>
      <c r="Y979" s="2" t="inlineStr">
        <is>
          <t>No</t>
        </is>
      </c>
      <c r="Z979" s="2" t="inlineStr">
        <is>
          <t>No</t>
        </is>
      </c>
      <c r="AA979" s="6" t="n">
        <v>3.759010241</v>
      </c>
      <c r="AB979" s="6" t="n">
        <v>3.408553698</v>
      </c>
      <c r="AC979" s="6" t="n">
        <v>3.286591183</v>
      </c>
      <c r="AD979">
        <f t="array" ref="AD979">IF(SUMPRODUCT(--($AM$2:$AM$112=TRIM(LEFT($B979,IFERROR(FIND(" ",$B979)-1,LEN($B979))))))&gt;0,1,0)</f>
        <v/>
      </c>
      <c r="AE979">
        <f t="array" ref="AE979">IF(SUMPRODUCT(--($AO$2:$AO$145=TRIM(LEFT($B979,IFERROR(FIND(" ",$B979)-1,LEN($B979))))))&gt;0,1,0)</f>
        <v/>
      </c>
      <c r="AF979">
        <f t="array" ref="AF979">IF(SUMPRODUCT(--($AQ$2:$AQ$71=TRIM(LEFT($B979,IFERROR(FIND(" ",$B979)-1,LEN($B979))))))&gt;0,1,0)</f>
        <v/>
      </c>
    </row>
    <row r="980" ht="135.75" customHeight="1" thickBot="1">
      <c r="A980" s="13" t="n">
        <v>89</v>
      </c>
      <c r="B980" s="4" t="inlineStr">
        <is>
          <t>EVHC US</t>
        </is>
      </c>
      <c r="C980" s="4" t="inlineStr">
        <is>
          <t>9990531D US</t>
        </is>
      </c>
      <c r="D980" s="7" t="n">
        <v>43262</v>
      </c>
      <c r="E980" s="3" t="n">
        <v>9425.709999999999</v>
      </c>
      <c r="F980" s="4" t="inlineStr">
        <is>
          <t>Cash</t>
        </is>
      </c>
      <c r="G980" s="3" t="n">
        <v>15.66</v>
      </c>
      <c r="H980" s="4" t="inlineStr">
        <is>
          <t>Health Care</t>
        </is>
      </c>
      <c r="I980" s="4" t="inlineStr">
        <is>
          <t>Health Care</t>
        </is>
      </c>
      <c r="J980" s="4" t="inlineStr">
        <is>
          <t>Health Care Facilities &amp; Svcs</t>
        </is>
      </c>
      <c r="K980" s="4" t="n"/>
      <c r="L980" s="4" t="n"/>
      <c r="M980" s="4" t="n"/>
      <c r="N980" s="3" t="n">
        <v>5571.91</v>
      </c>
      <c r="O980" s="4" t="inlineStr">
        <is>
          <t>United States</t>
        </is>
      </c>
      <c r="P980" s="4" t="inlineStr">
        <is>
          <t>United States</t>
        </is>
      </c>
      <c r="Q980" s="4" t="inlineStr">
        <is>
          <t>Friendly</t>
        </is>
      </c>
      <c r="R980" s="3" t="n">
        <v>7819.3</v>
      </c>
      <c r="S980" s="3" t="n">
        <v>-22.3638</v>
      </c>
      <c r="T980" s="4" t="inlineStr">
        <is>
          <t>PE Buyout, Company Takeover, Private Equity, Going Private</t>
        </is>
      </c>
      <c r="U980" s="2" t="inlineStr">
        <is>
          <t>No</t>
        </is>
      </c>
      <c r="V980" s="2" t="inlineStr">
        <is>
          <t>No</t>
        </is>
      </c>
      <c r="W980" s="2" t="inlineStr">
        <is>
          <t>No</t>
        </is>
      </c>
      <c r="X980" s="2" t="inlineStr">
        <is>
          <t>Yes</t>
        </is>
      </c>
      <c r="Y980" s="2" t="inlineStr">
        <is>
          <t>Yes</t>
        </is>
      </c>
      <c r="Z980" s="2" t="inlineStr">
        <is>
          <t>No</t>
        </is>
      </c>
      <c r="AA980" s="6" t="n">
        <v>3.974314074</v>
      </c>
      <c r="AB980" s="6" t="n">
        <v>3.893167876</v>
      </c>
      <c r="AC980" s="6" t="n">
        <v>3.746004093</v>
      </c>
      <c r="AD980">
        <f t="array" ref="AD980">IF(SUMPRODUCT(--($AM$2:$AM$112=TRIM(LEFT($B980,IFERROR(FIND(" ",$B980)-1,LEN($B980))))))&gt;0,1,0)</f>
        <v/>
      </c>
      <c r="AE980">
        <f t="array" ref="AE980">IF(SUMPRODUCT(--($AO$2:$AO$145=TRIM(LEFT($B980,IFERROR(FIND(" ",$B980)-1,LEN($B980))))))&gt;0,1,0)</f>
        <v/>
      </c>
      <c r="AF980">
        <f t="array" ref="AF980">IF(SUMPRODUCT(--($AQ$2:$AQ$71=TRIM(LEFT($B980,IFERROR(FIND(" ",$B980)-1,LEN($B980))))))&gt;0,1,0)</f>
        <v/>
      </c>
    </row>
    <row r="981" ht="135.75" customHeight="1" thickBot="1">
      <c r="A981" s="13" t="n">
        <v>81</v>
      </c>
      <c r="B981" s="4" t="inlineStr">
        <is>
          <t>WEB US</t>
        </is>
      </c>
      <c r="C981" s="4" t="inlineStr">
        <is>
          <t>8210273Z US</t>
        </is>
      </c>
      <c r="D981" s="7" t="n">
        <v>43272</v>
      </c>
      <c r="E981" s="3" t="n">
        <v>2026.34</v>
      </c>
      <c r="F981" s="4" t="inlineStr">
        <is>
          <t>Cash</t>
        </is>
      </c>
      <c r="G981" s="3" t="n">
        <v>13.14</v>
      </c>
      <c r="H981" s="4" t="inlineStr">
        <is>
          <t>Communications</t>
        </is>
      </c>
      <c r="I981" s="4" t="inlineStr">
        <is>
          <t>Media</t>
        </is>
      </c>
      <c r="J981" s="4" t="inlineStr">
        <is>
          <t>Internet Media &amp; Services</t>
        </is>
      </c>
      <c r="K981" s="4" t="n"/>
      <c r="L981" s="3" t="n">
        <v>39.1</v>
      </c>
      <c r="M981" s="4" t="n"/>
      <c r="N981" s="3" t="n">
        <v>1385.65</v>
      </c>
      <c r="O981" s="4" t="inlineStr">
        <is>
          <t>United States</t>
        </is>
      </c>
      <c r="P981" s="4" t="inlineStr">
        <is>
          <t>United States</t>
        </is>
      </c>
      <c r="Q981" s="4" t="inlineStr">
        <is>
          <t>Friendly</t>
        </is>
      </c>
      <c r="R981" s="3" t="n">
        <v>749.261</v>
      </c>
      <c r="S981" s="3" t="n">
        <v>10.4929</v>
      </c>
      <c r="T981" s="4" t="inlineStr">
        <is>
          <t>PE Buyout, Company Takeover, Private Equity, Going Private</t>
        </is>
      </c>
      <c r="U981" s="2" t="inlineStr">
        <is>
          <t>No</t>
        </is>
      </c>
      <c r="V981" s="2" t="inlineStr">
        <is>
          <t>No</t>
        </is>
      </c>
      <c r="W981" s="2" t="inlineStr">
        <is>
          <t>No</t>
        </is>
      </c>
      <c r="X981" s="2" t="inlineStr">
        <is>
          <t>Yes</t>
        </is>
      </c>
      <c r="Y981" s="2" t="inlineStr">
        <is>
          <t>Yes</t>
        </is>
      </c>
      <c r="Z981" s="2" t="inlineStr">
        <is>
          <t>No</t>
        </is>
      </c>
      <c r="AA981" s="6" t="n">
        <v>3.306712317</v>
      </c>
      <c r="AB981" s="6" t="n">
        <v>2.874633128</v>
      </c>
      <c r="AC981" s="6" t="n">
        <v>3.141653546</v>
      </c>
      <c r="AD981">
        <f t="array" ref="AD981">IF(SUMPRODUCT(--($AM$2:$AM$112=TRIM(LEFT($B981,IFERROR(FIND(" ",$B981)-1,LEN($B981))))))&gt;0,1,0)</f>
        <v/>
      </c>
      <c r="AE981">
        <f t="array" ref="AE981">IF(SUMPRODUCT(--($AO$2:$AO$145=TRIM(LEFT($B981,IFERROR(FIND(" ",$B981)-1,LEN($B981))))))&gt;0,1,0)</f>
        <v/>
      </c>
      <c r="AF981">
        <f t="array" ref="AF981">IF(SUMPRODUCT(--($AQ$2:$AQ$71=TRIM(LEFT($B981,IFERROR(FIND(" ",$B981)-1,LEN($B981))))))&gt;0,1,0)</f>
        <v/>
      </c>
    </row>
    <row r="982" ht="165.75" customHeight="1" thickBot="1">
      <c r="A982" s="13" t="n">
        <v>113</v>
      </c>
      <c r="B982" s="4" t="inlineStr">
        <is>
          <t>GPT US</t>
        </is>
      </c>
      <c r="C982" s="4" t="inlineStr">
        <is>
          <t>BX US</t>
        </is>
      </c>
      <c r="D982" s="7" t="n">
        <v>43227</v>
      </c>
      <c r="E982" s="3" t="n">
        <v>7176.78</v>
      </c>
      <c r="F982" s="4" t="inlineStr">
        <is>
          <t>Cash</t>
        </is>
      </c>
      <c r="G982" s="3" t="n">
        <v>17.26</v>
      </c>
      <c r="H982" s="4" t="inlineStr">
        <is>
          <t>Real Estate</t>
        </is>
      </c>
      <c r="I982" s="4" t="inlineStr">
        <is>
          <t>Real Estate</t>
        </is>
      </c>
      <c r="J982" s="4" t="inlineStr">
        <is>
          <t>REIT</t>
        </is>
      </c>
      <c r="K982" s="3" t="n">
        <v>414</v>
      </c>
      <c r="L982" s="3" t="n">
        <v>138</v>
      </c>
      <c r="M982" s="4" t="n"/>
      <c r="N982" s="3" t="n">
        <v>4421.6</v>
      </c>
      <c r="O982" s="4" t="inlineStr">
        <is>
          <t>United States</t>
        </is>
      </c>
      <c r="P982" s="4" t="inlineStr">
        <is>
          <t>United States</t>
        </is>
      </c>
      <c r="Q982" s="4" t="inlineStr">
        <is>
          <t>Friendly</t>
        </is>
      </c>
      <c r="R982" s="2" t="n"/>
      <c r="S982" s="2" t="n"/>
      <c r="T982" s="4" t="inlineStr">
        <is>
          <t>PE Buyout, Company Takeover, Private Equity, Real Estate, Going Private</t>
        </is>
      </c>
      <c r="U982" s="2" t="inlineStr">
        <is>
          <t>No</t>
        </is>
      </c>
      <c r="V982" s="2" t="inlineStr">
        <is>
          <t>No</t>
        </is>
      </c>
      <c r="W982" s="2" t="inlineStr">
        <is>
          <t>No</t>
        </is>
      </c>
      <c r="X982" s="2" t="inlineStr">
        <is>
          <t>Yes</t>
        </is>
      </c>
      <c r="Y982" s="2" t="inlineStr">
        <is>
          <t>Yes</t>
        </is>
      </c>
      <c r="Z982" s="2" t="inlineStr">
        <is>
          <t>No</t>
        </is>
      </c>
      <c r="AA982" s="6" t="n">
        <v>3.855929633</v>
      </c>
      <c r="AB982" s="2" t="n"/>
      <c r="AC982" s="6" t="n">
        <v>3.645579452</v>
      </c>
      <c r="AD982">
        <f t="array" ref="AD982">IF(SUMPRODUCT(--($AM$2:$AM$112=TRIM(LEFT($B982,IFERROR(FIND(" ",$B982)-1,LEN($B982))))))&gt;0,1,0)</f>
        <v/>
      </c>
      <c r="AE982">
        <f t="array" ref="AE982">IF(SUMPRODUCT(--($AO$2:$AO$145=TRIM(LEFT($B982,IFERROR(FIND(" ",$B982)-1,LEN($B982))))))&gt;0,1,0)</f>
        <v/>
      </c>
      <c r="AF982">
        <f t="array" ref="AF982">IF(SUMPRODUCT(--($AQ$2:$AQ$71=TRIM(LEFT($B982,IFERROR(FIND(" ",$B982)-1,LEN($B982))))))&gt;0,1,0)</f>
        <v/>
      </c>
    </row>
    <row r="983" ht="45.75" customHeight="1" thickBot="1">
      <c r="A983" s="13" t="n">
        <v>117</v>
      </c>
      <c r="B983" s="4" t="inlineStr">
        <is>
          <t>KLXI US</t>
        </is>
      </c>
      <c r="C983" s="4" t="inlineStr">
        <is>
          <t>BA US</t>
        </is>
      </c>
      <c r="D983" s="7" t="n">
        <v>43221</v>
      </c>
      <c r="E983" s="3" t="n">
        <v>4196.63</v>
      </c>
      <c r="F983" s="4" t="inlineStr">
        <is>
          <t>Cash</t>
        </is>
      </c>
      <c r="G983" s="3" t="n">
        <v>14.09</v>
      </c>
      <c r="H983" s="4" t="inlineStr">
        <is>
          <t>Industrials</t>
        </is>
      </c>
      <c r="I983" s="4" t="inlineStr">
        <is>
          <t>Industrial Products</t>
        </is>
      </c>
      <c r="J983" s="4" t="inlineStr">
        <is>
          <t>Aerospace &amp; Defense</t>
        </is>
      </c>
      <c r="K983" s="3" t="n">
        <v>175</v>
      </c>
      <c r="L983" s="3" t="n">
        <v>175</v>
      </c>
      <c r="M983" s="3" t="n">
        <v>2.13</v>
      </c>
      <c r="N983" s="3" t="n">
        <v>3196.63</v>
      </c>
      <c r="O983" s="4" t="inlineStr">
        <is>
          <t>United States</t>
        </is>
      </c>
      <c r="P983" s="4" t="inlineStr">
        <is>
          <t>United States</t>
        </is>
      </c>
      <c r="Q983" s="4" t="inlineStr">
        <is>
          <t>Friendly</t>
        </is>
      </c>
      <c r="R983" s="3" t="n">
        <v>62286</v>
      </c>
      <c r="S983" s="3" t="n">
        <v>12.4974</v>
      </c>
      <c r="T983" s="4" t="inlineStr">
        <is>
          <t>Company Takeover</t>
        </is>
      </c>
      <c r="U983" s="2" t="inlineStr">
        <is>
          <t>No</t>
        </is>
      </c>
      <c r="V983" s="2" t="inlineStr">
        <is>
          <t>No</t>
        </is>
      </c>
      <c r="W983" s="2" t="inlineStr">
        <is>
          <t>No</t>
        </is>
      </c>
      <c r="X983" s="2" t="inlineStr">
        <is>
          <t>No</t>
        </is>
      </c>
      <c r="Y983" s="2" t="inlineStr">
        <is>
          <t>No</t>
        </is>
      </c>
      <c r="Z983" s="2" t="inlineStr">
        <is>
          <t>No</t>
        </is>
      </c>
      <c r="AA983" s="6" t="n">
        <v>3.622900681</v>
      </c>
      <c r="AB983" s="6" t="n">
        <v>4.794390441</v>
      </c>
      <c r="AC983" s="6" t="n">
        <v>3.504692371</v>
      </c>
      <c r="AD983">
        <f t="array" ref="AD983">IF(SUMPRODUCT(--($AM$2:$AM$112=TRIM(LEFT($B983,IFERROR(FIND(" ",$B983)-1,LEN($B983))))))&gt;0,1,0)</f>
        <v/>
      </c>
      <c r="AE983">
        <f t="array" ref="AE983">IF(SUMPRODUCT(--($AO$2:$AO$145=TRIM(LEFT($B983,IFERROR(FIND(" ",$B983)-1,LEN($B983))))))&gt;0,1,0)</f>
        <v/>
      </c>
      <c r="AF983">
        <f t="array" ref="AF983">IF(SUMPRODUCT(--($AQ$2:$AQ$71=TRIM(LEFT($B983,IFERROR(FIND(" ",$B983)-1,LEN($B983))))))&gt;0,1,0)</f>
        <v/>
      </c>
    </row>
    <row r="984" ht="75.75" customHeight="1" thickBot="1">
      <c r="A984" s="13" t="n">
        <v>58</v>
      </c>
      <c r="B984" s="4" t="inlineStr">
        <is>
          <t>SYNT US</t>
        </is>
      </c>
      <c r="C984" s="4" t="inlineStr">
        <is>
          <t>ATO FP</t>
        </is>
      </c>
      <c r="D984" s="7" t="n">
        <v>43303</v>
      </c>
      <c r="E984" s="3" t="n">
        <v>3602.26</v>
      </c>
      <c r="F984" s="4" t="inlineStr">
        <is>
          <t>Cash</t>
        </is>
      </c>
      <c r="G984" s="3" t="n">
        <v>13.6</v>
      </c>
      <c r="H984" s="4" t="inlineStr">
        <is>
          <t>Technology</t>
        </is>
      </c>
      <c r="I984" s="4" t="inlineStr">
        <is>
          <t>Software &amp; Tech Services</t>
        </is>
      </c>
      <c r="J984" s="4" t="inlineStr">
        <is>
          <t>IT Services</t>
        </is>
      </c>
      <c r="K984" s="4" t="n"/>
      <c r="L984" s="3" t="n">
        <v>111.5</v>
      </c>
      <c r="M984" s="3" t="n">
        <v>14.45</v>
      </c>
      <c r="N984" s="3" t="n">
        <v>3401.66</v>
      </c>
      <c r="O984" s="4" t="inlineStr">
        <is>
          <t>United States</t>
        </is>
      </c>
      <c r="P984" s="4" t="inlineStr">
        <is>
          <t>France</t>
        </is>
      </c>
      <c r="Q984" s="4" t="inlineStr">
        <is>
          <t>Friendly</t>
        </is>
      </c>
      <c r="R984" s="3" t="n">
        <v>923.828</v>
      </c>
      <c r="S984" s="3" t="n">
        <v>26.0908</v>
      </c>
      <c r="T984" s="4" t="inlineStr">
        <is>
          <t>Company Takeover, Cross Border</t>
        </is>
      </c>
      <c r="U984" s="2" t="inlineStr">
        <is>
          <t>No</t>
        </is>
      </c>
      <c r="V984" s="2" t="inlineStr">
        <is>
          <t>No</t>
        </is>
      </c>
      <c r="W984" s="2" t="inlineStr">
        <is>
          <t>Yes</t>
        </is>
      </c>
      <c r="X984" s="2" t="inlineStr">
        <is>
          <t>No</t>
        </is>
      </c>
      <c r="Y984" s="2" t="inlineStr">
        <is>
          <t>No</t>
        </is>
      </c>
      <c r="Z984" s="2" t="inlineStr">
        <is>
          <t>No</t>
        </is>
      </c>
      <c r="AA984" s="6" t="n">
        <v>3.556575056</v>
      </c>
      <c r="AB984" s="6" t="n">
        <v>2.965591121</v>
      </c>
      <c r="AC984" s="6" t="n">
        <v>3.531690903</v>
      </c>
      <c r="AD984">
        <f t="array" ref="AD984">IF(SUMPRODUCT(--($AM$2:$AM$112=TRIM(LEFT($B984,IFERROR(FIND(" ",$B984)-1,LEN($B984))))))&gt;0,1,0)</f>
        <v/>
      </c>
      <c r="AE984">
        <f t="array" ref="AE984">IF(SUMPRODUCT(--($AO$2:$AO$145=TRIM(LEFT($B984,IFERROR(FIND(" ",$B984)-1,LEN($B984))))))&gt;0,1,0)</f>
        <v/>
      </c>
      <c r="AF984">
        <f t="array" ref="AF984">IF(SUMPRODUCT(--($AQ$2:$AQ$71=TRIM(LEFT($B984,IFERROR(FIND(" ",$B984)-1,LEN($B984))))))&gt;0,1,0)</f>
        <v/>
      </c>
    </row>
    <row r="985" ht="45.75" customHeight="1" thickBot="1">
      <c r="A985" s="13" t="n">
        <v>72</v>
      </c>
      <c r="B985" s="4" t="inlineStr">
        <is>
          <t>CVG US</t>
        </is>
      </c>
      <c r="C985" s="4" t="inlineStr">
        <is>
          <t>SNX US</t>
        </is>
      </c>
      <c r="D985" s="7" t="n">
        <v>43279</v>
      </c>
      <c r="E985" s="3" t="n">
        <v>1356.24</v>
      </c>
      <c r="F985" s="4" t="inlineStr">
        <is>
          <t>Cash and Stock</t>
        </is>
      </c>
      <c r="G985" s="3" t="n">
        <v>4.33</v>
      </c>
      <c r="H985" s="4" t="inlineStr">
        <is>
          <t>Technology</t>
        </is>
      </c>
      <c r="I985" s="4" t="inlineStr">
        <is>
          <t>Software &amp; Tech Services</t>
        </is>
      </c>
      <c r="J985" s="4" t="inlineStr">
        <is>
          <t>IT Services</t>
        </is>
      </c>
      <c r="K985" s="3" t="n">
        <v>12.35</v>
      </c>
      <c r="L985" s="3" t="n">
        <v>74</v>
      </c>
      <c r="M985" s="3" t="n">
        <v>2.39</v>
      </c>
      <c r="N985" s="3" t="n">
        <v>1216.34</v>
      </c>
      <c r="O985" s="4" t="inlineStr">
        <is>
          <t>United States</t>
        </is>
      </c>
      <c r="P985" s="4" t="inlineStr">
        <is>
          <t>United States</t>
        </is>
      </c>
      <c r="Q985" s="4" t="inlineStr">
        <is>
          <t>Friendly</t>
        </is>
      </c>
      <c r="R985" s="3" t="n">
        <v>2792.1</v>
      </c>
      <c r="S985" s="3" t="n">
        <v>5.85644</v>
      </c>
      <c r="T985" s="4" t="inlineStr">
        <is>
          <t>Company Takeover</t>
        </is>
      </c>
      <c r="U985" s="2" t="inlineStr">
        <is>
          <t>No</t>
        </is>
      </c>
      <c r="V985" s="2" t="inlineStr">
        <is>
          <t>No</t>
        </is>
      </c>
      <c r="W985" s="2" t="inlineStr">
        <is>
          <t>No</t>
        </is>
      </c>
      <c r="X985" s="2" t="inlineStr">
        <is>
          <t>No</t>
        </is>
      </c>
      <c r="Y985" s="2" t="inlineStr">
        <is>
          <t>No</t>
        </is>
      </c>
      <c r="Z985" s="2" t="inlineStr">
        <is>
          <t>No</t>
        </is>
      </c>
      <c r="AA985" s="6" t="n">
        <v>3.132336549</v>
      </c>
      <c r="AB985" s="6" t="n">
        <v>3.445930969</v>
      </c>
      <c r="AC985" s="6" t="n">
        <v>3.085054989</v>
      </c>
      <c r="AD985">
        <f t="array" ref="AD985">IF(SUMPRODUCT(--($AM$2:$AM$112=TRIM(LEFT($B985,IFERROR(FIND(" ",$B985)-1,LEN($B985))))))&gt;0,1,0)</f>
        <v/>
      </c>
      <c r="AE985">
        <f t="array" ref="AE985">IF(SUMPRODUCT(--($AO$2:$AO$145=TRIM(LEFT($B985,IFERROR(FIND(" ",$B985)-1,LEN($B985))))))&gt;0,1,0)</f>
        <v/>
      </c>
      <c r="AF985">
        <f t="array" ref="AF985">IF(SUMPRODUCT(--($AQ$2:$AQ$71=TRIM(LEFT($B985,IFERROR(FIND(" ",$B985)-1,LEN($B985))))))&gt;0,1,0)</f>
        <v/>
      </c>
    </row>
    <row r="986" ht="75.75" customHeight="1" thickBot="1">
      <c r="A986" s="13" t="n">
        <v>85</v>
      </c>
      <c r="B986" s="4" t="inlineStr">
        <is>
          <t>1909395D US</t>
        </is>
      </c>
      <c r="C986" s="4" t="inlineStr">
        <is>
          <t>TMHC US</t>
        </is>
      </c>
      <c r="D986" s="7" t="n">
        <v>43258</v>
      </c>
      <c r="E986" s="3" t="n">
        <v>777.9</v>
      </c>
      <c r="F986" s="4" t="inlineStr">
        <is>
          <t>Cash or Stock</t>
        </is>
      </c>
      <c r="G986" s="3" t="n">
        <v>17.9</v>
      </c>
      <c r="H986" s="4" t="inlineStr">
        <is>
          <t>Consumer Discretionary</t>
        </is>
      </c>
      <c r="I986" s="4" t="inlineStr">
        <is>
          <t>Consumer Discretionary Products</t>
        </is>
      </c>
      <c r="J986" s="4" t="inlineStr">
        <is>
          <t>Home Construction</t>
        </is>
      </c>
      <c r="K986" s="4" t="n"/>
      <c r="L986" s="3" t="n">
        <v>18.472</v>
      </c>
      <c r="M986" s="4" t="n"/>
      <c r="N986" s="3" t="n">
        <v>480.49</v>
      </c>
      <c r="O986" s="4" t="inlineStr">
        <is>
          <t>United States</t>
        </is>
      </c>
      <c r="P986" s="4" t="inlineStr">
        <is>
          <t>United States</t>
        </is>
      </c>
      <c r="Q986" s="4" t="inlineStr">
        <is>
          <t>Friendly</t>
        </is>
      </c>
      <c r="R986" s="3" t="n">
        <v>843.253</v>
      </c>
      <c r="S986" s="3" t="n">
        <v>3.73077</v>
      </c>
      <c r="T986" s="4" t="inlineStr">
        <is>
          <t>Company Takeover</t>
        </is>
      </c>
      <c r="U986" s="2" t="inlineStr">
        <is>
          <t>No</t>
        </is>
      </c>
      <c r="V986" s="2" t="inlineStr">
        <is>
          <t>No</t>
        </is>
      </c>
      <c r="W986" s="2" t="inlineStr">
        <is>
          <t>No</t>
        </is>
      </c>
      <c r="X986" s="2" t="inlineStr">
        <is>
          <t>No</t>
        </is>
      </c>
      <c r="Y986" s="2" t="inlineStr">
        <is>
          <t>No</t>
        </is>
      </c>
      <c r="Z986" s="2" t="inlineStr">
        <is>
          <t>No</t>
        </is>
      </c>
      <c r="AA986" s="6" t="n">
        <v>2.890923771</v>
      </c>
      <c r="AB986" s="6" t="n">
        <v>2.925957895</v>
      </c>
      <c r="AC986" s="6" t="n">
        <v>2.681684354</v>
      </c>
      <c r="AD986">
        <f t="array" ref="AD986">IF(SUMPRODUCT(--($AM$2:$AM$112=TRIM(LEFT($B986,IFERROR(FIND(" ",$B986)-1,LEN($B986))))))&gt;0,1,0)</f>
        <v/>
      </c>
      <c r="AE986">
        <f t="array" ref="AE986">IF(SUMPRODUCT(--($AO$2:$AO$145=TRIM(LEFT($B986,IFERROR(FIND(" ",$B986)-1,LEN($B986))))))&gt;0,1,0)</f>
        <v/>
      </c>
      <c r="AF986">
        <f t="array" ref="AF986">IF(SUMPRODUCT(--($AQ$2:$AQ$71=TRIM(LEFT($B986,IFERROR(FIND(" ",$B986)-1,LEN($B986))))))&gt;0,1,0)</f>
        <v/>
      </c>
    </row>
    <row r="987" ht="75.75" customHeight="1" thickBot="1">
      <c r="A987" s="13" t="n">
        <v>106</v>
      </c>
      <c r="B987" s="4" t="inlineStr">
        <is>
          <t>XCRA US</t>
        </is>
      </c>
      <c r="C987" s="4" t="inlineStr">
        <is>
          <t>COHU US</t>
        </is>
      </c>
      <c r="D987" s="7" t="n">
        <v>43228</v>
      </c>
      <c r="E987" s="3" t="n">
        <v>587.26</v>
      </c>
      <c r="F987" s="4" t="inlineStr">
        <is>
          <t>Cash and Stock</t>
        </is>
      </c>
      <c r="G987" s="3" t="n">
        <v>8.58</v>
      </c>
      <c r="H987" s="4" t="inlineStr">
        <is>
          <t>Technology</t>
        </is>
      </c>
      <c r="I987" s="4" t="inlineStr">
        <is>
          <t>Tech Hardware &amp; Semiconductors</t>
        </is>
      </c>
      <c r="J987" s="4" t="inlineStr">
        <is>
          <t>Semiconductors</t>
        </is>
      </c>
      <c r="K987" s="3" t="n">
        <v>45</v>
      </c>
      <c r="L987" s="3" t="n">
        <v>22.8</v>
      </c>
      <c r="M987" s="3" t="n">
        <v>12.08</v>
      </c>
      <c r="N987" s="3" t="n">
        <v>755.67</v>
      </c>
      <c r="O987" s="4" t="inlineStr">
        <is>
          <t>United States</t>
        </is>
      </c>
      <c r="P987" s="4" t="inlineStr">
        <is>
          <t>United States</t>
        </is>
      </c>
      <c r="Q987" s="4" t="inlineStr">
        <is>
          <t>Friendly</t>
        </is>
      </c>
      <c r="R987" s="3" t="n">
        <v>390.771</v>
      </c>
      <c r="S987" s="3" t="n">
        <v>13.1505</v>
      </c>
      <c r="T987" s="4" t="inlineStr">
        <is>
          <t>Company Takeover</t>
        </is>
      </c>
      <c r="U987" s="2" t="inlineStr">
        <is>
          <t>No</t>
        </is>
      </c>
      <c r="V987" s="2" t="inlineStr">
        <is>
          <t>No</t>
        </is>
      </c>
      <c r="W987" s="2" t="inlineStr">
        <is>
          <t>No</t>
        </is>
      </c>
      <c r="X987" s="2" t="inlineStr">
        <is>
          <t>No</t>
        </is>
      </c>
      <c r="Y987" s="2" t="inlineStr">
        <is>
          <t>No</t>
        </is>
      </c>
      <c r="Z987" s="2" t="inlineStr">
        <is>
          <t>No</t>
        </is>
      </c>
      <c r="AA987" s="6" t="n">
        <v>2.768830421</v>
      </c>
      <c r="AB987" s="6" t="n">
        <v>2.591922326</v>
      </c>
      <c r="AC987" s="6" t="n">
        <v>2.878332181</v>
      </c>
      <c r="AD987">
        <f t="array" ref="AD987">IF(SUMPRODUCT(--($AM$2:$AM$112=TRIM(LEFT($B987,IFERROR(FIND(" ",$B987)-1,LEN($B987))))))&gt;0,1,0)</f>
        <v/>
      </c>
      <c r="AE987">
        <f t="array" ref="AE987">IF(SUMPRODUCT(--($AO$2:$AO$145=TRIM(LEFT($B987,IFERROR(FIND(" ",$B987)-1,LEN($B987))))))&gt;0,1,0)</f>
        <v/>
      </c>
      <c r="AF987">
        <f t="array" ref="AF987">IF(SUMPRODUCT(--($AQ$2:$AQ$71=TRIM(LEFT($B987,IFERROR(FIND(" ",$B987)-1,LEN($B987))))))&gt;0,1,0)</f>
        <v/>
      </c>
    </row>
    <row r="988" ht="45.75" customHeight="1" thickBot="1">
      <c r="A988" s="13" t="n">
        <v>76</v>
      </c>
      <c r="B988" s="4" t="inlineStr">
        <is>
          <t>1752683D US</t>
        </is>
      </c>
      <c r="C988" s="4" t="inlineStr">
        <is>
          <t>PBCT US</t>
        </is>
      </c>
      <c r="D988" s="7" t="n">
        <v>43270</v>
      </c>
      <c r="E988" s="3" t="n">
        <v>540.61</v>
      </c>
      <c r="F988" s="4" t="inlineStr">
        <is>
          <t>Stock</t>
        </is>
      </c>
      <c r="G988" s="4" t="n"/>
      <c r="H988" s="4" t="inlineStr">
        <is>
          <t>Financials</t>
        </is>
      </c>
      <c r="I988" s="4" t="inlineStr">
        <is>
          <t>Banking</t>
        </is>
      </c>
      <c r="J988" s="4" t="inlineStr">
        <is>
          <t>Banking</t>
        </is>
      </c>
      <c r="K988" s="4" t="n"/>
      <c r="L988" s="3" t="n">
        <v>22.5</v>
      </c>
      <c r="M988" s="3" t="n">
        <v>24.6</v>
      </c>
      <c r="N988" s="3" t="n">
        <v>540.61</v>
      </c>
      <c r="O988" s="4" t="inlineStr">
        <is>
          <t>United States</t>
        </is>
      </c>
      <c r="P988" s="4" t="inlineStr">
        <is>
          <t>United States</t>
        </is>
      </c>
      <c r="Q988" s="4" t="inlineStr">
        <is>
          <t>Friendly</t>
        </is>
      </c>
      <c r="R988" s="3" t="n">
        <v>111.982</v>
      </c>
      <c r="S988" s="3" t="n">
        <v>32.4639</v>
      </c>
      <c r="T988" s="4" t="inlineStr">
        <is>
          <t>Company Takeover</t>
        </is>
      </c>
      <c r="U988" s="2" t="inlineStr">
        <is>
          <t>No</t>
        </is>
      </c>
      <c r="V988" s="2" t="inlineStr">
        <is>
          <t>No</t>
        </is>
      </c>
      <c r="W988" s="2" t="inlineStr">
        <is>
          <t>No</t>
        </is>
      </c>
      <c r="X988" s="2" t="inlineStr">
        <is>
          <t>No</t>
        </is>
      </c>
      <c r="Y988" s="2" t="inlineStr">
        <is>
          <t>No</t>
        </is>
      </c>
      <c r="Z988" s="2" t="inlineStr">
        <is>
          <t>No</t>
        </is>
      </c>
      <c r="AA988" s="6" t="n">
        <v>2.732884075</v>
      </c>
      <c r="AB988" s="6" t="n">
        <v>2.04914822</v>
      </c>
      <c r="AC988" s="6" t="n">
        <v>2.732884075</v>
      </c>
      <c r="AD988">
        <f t="array" ref="AD988">IF(SUMPRODUCT(--($AM$2:$AM$112=TRIM(LEFT($B988,IFERROR(FIND(" ",$B988)-1,LEN($B988))))))&gt;0,1,0)</f>
        <v/>
      </c>
      <c r="AE988">
        <f t="array" ref="AE988">IF(SUMPRODUCT(--($AO$2:$AO$145=TRIM(LEFT($B988,IFERROR(FIND(" ",$B988)-1,LEN($B988))))))&gt;0,1,0)</f>
        <v/>
      </c>
      <c r="AF988">
        <f t="array" ref="AF988">IF(SUMPRODUCT(--($AQ$2:$AQ$71=TRIM(LEFT($B988,IFERROR(FIND(" ",$B988)-1,LEN($B988))))))&gt;0,1,0)</f>
        <v/>
      </c>
    </row>
    <row r="989" ht="45.75" customHeight="1" thickBot="1">
      <c r="A989" s="13" t="n">
        <v>111</v>
      </c>
      <c r="B989" s="4" t="inlineStr">
        <is>
          <t>ANDV US</t>
        </is>
      </c>
      <c r="C989" s="4" t="inlineStr">
        <is>
          <t>MPC US</t>
        </is>
      </c>
      <c r="D989" s="7" t="n">
        <v>43220</v>
      </c>
      <c r="E989" s="3" t="n">
        <v>29019.66</v>
      </c>
      <c r="F989" s="4" t="inlineStr">
        <is>
          <t>Cash or Stock</t>
        </is>
      </c>
      <c r="G989" s="3" t="n">
        <v>10.45</v>
      </c>
      <c r="H989" s="4" t="inlineStr">
        <is>
          <t>Energy</t>
        </is>
      </c>
      <c r="I989" s="4" t="inlineStr">
        <is>
          <t>Oil &amp; Gas</t>
        </is>
      </c>
      <c r="J989" s="4" t="inlineStr">
        <is>
          <t>Oil &amp; Gas Supply Chain</t>
        </is>
      </c>
      <c r="K989" s="3" t="n">
        <v>800</v>
      </c>
      <c r="L989" s="3" t="n">
        <v>600</v>
      </c>
      <c r="M989" s="3" t="n">
        <v>26.59</v>
      </c>
      <c r="N989" s="3" t="n">
        <v>21877.66</v>
      </c>
      <c r="O989" s="4" t="inlineStr">
        <is>
          <t>United States</t>
        </is>
      </c>
      <c r="P989" s="4" t="inlineStr">
        <is>
          <t>United States</t>
        </is>
      </c>
      <c r="Q989" s="4" t="inlineStr">
        <is>
          <t>Friendly</t>
        </is>
      </c>
      <c r="R989" s="3" t="n">
        <v>34975</v>
      </c>
      <c r="S989" s="3" t="n">
        <v>5.38373</v>
      </c>
      <c r="T989" s="4" t="inlineStr">
        <is>
          <t>Company Takeover</t>
        </is>
      </c>
      <c r="U989" s="2" t="inlineStr">
        <is>
          <t>No</t>
        </is>
      </c>
      <c r="V989" s="2" t="inlineStr">
        <is>
          <t>No</t>
        </is>
      </c>
      <c r="W989" s="2" t="inlineStr">
        <is>
          <t>No</t>
        </is>
      </c>
      <c r="X989" s="2" t="inlineStr">
        <is>
          <t>No</t>
        </is>
      </c>
      <c r="Y989" s="2" t="inlineStr">
        <is>
          <t>No</t>
        </is>
      </c>
      <c r="Z989" s="2" t="inlineStr">
        <is>
          <t>No</t>
        </is>
      </c>
      <c r="AA989" s="6" t="n">
        <v>4.46269232</v>
      </c>
      <c r="AB989" s="6" t="n">
        <v>4.543757723</v>
      </c>
      <c r="AC989" s="6" t="n">
        <v>4.340000869</v>
      </c>
      <c r="AD989">
        <f t="array" ref="AD989">IF(SUMPRODUCT(--($AM$2:$AM$112=TRIM(LEFT($B989,IFERROR(FIND(" ",$B989)-1,LEN($B989))))))&gt;0,1,0)</f>
        <v/>
      </c>
      <c r="AE989">
        <f t="array" ref="AE989">IF(SUMPRODUCT(--($AO$2:$AO$145=TRIM(LEFT($B989,IFERROR(FIND(" ",$B989)-1,LEN($B989))))))&gt;0,1,0)</f>
        <v/>
      </c>
      <c r="AF989">
        <f t="array" ref="AF989">IF(SUMPRODUCT(--($AQ$2:$AQ$71=TRIM(LEFT($B989,IFERROR(FIND(" ",$B989)-1,LEN($B989))))))&gt;0,1,0)</f>
        <v/>
      </c>
    </row>
    <row r="990" ht="45.75" customHeight="1" thickBot="1">
      <c r="A990" s="13" t="n">
        <v>76</v>
      </c>
      <c r="B990" s="4" t="inlineStr">
        <is>
          <t>COBZ US</t>
        </is>
      </c>
      <c r="C990" s="4" t="inlineStr">
        <is>
          <t>BOKF US</t>
        </is>
      </c>
      <c r="D990" s="7" t="n">
        <v>43269</v>
      </c>
      <c r="E990" s="3" t="n">
        <v>1188.55</v>
      </c>
      <c r="F990" s="4" t="inlineStr">
        <is>
          <t>Cash and Stock</t>
        </is>
      </c>
      <c r="G990" s="4" t="n"/>
      <c r="H990" s="4" t="inlineStr">
        <is>
          <t>Financials</t>
        </is>
      </c>
      <c r="I990" s="4" t="inlineStr">
        <is>
          <t>Banking</t>
        </is>
      </c>
      <c r="J990" s="4" t="inlineStr">
        <is>
          <t>Banking</t>
        </is>
      </c>
      <c r="K990" s="4" t="n"/>
      <c r="L990" s="3" t="n">
        <v>34.2</v>
      </c>
      <c r="M990" s="3" t="n">
        <v>4.38</v>
      </c>
      <c r="N990" s="3" t="n">
        <v>984.76</v>
      </c>
      <c r="O990" s="4" t="inlineStr">
        <is>
          <t>United States</t>
        </is>
      </c>
      <c r="P990" s="4" t="inlineStr">
        <is>
          <t>United States</t>
        </is>
      </c>
      <c r="Q990" s="4" t="inlineStr">
        <is>
          <t>Friendly</t>
        </is>
      </c>
      <c r="R990" s="3" t="n">
        <v>177.188</v>
      </c>
      <c r="S990" s="3" t="n">
        <v>34.1201</v>
      </c>
      <c r="T990" s="4" t="inlineStr">
        <is>
          <t>Company Takeover</t>
        </is>
      </c>
      <c r="U990" s="2" t="inlineStr">
        <is>
          <t>No</t>
        </is>
      </c>
      <c r="V990" s="2" t="inlineStr">
        <is>
          <t>No</t>
        </is>
      </c>
      <c r="W990" s="2" t="inlineStr">
        <is>
          <t>No</t>
        </is>
      </c>
      <c r="X990" s="2" t="inlineStr">
        <is>
          <t>No</t>
        </is>
      </c>
      <c r="Y990" s="2" t="inlineStr">
        <is>
          <t>No</t>
        </is>
      </c>
      <c r="Z990" s="2" t="inlineStr">
        <is>
          <t>No</t>
        </is>
      </c>
      <c r="AA990" s="6" t="n">
        <v>3.075017456</v>
      </c>
      <c r="AB990" s="6" t="n">
        <v>2.248434306</v>
      </c>
      <c r="AC990" s="6" t="n">
        <v>2.9933304</v>
      </c>
      <c r="AD990">
        <f t="array" ref="AD990">IF(SUMPRODUCT(--($AM$2:$AM$112=TRIM(LEFT($B990,IFERROR(FIND(" ",$B990)-1,LEN($B990))))))&gt;0,1,0)</f>
        <v/>
      </c>
      <c r="AE990">
        <f t="array" ref="AE990">IF(SUMPRODUCT(--($AO$2:$AO$145=TRIM(LEFT($B990,IFERROR(FIND(" ",$B990)-1,LEN($B990))))))&gt;0,1,0)</f>
        <v/>
      </c>
      <c r="AF990">
        <f t="array" ref="AF990">IF(SUMPRODUCT(--($AQ$2:$AQ$71=TRIM(LEFT($B990,IFERROR(FIND(" ",$B990)-1,LEN($B990))))))&gt;0,1,0)</f>
        <v/>
      </c>
    </row>
    <row r="991" ht="75.75" customHeight="1" thickBot="1">
      <c r="A991" s="13" t="n">
        <v>121</v>
      </c>
      <c r="B991" s="4" t="inlineStr">
        <is>
          <t>TPCA US</t>
        </is>
      </c>
      <c r="C991" s="4" t="inlineStr">
        <is>
          <t>CZR US</t>
        </is>
      </c>
      <c r="D991" s="7" t="n">
        <v>43206</v>
      </c>
      <c r="E991" s="3" t="n">
        <v>673.65</v>
      </c>
      <c r="F991" s="4" t="inlineStr">
        <is>
          <t>Cash</t>
        </is>
      </c>
      <c r="G991" s="3" t="n">
        <v>3.13</v>
      </c>
      <c r="H991" s="4" t="inlineStr">
        <is>
          <t>Consumer Discretionary</t>
        </is>
      </c>
      <c r="I991" s="4" t="inlineStr">
        <is>
          <t>Consumer Discretionary Services</t>
        </is>
      </c>
      <c r="J991" s="4" t="inlineStr">
        <is>
          <t>Leisure Facilities &amp; Services</t>
        </is>
      </c>
      <c r="K991" s="3" t="n">
        <v>92.5</v>
      </c>
      <c r="L991" s="3" t="n">
        <v>92.5</v>
      </c>
      <c r="M991" s="4" t="n"/>
      <c r="N991" s="3" t="n">
        <v>640</v>
      </c>
      <c r="O991" s="4" t="inlineStr">
        <is>
          <t>United States</t>
        </is>
      </c>
      <c r="P991" s="4" t="inlineStr">
        <is>
          <t>United States</t>
        </is>
      </c>
      <c r="Q991" s="4" t="inlineStr">
        <is>
          <t>Friendly</t>
        </is>
      </c>
      <c r="R991" s="3" t="n">
        <v>898.1900000000001</v>
      </c>
      <c r="S991" s="3" t="n">
        <v>15.6638</v>
      </c>
      <c r="T991" s="4" t="inlineStr">
        <is>
          <t>Company Takeover</t>
        </is>
      </c>
      <c r="U991" s="2" t="inlineStr">
        <is>
          <t>No</t>
        </is>
      </c>
      <c r="V991" s="2" t="inlineStr">
        <is>
          <t>No</t>
        </is>
      </c>
      <c r="W991" s="2" t="inlineStr">
        <is>
          <t>No</t>
        </is>
      </c>
      <c r="X991" s="2" t="inlineStr">
        <is>
          <t>No</t>
        </is>
      </c>
      <c r="Y991" s="2" t="inlineStr">
        <is>
          <t>No</t>
        </is>
      </c>
      <c r="Z991" s="2" t="inlineStr">
        <is>
          <t>No</t>
        </is>
      </c>
      <c r="AA991" s="6" t="n">
        <v>2.828434314</v>
      </c>
      <c r="AB991" s="6" t="n">
        <v>2.953368216</v>
      </c>
      <c r="AC991" s="6" t="n">
        <v>2.806179974</v>
      </c>
      <c r="AD991">
        <f t="array" ref="AD991">IF(SUMPRODUCT(--($AM$2:$AM$112=TRIM(LEFT($B991,IFERROR(FIND(" ",$B991)-1,LEN($B991))))))&gt;0,1,0)</f>
        <v/>
      </c>
      <c r="AE991">
        <f t="array" ref="AE991">IF(SUMPRODUCT(--($AO$2:$AO$145=TRIM(LEFT($B991,IFERROR(FIND(" ",$B991)-1,LEN($B991))))))&gt;0,1,0)</f>
        <v/>
      </c>
      <c r="AF991">
        <f t="array" ref="AF991">IF(SUMPRODUCT(--($AQ$2:$AQ$71=TRIM(LEFT($B991,IFERROR(FIND(" ",$B991)-1,LEN($B991))))))&gt;0,1,0)</f>
        <v/>
      </c>
    </row>
    <row r="992" ht="135.75" customHeight="1" thickBot="1">
      <c r="A992" s="13" t="n">
        <v>64</v>
      </c>
      <c r="B992" s="4" t="inlineStr">
        <is>
          <t>1719848D US</t>
        </is>
      </c>
      <c r="C992" s="4" t="inlineStr">
        <is>
          <t>114208Z US</t>
        </is>
      </c>
      <c r="D992" s="7" t="n">
        <v>43276</v>
      </c>
      <c r="E992" s="3" t="n">
        <v>4099.86</v>
      </c>
      <c r="F992" s="4" t="inlineStr">
        <is>
          <t>Cash</t>
        </is>
      </c>
      <c r="G992" s="3" t="n">
        <v>25.45</v>
      </c>
      <c r="H992" s="4" t="inlineStr">
        <is>
          <t>Real Estate</t>
        </is>
      </c>
      <c r="I992" s="4" t="inlineStr">
        <is>
          <t>Real Estate</t>
        </is>
      </c>
      <c r="J992" s="4" t="inlineStr">
        <is>
          <t>REIT</t>
        </is>
      </c>
      <c r="K992" s="3" t="n">
        <v>200</v>
      </c>
      <c r="L992" s="3" t="n">
        <v>118.147</v>
      </c>
      <c r="M992" s="4" t="n"/>
      <c r="N992" s="3" t="n">
        <v>3146.17</v>
      </c>
      <c r="O992" s="4" t="inlineStr">
        <is>
          <t>United States</t>
        </is>
      </c>
      <c r="P992" s="4" t="inlineStr">
        <is>
          <t>United States</t>
        </is>
      </c>
      <c r="Q992" s="4" t="inlineStr">
        <is>
          <t>Friendly</t>
        </is>
      </c>
      <c r="R992" s="3" t="n">
        <v>331.066</v>
      </c>
      <c r="S992" s="3" t="n">
        <v>19.1582</v>
      </c>
      <c r="T992" s="4" t="inlineStr">
        <is>
          <t>PE Buyout, Company Takeover, Private Equity, Going Private</t>
        </is>
      </c>
      <c r="U992" s="2" t="inlineStr">
        <is>
          <t>No</t>
        </is>
      </c>
      <c r="V992" s="2" t="inlineStr">
        <is>
          <t>No</t>
        </is>
      </c>
      <c r="W992" s="2" t="inlineStr">
        <is>
          <t>No</t>
        </is>
      </c>
      <c r="X992" s="2" t="inlineStr">
        <is>
          <t>Yes</t>
        </is>
      </c>
      <c r="Y992" s="2" t="inlineStr">
        <is>
          <t>Yes</t>
        </is>
      </c>
      <c r="Z992" s="2" t="inlineStr">
        <is>
          <t>No</t>
        </is>
      </c>
      <c r="AA992" s="6" t="n">
        <v>3.612769027</v>
      </c>
      <c r="AB992" s="6" t="n">
        <v>2.519914582</v>
      </c>
      <c r="AC992" s="6" t="n">
        <v>3.497782186</v>
      </c>
      <c r="AD992">
        <f t="array" ref="AD992">IF(SUMPRODUCT(--($AM$2:$AM$112=TRIM(LEFT($B992,IFERROR(FIND(" ",$B992)-1,LEN($B992))))))&gt;0,1,0)</f>
        <v/>
      </c>
      <c r="AE992">
        <f t="array" ref="AE992">IF(SUMPRODUCT(--($AO$2:$AO$145=TRIM(LEFT($B992,IFERROR(FIND(" ",$B992)-1,LEN($B992))))))&gt;0,1,0)</f>
        <v/>
      </c>
      <c r="AF992">
        <f t="array" ref="AF992">IF(SUMPRODUCT(--($AQ$2:$AQ$71=TRIM(LEFT($B992,IFERROR(FIND(" ",$B992)-1,LEN($B992))))))&gt;0,1,0)</f>
        <v/>
      </c>
    </row>
    <row r="993" ht="120.75" customHeight="1" thickBot="1">
      <c r="A993" s="13" t="n">
        <v>68</v>
      </c>
      <c r="B993" s="4" t="inlineStr">
        <is>
          <t>CQH US</t>
        </is>
      </c>
      <c r="C993" s="4" t="inlineStr">
        <is>
          <t>LNG US</t>
        </is>
      </c>
      <c r="D993" s="7" t="n">
        <v>43270</v>
      </c>
      <c r="E993" s="3" t="n">
        <v>575.13</v>
      </c>
      <c r="F993" s="4" t="inlineStr">
        <is>
          <t>Stock</t>
        </is>
      </c>
      <c r="G993" s="4" t="n"/>
      <c r="H993" s="4" t="inlineStr">
        <is>
          <t>Energy</t>
        </is>
      </c>
      <c r="I993" s="4" t="inlineStr">
        <is>
          <t>Oil &amp; Gas</t>
        </is>
      </c>
      <c r="J993" s="4" t="inlineStr">
        <is>
          <t>Oil &amp; Gas Supply Chain</t>
        </is>
      </c>
      <c r="K993" s="4" t="n"/>
      <c r="L993" s="4" t="n"/>
      <c r="M993" s="3" t="n">
        <v>4.02</v>
      </c>
      <c r="N993" s="3" t="n">
        <v>575.13</v>
      </c>
      <c r="O993" s="4" t="inlineStr">
        <is>
          <t>United States</t>
        </is>
      </c>
      <c r="P993" s="4" t="inlineStr">
        <is>
          <t>United States</t>
        </is>
      </c>
      <c r="Q993" s="4" t="inlineStr">
        <is>
          <t>Friendly</t>
        </is>
      </c>
      <c r="R993" s="2" t="n"/>
      <c r="S993" s="2" t="n"/>
      <c r="T993" s="4" t="inlineStr">
        <is>
          <t>Company Takeover, Additional Stake Purchase</t>
        </is>
      </c>
      <c r="U993" s="2" t="inlineStr">
        <is>
          <t>Yes</t>
        </is>
      </c>
      <c r="V993" s="2" t="inlineStr">
        <is>
          <t>No</t>
        </is>
      </c>
      <c r="W993" s="2" t="inlineStr">
        <is>
          <t>No</t>
        </is>
      </c>
      <c r="X993" s="2" t="inlineStr">
        <is>
          <t>No</t>
        </is>
      </c>
      <c r="Y993" s="2" t="inlineStr">
        <is>
          <t>No</t>
        </is>
      </c>
      <c r="Z993" s="2" t="inlineStr">
        <is>
          <t>No</t>
        </is>
      </c>
      <c r="AA993" s="6" t="n">
        <v>2.759766022</v>
      </c>
      <c r="AB993" s="2" t="n"/>
      <c r="AC993" s="6" t="n">
        <v>2.759766022</v>
      </c>
      <c r="AD993">
        <f t="array" ref="AD993">IF(SUMPRODUCT(--($AM$2:$AM$112=TRIM(LEFT($B993,IFERROR(FIND(" ",$B993)-1,LEN($B993))))))&gt;0,1,0)</f>
        <v/>
      </c>
      <c r="AE993">
        <f t="array" ref="AE993">IF(SUMPRODUCT(--($AO$2:$AO$145=TRIM(LEFT($B993,IFERROR(FIND(" ",$B993)-1,LEN($B993))))))&gt;0,1,0)</f>
        <v/>
      </c>
      <c r="AF993">
        <f t="array" ref="AF993">IF(SUMPRODUCT(--($AQ$2:$AQ$71=TRIM(LEFT($B993,IFERROR(FIND(" ",$B993)-1,LEN($B993))))))&gt;0,1,0)</f>
        <v/>
      </c>
    </row>
    <row r="994" ht="75.75" customHeight="1" thickBot="1">
      <c r="A994" s="13" t="n">
        <v>138</v>
      </c>
      <c r="B994" s="4" t="inlineStr">
        <is>
          <t>1831877D US</t>
        </is>
      </c>
      <c r="C994" s="4" t="inlineStr">
        <is>
          <t>CS FP</t>
        </is>
      </c>
      <c r="D994" s="7" t="n">
        <v>43164</v>
      </c>
      <c r="E994" s="3" t="n">
        <v>15200.6</v>
      </c>
      <c r="F994" s="4" t="inlineStr">
        <is>
          <t>Cash</t>
        </is>
      </c>
      <c r="G994" s="4" t="n"/>
      <c r="H994" s="4" t="inlineStr">
        <is>
          <t>Financials</t>
        </is>
      </c>
      <c r="I994" s="4" t="inlineStr">
        <is>
          <t>Insurance</t>
        </is>
      </c>
      <c r="J994" s="4" t="inlineStr">
        <is>
          <t>Insurance</t>
        </is>
      </c>
      <c r="K994" s="4" t="n"/>
      <c r="L994" s="3" t="n">
        <v>499</v>
      </c>
      <c r="M994" s="3" t="n">
        <v>37.26</v>
      </c>
      <c r="N994" s="3" t="n">
        <v>15200.6</v>
      </c>
      <c r="O994" s="4" t="inlineStr">
        <is>
          <t>Bermuda</t>
        </is>
      </c>
      <c r="P994" s="4" t="inlineStr">
        <is>
          <t>France</t>
        </is>
      </c>
      <c r="Q994" s="4" t="inlineStr">
        <is>
          <t>Friendly</t>
        </is>
      </c>
      <c r="R994" s="3" t="n">
        <v>11328.2</v>
      </c>
      <c r="S994" s="3" t="n">
        <v>-2.28872</v>
      </c>
      <c r="T994" s="4" t="inlineStr">
        <is>
          <t>Company Takeover, Cross Border</t>
        </is>
      </c>
      <c r="U994" s="2" t="inlineStr">
        <is>
          <t>No</t>
        </is>
      </c>
      <c r="V994" s="2" t="inlineStr">
        <is>
          <t>No</t>
        </is>
      </c>
      <c r="W994" s="2" t="inlineStr">
        <is>
          <t>Yes</t>
        </is>
      </c>
      <c r="X994" s="2" t="inlineStr">
        <is>
          <t>No</t>
        </is>
      </c>
      <c r="Y994" s="2" t="inlineStr">
        <is>
          <t>No</t>
        </is>
      </c>
      <c r="Z994" s="2" t="inlineStr">
        <is>
          <t>No</t>
        </is>
      </c>
      <c r="AA994" s="6" t="n">
        <v>4.181860731</v>
      </c>
      <c r="AB994" s="6" t="n">
        <v>4.054160908</v>
      </c>
      <c r="AC994" s="6" t="n">
        <v>4.181860731</v>
      </c>
      <c r="AD994">
        <f t="array" ref="AD994">IF(SUMPRODUCT(--($AM$2:$AM$112=TRIM(LEFT($B994,IFERROR(FIND(" ",$B994)-1,LEN($B994))))))&gt;0,1,0)</f>
        <v/>
      </c>
      <c r="AE994">
        <f t="array" ref="AE994">IF(SUMPRODUCT(--($AO$2:$AO$145=TRIM(LEFT($B994,IFERROR(FIND(" ",$B994)-1,LEN($B994))))))&gt;0,1,0)</f>
        <v/>
      </c>
      <c r="AF994">
        <f t="array" ref="AF994">IF(SUMPRODUCT(--($AQ$2:$AQ$71=TRIM(LEFT($B994,IFERROR(FIND(" ",$B994)-1,LEN($B994))))))&gt;0,1,0)</f>
        <v/>
      </c>
    </row>
    <row r="995" ht="75.75" customHeight="1" thickBot="1">
      <c r="A995" s="13" t="n">
        <v>94</v>
      </c>
      <c r="B995" s="4" t="inlineStr">
        <is>
          <t>MTGE US</t>
        </is>
      </c>
      <c r="C995" s="4" t="inlineStr">
        <is>
          <t>NLY US</t>
        </is>
      </c>
      <c r="D995" s="7" t="n">
        <v>43222</v>
      </c>
      <c r="E995" s="3" t="n">
        <v>5668.63</v>
      </c>
      <c r="F995" s="4" t="inlineStr">
        <is>
          <t>Cash or Stock</t>
        </is>
      </c>
      <c r="G995" s="3" t="n">
        <v>33.63</v>
      </c>
      <c r="H995" s="4" t="inlineStr">
        <is>
          <t>Financials</t>
        </is>
      </c>
      <c r="I995" s="4" t="inlineStr">
        <is>
          <t>Financial Services</t>
        </is>
      </c>
      <c r="J995" s="4" t="inlineStr">
        <is>
          <t>Specialty Finance</t>
        </is>
      </c>
      <c r="K995" s="4" t="n"/>
      <c r="L995" s="3" t="n">
        <v>35.1185</v>
      </c>
      <c r="M995" s="4" t="n"/>
      <c r="N995" s="3" t="n">
        <v>907.04</v>
      </c>
      <c r="O995" s="4" t="inlineStr">
        <is>
          <t>United States</t>
        </is>
      </c>
      <c r="P995" s="4" t="inlineStr">
        <is>
          <t>United States</t>
        </is>
      </c>
      <c r="Q995" s="4" t="inlineStr">
        <is>
          <t>Friendly</t>
        </is>
      </c>
      <c r="R995" s="3" t="n">
        <v>234.331</v>
      </c>
      <c r="S995" s="3" t="n">
        <v>42.3346</v>
      </c>
      <c r="T995" s="4" t="inlineStr">
        <is>
          <t>Company Takeover, Tender Offer</t>
        </is>
      </c>
      <c r="U995" s="2" t="inlineStr">
        <is>
          <t>No</t>
        </is>
      </c>
      <c r="V995" s="2" t="inlineStr">
        <is>
          <t>No</t>
        </is>
      </c>
      <c r="W995" s="2" t="inlineStr">
        <is>
          <t>No</t>
        </is>
      </c>
      <c r="X995" s="2" t="inlineStr">
        <is>
          <t>No</t>
        </is>
      </c>
      <c r="Y995" s="2" t="inlineStr">
        <is>
          <t>No</t>
        </is>
      </c>
      <c r="Z995" s="2" t="inlineStr">
        <is>
          <t>Yes</t>
        </is>
      </c>
      <c r="AA995" s="6" t="n">
        <v>3.753478111</v>
      </c>
      <c r="AB995" s="6" t="n">
        <v>2.369829746</v>
      </c>
      <c r="AC995" s="6" t="n">
        <v>2.95762644</v>
      </c>
      <c r="AD995">
        <f t="array" ref="AD995">IF(SUMPRODUCT(--($AM$2:$AM$112=TRIM(LEFT($B995,IFERROR(FIND(" ",$B995)-1,LEN($B995))))))&gt;0,1,0)</f>
        <v/>
      </c>
      <c r="AE995">
        <f t="array" ref="AE995">IF(SUMPRODUCT(--($AO$2:$AO$145=TRIM(LEFT($B995,IFERROR(FIND(" ",$B995)-1,LEN($B995))))))&gt;0,1,0)</f>
        <v/>
      </c>
      <c r="AF995">
        <f t="array" ref="AF995">IF(SUMPRODUCT(--($AQ$2:$AQ$71=TRIM(LEFT($B995,IFERROR(FIND(" ",$B995)-1,LEN($B995))))))&gt;0,1,0)</f>
        <v/>
      </c>
    </row>
    <row r="996" ht="75.75" customHeight="1" thickBot="1">
      <c r="A996" s="13" t="n">
        <v>92</v>
      </c>
      <c r="B996" s="4" t="inlineStr">
        <is>
          <t>1859004D US</t>
        </is>
      </c>
      <c r="C996" s="4" t="inlineStr">
        <is>
          <t>VAC US</t>
        </is>
      </c>
      <c r="D996" s="7" t="n">
        <v>43220</v>
      </c>
      <c r="E996" s="3" t="n">
        <v>5008.73</v>
      </c>
      <c r="F996" s="4" t="inlineStr">
        <is>
          <t>Cash and Stock</t>
        </is>
      </c>
      <c r="G996" s="3" t="n">
        <v>16.7</v>
      </c>
      <c r="H996" s="4" t="inlineStr">
        <is>
          <t>Consumer Discretionary</t>
        </is>
      </c>
      <c r="I996" s="4" t="inlineStr">
        <is>
          <t>Consumer Discretionary Services</t>
        </is>
      </c>
      <c r="J996" s="4" t="inlineStr">
        <is>
          <t>Leisure Facilities &amp; Services</t>
        </is>
      </c>
      <c r="K996" s="3" t="n">
        <v>146</v>
      </c>
      <c r="L996" s="3" t="n">
        <v>146</v>
      </c>
      <c r="M996" s="3" t="n">
        <v>15.07</v>
      </c>
      <c r="N996" s="3" t="n">
        <v>4568.73</v>
      </c>
      <c r="O996" s="4" t="inlineStr">
        <is>
          <t>United States</t>
        </is>
      </c>
      <c r="P996" s="4" t="inlineStr">
        <is>
          <t>United States</t>
        </is>
      </c>
      <c r="Q996" s="4" t="inlineStr">
        <is>
          <t>Friendly</t>
        </is>
      </c>
      <c r="R996" s="3" t="n">
        <v>1786</v>
      </c>
      <c r="S996" s="3" t="n">
        <v>12.4247</v>
      </c>
      <c r="T996" s="4" t="inlineStr">
        <is>
          <t>Company Takeover</t>
        </is>
      </c>
      <c r="U996" s="2" t="inlineStr">
        <is>
          <t>No</t>
        </is>
      </c>
      <c r="V996" s="2" t="inlineStr">
        <is>
          <t>No</t>
        </is>
      </c>
      <c r="W996" s="2" t="inlineStr">
        <is>
          <t>No</t>
        </is>
      </c>
      <c r="X996" s="2" t="inlineStr">
        <is>
          <t>No</t>
        </is>
      </c>
      <c r="Y996" s="2" t="inlineStr">
        <is>
          <t>No</t>
        </is>
      </c>
      <c r="Z996" s="2" t="inlineStr">
        <is>
          <t>No</t>
        </is>
      </c>
      <c r="AA996" s="6" t="n">
        <v>3.699727621</v>
      </c>
      <c r="AB996" s="6" t="n">
        <v>3.251881455</v>
      </c>
      <c r="AC996" s="6" t="n">
        <v>3.659795493</v>
      </c>
      <c r="AD996">
        <f t="array" ref="AD996">IF(SUMPRODUCT(--($AM$2:$AM$112=TRIM(LEFT($B996,IFERROR(FIND(" ",$B996)-1,LEN($B996))))))&gt;0,1,0)</f>
        <v/>
      </c>
      <c r="AE996">
        <f t="array" ref="AE996">IF(SUMPRODUCT(--($AO$2:$AO$145=TRIM(LEFT($B996,IFERROR(FIND(" ",$B996)-1,LEN($B996))))))&gt;0,1,0)</f>
        <v/>
      </c>
      <c r="AF996">
        <f t="array" ref="AF996">IF(SUMPRODUCT(--($AQ$2:$AQ$71=TRIM(LEFT($B996,IFERROR(FIND(" ",$B996)-1,LEN($B996))))))&gt;0,1,0)</f>
        <v/>
      </c>
    </row>
    <row r="997" ht="45.75" customHeight="1" thickBot="1">
      <c r="A997" s="13" t="n">
        <v>52</v>
      </c>
      <c r="B997" s="4" t="inlineStr">
        <is>
          <t>RRX CN</t>
        </is>
      </c>
      <c r="C997" s="4" t="inlineStr">
        <is>
          <t>BTE CN</t>
        </is>
      </c>
      <c r="D997" s="7" t="n">
        <v>43269</v>
      </c>
      <c r="E997" s="3" t="n">
        <v>1492.49</v>
      </c>
      <c r="F997" s="4" t="inlineStr">
        <is>
          <t>Stock</t>
        </is>
      </c>
      <c r="G997" s="3" t="n">
        <v>6.88</v>
      </c>
      <c r="H997" s="4" t="inlineStr">
        <is>
          <t>Energy</t>
        </is>
      </c>
      <c r="I997" s="4" t="inlineStr">
        <is>
          <t>Oil &amp; Gas</t>
        </is>
      </c>
      <c r="J997" s="4" t="inlineStr">
        <is>
          <t>Oil &amp; Gas Supply Chain</t>
        </is>
      </c>
      <c r="K997" s="4" t="n"/>
      <c r="L997" s="4" t="n"/>
      <c r="M997" s="3" t="n">
        <v>3.85</v>
      </c>
      <c r="N997" s="3" t="n">
        <v>1300.03</v>
      </c>
      <c r="O997" s="4" t="inlineStr">
        <is>
          <t>Canada</t>
        </is>
      </c>
      <c r="P997" s="4" t="inlineStr">
        <is>
          <t>Canada</t>
        </is>
      </c>
      <c r="Q997" s="4" t="inlineStr">
        <is>
          <t>Friendly</t>
        </is>
      </c>
      <c r="R997" s="3" t="n">
        <v>313.547</v>
      </c>
      <c r="S997" s="3" t="n">
        <v>27.1588</v>
      </c>
      <c r="T997" s="4" t="inlineStr">
        <is>
          <t>Company Takeover</t>
        </is>
      </c>
      <c r="U997" s="2" t="inlineStr">
        <is>
          <t>No</t>
        </is>
      </c>
      <c r="V997" s="2" t="inlineStr">
        <is>
          <t>No</t>
        </is>
      </c>
      <c r="W997" s="2" t="inlineStr">
        <is>
          <t>No</t>
        </is>
      </c>
      <c r="X997" s="2" t="inlineStr">
        <is>
          <t>No</t>
        </is>
      </c>
      <c r="Y997" s="2" t="inlineStr">
        <is>
          <t>No</t>
        </is>
      </c>
      <c r="Z997" s="2" t="inlineStr">
        <is>
          <t>No</t>
        </is>
      </c>
      <c r="AA997" s="6" t="n">
        <v>3.17391143</v>
      </c>
      <c r="AB997" s="6" t="n">
        <v>2.49630265</v>
      </c>
      <c r="AC997" s="6" t="n">
        <v>3.113953374</v>
      </c>
      <c r="AD997">
        <f t="array" ref="AD997">IF(SUMPRODUCT(--($AM$2:$AM$112=TRIM(LEFT($B997,IFERROR(FIND(" ",$B997)-1,LEN($B997))))))&gt;0,1,0)</f>
        <v/>
      </c>
      <c r="AE997">
        <f t="array" ref="AE997">IF(SUMPRODUCT(--($AO$2:$AO$145=TRIM(LEFT($B997,IFERROR(FIND(" ",$B997)-1,LEN($B997))))))&gt;0,1,0)</f>
        <v/>
      </c>
      <c r="AF997">
        <f t="array" ref="AF997">IF(SUMPRODUCT(--($AQ$2:$AQ$71=TRIM(LEFT($B997,IFERROR(FIND(" ",$B997)-1,LEN($B997))))))&gt;0,1,0)</f>
        <v/>
      </c>
    </row>
    <row r="998" ht="75.75" customHeight="1" thickBot="1">
      <c r="A998" s="13" t="n">
        <v>50</v>
      </c>
      <c r="B998" s="4" t="inlineStr">
        <is>
          <t>COTV US</t>
        </is>
      </c>
      <c r="C998" s="4" t="inlineStr">
        <is>
          <t>1926554D US</t>
        </is>
      </c>
      <c r="D998" s="7" t="n">
        <v>43270</v>
      </c>
      <c r="E998" s="3" t="n">
        <v>4733.47</v>
      </c>
      <c r="F998" s="4" t="inlineStr">
        <is>
          <t>Cash</t>
        </is>
      </c>
      <c r="G998" s="3" t="n">
        <v>15.09</v>
      </c>
      <c r="H998" s="4" t="inlineStr">
        <is>
          <t>Technology</t>
        </is>
      </c>
      <c r="I998" s="4" t="inlineStr">
        <is>
          <t>Software &amp; Tech Services</t>
        </is>
      </c>
      <c r="J998" s="4" t="inlineStr">
        <is>
          <t>Software</t>
        </is>
      </c>
      <c r="K998" s="3" t="n">
        <v>217.5</v>
      </c>
      <c r="L998" s="3" t="n">
        <v>100</v>
      </c>
      <c r="M998" s="4" t="n"/>
      <c r="N998" s="3" t="n">
        <v>4159.13</v>
      </c>
      <c r="O998" s="4" t="inlineStr">
        <is>
          <t>United States</t>
        </is>
      </c>
      <c r="P998" s="4" t="inlineStr">
        <is>
          <t>United States</t>
        </is>
      </c>
      <c r="Q998" s="4" t="inlineStr">
        <is>
          <t>Friendly</t>
        </is>
      </c>
      <c r="R998" s="3" t="n">
        <v>678.6609999999999</v>
      </c>
      <c r="S998" s="3" t="n">
        <v>26.7978</v>
      </c>
      <c r="T998" s="4" t="inlineStr">
        <is>
          <t>Company Takeover, Going Private</t>
        </is>
      </c>
      <c r="U998" s="2" t="inlineStr">
        <is>
          <t>No</t>
        </is>
      </c>
      <c r="V998" s="2" t="inlineStr">
        <is>
          <t>No</t>
        </is>
      </c>
      <c r="W998" s="2" t="inlineStr">
        <is>
          <t>No</t>
        </is>
      </c>
      <c r="X998" s="2" t="inlineStr">
        <is>
          <t>Yes</t>
        </is>
      </c>
      <c r="Y998" s="2" t="inlineStr">
        <is>
          <t>No</t>
        </is>
      </c>
      <c r="Z998" s="2" t="inlineStr">
        <is>
          <t>No</t>
        </is>
      </c>
      <c r="AA998" s="6" t="n">
        <v>3.675179629</v>
      </c>
      <c r="AB998" s="6" t="n">
        <v>2.831652893</v>
      </c>
      <c r="AC998" s="6" t="n">
        <v>3.619002495</v>
      </c>
      <c r="AD998">
        <f t="array" ref="AD998">IF(SUMPRODUCT(--($AM$2:$AM$112=TRIM(LEFT($B998,IFERROR(FIND(" ",$B998)-1,LEN($B998))))))&gt;0,1,0)</f>
        <v/>
      </c>
      <c r="AE998">
        <f t="array" ref="AE998">IF(SUMPRODUCT(--($AO$2:$AO$145=TRIM(LEFT($B998,IFERROR(FIND(" ",$B998)-1,LEN($B998))))))&gt;0,1,0)</f>
        <v/>
      </c>
      <c r="AF998">
        <f t="array" ref="AF998">IF(SUMPRODUCT(--($AQ$2:$AQ$71=TRIM(LEFT($B998,IFERROR(FIND(" ",$B998)-1,LEN($B998))))))&gt;0,1,0)</f>
        <v/>
      </c>
    </row>
    <row r="999" ht="45.75" customHeight="1" thickBot="1">
      <c r="A999" s="13" t="n">
        <v>83</v>
      </c>
      <c r="B999" s="4" t="inlineStr">
        <is>
          <t>1817382D US</t>
        </is>
      </c>
      <c r="C999" s="4" t="inlineStr">
        <is>
          <t>PLD US</t>
        </is>
      </c>
      <c r="D999" s="7" t="n">
        <v>43219</v>
      </c>
      <c r="E999" s="3" t="n">
        <v>7996.65</v>
      </c>
      <c r="F999" s="4" t="inlineStr">
        <is>
          <t>Stock</t>
        </is>
      </c>
      <c r="G999" s="3" t="n">
        <v>27.1</v>
      </c>
      <c r="H999" s="4" t="inlineStr">
        <is>
          <t>Real Estate</t>
        </is>
      </c>
      <c r="I999" s="4" t="inlineStr">
        <is>
          <t>Real Estate</t>
        </is>
      </c>
      <c r="J999" s="4" t="inlineStr">
        <is>
          <t>REIT</t>
        </is>
      </c>
      <c r="K999" s="4" t="n"/>
      <c r="L999" s="3" t="n">
        <v>216</v>
      </c>
      <c r="M999" s="3" t="n">
        <v>14.47</v>
      </c>
      <c r="N999" s="3" t="n">
        <v>6284.82</v>
      </c>
      <c r="O999" s="4" t="inlineStr">
        <is>
          <t>United States</t>
        </is>
      </c>
      <c r="P999" s="4" t="inlineStr">
        <is>
          <t>United States</t>
        </is>
      </c>
      <c r="Q999" s="4" t="inlineStr">
        <is>
          <t>Friendly</t>
        </is>
      </c>
      <c r="R999" s="3" t="n">
        <v>424.468</v>
      </c>
      <c r="S999" s="3" t="n">
        <v>28.9279</v>
      </c>
      <c r="T999" s="4" t="inlineStr">
        <is>
          <t>Company Takeover</t>
        </is>
      </c>
      <c r="U999" s="2" t="inlineStr">
        <is>
          <t>No</t>
        </is>
      </c>
      <c r="V999" s="2" t="inlineStr">
        <is>
          <t>No</t>
        </is>
      </c>
      <c r="W999" s="2" t="inlineStr">
        <is>
          <t>No</t>
        </is>
      </c>
      <c r="X999" s="2" t="inlineStr">
        <is>
          <t>No</t>
        </is>
      </c>
      <c r="Y999" s="2" t="inlineStr">
        <is>
          <t>No</t>
        </is>
      </c>
      <c r="Z999" s="2" t="inlineStr">
        <is>
          <t>No</t>
        </is>
      </c>
      <c r="AA999" s="6" t="n">
        <v>3.902908088</v>
      </c>
      <c r="AB999" s="6" t="n">
        <v>2.627844955</v>
      </c>
      <c r="AC999" s="6" t="n">
        <v>3.798292844</v>
      </c>
      <c r="AD999">
        <f t="array" ref="AD999">IF(SUMPRODUCT(--($AM$2:$AM$112=TRIM(LEFT($B999,IFERROR(FIND(" ",$B999)-1,LEN($B999))))))&gt;0,1,0)</f>
        <v/>
      </c>
      <c r="AE999">
        <f t="array" ref="AE999">IF(SUMPRODUCT(--($AO$2:$AO$145=TRIM(LEFT($B999,IFERROR(FIND(" ",$B999)-1,LEN($B999))))))&gt;0,1,0)</f>
        <v/>
      </c>
      <c r="AF999">
        <f t="array" ref="AF999">IF(SUMPRODUCT(--($AQ$2:$AQ$71=TRIM(LEFT($B999,IFERROR(FIND(" ",$B999)-1,LEN($B999))))))&gt;0,1,0)</f>
        <v/>
      </c>
    </row>
    <row r="1000" ht="45.75" customHeight="1" thickBot="1">
      <c r="A1000" s="13" t="n">
        <v>135</v>
      </c>
      <c r="B1000" s="4" t="inlineStr">
        <is>
          <t>SHLM US</t>
        </is>
      </c>
      <c r="C1000" s="4" t="inlineStr">
        <is>
          <t>LYB US</t>
        </is>
      </c>
      <c r="D1000" s="7" t="n">
        <v>43146</v>
      </c>
      <c r="E1000" s="3" t="n">
        <v>2083.26</v>
      </c>
      <c r="F1000" s="4" t="inlineStr">
        <is>
          <t>Cash</t>
        </is>
      </c>
      <c r="G1000" s="3" t="n">
        <v>11.75</v>
      </c>
      <c r="H1000" s="4" t="inlineStr">
        <is>
          <t>Materials</t>
        </is>
      </c>
      <c r="I1000" s="4" t="inlineStr">
        <is>
          <t>Materials</t>
        </is>
      </c>
      <c r="J1000" s="4" t="inlineStr">
        <is>
          <t>Chemicals</t>
        </is>
      </c>
      <c r="K1000" s="4" t="n"/>
      <c r="L1000" s="3" t="n">
        <v>50</v>
      </c>
      <c r="M1000" s="3" t="n">
        <v>10.5</v>
      </c>
      <c r="N1000" s="3" t="n">
        <v>1239.06</v>
      </c>
      <c r="O1000" s="4" t="inlineStr">
        <is>
          <t>United States</t>
        </is>
      </c>
      <c r="P1000" s="4" t="inlineStr">
        <is>
          <t>United States</t>
        </is>
      </c>
      <c r="Q1000" s="4" t="inlineStr">
        <is>
          <t>Friendly</t>
        </is>
      </c>
      <c r="R1000" s="3" t="n">
        <v>2461.12</v>
      </c>
      <c r="S1000" s="3" t="n">
        <v>2.9652</v>
      </c>
      <c r="T1000" s="4" t="inlineStr">
        <is>
          <t>Company Takeover</t>
        </is>
      </c>
      <c r="U1000" s="2" t="inlineStr">
        <is>
          <t>No</t>
        </is>
      </c>
      <c r="V1000" s="2" t="inlineStr">
        <is>
          <t>No</t>
        </is>
      </c>
      <c r="W1000" s="2" t="inlineStr">
        <is>
          <t>No</t>
        </is>
      </c>
      <c r="X1000" s="2" t="inlineStr">
        <is>
          <t>No</t>
        </is>
      </c>
      <c r="Y1000" s="2" t="inlineStr">
        <is>
          <t>No</t>
        </is>
      </c>
      <c r="Z1000" s="2" t="inlineStr">
        <is>
          <t>No</t>
        </is>
      </c>
      <c r="AA1000" s="6" t="n">
        <v>3.318743475</v>
      </c>
      <c r="AB1000" s="6" t="n">
        <v>3.39113279</v>
      </c>
      <c r="AC1000" s="6" t="n">
        <v>3.093092337</v>
      </c>
      <c r="AD1000">
        <f t="array" ref="AD1000">IF(SUMPRODUCT(--($AM$2:$AM$112=TRIM(LEFT($B1000,IFERROR(FIND(" ",$B1000)-1,LEN($B1000))))))&gt;0,1,0)</f>
        <v/>
      </c>
      <c r="AE1000">
        <f t="array" ref="AE1000">IF(SUMPRODUCT(--($AO$2:$AO$145=TRIM(LEFT($B1000,IFERROR(FIND(" ",$B1000)-1,LEN($B1000))))))&gt;0,1,0)</f>
        <v/>
      </c>
      <c r="AF1000">
        <f t="array" ref="AF1000">IF(SUMPRODUCT(--($AQ$2:$AQ$71=TRIM(LEFT($B1000,IFERROR(FIND(" ",$B1000)-1,LEN($B1000))))))&gt;0,1,0)</f>
        <v/>
      </c>
    </row>
    <row r="1001" ht="165.75" customHeight="1" thickBot="1">
      <c r="A1001" s="13" t="n">
        <v>96</v>
      </c>
      <c r="B1001" s="4" t="inlineStr">
        <is>
          <t>1885525D US</t>
        </is>
      </c>
      <c r="C1001" s="2" t="n"/>
      <c r="D1001" s="7" t="n">
        <v>43199</v>
      </c>
      <c r="E1001" s="3" t="n">
        <v>2543.45</v>
      </c>
      <c r="F1001" s="4" t="inlineStr">
        <is>
          <t>Cash</t>
        </is>
      </c>
      <c r="G1001" s="4" t="n"/>
      <c r="H1001" s="4" t="inlineStr">
        <is>
          <t>Technology</t>
        </is>
      </c>
      <c r="I1001" s="4" t="inlineStr">
        <is>
          <t>Tech Hardware &amp; Semiconductors</t>
        </is>
      </c>
      <c r="J1001" s="4" t="inlineStr">
        <is>
          <t>Technology Hardware</t>
        </is>
      </c>
      <c r="K1001" s="4" t="n"/>
      <c r="L1001" s="3" t="n">
        <v>186.6</v>
      </c>
      <c r="M1001" s="4" t="n"/>
      <c r="N1001" s="3" t="n">
        <v>1854.23</v>
      </c>
      <c r="O1001" s="4" t="inlineStr">
        <is>
          <t>United States</t>
        </is>
      </c>
      <c r="P1001" s="4" t="inlineStr">
        <is>
          <t>Canada</t>
        </is>
      </c>
      <c r="Q1001" s="4" t="inlineStr">
        <is>
          <t>Friendly</t>
        </is>
      </c>
      <c r="R1001" s="3" t="n">
        <v>1870.98</v>
      </c>
      <c r="S1001" s="3" t="n">
        <v>-0.166945</v>
      </c>
      <c r="T1001" s="4" t="inlineStr">
        <is>
          <t>PE Buyout, Company Takeover, Going Private, Cross Border, Private Equity</t>
        </is>
      </c>
      <c r="U1001" s="2" t="inlineStr">
        <is>
          <t>No</t>
        </is>
      </c>
      <c r="V1001" s="2" t="inlineStr">
        <is>
          <t>No</t>
        </is>
      </c>
      <c r="W1001" s="2" t="inlineStr">
        <is>
          <t>Yes</t>
        </is>
      </c>
      <c r="X1001" s="2" t="inlineStr">
        <is>
          <t>Yes</t>
        </is>
      </c>
      <c r="Y1001" s="2" t="inlineStr">
        <is>
          <t>Yes</t>
        </is>
      </c>
      <c r="Z1001" s="2" t="inlineStr">
        <is>
          <t>No</t>
        </is>
      </c>
      <c r="AA1001" s="6" t="n">
        <v>3.405423205</v>
      </c>
      <c r="AB1001" s="6" t="n">
        <v>3.272069145</v>
      </c>
      <c r="AC1001" s="6" t="n">
        <v>3.268163603</v>
      </c>
      <c r="AD1001">
        <f t="array" ref="AD1001">IF(SUMPRODUCT(--($AM$2:$AM$112=TRIM(LEFT($B1001,IFERROR(FIND(" ",$B1001)-1,LEN($B1001))))))&gt;0,1,0)</f>
        <v/>
      </c>
      <c r="AE1001">
        <f t="array" ref="AE1001">IF(SUMPRODUCT(--($AO$2:$AO$145=TRIM(LEFT($B1001,IFERROR(FIND(" ",$B1001)-1,LEN($B1001))))))&gt;0,1,0)</f>
        <v/>
      </c>
      <c r="AF1001">
        <f t="array" ref="AF1001">IF(SUMPRODUCT(--($AQ$2:$AQ$71=TRIM(LEFT($B1001,IFERROR(FIND(" ",$B1001)-1,LEN($B1001))))))&gt;0,1,0)</f>
        <v/>
      </c>
    </row>
    <row r="1002" ht="120.75" customHeight="1" thickBot="1">
      <c r="A1002" s="13" t="n">
        <v>63</v>
      </c>
      <c r="B1002" s="4" t="inlineStr">
        <is>
          <t>WPZ US</t>
        </is>
      </c>
      <c r="C1002" s="4" t="inlineStr">
        <is>
          <t>WMB US</t>
        </is>
      </c>
      <c r="D1002" s="7" t="n">
        <v>43237</v>
      </c>
      <c r="E1002" s="3" t="n">
        <v>9991.700000000001</v>
      </c>
      <c r="F1002" s="4" t="inlineStr">
        <is>
          <t>Stock</t>
        </is>
      </c>
      <c r="G1002" s="3" t="n">
        <v>13.55</v>
      </c>
      <c r="H1002" s="4" t="inlineStr">
        <is>
          <t>Energy</t>
        </is>
      </c>
      <c r="I1002" s="4" t="inlineStr">
        <is>
          <t>Oil &amp; Gas</t>
        </is>
      </c>
      <c r="J1002" s="4" t="inlineStr">
        <is>
          <t>Oil &amp; Gas Supply Chain</t>
        </is>
      </c>
      <c r="K1002" s="4" t="n"/>
      <c r="L1002" s="3" t="n">
        <v>410</v>
      </c>
      <c r="M1002" s="3" t="n">
        <v>6.99</v>
      </c>
      <c r="N1002" s="3" t="n">
        <v>9991.700000000001</v>
      </c>
      <c r="O1002" s="4" t="inlineStr">
        <is>
          <t>United States</t>
        </is>
      </c>
      <c r="P1002" s="4" t="inlineStr">
        <is>
          <t>United States</t>
        </is>
      </c>
      <c r="Q1002" s="4" t="inlineStr">
        <is>
          <t>Friendly</t>
        </is>
      </c>
      <c r="R1002" s="3" t="n">
        <v>10627</v>
      </c>
      <c r="S1002" s="3" t="n">
        <v>13.8094</v>
      </c>
      <c r="T1002" s="4" t="inlineStr">
        <is>
          <t>Company Takeover, Additional Stake Purchase</t>
        </is>
      </c>
      <c r="U1002" s="2" t="inlineStr">
        <is>
          <t>Yes</t>
        </is>
      </c>
      <c r="V1002" s="2" t="inlineStr">
        <is>
          <t>No</t>
        </is>
      </c>
      <c r="W1002" s="2" t="inlineStr">
        <is>
          <t>No</t>
        </is>
      </c>
      <c r="X1002" s="2" t="inlineStr">
        <is>
          <t>No</t>
        </is>
      </c>
      <c r="Y1002" s="2" t="inlineStr">
        <is>
          <t>No</t>
        </is>
      </c>
      <c r="Z1002" s="2" t="inlineStr">
        <is>
          <t>No</t>
        </is>
      </c>
      <c r="AA1002" s="6" t="n">
        <v>3.999639386</v>
      </c>
      <c r="AB1002" s="6" t="n">
        <v>4.026410681</v>
      </c>
      <c r="AC1002" s="6" t="n">
        <v>3.999639386</v>
      </c>
      <c r="AD1002">
        <f t="array" ref="AD1002">IF(SUMPRODUCT(--($AM$2:$AM$112=TRIM(LEFT($B1002,IFERROR(FIND(" ",$B1002)-1,LEN($B1002))))))&gt;0,1,0)</f>
        <v/>
      </c>
      <c r="AE1002">
        <f t="array" ref="AE1002">IF(SUMPRODUCT(--($AO$2:$AO$145=TRIM(LEFT($B1002,IFERROR(FIND(" ",$B1002)-1,LEN($B1002))))))&gt;0,1,0)</f>
        <v/>
      </c>
      <c r="AF1002">
        <f t="array" ref="AF1002">IF(SUMPRODUCT(--($AQ$2:$AQ$71=TRIM(LEFT($B1002,IFERROR(FIND(" ",$B1002)-1,LEN($B1002))))))&gt;0,1,0)</f>
        <v/>
      </c>
    </row>
    <row r="1003" ht="135.75" customHeight="1" thickBot="1">
      <c r="A1003" s="13" t="n">
        <v>41</v>
      </c>
      <c r="B1003" s="4" t="inlineStr">
        <is>
          <t>1774631D CN</t>
        </is>
      </c>
      <c r="C1003" s="4" t="inlineStr">
        <is>
          <t>S32 AU</t>
        </is>
      </c>
      <c r="D1003" s="7" t="n">
        <v>43269</v>
      </c>
      <c r="E1003" s="3" t="n">
        <v>1211.78</v>
      </c>
      <c r="F1003" s="4" t="inlineStr">
        <is>
          <t>Cash</t>
        </is>
      </c>
      <c r="G1003" s="4" t="n"/>
      <c r="H1003" s="4" t="inlineStr">
        <is>
          <t>Materials</t>
        </is>
      </c>
      <c r="I1003" s="4" t="inlineStr">
        <is>
          <t>Materials</t>
        </is>
      </c>
      <c r="J1003" s="4" t="inlineStr">
        <is>
          <t>Metals &amp; Mining</t>
        </is>
      </c>
      <c r="K1003" s="4" t="n"/>
      <c r="L1003" s="3" t="n">
        <v>67</v>
      </c>
      <c r="M1003" s="3" t="n">
        <v>49.63</v>
      </c>
      <c r="N1003" s="3" t="n">
        <v>1252.95</v>
      </c>
      <c r="O1003" s="4" t="inlineStr">
        <is>
          <t>Canada</t>
        </is>
      </c>
      <c r="P1003" s="4" t="inlineStr">
        <is>
          <t>Australia</t>
        </is>
      </c>
      <c r="Q1003" s="4" t="inlineStr">
        <is>
          <t>Friendly</t>
        </is>
      </c>
      <c r="R1003" s="2" t="n"/>
      <c r="S1003" s="2" t="n"/>
      <c r="T1003" s="4" t="inlineStr">
        <is>
          <t>Company Takeover, Cross Border, Additional Stake Purchase</t>
        </is>
      </c>
      <c r="U1003" s="2" t="inlineStr">
        <is>
          <t>Yes</t>
        </is>
      </c>
      <c r="V1003" s="2" t="inlineStr">
        <is>
          <t>No</t>
        </is>
      </c>
      <c r="W1003" s="2" t="inlineStr">
        <is>
          <t>Yes</t>
        </is>
      </c>
      <c r="X1003" s="2" t="inlineStr">
        <is>
          <t>No</t>
        </is>
      </c>
      <c r="Y1003" s="2" t="inlineStr">
        <is>
          <t>No</t>
        </is>
      </c>
      <c r="Z1003" s="2" t="inlineStr">
        <is>
          <t>No</t>
        </is>
      </c>
      <c r="AA1003" s="6" t="n">
        <v>3.08342378</v>
      </c>
      <c r="AB1003" s="2" t="n"/>
      <c r="AC1003" s="6" t="n">
        <v>3.09793374</v>
      </c>
      <c r="AD1003">
        <f t="array" ref="AD1003">IF(SUMPRODUCT(--($AM$2:$AM$112=TRIM(LEFT($B1003,IFERROR(FIND(" ",$B1003)-1,LEN($B1003))))))&gt;0,1,0)</f>
        <v/>
      </c>
      <c r="AE1003">
        <f t="array" ref="AE1003">IF(SUMPRODUCT(--($AO$2:$AO$145=TRIM(LEFT($B1003,IFERROR(FIND(" ",$B1003)-1,LEN($B1003))))))&gt;0,1,0)</f>
        <v/>
      </c>
      <c r="AF1003">
        <f t="array" ref="AF1003">IF(SUMPRODUCT(--($AQ$2:$AQ$71=TRIM(LEFT($B1003,IFERROR(FIND(" ",$B1003)-1,LEN($B1003))))))&gt;0,1,0)</f>
        <v/>
      </c>
    </row>
    <row r="1004" ht="45.75" customHeight="1" thickBot="1">
      <c r="A1004" s="13" t="n">
        <v>121</v>
      </c>
      <c r="B1004" s="4" t="inlineStr">
        <is>
          <t>CYHT US</t>
        </is>
      </c>
      <c r="C1004" s="4" t="inlineStr">
        <is>
          <t>CVBF US</t>
        </is>
      </c>
      <c r="D1004" s="7" t="n">
        <v>43157</v>
      </c>
      <c r="E1004" s="3" t="n">
        <v>858.64</v>
      </c>
      <c r="F1004" s="4" t="inlineStr">
        <is>
          <t>Cash and Stock</t>
        </is>
      </c>
      <c r="G1004" s="4" t="n"/>
      <c r="H1004" s="4" t="inlineStr">
        <is>
          <t>Financials</t>
        </is>
      </c>
      <c r="I1004" s="4" t="inlineStr">
        <is>
          <t>Banking</t>
        </is>
      </c>
      <c r="J1004" s="4" t="inlineStr">
        <is>
          <t>Banking</t>
        </is>
      </c>
      <c r="K1004" s="4" t="n"/>
      <c r="L1004" s="3" t="n">
        <v>35.132</v>
      </c>
      <c r="M1004" s="3" t="n">
        <v>56.96</v>
      </c>
      <c r="N1004" s="3" t="n">
        <v>858.64</v>
      </c>
      <c r="O1004" s="4" t="inlineStr">
        <is>
          <t>United States</t>
        </is>
      </c>
      <c r="P1004" s="4" t="inlineStr">
        <is>
          <t>United States</t>
        </is>
      </c>
      <c r="Q1004" s="4" t="inlineStr">
        <is>
          <t>Friendly</t>
        </is>
      </c>
      <c r="R1004" s="3" t="n">
        <v>145.456</v>
      </c>
      <c r="S1004" s="2" t="n"/>
      <c r="T1004" s="4" t="inlineStr">
        <is>
          <t>Company Takeover</t>
        </is>
      </c>
      <c r="U1004" s="2" t="inlineStr">
        <is>
          <t>No</t>
        </is>
      </c>
      <c r="V1004" s="2" t="inlineStr">
        <is>
          <t>No</t>
        </is>
      </c>
      <c r="W1004" s="2" t="inlineStr">
        <is>
          <t>No</t>
        </is>
      </c>
      <c r="X1004" s="2" t="inlineStr">
        <is>
          <t>No</t>
        </is>
      </c>
      <c r="Y1004" s="2" t="inlineStr">
        <is>
          <t>No</t>
        </is>
      </c>
      <c r="Z1004" s="2" t="inlineStr">
        <is>
          <t>No</t>
        </is>
      </c>
      <c r="AA1004" s="6" t="n">
        <v>2.933811116</v>
      </c>
      <c r="AB1004" s="6" t="n">
        <v>2.16273164</v>
      </c>
      <c r="AC1004" s="6" t="n">
        <v>2.933811116</v>
      </c>
      <c r="AD1004">
        <f t="array" ref="AD1004">IF(SUMPRODUCT(--($AM$2:$AM$112=TRIM(LEFT($B1004,IFERROR(FIND(" ",$B1004)-1,LEN($B1004))))))&gt;0,1,0)</f>
        <v/>
      </c>
      <c r="AE1004">
        <f t="array" ref="AE1004">IF(SUMPRODUCT(--($AO$2:$AO$145=TRIM(LEFT($B1004,IFERROR(FIND(" ",$B1004)-1,LEN($B1004))))))&gt;0,1,0)</f>
        <v/>
      </c>
      <c r="AF1004">
        <f t="array" ref="AF1004">IF(SUMPRODUCT(--($AQ$2:$AQ$71=TRIM(LEFT($B1004,IFERROR(FIND(" ",$B1004)-1,LEN($B1004))))))&gt;0,1,0)</f>
        <v/>
      </c>
    </row>
    <row r="1005" ht="45.75" customHeight="1" thickBot="1">
      <c r="A1005" s="13" t="n">
        <v>70</v>
      </c>
      <c r="B1005" s="4" t="inlineStr">
        <is>
          <t>CYS US</t>
        </is>
      </c>
      <c r="C1005" s="4" t="inlineStr">
        <is>
          <t>TWO US</t>
        </is>
      </c>
      <c r="D1005" s="7" t="n">
        <v>43216</v>
      </c>
      <c r="E1005" s="3" t="n">
        <v>11226.42</v>
      </c>
      <c r="F1005" s="4" t="inlineStr">
        <is>
          <t>Cash and Stock</t>
        </is>
      </c>
      <c r="G1005" s="4" t="n"/>
      <c r="H1005" s="4" t="inlineStr">
        <is>
          <t>Financials</t>
        </is>
      </c>
      <c r="I1005" s="4" t="inlineStr">
        <is>
          <t>Financial Services</t>
        </is>
      </c>
      <c r="J1005" s="4" t="inlineStr">
        <is>
          <t>Specialty Finance</t>
        </is>
      </c>
      <c r="K1005" s="3" t="n">
        <v>43.2</v>
      </c>
      <c r="L1005" s="3" t="n">
        <v>51.8</v>
      </c>
      <c r="M1005" s="3" t="n">
        <v>10.56</v>
      </c>
      <c r="N1005" s="3" t="n">
        <v>1147.98</v>
      </c>
      <c r="O1005" s="4" t="inlineStr">
        <is>
          <t>United States</t>
        </is>
      </c>
      <c r="P1005" s="4" t="inlineStr">
        <is>
          <t>United States</t>
        </is>
      </c>
      <c r="Q1005" s="4" t="inlineStr">
        <is>
          <t>Friendly</t>
        </is>
      </c>
      <c r="R1005" s="3" t="n">
        <v>348.422</v>
      </c>
      <c r="S1005" s="3" t="n">
        <v>29.7587</v>
      </c>
      <c r="T1005" s="4" t="inlineStr">
        <is>
          <t>Company Takeover</t>
        </is>
      </c>
      <c r="U1005" s="2" t="inlineStr">
        <is>
          <t>No</t>
        </is>
      </c>
      <c r="V1005" s="2" t="inlineStr">
        <is>
          <t>No</t>
        </is>
      </c>
      <c r="W1005" s="2" t="inlineStr">
        <is>
          <t>No</t>
        </is>
      </c>
      <c r="X1005" s="2" t="inlineStr">
        <is>
          <t>No</t>
        </is>
      </c>
      <c r="Y1005" s="2" t="inlineStr">
        <is>
          <t>No</t>
        </is>
      </c>
      <c r="Z1005" s="2" t="inlineStr">
        <is>
          <t>No</t>
        </is>
      </c>
      <c r="AA1005" s="6" t="n">
        <v>4.050241286</v>
      </c>
      <c r="AB1005" s="6" t="n">
        <v>2.542105569</v>
      </c>
      <c r="AC1005" s="6" t="n">
        <v>3.059934322</v>
      </c>
      <c r="AD1005">
        <f t="array" ref="AD1005">IF(SUMPRODUCT(--($AM$2:$AM$112=TRIM(LEFT($B1005,IFERROR(FIND(" ",$B1005)-1,LEN($B1005))))))&gt;0,1,0)</f>
        <v/>
      </c>
      <c r="AE1005">
        <f t="array" ref="AE1005">IF(SUMPRODUCT(--($AO$2:$AO$145=TRIM(LEFT($B1005,IFERROR(FIND(" ",$B1005)-1,LEN($B1005))))))&gt;0,1,0)</f>
        <v/>
      </c>
      <c r="AF1005">
        <f t="array" ref="AF1005">IF(SUMPRODUCT(--($AQ$2:$AQ$71=TRIM(LEFT($B1005,IFERROR(FIND(" ",$B1005)-1,LEN($B1005))))))&gt;0,1,0)</f>
        <v/>
      </c>
    </row>
    <row r="1006" ht="150.75" customHeight="1" thickBot="1">
      <c r="A1006" s="13" t="n">
        <v>32</v>
      </c>
      <c r="B1006" s="4" t="inlineStr">
        <is>
          <t>FMI US</t>
        </is>
      </c>
      <c r="C1006" s="4" t="inlineStr">
        <is>
          <t>ROP SW</t>
        </is>
      </c>
      <c r="D1006" s="7" t="n">
        <v>43270</v>
      </c>
      <c r="E1006" s="3" t="n">
        <v>2194.58</v>
      </c>
      <c r="F1006" s="4" t="inlineStr">
        <is>
          <t>Cash</t>
        </is>
      </c>
      <c r="G1006" s="4" t="n"/>
      <c r="H1006" s="4" t="inlineStr">
        <is>
          <t>Health Care</t>
        </is>
      </c>
      <c r="I1006" s="4" t="inlineStr">
        <is>
          <t>Health Care</t>
        </is>
      </c>
      <c r="J1006" s="4" t="inlineStr">
        <is>
          <t>Medical Equipment &amp; Devices</t>
        </is>
      </c>
      <c r="K1006" s="4" t="n"/>
      <c r="L1006" s="3" t="n">
        <v>34.5</v>
      </c>
      <c r="M1006" s="3" t="n">
        <v>39.62</v>
      </c>
      <c r="N1006" s="3" t="n">
        <v>2254.88</v>
      </c>
      <c r="O1006" s="4" t="inlineStr">
        <is>
          <t>United States</t>
        </is>
      </c>
      <c r="P1006" s="4" t="inlineStr">
        <is>
          <t>Switzerland</t>
        </is>
      </c>
      <c r="Q1006" s="4" t="inlineStr">
        <is>
          <t>Friendly</t>
        </is>
      </c>
      <c r="R1006" s="3" t="n">
        <v>152.903</v>
      </c>
      <c r="S1006" s="3" t="n">
        <v>-68.73650000000001</v>
      </c>
      <c r="T1006" s="4" t="inlineStr">
        <is>
          <t>Company Takeover, Cross Border, Additional Stake Purchase, Tender Offer</t>
        </is>
      </c>
      <c r="U1006" s="2" t="inlineStr">
        <is>
          <t>Yes</t>
        </is>
      </c>
      <c r="V1006" s="2" t="inlineStr">
        <is>
          <t>No</t>
        </is>
      </c>
      <c r="W1006" s="2" t="inlineStr">
        <is>
          <t>Yes</t>
        </is>
      </c>
      <c r="X1006" s="2" t="inlineStr">
        <is>
          <t>No</t>
        </is>
      </c>
      <c r="Y1006" s="2" t="inlineStr">
        <is>
          <t>No</t>
        </is>
      </c>
      <c r="Z1006" s="2" t="inlineStr">
        <is>
          <t>Yes</t>
        </is>
      </c>
      <c r="AA1006" s="6" t="n">
        <v>3.341351417</v>
      </c>
      <c r="AB1006" s="6" t="n">
        <v>2.184416006</v>
      </c>
      <c r="AC1006" s="6" t="n">
        <v>3.353123435</v>
      </c>
      <c r="AD1006">
        <f t="array" ref="AD1006">IF(SUMPRODUCT(--($AM$2:$AM$112=TRIM(LEFT($B1006,IFERROR(FIND(" ",$B1006)-1,LEN($B1006))))))&gt;0,1,0)</f>
        <v/>
      </c>
      <c r="AE1006">
        <f t="array" ref="AE1006">IF(SUMPRODUCT(--($AO$2:$AO$145=TRIM(LEFT($B1006,IFERROR(FIND(" ",$B1006)-1,LEN($B1006))))))&gt;0,1,0)</f>
        <v/>
      </c>
      <c r="AF1006">
        <f t="array" ref="AF1006">IF(SUMPRODUCT(--($AQ$2:$AQ$71=TRIM(LEFT($B1006,IFERROR(FIND(" ",$B1006)-1,LEN($B1006))))))&gt;0,1,0)</f>
        <v/>
      </c>
    </row>
    <row r="1007" ht="60.75" customHeight="1" thickBot="1">
      <c r="A1007" s="13" t="n">
        <v>56</v>
      </c>
      <c r="B1007" s="4" t="inlineStr">
        <is>
          <t>ABAX US</t>
        </is>
      </c>
      <c r="C1007" s="4" t="inlineStr">
        <is>
          <t>ZTS US</t>
        </is>
      </c>
      <c r="D1007" s="7" t="n">
        <v>43236</v>
      </c>
      <c r="E1007" s="3" t="n">
        <v>1717.33</v>
      </c>
      <c r="F1007" s="4" t="inlineStr">
        <is>
          <t>Cash</t>
        </is>
      </c>
      <c r="G1007" s="3" t="n">
        <v>35.96</v>
      </c>
      <c r="H1007" s="4" t="inlineStr">
        <is>
          <t>Health Care</t>
        </is>
      </c>
      <c r="I1007" s="4" t="inlineStr">
        <is>
          <t>Health Care</t>
        </is>
      </c>
      <c r="J1007" s="4" t="inlineStr">
        <is>
          <t>Medical Equipment &amp; Devices</t>
        </is>
      </c>
      <c r="K1007" s="3" t="n">
        <v>120</v>
      </c>
      <c r="L1007" s="3" t="n">
        <v>70</v>
      </c>
      <c r="M1007" s="3" t="n">
        <v>18.4</v>
      </c>
      <c r="N1007" s="3" t="n">
        <v>1883.93</v>
      </c>
      <c r="O1007" s="4" t="inlineStr">
        <is>
          <t>United States</t>
        </is>
      </c>
      <c r="P1007" s="4" t="inlineStr">
        <is>
          <t>United States</t>
        </is>
      </c>
      <c r="Q1007" s="4" t="inlineStr">
        <is>
          <t>Friendly</t>
        </is>
      </c>
      <c r="R1007" s="3" t="n">
        <v>244.7</v>
      </c>
      <c r="S1007" s="3" t="n">
        <v>15.7969</v>
      </c>
      <c r="T1007" s="4" t="inlineStr">
        <is>
          <t>Company Takeover</t>
        </is>
      </c>
      <c r="U1007" s="2" t="inlineStr">
        <is>
          <t>No</t>
        </is>
      </c>
      <c r="V1007" s="2" t="inlineStr">
        <is>
          <t>No</t>
        </is>
      </c>
      <c r="W1007" s="2" t="inlineStr">
        <is>
          <t>No</t>
        </is>
      </c>
      <c r="X1007" s="2" t="inlineStr">
        <is>
          <t>No</t>
        </is>
      </c>
      <c r="Y1007" s="2" t="inlineStr">
        <is>
          <t>No</t>
        </is>
      </c>
      <c r="Z1007" s="2" t="inlineStr">
        <is>
          <t>No</t>
        </is>
      </c>
      <c r="AA1007" s="6" t="n">
        <v>3.234853757</v>
      </c>
      <c r="AB1007" s="6" t="n">
        <v>2.388633969</v>
      </c>
      <c r="AC1007" s="6" t="n">
        <v>3.275064762</v>
      </c>
      <c r="AD1007">
        <f t="array" ref="AD1007">IF(SUMPRODUCT(--($AM$2:$AM$112=TRIM(LEFT($B1007,IFERROR(FIND(" ",$B1007)-1,LEN($B1007))))))&gt;0,1,0)</f>
        <v/>
      </c>
      <c r="AE1007">
        <f t="array" ref="AE1007">IF(SUMPRODUCT(--($AO$2:$AO$145=TRIM(LEFT($B1007,IFERROR(FIND(" ",$B1007)-1,LEN($B1007))))))&gt;0,1,0)</f>
        <v/>
      </c>
      <c r="AF1007">
        <f t="array" ref="AF1007">IF(SUMPRODUCT(--($AQ$2:$AQ$71=TRIM(LEFT($B1007,IFERROR(FIND(" ",$B1007)-1,LEN($B1007))))))&gt;0,1,0)</f>
        <v/>
      </c>
    </row>
    <row r="1008" ht="75.75" customHeight="1" thickBot="1">
      <c r="A1008" s="13" t="n">
        <v>198</v>
      </c>
      <c r="B1008" s="4" t="inlineStr">
        <is>
          <t>CPLA US</t>
        </is>
      </c>
      <c r="C1008" s="4" t="inlineStr">
        <is>
          <t>STRA US</t>
        </is>
      </c>
      <c r="D1008" s="7" t="n">
        <v>43038</v>
      </c>
      <c r="E1008" s="3" t="n">
        <v>732.98</v>
      </c>
      <c r="F1008" s="4" t="inlineStr">
        <is>
          <t>Stock</t>
        </is>
      </c>
      <c r="G1008" s="3" t="n">
        <v>8.57</v>
      </c>
      <c r="H1008" s="4" t="inlineStr">
        <is>
          <t>Consumer Discretionary</t>
        </is>
      </c>
      <c r="I1008" s="4" t="inlineStr">
        <is>
          <t>Consumer Discretionary Services</t>
        </is>
      </c>
      <c r="J1008" s="4" t="inlineStr">
        <is>
          <t>Consumer Services</t>
        </is>
      </c>
      <c r="K1008" s="3" t="n">
        <v>25</v>
      </c>
      <c r="L1008" s="3" t="n">
        <v>25</v>
      </c>
      <c r="M1008" s="3" t="n">
        <v>13.7</v>
      </c>
      <c r="N1008" s="3" t="n">
        <v>912.52</v>
      </c>
      <c r="O1008" s="4" t="inlineStr">
        <is>
          <t>United States</t>
        </is>
      </c>
      <c r="P1008" s="4" t="inlineStr">
        <is>
          <t>United States</t>
        </is>
      </c>
      <c r="Q1008" s="4" t="inlineStr">
        <is>
          <t>Friendly</t>
        </is>
      </c>
      <c r="R1008" s="3" t="n">
        <v>440.411</v>
      </c>
      <c r="S1008" s="3" t="n">
        <v>10.1966</v>
      </c>
      <c r="T1008" s="4" t="inlineStr">
        <is>
          <t>Company Takeover</t>
        </is>
      </c>
      <c r="U1008" s="2" t="inlineStr">
        <is>
          <t>No</t>
        </is>
      </c>
      <c r="V1008" s="2" t="inlineStr">
        <is>
          <t>No</t>
        </is>
      </c>
      <c r="W1008" s="2" t="inlineStr">
        <is>
          <t>No</t>
        </is>
      </c>
      <c r="X1008" s="2" t="inlineStr">
        <is>
          <t>No</t>
        </is>
      </c>
      <c r="Y1008" s="2" t="inlineStr">
        <is>
          <t>No</t>
        </is>
      </c>
      <c r="Z1008" s="2" t="inlineStr">
        <is>
          <t>No</t>
        </is>
      </c>
      <c r="AA1008" s="6" t="n">
        <v>2.865092125</v>
      </c>
      <c r="AB1008" s="6" t="n">
        <v>2.643858158</v>
      </c>
      <c r="AC1008" s="6" t="n">
        <v>2.960242392</v>
      </c>
      <c r="AD1008">
        <f t="array" ref="AD1008">IF(SUMPRODUCT(--($AM$2:$AM$112=TRIM(LEFT($B1008,IFERROR(FIND(" ",$B1008)-1,LEN($B1008))))))&gt;0,1,0)</f>
        <v/>
      </c>
      <c r="AE1008">
        <f t="array" ref="AE1008">IF(SUMPRODUCT(--($AO$2:$AO$145=TRIM(LEFT($B1008,IFERROR(FIND(" ",$B1008)-1,LEN($B1008))))))&gt;0,1,0)</f>
        <v/>
      </c>
      <c r="AF1008">
        <f t="array" ref="AF1008">IF(SUMPRODUCT(--($AQ$2:$AQ$71=TRIM(LEFT($B1008,IFERROR(FIND(" ",$B1008)-1,LEN($B1008))))))&gt;0,1,0)</f>
        <v/>
      </c>
    </row>
    <row r="1009" ht="45.75" customHeight="1" thickBot="1">
      <c r="A1009" s="13" t="n">
        <v>121</v>
      </c>
      <c r="B1009" s="4" t="inlineStr">
        <is>
          <t>NSM US</t>
        </is>
      </c>
      <c r="C1009" s="4" t="inlineStr">
        <is>
          <t>COOP US</t>
        </is>
      </c>
      <c r="D1009" s="7" t="n">
        <v>43144</v>
      </c>
      <c r="E1009" s="3" t="n">
        <v>1759.08</v>
      </c>
      <c r="F1009" s="4" t="inlineStr">
        <is>
          <t>Cash or Stock</t>
        </is>
      </c>
      <c r="G1009" s="3" t="n">
        <v>2.12</v>
      </c>
      <c r="H1009" s="4" t="inlineStr">
        <is>
          <t>Financials</t>
        </is>
      </c>
      <c r="I1009" s="4" t="inlineStr">
        <is>
          <t>Financial Services</t>
        </is>
      </c>
      <c r="J1009" s="4" t="inlineStr">
        <is>
          <t>Specialty Finance</t>
        </is>
      </c>
      <c r="K1009" s="3" t="n">
        <v>125</v>
      </c>
      <c r="L1009" s="3" t="n">
        <v>65</v>
      </c>
      <c r="M1009" s="3" t="n">
        <v>0.07000000000000001</v>
      </c>
      <c r="N1009" s="3" t="n">
        <v>1759.08</v>
      </c>
      <c r="O1009" s="4" t="inlineStr">
        <is>
          <t>United States</t>
        </is>
      </c>
      <c r="P1009" s="4" t="inlineStr">
        <is>
          <t>United States</t>
        </is>
      </c>
      <c r="Q1009" s="4" t="inlineStr">
        <is>
          <t>Friendly</t>
        </is>
      </c>
      <c r="R1009" s="3" t="n">
        <v>2063</v>
      </c>
      <c r="S1009" s="3" t="n">
        <v>14.1993</v>
      </c>
      <c r="T1009" s="4" t="inlineStr">
        <is>
          <t>Company Takeover</t>
        </is>
      </c>
      <c r="U1009" s="2" t="inlineStr">
        <is>
          <t>No</t>
        </is>
      </c>
      <c r="V1009" s="2" t="inlineStr">
        <is>
          <t>No</t>
        </is>
      </c>
      <c r="W1009" s="2" t="inlineStr">
        <is>
          <t>No</t>
        </is>
      </c>
      <c r="X1009" s="2" t="inlineStr">
        <is>
          <t>No</t>
        </is>
      </c>
      <c r="Y1009" s="2" t="inlineStr">
        <is>
          <t>No</t>
        </is>
      </c>
      <c r="Z1009" s="2" t="inlineStr">
        <is>
          <t>No</t>
        </is>
      </c>
      <c r="AA1009" s="6" t="n">
        <v>3.245285591</v>
      </c>
      <c r="AB1009" s="6" t="n">
        <v>3.314499228</v>
      </c>
      <c r="AC1009" s="6" t="n">
        <v>3.245285591</v>
      </c>
      <c r="AD1009">
        <f t="array" ref="AD1009">IF(SUMPRODUCT(--($AM$2:$AM$112=TRIM(LEFT($B1009,IFERROR(FIND(" ",$B1009)-1,LEN($B1009))))))&gt;0,1,0)</f>
        <v/>
      </c>
      <c r="AE1009">
        <f t="array" ref="AE1009">IF(SUMPRODUCT(--($AO$2:$AO$145=TRIM(LEFT($B1009,IFERROR(FIND(" ",$B1009)-1,LEN($B1009))))))&gt;0,1,0)</f>
        <v/>
      </c>
      <c r="AF1009">
        <f t="array" ref="AF1009">IF(SUMPRODUCT(--($AQ$2:$AQ$71=TRIM(LEFT($B1009,IFERROR(FIND(" ",$B1009)-1,LEN($B1009))))))&gt;0,1,0)</f>
        <v/>
      </c>
    </row>
    <row r="1010" ht="45.75" customHeight="1" thickBot="1">
      <c r="A1010" s="13" t="n">
        <v>68</v>
      </c>
      <c r="B1010" s="4" t="inlineStr">
        <is>
          <t>QCP US</t>
        </is>
      </c>
      <c r="C1010" s="4" t="inlineStr">
        <is>
          <t>WELL US</t>
        </is>
      </c>
      <c r="D1010" s="7" t="n">
        <v>43215</v>
      </c>
      <c r="E1010" s="3" t="n">
        <v>3405.99</v>
      </c>
      <c r="F1010" s="4" t="inlineStr">
        <is>
          <t>Cash</t>
        </is>
      </c>
      <c r="G1010" s="4" t="n"/>
      <c r="H1010" s="4" t="inlineStr">
        <is>
          <t>Real Estate</t>
        </is>
      </c>
      <c r="I1010" s="4" t="inlineStr">
        <is>
          <t>Real Estate</t>
        </is>
      </c>
      <c r="J1010" s="4" t="inlineStr">
        <is>
          <t>REIT</t>
        </is>
      </c>
      <c r="K1010" s="3" t="n">
        <v>250</v>
      </c>
      <c r="L1010" s="3" t="n">
        <v>59.5</v>
      </c>
      <c r="M1010" s="3" t="n">
        <v>4.03</v>
      </c>
      <c r="N1010" s="3" t="n">
        <v>1969.4</v>
      </c>
      <c r="O1010" s="4" t="inlineStr">
        <is>
          <t>United States</t>
        </is>
      </c>
      <c r="P1010" s="4" t="inlineStr">
        <is>
          <t>United States</t>
        </is>
      </c>
      <c r="Q1010" s="4" t="inlineStr">
        <is>
          <t>Friendly</t>
        </is>
      </c>
      <c r="R1010" s="3" t="n">
        <v>318.498</v>
      </c>
      <c r="S1010" s="3" t="n">
        <v>-129.25</v>
      </c>
      <c r="T1010" s="4" t="inlineStr">
        <is>
          <t>Company Takeover</t>
        </is>
      </c>
      <c r="U1010" s="2" t="inlineStr">
        <is>
          <t>No</t>
        </is>
      </c>
      <c r="V1010" s="2" t="inlineStr">
        <is>
          <t>No</t>
        </is>
      </c>
      <c r="W1010" s="2" t="inlineStr">
        <is>
          <t>No</t>
        </is>
      </c>
      <c r="X1010" s="2" t="inlineStr">
        <is>
          <t>No</t>
        </is>
      </c>
      <c r="Y1010" s="2" t="inlineStr">
        <is>
          <t>No</t>
        </is>
      </c>
      <c r="Z1010" s="2" t="inlineStr">
        <is>
          <t>No</t>
        </is>
      </c>
      <c r="AA1010" s="6" t="n">
        <v>3.532243369</v>
      </c>
      <c r="AB1010" s="6" t="n">
        <v>2.50310671</v>
      </c>
      <c r="AC1010" s="6" t="n">
        <v>3.294333934</v>
      </c>
      <c r="AD1010">
        <f t="array" ref="AD1010">IF(SUMPRODUCT(--($AM$2:$AM$112=TRIM(LEFT($B1010,IFERROR(FIND(" ",$B1010)-1,LEN($B1010))))))&gt;0,1,0)</f>
        <v/>
      </c>
      <c r="AE1010">
        <f t="array" ref="AE1010">IF(SUMPRODUCT(--($AO$2:$AO$145=TRIM(LEFT($B1010,IFERROR(FIND(" ",$B1010)-1,LEN($B1010))))))&gt;0,1,0)</f>
        <v/>
      </c>
      <c r="AF1010">
        <f t="array" ref="AF1010">IF(SUMPRODUCT(--($AQ$2:$AQ$71=TRIM(LEFT($B1010,IFERROR(FIND(" ",$B1010)-1,LEN($B1010))))))&gt;0,1,0)</f>
        <v/>
      </c>
    </row>
    <row r="1011" ht="45.75" customHeight="1" thickBot="1">
      <c r="A1011" s="13" t="n">
        <v>55</v>
      </c>
      <c r="B1011" s="4" t="inlineStr">
        <is>
          <t>1796579D CN</t>
        </is>
      </c>
      <c r="C1011" s="4" t="inlineStr">
        <is>
          <t>ACB CN</t>
        </is>
      </c>
      <c r="D1011" s="7" t="n">
        <v>43234</v>
      </c>
      <c r="E1011" s="3" t="n">
        <v>2196.91</v>
      </c>
      <c r="F1011" s="4" t="inlineStr">
        <is>
          <t>Stock</t>
        </is>
      </c>
      <c r="G1011" s="3" t="n">
        <v>1079.42</v>
      </c>
      <c r="H1011" s="4" t="inlineStr">
        <is>
          <t>Health Care</t>
        </is>
      </c>
      <c r="I1011" s="4" t="inlineStr">
        <is>
          <t>Health Care</t>
        </is>
      </c>
      <c r="J1011" s="4" t="inlineStr">
        <is>
          <t>Biotech &amp; Pharma</t>
        </is>
      </c>
      <c r="K1011" s="4" t="n"/>
      <c r="L1011" s="4" t="n"/>
      <c r="M1011" s="3" t="n">
        <v>33.3</v>
      </c>
      <c r="N1011" s="3" t="n">
        <v>2285.86</v>
      </c>
      <c r="O1011" s="4" t="inlineStr">
        <is>
          <t>Canada</t>
        </is>
      </c>
      <c r="P1011" s="4" t="inlineStr">
        <is>
          <t>Canada</t>
        </is>
      </c>
      <c r="Q1011" s="4" t="inlineStr">
        <is>
          <t>Friendly</t>
        </is>
      </c>
      <c r="R1011" s="3" t="n">
        <v>34.0337</v>
      </c>
      <c r="S1011" s="3" t="n">
        <v>-6.85744</v>
      </c>
      <c r="T1011" s="4" t="inlineStr">
        <is>
          <t>Company Takeover</t>
        </is>
      </c>
      <c r="U1011" s="2" t="inlineStr">
        <is>
          <t>No</t>
        </is>
      </c>
      <c r="V1011" s="2" t="inlineStr">
        <is>
          <t>No</t>
        </is>
      </c>
      <c r="W1011" s="2" t="inlineStr">
        <is>
          <t>No</t>
        </is>
      </c>
      <c r="X1011" s="2" t="inlineStr">
        <is>
          <t>No</t>
        </is>
      </c>
      <c r="Y1011" s="2" t="inlineStr">
        <is>
          <t>No</t>
        </is>
      </c>
      <c r="Z1011" s="2" t="inlineStr">
        <is>
          <t>No</t>
        </is>
      </c>
      <c r="AA1011" s="6" t="n">
        <v>3.341812266</v>
      </c>
      <c r="AB1011" s="6" t="n">
        <v>1.531909166</v>
      </c>
      <c r="AC1011" s="6" t="n">
        <v>3.359049628</v>
      </c>
      <c r="AD1011">
        <f t="array" ref="AD1011">IF(SUMPRODUCT(--($AM$2:$AM$112=TRIM(LEFT($B1011,IFERROR(FIND(" ",$B1011)-1,LEN($B1011))))))&gt;0,1,0)</f>
        <v/>
      </c>
      <c r="AE1011">
        <f t="array" ref="AE1011">IF(SUMPRODUCT(--($AO$2:$AO$145=TRIM(LEFT($B1011,IFERROR(FIND(" ",$B1011)-1,LEN($B1011))))))&gt;0,1,0)</f>
        <v/>
      </c>
      <c r="AF1011">
        <f t="array" ref="AF1011">IF(SUMPRODUCT(--($AQ$2:$AQ$71=TRIM(LEFT($B1011,IFERROR(FIND(" ",$B1011)-1,LEN($B1011))))))&gt;0,1,0)</f>
        <v/>
      </c>
    </row>
    <row r="1012" ht="45.75" customHeight="1" thickBot="1">
      <c r="A1012" s="13" t="n">
        <v>63</v>
      </c>
      <c r="B1012" s="4" t="inlineStr">
        <is>
          <t>RMP US</t>
        </is>
      </c>
      <c r="C1012" s="4" t="inlineStr">
        <is>
          <t>EQM US</t>
        </is>
      </c>
      <c r="D1012" s="7" t="n">
        <v>43216</v>
      </c>
      <c r="E1012" s="3" t="n">
        <v>2298.99</v>
      </c>
      <c r="F1012" s="4" t="inlineStr">
        <is>
          <t>Stock</t>
        </is>
      </c>
      <c r="G1012" s="3" t="n">
        <v>9.369999999999999</v>
      </c>
      <c r="H1012" s="4" t="inlineStr">
        <is>
          <t>Energy</t>
        </is>
      </c>
      <c r="I1012" s="4" t="inlineStr">
        <is>
          <t>Oil &amp; Gas</t>
        </is>
      </c>
      <c r="J1012" s="4" t="inlineStr">
        <is>
          <t>Oil &amp; Gas Supply Chain</t>
        </is>
      </c>
      <c r="K1012" s="4" t="n"/>
      <c r="L1012" s="3" t="n">
        <v>63.4</v>
      </c>
      <c r="M1012" s="3" t="n">
        <v>9.960000000000001</v>
      </c>
      <c r="N1012" s="3" t="n">
        <v>2023.53</v>
      </c>
      <c r="O1012" s="4" t="inlineStr">
        <is>
          <t>United States</t>
        </is>
      </c>
      <c r="P1012" s="4" t="inlineStr">
        <is>
          <t>United States</t>
        </is>
      </c>
      <c r="Q1012" s="4" t="inlineStr">
        <is>
          <t>Friendly</t>
        </is>
      </c>
      <c r="R1012" s="3" t="n">
        <v>294.693</v>
      </c>
      <c r="S1012" s="3" t="n">
        <v>64.56619999999999</v>
      </c>
      <c r="T1012" s="4" t="inlineStr">
        <is>
          <t>Company Takeover</t>
        </is>
      </c>
      <c r="U1012" s="2" t="inlineStr">
        <is>
          <t>No</t>
        </is>
      </c>
      <c r="V1012" s="2" t="inlineStr">
        <is>
          <t>No</t>
        </is>
      </c>
      <c r="W1012" s="2" t="inlineStr">
        <is>
          <t>No</t>
        </is>
      </c>
      <c r="X1012" s="2" t="inlineStr">
        <is>
          <t>No</t>
        </is>
      </c>
      <c r="Y1012" s="2" t="inlineStr">
        <is>
          <t>No</t>
        </is>
      </c>
      <c r="Z1012" s="2" t="inlineStr">
        <is>
          <t>No</t>
        </is>
      </c>
      <c r="AA1012" s="6" t="n">
        <v>3.361537082</v>
      </c>
      <c r="AB1012" s="6" t="n">
        <v>2.46936982</v>
      </c>
      <c r="AC1012" s="6" t="n">
        <v>3.306109647</v>
      </c>
      <c r="AD1012">
        <f t="array" ref="AD1012">IF(SUMPRODUCT(--($AM$2:$AM$112=TRIM(LEFT($B1012,IFERROR(FIND(" ",$B1012)-1,LEN($B1012))))))&gt;0,1,0)</f>
        <v/>
      </c>
      <c r="AE1012">
        <f t="array" ref="AE1012">IF(SUMPRODUCT(--($AO$2:$AO$145=TRIM(LEFT($B1012,IFERROR(FIND(" ",$B1012)-1,LEN($B1012))))))&gt;0,1,0)</f>
        <v/>
      </c>
      <c r="AF1012">
        <f t="array" ref="AF1012">IF(SUMPRODUCT(--($AQ$2:$AQ$71=TRIM(LEFT($B1012,IFERROR(FIND(" ",$B1012)-1,LEN($B1012))))))&gt;0,1,0)</f>
        <v/>
      </c>
    </row>
    <row r="1013" ht="45.75" customHeight="1" thickBot="1">
      <c r="A1013" s="13" t="n">
        <v>118</v>
      </c>
      <c r="B1013" s="4" t="inlineStr">
        <is>
          <t>1842126D US</t>
        </is>
      </c>
      <c r="C1013" s="4" t="inlineStr">
        <is>
          <t>NS US</t>
        </is>
      </c>
      <c r="D1013" s="7" t="n">
        <v>43139</v>
      </c>
      <c r="E1013" s="3" t="n">
        <v>840.21</v>
      </c>
      <c r="F1013" s="4" t="inlineStr">
        <is>
          <t>Stock</t>
        </is>
      </c>
      <c r="G1013" s="4" t="n"/>
      <c r="H1013" s="4" t="inlineStr">
        <is>
          <t>Energy</t>
        </is>
      </c>
      <c r="I1013" s="4" t="inlineStr">
        <is>
          <t>Oil &amp; Gas</t>
        </is>
      </c>
      <c r="J1013" s="4" t="inlineStr">
        <is>
          <t>Oil &amp; Gas Supply Chain</t>
        </is>
      </c>
      <c r="K1013" s="4" t="n"/>
      <c r="L1013" s="3" t="n">
        <v>13.7</v>
      </c>
      <c r="M1013" s="3" t="n">
        <v>4.93</v>
      </c>
      <c r="N1013" s="3" t="n">
        <v>797.9299999999999</v>
      </c>
      <c r="O1013" s="4" t="inlineStr">
        <is>
          <t>United States</t>
        </is>
      </c>
      <c r="P1013" s="4" t="inlineStr">
        <is>
          <t>United States</t>
        </is>
      </c>
      <c r="Q1013" s="4" t="inlineStr">
        <is>
          <t>Friendly</t>
        </is>
      </c>
      <c r="R1013" s="3" t="n">
        <v>25201</v>
      </c>
      <c r="S1013" s="2" t="n"/>
      <c r="T1013" s="4" t="inlineStr">
        <is>
          <t>Company Takeover</t>
        </is>
      </c>
      <c r="U1013" s="2" t="inlineStr">
        <is>
          <t>No</t>
        </is>
      </c>
      <c r="V1013" s="2" t="inlineStr">
        <is>
          <t>No</t>
        </is>
      </c>
      <c r="W1013" s="2" t="inlineStr">
        <is>
          <t>No</t>
        </is>
      </c>
      <c r="X1013" s="2" t="inlineStr">
        <is>
          <t>No</t>
        </is>
      </c>
      <c r="Y1013" s="2" t="inlineStr">
        <is>
          <t>No</t>
        </is>
      </c>
      <c r="Z1013" s="2" t="inlineStr">
        <is>
          <t>No</t>
        </is>
      </c>
      <c r="AA1013" s="6" t="n">
        <v>2.924387846</v>
      </c>
      <c r="AB1013" s="6" t="n">
        <v>4.401417774</v>
      </c>
      <c r="AC1013" s="6" t="n">
        <v>2.901964794</v>
      </c>
      <c r="AD1013">
        <f t="array" ref="AD1013">IF(SUMPRODUCT(--($AM$2:$AM$112=TRIM(LEFT($B1013,IFERROR(FIND(" ",$B1013)-1,LEN($B1013))))))&gt;0,1,0)</f>
        <v/>
      </c>
      <c r="AE1013">
        <f t="array" ref="AE1013">IF(SUMPRODUCT(--($AO$2:$AO$145=TRIM(LEFT($B1013,IFERROR(FIND(" ",$B1013)-1,LEN($B1013))))))&gt;0,1,0)</f>
        <v/>
      </c>
      <c r="AF1013">
        <f t="array" ref="AF1013">IF(SUMPRODUCT(--($AQ$2:$AQ$71=TRIM(LEFT($B1013,IFERROR(FIND(" ",$B1013)-1,LEN($B1013))))))&gt;0,1,0)</f>
        <v/>
      </c>
    </row>
    <row r="1014" ht="45.75" customHeight="1" thickBot="1">
      <c r="A1014" s="13" t="n">
        <v>82</v>
      </c>
      <c r="B1014" s="4" t="inlineStr">
        <is>
          <t>RSPP US</t>
        </is>
      </c>
      <c r="C1014" s="4" t="inlineStr">
        <is>
          <t>CXO US</t>
        </is>
      </c>
      <c r="D1014" s="7" t="n">
        <v>43187</v>
      </c>
      <c r="E1014" s="3" t="n">
        <v>9204.450000000001</v>
      </c>
      <c r="F1014" s="4" t="inlineStr">
        <is>
          <t>Stock</t>
        </is>
      </c>
      <c r="G1014" s="3" t="n">
        <v>17.46</v>
      </c>
      <c r="H1014" s="4" t="inlineStr">
        <is>
          <t>Energy</t>
        </is>
      </c>
      <c r="I1014" s="4" t="inlineStr">
        <is>
          <t>Oil &amp; Gas</t>
        </is>
      </c>
      <c r="J1014" s="4" t="inlineStr">
        <is>
          <t>Oil &amp; Gas Supply Chain</t>
        </is>
      </c>
      <c r="K1014" s="3" t="n">
        <v>350</v>
      </c>
      <c r="L1014" s="3" t="n">
        <v>250</v>
      </c>
      <c r="M1014" s="3" t="n">
        <v>22.41</v>
      </c>
      <c r="N1014" s="3" t="n">
        <v>7733.42</v>
      </c>
      <c r="O1014" s="4" t="inlineStr">
        <is>
          <t>United States</t>
        </is>
      </c>
      <c r="P1014" s="4" t="inlineStr">
        <is>
          <t>United States</t>
        </is>
      </c>
      <c r="Q1014" s="4" t="inlineStr">
        <is>
          <t>Friendly</t>
        </is>
      </c>
      <c r="R1014" s="3" t="n">
        <v>818.369</v>
      </c>
      <c r="S1014" s="3" t="n">
        <v>35.2396</v>
      </c>
      <c r="T1014" s="4" t="inlineStr">
        <is>
          <t>Company Takeover</t>
        </is>
      </c>
      <c r="U1014" s="2" t="inlineStr">
        <is>
          <t>No</t>
        </is>
      </c>
      <c r="V1014" s="2" t="inlineStr">
        <is>
          <t>No</t>
        </is>
      </c>
      <c r="W1014" s="2" t="inlineStr">
        <is>
          <t>No</t>
        </is>
      </c>
      <c r="X1014" s="2" t="inlineStr">
        <is>
          <t>No</t>
        </is>
      </c>
      <c r="Y1014" s="2" t="inlineStr">
        <is>
          <t>No</t>
        </is>
      </c>
      <c r="Z1014" s="2" t="inlineStr">
        <is>
          <t>No</t>
        </is>
      </c>
      <c r="AA1014" s="6" t="n">
        <v>3.963997843</v>
      </c>
      <c r="AB1014" s="6" t="n">
        <v>2.91294917</v>
      </c>
      <c r="AC1014" s="6" t="n">
        <v>3.888371597</v>
      </c>
      <c r="AD1014">
        <f t="array" ref="AD1014">IF(SUMPRODUCT(--($AM$2:$AM$112=TRIM(LEFT($B1014,IFERROR(FIND(" ",$B1014)-1,LEN($B1014))))))&gt;0,1,0)</f>
        <v/>
      </c>
      <c r="AE1014">
        <f t="array" ref="AE1014">IF(SUMPRODUCT(--($AO$2:$AO$145=TRIM(LEFT($B1014,IFERROR(FIND(" ",$B1014)-1,LEN($B1014))))))&gt;0,1,0)</f>
        <v/>
      </c>
      <c r="AF1014">
        <f t="array" ref="AF1014">IF(SUMPRODUCT(--($AQ$2:$AQ$71=TRIM(LEFT($B1014,IFERROR(FIND(" ",$B1014)-1,LEN($B1014))))))&gt;0,1,0)</f>
        <v/>
      </c>
    </row>
    <row r="1015" ht="135.75" customHeight="1" thickBot="1">
      <c r="A1015" s="13" t="n">
        <v>59</v>
      </c>
      <c r="B1015" s="4" t="inlineStr">
        <is>
          <t>FNGN US</t>
        </is>
      </c>
      <c r="C1015" s="4" t="inlineStr">
        <is>
          <t>6902Z US</t>
        </is>
      </c>
      <c r="D1015" s="7" t="n">
        <v>43220</v>
      </c>
      <c r="E1015" s="3" t="n">
        <v>2855.34</v>
      </c>
      <c r="F1015" s="4" t="inlineStr">
        <is>
          <t>Cash</t>
        </is>
      </c>
      <c r="G1015" s="3" t="n">
        <v>24.34</v>
      </c>
      <c r="H1015" s="4" t="inlineStr">
        <is>
          <t>Financials</t>
        </is>
      </c>
      <c r="I1015" s="4" t="inlineStr">
        <is>
          <t>Financial Services</t>
        </is>
      </c>
      <c r="J1015" s="4" t="inlineStr">
        <is>
          <t>Asset Management</t>
        </is>
      </c>
      <c r="K1015" s="3" t="n">
        <v>181</v>
      </c>
      <c r="L1015" s="3" t="n">
        <v>89</v>
      </c>
      <c r="M1015" s="4" t="n"/>
      <c r="N1015" s="3" t="n">
        <v>2855.34</v>
      </c>
      <c r="O1015" s="4" t="inlineStr">
        <is>
          <t>United States</t>
        </is>
      </c>
      <c r="P1015" s="4" t="inlineStr">
        <is>
          <t>United States</t>
        </is>
      </c>
      <c r="Q1015" s="4" t="inlineStr">
        <is>
          <t>Friendly</t>
        </is>
      </c>
      <c r="R1015" s="3" t="n">
        <v>480.506</v>
      </c>
      <c r="S1015" s="3" t="n">
        <v>19.4854</v>
      </c>
      <c r="T1015" s="4" t="inlineStr">
        <is>
          <t>PE Buyout, Company Takeover, Private Equity, Going Private</t>
        </is>
      </c>
      <c r="U1015" s="2" t="inlineStr">
        <is>
          <t>No</t>
        </is>
      </c>
      <c r="V1015" s="2" t="inlineStr">
        <is>
          <t>No</t>
        </is>
      </c>
      <c r="W1015" s="2" t="inlineStr">
        <is>
          <t>No</t>
        </is>
      </c>
      <c r="X1015" s="2" t="inlineStr">
        <is>
          <t>Yes</t>
        </is>
      </c>
      <c r="Y1015" s="2" t="inlineStr">
        <is>
          <t>Yes</t>
        </is>
      </c>
      <c r="Z1015" s="2" t="inlineStr">
        <is>
          <t>No</t>
        </is>
      </c>
      <c r="AA1015" s="6" t="n">
        <v>3.455657829</v>
      </c>
      <c r="AB1015" s="6" t="n">
        <v>2.681698815</v>
      </c>
      <c r="AC1015" s="6" t="n">
        <v>3.455657829</v>
      </c>
      <c r="AD1015">
        <f t="array" ref="AD1015">IF(SUMPRODUCT(--($AM$2:$AM$112=TRIM(LEFT($B1015,IFERROR(FIND(" ",$B1015)-1,LEN($B1015))))))&gt;0,1,0)</f>
        <v/>
      </c>
      <c r="AE1015">
        <f t="array" ref="AE1015">IF(SUMPRODUCT(--($AO$2:$AO$145=TRIM(LEFT($B1015,IFERROR(FIND(" ",$B1015)-1,LEN($B1015))))))&gt;0,1,0)</f>
        <v/>
      </c>
      <c r="AF1015">
        <f t="array" ref="AF1015">IF(SUMPRODUCT(--($AQ$2:$AQ$71=TRIM(LEFT($B1015,IFERROR(FIND(" ",$B1015)-1,LEN($B1015))))))&gt;0,1,0)</f>
        <v/>
      </c>
    </row>
    <row r="1016" ht="45.75" customHeight="1" thickBot="1">
      <c r="A1016" s="13" t="n">
        <v>128</v>
      </c>
      <c r="B1016" s="4" t="inlineStr">
        <is>
          <t>2042261D US</t>
        </is>
      </c>
      <c r="C1016" s="4" t="inlineStr">
        <is>
          <t>AIG US</t>
        </is>
      </c>
      <c r="D1016" s="7" t="n">
        <v>43122</v>
      </c>
      <c r="E1016" s="3" t="n">
        <v>5403.4</v>
      </c>
      <c r="F1016" s="4" t="inlineStr">
        <is>
          <t>Cash</t>
        </is>
      </c>
      <c r="G1016" s="4" t="n"/>
      <c r="H1016" s="4" t="inlineStr">
        <is>
          <t>Financials</t>
        </is>
      </c>
      <c r="I1016" s="4" t="inlineStr">
        <is>
          <t>Insurance</t>
        </is>
      </c>
      <c r="J1016" s="4" t="inlineStr">
        <is>
          <t>Insurance</t>
        </is>
      </c>
      <c r="K1016" s="4" t="n"/>
      <c r="L1016" s="3" t="n">
        <v>162</v>
      </c>
      <c r="M1016" s="4" t="n"/>
      <c r="N1016" s="3" t="n">
        <v>5403.4</v>
      </c>
      <c r="O1016" s="4" t="inlineStr">
        <is>
          <t>United States</t>
        </is>
      </c>
      <c r="P1016" s="4" t="inlineStr">
        <is>
          <t>United States</t>
        </is>
      </c>
      <c r="Q1016" s="4" t="inlineStr">
        <is>
          <t>Friendly</t>
        </is>
      </c>
      <c r="R1016" s="3" t="n">
        <v>2903</v>
      </c>
      <c r="S1016" s="3" t="n">
        <v>-20.3623</v>
      </c>
      <c r="T1016" s="4" t="inlineStr">
        <is>
          <t>Company Takeover</t>
        </is>
      </c>
      <c r="U1016" s="2" t="inlineStr">
        <is>
          <t>No</t>
        </is>
      </c>
      <c r="V1016" s="2" t="inlineStr">
        <is>
          <t>No</t>
        </is>
      </c>
      <c r="W1016" s="2" t="inlineStr">
        <is>
          <t>No</t>
        </is>
      </c>
      <c r="X1016" s="2" t="inlineStr">
        <is>
          <t>No</t>
        </is>
      </c>
      <c r="Y1016" s="2" t="inlineStr">
        <is>
          <t>No</t>
        </is>
      </c>
      <c r="Z1016" s="2" t="inlineStr">
        <is>
          <t>No</t>
        </is>
      </c>
      <c r="AA1016" s="6" t="n">
        <v>3.732667118</v>
      </c>
      <c r="AB1016" s="6" t="n">
        <v>3.462847036</v>
      </c>
      <c r="AC1016" s="6" t="n">
        <v>3.732667118</v>
      </c>
      <c r="AD1016">
        <f t="array" ref="AD1016">IF(SUMPRODUCT(--($AM$2:$AM$112=TRIM(LEFT($B1016,IFERROR(FIND(" ",$B1016)-1,LEN($B1016))))))&gt;0,1,0)</f>
        <v/>
      </c>
      <c r="AE1016">
        <f t="array" ref="AE1016">IF(SUMPRODUCT(--($AO$2:$AO$145=TRIM(LEFT($B1016,IFERROR(FIND(" ",$B1016)-1,LEN($B1016))))))&gt;0,1,0)</f>
        <v/>
      </c>
      <c r="AF1016">
        <f t="array" ref="AF1016">IF(SUMPRODUCT(--($AQ$2:$AQ$71=TRIM(LEFT($B1016,IFERROR(FIND(" ",$B1016)-1,LEN($B1016))))))&gt;0,1,0)</f>
        <v/>
      </c>
    </row>
    <row r="1017" ht="150.75" customHeight="1" thickBot="1">
      <c r="A1017" s="13" t="n">
        <v>31</v>
      </c>
      <c r="B1017" s="2" t="n"/>
      <c r="C1017" s="4" t="inlineStr">
        <is>
          <t>1013340Z US</t>
        </is>
      </c>
      <c r="D1017" s="7" t="n">
        <v>43257</v>
      </c>
      <c r="E1017" s="3" t="n">
        <v>3125</v>
      </c>
      <c r="F1017" s="4" t="inlineStr">
        <is>
          <t>Cash</t>
        </is>
      </c>
      <c r="G1017" s="4" t="n"/>
      <c r="H1017" s="4" t="inlineStr">
        <is>
          <t>Energy, Energy, Energy</t>
        </is>
      </c>
      <c r="I1017" s="4" t="inlineStr">
        <is>
          <t>Oil &amp; Gas, Oil &amp; Gas, Oil &amp; Gas</t>
        </is>
      </c>
      <c r="J1017" s="4" t="inlineStr">
        <is>
          <t>Oil &amp; Gas Supply Chain, Oil &amp; Gas Supply Chain, Oil &amp; Gas Supply Chain</t>
        </is>
      </c>
      <c r="K1017" s="4" t="n"/>
      <c r="L1017" s="4" t="n"/>
      <c r="M1017" s="4" t="n"/>
      <c r="N1017" s="3" t="n">
        <v>3125</v>
      </c>
      <c r="O1017" s="4" t="inlineStr">
        <is>
          <t>United States</t>
        </is>
      </c>
      <c r="P1017" s="4" t="inlineStr">
        <is>
          <t>United States</t>
        </is>
      </c>
      <c r="Q1017" s="4" t="inlineStr">
        <is>
          <t>Friendly</t>
        </is>
      </c>
      <c r="R1017" s="2" t="n"/>
      <c r="S1017" s="2" t="n"/>
      <c r="T1017" s="4" t="inlineStr">
        <is>
          <t>PE Buyout, Company Takeover, Private Equity, Majority purchase</t>
        </is>
      </c>
      <c r="U1017" s="2" t="inlineStr">
        <is>
          <t>No</t>
        </is>
      </c>
      <c r="V1017" s="2" t="inlineStr">
        <is>
          <t>No</t>
        </is>
      </c>
      <c r="W1017" s="2" t="inlineStr">
        <is>
          <t>No</t>
        </is>
      </c>
      <c r="X1017" s="2" t="inlineStr">
        <is>
          <t>No</t>
        </is>
      </c>
      <c r="Y1017" s="2" t="inlineStr">
        <is>
          <t>Yes</t>
        </is>
      </c>
      <c r="Z1017" s="2" t="inlineStr">
        <is>
          <t>No</t>
        </is>
      </c>
      <c r="AA1017" s="6" t="n">
        <v>3.494850022</v>
      </c>
      <c r="AB1017" s="2" t="n"/>
      <c r="AC1017" s="6" t="n">
        <v>3.494850022</v>
      </c>
      <c r="AD1017">
        <f t="array" ref="AD1017">IF(SUMPRODUCT(--($AM$2:$AM$112=TRIM(LEFT($B1017,IFERROR(FIND(" ",$B1017)-1,LEN($B1017))))))&gt;0,1,0)</f>
        <v/>
      </c>
      <c r="AE1017">
        <f t="array" ref="AE1017">IF(SUMPRODUCT(--($AO$2:$AO$145=TRIM(LEFT($B1017,IFERROR(FIND(" ",$B1017)-1,LEN($B1017))))))&gt;0,1,0)</f>
        <v/>
      </c>
      <c r="AF1017">
        <f t="array" ref="AF1017">IF(SUMPRODUCT(--($AQ$2:$AQ$71=TRIM(LEFT($B1017,IFERROR(FIND(" ",$B1017)-1,LEN($B1017))))))&gt;0,1,0)</f>
        <v/>
      </c>
    </row>
    <row r="1018" ht="120.75" customHeight="1" thickBot="1">
      <c r="A1018" s="13" t="n">
        <v>14</v>
      </c>
      <c r="B1018" s="4" t="inlineStr">
        <is>
          <t>BWP US</t>
        </is>
      </c>
      <c r="C1018" s="4" t="inlineStr">
        <is>
          <t>L US</t>
        </is>
      </c>
      <c r="D1018" s="7" t="n">
        <v>43280</v>
      </c>
      <c r="E1018" s="3" t="n">
        <v>1504.16</v>
      </c>
      <c r="F1018" s="4" t="inlineStr">
        <is>
          <t>Cash</t>
        </is>
      </c>
      <c r="G1018" s="3" t="n">
        <v>3.93</v>
      </c>
      <c r="H1018" s="4" t="inlineStr">
        <is>
          <t>Energy</t>
        </is>
      </c>
      <c r="I1018" s="4" t="inlineStr">
        <is>
          <t>Oil &amp; Gas</t>
        </is>
      </c>
      <c r="J1018" s="4" t="inlineStr">
        <is>
          <t>Oil &amp; Gas Supply Chain</t>
        </is>
      </c>
      <c r="K1018" s="4" t="n"/>
      <c r="L1018" s="4" t="n"/>
      <c r="M1018" s="3" t="n">
        <v>14.43</v>
      </c>
      <c r="N1018" s="3" t="n">
        <v>1504.16</v>
      </c>
      <c r="O1018" s="4" t="inlineStr">
        <is>
          <t>United States</t>
        </is>
      </c>
      <c r="P1018" s="4" t="inlineStr">
        <is>
          <t>United States</t>
        </is>
      </c>
      <c r="Q1018" s="4" t="inlineStr">
        <is>
          <t>Friendly</t>
        </is>
      </c>
      <c r="R1018" s="3" t="n">
        <v>2305.8</v>
      </c>
      <c r="S1018" s="3" t="n">
        <v>32.1906</v>
      </c>
      <c r="T1018" s="4" t="inlineStr">
        <is>
          <t>Company Takeover, Additional Stake Purchase</t>
        </is>
      </c>
      <c r="U1018" s="2" t="inlineStr">
        <is>
          <t>Yes</t>
        </is>
      </c>
      <c r="V1018" s="2" t="inlineStr">
        <is>
          <t>No</t>
        </is>
      </c>
      <c r="W1018" s="2" t="inlineStr">
        <is>
          <t>No</t>
        </is>
      </c>
      <c r="X1018" s="2" t="inlineStr">
        <is>
          <t>No</t>
        </is>
      </c>
      <c r="Y1018" s="2" t="inlineStr">
        <is>
          <t>No</t>
        </is>
      </c>
      <c r="Z1018" s="2" t="inlineStr">
        <is>
          <t>No</t>
        </is>
      </c>
      <c r="AA1018" s="6" t="n">
        <v>3.177294035</v>
      </c>
      <c r="AB1018" s="6" t="n">
        <v>3.362821635</v>
      </c>
      <c r="AC1018" s="6" t="n">
        <v>3.177294035</v>
      </c>
      <c r="AD1018">
        <f t="array" ref="AD1018">IF(SUMPRODUCT(--($AM$2:$AM$112=TRIM(LEFT($B1018,IFERROR(FIND(" ",$B1018)-1,LEN($B1018))))))&gt;0,1,0)</f>
        <v/>
      </c>
      <c r="AE1018">
        <f t="array" ref="AE1018">IF(SUMPRODUCT(--($AO$2:$AO$145=TRIM(LEFT($B1018,IFERROR(FIND(" ",$B1018)-1,LEN($B1018))))))&gt;0,1,0)</f>
        <v/>
      </c>
      <c r="AF1018">
        <f t="array" ref="AF1018">IF(SUMPRODUCT(--($AQ$2:$AQ$71=TRIM(LEFT($B1018,IFERROR(FIND(" ",$B1018)-1,LEN($B1018))))))&gt;0,1,0)</f>
        <v/>
      </c>
    </row>
    <row r="1019" ht="45.75" customHeight="1" thickBot="1">
      <c r="A1019" s="13" t="n">
        <v>113</v>
      </c>
      <c r="B1019" s="4" t="inlineStr">
        <is>
          <t>GPNC US</t>
        </is>
      </c>
      <c r="C1019" s="4" t="inlineStr">
        <is>
          <t>PPBI US</t>
        </is>
      </c>
      <c r="D1019" s="7" t="n">
        <v>43143</v>
      </c>
      <c r="E1019" s="3" t="n">
        <v>641.2</v>
      </c>
      <c r="F1019" s="4" t="inlineStr">
        <is>
          <t>Stock</t>
        </is>
      </c>
      <c r="G1019" s="4" t="n"/>
      <c r="H1019" s="4" t="inlineStr">
        <is>
          <t>Financials</t>
        </is>
      </c>
      <c r="I1019" s="4" t="inlineStr">
        <is>
          <t>Financial Services</t>
        </is>
      </c>
      <c r="J1019" s="4" t="inlineStr">
        <is>
          <t>Asset Management</t>
        </is>
      </c>
      <c r="K1019" s="4" t="n"/>
      <c r="L1019" s="4" t="n"/>
      <c r="M1019" s="4" t="n"/>
      <c r="N1019" s="3" t="n">
        <v>641.2</v>
      </c>
      <c r="O1019" s="4" t="inlineStr">
        <is>
          <t>United States</t>
        </is>
      </c>
      <c r="P1019" s="4" t="inlineStr">
        <is>
          <t>United States</t>
        </is>
      </c>
      <c r="Q1019" s="4" t="inlineStr">
        <is>
          <t>Friendly</t>
        </is>
      </c>
      <c r="R1019" s="2" t="n"/>
      <c r="S1019" s="2" t="n"/>
      <c r="T1019" s="4" t="inlineStr">
        <is>
          <t>Company Takeover</t>
        </is>
      </c>
      <c r="U1019" s="2" t="inlineStr">
        <is>
          <t>No</t>
        </is>
      </c>
      <c r="V1019" s="2" t="inlineStr">
        <is>
          <t>No</t>
        </is>
      </c>
      <c r="W1019" s="2" t="inlineStr">
        <is>
          <t>No</t>
        </is>
      </c>
      <c r="X1019" s="2" t="inlineStr">
        <is>
          <t>No</t>
        </is>
      </c>
      <c r="Y1019" s="2" t="inlineStr">
        <is>
          <t>No</t>
        </is>
      </c>
      <c r="Z1019" s="2" t="inlineStr">
        <is>
          <t>No</t>
        </is>
      </c>
      <c r="AA1019" s="6" t="n">
        <v>2.806993514</v>
      </c>
      <c r="AB1019" s="2" t="n"/>
      <c r="AC1019" s="6" t="n">
        <v>2.806993514</v>
      </c>
      <c r="AD1019">
        <f t="array" ref="AD1019">IF(SUMPRODUCT(--($AM$2:$AM$112=TRIM(LEFT($B1019,IFERROR(FIND(" ",$B1019)-1,LEN($B1019))))))&gt;0,1,0)</f>
        <v/>
      </c>
      <c r="AE1019">
        <f t="array" ref="AE1019">IF(SUMPRODUCT(--($AO$2:$AO$145=TRIM(LEFT($B1019,IFERROR(FIND(" ",$B1019)-1,LEN($B1019))))))&gt;0,1,0)</f>
        <v/>
      </c>
      <c r="AF1019">
        <f t="array" ref="AF1019">IF(SUMPRODUCT(--($AQ$2:$AQ$71=TRIM(LEFT($B1019,IFERROR(FIND(" ",$B1019)-1,LEN($B1019))))))&gt;0,1,0)</f>
        <v/>
      </c>
    </row>
    <row r="1020" ht="60.75" customHeight="1" thickBot="1">
      <c r="A1020" s="13" t="n">
        <v>101</v>
      </c>
      <c r="B1020" s="4" t="inlineStr">
        <is>
          <t>9999966D US</t>
        </is>
      </c>
      <c r="C1020" s="4" t="inlineStr">
        <is>
          <t>SPB US</t>
        </is>
      </c>
      <c r="D1020" s="7" t="n">
        <v>43157</v>
      </c>
      <c r="E1020" s="3" t="n">
        <v>4811.24</v>
      </c>
      <c r="F1020" s="4" t="inlineStr">
        <is>
          <t>Stock</t>
        </is>
      </c>
      <c r="G1020" s="3" t="n">
        <v>8.42</v>
      </c>
      <c r="H1020" s="4" t="inlineStr">
        <is>
          <t>Consumer Discretionary</t>
        </is>
      </c>
      <c r="I1020" s="4" t="inlineStr">
        <is>
          <t>Retail &amp; Whsle - Discretionary</t>
        </is>
      </c>
      <c r="J1020" s="4" t="inlineStr">
        <is>
          <t>Retail - Discretionary</t>
        </is>
      </c>
      <c r="K1020" s="4" t="n"/>
      <c r="L1020" s="4" t="n"/>
      <c r="M1020" s="3" t="n">
        <v>-84.66</v>
      </c>
      <c r="N1020" s="3" t="n">
        <v>969.84</v>
      </c>
      <c r="O1020" s="4" t="inlineStr">
        <is>
          <t>United States</t>
        </is>
      </c>
      <c r="P1020" s="4" t="inlineStr">
        <is>
          <t>United States</t>
        </is>
      </c>
      <c r="Q1020" s="4" t="inlineStr">
        <is>
          <t>Friendly</t>
        </is>
      </c>
      <c r="R1020" s="3" t="n">
        <v>5007.4</v>
      </c>
      <c r="S1020" s="3" t="n">
        <v>8.50379</v>
      </c>
      <c r="T1020" s="4" t="inlineStr">
        <is>
          <t>Company Takeover</t>
        </is>
      </c>
      <c r="U1020" s="2" t="inlineStr">
        <is>
          <t>No</t>
        </is>
      </c>
      <c r="V1020" s="2" t="inlineStr">
        <is>
          <t>No</t>
        </is>
      </c>
      <c r="W1020" s="2" t="inlineStr">
        <is>
          <t>No</t>
        </is>
      </c>
      <c r="X1020" s="2" t="inlineStr">
        <is>
          <t>No</t>
        </is>
      </c>
      <c r="Y1020" s="2" t="inlineStr">
        <is>
          <t>No</t>
        </is>
      </c>
      <c r="Z1020" s="2" t="inlineStr">
        <is>
          <t>No</t>
        </is>
      </c>
      <c r="AA1020" s="6" t="n">
        <v>3.682257021</v>
      </c>
      <c r="AB1020" s="6" t="n">
        <v>3.699612285</v>
      </c>
      <c r="AC1020" s="6" t="n">
        <v>2.986700092</v>
      </c>
      <c r="AD1020">
        <f t="array" ref="AD1020">IF(SUMPRODUCT(--($AM$2:$AM$112=TRIM(LEFT($B1020,IFERROR(FIND(" ",$B1020)-1,LEN($B1020))))))&gt;0,1,0)</f>
        <v/>
      </c>
      <c r="AE1020">
        <f t="array" ref="AE1020">IF(SUMPRODUCT(--($AO$2:$AO$145=TRIM(LEFT($B1020,IFERROR(FIND(" ",$B1020)-1,LEN($B1020))))))&gt;0,1,0)</f>
        <v/>
      </c>
      <c r="AF1020">
        <f t="array" ref="AF1020">IF(SUMPRODUCT(--($AQ$2:$AQ$71=TRIM(LEFT($B1020,IFERROR(FIND(" ",$B1020)-1,LEN($B1020))))))&gt;0,1,0)</f>
        <v/>
      </c>
    </row>
    <row r="1021" ht="75.75" customHeight="1" thickBot="1">
      <c r="A1021" s="13" t="n">
        <v>379</v>
      </c>
      <c r="B1021" s="4" t="inlineStr">
        <is>
          <t>WGL US</t>
        </is>
      </c>
      <c r="C1021" s="4" t="inlineStr">
        <is>
          <t>ALA CN</t>
        </is>
      </c>
      <c r="D1021" s="7" t="n">
        <v>42760</v>
      </c>
      <c r="E1021" s="3" t="n">
        <v>6289.42</v>
      </c>
      <c r="F1021" s="4" t="inlineStr">
        <is>
          <t>Cash</t>
        </is>
      </c>
      <c r="G1021" s="3" t="n">
        <v>14.84</v>
      </c>
      <c r="H1021" s="4" t="inlineStr">
        <is>
          <t>Utilities</t>
        </is>
      </c>
      <c r="I1021" s="4" t="inlineStr">
        <is>
          <t>Utilities</t>
        </is>
      </c>
      <c r="J1021" s="4" t="inlineStr">
        <is>
          <t>Elec &amp; Gas Marketing &amp; Trading</t>
        </is>
      </c>
      <c r="K1021" s="3" t="n">
        <v>205</v>
      </c>
      <c r="L1021" s="3" t="n">
        <v>136</v>
      </c>
      <c r="M1021" s="3" t="n">
        <v>14.1</v>
      </c>
      <c r="N1021" s="3" t="n">
        <v>4519.31</v>
      </c>
      <c r="O1021" s="4" t="inlineStr">
        <is>
          <t>United States</t>
        </is>
      </c>
      <c r="P1021" s="4" t="inlineStr">
        <is>
          <t>Canada</t>
        </is>
      </c>
      <c r="Q1021" s="4" t="inlineStr">
        <is>
          <t>Friendly</t>
        </is>
      </c>
      <c r="R1021" s="3" t="n">
        <v>2341.76</v>
      </c>
      <c r="S1021" s="3" t="n">
        <v>2.16337</v>
      </c>
      <c r="T1021" s="4" t="inlineStr">
        <is>
          <t>Company Takeover, Cross Border</t>
        </is>
      </c>
      <c r="U1021" s="2" t="inlineStr">
        <is>
          <t>No</t>
        </is>
      </c>
      <c r="V1021" s="2" t="inlineStr">
        <is>
          <t>No</t>
        </is>
      </c>
      <c r="W1021" s="2" t="inlineStr">
        <is>
          <t>Yes</t>
        </is>
      </c>
      <c r="X1021" s="2" t="inlineStr">
        <is>
          <t>No</t>
        </is>
      </c>
      <c r="Y1021" s="2" t="inlineStr">
        <is>
          <t>No</t>
        </is>
      </c>
      <c r="Z1021" s="2" t="inlineStr">
        <is>
          <t>No</t>
        </is>
      </c>
      <c r="AA1021" s="6" t="n">
        <v>3.798610597</v>
      </c>
      <c r="AB1021" s="6" t="n">
        <v>3.369542383</v>
      </c>
      <c r="AC1021" s="6" t="n">
        <v>3.655072133</v>
      </c>
      <c r="AD1021">
        <f t="array" ref="AD1021">IF(SUMPRODUCT(--($AM$2:$AM$112=TRIM(LEFT($B1021,IFERROR(FIND(" ",$B1021)-1,LEN($B1021))))))&gt;0,1,0)</f>
        <v/>
      </c>
      <c r="AE1021">
        <f t="array" ref="AE1021">IF(SUMPRODUCT(--($AO$2:$AO$145=TRIM(LEFT($B1021,IFERROR(FIND(" ",$B1021)-1,LEN($B1021))))))&gt;0,1,0)</f>
        <v/>
      </c>
      <c r="AF1021">
        <f t="array" ref="AF1021">IF(SUMPRODUCT(--($AQ$2:$AQ$71=TRIM(LEFT($B1021,IFERROR(FIND(" ",$B1021)-1,LEN($B1021))))))&gt;0,1,0)</f>
        <v/>
      </c>
    </row>
    <row r="1022" ht="75.75" customHeight="1" thickBot="1">
      <c r="A1022" s="13" t="n">
        <v>166</v>
      </c>
      <c r="B1022" s="4" t="inlineStr">
        <is>
          <t>CAVM US</t>
        </is>
      </c>
      <c r="C1022" s="4" t="inlineStr">
        <is>
          <t>9995577D US</t>
        </is>
      </c>
      <c r="D1022" s="7" t="n">
        <v>43059</v>
      </c>
      <c r="E1022" s="3" t="n">
        <v>3252.65</v>
      </c>
      <c r="F1022" s="4" t="inlineStr">
        <is>
          <t>Cash and Stock</t>
        </is>
      </c>
      <c r="G1022" s="3" t="n">
        <v>48.33</v>
      </c>
      <c r="H1022" s="4" t="inlineStr">
        <is>
          <t>Technology</t>
        </is>
      </c>
      <c r="I1022" s="4" t="inlineStr">
        <is>
          <t>Tech Hardware &amp; Semiconductors</t>
        </is>
      </c>
      <c r="J1022" s="4" t="inlineStr">
        <is>
          <t>Semiconductors</t>
        </is>
      </c>
      <c r="K1022" s="3" t="n">
        <v>180</v>
      </c>
      <c r="L1022" s="3" t="n">
        <v>180</v>
      </c>
      <c r="M1022" s="4" t="n"/>
      <c r="N1022" s="3" t="n">
        <v>2765.44</v>
      </c>
      <c r="O1022" s="4" t="inlineStr">
        <is>
          <t>United States</t>
        </is>
      </c>
      <c r="P1022" s="4" t="inlineStr">
        <is>
          <t>Bermuda</t>
        </is>
      </c>
      <c r="Q1022" s="4" t="inlineStr">
        <is>
          <t>Friendly</t>
        </is>
      </c>
      <c r="R1022" s="3" t="n">
        <v>984.018</v>
      </c>
      <c r="S1022" s="3" t="n">
        <v>-5.50791</v>
      </c>
      <c r="T1022" s="4" t="inlineStr">
        <is>
          <t>Company Takeover, Cross Border</t>
        </is>
      </c>
      <c r="U1022" s="2" t="inlineStr">
        <is>
          <t>No</t>
        </is>
      </c>
      <c r="V1022" s="2" t="inlineStr">
        <is>
          <t>No</t>
        </is>
      </c>
      <c r="W1022" s="2" t="inlineStr">
        <is>
          <t>Yes</t>
        </is>
      </c>
      <c r="X1022" s="2" t="inlineStr">
        <is>
          <t>No</t>
        </is>
      </c>
      <c r="Y1022" s="2" t="inlineStr">
        <is>
          <t>No</t>
        </is>
      </c>
      <c r="Z1022" s="2" t="inlineStr">
        <is>
          <t>No</t>
        </is>
      </c>
      <c r="AA1022" s="6" t="n">
        <v>3.512237334</v>
      </c>
      <c r="AB1022" s="6" t="n">
        <v>2.993003043</v>
      </c>
      <c r="AC1022" s="6" t="n">
        <v>3.44176424</v>
      </c>
      <c r="AD1022">
        <f t="array" ref="AD1022">IF(SUMPRODUCT(--($AM$2:$AM$112=TRIM(LEFT($B1022,IFERROR(FIND(" ",$B1022)-1,LEN($B1022))))))&gt;0,1,0)</f>
        <v/>
      </c>
      <c r="AE1022">
        <f t="array" ref="AE1022">IF(SUMPRODUCT(--($AO$2:$AO$145=TRIM(LEFT($B1022,IFERROR(FIND(" ",$B1022)-1,LEN($B1022))))))&gt;0,1,0)</f>
        <v/>
      </c>
      <c r="AF1022">
        <f t="array" ref="AF1022">IF(SUMPRODUCT(--($AQ$2:$AQ$71=TRIM(LEFT($B1022,IFERROR(FIND(" ",$B1022)-1,LEN($B1022))))))&gt;0,1,0)</f>
        <v/>
      </c>
    </row>
    <row r="1023" ht="45.75" customHeight="1" thickBot="1">
      <c r="A1023" s="13" t="n">
        <v>101</v>
      </c>
      <c r="B1023" s="4" t="inlineStr">
        <is>
          <t>IPCC US</t>
        </is>
      </c>
      <c r="C1023" s="4" t="inlineStr">
        <is>
          <t>KMPR US</t>
        </is>
      </c>
      <c r="D1023" s="7" t="n">
        <v>43144</v>
      </c>
      <c r="E1023" s="3" t="n">
        <v>1417.19</v>
      </c>
      <c r="F1023" s="4" t="inlineStr">
        <is>
          <t>Cash and Stock</t>
        </is>
      </c>
      <c r="G1023" s="4" t="n"/>
      <c r="H1023" s="4" t="inlineStr">
        <is>
          <t>Financials</t>
        </is>
      </c>
      <c r="I1023" s="4" t="inlineStr">
        <is>
          <t>Insurance</t>
        </is>
      </c>
      <c r="J1023" s="4" t="inlineStr">
        <is>
          <t>Insurance</t>
        </is>
      </c>
      <c r="K1023" s="3" t="n">
        <v>49.5988</v>
      </c>
      <c r="L1023" s="3" t="n">
        <v>49.5988</v>
      </c>
      <c r="M1023" s="3" t="n">
        <v>27.4</v>
      </c>
      <c r="N1023" s="3" t="n">
        <v>1417.19</v>
      </c>
      <c r="O1023" s="4" t="inlineStr">
        <is>
          <t>United States</t>
        </is>
      </c>
      <c r="P1023" s="4" t="inlineStr">
        <is>
          <t>United States</t>
        </is>
      </c>
      <c r="Q1023" s="4" t="inlineStr">
        <is>
          <t>Friendly</t>
        </is>
      </c>
      <c r="R1023" s="3" t="n">
        <v>1517.99</v>
      </c>
      <c r="S1023" s="3" t="n">
        <v>6.84129</v>
      </c>
      <c r="T1023" s="4" t="inlineStr">
        <is>
          <t>Company Takeover</t>
        </is>
      </c>
      <c r="U1023" s="2" t="inlineStr">
        <is>
          <t>No</t>
        </is>
      </c>
      <c r="V1023" s="2" t="inlineStr">
        <is>
          <t>No</t>
        </is>
      </c>
      <c r="W1023" s="2" t="inlineStr">
        <is>
          <t>No</t>
        </is>
      </c>
      <c r="X1023" s="2" t="inlineStr">
        <is>
          <t>No</t>
        </is>
      </c>
      <c r="Y1023" s="2" t="inlineStr">
        <is>
          <t>No</t>
        </is>
      </c>
      <c r="Z1023" s="2" t="inlineStr">
        <is>
          <t>No</t>
        </is>
      </c>
      <c r="AA1023" s="6" t="n">
        <v>3.151428079</v>
      </c>
      <c r="AB1023" s="6" t="n">
        <v>3.181268911</v>
      </c>
      <c r="AC1023" s="6" t="n">
        <v>3.151428079</v>
      </c>
      <c r="AD1023">
        <f t="array" ref="AD1023">IF(SUMPRODUCT(--($AM$2:$AM$112=TRIM(LEFT($B1023,IFERROR(FIND(" ",$B1023)-1,LEN($B1023))))))&gt;0,1,0)</f>
        <v/>
      </c>
      <c r="AE1023">
        <f t="array" ref="AE1023">IF(SUMPRODUCT(--($AO$2:$AO$145=TRIM(LEFT($B1023,IFERROR(FIND(" ",$B1023)-1,LEN($B1023))))))&gt;0,1,0)</f>
        <v/>
      </c>
      <c r="AF1023">
        <f t="array" ref="AF1023">IF(SUMPRODUCT(--($AQ$2:$AQ$71=TRIM(LEFT($B1023,IFERROR(FIND(" ",$B1023)-1,LEN($B1023))))))&gt;0,1,0)</f>
        <v/>
      </c>
    </row>
    <row r="1024" ht="45.75" customHeight="1" thickBot="1">
      <c r="A1024" s="13" t="n">
        <v>257</v>
      </c>
      <c r="B1024" s="4" t="inlineStr">
        <is>
          <t>HCOM US</t>
        </is>
      </c>
      <c r="C1024" s="4" t="inlineStr">
        <is>
          <t>CBB US</t>
        </is>
      </c>
      <c r="D1024" s="7" t="n">
        <v>42926</v>
      </c>
      <c r="E1024" s="3" t="n">
        <v>636.86</v>
      </c>
      <c r="F1024" s="4" t="inlineStr">
        <is>
          <t>Cash or Stock</t>
        </is>
      </c>
      <c r="G1024" s="3" t="n">
        <v>6.3</v>
      </c>
      <c r="H1024" s="4" t="inlineStr">
        <is>
          <t>Communications</t>
        </is>
      </c>
      <c r="I1024" s="4" t="inlineStr">
        <is>
          <t>Telecommunications</t>
        </is>
      </c>
      <c r="J1024" s="4" t="inlineStr">
        <is>
          <t>Telecommunications</t>
        </is>
      </c>
      <c r="K1024" s="4" t="n"/>
      <c r="L1024" s="3" t="n">
        <v>11.94</v>
      </c>
      <c r="M1024" s="3" t="n">
        <v>23.22</v>
      </c>
      <c r="N1024" s="3" t="n">
        <v>356.87</v>
      </c>
      <c r="O1024" s="4" t="inlineStr">
        <is>
          <t>United States</t>
        </is>
      </c>
      <c r="P1024" s="4" t="inlineStr">
        <is>
          <t>United States</t>
        </is>
      </c>
      <c r="Q1024" s="4" t="inlineStr">
        <is>
          <t>Friendly</t>
        </is>
      </c>
      <c r="R1024" s="2" t="n"/>
      <c r="S1024" s="2" t="n"/>
      <c r="T1024" s="4" t="inlineStr">
        <is>
          <t>Company Takeover</t>
        </is>
      </c>
      <c r="U1024" s="2" t="inlineStr">
        <is>
          <t>No</t>
        </is>
      </c>
      <c r="V1024" s="2" t="inlineStr">
        <is>
          <t>No</t>
        </is>
      </c>
      <c r="W1024" s="2" t="inlineStr">
        <is>
          <t>No</t>
        </is>
      </c>
      <c r="X1024" s="2" t="inlineStr">
        <is>
          <t>No</t>
        </is>
      </c>
      <c r="Y1024" s="2" t="inlineStr">
        <is>
          <t>No</t>
        </is>
      </c>
      <c r="Z1024" s="2" t="inlineStr">
        <is>
          <t>No</t>
        </is>
      </c>
      <c r="AA1024" s="6" t="n">
        <v>2.804043973</v>
      </c>
      <c r="AB1024" s="2" t="n"/>
      <c r="AC1024" s="6" t="n">
        <v>2.552510041</v>
      </c>
      <c r="AD1024">
        <f t="array" ref="AD1024">IF(SUMPRODUCT(--($AM$2:$AM$112=TRIM(LEFT($B1024,IFERROR(FIND(" ",$B1024)-1,LEN($B1024))))))&gt;0,1,0)</f>
        <v/>
      </c>
      <c r="AE1024">
        <f t="array" ref="AE1024">IF(SUMPRODUCT(--($AO$2:$AO$145=TRIM(LEFT($B1024,IFERROR(FIND(" ",$B1024)-1,LEN($B1024))))))&gt;0,1,0)</f>
        <v/>
      </c>
      <c r="AF1024">
        <f t="array" ref="AF1024">IF(SUMPRODUCT(--($AQ$2:$AQ$71=TRIM(LEFT($B1024,IFERROR(FIND(" ",$B1024)-1,LEN($B1024))))))&gt;0,1,0)</f>
        <v/>
      </c>
    </row>
    <row r="1025" ht="120.75" customHeight="1" thickBot="1">
      <c r="A1025" s="13" t="n">
        <v>71</v>
      </c>
      <c r="B1025" s="4" t="inlineStr">
        <is>
          <t>TEP US</t>
        </is>
      </c>
      <c r="C1025" s="4" t="inlineStr">
        <is>
          <t>TGE US</t>
        </is>
      </c>
      <c r="D1025" s="7" t="n">
        <v>43185</v>
      </c>
      <c r="E1025" s="3" t="n">
        <v>4003.37</v>
      </c>
      <c r="F1025" s="4" t="inlineStr">
        <is>
          <t>Stock</t>
        </is>
      </c>
      <c r="G1025" s="3" t="n">
        <v>13.45</v>
      </c>
      <c r="H1025" s="4" t="inlineStr">
        <is>
          <t>Energy</t>
        </is>
      </c>
      <c r="I1025" s="4" t="inlineStr">
        <is>
          <t>Oil &amp; Gas</t>
        </is>
      </c>
      <c r="J1025" s="4" t="inlineStr">
        <is>
          <t>Oil &amp; Gas Supply Chain</t>
        </is>
      </c>
      <c r="K1025" s="4" t="n"/>
      <c r="L1025" s="4" t="n"/>
      <c r="M1025" s="3" t="n">
        <v>1.15</v>
      </c>
      <c r="N1025" s="3" t="n">
        <v>1858.18</v>
      </c>
      <c r="O1025" s="4" t="inlineStr">
        <is>
          <t>United States</t>
        </is>
      </c>
      <c r="P1025" s="4" t="inlineStr">
        <is>
          <t>United States</t>
        </is>
      </c>
      <c r="Q1025" s="4" t="inlineStr">
        <is>
          <t>Friendly</t>
        </is>
      </c>
      <c r="R1025" s="3" t="n">
        <v>868.548</v>
      </c>
      <c r="S1025" s="3" t="n">
        <v>40.6149</v>
      </c>
      <c r="T1025" s="4" t="inlineStr">
        <is>
          <t>Company Takeover, Additional Stake Purchase</t>
        </is>
      </c>
      <c r="U1025" s="2" t="inlineStr">
        <is>
          <t>Yes</t>
        </is>
      </c>
      <c r="V1025" s="2" t="inlineStr">
        <is>
          <t>No</t>
        </is>
      </c>
      <c r="W1025" s="2" t="inlineStr">
        <is>
          <t>No</t>
        </is>
      </c>
      <c r="X1025" s="2" t="inlineStr">
        <is>
          <t>No</t>
        </is>
      </c>
      <c r="Y1025" s="2" t="inlineStr">
        <is>
          <t>No</t>
        </is>
      </c>
      <c r="Z1025" s="2" t="inlineStr">
        <is>
          <t>No</t>
        </is>
      </c>
      <c r="AA1025" s="6" t="n">
        <v>3.60242573</v>
      </c>
      <c r="AB1025" s="6" t="n">
        <v>2.938793825</v>
      </c>
      <c r="AC1025" s="6" t="n">
        <v>3.269087781</v>
      </c>
      <c r="AD1025">
        <f t="array" ref="AD1025">IF(SUMPRODUCT(--($AM$2:$AM$112=TRIM(LEFT($B1025,IFERROR(FIND(" ",$B1025)-1,LEN($B1025))))))&gt;0,1,0)</f>
        <v/>
      </c>
      <c r="AE1025">
        <f t="array" ref="AE1025">IF(SUMPRODUCT(--($AO$2:$AO$145=TRIM(LEFT($B1025,IFERROR(FIND(" ",$B1025)-1,LEN($B1025))))))&gt;0,1,0)</f>
        <v/>
      </c>
      <c r="AF1025">
        <f t="array" ref="AF1025">IF(SUMPRODUCT(--($AQ$2:$AQ$71=TRIM(LEFT($B1025,IFERROR(FIND(" ",$B1025)-1,LEN($B1025))))))&gt;0,1,0)</f>
        <v/>
      </c>
    </row>
    <row r="1026" ht="135.75" customHeight="1" thickBot="1">
      <c r="A1026" s="13" t="n">
        <v>141</v>
      </c>
      <c r="B1026" s="4" t="inlineStr">
        <is>
          <t>KND US</t>
        </is>
      </c>
      <c r="C1026" s="2" t="n"/>
      <c r="D1026" s="7" t="n">
        <v>43087</v>
      </c>
      <c r="E1026" s="3" t="n">
        <v>3875.13</v>
      </c>
      <c r="F1026" s="4" t="inlineStr">
        <is>
          <t>Cash</t>
        </is>
      </c>
      <c r="G1026" s="3" t="n">
        <v>17.48</v>
      </c>
      <c r="H1026" s="4" t="inlineStr">
        <is>
          <t>Health Care</t>
        </is>
      </c>
      <c r="I1026" s="4" t="inlineStr">
        <is>
          <t>Health Care</t>
        </is>
      </c>
      <c r="J1026" s="4" t="inlineStr">
        <is>
          <t>Health Care Facilities &amp; Svcs</t>
        </is>
      </c>
      <c r="K1026" s="3" t="n">
        <v>61.5</v>
      </c>
      <c r="L1026" s="3" t="n">
        <v>29</v>
      </c>
      <c r="M1026" s="4" t="n"/>
      <c r="N1026" s="3" t="n">
        <v>782.39</v>
      </c>
      <c r="O1026" s="4" t="inlineStr">
        <is>
          <t>United States</t>
        </is>
      </c>
      <c r="P1026" s="4" t="inlineStr">
        <is>
          <t>United States</t>
        </is>
      </c>
      <c r="Q1026" s="4" t="inlineStr">
        <is>
          <t>Friendly</t>
        </is>
      </c>
      <c r="R1026" s="3" t="n">
        <v>6034.12</v>
      </c>
      <c r="S1026" s="3" t="n">
        <v>-2.63154</v>
      </c>
      <c r="T1026" s="4" t="inlineStr">
        <is>
          <t>PE Buyout, Company Takeover, Private Equity, Going Private</t>
        </is>
      </c>
      <c r="U1026" s="2" t="inlineStr">
        <is>
          <t>No</t>
        </is>
      </c>
      <c r="V1026" s="2" t="inlineStr">
        <is>
          <t>No</t>
        </is>
      </c>
      <c r="W1026" s="2" t="inlineStr">
        <is>
          <t>No</t>
        </is>
      </c>
      <c r="X1026" s="2" t="inlineStr">
        <is>
          <t>Yes</t>
        </is>
      </c>
      <c r="Y1026" s="2" t="inlineStr">
        <is>
          <t>Yes</t>
        </is>
      </c>
      <c r="Z1026" s="2" t="inlineStr">
        <is>
          <t>No</t>
        </is>
      </c>
      <c r="AA1026" s="6" t="n">
        <v>3.588286276</v>
      </c>
      <c r="AB1026" s="6" t="n">
        <v>3.780613943</v>
      </c>
      <c r="AC1026" s="6" t="n">
        <v>2.893423291</v>
      </c>
      <c r="AD1026">
        <f t="array" ref="AD1026">IF(SUMPRODUCT(--($AM$2:$AM$112=TRIM(LEFT($B1026,IFERROR(FIND(" ",$B1026)-1,LEN($B1026))))))&gt;0,1,0)</f>
        <v/>
      </c>
      <c r="AE1026">
        <f t="array" ref="AE1026">IF(SUMPRODUCT(--($AO$2:$AO$145=TRIM(LEFT($B1026,IFERROR(FIND(" ",$B1026)-1,LEN($B1026))))))&gt;0,1,0)</f>
        <v/>
      </c>
      <c r="AF1026">
        <f t="array" ref="AF1026">IF(SUMPRODUCT(--($AQ$2:$AQ$71=TRIM(LEFT($B1026,IFERROR(FIND(" ",$B1026)-1,LEN($B1026))))))&gt;0,1,0)</f>
        <v/>
      </c>
    </row>
    <row r="1027" ht="75.75" customHeight="1" thickBot="1">
      <c r="A1027" s="13" t="n">
        <v>33</v>
      </c>
      <c r="B1027" s="4" t="inlineStr">
        <is>
          <t>ARMO US</t>
        </is>
      </c>
      <c r="C1027" s="4" t="inlineStr">
        <is>
          <t>LLY US</t>
        </is>
      </c>
      <c r="D1027" s="7" t="n">
        <v>43230</v>
      </c>
      <c r="E1027" s="3" t="n">
        <v>1470.78</v>
      </c>
      <c r="F1027" s="4" t="inlineStr">
        <is>
          <t>Cash</t>
        </is>
      </c>
      <c r="G1027" s="4" t="n"/>
      <c r="H1027" s="4" t="inlineStr">
        <is>
          <t>Health Care</t>
        </is>
      </c>
      <c r="I1027" s="4" t="inlineStr">
        <is>
          <t>Health Care</t>
        </is>
      </c>
      <c r="J1027" s="4" t="inlineStr">
        <is>
          <t>Biotech &amp; Pharma</t>
        </is>
      </c>
      <c r="K1027" s="4" t="n"/>
      <c r="L1027" s="3" t="n">
        <v>63.4</v>
      </c>
      <c r="M1027" s="4" t="n"/>
      <c r="N1027" s="3" t="n">
        <v>1520.26</v>
      </c>
      <c r="O1027" s="4" t="inlineStr">
        <is>
          <t>United States</t>
        </is>
      </c>
      <c r="P1027" s="4" t="inlineStr">
        <is>
          <t>United States</t>
        </is>
      </c>
      <c r="Q1027" s="4" t="inlineStr">
        <is>
          <t>Friendly</t>
        </is>
      </c>
      <c r="R1027" s="2" t="n"/>
      <c r="S1027" s="2" t="n"/>
      <c r="T1027" s="4" t="inlineStr">
        <is>
          <t>Company Takeover, Tender Offer</t>
        </is>
      </c>
      <c r="U1027" s="2" t="inlineStr">
        <is>
          <t>No</t>
        </is>
      </c>
      <c r="V1027" s="2" t="inlineStr">
        <is>
          <t>No</t>
        </is>
      </c>
      <c r="W1027" s="2" t="inlineStr">
        <is>
          <t>No</t>
        </is>
      </c>
      <c r="X1027" s="2" t="inlineStr">
        <is>
          <t>No</t>
        </is>
      </c>
      <c r="Y1027" s="2" t="inlineStr">
        <is>
          <t>No</t>
        </is>
      </c>
      <c r="Z1027" s="2" t="inlineStr">
        <is>
          <t>Yes</t>
        </is>
      </c>
      <c r="AA1027" s="6" t="n">
        <v>3.167547716</v>
      </c>
      <c r="AB1027" s="2" t="n"/>
      <c r="AC1027" s="6" t="n">
        <v>3.181917869</v>
      </c>
      <c r="AD1027">
        <f t="array" ref="AD1027">IF(SUMPRODUCT(--($AM$2:$AM$112=TRIM(LEFT($B1027,IFERROR(FIND(" ",$B1027)-1,LEN($B1027))))))&gt;0,1,0)</f>
        <v/>
      </c>
      <c r="AE1027">
        <f t="array" ref="AE1027">IF(SUMPRODUCT(--($AO$2:$AO$145=TRIM(LEFT($B1027,IFERROR(FIND(" ",$B1027)-1,LEN($B1027))))))&gt;0,1,0)</f>
        <v/>
      </c>
      <c r="AF1027">
        <f t="array" ref="AF1027">IF(SUMPRODUCT(--($AQ$2:$AQ$71=TRIM(LEFT($B1027,IFERROR(FIND(" ",$B1027)-1,LEN($B1027))))))&gt;0,1,0)</f>
        <v/>
      </c>
    </row>
    <row r="1028" ht="135.75" customHeight="1" thickBot="1">
      <c r="A1028" s="13" t="n">
        <v>55</v>
      </c>
      <c r="B1028" s="4" t="inlineStr">
        <is>
          <t>ALOG US</t>
        </is>
      </c>
      <c r="C1028" s="4" t="inlineStr">
        <is>
          <t>2823370Z US</t>
        </is>
      </c>
      <c r="D1028" s="7" t="n">
        <v>43200</v>
      </c>
      <c r="E1028" s="3" t="n">
        <v>847.83</v>
      </c>
      <c r="F1028" s="4" t="inlineStr">
        <is>
          <t>Cash</t>
        </is>
      </c>
      <c r="G1028" s="4" t="n"/>
      <c r="H1028" s="4" t="inlineStr">
        <is>
          <t>Health Care</t>
        </is>
      </c>
      <c r="I1028" s="4" t="inlineStr">
        <is>
          <t>Health Care</t>
        </is>
      </c>
      <c r="J1028" s="4" t="inlineStr">
        <is>
          <t>Medical Equipment &amp; Devices</t>
        </is>
      </c>
      <c r="K1028" s="3" t="n">
        <v>64.2</v>
      </c>
      <c r="L1028" s="3" t="n">
        <v>34.8</v>
      </c>
      <c r="M1028" s="4" t="n"/>
      <c r="N1028" s="3" t="n">
        <v>1050.09</v>
      </c>
      <c r="O1028" s="4" t="inlineStr">
        <is>
          <t>United States</t>
        </is>
      </c>
      <c r="P1028" s="4" t="inlineStr">
        <is>
          <t>United States</t>
        </is>
      </c>
      <c r="Q1028" s="4" t="inlineStr">
        <is>
          <t>Friendly</t>
        </is>
      </c>
      <c r="R1028" s="3" t="n">
        <v>486.372</v>
      </c>
      <c r="S1028" s="3" t="n">
        <v>3.28571</v>
      </c>
      <c r="T1028" s="4" t="inlineStr">
        <is>
          <t>PE Buyout, Company Takeover, Private Equity, Going Private</t>
        </is>
      </c>
      <c r="U1028" s="2" t="inlineStr">
        <is>
          <t>No</t>
        </is>
      </c>
      <c r="V1028" s="2" t="inlineStr">
        <is>
          <t>No</t>
        </is>
      </c>
      <c r="W1028" s="2" t="inlineStr">
        <is>
          <t>No</t>
        </is>
      </c>
      <c r="X1028" s="2" t="inlineStr">
        <is>
          <t>Yes</t>
        </is>
      </c>
      <c r="Y1028" s="2" t="inlineStr">
        <is>
          <t>Yes</t>
        </is>
      </c>
      <c r="Z1028" s="2" t="inlineStr">
        <is>
          <t>No</t>
        </is>
      </c>
      <c r="AA1028" s="6" t="n">
        <v>2.92830878</v>
      </c>
      <c r="AB1028" s="6" t="n">
        <v>2.686968565</v>
      </c>
      <c r="AC1028" s="6" t="n">
        <v>3.021226523</v>
      </c>
      <c r="AD1028">
        <f t="array" ref="AD1028">IF(SUMPRODUCT(--($AM$2:$AM$112=TRIM(LEFT($B1028,IFERROR(FIND(" ",$B1028)-1,LEN($B1028))))))&gt;0,1,0)</f>
        <v/>
      </c>
      <c r="AE1028">
        <f t="array" ref="AE1028">IF(SUMPRODUCT(--($AO$2:$AO$145=TRIM(LEFT($B1028,IFERROR(FIND(" ",$B1028)-1,LEN($B1028))))))&gt;0,1,0)</f>
        <v/>
      </c>
      <c r="AF1028">
        <f t="array" ref="AF1028">IF(SUMPRODUCT(--($AQ$2:$AQ$71=TRIM(LEFT($B1028,IFERROR(FIND(" ",$B1028)-1,LEN($B1028))))))&gt;0,1,0)</f>
        <v/>
      </c>
    </row>
    <row r="1029" ht="165.75" customHeight="1" thickBot="1">
      <c r="A1029" s="13" t="n">
        <v>99</v>
      </c>
      <c r="B1029" s="4" t="inlineStr">
        <is>
          <t>CAFD US</t>
        </is>
      </c>
      <c r="C1029" s="4" t="inlineStr">
        <is>
          <t>0203642D SW</t>
        </is>
      </c>
      <c r="D1029" s="7" t="n">
        <v>43136</v>
      </c>
      <c r="E1029" s="3" t="n">
        <v>1688.81</v>
      </c>
      <c r="F1029" s="4" t="inlineStr">
        <is>
          <t>Cash</t>
        </is>
      </c>
      <c r="G1029" s="3" t="n">
        <v>31.91</v>
      </c>
      <c r="H1029" s="4" t="inlineStr">
        <is>
          <t>Utilities</t>
        </is>
      </c>
      <c r="I1029" s="4" t="inlineStr">
        <is>
          <t>Utilities</t>
        </is>
      </c>
      <c r="J1029" s="4" t="inlineStr">
        <is>
          <t>Electric Utilities</t>
        </is>
      </c>
      <c r="K1029" s="3" t="n">
        <v>54.3</v>
      </c>
      <c r="L1029" s="3" t="n">
        <v>24.7</v>
      </c>
      <c r="M1029" s="4" t="n"/>
      <c r="N1029" s="3" t="n">
        <v>986.98</v>
      </c>
      <c r="O1029" s="4" t="inlineStr">
        <is>
          <t>United States</t>
        </is>
      </c>
      <c r="P1029" s="4" t="inlineStr">
        <is>
          <t>Switzerland</t>
        </is>
      </c>
      <c r="Q1029" s="4" t="inlineStr">
        <is>
          <t>Friendly</t>
        </is>
      </c>
      <c r="R1029" s="3" t="n">
        <v>70.089</v>
      </c>
      <c r="S1029" s="3" t="n">
        <v>30.7482</v>
      </c>
      <c r="T1029" s="4" t="inlineStr">
        <is>
          <t>PE Buyout, Company Takeover, Cross Border, Private Equity, Going Private</t>
        </is>
      </c>
      <c r="U1029" s="2" t="inlineStr">
        <is>
          <t>No</t>
        </is>
      </c>
      <c r="V1029" s="2" t="inlineStr">
        <is>
          <t>No</t>
        </is>
      </c>
      <c r="W1029" s="2" t="inlineStr">
        <is>
          <t>Yes</t>
        </is>
      </c>
      <c r="X1029" s="2" t="inlineStr">
        <is>
          <t>Yes</t>
        </is>
      </c>
      <c r="Y1029" s="2" t="inlineStr">
        <is>
          <t>Yes</t>
        </is>
      </c>
      <c r="Z1029" s="2" t="inlineStr">
        <is>
          <t>No</t>
        </is>
      </c>
      <c r="AA1029" s="6" t="n">
        <v>3.227580792</v>
      </c>
      <c r="AB1029" s="6" t="n">
        <v>1.845649864</v>
      </c>
      <c r="AC1029" s="6" t="n">
        <v>2.994308352</v>
      </c>
      <c r="AD1029">
        <f t="array" ref="AD1029">IF(SUMPRODUCT(--($AM$2:$AM$112=TRIM(LEFT($B1029,IFERROR(FIND(" ",$B1029)-1,LEN($B1029))))))&gt;0,1,0)</f>
        <v/>
      </c>
      <c r="AE1029">
        <f t="array" ref="AE1029">IF(SUMPRODUCT(--($AO$2:$AO$145=TRIM(LEFT($B1029,IFERROR(FIND(" ",$B1029)-1,LEN($B1029))))))&gt;0,1,0)</f>
        <v/>
      </c>
      <c r="AF1029">
        <f t="array" ref="AF1029">IF(SUMPRODUCT(--($AQ$2:$AQ$71=TRIM(LEFT($B1029,IFERROR(FIND(" ",$B1029)-1,LEN($B1029))))))&gt;0,1,0)</f>
        <v/>
      </c>
    </row>
    <row r="1030" ht="75.75" customHeight="1" thickBot="1">
      <c r="A1030" s="13" t="n">
        <v>196</v>
      </c>
      <c r="B1030" s="4" t="inlineStr">
        <is>
          <t>ASHG US</t>
        </is>
      </c>
      <c r="C1030" s="4" t="inlineStr">
        <is>
          <t>CRH US</t>
        </is>
      </c>
      <c r="D1030" s="7" t="n">
        <v>42998</v>
      </c>
      <c r="E1030" s="3" t="n">
        <v>3623.77</v>
      </c>
      <c r="F1030" s="4" t="inlineStr">
        <is>
          <t>Cash</t>
        </is>
      </c>
      <c r="G1030" s="4" t="n"/>
      <c r="H1030" s="4" t="inlineStr">
        <is>
          <t>Materials</t>
        </is>
      </c>
      <c r="I1030" s="4" t="inlineStr">
        <is>
          <t>Materials</t>
        </is>
      </c>
      <c r="J1030" s="4" t="inlineStr">
        <is>
          <t>Construction Materials</t>
        </is>
      </c>
      <c r="K1030" s="4" t="n"/>
      <c r="L1030" s="4" t="n"/>
      <c r="M1030" s="3" t="n">
        <v>57.5</v>
      </c>
      <c r="N1030" s="3" t="n">
        <v>3623.77</v>
      </c>
      <c r="O1030" s="4" t="inlineStr">
        <is>
          <t>United States</t>
        </is>
      </c>
      <c r="P1030" s="4" t="inlineStr">
        <is>
          <t>Ireland</t>
        </is>
      </c>
      <c r="Q1030" s="4" t="inlineStr">
        <is>
          <t>Friendly</t>
        </is>
      </c>
      <c r="R1030" s="3" t="n">
        <v>872.553</v>
      </c>
      <c r="S1030" s="2" t="n"/>
      <c r="T1030" s="4" t="inlineStr">
        <is>
          <t>Company Takeover, Cross Border</t>
        </is>
      </c>
      <c r="U1030" s="2" t="inlineStr">
        <is>
          <t>No</t>
        </is>
      </c>
      <c r="V1030" s="2" t="inlineStr">
        <is>
          <t>No</t>
        </is>
      </c>
      <c r="W1030" s="2" t="inlineStr">
        <is>
          <t>Yes</t>
        </is>
      </c>
      <c r="X1030" s="2" t="inlineStr">
        <is>
          <t>No</t>
        </is>
      </c>
      <c r="Y1030" s="2" t="inlineStr">
        <is>
          <t>No</t>
        </is>
      </c>
      <c r="Z1030" s="2" t="inlineStr">
        <is>
          <t>No</t>
        </is>
      </c>
      <c r="AA1030" s="6" t="n">
        <v>3.559160625</v>
      </c>
      <c r="AB1030" s="6" t="n">
        <v>2.940791816</v>
      </c>
      <c r="AC1030" s="6" t="n">
        <v>3.559160625</v>
      </c>
      <c r="AD1030">
        <f t="array" ref="AD1030">IF(SUMPRODUCT(--($AM$2:$AM$112=TRIM(LEFT($B1030,IFERROR(FIND(" ",$B1030)-1,LEN($B1030))))))&gt;0,1,0)</f>
        <v/>
      </c>
      <c r="AE1030">
        <f t="array" ref="AE1030">IF(SUMPRODUCT(--($AO$2:$AO$145=TRIM(LEFT($B1030,IFERROR(FIND(" ",$B1030)-1,LEN($B1030))))))&gt;0,1,0)</f>
        <v/>
      </c>
      <c r="AF1030">
        <f t="array" ref="AF1030">IF(SUMPRODUCT(--($AQ$2:$AQ$71=TRIM(LEFT($B1030,IFERROR(FIND(" ",$B1030)-1,LEN($B1030))))))&gt;0,1,0)</f>
        <v/>
      </c>
    </row>
    <row r="1031" ht="135.75" customHeight="1" thickBot="1">
      <c r="A1031" s="13" t="n">
        <v>110</v>
      </c>
      <c r="B1031" s="4" t="inlineStr">
        <is>
          <t>HAWK US</t>
        </is>
      </c>
      <c r="C1031" s="2" t="n"/>
      <c r="D1031" s="7" t="n">
        <v>43116</v>
      </c>
      <c r="E1031" s="3" t="n">
        <v>3014.8</v>
      </c>
      <c r="F1031" s="4" t="inlineStr">
        <is>
          <t>Cash</t>
        </is>
      </c>
      <c r="G1031" s="3" t="n">
        <v>20.19</v>
      </c>
      <c r="H1031" s="4" t="inlineStr">
        <is>
          <t>Financials</t>
        </is>
      </c>
      <c r="I1031" s="4" t="inlineStr">
        <is>
          <t>Financial Services</t>
        </is>
      </c>
      <c r="J1031" s="4" t="inlineStr">
        <is>
          <t>Specialty Finance</t>
        </is>
      </c>
      <c r="K1031" s="3" t="n">
        <v>136.2</v>
      </c>
      <c r="L1031" s="3" t="n">
        <v>109</v>
      </c>
      <c r="M1031" s="4" t="n"/>
      <c r="N1031" s="3" t="n">
        <v>2570.8</v>
      </c>
      <c r="O1031" s="4" t="inlineStr">
        <is>
          <t>United States</t>
        </is>
      </c>
      <c r="P1031" s="4" t="inlineStr">
        <is>
          <t>United States</t>
        </is>
      </c>
      <c r="Q1031" s="4" t="inlineStr">
        <is>
          <t>Friendly</t>
        </is>
      </c>
      <c r="R1031" s="3" t="n">
        <v>117.66</v>
      </c>
      <c r="S1031" s="2" t="n"/>
      <c r="T1031" s="4" t="inlineStr">
        <is>
          <t>PE Buyout, Company Takeover, Private Equity, Going Private</t>
        </is>
      </c>
      <c r="U1031" s="2" t="inlineStr">
        <is>
          <t>No</t>
        </is>
      </c>
      <c r="V1031" s="2" t="inlineStr">
        <is>
          <t>No</t>
        </is>
      </c>
      <c r="W1031" s="2" t="inlineStr">
        <is>
          <t>No</t>
        </is>
      </c>
      <c r="X1031" s="2" t="inlineStr">
        <is>
          <t>Yes</t>
        </is>
      </c>
      <c r="Y1031" s="2" t="inlineStr">
        <is>
          <t>Yes</t>
        </is>
      </c>
      <c r="Z1031" s="2" t="inlineStr">
        <is>
          <t>No</t>
        </is>
      </c>
      <c r="AA1031" s="6" t="n">
        <v>3.479258507</v>
      </c>
      <c r="AB1031" s="6" t="n">
        <v>2.070628844</v>
      </c>
      <c r="AC1031" s="6" t="n">
        <v>3.410068291</v>
      </c>
      <c r="AD1031">
        <f t="array" ref="AD1031">IF(SUMPRODUCT(--($AM$2:$AM$112=TRIM(LEFT($B1031,IFERROR(FIND(" ",$B1031)-1,LEN($B1031))))))&gt;0,1,0)</f>
        <v/>
      </c>
      <c r="AE1031">
        <f t="array" ref="AE1031">IF(SUMPRODUCT(--($AO$2:$AO$145=TRIM(LEFT($B1031,IFERROR(FIND(" ",$B1031)-1,LEN($B1031))))))&gt;0,1,0)</f>
        <v/>
      </c>
      <c r="AF1031">
        <f t="array" ref="AF1031">IF(SUMPRODUCT(--($AQ$2:$AQ$71=TRIM(LEFT($B1031,IFERROR(FIND(" ",$B1031)-1,LEN($B1031))))))&gt;0,1,0)</f>
        <v/>
      </c>
    </row>
    <row r="1032" ht="75.75" customHeight="1" thickBot="1">
      <c r="A1032" s="13" t="n">
        <v>124</v>
      </c>
      <c r="B1032" s="4" t="inlineStr">
        <is>
          <t>GNRT US</t>
        </is>
      </c>
      <c r="C1032" s="4" t="inlineStr">
        <is>
          <t>CMBT BB</t>
        </is>
      </c>
      <c r="D1032" s="7" t="n">
        <v>43090</v>
      </c>
      <c r="E1032" s="3" t="n">
        <v>1691.38</v>
      </c>
      <c r="F1032" s="4" t="inlineStr">
        <is>
          <t>Stock</t>
        </is>
      </c>
      <c r="G1032" s="3" t="n">
        <v>24.5</v>
      </c>
      <c r="H1032" s="4" t="inlineStr">
        <is>
          <t>Industrials</t>
        </is>
      </c>
      <c r="I1032" s="4" t="inlineStr">
        <is>
          <t>Industrial Services</t>
        </is>
      </c>
      <c r="J1032" s="4" t="inlineStr">
        <is>
          <t>Transportation &amp; Logistics</t>
        </is>
      </c>
      <c r="K1032" s="4" t="n"/>
      <c r="L1032" s="3" t="n">
        <v>39</v>
      </c>
      <c r="M1032" s="3" t="n">
        <v>39.6</v>
      </c>
      <c r="N1032" s="3" t="n">
        <v>515.52</v>
      </c>
      <c r="O1032" s="4" t="inlineStr">
        <is>
          <t>United States</t>
        </is>
      </c>
      <c r="P1032" s="4" t="inlineStr">
        <is>
          <t>Belgium</t>
        </is>
      </c>
      <c r="Q1032" s="4" t="inlineStr">
        <is>
          <t>Friendly</t>
        </is>
      </c>
      <c r="R1032" s="3" t="n">
        <v>307.819</v>
      </c>
      <c r="S1032" s="3" t="n">
        <v>-63.9723</v>
      </c>
      <c r="T1032" s="4" t="inlineStr">
        <is>
          <t>Company Takeover, Cross Border</t>
        </is>
      </c>
      <c r="U1032" s="2" t="inlineStr">
        <is>
          <t>No</t>
        </is>
      </c>
      <c r="V1032" s="2" t="inlineStr">
        <is>
          <t>No</t>
        </is>
      </c>
      <c r="W1032" s="2" t="inlineStr">
        <is>
          <t>Yes</t>
        </is>
      </c>
      <c r="X1032" s="2" t="inlineStr">
        <is>
          <t>No</t>
        </is>
      </c>
      <c r="Y1032" s="2" t="inlineStr">
        <is>
          <t>No</t>
        </is>
      </c>
      <c r="Z1032" s="2" t="inlineStr">
        <is>
          <t>No</t>
        </is>
      </c>
      <c r="AA1032" s="6" t="n">
        <v>3.228241191</v>
      </c>
      <c r="AB1032" s="6" t="n">
        <v>2.488295423</v>
      </c>
      <c r="AC1032" s="6" t="n">
        <v>2.712245519</v>
      </c>
      <c r="AD1032">
        <f t="array" ref="AD1032">IF(SUMPRODUCT(--($AM$2:$AM$112=TRIM(LEFT($B1032,IFERROR(FIND(" ",$B1032)-1,LEN($B1032))))))&gt;0,1,0)</f>
        <v/>
      </c>
      <c r="AE1032">
        <f t="array" ref="AE1032">IF(SUMPRODUCT(--($AO$2:$AO$145=TRIM(LEFT($B1032,IFERROR(FIND(" ",$B1032)-1,LEN($B1032))))))&gt;0,1,0)</f>
        <v/>
      </c>
      <c r="AF1032">
        <f t="array" ref="AF1032">IF(SUMPRODUCT(--($AQ$2:$AQ$71=TRIM(LEFT($B1032,IFERROR(FIND(" ",$B1032)-1,LEN($B1032))))))&gt;0,1,0)</f>
        <v/>
      </c>
    </row>
    <row r="1033" ht="45.75" customHeight="1" thickBot="1">
      <c r="A1033" s="13" t="n">
        <v>189</v>
      </c>
      <c r="B1033" s="4" t="inlineStr">
        <is>
          <t>OA US</t>
        </is>
      </c>
      <c r="C1033" s="4" t="inlineStr">
        <is>
          <t>NOC US</t>
        </is>
      </c>
      <c r="D1033" s="7" t="n">
        <v>42996</v>
      </c>
      <c r="E1033" s="3" t="n">
        <v>7748.25</v>
      </c>
      <c r="F1033" s="4" t="inlineStr">
        <is>
          <t>Cash</t>
        </is>
      </c>
      <c r="G1033" s="3" t="n">
        <v>11.04</v>
      </c>
      <c r="H1033" s="4" t="inlineStr">
        <is>
          <t>Industrials</t>
        </is>
      </c>
      <c r="I1033" s="4" t="inlineStr">
        <is>
          <t>Industrial Products</t>
        </is>
      </c>
      <c r="J1033" s="4" t="inlineStr">
        <is>
          <t>Aerospace &amp; Defense</t>
        </is>
      </c>
      <c r="K1033" s="4" t="n"/>
      <c r="L1033" s="3" t="n">
        <v>275</v>
      </c>
      <c r="M1033" s="4" t="n"/>
      <c r="N1033" s="3" t="n">
        <v>6328.25</v>
      </c>
      <c r="O1033" s="4" t="inlineStr">
        <is>
          <t>United States</t>
        </is>
      </c>
      <c r="P1033" s="4" t="inlineStr">
        <is>
          <t>United States</t>
        </is>
      </c>
      <c r="Q1033" s="4" t="inlineStr">
        <is>
          <t>Friendly</t>
        </is>
      </c>
      <c r="R1033" s="3" t="n">
        <v>4764</v>
      </c>
      <c r="S1033" s="3" t="n">
        <v>11.4606</v>
      </c>
      <c r="T1033" s="4" t="inlineStr">
        <is>
          <t>Company Takeover</t>
        </is>
      </c>
      <c r="U1033" s="2" t="inlineStr">
        <is>
          <t>No</t>
        </is>
      </c>
      <c r="V1033" s="2" t="inlineStr">
        <is>
          <t>No</t>
        </is>
      </c>
      <c r="W1033" s="2" t="inlineStr">
        <is>
          <t>No</t>
        </is>
      </c>
      <c r="X1033" s="2" t="inlineStr">
        <is>
          <t>No</t>
        </is>
      </c>
      <c r="Y1033" s="2" t="inlineStr">
        <is>
          <t>No</t>
        </is>
      </c>
      <c r="Z1033" s="2" t="inlineStr">
        <is>
          <t>No</t>
        </is>
      </c>
      <c r="AA1033" s="6" t="n">
        <v>3.889203625</v>
      </c>
      <c r="AB1033" s="6" t="n">
        <v>3.677971753</v>
      </c>
      <c r="AC1033" s="6" t="n">
        <v>3.801283628</v>
      </c>
      <c r="AD1033">
        <f t="array" ref="AD1033">IF(SUMPRODUCT(--($AM$2:$AM$112=TRIM(LEFT($B1033,IFERROR(FIND(" ",$B1033)-1,LEN($B1033))))))&gt;0,1,0)</f>
        <v/>
      </c>
      <c r="AE1033">
        <f t="array" ref="AE1033">IF(SUMPRODUCT(--($AO$2:$AO$145=TRIM(LEFT($B1033,IFERROR(FIND(" ",$B1033)-1,LEN($B1033))))))&gt;0,1,0)</f>
        <v/>
      </c>
      <c r="AF1033">
        <f t="array" ref="AF1033">IF(SUMPRODUCT(--($AQ$2:$AQ$71=TRIM(LEFT($B1033,IFERROR(FIND(" ",$B1033)-1,LEN($B1033))))))&gt;0,1,0)</f>
        <v/>
      </c>
    </row>
    <row r="1034" ht="75.75" customHeight="1" thickBot="1">
      <c r="A1034" s="13" t="n">
        <v>133</v>
      </c>
      <c r="B1034" s="4" t="inlineStr">
        <is>
          <t>2290985D US</t>
        </is>
      </c>
      <c r="C1034" s="4" t="inlineStr">
        <is>
          <t>PRY IM</t>
        </is>
      </c>
      <c r="D1034" s="7" t="n">
        <v>43073</v>
      </c>
      <c r="E1034" s="3" t="n">
        <v>2517.74</v>
      </c>
      <c r="F1034" s="4" t="inlineStr">
        <is>
          <t>Cash</t>
        </is>
      </c>
      <c r="G1034" s="4" t="n"/>
      <c r="H1034" s="4" t="inlineStr">
        <is>
          <t>Industrials</t>
        </is>
      </c>
      <c r="I1034" s="4" t="inlineStr">
        <is>
          <t>Industrial Products</t>
        </is>
      </c>
      <c r="J1034" s="4" t="inlineStr">
        <is>
          <t>Electrical Equipment</t>
        </is>
      </c>
      <c r="K1034" s="4" t="n"/>
      <c r="L1034" s="3" t="n">
        <v>47</v>
      </c>
      <c r="M1034" s="3" t="n">
        <v>47.16</v>
      </c>
      <c r="N1034" s="3" t="n">
        <v>1498.94</v>
      </c>
      <c r="O1034" s="4" t="inlineStr">
        <is>
          <t>United States</t>
        </is>
      </c>
      <c r="P1034" s="4" t="inlineStr">
        <is>
          <t>Italy</t>
        </is>
      </c>
      <c r="Q1034" s="4" t="inlineStr">
        <is>
          <t>Friendly</t>
        </is>
      </c>
      <c r="R1034" s="3" t="n">
        <v>10016</v>
      </c>
      <c r="S1034" s="3" t="n">
        <v>0.502602</v>
      </c>
      <c r="T1034" s="4" t="inlineStr">
        <is>
          <t>Company Takeover, Cross Border</t>
        </is>
      </c>
      <c r="U1034" s="2" t="inlineStr">
        <is>
          <t>No</t>
        </is>
      </c>
      <c r="V1034" s="2" t="inlineStr">
        <is>
          <t>No</t>
        </is>
      </c>
      <c r="W1034" s="2" t="inlineStr">
        <is>
          <t>Yes</t>
        </is>
      </c>
      <c r="X1034" s="2" t="inlineStr">
        <is>
          <t>No</t>
        </is>
      </c>
      <c r="Y1034" s="2" t="inlineStr">
        <is>
          <t>No</t>
        </is>
      </c>
      <c r="Z1034" s="2" t="inlineStr">
        <is>
          <t>No</t>
        </is>
      </c>
      <c r="AA1034" s="6" t="n">
        <v>3.40101088</v>
      </c>
      <c r="AB1034" s="6" t="n">
        <v>4.000694316</v>
      </c>
      <c r="AC1034" s="6" t="n">
        <v>3.175784249</v>
      </c>
      <c r="AD1034">
        <f t="array" ref="AD1034">IF(SUMPRODUCT(--($AM$2:$AM$112=TRIM(LEFT($B1034,IFERROR(FIND(" ",$B1034)-1,LEN($B1034))))))&gt;0,1,0)</f>
        <v/>
      </c>
      <c r="AE1034">
        <f t="array" ref="AE1034">IF(SUMPRODUCT(--($AO$2:$AO$145=TRIM(LEFT($B1034,IFERROR(FIND(" ",$B1034)-1,LEN($B1034))))))&gt;0,1,0)</f>
        <v/>
      </c>
      <c r="AF1034">
        <f t="array" ref="AF1034">IF(SUMPRODUCT(--($AQ$2:$AQ$71=TRIM(LEFT($B1034,IFERROR(FIND(" ",$B1034)-1,LEN($B1034))))))&gt;0,1,0)</f>
        <v/>
      </c>
    </row>
    <row r="1035" ht="45.75" customHeight="1" thickBot="1">
      <c r="A1035" s="13" t="n">
        <v>71</v>
      </c>
      <c r="B1035" s="4" t="inlineStr">
        <is>
          <t>AHGP US</t>
        </is>
      </c>
      <c r="C1035" s="4" t="inlineStr">
        <is>
          <t>ARLP US</t>
        </is>
      </c>
      <c r="D1035" s="7" t="n">
        <v>43154</v>
      </c>
      <c r="E1035" s="3" t="n">
        <v>1681.04</v>
      </c>
      <c r="F1035" s="4" t="inlineStr">
        <is>
          <t>Stock</t>
        </is>
      </c>
      <c r="G1035" s="3" t="n">
        <v>3.7</v>
      </c>
      <c r="H1035" s="4" t="inlineStr">
        <is>
          <t>Materials</t>
        </is>
      </c>
      <c r="I1035" s="4" t="inlineStr">
        <is>
          <t>Materials</t>
        </is>
      </c>
      <c r="J1035" s="4" t="inlineStr">
        <is>
          <t>Metals &amp; Mining</t>
        </is>
      </c>
      <c r="K1035" s="4" t="n"/>
      <c r="L1035" s="4" t="n"/>
      <c r="M1035" s="3" t="n">
        <v>3.58</v>
      </c>
      <c r="N1035" s="3" t="n">
        <v>1115.64</v>
      </c>
      <c r="O1035" s="4" t="inlineStr">
        <is>
          <t>United States</t>
        </is>
      </c>
      <c r="P1035" s="4" t="inlineStr">
        <is>
          <t>United States</t>
        </is>
      </c>
      <c r="Q1035" s="4" t="inlineStr">
        <is>
          <t>Friendly</t>
        </is>
      </c>
      <c r="R1035" s="3" t="n">
        <v>1795.84</v>
      </c>
      <c r="S1035" s="3" t="n">
        <v>21.1659</v>
      </c>
      <c r="T1035" s="4" t="inlineStr">
        <is>
          <t>Company Takeover</t>
        </is>
      </c>
      <c r="U1035" s="2" t="inlineStr">
        <is>
          <t>No</t>
        </is>
      </c>
      <c r="V1035" s="2" t="inlineStr">
        <is>
          <t>No</t>
        </is>
      </c>
      <c r="W1035" s="2" t="inlineStr">
        <is>
          <t>No</t>
        </is>
      </c>
      <c r="X1035" s="2" t="inlineStr">
        <is>
          <t>No</t>
        </is>
      </c>
      <c r="Y1035" s="2" t="inlineStr">
        <is>
          <t>No</t>
        </is>
      </c>
      <c r="Z1035" s="2" t="inlineStr">
        <is>
          <t>No</t>
        </is>
      </c>
      <c r="AA1035" s="6" t="n">
        <v>3.225578048</v>
      </c>
      <c r="AB1035" s="6" t="n">
        <v>3.254267641</v>
      </c>
      <c r="AC1035" s="6" t="n">
        <v>3.047524077</v>
      </c>
      <c r="AD1035">
        <f t="array" ref="AD1035">IF(SUMPRODUCT(--($AM$2:$AM$112=TRIM(LEFT($B1035,IFERROR(FIND(" ",$B1035)-1,LEN($B1035))))))&gt;0,1,0)</f>
        <v/>
      </c>
      <c r="AE1035">
        <f t="array" ref="AE1035">IF(SUMPRODUCT(--($AO$2:$AO$145=TRIM(LEFT($B1035,IFERROR(FIND(" ",$B1035)-1,LEN($B1035))))))&gt;0,1,0)</f>
        <v/>
      </c>
      <c r="AF1035">
        <f t="array" ref="AF1035">IF(SUMPRODUCT(--($AQ$2:$AQ$71=TRIM(LEFT($B1035,IFERROR(FIND(" ",$B1035)-1,LEN($B1035))))))&gt;0,1,0)</f>
        <v/>
      </c>
    </row>
    <row r="1036" ht="45.75" customHeight="1" thickBot="1">
      <c r="A1036" s="13" t="n">
        <v>35</v>
      </c>
      <c r="B1036" s="4" t="inlineStr">
        <is>
          <t>SPE CN</t>
        </is>
      </c>
      <c r="C1036" s="4" t="inlineStr">
        <is>
          <t>VET CN</t>
        </is>
      </c>
      <c r="D1036" s="7" t="n">
        <v>43206</v>
      </c>
      <c r="E1036" s="3" t="n">
        <v>1011</v>
      </c>
      <c r="F1036" s="4" t="inlineStr">
        <is>
          <t>Stock</t>
        </is>
      </c>
      <c r="G1036" s="4" t="n"/>
      <c r="H1036" s="4" t="inlineStr">
        <is>
          <t>Energy</t>
        </is>
      </c>
      <c r="I1036" s="4" t="inlineStr">
        <is>
          <t>Oil &amp; Gas</t>
        </is>
      </c>
      <c r="J1036" s="4" t="inlineStr">
        <is>
          <t>Oil &amp; Gas Supply Chain</t>
        </is>
      </c>
      <c r="K1036" s="3" t="n">
        <v>40</v>
      </c>
      <c r="L1036" s="3" t="n">
        <v>40</v>
      </c>
      <c r="M1036" s="3" t="n">
        <v>2.98</v>
      </c>
      <c r="N1036" s="3" t="n">
        <v>846.01</v>
      </c>
      <c r="O1036" s="4" t="inlineStr">
        <is>
          <t>Canada</t>
        </is>
      </c>
      <c r="P1036" s="4" t="inlineStr">
        <is>
          <t>Canada</t>
        </is>
      </c>
      <c r="Q1036" s="4" t="inlineStr">
        <is>
          <t>Friendly</t>
        </is>
      </c>
      <c r="R1036" s="3" t="n">
        <v>276.955</v>
      </c>
      <c r="S1036" s="3" t="n">
        <v>-55.0316</v>
      </c>
      <c r="T1036" s="4" t="inlineStr">
        <is>
          <t>Company Takeover</t>
        </is>
      </c>
      <c r="U1036" s="2" t="inlineStr">
        <is>
          <t>No</t>
        </is>
      </c>
      <c r="V1036" s="2" t="inlineStr">
        <is>
          <t>No</t>
        </is>
      </c>
      <c r="W1036" s="2" t="inlineStr">
        <is>
          <t>No</t>
        </is>
      </c>
      <c r="X1036" s="2" t="inlineStr">
        <is>
          <t>No</t>
        </is>
      </c>
      <c r="Y1036" s="2" t="inlineStr">
        <is>
          <t>No</t>
        </is>
      </c>
      <c r="Z1036" s="2" t="inlineStr">
        <is>
          <t>No</t>
        </is>
      </c>
      <c r="AA1036" s="6" t="n">
        <v>3.004751156</v>
      </c>
      <c r="AB1036" s="6" t="n">
        <v>2.44240921</v>
      </c>
      <c r="AC1036" s="6" t="n">
        <v>2.927375497</v>
      </c>
      <c r="AD1036">
        <f t="array" ref="AD1036">IF(SUMPRODUCT(--($AM$2:$AM$112=TRIM(LEFT($B1036,IFERROR(FIND(" ",$B1036)-1,LEN($B1036))))))&gt;0,1,0)</f>
        <v/>
      </c>
      <c r="AE1036">
        <f t="array" ref="AE1036">IF(SUMPRODUCT(--($AO$2:$AO$145=TRIM(LEFT($B1036,IFERROR(FIND(" ",$B1036)-1,LEN($B1036))))))&gt;0,1,0)</f>
        <v/>
      </c>
      <c r="AF1036">
        <f t="array" ref="AF1036">IF(SUMPRODUCT(--($AQ$2:$AQ$71=TRIM(LEFT($B1036,IFERROR(FIND(" ",$B1036)-1,LEN($B1036))))))&gt;0,1,0)</f>
        <v/>
      </c>
    </row>
    <row r="1037" ht="45.75" customHeight="1" thickBot="1">
      <c r="A1037" s="13" t="n">
        <v>124</v>
      </c>
      <c r="B1037" s="4" t="inlineStr">
        <is>
          <t>FMSA US</t>
        </is>
      </c>
      <c r="C1037" s="4" t="inlineStr">
        <is>
          <t>CVIAQ US</t>
        </is>
      </c>
      <c r="D1037" s="7" t="n">
        <v>43081</v>
      </c>
      <c r="E1037" s="3" t="n">
        <v>769.89</v>
      </c>
      <c r="F1037" s="4" t="inlineStr">
        <is>
          <t>Cash and Stock</t>
        </is>
      </c>
      <c r="G1037" s="3" t="n">
        <v>5.34</v>
      </c>
      <c r="H1037" s="4" t="inlineStr">
        <is>
          <t>Materials</t>
        </is>
      </c>
      <c r="I1037" s="4" t="inlineStr">
        <is>
          <t>Materials</t>
        </is>
      </c>
      <c r="J1037" s="4" t="inlineStr">
        <is>
          <t>Metals &amp; Mining</t>
        </is>
      </c>
      <c r="K1037" s="3" t="n">
        <v>52</v>
      </c>
      <c r="L1037" s="3" t="n">
        <v>52</v>
      </c>
      <c r="M1037" s="4" t="n"/>
      <c r="N1037" s="3" t="n">
        <v>163.59</v>
      </c>
      <c r="O1037" s="4" t="inlineStr">
        <is>
          <t>United States</t>
        </is>
      </c>
      <c r="P1037" s="4" t="inlineStr">
        <is>
          <t>United States</t>
        </is>
      </c>
      <c r="Q1037" s="4" t="inlineStr">
        <is>
          <t>Friendly</t>
        </is>
      </c>
      <c r="R1037" s="3" t="n">
        <v>959.795</v>
      </c>
      <c r="S1037" s="3" t="n">
        <v>14.347</v>
      </c>
      <c r="T1037" s="4" t="inlineStr">
        <is>
          <t>Company Takeover</t>
        </is>
      </c>
      <c r="U1037" s="2" t="inlineStr">
        <is>
          <t>No</t>
        </is>
      </c>
      <c r="V1037" s="2" t="inlineStr">
        <is>
          <t>No</t>
        </is>
      </c>
      <c r="W1037" s="2" t="inlineStr">
        <is>
          <t>No</t>
        </is>
      </c>
      <c r="X1037" s="2" t="inlineStr">
        <is>
          <t>No</t>
        </is>
      </c>
      <c r="Y1037" s="2" t="inlineStr">
        <is>
          <t>No</t>
        </is>
      </c>
      <c r="Z1037" s="2" t="inlineStr">
        <is>
          <t>No</t>
        </is>
      </c>
      <c r="AA1037" s="6" t="n">
        <v>2.886428679</v>
      </c>
      <c r="AB1037" s="6" t="n">
        <v>2.982178483</v>
      </c>
      <c r="AC1037" s="6" t="n">
        <v>2.213756752</v>
      </c>
      <c r="AD1037">
        <f t="array" ref="AD1037">IF(SUMPRODUCT(--($AM$2:$AM$112=TRIM(LEFT($B1037,IFERROR(FIND(" ",$B1037)-1,LEN($B1037))))))&gt;0,1,0)</f>
        <v/>
      </c>
      <c r="AE1037">
        <f t="array" ref="AE1037">IF(SUMPRODUCT(--($AO$2:$AO$145=TRIM(LEFT($B1037,IFERROR(FIND(" ",$B1037)-1,LEN($B1037))))))&gt;0,1,0)</f>
        <v/>
      </c>
      <c r="AF1037">
        <f t="array" ref="AF1037">IF(SUMPRODUCT(--($AQ$2:$AQ$71=TRIM(LEFT($B1037,IFERROR(FIND(" ",$B1037)-1,LEN($B1037))))))&gt;0,1,0)</f>
        <v/>
      </c>
    </row>
    <row r="1038" ht="75.75" customHeight="1" thickBot="1">
      <c r="A1038" s="13" t="n">
        <v>65</v>
      </c>
      <c r="B1038" s="4" t="inlineStr">
        <is>
          <t>MSCC US</t>
        </is>
      </c>
      <c r="C1038" s="4" t="inlineStr">
        <is>
          <t>MCHP US</t>
        </is>
      </c>
      <c r="D1038" s="7" t="n">
        <v>43160</v>
      </c>
      <c r="E1038" s="3" t="n">
        <v>9837.91</v>
      </c>
      <c r="F1038" s="4" t="inlineStr">
        <is>
          <t>Cash</t>
        </is>
      </c>
      <c r="G1038" s="3" t="n">
        <v>18.87</v>
      </c>
      <c r="H1038" s="4" t="inlineStr">
        <is>
          <t>Technology</t>
        </is>
      </c>
      <c r="I1038" s="4" t="inlineStr">
        <is>
          <t>Tech Hardware &amp; Semiconductors</t>
        </is>
      </c>
      <c r="J1038" s="4" t="inlineStr">
        <is>
          <t>Semiconductors</t>
        </is>
      </c>
      <c r="K1038" s="4" t="n"/>
      <c r="L1038" s="3" t="n">
        <v>290</v>
      </c>
      <c r="M1038" s="3" t="n">
        <v>13.65</v>
      </c>
      <c r="N1038" s="3" t="n">
        <v>8094.21</v>
      </c>
      <c r="O1038" s="4" t="inlineStr">
        <is>
          <t>United States</t>
        </is>
      </c>
      <c r="P1038" s="4" t="inlineStr">
        <is>
          <t>United States</t>
        </is>
      </c>
      <c r="Q1038" s="4" t="inlineStr">
        <is>
          <t>Friendly</t>
        </is>
      </c>
      <c r="R1038" s="3" t="n">
        <v>1811.8</v>
      </c>
      <c r="S1038" s="3" t="n">
        <v>13.5353</v>
      </c>
      <c r="T1038" s="4" t="inlineStr">
        <is>
          <t>Company Takeover</t>
        </is>
      </c>
      <c r="U1038" s="2" t="inlineStr">
        <is>
          <t>No</t>
        </is>
      </c>
      <c r="V1038" s="2" t="inlineStr">
        <is>
          <t>No</t>
        </is>
      </c>
      <c r="W1038" s="2" t="inlineStr">
        <is>
          <t>No</t>
        </is>
      </c>
      <c r="X1038" s="2" t="inlineStr">
        <is>
          <t>No</t>
        </is>
      </c>
      <c r="Y1038" s="2" t="inlineStr">
        <is>
          <t>No</t>
        </is>
      </c>
      <c r="Z1038" s="2" t="inlineStr">
        <is>
          <t>No</t>
        </is>
      </c>
      <c r="AA1038" s="6" t="n">
        <v>3.992902845</v>
      </c>
      <c r="AB1038" s="6" t="n">
        <v>3.258110255</v>
      </c>
      <c r="AC1038" s="6" t="n">
        <v>3.908174468</v>
      </c>
      <c r="AD1038">
        <f t="array" ref="AD1038">IF(SUMPRODUCT(--($AM$2:$AM$112=TRIM(LEFT($B1038,IFERROR(FIND(" ",$B1038)-1,LEN($B1038))))))&gt;0,1,0)</f>
        <v/>
      </c>
      <c r="AE1038">
        <f t="array" ref="AE1038">IF(SUMPRODUCT(--($AO$2:$AO$145=TRIM(LEFT($B1038,IFERROR(FIND(" ",$B1038)-1,LEN($B1038))))))&gt;0,1,0)</f>
        <v/>
      </c>
      <c r="AF1038">
        <f t="array" ref="AF1038">IF(SUMPRODUCT(--($AQ$2:$AQ$71=TRIM(LEFT($B1038,IFERROR(FIND(" ",$B1038)-1,LEN($B1038))))))&gt;0,1,0)</f>
        <v/>
      </c>
    </row>
    <row r="1039" ht="195.75" customHeight="1" thickBot="1">
      <c r="A1039" s="13" t="n">
        <v>99</v>
      </c>
      <c r="B1039" s="4" t="inlineStr">
        <is>
          <t>AAR-U CN</t>
        </is>
      </c>
      <c r="C1039" s="2" t="n"/>
      <c r="D1039" s="7" t="n">
        <v>43109</v>
      </c>
      <c r="E1039" s="3" t="n">
        <v>2854.59</v>
      </c>
      <c r="F1039" s="4" t="inlineStr">
        <is>
          <t>Cash</t>
        </is>
      </c>
      <c r="G1039" s="3" t="n">
        <v>10.23</v>
      </c>
      <c r="H1039" s="4" t="inlineStr">
        <is>
          <t>Real Estate</t>
        </is>
      </c>
      <c r="I1039" s="4" t="inlineStr">
        <is>
          <t>Real Estate</t>
        </is>
      </c>
      <c r="J1039" s="4" t="inlineStr">
        <is>
          <t>REIT</t>
        </is>
      </c>
      <c r="K1039" s="3" t="n">
        <v>220</v>
      </c>
      <c r="L1039" s="3" t="n">
        <v>77</v>
      </c>
      <c r="M1039" s="4" t="n"/>
      <c r="N1039" s="3" t="n">
        <v>1988.03</v>
      </c>
      <c r="O1039" s="4" t="inlineStr">
        <is>
          <t>Canada</t>
        </is>
      </c>
      <c r="P1039" s="4" t="inlineStr">
        <is>
          <t>United States</t>
        </is>
      </c>
      <c r="Q1039" s="4" t="inlineStr">
        <is>
          <t>Friendly</t>
        </is>
      </c>
      <c r="R1039" s="3" t="n">
        <v>173.83</v>
      </c>
      <c r="S1039" s="3" t="n">
        <v>120.663</v>
      </c>
      <c r="T1039" s="4" t="inlineStr">
        <is>
          <t>PE Buyout, Company Takeover, Cross Border, Private Equity, Real Estate, Going Private</t>
        </is>
      </c>
      <c r="U1039" s="2" t="inlineStr">
        <is>
          <t>No</t>
        </is>
      </c>
      <c r="V1039" s="2" t="inlineStr">
        <is>
          <t>No</t>
        </is>
      </c>
      <c r="W1039" s="2" t="inlineStr">
        <is>
          <t>Yes</t>
        </is>
      </c>
      <c r="X1039" s="2" t="inlineStr">
        <is>
          <t>Yes</t>
        </is>
      </c>
      <c r="Y1039" s="2" t="inlineStr">
        <is>
          <t>Yes</t>
        </is>
      </c>
      <c r="Z1039" s="2" t="inlineStr">
        <is>
          <t>No</t>
        </is>
      </c>
      <c r="AA1039" s="6" t="n">
        <v>3.45554374</v>
      </c>
      <c r="AB1039" s="6" t="n">
        <v>2.24012473</v>
      </c>
      <c r="AC1039" s="6" t="n">
        <v>3.298422934</v>
      </c>
      <c r="AD1039">
        <f t="array" ref="AD1039">IF(SUMPRODUCT(--($AM$2:$AM$112=TRIM(LEFT($B1039,IFERROR(FIND(" ",$B1039)-1,LEN($B1039))))))&gt;0,1,0)</f>
        <v/>
      </c>
      <c r="AE1039">
        <f t="array" ref="AE1039">IF(SUMPRODUCT(--($AO$2:$AO$145=TRIM(LEFT($B1039,IFERROR(FIND(" ",$B1039)-1,LEN($B1039))))))&gt;0,1,0)</f>
        <v/>
      </c>
      <c r="AF1039">
        <f t="array" ref="AF1039">IF(SUMPRODUCT(--($AQ$2:$AQ$71=TRIM(LEFT($B1039,IFERROR(FIND(" ",$B1039)-1,LEN($B1039))))))&gt;0,1,0)</f>
        <v/>
      </c>
    </row>
    <row r="1040" ht="135.75" customHeight="1" thickBot="1">
      <c r="A1040" s="13" t="n">
        <v>56</v>
      </c>
      <c r="B1040" s="4" t="inlineStr">
        <is>
          <t>CHUBA US</t>
        </is>
      </c>
      <c r="C1040" s="2" t="n"/>
      <c r="D1040" s="7" t="n">
        <v>43165</v>
      </c>
      <c r="E1040" s="3" t="n">
        <v>969.98</v>
      </c>
      <c r="F1040" s="4" t="inlineStr">
        <is>
          <t>Cash</t>
        </is>
      </c>
      <c r="G1040" s="3" t="n">
        <v>28.12</v>
      </c>
      <c r="H1040" s="4" t="inlineStr">
        <is>
          <t>Technology</t>
        </is>
      </c>
      <c r="I1040" s="4" t="inlineStr">
        <is>
          <t>Software &amp; Tech Services</t>
        </is>
      </c>
      <c r="J1040" s="4" t="inlineStr">
        <is>
          <t>Software</t>
        </is>
      </c>
      <c r="K1040" s="3" t="n">
        <v>63</v>
      </c>
      <c r="L1040" s="3" t="n">
        <v>31.5</v>
      </c>
      <c r="M1040" s="4" t="n"/>
      <c r="N1040" s="3" t="n">
        <v>989.78</v>
      </c>
      <c r="O1040" s="4" t="inlineStr">
        <is>
          <t>United States</t>
        </is>
      </c>
      <c r="P1040" s="4" t="inlineStr">
        <is>
          <t>United States</t>
        </is>
      </c>
      <c r="Q1040" s="4" t="inlineStr">
        <is>
          <t>Friendly</t>
        </is>
      </c>
      <c r="R1040" s="3" t="n">
        <v>111.121</v>
      </c>
      <c r="S1040" s="3" t="n">
        <v>20.7249</v>
      </c>
      <c r="T1040" s="4" t="inlineStr">
        <is>
          <t>PE Buyout, Company Takeover, Private Equity, Going Private</t>
        </is>
      </c>
      <c r="U1040" s="2" t="inlineStr">
        <is>
          <t>No</t>
        </is>
      </c>
      <c r="V1040" s="2" t="inlineStr">
        <is>
          <t>No</t>
        </is>
      </c>
      <c r="W1040" s="2" t="inlineStr">
        <is>
          <t>No</t>
        </is>
      </c>
      <c r="X1040" s="2" t="inlineStr">
        <is>
          <t>Yes</t>
        </is>
      </c>
      <c r="Y1040" s="2" t="inlineStr">
        <is>
          <t>Yes</t>
        </is>
      </c>
      <c r="Z1040" s="2" t="inlineStr">
        <is>
          <t>No</t>
        </is>
      </c>
      <c r="AA1040" s="6" t="n">
        <v>2.98676278</v>
      </c>
      <c r="AB1040" s="6" t="n">
        <v>2.045796141</v>
      </c>
      <c r="AC1040" s="6" t="n">
        <v>2.995538674</v>
      </c>
      <c r="AD1040">
        <f t="array" ref="AD1040">IF(SUMPRODUCT(--($AM$2:$AM$112=TRIM(LEFT($B1040,IFERROR(FIND(" ",$B1040)-1,LEN($B1040))))))&gt;0,1,0)</f>
        <v/>
      </c>
      <c r="AE1040">
        <f t="array" ref="AE1040">IF(SUMPRODUCT(--($AO$2:$AO$145=TRIM(LEFT($B1040,IFERROR(FIND(" ",$B1040)-1,LEN($B1040))))))&gt;0,1,0)</f>
        <v/>
      </c>
      <c r="AF1040">
        <f t="array" ref="AF1040">IF(SUMPRODUCT(--($AQ$2:$AQ$71=TRIM(LEFT($B1040,IFERROR(FIND(" ",$B1040)-1,LEN($B1040))))))&gt;0,1,0)</f>
        <v/>
      </c>
    </row>
    <row r="1041" ht="105.75" customHeight="1" thickBot="1">
      <c r="A1041" s="13" t="n">
        <v>28</v>
      </c>
      <c r="B1041" s="4" t="inlineStr">
        <is>
          <t>AVXS US</t>
        </is>
      </c>
      <c r="C1041" s="4" t="inlineStr">
        <is>
          <t>NOVN SW</t>
        </is>
      </c>
      <c r="D1041" s="7" t="n">
        <v>43199</v>
      </c>
      <c r="E1041" s="3" t="n">
        <v>7924.42</v>
      </c>
      <c r="F1041" s="4" t="inlineStr">
        <is>
          <t>Cash</t>
        </is>
      </c>
      <c r="G1041" s="4" t="n"/>
      <c r="H1041" s="4" t="inlineStr">
        <is>
          <t>Health Care</t>
        </is>
      </c>
      <c r="I1041" s="4" t="inlineStr">
        <is>
          <t>Health Care</t>
        </is>
      </c>
      <c r="J1041" s="4" t="inlineStr">
        <is>
          <t>Biotech &amp; Pharma</t>
        </is>
      </c>
      <c r="K1041" s="3" t="n">
        <v>437</v>
      </c>
      <c r="L1041" s="3" t="n">
        <v>284</v>
      </c>
      <c r="M1041" s="4" t="n"/>
      <c r="N1041" s="3" t="n">
        <v>8248.530000000001</v>
      </c>
      <c r="O1041" s="4" t="inlineStr">
        <is>
          <t>United States</t>
        </is>
      </c>
      <c r="P1041" s="4" t="inlineStr">
        <is>
          <t>Switzerland</t>
        </is>
      </c>
      <c r="Q1041" s="4" t="inlineStr">
        <is>
          <t>Friendly</t>
        </is>
      </c>
      <c r="R1041" s="2" t="n"/>
      <c r="S1041" s="2" t="n"/>
      <c r="T1041" s="4" t="inlineStr">
        <is>
          <t>Company Takeover, Cross Border, Tender Offer</t>
        </is>
      </c>
      <c r="U1041" s="2" t="inlineStr">
        <is>
          <t>No</t>
        </is>
      </c>
      <c r="V1041" s="2" t="inlineStr">
        <is>
          <t>No</t>
        </is>
      </c>
      <c r="W1041" s="2" t="inlineStr">
        <is>
          <t>Yes</t>
        </is>
      </c>
      <c r="X1041" s="2" t="inlineStr">
        <is>
          <t>No</t>
        </is>
      </c>
      <c r="Y1041" s="2" t="inlineStr">
        <is>
          <t>No</t>
        </is>
      </c>
      <c r="Z1041" s="2" t="inlineStr">
        <is>
          <t>Yes</t>
        </is>
      </c>
      <c r="AA1041" s="6" t="n">
        <v>3.898967485</v>
      </c>
      <c r="AB1041" s="2" t="n"/>
      <c r="AC1041" s="6" t="n">
        <v>3.916376558</v>
      </c>
      <c r="AD1041">
        <f t="array" ref="AD1041">IF(SUMPRODUCT(--($AM$2:$AM$112=TRIM(LEFT($B1041,IFERROR(FIND(" ",$B1041)-1,LEN($B1041))))))&gt;0,1,0)</f>
        <v/>
      </c>
      <c r="AE1041">
        <f t="array" ref="AE1041">IF(SUMPRODUCT(--($AO$2:$AO$145=TRIM(LEFT($B1041,IFERROR(FIND(" ",$B1041)-1,LEN($B1041))))))&gt;0,1,0)</f>
        <v/>
      </c>
      <c r="AF1041">
        <f t="array" ref="AF1041">IF(SUMPRODUCT(--($AQ$2:$AQ$71=TRIM(LEFT($B1041,IFERROR(FIND(" ",$B1041)-1,LEN($B1041))))))&gt;0,1,0)</f>
        <v/>
      </c>
    </row>
    <row r="1042" ht="60.75" customHeight="1" thickBot="1">
      <c r="A1042" s="13" t="n">
        <v>162</v>
      </c>
      <c r="B1042" s="4" t="inlineStr">
        <is>
          <t>PJC/A CN</t>
        </is>
      </c>
      <c r="C1042" s="4" t="inlineStr">
        <is>
          <t>MRU CN</t>
        </is>
      </c>
      <c r="D1042" s="7" t="n">
        <v>43010</v>
      </c>
      <c r="E1042" s="3" t="n">
        <v>3759.81</v>
      </c>
      <c r="F1042" s="4" t="inlineStr">
        <is>
          <t>Cash or Stock</t>
        </is>
      </c>
      <c r="G1042" s="3" t="n">
        <v>15.59</v>
      </c>
      <c r="H1042" s="4" t="inlineStr">
        <is>
          <t>Consumer Staples</t>
        </is>
      </c>
      <c r="I1042" s="4" t="inlineStr">
        <is>
          <t>Retail &amp; Wholesale - Staples</t>
        </is>
      </c>
      <c r="J1042" s="4" t="inlineStr">
        <is>
          <t>Retail - Consumer Staples</t>
        </is>
      </c>
      <c r="K1042" s="4" t="n"/>
      <c r="L1042" s="3" t="n">
        <v>135</v>
      </c>
      <c r="M1042" s="3" t="n">
        <v>8.84</v>
      </c>
      <c r="N1042" s="3" t="n">
        <v>3608.52</v>
      </c>
      <c r="O1042" s="4" t="inlineStr">
        <is>
          <t>Canada</t>
        </is>
      </c>
      <c r="P1042" s="4" t="inlineStr">
        <is>
          <t>Canada</t>
        </is>
      </c>
      <c r="Q1042" s="4" t="inlineStr">
        <is>
          <t>Friendly</t>
        </is>
      </c>
      <c r="R1042" s="3" t="n">
        <v>2270.34</v>
      </c>
      <c r="S1042" s="3" t="n">
        <v>8.156420000000001</v>
      </c>
      <c r="T1042" s="4" t="inlineStr">
        <is>
          <t>Company Takeover</t>
        </is>
      </c>
      <c r="U1042" s="2" t="inlineStr">
        <is>
          <t>No</t>
        </is>
      </c>
      <c r="V1042" s="2" t="inlineStr">
        <is>
          <t>No</t>
        </is>
      </c>
      <c r="W1042" s="2" t="inlineStr">
        <is>
          <t>No</t>
        </is>
      </c>
      <c r="X1042" s="2" t="inlineStr">
        <is>
          <t>No</t>
        </is>
      </c>
      <c r="Y1042" s="2" t="inlineStr">
        <is>
          <t>No</t>
        </is>
      </c>
      <c r="Z1042" s="2" t="inlineStr">
        <is>
          <t>No</t>
        </is>
      </c>
      <c r="AA1042" s="6" t="n">
        <v>3.575165899</v>
      </c>
      <c r="AB1042" s="6" t="n">
        <v>3.356090901</v>
      </c>
      <c r="AC1042" s="6" t="n">
        <v>3.557329117</v>
      </c>
      <c r="AD1042">
        <f t="array" ref="AD1042">IF(SUMPRODUCT(--($AM$2:$AM$112=TRIM(LEFT($B1042,IFERROR(FIND(" ",$B1042)-1,LEN($B1042))))))&gt;0,1,0)</f>
        <v/>
      </c>
      <c r="AE1042">
        <f t="array" ref="AE1042">IF(SUMPRODUCT(--($AO$2:$AO$145=TRIM(LEFT($B1042,IFERROR(FIND(" ",$B1042)-1,LEN($B1042))))))&gt;0,1,0)</f>
        <v/>
      </c>
      <c r="AF1042">
        <f t="array" ref="AF1042">IF(SUMPRODUCT(--($AQ$2:$AQ$71=TRIM(LEFT($B1042,IFERROR(FIND(" ",$B1042)-1,LEN($B1042))))))&gt;0,1,0)</f>
        <v/>
      </c>
    </row>
    <row r="1043" ht="75.75" customHeight="1" thickBot="1">
      <c r="A1043" s="13" t="n">
        <v>105</v>
      </c>
      <c r="B1043" s="4" t="inlineStr">
        <is>
          <t>CBI US</t>
        </is>
      </c>
      <c r="C1043" s="4" t="inlineStr">
        <is>
          <t>MDRIQ US</t>
        </is>
      </c>
      <c r="D1043" s="7" t="n">
        <v>43087</v>
      </c>
      <c r="E1043" s="3" t="n">
        <v>3566</v>
      </c>
      <c r="F1043" s="4" t="inlineStr">
        <is>
          <t>Stock</t>
        </is>
      </c>
      <c r="G1043" s="4" t="n"/>
      <c r="H1043" s="4" t="inlineStr">
        <is>
          <t>Industrials</t>
        </is>
      </c>
      <c r="I1043" s="4" t="inlineStr">
        <is>
          <t>Industrial Services</t>
        </is>
      </c>
      <c r="J1043" s="4" t="inlineStr">
        <is>
          <t>Engineering &amp; Construction</t>
        </is>
      </c>
      <c r="K1043" s="4" t="n"/>
      <c r="L1043" s="4" t="n"/>
      <c r="M1043" s="3" t="n">
        <v>7.33</v>
      </c>
      <c r="N1043" s="3" t="n">
        <v>1827.96</v>
      </c>
      <c r="O1043" s="4" t="inlineStr">
        <is>
          <t>United States</t>
        </is>
      </c>
      <c r="P1043" s="4" t="inlineStr">
        <is>
          <t>United States</t>
        </is>
      </c>
      <c r="Q1043" s="4" t="inlineStr">
        <is>
          <t>Friendly</t>
        </is>
      </c>
      <c r="R1043" s="3" t="n">
        <v>6673.33</v>
      </c>
      <c r="S1043" s="3" t="n">
        <v>-6.07309</v>
      </c>
      <c r="T1043" s="4" t="inlineStr">
        <is>
          <t>Company Takeover, Tender Offer</t>
        </is>
      </c>
      <c r="U1043" s="2" t="inlineStr">
        <is>
          <t>No</t>
        </is>
      </c>
      <c r="V1043" s="2" t="inlineStr">
        <is>
          <t>No</t>
        </is>
      </c>
      <c r="W1043" s="2" t="inlineStr">
        <is>
          <t>No</t>
        </is>
      </c>
      <c r="X1043" s="2" t="inlineStr">
        <is>
          <t>No</t>
        </is>
      </c>
      <c r="Y1043" s="2" t="inlineStr">
        <is>
          <t>No</t>
        </is>
      </c>
      <c r="Z1043" s="2" t="inlineStr">
        <is>
          <t>Yes</t>
        </is>
      </c>
      <c r="AA1043" s="6" t="n">
        <v>3.552181339</v>
      </c>
      <c r="AB1043" s="6" t="n">
        <v>3.824342601</v>
      </c>
      <c r="AC1043" s="6" t="n">
        <v>3.261966688</v>
      </c>
      <c r="AD1043">
        <f t="array" ref="AD1043">IF(SUMPRODUCT(--($AM$2:$AM$112=TRIM(LEFT($B1043,IFERROR(FIND(" ",$B1043)-1,LEN($B1043))))))&gt;0,1,0)</f>
        <v/>
      </c>
      <c r="AE1043">
        <f t="array" ref="AE1043">IF(SUMPRODUCT(--($AO$2:$AO$145=TRIM(LEFT($B1043,IFERROR(FIND(" ",$B1043)-1,LEN($B1043))))))&gt;0,1,0)</f>
        <v/>
      </c>
      <c r="AF1043">
        <f t="array" ref="AF1043">IF(SUMPRODUCT(--($AQ$2:$AQ$71=TRIM(LEFT($B1043,IFERROR(FIND(" ",$B1043)-1,LEN($B1043))))))&gt;0,1,0)</f>
        <v/>
      </c>
    </row>
    <row r="1044" ht="45.75" customHeight="1" thickBot="1">
      <c r="A1044" s="13" t="n">
        <v>59</v>
      </c>
      <c r="B1044" s="4" t="inlineStr">
        <is>
          <t>REF-U CN</t>
        </is>
      </c>
      <c r="C1044" s="4" t="inlineStr">
        <is>
          <t>CHP-U CN</t>
        </is>
      </c>
      <c r="D1044" s="7" t="n">
        <v>43146</v>
      </c>
      <c r="E1044" s="3" t="n">
        <v>4679.42</v>
      </c>
      <c r="F1044" s="4" t="inlineStr">
        <is>
          <t>Cash or Stock</t>
        </is>
      </c>
      <c r="G1044" s="4" t="n"/>
      <c r="H1044" s="4" t="inlineStr">
        <is>
          <t>Real Estate</t>
        </is>
      </c>
      <c r="I1044" s="4" t="inlineStr">
        <is>
          <t>Real Estate</t>
        </is>
      </c>
      <c r="J1044" s="4" t="inlineStr">
        <is>
          <t>REIT</t>
        </is>
      </c>
      <c r="K1044" s="4" t="n"/>
      <c r="L1044" s="3" t="n">
        <v>95</v>
      </c>
      <c r="M1044" s="4" t="n"/>
      <c r="N1044" s="3" t="n">
        <v>3203.48</v>
      </c>
      <c r="O1044" s="4" t="inlineStr">
        <is>
          <t>Canada</t>
        </is>
      </c>
      <c r="P1044" s="4" t="inlineStr">
        <is>
          <t>Canada</t>
        </is>
      </c>
      <c r="Q1044" s="4" t="inlineStr">
        <is>
          <t>Friendly</t>
        </is>
      </c>
      <c r="R1044" s="3" t="n">
        <v>344.034</v>
      </c>
      <c r="S1044" s="3" t="n">
        <v>64.0707</v>
      </c>
      <c r="T1044" s="4" t="inlineStr">
        <is>
          <t>Company Takeover</t>
        </is>
      </c>
      <c r="U1044" s="2" t="inlineStr">
        <is>
          <t>No</t>
        </is>
      </c>
      <c r="V1044" s="2" t="inlineStr">
        <is>
          <t>No</t>
        </is>
      </c>
      <c r="W1044" s="2" t="inlineStr">
        <is>
          <t>No</t>
        </is>
      </c>
      <c r="X1044" s="2" t="inlineStr">
        <is>
          <t>No</t>
        </is>
      </c>
      <c r="Y1044" s="2" t="inlineStr">
        <is>
          <t>No</t>
        </is>
      </c>
      <c r="Z1044" s="2" t="inlineStr">
        <is>
          <t>No</t>
        </is>
      </c>
      <c r="AA1044" s="6" t="n">
        <v>3.670192027</v>
      </c>
      <c r="AB1044" s="6" t="n">
        <v>2.536601365</v>
      </c>
      <c r="AC1044" s="6" t="n">
        <v>3.505622017</v>
      </c>
      <c r="AD1044">
        <f t="array" ref="AD1044">IF(SUMPRODUCT(--($AM$2:$AM$112=TRIM(LEFT($B1044,IFERROR(FIND(" ",$B1044)-1,LEN($B1044))))))&gt;0,1,0)</f>
        <v/>
      </c>
      <c r="AE1044">
        <f t="array" ref="AE1044">IF(SUMPRODUCT(--($AO$2:$AO$145=TRIM(LEFT($B1044,IFERROR(FIND(" ",$B1044)-1,LEN($B1044))))))&gt;0,1,0)</f>
        <v/>
      </c>
      <c r="AF1044">
        <f t="array" ref="AF1044">IF(SUMPRODUCT(--($AQ$2:$AQ$71=TRIM(LEFT($B1044,IFERROR(FIND(" ",$B1044)-1,LEN($B1044))))))&gt;0,1,0)</f>
        <v/>
      </c>
    </row>
    <row r="1045" ht="105.75" customHeight="1" thickBot="1">
      <c r="A1045" s="13" t="n">
        <v>299</v>
      </c>
      <c r="B1045" s="4" t="inlineStr">
        <is>
          <t>MBBYF US</t>
        </is>
      </c>
      <c r="C1045" s="4" t="inlineStr">
        <is>
          <t>INTC US</t>
        </is>
      </c>
      <c r="D1045" s="7" t="n">
        <v>42807</v>
      </c>
      <c r="E1045" s="3" t="n">
        <v>14131.97</v>
      </c>
      <c r="F1045" s="4" t="inlineStr">
        <is>
          <t>Cash</t>
        </is>
      </c>
      <c r="G1045" s="3" t="n">
        <v>113.03</v>
      </c>
      <c r="H1045" s="4" t="inlineStr">
        <is>
          <t>Consumer Discretionary</t>
        </is>
      </c>
      <c r="I1045" s="4" t="inlineStr">
        <is>
          <t>Consumer Discretionary Products</t>
        </is>
      </c>
      <c r="J1045" s="4" t="inlineStr">
        <is>
          <t>Automotive</t>
        </is>
      </c>
      <c r="K1045" s="4" t="n"/>
      <c r="L1045" s="4" t="n"/>
      <c r="M1045" s="3" t="n">
        <v>37.53</v>
      </c>
      <c r="N1045" s="3" t="n">
        <v>14762.2</v>
      </c>
      <c r="O1045" s="4" t="inlineStr">
        <is>
          <t>United States</t>
        </is>
      </c>
      <c r="P1045" s="4" t="inlineStr">
        <is>
          <t>United States</t>
        </is>
      </c>
      <c r="Q1045" s="4" t="inlineStr">
        <is>
          <t>Friendly</t>
        </is>
      </c>
      <c r="R1045" s="3" t="n">
        <v>358.162</v>
      </c>
      <c r="S1045" s="3" t="n">
        <v>32.9254</v>
      </c>
      <c r="T1045" s="4" t="inlineStr">
        <is>
          <t>Company Takeover, Cross Border, Tender Offer</t>
        </is>
      </c>
      <c r="U1045" s="2" t="inlineStr">
        <is>
          <t>No</t>
        </is>
      </c>
      <c r="V1045" s="2" t="inlineStr">
        <is>
          <t>No</t>
        </is>
      </c>
      <c r="W1045" s="2" t="inlineStr">
        <is>
          <t>Yes</t>
        </is>
      </c>
      <c r="X1045" s="2" t="inlineStr">
        <is>
          <t>No</t>
        </is>
      </c>
      <c r="Y1045" s="2" t="inlineStr">
        <is>
          <t>No</t>
        </is>
      </c>
      <c r="Z1045" s="2" t="inlineStr">
        <is>
          <t>Yes</t>
        </is>
      </c>
      <c r="AA1045" s="6" t="n">
        <v>4.150202707</v>
      </c>
      <c r="AB1045" s="6" t="n">
        <v>2.554079507</v>
      </c>
      <c r="AC1045" s="6" t="n">
        <v>4.169151085</v>
      </c>
      <c r="AD1045">
        <f t="array" ref="AD1045">IF(SUMPRODUCT(--($AM$2:$AM$112=TRIM(LEFT($B1045,IFERROR(FIND(" ",$B1045)-1,LEN($B1045))))))&gt;0,1,0)</f>
        <v/>
      </c>
      <c r="AE1045">
        <f t="array" ref="AE1045">IF(SUMPRODUCT(--($AO$2:$AO$145=TRIM(LEFT($B1045,IFERROR(FIND(" ",$B1045)-1,LEN($B1045))))))&gt;0,1,0)</f>
        <v/>
      </c>
      <c r="AF1045">
        <f t="array" ref="AF1045">IF(SUMPRODUCT(--($AQ$2:$AQ$71=TRIM(LEFT($B1045,IFERROR(FIND(" ",$B1045)-1,LEN($B1045))))))&gt;0,1,0)</f>
        <v/>
      </c>
    </row>
    <row r="1046" ht="75.75" customHeight="1" thickBot="1">
      <c r="A1046" s="13" t="n">
        <v>32</v>
      </c>
      <c r="B1046" s="4" t="inlineStr">
        <is>
          <t>MULE US</t>
        </is>
      </c>
      <c r="C1046" s="4" t="inlineStr">
        <is>
          <t>CRM US</t>
        </is>
      </c>
      <c r="D1046" s="7" t="n">
        <v>43179</v>
      </c>
      <c r="E1046" s="3" t="n">
        <v>5667.38</v>
      </c>
      <c r="F1046" s="4" t="inlineStr">
        <is>
          <t>Cash and Stock</t>
        </is>
      </c>
      <c r="G1046" s="4" t="n"/>
      <c r="H1046" s="4" t="inlineStr">
        <is>
          <t>Technology</t>
        </is>
      </c>
      <c r="I1046" s="4" t="inlineStr">
        <is>
          <t>Software &amp; Tech Services</t>
        </is>
      </c>
      <c r="J1046" s="4" t="inlineStr">
        <is>
          <t>Software</t>
        </is>
      </c>
      <c r="K1046" s="4" t="n"/>
      <c r="L1046" s="3" t="n">
        <v>187</v>
      </c>
      <c r="M1046" s="3" t="n">
        <v>37.96</v>
      </c>
      <c r="N1046" s="3" t="n">
        <v>5871.55</v>
      </c>
      <c r="O1046" s="4" t="inlineStr">
        <is>
          <t>United States</t>
        </is>
      </c>
      <c r="P1046" s="4" t="inlineStr">
        <is>
          <t>United States</t>
        </is>
      </c>
      <c r="Q1046" s="4" t="inlineStr">
        <is>
          <t>Friendly</t>
        </is>
      </c>
      <c r="R1046" s="3" t="n">
        <v>296.456</v>
      </c>
      <c r="S1046" s="3" t="n">
        <v>-26.9163</v>
      </c>
      <c r="T1046" s="4" t="inlineStr">
        <is>
          <t>Company Takeover, Tender Offer</t>
        </is>
      </c>
      <c r="U1046" s="2" t="inlineStr">
        <is>
          <t>No</t>
        </is>
      </c>
      <c r="V1046" s="2" t="inlineStr">
        <is>
          <t>No</t>
        </is>
      </c>
      <c r="W1046" s="2" t="inlineStr">
        <is>
          <t>No</t>
        </is>
      </c>
      <c r="X1046" s="2" t="inlineStr">
        <is>
          <t>No</t>
        </is>
      </c>
      <c r="Y1046" s="2" t="inlineStr">
        <is>
          <t>No</t>
        </is>
      </c>
      <c r="Z1046" s="2" t="inlineStr">
        <is>
          <t>Yes</t>
        </is>
      </c>
      <c r="AA1046" s="6" t="n">
        <v>3.753382333</v>
      </c>
      <c r="AB1046" s="6" t="n">
        <v>2.471960244</v>
      </c>
      <c r="AC1046" s="6" t="n">
        <v>3.768752764</v>
      </c>
      <c r="AD1046">
        <f t="array" ref="AD1046">IF(SUMPRODUCT(--($AM$2:$AM$112=TRIM(LEFT($B1046,IFERROR(FIND(" ",$B1046)-1,LEN($B1046))))))&gt;0,1,0)</f>
        <v/>
      </c>
      <c r="AE1046">
        <f t="array" ref="AE1046">IF(SUMPRODUCT(--($AO$2:$AO$145=TRIM(LEFT($B1046,IFERROR(FIND(" ",$B1046)-1,LEN($B1046))))))&gt;0,1,0)</f>
        <v/>
      </c>
      <c r="AF1046">
        <f t="array" ref="AF1046">IF(SUMPRODUCT(--($AQ$2:$AQ$71=TRIM(LEFT($B1046,IFERROR(FIND(" ",$B1046)-1,LEN($B1046))))))&gt;0,1,0)</f>
        <v/>
      </c>
    </row>
    <row r="1047" ht="210.75" customHeight="1" thickBot="1">
      <c r="A1047" s="13" t="n">
        <v>47</v>
      </c>
      <c r="B1047" s="4" t="inlineStr">
        <is>
          <t>STB CN</t>
        </is>
      </c>
      <c r="C1047" s="2" t="n"/>
      <c r="D1047" s="7" t="n">
        <v>43158</v>
      </c>
      <c r="E1047" s="3" t="n">
        <v>1014.7</v>
      </c>
      <c r="F1047" s="4" t="inlineStr">
        <is>
          <t>Cash</t>
        </is>
      </c>
      <c r="G1047" s="3" t="n">
        <v>14.57</v>
      </c>
      <c r="H1047" s="4" t="inlineStr">
        <is>
          <t>Industrials</t>
        </is>
      </c>
      <c r="I1047" s="4" t="inlineStr">
        <is>
          <t>Industrial Services</t>
        </is>
      </c>
      <c r="J1047" s="4" t="inlineStr">
        <is>
          <t>Transportation &amp; Logistics</t>
        </is>
      </c>
      <c r="K1047" s="3" t="n">
        <v>28.4</v>
      </c>
      <c r="L1047" s="4" t="n"/>
      <c r="M1047" s="4" t="n"/>
      <c r="N1047" s="3" t="n">
        <v>652.88</v>
      </c>
      <c r="O1047" s="4" t="inlineStr">
        <is>
          <t>Canada</t>
        </is>
      </c>
      <c r="P1047" s="4" t="inlineStr">
        <is>
          <t>Canada</t>
        </is>
      </c>
      <c r="Q1047" s="4" t="inlineStr">
        <is>
          <t>Friendly</t>
        </is>
      </c>
      <c r="R1047" s="3" t="n">
        <v>637.317</v>
      </c>
      <c r="S1047" s="3" t="n">
        <v>5.69447</v>
      </c>
      <c r="T1047" s="4" t="inlineStr">
        <is>
          <t>PE Buyout, Company Takeover, Cross Border, Private Equity, Additional Stake Purchase, Going Private</t>
        </is>
      </c>
      <c r="U1047" s="2" t="inlineStr">
        <is>
          <t>Yes</t>
        </is>
      </c>
      <c r="V1047" s="2" t="inlineStr">
        <is>
          <t>No</t>
        </is>
      </c>
      <c r="W1047" s="2" t="inlineStr">
        <is>
          <t>Yes</t>
        </is>
      </c>
      <c r="X1047" s="2" t="inlineStr">
        <is>
          <t>Yes</t>
        </is>
      </c>
      <c r="Y1047" s="2" t="inlineStr">
        <is>
          <t>Yes</t>
        </is>
      </c>
      <c r="Z1047" s="2" t="inlineStr">
        <is>
          <t>No</t>
        </is>
      </c>
      <c r="AA1047" s="6" t="n">
        <v>3.00633766</v>
      </c>
      <c r="AB1047" s="6" t="n">
        <v>2.804355503</v>
      </c>
      <c r="AC1047" s="6" t="n">
        <v>2.814833365</v>
      </c>
      <c r="AD1047">
        <f t="array" ref="AD1047">IF(SUMPRODUCT(--($AM$2:$AM$112=TRIM(LEFT($B1047,IFERROR(FIND(" ",$B1047)-1,LEN($B1047))))))&gt;0,1,0)</f>
        <v/>
      </c>
      <c r="AE1047">
        <f t="array" ref="AE1047">IF(SUMPRODUCT(--($AO$2:$AO$145=TRIM(LEFT($B1047,IFERROR(FIND(" ",$B1047)-1,LEN($B1047))))))&gt;0,1,0)</f>
        <v/>
      </c>
      <c r="AF1047">
        <f t="array" ref="AF1047">IF(SUMPRODUCT(--($AQ$2:$AQ$71=TRIM(LEFT($B1047,IFERROR(FIND(" ",$B1047)-1,LEN($B1047))))))&gt;0,1,0)</f>
        <v/>
      </c>
    </row>
    <row r="1048" ht="105.75" customHeight="1" thickBot="1">
      <c r="A1048" s="13" t="n">
        <v>114</v>
      </c>
      <c r="B1048" s="4" t="inlineStr">
        <is>
          <t>CMED CN</t>
        </is>
      </c>
      <c r="C1048" s="4" t="inlineStr">
        <is>
          <t>ACB CN</t>
        </is>
      </c>
      <c r="D1048" s="7" t="n">
        <v>43063</v>
      </c>
      <c r="E1048" s="3" t="n">
        <v>794.28</v>
      </c>
      <c r="F1048" s="4" t="inlineStr">
        <is>
          <t>Cash or Stock</t>
        </is>
      </c>
      <c r="G1048" s="4" t="n"/>
      <c r="H1048" s="4" t="inlineStr">
        <is>
          <t>Consumer Staples</t>
        </is>
      </c>
      <c r="I1048" s="4" t="inlineStr">
        <is>
          <t>Consumer Staple Products</t>
        </is>
      </c>
      <c r="J1048" s="4" t="inlineStr">
        <is>
          <t>Tobacco &amp; Cannabis</t>
        </is>
      </c>
      <c r="K1048" s="4" t="n"/>
      <c r="L1048" s="4" t="n"/>
      <c r="M1048" s="3" t="n">
        <v>173.08</v>
      </c>
      <c r="N1048" s="3" t="n">
        <v>821.66</v>
      </c>
      <c r="O1048" s="4" t="inlineStr">
        <is>
          <t>Canada</t>
        </is>
      </c>
      <c r="P1048" s="4" t="inlineStr">
        <is>
          <t>Canada</t>
        </is>
      </c>
      <c r="Q1048" s="4" t="inlineStr">
        <is>
          <t>Hostile to Friendly</t>
        </is>
      </c>
      <c r="R1048" s="3" t="n">
        <v>20.241</v>
      </c>
      <c r="S1048" s="3" t="n">
        <v>20.9202</v>
      </c>
      <c r="T1048" s="4" t="inlineStr">
        <is>
          <t>Company Takeover, Squeeze out, Tender Offer</t>
        </is>
      </c>
      <c r="U1048" s="2" t="inlineStr">
        <is>
          <t>No</t>
        </is>
      </c>
      <c r="V1048" s="2" t="inlineStr">
        <is>
          <t>No</t>
        </is>
      </c>
      <c r="W1048" s="2" t="inlineStr">
        <is>
          <t>No</t>
        </is>
      </c>
      <c r="X1048" s="2" t="inlineStr">
        <is>
          <t>No</t>
        </is>
      </c>
      <c r="Y1048" s="2" t="inlineStr">
        <is>
          <t>No</t>
        </is>
      </c>
      <c r="Z1048" s="2" t="inlineStr">
        <is>
          <t>Yes</t>
        </is>
      </c>
      <c r="AA1048" s="6" t="n">
        <v>2.899973627</v>
      </c>
      <c r="AB1048" s="6" t="n">
        <v>1.306231965</v>
      </c>
      <c r="AC1048" s="6" t="n">
        <v>2.914692145</v>
      </c>
      <c r="AD1048">
        <f t="array" ref="AD1048">IF(SUMPRODUCT(--($AM$2:$AM$112=TRIM(LEFT($B1048,IFERROR(FIND(" ",$B1048)-1,LEN($B1048))))))&gt;0,1,0)</f>
        <v/>
      </c>
      <c r="AE1048">
        <f t="array" ref="AE1048">IF(SUMPRODUCT(--($AO$2:$AO$145=TRIM(LEFT($B1048,IFERROR(FIND(" ",$B1048)-1,LEN($B1048))))))&gt;0,1,0)</f>
        <v/>
      </c>
      <c r="AF1048">
        <f t="array" ref="AF1048">IF(SUMPRODUCT(--($AQ$2:$AQ$71=TRIM(LEFT($B1048,IFERROR(FIND(" ",$B1048)-1,LEN($B1048))))))&gt;0,1,0)</f>
        <v/>
      </c>
    </row>
    <row r="1049" ht="120.75" customHeight="1" thickBot="1">
      <c r="A1049" s="13" t="n">
        <v>84</v>
      </c>
      <c r="B1049" s="4" t="inlineStr">
        <is>
          <t>APLP US</t>
        </is>
      </c>
      <c r="C1049" s="4" t="inlineStr">
        <is>
          <t>AROC US</t>
        </is>
      </c>
      <c r="D1049" s="7" t="n">
        <v>43102</v>
      </c>
      <c r="E1049" s="3" t="n">
        <v>584.85</v>
      </c>
      <c r="F1049" s="4" t="inlineStr">
        <is>
          <t>Stock</t>
        </is>
      </c>
      <c r="G1049" s="3" t="n">
        <v>4.38</v>
      </c>
      <c r="H1049" s="4" t="inlineStr">
        <is>
          <t>Energy</t>
        </is>
      </c>
      <c r="I1049" s="4" t="inlineStr">
        <is>
          <t>Oil &amp; Gas</t>
        </is>
      </c>
      <c r="J1049" s="4" t="inlineStr">
        <is>
          <t>Oil &amp; Gas Services &amp; Equip</t>
        </is>
      </c>
      <c r="K1049" s="4" t="n"/>
      <c r="L1049" s="3" t="n">
        <v>10</v>
      </c>
      <c r="M1049" s="3" t="n">
        <v>22</v>
      </c>
      <c r="N1049" s="3" t="n">
        <v>584.85</v>
      </c>
      <c r="O1049" s="4" t="inlineStr">
        <is>
          <t>United States</t>
        </is>
      </c>
      <c r="P1049" s="4" t="inlineStr">
        <is>
          <t>United States</t>
        </is>
      </c>
      <c r="Q1049" s="4" t="inlineStr">
        <is>
          <t>Friendly</t>
        </is>
      </c>
      <c r="R1049" s="3" t="n">
        <v>1489.82</v>
      </c>
      <c r="S1049" s="3" t="n">
        <v>23.8549</v>
      </c>
      <c r="T1049" s="4" t="inlineStr">
        <is>
          <t>Company Takeover, Additional Stake Purchase</t>
        </is>
      </c>
      <c r="U1049" s="2" t="inlineStr">
        <is>
          <t>Yes</t>
        </is>
      </c>
      <c r="V1049" s="2" t="inlineStr">
        <is>
          <t>No</t>
        </is>
      </c>
      <c r="W1049" s="2" t="inlineStr">
        <is>
          <t>No</t>
        </is>
      </c>
      <c r="X1049" s="2" t="inlineStr">
        <is>
          <t>No</t>
        </is>
      </c>
      <c r="Y1049" s="2" t="inlineStr">
        <is>
          <t>No</t>
        </is>
      </c>
      <c r="Z1049" s="2" t="inlineStr">
        <is>
          <t>No</t>
        </is>
      </c>
      <c r="AA1049" s="6" t="n">
        <v>2.767044494</v>
      </c>
      <c r="AB1049" s="6" t="n">
        <v>3.1731338</v>
      </c>
      <c r="AC1049" s="6" t="n">
        <v>2.767044494</v>
      </c>
      <c r="AD1049">
        <f t="array" ref="AD1049">IF(SUMPRODUCT(--($AM$2:$AM$112=TRIM(LEFT($B1049,IFERROR(FIND(" ",$B1049)-1,LEN($B1049))))))&gt;0,1,0)</f>
        <v/>
      </c>
      <c r="AE1049">
        <f t="array" ref="AE1049">IF(SUMPRODUCT(--($AO$2:$AO$145=TRIM(LEFT($B1049,IFERROR(FIND(" ",$B1049)-1,LEN($B1049))))))&gt;0,1,0)</f>
        <v/>
      </c>
      <c r="AF1049">
        <f t="array" ref="AF1049">IF(SUMPRODUCT(--($AQ$2:$AQ$71=TRIM(LEFT($B1049,IFERROR(FIND(" ",$B1049)-1,LEN($B1049))))))&gt;0,1,0)</f>
        <v/>
      </c>
    </row>
    <row r="1050" ht="45.75" customHeight="1" thickBot="1">
      <c r="A1050" s="13" t="n">
        <v>44</v>
      </c>
      <c r="B1050" s="4" t="inlineStr">
        <is>
          <t>1811045D US</t>
        </is>
      </c>
      <c r="C1050" s="4" t="inlineStr">
        <is>
          <t>GIS US</t>
        </is>
      </c>
      <c r="D1050" s="7" t="n">
        <v>43154</v>
      </c>
      <c r="E1050" s="3" t="n">
        <v>7885.88</v>
      </c>
      <c r="F1050" s="4" t="inlineStr">
        <is>
          <t>Cash</t>
        </is>
      </c>
      <c r="G1050" s="3" t="n">
        <v>25.13</v>
      </c>
      <c r="H1050" s="4" t="inlineStr">
        <is>
          <t>Consumer Staples</t>
        </is>
      </c>
      <c r="I1050" s="4" t="inlineStr">
        <is>
          <t>Consumer Staple Products</t>
        </is>
      </c>
      <c r="J1050" s="4" t="inlineStr">
        <is>
          <t>Food</t>
        </is>
      </c>
      <c r="K1050" s="4" t="n"/>
      <c r="L1050" s="3" t="n">
        <v>234</v>
      </c>
      <c r="M1050" s="3" t="n">
        <v>19.02</v>
      </c>
      <c r="N1050" s="3" t="n">
        <v>7885.88</v>
      </c>
      <c r="O1050" s="4" t="inlineStr">
        <is>
          <t>United States</t>
        </is>
      </c>
      <c r="P1050" s="4" t="inlineStr">
        <is>
          <t>United States</t>
        </is>
      </c>
      <c r="Q1050" s="4" t="inlineStr">
        <is>
          <t>Friendly</t>
        </is>
      </c>
      <c r="R1050" s="3" t="n">
        <v>1274.59</v>
      </c>
      <c r="S1050" s="3" t="n">
        <v>23.7815</v>
      </c>
      <c r="T1050" s="4" t="inlineStr">
        <is>
          <t>Company Takeover</t>
        </is>
      </c>
      <c r="U1050" s="2" t="inlineStr">
        <is>
          <t>No</t>
        </is>
      </c>
      <c r="V1050" s="2" t="inlineStr">
        <is>
          <t>No</t>
        </is>
      </c>
      <c r="W1050" s="2" t="inlineStr">
        <is>
          <t>No</t>
        </is>
      </c>
      <c r="X1050" s="2" t="inlineStr">
        <is>
          <t>No</t>
        </is>
      </c>
      <c r="Y1050" s="2" t="inlineStr">
        <is>
          <t>No</t>
        </is>
      </c>
      <c r="Z1050" s="2" t="inlineStr">
        <is>
          <t>No</t>
        </is>
      </c>
      <c r="AA1050" s="6" t="n">
        <v>3.896850164</v>
      </c>
      <c r="AB1050" s="6" t="n">
        <v>3.105370507</v>
      </c>
      <c r="AC1050" s="6" t="n">
        <v>3.896850164</v>
      </c>
      <c r="AD1050">
        <f t="array" ref="AD1050">IF(SUMPRODUCT(--($AM$2:$AM$112=TRIM(LEFT($B1050,IFERROR(FIND(" ",$B1050)-1,LEN($B1050))))))&gt;0,1,0)</f>
        <v/>
      </c>
      <c r="AE1050">
        <f t="array" ref="AE1050">IF(SUMPRODUCT(--($AO$2:$AO$145=TRIM(LEFT($B1050,IFERROR(FIND(" ",$B1050)-1,LEN($B1050))))))&gt;0,1,0)</f>
        <v/>
      </c>
      <c r="AF1050">
        <f t="array" ref="AF1050">IF(SUMPRODUCT(--($AQ$2:$AQ$71=TRIM(LEFT($B1050,IFERROR(FIND(" ",$B1050)-1,LEN($B1050))))))&gt;0,1,0)</f>
        <v/>
      </c>
    </row>
    <row r="1051" ht="45.75" customHeight="1" thickBot="1">
      <c r="A1051" s="13" t="n">
        <v>69</v>
      </c>
      <c r="B1051" s="4" t="inlineStr">
        <is>
          <t>DST US</t>
        </is>
      </c>
      <c r="C1051" s="4" t="inlineStr">
        <is>
          <t>SSNC US</t>
        </is>
      </c>
      <c r="D1051" s="7" t="n">
        <v>43111</v>
      </c>
      <c r="E1051" s="3" t="n">
        <v>5562.6</v>
      </c>
      <c r="F1051" s="4" t="inlineStr">
        <is>
          <t>Cash</t>
        </is>
      </c>
      <c r="G1051" s="3" t="n">
        <v>13.46</v>
      </c>
      <c r="H1051" s="4" t="inlineStr">
        <is>
          <t>Financials</t>
        </is>
      </c>
      <c r="I1051" s="4" t="inlineStr">
        <is>
          <t>Financial Services</t>
        </is>
      </c>
      <c r="J1051" s="4" t="inlineStr">
        <is>
          <t>Specialty Finance</t>
        </is>
      </c>
      <c r="K1051" s="4" t="n"/>
      <c r="L1051" s="3" t="n">
        <v>165</v>
      </c>
      <c r="M1051" s="3" t="n">
        <v>33</v>
      </c>
      <c r="N1051" s="3" t="n">
        <v>5058.5</v>
      </c>
      <c r="O1051" s="4" t="inlineStr">
        <is>
          <t>United States</t>
        </is>
      </c>
      <c r="P1051" s="4" t="inlineStr">
        <is>
          <t>United States</t>
        </is>
      </c>
      <c r="Q1051" s="4" t="inlineStr">
        <is>
          <t>Friendly</t>
        </is>
      </c>
      <c r="R1051" s="3" t="n">
        <v>2218.2</v>
      </c>
      <c r="S1051" s="3" t="n">
        <v>12.8573</v>
      </c>
      <c r="T1051" s="4" t="inlineStr">
        <is>
          <t>Company Takeover</t>
        </is>
      </c>
      <c r="U1051" s="2" t="inlineStr">
        <is>
          <t>No</t>
        </is>
      </c>
      <c r="V1051" s="2" t="inlineStr">
        <is>
          <t>No</t>
        </is>
      </c>
      <c r="W1051" s="2" t="inlineStr">
        <is>
          <t>No</t>
        </is>
      </c>
      <c r="X1051" s="2" t="inlineStr">
        <is>
          <t>No</t>
        </is>
      </c>
      <c r="Y1051" s="2" t="inlineStr">
        <is>
          <t>No</t>
        </is>
      </c>
      <c r="Z1051" s="2" t="inlineStr">
        <is>
          <t>No</t>
        </is>
      </c>
      <c r="AA1051" s="6" t="n">
        <v>3.745277831</v>
      </c>
      <c r="AB1051" s="6" t="n">
        <v>3.346000701</v>
      </c>
      <c r="AC1051" s="6" t="n">
        <v>3.704021754</v>
      </c>
      <c r="AD1051">
        <f t="array" ref="AD1051">IF(SUMPRODUCT(--($AM$2:$AM$112=TRIM(LEFT($B1051,IFERROR(FIND(" ",$B1051)-1,LEN($B1051))))))&gt;0,1,0)</f>
        <v/>
      </c>
      <c r="AE1051">
        <f t="array" ref="AE1051">IF(SUMPRODUCT(--($AO$2:$AO$145=TRIM(LEFT($B1051,IFERROR(FIND(" ",$B1051)-1,LEN($B1051))))))&gt;0,1,0)</f>
        <v/>
      </c>
      <c r="AF1051">
        <f t="array" ref="AF1051">IF(SUMPRODUCT(--($AQ$2:$AQ$71=TRIM(LEFT($B1051,IFERROR(FIND(" ",$B1051)-1,LEN($B1051))))))&gt;0,1,0)</f>
        <v/>
      </c>
    </row>
    <row r="1052" ht="135.75" customHeight="1" thickBot="1">
      <c r="A1052" s="13" t="n">
        <v>52</v>
      </c>
      <c r="B1052" s="4" t="inlineStr">
        <is>
          <t>PGEM US</t>
        </is>
      </c>
      <c r="C1052" s="4" t="inlineStr">
        <is>
          <t>5056Z US</t>
        </is>
      </c>
      <c r="D1052" s="7" t="n">
        <v>43131</v>
      </c>
      <c r="E1052" s="3" t="n">
        <v>2300.57</v>
      </c>
      <c r="F1052" s="4" t="inlineStr">
        <is>
          <t>Cash</t>
        </is>
      </c>
      <c r="G1052" s="3" t="n">
        <v>10.11</v>
      </c>
      <c r="H1052" s="4" t="inlineStr">
        <is>
          <t>Consumer Discretionary</t>
        </is>
      </c>
      <c r="I1052" s="4" t="inlineStr">
        <is>
          <t>Consumer Discretionary Products</t>
        </is>
      </c>
      <c r="J1052" s="4" t="inlineStr">
        <is>
          <t>Home Construction</t>
        </is>
      </c>
      <c r="K1052" s="3" t="n">
        <v>112.5</v>
      </c>
      <c r="L1052" s="3" t="n">
        <v>45</v>
      </c>
      <c r="M1052" s="4" t="n"/>
      <c r="N1052" s="3" t="n">
        <v>1481.66</v>
      </c>
      <c r="O1052" s="4" t="inlineStr">
        <is>
          <t>United States</t>
        </is>
      </c>
      <c r="P1052" s="4" t="inlineStr">
        <is>
          <t>United States</t>
        </is>
      </c>
      <c r="Q1052" s="4" t="inlineStr">
        <is>
          <t>Friendly</t>
        </is>
      </c>
      <c r="R1052" s="3" t="n">
        <v>2056.3</v>
      </c>
      <c r="S1052" s="3" t="n">
        <v>8.47433</v>
      </c>
      <c r="T1052" s="4" t="inlineStr">
        <is>
          <t>PE Buyout, Company Takeover, Going Private, Private Equity</t>
        </is>
      </c>
      <c r="U1052" s="2" t="inlineStr">
        <is>
          <t>No</t>
        </is>
      </c>
      <c r="V1052" s="2" t="inlineStr">
        <is>
          <t>No</t>
        </is>
      </c>
      <c r="W1052" s="2" t="inlineStr">
        <is>
          <t>No</t>
        </is>
      </c>
      <c r="X1052" s="2" t="inlineStr">
        <is>
          <t>Yes</t>
        </is>
      </c>
      <c r="Y1052" s="2" t="inlineStr">
        <is>
          <t>Yes</t>
        </is>
      </c>
      <c r="Z1052" s="2" t="inlineStr">
        <is>
          <t>No</t>
        </is>
      </c>
      <c r="AA1052" s="6" t="n">
        <v>3.361835452</v>
      </c>
      <c r="AB1052" s="6" t="n">
        <v>3.313086476</v>
      </c>
      <c r="AC1052" s="6" t="n">
        <v>3.170748557</v>
      </c>
      <c r="AD1052">
        <f t="array" ref="AD1052">IF(SUMPRODUCT(--($AM$2:$AM$112=TRIM(LEFT($B1052,IFERROR(FIND(" ",$B1052)-1,LEN($B1052))))))&gt;0,1,0)</f>
        <v/>
      </c>
      <c r="AE1052">
        <f t="array" ref="AE1052">IF(SUMPRODUCT(--($AO$2:$AO$145=TRIM(LEFT($B1052,IFERROR(FIND(" ",$B1052)-1,LEN($B1052))))))&gt;0,1,0)</f>
        <v/>
      </c>
      <c r="AF1052">
        <f t="array" ref="AF1052">IF(SUMPRODUCT(--($AQ$2:$AQ$71=TRIM(LEFT($B1052,IFERROR(FIND(" ",$B1052)-1,LEN($B1052))))))&gt;0,1,0)</f>
        <v/>
      </c>
    </row>
    <row r="1053" ht="45.75" customHeight="1" thickBot="1">
      <c r="A1053" s="13" t="n">
        <v>116</v>
      </c>
      <c r="B1053" s="4" t="inlineStr">
        <is>
          <t>1824906D US</t>
        </is>
      </c>
      <c r="C1053" s="4" t="inlineStr">
        <is>
          <t>VST US</t>
        </is>
      </c>
      <c r="D1053" s="7" t="n">
        <v>43038</v>
      </c>
      <c r="E1053" s="3" t="n">
        <v>10515.44</v>
      </c>
      <c r="F1053" s="4" t="inlineStr">
        <is>
          <t>Stock</t>
        </is>
      </c>
      <c r="G1053" s="3" t="n">
        <v>15.33</v>
      </c>
      <c r="H1053" s="4" t="inlineStr">
        <is>
          <t>Utilities</t>
        </is>
      </c>
      <c r="I1053" s="4" t="inlineStr">
        <is>
          <t>Utilities</t>
        </is>
      </c>
      <c r="J1053" s="4" t="inlineStr">
        <is>
          <t>Electric Utilities</t>
        </is>
      </c>
      <c r="K1053" s="3" t="n">
        <v>100</v>
      </c>
      <c r="L1053" s="3" t="n">
        <v>87</v>
      </c>
      <c r="M1053" s="3" t="n">
        <v>29.68</v>
      </c>
      <c r="N1053" s="3" t="n">
        <v>1645.44</v>
      </c>
      <c r="O1053" s="4" t="inlineStr">
        <is>
          <t>United States</t>
        </is>
      </c>
      <c r="P1053" s="4" t="inlineStr">
        <is>
          <t>United States</t>
        </is>
      </c>
      <c r="Q1053" s="4" t="inlineStr">
        <is>
          <t>Friendly</t>
        </is>
      </c>
      <c r="R1053" s="3" t="n">
        <v>4842</v>
      </c>
      <c r="S1053" s="3" t="n">
        <v>-8.50888</v>
      </c>
      <c r="T1053" s="4" t="inlineStr">
        <is>
          <t>Company Takeover</t>
        </is>
      </c>
      <c r="U1053" s="2" t="inlineStr">
        <is>
          <t>No</t>
        </is>
      </c>
      <c r="V1053" s="2" t="inlineStr">
        <is>
          <t>No</t>
        </is>
      </c>
      <c r="W1053" s="2" t="inlineStr">
        <is>
          <t>No</t>
        </is>
      </c>
      <c r="X1053" s="2" t="inlineStr">
        <is>
          <t>No</t>
        </is>
      </c>
      <c r="Y1053" s="2" t="inlineStr">
        <is>
          <t>No</t>
        </is>
      </c>
      <c r="Z1053" s="2" t="inlineStr">
        <is>
          <t>No</t>
        </is>
      </c>
      <c r="AA1053" s="6" t="n">
        <v>4.02182745</v>
      </c>
      <c r="AB1053" s="6" t="n">
        <v>3.685024785</v>
      </c>
      <c r="AC1053" s="6" t="n">
        <v>3.216282051</v>
      </c>
      <c r="AD1053">
        <f t="array" ref="AD1053">IF(SUMPRODUCT(--($AM$2:$AM$112=TRIM(LEFT($B1053,IFERROR(FIND(" ",$B1053)-1,LEN($B1053))))))&gt;0,1,0)</f>
        <v/>
      </c>
      <c r="AE1053">
        <f t="array" ref="AE1053">IF(SUMPRODUCT(--($AO$2:$AO$145=TRIM(LEFT($B1053,IFERROR(FIND(" ",$B1053)-1,LEN($B1053))))))&gt;0,1,0)</f>
        <v/>
      </c>
      <c r="AF1053">
        <f t="array" ref="AF1053">IF(SUMPRODUCT(--($AQ$2:$AQ$71=TRIM(LEFT($B1053,IFERROR(FIND(" ",$B1053)-1,LEN($B1053))))))&gt;0,1,0)</f>
        <v/>
      </c>
    </row>
    <row r="1054" ht="75.75" customHeight="1" thickBot="1">
      <c r="A1054" s="13" t="n">
        <v>50</v>
      </c>
      <c r="B1054" s="4" t="inlineStr">
        <is>
          <t>CALD US</t>
        </is>
      </c>
      <c r="C1054" s="4" t="inlineStr">
        <is>
          <t>SAP GR</t>
        </is>
      </c>
      <c r="D1054" s="7" t="n">
        <v>43129</v>
      </c>
      <c r="E1054" s="3" t="n">
        <v>2285.99</v>
      </c>
      <c r="F1054" s="4" t="inlineStr">
        <is>
          <t>Cash</t>
        </is>
      </c>
      <c r="G1054" s="4" t="n"/>
      <c r="H1054" s="4" t="inlineStr">
        <is>
          <t>Technology</t>
        </is>
      </c>
      <c r="I1054" s="4" t="inlineStr">
        <is>
          <t>Software &amp; Tech Services</t>
        </is>
      </c>
      <c r="J1054" s="4" t="inlineStr">
        <is>
          <t>Software</t>
        </is>
      </c>
      <c r="K1054" s="4" t="n"/>
      <c r="L1054" s="3" t="n">
        <v>75</v>
      </c>
      <c r="M1054" s="3" t="n">
        <v>19.68</v>
      </c>
      <c r="N1054" s="3" t="n">
        <v>2462.4</v>
      </c>
      <c r="O1054" s="4" t="inlineStr">
        <is>
          <t>United States</t>
        </is>
      </c>
      <c r="P1054" s="4" t="inlineStr">
        <is>
          <t>Germany</t>
        </is>
      </c>
      <c r="Q1054" s="4" t="inlineStr">
        <is>
          <t>Friendly</t>
        </is>
      </c>
      <c r="R1054" s="3" t="n">
        <v>253.091</v>
      </c>
      <c r="S1054" s="3" t="n">
        <v>-8.474819999999999</v>
      </c>
      <c r="T1054" s="4" t="inlineStr">
        <is>
          <t>Company Takeover, Cross Border</t>
        </is>
      </c>
      <c r="U1054" s="2" t="inlineStr">
        <is>
          <t>No</t>
        </is>
      </c>
      <c r="V1054" s="2" t="inlineStr">
        <is>
          <t>No</t>
        </is>
      </c>
      <c r="W1054" s="2" t="inlineStr">
        <is>
          <t>Yes</t>
        </is>
      </c>
      <c r="X1054" s="2" t="inlineStr">
        <is>
          <t>No</t>
        </is>
      </c>
      <c r="Y1054" s="2" t="inlineStr">
        <is>
          <t>No</t>
        </is>
      </c>
      <c r="Z1054" s="2" t="inlineStr">
        <is>
          <t>No</t>
        </is>
      </c>
      <c r="AA1054" s="6" t="n">
        <v>3.359074326</v>
      </c>
      <c r="AB1054" s="6" t="n">
        <v>2.403276702</v>
      </c>
      <c r="AC1054" s="6" t="n">
        <v>3.391358602</v>
      </c>
      <c r="AD1054">
        <f t="array" ref="AD1054">IF(SUMPRODUCT(--($AM$2:$AM$112=TRIM(LEFT($B1054,IFERROR(FIND(" ",$B1054)-1,LEN($B1054))))))&gt;0,1,0)</f>
        <v/>
      </c>
      <c r="AE1054">
        <f t="array" ref="AE1054">IF(SUMPRODUCT(--($AO$2:$AO$145=TRIM(LEFT($B1054,IFERROR(FIND(" ",$B1054)-1,LEN($B1054))))))&gt;0,1,0)</f>
        <v/>
      </c>
      <c r="AF1054">
        <f t="array" ref="AF1054">IF(SUMPRODUCT(--($AQ$2:$AQ$71=TRIM(LEFT($B1054,IFERROR(FIND(" ",$B1054)-1,LEN($B1054))))))&gt;0,1,0)</f>
        <v/>
      </c>
    </row>
    <row r="1055" ht="165.75" customHeight="1" thickBot="1">
      <c r="A1055" s="13" t="n">
        <v>33</v>
      </c>
      <c r="B1055" s="4" t="inlineStr">
        <is>
          <t>1940857D US</t>
        </is>
      </c>
      <c r="C1055" s="4" t="inlineStr">
        <is>
          <t>500735Z FP</t>
        </is>
      </c>
      <c r="D1055" s="7" t="n">
        <v>43151</v>
      </c>
      <c r="E1055" s="3" t="n">
        <v>552.86</v>
      </c>
      <c r="F1055" s="4" t="inlineStr">
        <is>
          <t>Cash</t>
        </is>
      </c>
      <c r="G1055" s="3" t="n">
        <v>11.39</v>
      </c>
      <c r="H1055" s="4" t="inlineStr">
        <is>
          <t>Consumer Discretionary</t>
        </is>
      </c>
      <c r="I1055" s="4" t="inlineStr">
        <is>
          <t>Consumer Discretionary Services</t>
        </is>
      </c>
      <c r="J1055" s="4" t="inlineStr">
        <is>
          <t>Leisure Facilities &amp; Services</t>
        </is>
      </c>
      <c r="K1055" s="3" t="n">
        <v>29.8</v>
      </c>
      <c r="L1055" s="3" t="n">
        <v>17.8742</v>
      </c>
      <c r="M1055" s="4" t="n"/>
      <c r="N1055" s="3" t="n">
        <v>444.99</v>
      </c>
      <c r="O1055" s="4" t="inlineStr">
        <is>
          <t>United States</t>
        </is>
      </c>
      <c r="P1055" s="4" t="inlineStr">
        <is>
          <t>United States</t>
        </is>
      </c>
      <c r="Q1055" s="4" t="inlineStr">
        <is>
          <t>Friendly</t>
        </is>
      </c>
      <c r="R1055" s="3" t="n">
        <v>314.359</v>
      </c>
      <c r="S1055" s="3" t="n">
        <v>9.37909</v>
      </c>
      <c r="T1055" s="4" t="inlineStr">
        <is>
          <t>PE Buyout, Company Takeover, Private Equity, Going Private, Cross Border</t>
        </is>
      </c>
      <c r="U1055" s="2" t="inlineStr">
        <is>
          <t>No</t>
        </is>
      </c>
      <c r="V1055" s="2" t="inlineStr">
        <is>
          <t>No</t>
        </is>
      </c>
      <c r="W1055" s="2" t="inlineStr">
        <is>
          <t>Yes</t>
        </is>
      </c>
      <c r="X1055" s="2" t="inlineStr">
        <is>
          <t>Yes</t>
        </is>
      </c>
      <c r="Y1055" s="2" t="inlineStr">
        <is>
          <t>Yes</t>
        </is>
      </c>
      <c r="Z1055" s="2" t="inlineStr">
        <is>
          <t>No</t>
        </is>
      </c>
      <c r="AA1055" s="6" t="n">
        <v>2.742615169</v>
      </c>
      <c r="AB1055" s="6" t="n">
        <v>2.497425899</v>
      </c>
      <c r="AC1055" s="6" t="n">
        <v>2.648350251</v>
      </c>
      <c r="AD1055">
        <f t="array" ref="AD1055">IF(SUMPRODUCT(--($AM$2:$AM$112=TRIM(LEFT($B1055,IFERROR(FIND(" ",$B1055)-1,LEN($B1055))))))&gt;0,1,0)</f>
        <v/>
      </c>
      <c r="AE1055">
        <f t="array" ref="AE1055">IF(SUMPRODUCT(--($AO$2:$AO$145=TRIM(LEFT($B1055,IFERROR(FIND(" ",$B1055)-1,LEN($B1055))))))&gt;0,1,0)</f>
        <v/>
      </c>
      <c r="AF1055">
        <f t="array" ref="AF1055">IF(SUMPRODUCT(--($AQ$2:$AQ$71=TRIM(LEFT($B1055,IFERROR(FIND(" ",$B1055)-1,LEN($B1055))))))&gt;0,1,0)</f>
        <v/>
      </c>
    </row>
    <row r="1056" ht="75.75" customHeight="1" thickBot="1">
      <c r="A1056" s="13" t="n">
        <v>38</v>
      </c>
      <c r="B1056" s="4" t="inlineStr">
        <is>
          <t>CSRA US</t>
        </is>
      </c>
      <c r="C1056" s="4" t="inlineStr">
        <is>
          <t>GD US</t>
        </is>
      </c>
      <c r="D1056" s="7" t="n">
        <v>43143</v>
      </c>
      <c r="E1056" s="3" t="n">
        <v>9695.9</v>
      </c>
      <c r="F1056" s="4" t="inlineStr">
        <is>
          <t>Cash</t>
        </is>
      </c>
      <c r="G1056" s="3" t="n">
        <v>13.54</v>
      </c>
      <c r="H1056" s="4" t="inlineStr">
        <is>
          <t>Technology</t>
        </is>
      </c>
      <c r="I1056" s="4" t="inlineStr">
        <is>
          <t>Software &amp; Tech Services</t>
        </is>
      </c>
      <c r="J1056" s="4" t="inlineStr">
        <is>
          <t>IT Services</t>
        </is>
      </c>
      <c r="K1056" s="4" t="n"/>
      <c r="L1056" s="3" t="n">
        <v>204</v>
      </c>
      <c r="M1056" s="3" t="n">
        <v>28.3</v>
      </c>
      <c r="N1056" s="3" t="n">
        <v>6778.9</v>
      </c>
      <c r="O1056" s="4" t="inlineStr">
        <is>
          <t>United States</t>
        </is>
      </c>
      <c r="P1056" s="4" t="inlineStr">
        <is>
          <t>United States</t>
        </is>
      </c>
      <c r="Q1056" s="4" t="inlineStr">
        <is>
          <t>Friendly</t>
        </is>
      </c>
      <c r="R1056" s="3" t="n">
        <v>4993</v>
      </c>
      <c r="S1056" s="3" t="n">
        <v>9.636649999999999</v>
      </c>
      <c r="T1056" s="4" t="inlineStr">
        <is>
          <t>Company Takeover, Tender Offer</t>
        </is>
      </c>
      <c r="U1056" s="2" t="inlineStr">
        <is>
          <t>No</t>
        </is>
      </c>
      <c r="V1056" s="2" t="inlineStr">
        <is>
          <t>No</t>
        </is>
      </c>
      <c r="W1056" s="2" t="inlineStr">
        <is>
          <t>No</t>
        </is>
      </c>
      <c r="X1056" s="2" t="inlineStr">
        <is>
          <t>No</t>
        </is>
      </c>
      <c r="Y1056" s="2" t="inlineStr">
        <is>
          <t>No</t>
        </is>
      </c>
      <c r="Z1056" s="2" t="inlineStr">
        <is>
          <t>Yes</t>
        </is>
      </c>
      <c r="AA1056" s="6" t="n">
        <v>3.986588128</v>
      </c>
      <c r="AB1056" s="6" t="n">
        <v>3.698361566</v>
      </c>
      <c r="AC1056" s="6" t="n">
        <v>3.831159227</v>
      </c>
      <c r="AD1056">
        <f t="array" ref="AD1056">IF(SUMPRODUCT(--($AM$2:$AM$112=TRIM(LEFT($B1056,IFERROR(FIND(" ",$B1056)-1,LEN($B1056))))))&gt;0,1,0)</f>
        <v/>
      </c>
      <c r="AE1056">
        <f t="array" ref="AE1056">IF(SUMPRODUCT(--($AO$2:$AO$145=TRIM(LEFT($B1056,IFERROR(FIND(" ",$B1056)-1,LEN($B1056))))))&gt;0,1,0)</f>
        <v/>
      </c>
      <c r="AF1056">
        <f t="array" ref="AF1056">IF(SUMPRODUCT(--($AQ$2:$AQ$71=TRIM(LEFT($B1056,IFERROR(FIND(" ",$B1056)-1,LEN($B1056))))))&gt;0,1,0)</f>
        <v/>
      </c>
    </row>
    <row r="1057" ht="75.75" customHeight="1" thickBot="1">
      <c r="A1057" s="13" t="n">
        <v>44</v>
      </c>
      <c r="B1057" s="4" t="inlineStr">
        <is>
          <t>AVO CN</t>
        </is>
      </c>
      <c r="C1057" s="4" t="inlineStr">
        <is>
          <t>MSI US</t>
        </is>
      </c>
      <c r="D1057" s="7" t="n">
        <v>43132</v>
      </c>
      <c r="E1057" s="3" t="n">
        <v>1036.48</v>
      </c>
      <c r="F1057" s="4" t="inlineStr">
        <is>
          <t>Cash</t>
        </is>
      </c>
      <c r="G1057" s="3" t="n">
        <v>14.89</v>
      </c>
      <c r="H1057" s="4" t="inlineStr">
        <is>
          <t>Technology</t>
        </is>
      </c>
      <c r="I1057" s="4" t="inlineStr">
        <is>
          <t>Tech Hardware &amp; Semiconductors</t>
        </is>
      </c>
      <c r="J1057" s="4" t="inlineStr">
        <is>
          <t>Technology Hardware</t>
        </is>
      </c>
      <c r="K1057" s="4" t="n"/>
      <c r="L1057" s="4" t="n"/>
      <c r="M1057" s="4" t="n"/>
      <c r="N1057" s="3" t="n">
        <v>973.6799999999999</v>
      </c>
      <c r="O1057" s="4" t="inlineStr">
        <is>
          <t>Canada</t>
        </is>
      </c>
      <c r="P1057" s="4" t="inlineStr">
        <is>
          <t>United States</t>
        </is>
      </c>
      <c r="Q1057" s="4" t="inlineStr">
        <is>
          <t>Friendly</t>
        </is>
      </c>
      <c r="R1057" s="3" t="n">
        <v>408.629</v>
      </c>
      <c r="S1057" s="3" t="n">
        <v>10.5805</v>
      </c>
      <c r="T1057" s="4" t="inlineStr">
        <is>
          <t>Company Takeover, Cross Border</t>
        </is>
      </c>
      <c r="U1057" s="2" t="inlineStr">
        <is>
          <t>No</t>
        </is>
      </c>
      <c r="V1057" s="2" t="inlineStr">
        <is>
          <t>No</t>
        </is>
      </c>
      <c r="W1057" s="2" t="inlineStr">
        <is>
          <t>Yes</t>
        </is>
      </c>
      <c r="X1057" s="2" t="inlineStr">
        <is>
          <t>No</t>
        </is>
      </c>
      <c r="Y1057" s="2" t="inlineStr">
        <is>
          <t>No</t>
        </is>
      </c>
      <c r="Z1057" s="2" t="inlineStr">
        <is>
          <t>No</t>
        </is>
      </c>
      <c r="AA1057" s="6" t="n">
        <v>3.015560926</v>
      </c>
      <c r="AB1057" s="6" t="n">
        <v>2.611329185</v>
      </c>
      <c r="AC1057" s="6" t="n">
        <v>2.988416249</v>
      </c>
      <c r="AD1057">
        <f t="array" ref="AD1057">IF(SUMPRODUCT(--($AM$2:$AM$112=TRIM(LEFT($B1057,IFERROR(FIND(" ",$B1057)-1,LEN($B1057))))))&gt;0,1,0)</f>
        <v/>
      </c>
      <c r="AE1057">
        <f t="array" ref="AE1057">IF(SUMPRODUCT(--($AO$2:$AO$145=TRIM(LEFT($B1057,IFERROR(FIND(" ",$B1057)-1,LEN($B1057))))))&gt;0,1,0)</f>
        <v/>
      </c>
      <c r="AF1057">
        <f t="array" ref="AF1057">IF(SUMPRODUCT(--($AQ$2:$AQ$71=TRIM(LEFT($B1057,IFERROR(FIND(" ",$B1057)-1,LEN($B1057))))))&gt;0,1,0)</f>
        <v/>
      </c>
    </row>
    <row r="1058" ht="45.75" customHeight="1" thickBot="1">
      <c r="A1058" s="13" t="n">
        <v>180</v>
      </c>
      <c r="B1058" s="4" t="inlineStr">
        <is>
          <t>MSFG US</t>
        </is>
      </c>
      <c r="C1058" s="4" t="inlineStr">
        <is>
          <t>FFBC US</t>
        </is>
      </c>
      <c r="D1058" s="7" t="n">
        <v>42941</v>
      </c>
      <c r="E1058" s="3" t="n">
        <v>988.96</v>
      </c>
      <c r="F1058" s="4" t="inlineStr">
        <is>
          <t>Stock</t>
        </is>
      </c>
      <c r="G1058" s="4" t="n"/>
      <c r="H1058" s="4" t="inlineStr">
        <is>
          <t>Financials</t>
        </is>
      </c>
      <c r="I1058" s="4" t="inlineStr">
        <is>
          <t>Banking</t>
        </is>
      </c>
      <c r="J1058" s="4" t="inlineStr">
        <is>
          <t>Banking</t>
        </is>
      </c>
      <c r="K1058" s="4" t="n"/>
      <c r="L1058" s="3" t="n">
        <v>40</v>
      </c>
      <c r="M1058" s="3" t="n">
        <v>14.8</v>
      </c>
      <c r="N1058" s="3" t="n">
        <v>988.96</v>
      </c>
      <c r="O1058" s="4" t="inlineStr">
        <is>
          <t>United States</t>
        </is>
      </c>
      <c r="P1058" s="4" t="inlineStr">
        <is>
          <t>United States</t>
        </is>
      </c>
      <c r="Q1058" s="4" t="inlineStr">
        <is>
          <t>Friendly</t>
        </is>
      </c>
      <c r="R1058" s="3" t="n">
        <v>211.912</v>
      </c>
      <c r="S1058" s="3" t="n">
        <v>31.7855</v>
      </c>
      <c r="T1058" s="4" t="inlineStr">
        <is>
          <t>Company Takeover</t>
        </is>
      </c>
      <c r="U1058" s="2" t="inlineStr">
        <is>
          <t>No</t>
        </is>
      </c>
      <c r="V1058" s="2" t="inlineStr">
        <is>
          <t>No</t>
        </is>
      </c>
      <c r="W1058" s="2" t="inlineStr">
        <is>
          <t>No</t>
        </is>
      </c>
      <c r="X1058" s="2" t="inlineStr">
        <is>
          <t>No</t>
        </is>
      </c>
      <c r="Y1058" s="2" t="inlineStr">
        <is>
          <t>No</t>
        </is>
      </c>
      <c r="Z1058" s="2" t="inlineStr">
        <is>
          <t>No</t>
        </is>
      </c>
      <c r="AA1058" s="6" t="n">
        <v>2.995178726</v>
      </c>
      <c r="AB1058" s="6" t="n">
        <v>2.32615555</v>
      </c>
      <c r="AC1058" s="6" t="n">
        <v>2.995178726</v>
      </c>
      <c r="AD1058">
        <f t="array" ref="AD1058">IF(SUMPRODUCT(--($AM$2:$AM$112=TRIM(LEFT($B1058,IFERROR(FIND(" ",$B1058)-1,LEN($B1058))))))&gt;0,1,0)</f>
        <v/>
      </c>
      <c r="AE1058">
        <f t="array" ref="AE1058">IF(SUMPRODUCT(--($AO$2:$AO$145=TRIM(LEFT($B1058,IFERROR(FIND(" ",$B1058)-1,LEN($B1058))))))&gt;0,1,0)</f>
        <v/>
      </c>
      <c r="AF1058">
        <f t="array" ref="AF1058">IF(SUMPRODUCT(--($AQ$2:$AQ$71=TRIM(LEFT($B1058,IFERROR(FIND(" ",$B1058)-1,LEN($B1058))))))&gt;0,1,0)</f>
        <v/>
      </c>
    </row>
    <row r="1059" ht="60.75" customHeight="1" thickBot="1">
      <c r="A1059" s="13" t="n">
        <v>98</v>
      </c>
      <c r="B1059" s="4" t="inlineStr">
        <is>
          <t>AFAM US</t>
        </is>
      </c>
      <c r="C1059" s="4" t="inlineStr">
        <is>
          <t>LHCG US</t>
        </is>
      </c>
      <c r="D1059" s="7" t="n">
        <v>43055</v>
      </c>
      <c r="E1059" s="3" t="n">
        <v>985.23</v>
      </c>
      <c r="F1059" s="4" t="inlineStr">
        <is>
          <t>Stock</t>
        </is>
      </c>
      <c r="G1059" s="3" t="n">
        <v>26.23</v>
      </c>
      <c r="H1059" s="4" t="inlineStr">
        <is>
          <t>Health Care</t>
        </is>
      </c>
      <c r="I1059" s="4" t="inlineStr">
        <is>
          <t>Health Care</t>
        </is>
      </c>
      <c r="J1059" s="4" t="inlineStr">
        <is>
          <t>Health Care Facilities &amp; Svcs</t>
        </is>
      </c>
      <c r="K1059" s="3" t="n">
        <v>30</v>
      </c>
      <c r="L1059" s="3" t="n">
        <v>30</v>
      </c>
      <c r="M1059" s="3" t="n">
        <v>28</v>
      </c>
      <c r="N1059" s="3" t="n">
        <v>871.24</v>
      </c>
      <c r="O1059" s="4" t="inlineStr">
        <is>
          <t>United States</t>
        </is>
      </c>
      <c r="P1059" s="4" t="inlineStr">
        <is>
          <t>United States</t>
        </is>
      </c>
      <c r="Q1059" s="4" t="inlineStr">
        <is>
          <t>Friendly</t>
        </is>
      </c>
      <c r="R1059" s="3" t="n">
        <v>796.965</v>
      </c>
      <c r="S1059" s="3" t="n">
        <v>3.58447</v>
      </c>
      <c r="T1059" s="4" t="inlineStr">
        <is>
          <t>Company Takeover</t>
        </is>
      </c>
      <c r="U1059" s="2" t="inlineStr">
        <is>
          <t>No</t>
        </is>
      </c>
      <c r="V1059" s="2" t="inlineStr">
        <is>
          <t>No</t>
        </is>
      </c>
      <c r="W1059" s="2" t="inlineStr">
        <is>
          <t>No</t>
        </is>
      </c>
      <c r="X1059" s="2" t="inlineStr">
        <is>
          <t>No</t>
        </is>
      </c>
      <c r="Y1059" s="2" t="inlineStr">
        <is>
          <t>No</t>
        </is>
      </c>
      <c r="Z1059" s="2" t="inlineStr">
        <is>
          <t>No</t>
        </is>
      </c>
      <c r="AA1059" s="6" t="n">
        <v>2.993537628</v>
      </c>
      <c r="AB1059" s="6" t="n">
        <v>2.901439249</v>
      </c>
      <c r="AC1059" s="6" t="n">
        <v>2.940137806</v>
      </c>
      <c r="AD1059">
        <f t="array" ref="AD1059">IF(SUMPRODUCT(--($AM$2:$AM$112=TRIM(LEFT($B1059,IFERROR(FIND(" ",$B1059)-1,LEN($B1059))))))&gt;0,1,0)</f>
        <v/>
      </c>
      <c r="AE1059">
        <f t="array" ref="AE1059">IF(SUMPRODUCT(--($AO$2:$AO$145=TRIM(LEFT($B1059,IFERROR(FIND(" ",$B1059)-1,LEN($B1059))))))&gt;0,1,0)</f>
        <v/>
      </c>
      <c r="AF1059">
        <f t="array" ref="AF1059">IF(SUMPRODUCT(--($AQ$2:$AQ$71=TRIM(LEFT($B1059,IFERROR(FIND(" ",$B1059)-1,LEN($B1059))))))&gt;0,1,0)</f>
        <v/>
      </c>
    </row>
    <row r="1060" ht="45.75" customHeight="1" thickBot="1">
      <c r="A1060" s="13" t="n">
        <v>72</v>
      </c>
      <c r="B1060" s="4" t="inlineStr">
        <is>
          <t>LNCE US</t>
        </is>
      </c>
      <c r="C1060" s="4" t="inlineStr">
        <is>
          <t>CPB US</t>
        </is>
      </c>
      <c r="D1060" s="7" t="n">
        <v>43087</v>
      </c>
      <c r="E1060" s="3" t="n">
        <v>6044</v>
      </c>
      <c r="F1060" s="4" t="inlineStr">
        <is>
          <t>Cash</t>
        </is>
      </c>
      <c r="G1060" s="3" t="n">
        <v>44.36</v>
      </c>
      <c r="H1060" s="4" t="inlineStr">
        <is>
          <t>Consumer Staples</t>
        </is>
      </c>
      <c r="I1060" s="4" t="inlineStr">
        <is>
          <t>Consumer Staple Products</t>
        </is>
      </c>
      <c r="J1060" s="4" t="inlineStr">
        <is>
          <t>Food</t>
        </is>
      </c>
      <c r="K1060" s="3" t="n">
        <v>198.6</v>
      </c>
      <c r="L1060" s="3" t="n">
        <v>149</v>
      </c>
      <c r="M1060" s="3" t="n">
        <v>29.2</v>
      </c>
      <c r="N1060" s="3" t="n">
        <v>4947.53</v>
      </c>
      <c r="O1060" s="4" t="inlineStr">
        <is>
          <t>United States</t>
        </is>
      </c>
      <c r="P1060" s="4" t="inlineStr">
        <is>
          <t>United States</t>
        </is>
      </c>
      <c r="Q1060" s="4" t="inlineStr">
        <is>
          <t>Friendly</t>
        </is>
      </c>
      <c r="R1060" s="3" t="n">
        <v>2226.84</v>
      </c>
      <c r="S1060" s="3" t="n">
        <v>1.72954</v>
      </c>
      <c r="T1060" s="4" t="inlineStr">
        <is>
          <t>Company Takeover</t>
        </is>
      </c>
      <c r="U1060" s="2" t="inlineStr">
        <is>
          <t>No</t>
        </is>
      </c>
      <c r="V1060" s="2" t="inlineStr">
        <is>
          <t>No</t>
        </is>
      </c>
      <c r="W1060" s="2" t="inlineStr">
        <is>
          <t>No</t>
        </is>
      </c>
      <c r="X1060" s="2" t="inlineStr">
        <is>
          <t>No</t>
        </is>
      </c>
      <c r="Y1060" s="2" t="inlineStr">
        <is>
          <t>No</t>
        </is>
      </c>
      <c r="Z1060" s="2" t="inlineStr">
        <is>
          <t>No</t>
        </is>
      </c>
      <c r="AA1060" s="6" t="n">
        <v>3.781324456</v>
      </c>
      <c r="AB1060" s="6" t="n">
        <v>3.347689014</v>
      </c>
      <c r="AC1060" s="6" t="n">
        <v>3.694388436</v>
      </c>
      <c r="AD1060">
        <f t="array" ref="AD1060">IF(SUMPRODUCT(--($AM$2:$AM$112=TRIM(LEFT($B1060,IFERROR(FIND(" ",$B1060)-1,LEN($B1060))))))&gt;0,1,0)</f>
        <v/>
      </c>
      <c r="AE1060">
        <f t="array" ref="AE1060">IF(SUMPRODUCT(--($AO$2:$AO$145=TRIM(LEFT($B1060,IFERROR(FIND(" ",$B1060)-1,LEN($B1060))))))&gt;0,1,0)</f>
        <v/>
      </c>
      <c r="AF1060">
        <f t="array" ref="AF1060">IF(SUMPRODUCT(--($AQ$2:$AQ$71=TRIM(LEFT($B1060,IFERROR(FIND(" ",$B1060)-1,LEN($B1060))))))&gt;0,1,0)</f>
        <v/>
      </c>
    </row>
    <row r="1061" ht="45.75" customHeight="1" thickBot="1">
      <c r="A1061" s="13" t="n">
        <v>245</v>
      </c>
      <c r="B1061" s="4" t="inlineStr">
        <is>
          <t>GLIBA US</t>
        </is>
      </c>
      <c r="C1061" s="4" t="inlineStr">
        <is>
          <t>QVCAQ US</t>
        </is>
      </c>
      <c r="D1061" s="7" t="n">
        <v>42829</v>
      </c>
      <c r="E1061" s="3" t="n">
        <v>2276.7</v>
      </c>
      <c r="F1061" s="4" t="inlineStr">
        <is>
          <t>Stock</t>
        </is>
      </c>
      <c r="G1061" s="3" t="n">
        <v>8.4</v>
      </c>
      <c r="H1061" s="4" t="inlineStr">
        <is>
          <t>Communications</t>
        </is>
      </c>
      <c r="I1061" s="4" t="inlineStr">
        <is>
          <t>Telecommunications</t>
        </is>
      </c>
      <c r="J1061" s="4" t="inlineStr">
        <is>
          <t>Telecommunications</t>
        </is>
      </c>
      <c r="K1061" s="4" t="n"/>
      <c r="L1061" s="4" t="n"/>
      <c r="M1061" s="3" t="n">
        <v>36.18</v>
      </c>
      <c r="N1061" s="3" t="n">
        <v>899</v>
      </c>
      <c r="O1061" s="4" t="inlineStr">
        <is>
          <t>United States</t>
        </is>
      </c>
      <c r="P1061" s="4" t="inlineStr">
        <is>
          <t>United States</t>
        </is>
      </c>
      <c r="Q1061" s="4" t="inlineStr">
        <is>
          <t>Friendly</t>
        </is>
      </c>
      <c r="R1061" s="3" t="n">
        <v>1046</v>
      </c>
      <c r="S1061" s="3" t="n">
        <v>-36.1969</v>
      </c>
      <c r="T1061" s="4" t="inlineStr">
        <is>
          <t>Company Takeover</t>
        </is>
      </c>
      <c r="U1061" s="2" t="inlineStr">
        <is>
          <t>No</t>
        </is>
      </c>
      <c r="V1061" s="2" t="inlineStr">
        <is>
          <t>No</t>
        </is>
      </c>
      <c r="W1061" s="2" t="inlineStr">
        <is>
          <t>No</t>
        </is>
      </c>
      <c r="X1061" s="2" t="inlineStr">
        <is>
          <t>No</t>
        </is>
      </c>
      <c r="Y1061" s="2" t="inlineStr">
        <is>
          <t>No</t>
        </is>
      </c>
      <c r="Z1061" s="2" t="inlineStr">
        <is>
          <t>No</t>
        </is>
      </c>
      <c r="AA1061" s="6" t="n">
        <v>3.357305808</v>
      </c>
      <c r="AB1061" s="6" t="n">
        <v>3.019531685</v>
      </c>
      <c r="AC1061" s="6" t="n">
        <v>2.953759692</v>
      </c>
      <c r="AD1061">
        <f t="array" ref="AD1061">IF(SUMPRODUCT(--($AM$2:$AM$112=TRIM(LEFT($B1061,IFERROR(FIND(" ",$B1061)-1,LEN($B1061))))))&gt;0,1,0)</f>
        <v/>
      </c>
      <c r="AE1061">
        <f t="array" ref="AE1061">IF(SUMPRODUCT(--($AO$2:$AO$145=TRIM(LEFT($B1061,IFERROR(FIND(" ",$B1061)-1,LEN($B1061))))))&gt;0,1,0)</f>
        <v/>
      </c>
      <c r="AF1061">
        <f t="array" ref="AF1061">IF(SUMPRODUCT(--($AQ$2:$AQ$71=TRIM(LEFT($B1061,IFERROR(FIND(" ",$B1061)-1,LEN($B1061))))))&gt;0,1,0)</f>
        <v/>
      </c>
    </row>
    <row r="1062" ht="165.75" customHeight="1" thickBot="1">
      <c r="A1062" s="13" t="n">
        <v>146</v>
      </c>
      <c r="B1062" s="4" t="inlineStr">
        <is>
          <t>CPN US</t>
        </is>
      </c>
      <c r="C1062" s="2" t="n"/>
      <c r="D1062" s="7" t="n">
        <v>42965</v>
      </c>
      <c r="E1062" s="3" t="n">
        <v>17128.22</v>
      </c>
      <c r="F1062" s="4" t="inlineStr">
        <is>
          <t>Cash</t>
        </is>
      </c>
      <c r="G1062" s="3" t="n">
        <v>9.84</v>
      </c>
      <c r="H1062" s="4" t="inlineStr">
        <is>
          <t>Utilities</t>
        </is>
      </c>
      <c r="I1062" s="4" t="inlineStr">
        <is>
          <t>Utilities</t>
        </is>
      </c>
      <c r="J1062" s="4" t="inlineStr">
        <is>
          <t>Electric Utilities</t>
        </is>
      </c>
      <c r="K1062" s="3" t="n">
        <v>335</v>
      </c>
      <c r="L1062" s="3" t="n">
        <v>142</v>
      </c>
      <c r="M1062" s="4" t="n"/>
      <c r="N1062" s="3" t="n">
        <v>5500.22</v>
      </c>
      <c r="O1062" s="4" t="inlineStr">
        <is>
          <t>United States</t>
        </is>
      </c>
      <c r="P1062" s="4" t="inlineStr">
        <is>
          <t>Canada</t>
        </is>
      </c>
      <c r="Q1062" s="4" t="inlineStr">
        <is>
          <t>Friendly</t>
        </is>
      </c>
      <c r="R1062" s="3" t="n">
        <v>10072</v>
      </c>
      <c r="S1062" s="3" t="n">
        <v>16.2851</v>
      </c>
      <c r="T1062" s="4" t="inlineStr">
        <is>
          <t>PE Buyout, Company Takeover, Cross Border, Private Equity, Going Private</t>
        </is>
      </c>
      <c r="U1062" s="2" t="inlineStr">
        <is>
          <t>No</t>
        </is>
      </c>
      <c r="V1062" s="2" t="inlineStr">
        <is>
          <t>No</t>
        </is>
      </c>
      <c r="W1062" s="2" t="inlineStr">
        <is>
          <t>Yes</t>
        </is>
      </c>
      <c r="X1062" s="2" t="inlineStr">
        <is>
          <t>Yes</t>
        </is>
      </c>
      <c r="Y1062" s="2" t="inlineStr">
        <is>
          <t>Yes</t>
        </is>
      </c>
      <c r="Z1062" s="2" t="inlineStr">
        <is>
          <t>No</t>
        </is>
      </c>
      <c r="AA1062" s="6" t="n">
        <v>4.233712233</v>
      </c>
      <c r="AB1062" s="6" t="n">
        <v>4.003115717</v>
      </c>
      <c r="AC1062" s="6" t="n">
        <v>3.740380061</v>
      </c>
      <c r="AD1062">
        <f t="array" ref="AD1062">IF(SUMPRODUCT(--($AM$2:$AM$112=TRIM(LEFT($B1062,IFERROR(FIND(" ",$B1062)-1,LEN($B1062))))))&gt;0,1,0)</f>
        <v/>
      </c>
      <c r="AE1062">
        <f t="array" ref="AE1062">IF(SUMPRODUCT(--($AO$2:$AO$145=TRIM(LEFT($B1062,IFERROR(FIND(" ",$B1062)-1,LEN($B1062))))))&gt;0,1,0)</f>
        <v/>
      </c>
      <c r="AF1062">
        <f t="array" ref="AF1062">IF(SUMPRODUCT(--($AQ$2:$AQ$71=TRIM(LEFT($B1062,IFERROR(FIND(" ",$B1062)-1,LEN($B1062))))))&gt;0,1,0)</f>
        <v/>
      </c>
    </row>
    <row r="1063" ht="105.75" customHeight="1" thickBot="1">
      <c r="A1063" s="13" t="n">
        <v>35</v>
      </c>
      <c r="B1063" s="4" t="inlineStr">
        <is>
          <t>BIVV US</t>
        </is>
      </c>
      <c r="C1063" s="4" t="inlineStr">
        <is>
          <t>SAN FP</t>
        </is>
      </c>
      <c r="D1063" s="7" t="n">
        <v>43122</v>
      </c>
      <c r="E1063" s="3" t="n">
        <v>11137.44</v>
      </c>
      <c r="F1063" s="4" t="inlineStr">
        <is>
          <t>Cash</t>
        </is>
      </c>
      <c r="G1063" s="3" t="n">
        <v>24.12</v>
      </c>
      <c r="H1063" s="4" t="inlineStr">
        <is>
          <t>Health Care</t>
        </is>
      </c>
      <c r="I1063" s="4" t="inlineStr">
        <is>
          <t>Health Care</t>
        </is>
      </c>
      <c r="J1063" s="4" t="inlineStr">
        <is>
          <t>Biotech &amp; Pharma</t>
        </is>
      </c>
      <c r="K1063" s="4" t="n"/>
      <c r="L1063" s="3" t="n">
        <v>326</v>
      </c>
      <c r="M1063" s="3" t="n">
        <v>82.16</v>
      </c>
      <c r="N1063" s="3" t="n">
        <v>11361.54</v>
      </c>
      <c r="O1063" s="4" t="inlineStr">
        <is>
          <t>United States</t>
        </is>
      </c>
      <c r="P1063" s="4" t="inlineStr">
        <is>
          <t>France</t>
        </is>
      </c>
      <c r="Q1063" s="4" t="inlineStr">
        <is>
          <t>Friendly</t>
        </is>
      </c>
      <c r="R1063" s="3" t="n">
        <v>1168.5</v>
      </c>
      <c r="S1063" s="3" t="n">
        <v>38.2713</v>
      </c>
      <c r="T1063" s="4" t="inlineStr">
        <is>
          <t>Company Takeover, Cross Border, Tender Offer</t>
        </is>
      </c>
      <c r="U1063" s="2" t="inlineStr">
        <is>
          <t>No</t>
        </is>
      </c>
      <c r="V1063" s="2" t="inlineStr">
        <is>
          <t>No</t>
        </is>
      </c>
      <c r="W1063" s="2" t="inlineStr">
        <is>
          <t>Yes</t>
        </is>
      </c>
      <c r="X1063" s="2" t="inlineStr">
        <is>
          <t>No</t>
        </is>
      </c>
      <c r="Y1063" s="2" t="inlineStr">
        <is>
          <t>No</t>
        </is>
      </c>
      <c r="Z1063" s="2" t="inlineStr">
        <is>
          <t>Yes</t>
        </is>
      </c>
      <c r="AA1063" s="6" t="n">
        <v>4.046785377</v>
      </c>
      <c r="AB1063" s="6" t="n">
        <v>3.067628717</v>
      </c>
      <c r="AC1063" s="6" t="n">
        <v>4.055437202</v>
      </c>
      <c r="AD1063">
        <f t="array" ref="AD1063">IF(SUMPRODUCT(--($AM$2:$AM$112=TRIM(LEFT($B1063,IFERROR(FIND(" ",$B1063)-1,LEN($B1063))))))&gt;0,1,0)</f>
        <v/>
      </c>
      <c r="AE1063">
        <f t="array" ref="AE1063">IF(SUMPRODUCT(--($AO$2:$AO$145=TRIM(LEFT($B1063,IFERROR(FIND(" ",$B1063)-1,LEN($B1063))))))&gt;0,1,0)</f>
        <v/>
      </c>
      <c r="AF1063">
        <f t="array" ref="AF1063">IF(SUMPRODUCT(--($AQ$2:$AQ$71=TRIM(LEFT($B1063,IFERROR(FIND(" ",$B1063)-1,LEN($B1063))))))&gt;0,1,0)</f>
        <v/>
      </c>
    </row>
    <row r="1064" ht="75.75" customHeight="1" thickBot="1">
      <c r="A1064" s="13" t="n">
        <v>122</v>
      </c>
      <c r="B1064" s="4" t="inlineStr">
        <is>
          <t>1667208D US</t>
        </is>
      </c>
      <c r="C1064" s="4" t="inlineStr">
        <is>
          <t>3405 JP</t>
        </is>
      </c>
      <c r="D1064" s="7" t="n">
        <v>42999</v>
      </c>
      <c r="E1064" s="3" t="n">
        <v>1329.29</v>
      </c>
      <c r="F1064" s="4" t="inlineStr">
        <is>
          <t>Cash</t>
        </is>
      </c>
      <c r="G1064" s="3" t="n">
        <v>20.63</v>
      </c>
      <c r="H1064" s="4" t="inlineStr">
        <is>
          <t>Materials</t>
        </is>
      </c>
      <c r="I1064" s="4" t="inlineStr">
        <is>
          <t>Materials</t>
        </is>
      </c>
      <c r="J1064" s="4" t="inlineStr">
        <is>
          <t>Chemicals</t>
        </is>
      </c>
      <c r="K1064" s="4" t="n"/>
      <c r="L1064" s="3" t="n">
        <v>33.2</v>
      </c>
      <c r="M1064" s="3" t="n">
        <v>68.09999999999999</v>
      </c>
      <c r="N1064" s="3" t="n">
        <v>1107</v>
      </c>
      <c r="O1064" s="4" t="inlineStr">
        <is>
          <t>United States</t>
        </is>
      </c>
      <c r="P1064" s="4" t="inlineStr">
        <is>
          <t>Japan</t>
        </is>
      </c>
      <c r="Q1064" s="4" t="inlineStr">
        <is>
          <t>Friendly</t>
        </is>
      </c>
      <c r="R1064" s="3" t="n">
        <v>619.811</v>
      </c>
      <c r="S1064" s="3" t="n">
        <v>6.80433</v>
      </c>
      <c r="T1064" s="4" t="inlineStr">
        <is>
          <t>Company Takeover, Cross Border</t>
        </is>
      </c>
      <c r="U1064" s="2" t="inlineStr">
        <is>
          <t>No</t>
        </is>
      </c>
      <c r="V1064" s="2" t="inlineStr">
        <is>
          <t>No</t>
        </is>
      </c>
      <c r="W1064" s="2" t="inlineStr">
        <is>
          <t>Yes</t>
        </is>
      </c>
      <c r="X1064" s="2" t="inlineStr">
        <is>
          <t>No</t>
        </is>
      </c>
      <c r="Y1064" s="2" t="inlineStr">
        <is>
          <t>No</t>
        </is>
      </c>
      <c r="Z1064" s="2" t="inlineStr">
        <is>
          <t>No</t>
        </is>
      </c>
      <c r="AA1064" s="6" t="n">
        <v>3.123619738</v>
      </c>
      <c r="AB1064" s="6" t="n">
        <v>2.79225928</v>
      </c>
      <c r="AC1064" s="6" t="n">
        <v>3.044147621</v>
      </c>
      <c r="AD1064">
        <f t="array" ref="AD1064">IF(SUMPRODUCT(--($AM$2:$AM$112=TRIM(LEFT($B1064,IFERROR(FIND(" ",$B1064)-1,LEN($B1064))))))&gt;0,1,0)</f>
        <v/>
      </c>
      <c r="AE1064">
        <f t="array" ref="AE1064">IF(SUMPRODUCT(--($AO$2:$AO$145=TRIM(LEFT($B1064,IFERROR(FIND(" ",$B1064)-1,LEN($B1064))))))&gt;0,1,0)</f>
        <v/>
      </c>
      <c r="AF1064">
        <f t="array" ref="AF1064">IF(SUMPRODUCT(--($AQ$2:$AQ$71=TRIM(LEFT($B1064,IFERROR(FIND(" ",$B1064)-1,LEN($B1064))))))&gt;0,1,0)</f>
        <v/>
      </c>
    </row>
    <row r="1065" ht="45.75" customHeight="1" thickBot="1">
      <c r="A1065" s="13" t="n">
        <v>158</v>
      </c>
      <c r="B1065" s="4" t="inlineStr">
        <is>
          <t>2558202D US</t>
        </is>
      </c>
      <c r="C1065" s="4" t="inlineStr">
        <is>
          <t>WBD US</t>
        </is>
      </c>
      <c r="D1065" s="7" t="n">
        <v>42947</v>
      </c>
      <c r="E1065" s="3" t="n">
        <v>14986.6</v>
      </c>
      <c r="F1065" s="4" t="inlineStr">
        <is>
          <t>Cash and Stock</t>
        </is>
      </c>
      <c r="G1065" s="3" t="n">
        <v>10.96</v>
      </c>
      <c r="H1065" s="4" t="inlineStr">
        <is>
          <t>Communications</t>
        </is>
      </c>
      <c r="I1065" s="4" t="inlineStr">
        <is>
          <t>Media</t>
        </is>
      </c>
      <c r="J1065" s="4" t="inlineStr">
        <is>
          <t>Entertainment Content</t>
        </is>
      </c>
      <c r="K1065" s="3" t="n">
        <v>356</v>
      </c>
      <c r="L1065" s="4" t="n"/>
      <c r="M1065" s="4" t="n"/>
      <c r="N1065" s="3" t="n">
        <v>12040.71</v>
      </c>
      <c r="O1065" s="4" t="inlineStr">
        <is>
          <t>United States</t>
        </is>
      </c>
      <c r="P1065" s="4" t="inlineStr">
        <is>
          <t>United States</t>
        </is>
      </c>
      <c r="Q1065" s="4" t="inlineStr">
        <is>
          <t>Friendly</t>
        </is>
      </c>
      <c r="R1065" s="3" t="n">
        <v>3561.81</v>
      </c>
      <c r="S1065" s="3" t="n">
        <v>35.78</v>
      </c>
      <c r="T1065" s="4" t="inlineStr">
        <is>
          <t>Company Takeover</t>
        </is>
      </c>
      <c r="U1065" s="2" t="inlineStr">
        <is>
          <t>No</t>
        </is>
      </c>
      <c r="V1065" s="2" t="inlineStr">
        <is>
          <t>No</t>
        </is>
      </c>
      <c r="W1065" s="2" t="inlineStr">
        <is>
          <t>No</t>
        </is>
      </c>
      <c r="X1065" s="2" t="inlineStr">
        <is>
          <t>No</t>
        </is>
      </c>
      <c r="Y1065" s="2" t="inlineStr">
        <is>
          <t>No</t>
        </is>
      </c>
      <c r="Z1065" s="2" t="inlineStr">
        <is>
          <t>No</t>
        </is>
      </c>
      <c r="AA1065" s="6" t="n">
        <v>4.175703116</v>
      </c>
      <c r="AB1065" s="6" t="n">
        <v>3.551670749</v>
      </c>
      <c r="AC1065" s="6" t="n">
        <v>4.080652097</v>
      </c>
      <c r="AD1065">
        <f t="array" ref="AD1065">IF(SUMPRODUCT(--($AM$2:$AM$112=TRIM(LEFT($B1065,IFERROR(FIND(" ",$B1065)-1,LEN($B1065))))))&gt;0,1,0)</f>
        <v/>
      </c>
      <c r="AE1065">
        <f t="array" ref="AE1065">IF(SUMPRODUCT(--($AO$2:$AO$145=TRIM(LEFT($B1065,IFERROR(FIND(" ",$B1065)-1,LEN($B1065))))))&gt;0,1,0)</f>
        <v/>
      </c>
      <c r="AF1065">
        <f t="array" ref="AF1065">IF(SUMPRODUCT(--($AQ$2:$AQ$71=TRIM(LEFT($B1065,IFERROR(FIND(" ",$B1065)-1,LEN($B1065))))))&gt;0,1,0)</f>
        <v/>
      </c>
    </row>
    <row r="1066" ht="135.75" customHeight="1" thickBot="1">
      <c r="A1066" s="13" t="n">
        <v>33</v>
      </c>
      <c r="B1066" s="4" t="inlineStr">
        <is>
          <t>JUNO US</t>
        </is>
      </c>
      <c r="C1066" s="4" t="inlineStr">
        <is>
          <t>CELG US</t>
        </is>
      </c>
      <c r="D1066" s="7" t="n">
        <v>43122</v>
      </c>
      <c r="E1066" s="3" t="n">
        <v>7920.82</v>
      </c>
      <c r="F1066" s="4" t="inlineStr">
        <is>
          <t>Cash</t>
        </is>
      </c>
      <c r="G1066" s="4" t="n"/>
      <c r="H1066" s="4" t="inlineStr">
        <is>
          <t>Health Care</t>
        </is>
      </c>
      <c r="I1066" s="4" t="inlineStr">
        <is>
          <t>Health Care</t>
        </is>
      </c>
      <c r="J1066" s="4" t="inlineStr">
        <is>
          <t>Biotech &amp; Pharma</t>
        </is>
      </c>
      <c r="K1066" s="3" t="n">
        <v>600</v>
      </c>
      <c r="L1066" s="3" t="n">
        <v>300</v>
      </c>
      <c r="M1066" s="3" t="n">
        <v>71.67</v>
      </c>
      <c r="N1066" s="3" t="n">
        <v>8966.540000000001</v>
      </c>
      <c r="O1066" s="4" t="inlineStr">
        <is>
          <t>United States</t>
        </is>
      </c>
      <c r="P1066" s="4" t="inlineStr">
        <is>
          <t>United States</t>
        </is>
      </c>
      <c r="Q1066" s="4" t="inlineStr">
        <is>
          <t>Friendly</t>
        </is>
      </c>
      <c r="R1066" s="3" t="n">
        <v>111.871</v>
      </c>
      <c r="S1066" s="3" t="n">
        <v>-400.259</v>
      </c>
      <c r="T1066" s="4" t="inlineStr">
        <is>
          <t>Company Takeover, Additional Stake Purchase, Tender Offer</t>
        </is>
      </c>
      <c r="U1066" s="2" t="inlineStr">
        <is>
          <t>Yes</t>
        </is>
      </c>
      <c r="V1066" s="2" t="inlineStr">
        <is>
          <t>No</t>
        </is>
      </c>
      <c r="W1066" s="2" t="inlineStr">
        <is>
          <t>No</t>
        </is>
      </c>
      <c r="X1066" s="2" t="inlineStr">
        <is>
          <t>No</t>
        </is>
      </c>
      <c r="Y1066" s="2" t="inlineStr">
        <is>
          <t>No</t>
        </is>
      </c>
      <c r="Z1066" s="2" t="inlineStr">
        <is>
          <t>Yes</t>
        </is>
      </c>
      <c r="AA1066" s="6" t="n">
        <v>3.898770144</v>
      </c>
      <c r="AB1066" s="6" t="n">
        <v>2.04871752</v>
      </c>
      <c r="AC1066" s="6" t="n">
        <v>3.95262489</v>
      </c>
      <c r="AD1066">
        <f t="array" ref="AD1066">IF(SUMPRODUCT(--($AM$2:$AM$112=TRIM(LEFT($B1066,IFERROR(FIND(" ",$B1066)-1,LEN($B1066))))))&gt;0,1,0)</f>
        <v/>
      </c>
      <c r="AE1066">
        <f t="array" ref="AE1066">IF(SUMPRODUCT(--($AO$2:$AO$145=TRIM(LEFT($B1066,IFERROR(FIND(" ",$B1066)-1,LEN($B1066))))))&gt;0,1,0)</f>
        <v/>
      </c>
      <c r="AF1066">
        <f t="array" ref="AF1066">IF(SUMPRODUCT(--($AQ$2:$AQ$71=TRIM(LEFT($B1066,IFERROR(FIND(" ",$B1066)-1,LEN($B1066))))))&gt;0,1,0)</f>
        <v/>
      </c>
    </row>
    <row r="1067" ht="75.75" customHeight="1" thickBot="1">
      <c r="A1067" s="13" t="n">
        <v>63</v>
      </c>
      <c r="B1067" s="4" t="inlineStr">
        <is>
          <t>1903130D US</t>
        </is>
      </c>
      <c r="C1067" s="4" t="inlineStr">
        <is>
          <t>CINE LN</t>
        </is>
      </c>
      <c r="D1067" s="7" t="n">
        <v>43074</v>
      </c>
      <c r="E1067" s="3" t="n">
        <v>5875.56</v>
      </c>
      <c r="F1067" s="4" t="inlineStr">
        <is>
          <t>Cash</t>
        </is>
      </c>
      <c r="G1067" s="3" t="n">
        <v>11.26</v>
      </c>
      <c r="H1067" s="4" t="inlineStr">
        <is>
          <t>Consumer Discretionary</t>
        </is>
      </c>
      <c r="I1067" s="4" t="inlineStr">
        <is>
          <t>Consumer Discretionary Services</t>
        </is>
      </c>
      <c r="J1067" s="4" t="inlineStr">
        <is>
          <t>Leisure Facilities &amp; Services</t>
        </is>
      </c>
      <c r="K1067" s="3" t="n">
        <v>20.151</v>
      </c>
      <c r="L1067" s="3" t="n">
        <v>95.151</v>
      </c>
      <c r="M1067" s="3" t="n">
        <v>37.04</v>
      </c>
      <c r="N1067" s="3" t="n">
        <v>3611.36</v>
      </c>
      <c r="O1067" s="4" t="inlineStr">
        <is>
          <t>United States</t>
        </is>
      </c>
      <c r="P1067" s="4" t="inlineStr">
        <is>
          <t>United Kingdom</t>
        </is>
      </c>
      <c r="Q1067" s="4" t="inlineStr">
        <is>
          <t>Friendly</t>
        </is>
      </c>
      <c r="R1067" s="3" t="n">
        <v>3163</v>
      </c>
      <c r="S1067" s="3" t="n">
        <v>8.58995</v>
      </c>
      <c r="T1067" s="4" t="inlineStr">
        <is>
          <t>Company Takeover, Cross Border</t>
        </is>
      </c>
      <c r="U1067" s="2" t="inlineStr">
        <is>
          <t>No</t>
        </is>
      </c>
      <c r="V1067" s="2" t="inlineStr">
        <is>
          <t>No</t>
        </is>
      </c>
      <c r="W1067" s="2" t="inlineStr">
        <is>
          <t>Yes</t>
        </is>
      </c>
      <c r="X1067" s="2" t="inlineStr">
        <is>
          <t>No</t>
        </is>
      </c>
      <c r="Y1067" s="2" t="inlineStr">
        <is>
          <t>No</t>
        </is>
      </c>
      <c r="Z1067" s="2" t="inlineStr">
        <is>
          <t>No</t>
        </is>
      </c>
      <c r="AA1067" s="6" t="n">
        <v>3.769049266</v>
      </c>
      <c r="AB1067" s="6" t="n">
        <v>3.500099192</v>
      </c>
      <c r="AC1067" s="6" t="n">
        <v>3.557670783</v>
      </c>
      <c r="AD1067">
        <f t="array" ref="AD1067">IF(SUMPRODUCT(--($AM$2:$AM$112=TRIM(LEFT($B1067,IFERROR(FIND(" ",$B1067)-1,LEN($B1067))))))&gt;0,1,0)</f>
        <v/>
      </c>
      <c r="AE1067">
        <f t="array" ref="AE1067">IF(SUMPRODUCT(--($AO$2:$AO$145=TRIM(LEFT($B1067,IFERROR(FIND(" ",$B1067)-1,LEN($B1067))))))&gt;0,1,0)</f>
        <v/>
      </c>
      <c r="AF1067">
        <f t="array" ref="AF1067">IF(SUMPRODUCT(--($AQ$2:$AQ$71=TRIM(LEFT($B1067,IFERROR(FIND(" ",$B1067)-1,LEN($B1067))))))&gt;0,1,0)</f>
        <v/>
      </c>
    </row>
    <row r="1068" ht="60.75" customHeight="1" thickBot="1">
      <c r="A1068" s="13" t="n">
        <v>61</v>
      </c>
      <c r="B1068" s="4" t="inlineStr">
        <is>
          <t>ENTL US</t>
        </is>
      </c>
      <c r="C1068" s="4" t="inlineStr">
        <is>
          <t>SYK US</t>
        </is>
      </c>
      <c r="D1068" s="7" t="n">
        <v>43076</v>
      </c>
      <c r="E1068" s="3" t="n">
        <v>607.54</v>
      </c>
      <c r="F1068" s="4" t="inlineStr">
        <is>
          <t>Cash</t>
        </is>
      </c>
      <c r="G1068" s="4" t="n"/>
      <c r="H1068" s="4" t="inlineStr">
        <is>
          <t>Health Care</t>
        </is>
      </c>
      <c r="I1068" s="4" t="inlineStr">
        <is>
          <t>Health Care</t>
        </is>
      </c>
      <c r="J1068" s="4" t="inlineStr">
        <is>
          <t>Medical Equipment &amp; Devices</t>
        </is>
      </c>
      <c r="K1068" s="4" t="n"/>
      <c r="L1068" s="3" t="n">
        <v>20.5</v>
      </c>
      <c r="M1068" s="4" t="n"/>
      <c r="N1068" s="3" t="n">
        <v>611.38</v>
      </c>
      <c r="O1068" s="4" t="inlineStr">
        <is>
          <t>United States</t>
        </is>
      </c>
      <c r="P1068" s="4" t="inlineStr">
        <is>
          <t>United States</t>
        </is>
      </c>
      <c r="Q1068" s="4" t="inlineStr">
        <is>
          <t>Friendly</t>
        </is>
      </c>
      <c r="R1068" s="2" t="n"/>
      <c r="S1068" s="2" t="n"/>
      <c r="T1068" s="4" t="inlineStr">
        <is>
          <t>Company Takeover</t>
        </is>
      </c>
      <c r="U1068" s="2" t="inlineStr">
        <is>
          <t>No</t>
        </is>
      </c>
      <c r="V1068" s="2" t="inlineStr">
        <is>
          <t>No</t>
        </is>
      </c>
      <c r="W1068" s="2" t="inlineStr">
        <is>
          <t>No</t>
        </is>
      </c>
      <c r="X1068" s="2" t="inlineStr">
        <is>
          <t>No</t>
        </is>
      </c>
      <c r="Y1068" s="2" t="inlineStr">
        <is>
          <t>No</t>
        </is>
      </c>
      <c r="Z1068" s="2" t="inlineStr">
        <is>
          <t>No</t>
        </is>
      </c>
      <c r="AA1068" s="6" t="n">
        <v>2.783574877</v>
      </c>
      <c r="AB1068" s="2" t="n"/>
      <c r="AC1068" s="6" t="n">
        <v>2.786311228</v>
      </c>
      <c r="AD1068">
        <f t="array" ref="AD1068">IF(SUMPRODUCT(--($AM$2:$AM$112=TRIM(LEFT($B1068,IFERROR(FIND(" ",$B1068)-1,LEN($B1068))))))&gt;0,1,0)</f>
        <v/>
      </c>
      <c r="AE1068">
        <f t="array" ref="AE1068">IF(SUMPRODUCT(--($AO$2:$AO$145=TRIM(LEFT($B1068,IFERROR(FIND(" ",$B1068)-1,LEN($B1068))))))&gt;0,1,0)</f>
        <v/>
      </c>
      <c r="AF1068">
        <f t="array" ref="AF1068">IF(SUMPRODUCT(--($AQ$2:$AQ$71=TRIM(LEFT($B1068,IFERROR(FIND(" ",$B1068)-1,LEN($B1068))))))&gt;0,1,0)</f>
        <v/>
      </c>
    </row>
    <row r="1069" ht="45.75" customHeight="1" thickBot="1">
      <c r="A1069" s="13" t="n">
        <v>210</v>
      </c>
      <c r="B1069" s="4" t="inlineStr">
        <is>
          <t>STRP US</t>
        </is>
      </c>
      <c r="C1069" s="4" t="inlineStr">
        <is>
          <t>VZ US</t>
        </is>
      </c>
      <c r="D1069" s="7" t="n">
        <v>42866</v>
      </c>
      <c r="E1069" s="3" t="n">
        <v>2152.06</v>
      </c>
      <c r="F1069" s="4" t="inlineStr">
        <is>
          <t>Stock</t>
        </is>
      </c>
      <c r="G1069" s="4" t="n"/>
      <c r="H1069" s="4" t="inlineStr">
        <is>
          <t>Communications</t>
        </is>
      </c>
      <c r="I1069" s="4" t="inlineStr">
        <is>
          <t>Telecommunications</t>
        </is>
      </c>
      <c r="J1069" s="4" t="inlineStr">
        <is>
          <t>Telecommunications</t>
        </is>
      </c>
      <c r="K1069" s="3" t="n">
        <v>85</v>
      </c>
      <c r="L1069" s="3" t="n">
        <v>38</v>
      </c>
      <c r="M1069" s="3" t="n">
        <v>24.49</v>
      </c>
      <c r="N1069" s="3" t="n">
        <v>2159.9</v>
      </c>
      <c r="O1069" s="4" t="inlineStr">
        <is>
          <t>United States</t>
        </is>
      </c>
      <c r="P1069" s="4" t="inlineStr">
        <is>
          <t>United States</t>
        </is>
      </c>
      <c r="Q1069" s="4" t="inlineStr">
        <is>
          <t>Friendly</t>
        </is>
      </c>
      <c r="R1069" s="3" t="n">
        <v>0.658</v>
      </c>
      <c r="S1069" s="3" t="n">
        <v>-7825.9</v>
      </c>
      <c r="T1069" s="4" t="inlineStr">
        <is>
          <t>Company Takeover</t>
        </is>
      </c>
      <c r="U1069" s="2" t="inlineStr">
        <is>
          <t>No</t>
        </is>
      </c>
      <c r="V1069" s="2" t="inlineStr">
        <is>
          <t>No</t>
        </is>
      </c>
      <c r="W1069" s="2" t="inlineStr">
        <is>
          <t>No</t>
        </is>
      </c>
      <c r="X1069" s="2" t="inlineStr">
        <is>
          <t>No</t>
        </is>
      </c>
      <c r="Y1069" s="2" t="inlineStr">
        <is>
          <t>No</t>
        </is>
      </c>
      <c r="Z1069" s="2" t="inlineStr">
        <is>
          <t>No</t>
        </is>
      </c>
      <c r="AA1069" s="6" t="n">
        <v>3.332854375</v>
      </c>
      <c r="AB1069" s="6" t="n">
        <v>-0.1817741064</v>
      </c>
      <c r="AC1069" s="6" t="n">
        <v>3.334433644</v>
      </c>
      <c r="AD1069">
        <f t="array" ref="AD1069">IF(SUMPRODUCT(--($AM$2:$AM$112=TRIM(LEFT($B1069,IFERROR(FIND(" ",$B1069)-1,LEN($B1069))))))&gt;0,1,0)</f>
        <v/>
      </c>
      <c r="AE1069">
        <f t="array" ref="AE1069">IF(SUMPRODUCT(--($AO$2:$AO$145=TRIM(LEFT($B1069,IFERROR(FIND(" ",$B1069)-1,LEN($B1069))))))&gt;0,1,0)</f>
        <v/>
      </c>
      <c r="AF1069">
        <f t="array" ref="AF1069">IF(SUMPRODUCT(--($AQ$2:$AQ$71=TRIM(LEFT($B1069,IFERROR(FIND(" ",$B1069)-1,LEN($B1069))))))&gt;0,1,0)</f>
        <v/>
      </c>
    </row>
    <row r="1070" ht="60.75" customHeight="1" thickBot="1">
      <c r="A1070" s="13" t="n">
        <v>88</v>
      </c>
      <c r="B1070" s="4" t="inlineStr">
        <is>
          <t>DEL US</t>
        </is>
      </c>
      <c r="C1070" s="4" t="inlineStr">
        <is>
          <t>PCH US</t>
        </is>
      </c>
      <c r="D1070" s="7" t="n">
        <v>43031</v>
      </c>
      <c r="E1070" s="3" t="n">
        <v>1360.95</v>
      </c>
      <c r="F1070" s="4" t="inlineStr">
        <is>
          <t>Stock</t>
        </is>
      </c>
      <c r="G1070" s="3" t="n">
        <v>28.73</v>
      </c>
      <c r="H1070" s="4" t="inlineStr">
        <is>
          <t>Materials</t>
        </is>
      </c>
      <c r="I1070" s="4" t="inlineStr">
        <is>
          <t>Materials</t>
        </is>
      </c>
      <c r="J1070" s="4" t="inlineStr">
        <is>
          <t>Forestry, Paper &amp; Wood Products</t>
        </is>
      </c>
      <c r="K1070" s="3" t="n">
        <v>66</v>
      </c>
      <c r="L1070" s="3" t="n">
        <v>33</v>
      </c>
      <c r="M1070" s="3" t="n">
        <v>3.26</v>
      </c>
      <c r="N1070" s="3" t="n">
        <v>1124.92</v>
      </c>
      <c r="O1070" s="4" t="inlineStr">
        <is>
          <t>United States</t>
        </is>
      </c>
      <c r="P1070" s="4" t="inlineStr">
        <is>
          <t>United States</t>
        </is>
      </c>
      <c r="Q1070" s="4" t="inlineStr">
        <is>
          <t>Friendly</t>
        </is>
      </c>
      <c r="R1070" s="3" t="n">
        <v>242.265</v>
      </c>
      <c r="S1070" s="3" t="n">
        <v>6.5837</v>
      </c>
      <c r="T1070" s="4" t="inlineStr">
        <is>
          <t>Company Takeover</t>
        </is>
      </c>
      <c r="U1070" s="2" t="inlineStr">
        <is>
          <t>No</t>
        </is>
      </c>
      <c r="V1070" s="2" t="inlineStr">
        <is>
          <t>No</t>
        </is>
      </c>
      <c r="W1070" s="2" t="inlineStr">
        <is>
          <t>No</t>
        </is>
      </c>
      <c r="X1070" s="2" t="inlineStr">
        <is>
          <t>No</t>
        </is>
      </c>
      <c r="Y1070" s="2" t="inlineStr">
        <is>
          <t>No</t>
        </is>
      </c>
      <c r="Z1070" s="2" t="inlineStr">
        <is>
          <t>No</t>
        </is>
      </c>
      <c r="AA1070" s="6" t="n">
        <v>3.13384217</v>
      </c>
      <c r="AB1070" s="6" t="n">
        <v>2.384290676</v>
      </c>
      <c r="AC1070" s="6" t="n">
        <v>3.051121638</v>
      </c>
      <c r="AD1070">
        <f t="array" ref="AD1070">IF(SUMPRODUCT(--($AM$2:$AM$112=TRIM(LEFT($B1070,IFERROR(FIND(" ",$B1070)-1,LEN($B1070))))))&gt;0,1,0)</f>
        <v/>
      </c>
      <c r="AE1070">
        <f t="array" ref="AE1070">IF(SUMPRODUCT(--($AO$2:$AO$145=TRIM(LEFT($B1070,IFERROR(FIND(" ",$B1070)-1,LEN($B1070))))))&gt;0,1,0)</f>
        <v/>
      </c>
      <c r="AF1070">
        <f t="array" ref="AF1070">IF(SUMPRODUCT(--($AQ$2:$AQ$71=TRIM(LEFT($B1070,IFERROR(FIND(" ",$B1070)-1,LEN($B1070))))))&gt;0,1,0)</f>
        <v/>
      </c>
    </row>
    <row r="1071" ht="135.75" customHeight="1" thickBot="1">
      <c r="A1071" s="13" t="n">
        <v>84</v>
      </c>
      <c r="B1071" s="4" t="inlineStr">
        <is>
          <t>1868126D US</t>
        </is>
      </c>
      <c r="C1071" s="4" t="inlineStr">
        <is>
          <t>8818Z US</t>
        </is>
      </c>
      <c r="D1071" s="7" t="n">
        <v>43031</v>
      </c>
      <c r="E1071" s="3" t="n">
        <v>739.92</v>
      </c>
      <c r="F1071" s="4" t="inlineStr">
        <is>
          <t>Cash</t>
        </is>
      </c>
      <c r="G1071" s="3" t="n">
        <v>26.9</v>
      </c>
      <c r="H1071" s="4" t="inlineStr">
        <is>
          <t>Health Care</t>
        </is>
      </c>
      <c r="I1071" s="4" t="inlineStr">
        <is>
          <t>Health Care</t>
        </is>
      </c>
      <c r="J1071" s="4" t="inlineStr">
        <is>
          <t>Medical Equipment &amp; Devices</t>
        </is>
      </c>
      <c r="K1071" s="4" t="n"/>
      <c r="L1071" s="3" t="n">
        <v>25.797</v>
      </c>
      <c r="M1071" s="3" t="n">
        <v>49.86</v>
      </c>
      <c r="N1071" s="3" t="n">
        <v>734.84</v>
      </c>
      <c r="O1071" s="4" t="inlineStr">
        <is>
          <t>United States</t>
        </is>
      </c>
      <c r="P1071" s="4" t="inlineStr">
        <is>
          <t>United States</t>
        </is>
      </c>
      <c r="Q1071" s="4" t="inlineStr">
        <is>
          <t>Friendly</t>
        </is>
      </c>
      <c r="R1071" s="3" t="n">
        <v>257.573</v>
      </c>
      <c r="S1071" s="3" t="n">
        <v>2.78546</v>
      </c>
      <c r="T1071" s="4" t="inlineStr">
        <is>
          <t>PE Buyout, Company Takeover, Going Private, Private Equity</t>
        </is>
      </c>
      <c r="U1071" s="2" t="inlineStr">
        <is>
          <t>No</t>
        </is>
      </c>
      <c r="V1071" s="2" t="inlineStr">
        <is>
          <t>No</t>
        </is>
      </c>
      <c r="W1071" s="2" t="inlineStr">
        <is>
          <t>No</t>
        </is>
      </c>
      <c r="X1071" s="2" t="inlineStr">
        <is>
          <t>Yes</t>
        </is>
      </c>
      <c r="Y1071" s="2" t="inlineStr">
        <is>
          <t>Yes</t>
        </is>
      </c>
      <c r="Z1071" s="2" t="inlineStr">
        <is>
          <t>No</t>
        </is>
      </c>
      <c r="AA1071" s="6" t="n">
        <v>2.869184766</v>
      </c>
      <c r="AB1071" s="6" t="n">
        <v>2.410900336</v>
      </c>
      <c r="AC1071" s="6" t="n">
        <v>2.866192788</v>
      </c>
      <c r="AD1071">
        <f t="array" ref="AD1071">IF(SUMPRODUCT(--($AM$2:$AM$112=TRIM(LEFT($B1071,IFERROR(FIND(" ",$B1071)-1,LEN($B1071))))))&gt;0,1,0)</f>
        <v/>
      </c>
      <c r="AE1071">
        <f t="array" ref="AE1071">IF(SUMPRODUCT(--($AO$2:$AO$145=TRIM(LEFT($B1071,IFERROR(FIND(" ",$B1071)-1,LEN($B1071))))))&gt;0,1,0)</f>
        <v/>
      </c>
      <c r="AF1071">
        <f t="array" ref="AF1071">IF(SUMPRODUCT(--($AQ$2:$AQ$71=TRIM(LEFT($B1071,IFERROR(FIND(" ",$B1071)-1,LEN($B1071))))))&gt;0,1,0)</f>
        <v/>
      </c>
    </row>
    <row r="1072" ht="75.75" customHeight="1" thickBot="1">
      <c r="A1072" s="13" t="n">
        <v>37</v>
      </c>
      <c r="B1072" s="4" t="inlineStr">
        <is>
          <t>SCMP US</t>
        </is>
      </c>
      <c r="C1072" s="4" t="inlineStr">
        <is>
          <t>MNKTQ US</t>
        </is>
      </c>
      <c r="D1072" s="7" t="n">
        <v>43095</v>
      </c>
      <c r="E1072" s="3" t="n">
        <v>1058.87</v>
      </c>
      <c r="F1072" s="4" t="inlineStr">
        <is>
          <t>Cash</t>
        </is>
      </c>
      <c r="G1072" s="4" t="n"/>
      <c r="H1072" s="4" t="inlineStr">
        <is>
          <t>Health Care</t>
        </is>
      </c>
      <c r="I1072" s="4" t="inlineStr">
        <is>
          <t>Health Care</t>
        </is>
      </c>
      <c r="J1072" s="4" t="inlineStr">
        <is>
          <t>Biotech &amp; Pharma</t>
        </is>
      </c>
      <c r="K1072" s="4" t="n"/>
      <c r="L1072" s="3" t="n">
        <v>44</v>
      </c>
      <c r="M1072" s="3" t="n">
        <v>19.66</v>
      </c>
      <c r="N1072" s="3" t="n">
        <v>841.97</v>
      </c>
      <c r="O1072" s="4" t="inlineStr">
        <is>
          <t>United States</t>
        </is>
      </c>
      <c r="P1072" s="4" t="inlineStr">
        <is>
          <t>United States</t>
        </is>
      </c>
      <c r="Q1072" s="4" t="inlineStr">
        <is>
          <t>Friendly</t>
        </is>
      </c>
      <c r="R1072" s="3" t="n">
        <v>230.056</v>
      </c>
      <c r="S1072" s="3" t="n">
        <v>-44.0302</v>
      </c>
      <c r="T1072" s="4" t="inlineStr">
        <is>
          <t>Company Takeover, Tender Offer</t>
        </is>
      </c>
      <c r="U1072" s="2" t="inlineStr">
        <is>
          <t>No</t>
        </is>
      </c>
      <c r="V1072" s="2" t="inlineStr">
        <is>
          <t>No</t>
        </is>
      </c>
      <c r="W1072" s="2" t="inlineStr">
        <is>
          <t>No</t>
        </is>
      </c>
      <c r="X1072" s="2" t="inlineStr">
        <is>
          <t>No</t>
        </is>
      </c>
      <c r="Y1072" s="2" t="inlineStr">
        <is>
          <t>No</t>
        </is>
      </c>
      <c r="Z1072" s="2" t="inlineStr">
        <is>
          <t>Yes</t>
        </is>
      </c>
      <c r="AA1072" s="6" t="n">
        <v>3.024842644</v>
      </c>
      <c r="AB1072" s="6" t="n">
        <v>2.361833564</v>
      </c>
      <c r="AC1072" s="6" t="n">
        <v>2.925296618</v>
      </c>
      <c r="AD1072">
        <f t="array" ref="AD1072">IF(SUMPRODUCT(--($AM$2:$AM$112=TRIM(LEFT($B1072,IFERROR(FIND(" ",$B1072)-1,LEN($B1072))))))&gt;0,1,0)</f>
        <v/>
      </c>
      <c r="AE1072">
        <f t="array" ref="AE1072">IF(SUMPRODUCT(--($AO$2:$AO$145=TRIM(LEFT($B1072,IFERROR(FIND(" ",$B1072)-1,LEN($B1072))))))&gt;0,1,0)</f>
        <v/>
      </c>
      <c r="AF1072">
        <f t="array" ref="AF1072">IF(SUMPRODUCT(--($AQ$2:$AQ$71=TRIM(LEFT($B1072,IFERROR(FIND(" ",$B1072)-1,LEN($B1072))))))&gt;0,1,0)</f>
        <v/>
      </c>
    </row>
    <row r="1073" ht="75.75" customHeight="1" thickBot="1">
      <c r="A1073" s="13" t="n">
        <v>77</v>
      </c>
      <c r="B1073" s="4" t="inlineStr">
        <is>
          <t>CAA US</t>
        </is>
      </c>
      <c r="C1073" s="4" t="inlineStr">
        <is>
          <t>LEN US</t>
        </is>
      </c>
      <c r="D1073" s="7" t="n">
        <v>43038</v>
      </c>
      <c r="E1073" s="3" t="n">
        <v>9234.959999999999</v>
      </c>
      <c r="F1073" s="4" t="inlineStr">
        <is>
          <t>Cash or Stock</t>
        </is>
      </c>
      <c r="G1073" s="3" t="n">
        <v>12.52</v>
      </c>
      <c r="H1073" s="4" t="inlineStr">
        <is>
          <t>Consumer Discretionary</t>
        </is>
      </c>
      <c r="I1073" s="4" t="inlineStr">
        <is>
          <t>Consumer Discretionary Products</t>
        </is>
      </c>
      <c r="J1073" s="4" t="inlineStr">
        <is>
          <t>Home Construction</t>
        </is>
      </c>
      <c r="K1073" s="3" t="n">
        <v>178.7</v>
      </c>
      <c r="L1073" s="4" t="n"/>
      <c r="M1073" s="3" t="n">
        <v>29.75</v>
      </c>
      <c r="N1073" s="3" t="n">
        <v>5538.55</v>
      </c>
      <c r="O1073" s="4" t="inlineStr">
        <is>
          <t>United States</t>
        </is>
      </c>
      <c r="P1073" s="4" t="inlineStr">
        <is>
          <t>United States</t>
        </is>
      </c>
      <c r="Q1073" s="4" t="inlineStr">
        <is>
          <t>Friendly</t>
        </is>
      </c>
      <c r="R1073" s="2" t="n"/>
      <c r="S1073" s="2" t="n"/>
      <c r="T1073" s="4" t="inlineStr">
        <is>
          <t>Company Takeover</t>
        </is>
      </c>
      <c r="U1073" s="2" t="inlineStr">
        <is>
          <t>No</t>
        </is>
      </c>
      <c r="V1073" s="2" t="inlineStr">
        <is>
          <t>No</t>
        </is>
      </c>
      <c r="W1073" s="2" t="inlineStr">
        <is>
          <t>No</t>
        </is>
      </c>
      <c r="X1073" s="2" t="inlineStr">
        <is>
          <t>No</t>
        </is>
      </c>
      <c r="Y1073" s="2" t="inlineStr">
        <is>
          <t>No</t>
        </is>
      </c>
      <c r="Z1073" s="2" t="inlineStr">
        <is>
          <t>No</t>
        </is>
      </c>
      <c r="AA1073" s="6" t="n">
        <v>3.965435019</v>
      </c>
      <c r="AB1073" s="2" t="n"/>
      <c r="AC1073" s="6" t="n">
        <v>3.743396081</v>
      </c>
      <c r="AD1073">
        <f t="array" ref="AD1073">IF(SUMPRODUCT(--($AM$2:$AM$112=TRIM(LEFT($B1073,IFERROR(FIND(" ",$B1073)-1,LEN($B1073))))))&gt;0,1,0)</f>
        <v/>
      </c>
      <c r="AE1073">
        <f t="array" ref="AE1073">IF(SUMPRODUCT(--($AO$2:$AO$145=TRIM(LEFT($B1073,IFERROR(FIND(" ",$B1073)-1,LEN($B1073))))))&gt;0,1,0)</f>
        <v/>
      </c>
      <c r="AF1073">
        <f t="array" ref="AF1073">IF(SUMPRODUCT(--($AQ$2:$AQ$71=TRIM(LEFT($B1073,IFERROR(FIND(" ",$B1073)-1,LEN($B1073))))))&gt;0,1,0)</f>
        <v/>
      </c>
    </row>
    <row r="1074" ht="135.75" customHeight="1" thickBot="1">
      <c r="A1074" s="13" t="n">
        <v>56</v>
      </c>
      <c r="B1074" s="4" t="inlineStr">
        <is>
          <t>CUDA US</t>
        </is>
      </c>
      <c r="C1074" s="4" t="inlineStr">
        <is>
          <t>129626Z US</t>
        </is>
      </c>
      <c r="D1074" s="7" t="n">
        <v>43066</v>
      </c>
      <c r="E1074" s="3" t="n">
        <v>1261.32</v>
      </c>
      <c r="F1074" s="4" t="inlineStr">
        <is>
          <t>Cash</t>
        </is>
      </c>
      <c r="G1074" s="3" t="n">
        <v>39.26</v>
      </c>
      <c r="H1074" s="4" t="inlineStr">
        <is>
          <t>Technology</t>
        </is>
      </c>
      <c r="I1074" s="4" t="inlineStr">
        <is>
          <t>Software &amp; Tech Services</t>
        </is>
      </c>
      <c r="J1074" s="4" t="inlineStr">
        <is>
          <t>Software</t>
        </is>
      </c>
      <c r="K1074" s="3" t="n">
        <v>96.53</v>
      </c>
      <c r="L1074" s="3" t="n">
        <v>48.26</v>
      </c>
      <c r="M1074" s="3" t="n">
        <v>22.11</v>
      </c>
      <c r="N1074" s="3" t="n">
        <v>1467.9</v>
      </c>
      <c r="O1074" s="4" t="inlineStr">
        <is>
          <t>United States</t>
        </is>
      </c>
      <c r="P1074" s="4" t="inlineStr">
        <is>
          <t>United States</t>
        </is>
      </c>
      <c r="Q1074" s="4" t="inlineStr">
        <is>
          <t>Friendly</t>
        </is>
      </c>
      <c r="R1074" s="3" t="n">
        <v>352.649</v>
      </c>
      <c r="S1074" s="3" t="n">
        <v>3.97439</v>
      </c>
      <c r="T1074" s="4" t="inlineStr">
        <is>
          <t>PE Buyout, Company Takeover, Going Private, Private Equity</t>
        </is>
      </c>
      <c r="U1074" s="2" t="inlineStr">
        <is>
          <t>No</t>
        </is>
      </c>
      <c r="V1074" s="2" t="inlineStr">
        <is>
          <t>No</t>
        </is>
      </c>
      <c r="W1074" s="2" t="inlineStr">
        <is>
          <t>No</t>
        </is>
      </c>
      <c r="X1074" s="2" t="inlineStr">
        <is>
          <t>Yes</t>
        </is>
      </c>
      <c r="Y1074" s="2" t="inlineStr">
        <is>
          <t>Yes</t>
        </is>
      </c>
      <c r="Z1074" s="2" t="inlineStr">
        <is>
          <t>No</t>
        </is>
      </c>
      <c r="AA1074" s="6" t="n">
        <v>3.100825282</v>
      </c>
      <c r="AB1074" s="6" t="n">
        <v>2.547342657</v>
      </c>
      <c r="AC1074" s="6" t="n">
        <v>3.16669647</v>
      </c>
      <c r="AD1074">
        <f t="array" ref="AD1074">IF(SUMPRODUCT(--($AM$2:$AM$112=TRIM(LEFT($B1074,IFERROR(FIND(" ",$B1074)-1,LEN($B1074))))))&gt;0,1,0)</f>
        <v/>
      </c>
      <c r="AE1074">
        <f t="array" ref="AE1074">IF(SUMPRODUCT(--($AO$2:$AO$145=TRIM(LEFT($B1074,IFERROR(FIND(" ",$B1074)-1,LEN($B1074))))))&gt;0,1,0)</f>
        <v/>
      </c>
      <c r="AF1074">
        <f t="array" ref="AF1074">IF(SUMPRODUCT(--($AQ$2:$AQ$71=TRIM(LEFT($B1074,IFERROR(FIND(" ",$B1074)-1,LEN($B1074))))))&gt;0,1,0)</f>
        <v/>
      </c>
    </row>
    <row r="1075" ht="105.75" customHeight="1" thickBot="1">
      <c r="A1075" s="13" t="n">
        <v>36</v>
      </c>
      <c r="B1075" s="4" t="inlineStr">
        <is>
          <t>RXDX US</t>
        </is>
      </c>
      <c r="C1075" s="4" t="inlineStr">
        <is>
          <t>ROP SW</t>
        </is>
      </c>
      <c r="D1075" s="7" t="n">
        <v>43091</v>
      </c>
      <c r="E1075" s="3" t="n">
        <v>1719.71</v>
      </c>
      <c r="F1075" s="4" t="inlineStr">
        <is>
          <t>Cash</t>
        </is>
      </c>
      <c r="G1075" s="4" t="n"/>
      <c r="H1075" s="4" t="inlineStr">
        <is>
          <t>Health Care</t>
        </is>
      </c>
      <c r="I1075" s="4" t="inlineStr">
        <is>
          <t>Health Care</t>
        </is>
      </c>
      <c r="J1075" s="4" t="inlineStr">
        <is>
          <t>Biotech &amp; Pharma</t>
        </is>
      </c>
      <c r="K1075" s="4" t="n"/>
      <c r="L1075" s="3" t="n">
        <v>58</v>
      </c>
      <c r="M1075" s="3" t="n">
        <v>69.84999999999999</v>
      </c>
      <c r="N1075" s="3" t="n">
        <v>1834.53</v>
      </c>
      <c r="O1075" s="4" t="inlineStr">
        <is>
          <t>United States</t>
        </is>
      </c>
      <c r="P1075" s="4" t="inlineStr">
        <is>
          <t>Switzerland</t>
        </is>
      </c>
      <c r="Q1075" s="4" t="inlineStr">
        <is>
          <t>Friendly</t>
        </is>
      </c>
      <c r="R1075" s="3" t="n">
        <v>6.809</v>
      </c>
      <c r="S1075" s="3" t="n">
        <v>-4064.71</v>
      </c>
      <c r="T1075" s="4" t="inlineStr">
        <is>
          <t>Company Takeover, Cross Border, Tender Offer</t>
        </is>
      </c>
      <c r="U1075" s="2" t="inlineStr">
        <is>
          <t>No</t>
        </is>
      </c>
      <c r="V1075" s="2" t="inlineStr">
        <is>
          <t>No</t>
        </is>
      </c>
      <c r="W1075" s="2" t="inlineStr">
        <is>
          <t>Yes</t>
        </is>
      </c>
      <c r="X1075" s="2" t="inlineStr">
        <is>
          <t>No</t>
        </is>
      </c>
      <c r="Y1075" s="2" t="inlineStr">
        <is>
          <t>No</t>
        </is>
      </c>
      <c r="Z1075" s="2" t="inlineStr">
        <is>
          <t>Yes</t>
        </is>
      </c>
      <c r="AA1075" s="6" t="n">
        <v>3.235455217</v>
      </c>
      <c r="AB1075" s="6" t="n">
        <v>0.8330833342</v>
      </c>
      <c r="AC1075" s="6" t="n">
        <v>3.263524818</v>
      </c>
      <c r="AD1075">
        <f t="array" ref="AD1075">IF(SUMPRODUCT(--($AM$2:$AM$112=TRIM(LEFT($B1075,IFERROR(FIND(" ",$B1075)-1,LEN($B1075))))))&gt;0,1,0)</f>
        <v/>
      </c>
      <c r="AE1075">
        <f t="array" ref="AE1075">IF(SUMPRODUCT(--($AO$2:$AO$145=TRIM(LEFT($B1075,IFERROR(FIND(" ",$B1075)-1,LEN($B1075))))))&gt;0,1,0)</f>
        <v/>
      </c>
      <c r="AF1075">
        <f t="array" ref="AF1075">IF(SUMPRODUCT(--($AQ$2:$AQ$71=TRIM(LEFT($B1075,IFERROR(FIND(" ",$B1075)-1,LEN($B1075))))))&gt;0,1,0)</f>
        <v/>
      </c>
    </row>
    <row r="1076" ht="45.75" customHeight="1" thickBot="1">
      <c r="A1076" s="13" t="n">
        <v>74</v>
      </c>
      <c r="B1076" s="4" t="inlineStr">
        <is>
          <t>AXY CN</t>
        </is>
      </c>
      <c r="C1076" s="4" t="inlineStr">
        <is>
          <t>INE CN</t>
        </is>
      </c>
      <c r="D1076" s="7" t="n">
        <v>43038</v>
      </c>
      <c r="E1076" s="3" t="n">
        <v>585.35</v>
      </c>
      <c r="F1076" s="4" t="inlineStr">
        <is>
          <t>Cash or Stock</t>
        </is>
      </c>
      <c r="G1076" s="3" t="n">
        <v>17.67</v>
      </c>
      <c r="H1076" s="4" t="inlineStr">
        <is>
          <t>Utilities</t>
        </is>
      </c>
      <c r="I1076" s="4" t="inlineStr">
        <is>
          <t>Utilities</t>
        </is>
      </c>
      <c r="J1076" s="4" t="inlineStr">
        <is>
          <t>Electric Utilities</t>
        </is>
      </c>
      <c r="K1076" s="4" t="n"/>
      <c r="L1076" s="3" t="n">
        <v>18</v>
      </c>
      <c r="M1076" s="3" t="n">
        <v>59.37</v>
      </c>
      <c r="N1076" s="3" t="n">
        <v>378.37</v>
      </c>
      <c r="O1076" s="4" t="inlineStr">
        <is>
          <t>Canada</t>
        </is>
      </c>
      <c r="P1076" s="4" t="inlineStr">
        <is>
          <t>Canada</t>
        </is>
      </c>
      <c r="Q1076" s="4" t="inlineStr">
        <is>
          <t>Friendly</t>
        </is>
      </c>
      <c r="R1076" s="3" t="n">
        <v>60.837</v>
      </c>
      <c r="S1076" s="3" t="n">
        <v>25.8435</v>
      </c>
      <c r="T1076" s="4" t="inlineStr">
        <is>
          <t>Company Takeover</t>
        </is>
      </c>
      <c r="U1076" s="2" t="inlineStr">
        <is>
          <t>No</t>
        </is>
      </c>
      <c r="V1076" s="2" t="inlineStr">
        <is>
          <t>No</t>
        </is>
      </c>
      <c r="W1076" s="2" t="inlineStr">
        <is>
          <t>No</t>
        </is>
      </c>
      <c r="X1076" s="2" t="inlineStr">
        <is>
          <t>No</t>
        </is>
      </c>
      <c r="Y1076" s="2" t="inlineStr">
        <is>
          <t>No</t>
        </is>
      </c>
      <c r="Z1076" s="2" t="inlineStr">
        <is>
          <t>No</t>
        </is>
      </c>
      <c r="AA1076" s="6" t="n">
        <v>2.767415623</v>
      </c>
      <c r="AB1076" s="6" t="n">
        <v>1.78416779</v>
      </c>
      <c r="AC1076" s="6" t="n">
        <v>2.577916695</v>
      </c>
      <c r="AD1076">
        <f t="array" ref="AD1076">IF(SUMPRODUCT(--($AM$2:$AM$112=TRIM(LEFT($B1076,IFERROR(FIND(" ",$B1076)-1,LEN($B1076))))))&gt;0,1,0)</f>
        <v/>
      </c>
      <c r="AE1076">
        <f t="array" ref="AE1076">IF(SUMPRODUCT(--($AO$2:$AO$145=TRIM(LEFT($B1076,IFERROR(FIND(" ",$B1076)-1,LEN($B1076))))))&gt;0,1,0)</f>
        <v/>
      </c>
      <c r="AF1076">
        <f t="array" ref="AF1076">IF(SUMPRODUCT(--($AQ$2:$AQ$71=TRIM(LEFT($B1076,IFERROR(FIND(" ",$B1076)-1,LEN($B1076))))))&gt;0,1,0)</f>
        <v/>
      </c>
    </row>
    <row r="1077" ht="75.75" customHeight="1" thickBot="1">
      <c r="A1077" s="13" t="n">
        <v>51</v>
      </c>
      <c r="B1077" s="4" t="inlineStr">
        <is>
          <t>BWLD US</t>
        </is>
      </c>
      <c r="C1077" s="4" t="inlineStr">
        <is>
          <t>8453169Z US</t>
        </is>
      </c>
      <c r="D1077" s="7" t="n">
        <v>43067</v>
      </c>
      <c r="E1077" s="3" t="n">
        <v>2829.74</v>
      </c>
      <c r="F1077" s="4" t="inlineStr">
        <is>
          <t>Cash</t>
        </is>
      </c>
      <c r="G1077" s="3" t="n">
        <v>11.49</v>
      </c>
      <c r="H1077" s="4" t="inlineStr">
        <is>
          <t>Consumer Discretionary</t>
        </is>
      </c>
      <c r="I1077" s="4" t="inlineStr">
        <is>
          <t>Consumer Discretionary Services</t>
        </is>
      </c>
      <c r="J1077" s="4" t="inlineStr">
        <is>
          <t>Leisure Facilities &amp; Services</t>
        </is>
      </c>
      <c r="K1077" s="3" t="n">
        <v>134</v>
      </c>
      <c r="L1077" s="3" t="n">
        <v>74</v>
      </c>
      <c r="M1077" s="4" t="n"/>
      <c r="N1077" s="3" t="n">
        <v>2435.42</v>
      </c>
      <c r="O1077" s="4" t="inlineStr">
        <is>
          <t>United States</t>
        </is>
      </c>
      <c r="P1077" s="4" t="inlineStr">
        <is>
          <t>United States</t>
        </is>
      </c>
      <c r="Q1077" s="4" t="inlineStr">
        <is>
          <t>Friendly</t>
        </is>
      </c>
      <c r="R1077" s="3" t="n">
        <v>1986.79</v>
      </c>
      <c r="S1077" s="3" t="n">
        <v>4.61036</v>
      </c>
      <c r="T1077" s="4" t="inlineStr">
        <is>
          <t>Company Takeover, Going Private</t>
        </is>
      </c>
      <c r="U1077" s="2" t="inlineStr">
        <is>
          <t>No</t>
        </is>
      </c>
      <c r="V1077" s="2" t="inlineStr">
        <is>
          <t>No</t>
        </is>
      </c>
      <c r="W1077" s="2" t="inlineStr">
        <is>
          <t>No</t>
        </is>
      </c>
      <c r="X1077" s="2" t="inlineStr">
        <is>
          <t>Yes</t>
        </is>
      </c>
      <c r="Y1077" s="2" t="inlineStr">
        <is>
          <t>No</t>
        </is>
      </c>
      <c r="Z1077" s="2" t="inlineStr">
        <is>
          <t>No</t>
        </is>
      </c>
      <c r="AA1077" s="6" t="n">
        <v>3.451746534</v>
      </c>
      <c r="AB1077" s="6" t="n">
        <v>3.298151965</v>
      </c>
      <c r="AC1077" s="6" t="n">
        <v>3.386573868</v>
      </c>
      <c r="AD1077">
        <f t="array" ref="AD1077">IF(SUMPRODUCT(--($AM$2:$AM$112=TRIM(LEFT($B1077,IFERROR(FIND(" ",$B1077)-1,LEN($B1077))))))&gt;0,1,0)</f>
        <v/>
      </c>
      <c r="AE1077">
        <f t="array" ref="AE1077">IF(SUMPRODUCT(--($AO$2:$AO$145=TRIM(LEFT($B1077,IFERROR(FIND(" ",$B1077)-1,LEN($B1077))))))&gt;0,1,0)</f>
        <v/>
      </c>
      <c r="AF1077">
        <f t="array" ref="AF1077">IF(SUMPRODUCT(--($AQ$2:$AQ$71=TRIM(LEFT($B1077,IFERROR(FIND(" ",$B1077)-1,LEN($B1077))))))&gt;0,1,0)</f>
        <v/>
      </c>
    </row>
    <row r="1078" ht="45.75" customHeight="1" thickBot="1">
      <c r="A1078" s="13" t="n">
        <v>76</v>
      </c>
      <c r="B1078" s="4" t="inlineStr">
        <is>
          <t>BSFT US</t>
        </is>
      </c>
      <c r="C1078" s="4" t="inlineStr">
        <is>
          <t>CSCO US</t>
        </is>
      </c>
      <c r="D1078" s="7" t="n">
        <v>43031</v>
      </c>
      <c r="E1078" s="3" t="n">
        <v>1545.91</v>
      </c>
      <c r="F1078" s="4" t="inlineStr">
        <is>
          <t>Cash</t>
        </is>
      </c>
      <c r="G1078" s="3" t="n">
        <v>54.21</v>
      </c>
      <c r="H1078" s="4" t="inlineStr">
        <is>
          <t>Technology</t>
        </is>
      </c>
      <c r="I1078" s="4" t="inlineStr">
        <is>
          <t>Software &amp; Tech Services</t>
        </is>
      </c>
      <c r="J1078" s="4" t="inlineStr">
        <is>
          <t>Software</t>
        </is>
      </c>
      <c r="K1078" s="4" t="n"/>
      <c r="L1078" s="3" t="n">
        <v>56</v>
      </c>
      <c r="M1078" s="3" t="n">
        <v>4.61</v>
      </c>
      <c r="N1078" s="3" t="n">
        <v>1705.76</v>
      </c>
      <c r="O1078" s="4" t="inlineStr">
        <is>
          <t>United States</t>
        </is>
      </c>
      <c r="P1078" s="4" t="inlineStr">
        <is>
          <t>United States</t>
        </is>
      </c>
      <c r="Q1078" s="4" t="inlineStr">
        <is>
          <t>Friendly</t>
        </is>
      </c>
      <c r="R1078" s="3" t="n">
        <v>340.962</v>
      </c>
      <c r="S1078" s="3" t="n">
        <v>1.45185</v>
      </c>
      <c r="T1078" s="4" t="inlineStr">
        <is>
          <t>Company Takeover</t>
        </is>
      </c>
      <c r="U1078" s="2" t="inlineStr">
        <is>
          <t>No</t>
        </is>
      </c>
      <c r="V1078" s="2" t="inlineStr">
        <is>
          <t>No</t>
        </is>
      </c>
      <c r="W1078" s="2" t="inlineStr">
        <is>
          <t>No</t>
        </is>
      </c>
      <c r="X1078" s="2" t="inlineStr">
        <is>
          <t>No</t>
        </is>
      </c>
      <c r="Y1078" s="2" t="inlineStr">
        <is>
          <t>No</t>
        </is>
      </c>
      <c r="Z1078" s="2" t="inlineStr">
        <is>
          <t>No</t>
        </is>
      </c>
      <c r="AA1078" s="6" t="n">
        <v>3.189184207</v>
      </c>
      <c r="AB1078" s="6" t="n">
        <v>2.53270598</v>
      </c>
      <c r="AC1078" s="6" t="n">
        <v>3.231917926</v>
      </c>
      <c r="AD1078">
        <f t="array" ref="AD1078">IF(SUMPRODUCT(--($AM$2:$AM$112=TRIM(LEFT($B1078,IFERROR(FIND(" ",$B1078)-1,LEN($B1078))))))&gt;0,1,0)</f>
        <v/>
      </c>
      <c r="AE1078">
        <f t="array" ref="AE1078">IF(SUMPRODUCT(--($AO$2:$AO$145=TRIM(LEFT($B1078,IFERROR(FIND(" ",$B1078)-1,LEN($B1078))))))&gt;0,1,0)</f>
        <v/>
      </c>
      <c r="AF1078">
        <f t="array" ref="AF1078">IF(SUMPRODUCT(--($AQ$2:$AQ$71=TRIM(LEFT($B1078,IFERROR(FIND(" ",$B1078)-1,LEN($B1078))))))&gt;0,1,0)</f>
        <v/>
      </c>
    </row>
    <row r="1079" ht="75.75" customHeight="1" thickBot="1">
      <c r="A1079" s="13" t="n">
        <v>48</v>
      </c>
      <c r="B1079" s="4" t="inlineStr">
        <is>
          <t>2008551D US</t>
        </is>
      </c>
      <c r="C1079" s="4" t="inlineStr">
        <is>
          <t>MDP US</t>
        </is>
      </c>
      <c r="D1079" s="7" t="n">
        <v>43066</v>
      </c>
      <c r="E1079" s="3" t="n">
        <v>2520.45</v>
      </c>
      <c r="F1079" s="4" t="inlineStr">
        <is>
          <t>Cash</t>
        </is>
      </c>
      <c r="G1079" s="3" t="n">
        <v>10.37</v>
      </c>
      <c r="H1079" s="4" t="inlineStr">
        <is>
          <t>Communications</t>
        </is>
      </c>
      <c r="I1079" s="4" t="inlineStr">
        <is>
          <t>Media</t>
        </is>
      </c>
      <c r="J1079" s="4" t="inlineStr">
        <is>
          <t>Publishing &amp; Broadcasting</t>
        </is>
      </c>
      <c r="K1079" s="4" t="n"/>
      <c r="L1079" s="3" t="n">
        <v>65</v>
      </c>
      <c r="M1079" s="3" t="n">
        <v>44.56</v>
      </c>
      <c r="N1079" s="3" t="n">
        <v>1843.01</v>
      </c>
      <c r="O1079" s="4" t="inlineStr">
        <is>
          <t>United States</t>
        </is>
      </c>
      <c r="P1079" s="4" t="inlineStr">
        <is>
          <t>United States</t>
        </is>
      </c>
      <c r="Q1079" s="4" t="inlineStr">
        <is>
          <t>Friendly</t>
        </is>
      </c>
      <c r="R1079" s="3" t="n">
        <v>3076</v>
      </c>
      <c r="S1079" s="3" t="n">
        <v>3.78999</v>
      </c>
      <c r="T1079" s="4" t="inlineStr">
        <is>
          <t>Company Takeover, Tender Offer</t>
        </is>
      </c>
      <c r="U1079" s="2" t="inlineStr">
        <is>
          <t>No</t>
        </is>
      </c>
      <c r="V1079" s="2" t="inlineStr">
        <is>
          <t>No</t>
        </is>
      </c>
      <c r="W1079" s="2" t="inlineStr">
        <is>
          <t>No</t>
        </is>
      </c>
      <c r="X1079" s="2" t="inlineStr">
        <is>
          <t>No</t>
        </is>
      </c>
      <c r="Y1079" s="2" t="inlineStr">
        <is>
          <t>No</t>
        </is>
      </c>
      <c r="Z1079" s="2" t="inlineStr">
        <is>
          <t>Yes</t>
        </is>
      </c>
      <c r="AA1079" s="6" t="n">
        <v>3.401478086</v>
      </c>
      <c r="AB1079" s="6" t="n">
        <v>3.487986331</v>
      </c>
      <c r="AC1079" s="6" t="n">
        <v>3.265527692</v>
      </c>
      <c r="AD1079">
        <f t="array" ref="AD1079">IF(SUMPRODUCT(--($AM$2:$AM$112=TRIM(LEFT($B1079,IFERROR(FIND(" ",$B1079)-1,LEN($B1079))))))&gt;0,1,0)</f>
        <v/>
      </c>
      <c r="AE1079">
        <f t="array" ref="AE1079">IF(SUMPRODUCT(--($AO$2:$AO$145=TRIM(LEFT($B1079,IFERROR(FIND(" ",$B1079)-1,LEN($B1079))))))&gt;0,1,0)</f>
        <v/>
      </c>
      <c r="AF1079">
        <f t="array" ref="AF1079">IF(SUMPRODUCT(--($AQ$2:$AQ$71=TRIM(LEFT($B1079,IFERROR(FIND(" ",$B1079)-1,LEN($B1079))))))&gt;0,1,0)</f>
        <v/>
      </c>
    </row>
    <row r="1080" ht="75.75" customHeight="1" thickBot="1">
      <c r="A1080" s="13" t="n">
        <v>33</v>
      </c>
      <c r="B1080" s="4" t="inlineStr">
        <is>
          <t>BETR US</t>
        </is>
      </c>
      <c r="C1080" s="4" t="inlineStr">
        <is>
          <t>HSY US</t>
        </is>
      </c>
      <c r="D1080" s="7" t="n">
        <v>43087</v>
      </c>
      <c r="E1080" s="3" t="n">
        <v>1503.1</v>
      </c>
      <c r="F1080" s="4" t="inlineStr">
        <is>
          <t>Cash</t>
        </is>
      </c>
      <c r="G1080" s="3" t="n">
        <v>19.54</v>
      </c>
      <c r="H1080" s="4" t="inlineStr">
        <is>
          <t>Consumer Staples</t>
        </is>
      </c>
      <c r="I1080" s="4" t="inlineStr">
        <is>
          <t>Consumer Staple Products</t>
        </is>
      </c>
      <c r="J1080" s="4" t="inlineStr">
        <is>
          <t>Food</t>
        </is>
      </c>
      <c r="K1080" s="4" t="n"/>
      <c r="L1080" s="3" t="n">
        <v>31.4</v>
      </c>
      <c r="M1080" s="3" t="n">
        <v>99.93000000000001</v>
      </c>
      <c r="N1080" s="3" t="n">
        <v>920.95</v>
      </c>
      <c r="O1080" s="4" t="inlineStr">
        <is>
          <t>United States</t>
        </is>
      </c>
      <c r="P1080" s="4" t="inlineStr">
        <is>
          <t>United States</t>
        </is>
      </c>
      <c r="Q1080" s="4" t="inlineStr">
        <is>
          <t>Friendly</t>
        </is>
      </c>
      <c r="R1080" s="3" t="n">
        <v>164.872</v>
      </c>
      <c r="S1080" s="3" t="n">
        <v>-92.49460000000001</v>
      </c>
      <c r="T1080" s="4" t="inlineStr">
        <is>
          <t>Company Takeover, Tender Offer</t>
        </is>
      </c>
      <c r="U1080" s="2" t="inlineStr">
        <is>
          <t>No</t>
        </is>
      </c>
      <c r="V1080" s="2" t="inlineStr">
        <is>
          <t>No</t>
        </is>
      </c>
      <c r="W1080" s="2" t="inlineStr">
        <is>
          <t>No</t>
        </is>
      </c>
      <c r="X1080" s="2" t="inlineStr">
        <is>
          <t>No</t>
        </is>
      </c>
      <c r="Y1080" s="2" t="inlineStr">
        <is>
          <t>No</t>
        </is>
      </c>
      <c r="Z1080" s="2" t="inlineStr">
        <is>
          <t>Yes</t>
        </is>
      </c>
      <c r="AA1080" s="6" t="n">
        <v>3.176987875</v>
      </c>
      <c r="AB1080" s="6" t="n">
        <v>2.217146906</v>
      </c>
      <c r="AC1080" s="6" t="n">
        <v>2.964236052</v>
      </c>
      <c r="AD1080">
        <f t="array" ref="AD1080">IF(SUMPRODUCT(--($AM$2:$AM$112=TRIM(LEFT($B1080,IFERROR(FIND(" ",$B1080)-1,LEN($B1080))))))&gt;0,1,0)</f>
        <v/>
      </c>
      <c r="AE1080">
        <f t="array" ref="AE1080">IF(SUMPRODUCT(--($AO$2:$AO$145=TRIM(LEFT($B1080,IFERROR(FIND(" ",$B1080)-1,LEN($B1080))))))&gt;0,1,0)</f>
        <v/>
      </c>
      <c r="AF1080">
        <f t="array" ref="AF1080">IF(SUMPRODUCT(--($AQ$2:$AQ$71=TRIM(LEFT($B1080,IFERROR(FIND(" ",$B1080)-1,LEN($B1080))))))&gt;0,1,0)</f>
        <v/>
      </c>
    </row>
    <row r="1081" ht="75.75" customHeight="1" thickBot="1">
      <c r="A1081" s="13" t="n">
        <v>104</v>
      </c>
      <c r="B1081" s="4" t="inlineStr">
        <is>
          <t>IXYS US</t>
        </is>
      </c>
      <c r="C1081" s="4" t="inlineStr">
        <is>
          <t>LFUS US</t>
        </is>
      </c>
      <c r="D1081" s="7" t="n">
        <v>42975</v>
      </c>
      <c r="E1081" s="3" t="n">
        <v>719.37</v>
      </c>
      <c r="F1081" s="4" t="inlineStr">
        <is>
          <t>Cash or Stock</t>
        </is>
      </c>
      <c r="G1081" s="3" t="n">
        <v>16.98</v>
      </c>
      <c r="H1081" s="4" t="inlineStr">
        <is>
          <t>Technology</t>
        </is>
      </c>
      <c r="I1081" s="4" t="inlineStr">
        <is>
          <t>Tech Hardware &amp; Semiconductors</t>
        </is>
      </c>
      <c r="J1081" s="4" t="inlineStr">
        <is>
          <t>Semiconductors</t>
        </is>
      </c>
      <c r="K1081" s="4" t="n"/>
      <c r="L1081" s="3" t="n">
        <v>28.5</v>
      </c>
      <c r="M1081" s="3" t="n">
        <v>43.06</v>
      </c>
      <c r="N1081" s="3" t="n">
        <v>812.42</v>
      </c>
      <c r="O1081" s="4" t="inlineStr">
        <is>
          <t>United States</t>
        </is>
      </c>
      <c r="P1081" s="4" t="inlineStr">
        <is>
          <t>United States</t>
        </is>
      </c>
      <c r="Q1081" s="4" t="inlineStr">
        <is>
          <t>Friendly</t>
        </is>
      </c>
      <c r="R1081" s="3" t="n">
        <v>322.123</v>
      </c>
      <c r="S1081" s="3" t="n">
        <v>9.126799999999999</v>
      </c>
      <c r="T1081" s="4" t="inlineStr">
        <is>
          <t>Company Takeover</t>
        </is>
      </c>
      <c r="U1081" s="2" t="inlineStr">
        <is>
          <t>No</t>
        </is>
      </c>
      <c r="V1081" s="2" t="inlineStr">
        <is>
          <t>No</t>
        </is>
      </c>
      <c r="W1081" s="2" t="inlineStr">
        <is>
          <t>No</t>
        </is>
      </c>
      <c r="X1081" s="2" t="inlineStr">
        <is>
          <t>No</t>
        </is>
      </c>
      <c r="Y1081" s="2" t="inlineStr">
        <is>
          <t>No</t>
        </is>
      </c>
      <c r="Z1081" s="2" t="inlineStr">
        <is>
          <t>No</t>
        </is>
      </c>
      <c r="AA1081" s="6" t="n">
        <v>2.856952322</v>
      </c>
      <c r="AB1081" s="6" t="n">
        <v>2.508021735</v>
      </c>
      <c r="AC1081" s="6" t="n">
        <v>2.909780606</v>
      </c>
      <c r="AD1081">
        <f t="array" ref="AD1081">IF(SUMPRODUCT(--($AM$2:$AM$112=TRIM(LEFT($B1081,IFERROR(FIND(" ",$B1081)-1,LEN($B1081))))))&gt;0,1,0)</f>
        <v/>
      </c>
      <c r="AE1081">
        <f t="array" ref="AE1081">IF(SUMPRODUCT(--($AO$2:$AO$145=TRIM(LEFT($B1081,IFERROR(FIND(" ",$B1081)-1,LEN($B1081))))))&gt;0,1,0)</f>
        <v/>
      </c>
      <c r="AF1081">
        <f t="array" ref="AF1081">IF(SUMPRODUCT(--($AQ$2:$AQ$71=TRIM(LEFT($B1081,IFERROR(FIND(" ",$B1081)-1,LEN($B1081))))))&gt;0,1,0)</f>
        <v/>
      </c>
    </row>
    <row r="1082" ht="45.75" customHeight="1" thickBot="1">
      <c r="A1082" s="13" t="n">
        <v>86</v>
      </c>
      <c r="B1082" s="4" t="inlineStr">
        <is>
          <t>BOBE US</t>
        </is>
      </c>
      <c r="C1082" s="4" t="inlineStr">
        <is>
          <t>POST US</t>
        </is>
      </c>
      <c r="D1082" s="7" t="n">
        <v>42997</v>
      </c>
      <c r="E1082" s="3" t="n">
        <v>1613.9</v>
      </c>
      <c r="F1082" s="4" t="inlineStr">
        <is>
          <t>Cash</t>
        </is>
      </c>
      <c r="G1082" s="4" t="n"/>
      <c r="H1082" s="4" t="inlineStr">
        <is>
          <t>Consumer Staples</t>
        </is>
      </c>
      <c r="I1082" s="4" t="inlineStr">
        <is>
          <t>Consumer Staple Products</t>
        </is>
      </c>
      <c r="J1082" s="4" t="inlineStr">
        <is>
          <t>Food</t>
        </is>
      </c>
      <c r="K1082" s="4" t="n"/>
      <c r="L1082" s="3" t="n">
        <v>50</v>
      </c>
      <c r="M1082" s="3" t="n">
        <v>14.64</v>
      </c>
      <c r="N1082" s="3" t="n">
        <v>1536.58</v>
      </c>
      <c r="O1082" s="4" t="inlineStr">
        <is>
          <t>United States</t>
        </is>
      </c>
      <c r="P1082" s="4" t="inlineStr">
        <is>
          <t>United States</t>
        </is>
      </c>
      <c r="Q1082" s="4" t="inlineStr">
        <is>
          <t>Friendly</t>
        </is>
      </c>
      <c r="R1082" s="3" t="n">
        <v>394.842</v>
      </c>
      <c r="S1082" s="3" t="n">
        <v>9.178089999999999</v>
      </c>
      <c r="T1082" s="4" t="inlineStr">
        <is>
          <t>Company Takeover</t>
        </is>
      </c>
      <c r="U1082" s="2" t="inlineStr">
        <is>
          <t>No</t>
        </is>
      </c>
      <c r="V1082" s="2" t="inlineStr">
        <is>
          <t>No</t>
        </is>
      </c>
      <c r="W1082" s="2" t="inlineStr">
        <is>
          <t>No</t>
        </is>
      </c>
      <c r="X1082" s="2" t="inlineStr">
        <is>
          <t>No</t>
        </is>
      </c>
      <c r="Y1082" s="2" t="inlineStr">
        <is>
          <t>No</t>
        </is>
      </c>
      <c r="Z1082" s="2" t="inlineStr">
        <is>
          <t>No</t>
        </is>
      </c>
      <c r="AA1082" s="6" t="n">
        <v>3.207876622</v>
      </c>
      <c r="AB1082" s="6" t="n">
        <v>2.596423343</v>
      </c>
      <c r="AC1082" s="6" t="n">
        <v>3.186555176</v>
      </c>
      <c r="AD1082">
        <f t="array" ref="AD1082">IF(SUMPRODUCT(--($AM$2:$AM$112=TRIM(LEFT($B1082,IFERROR(FIND(" ",$B1082)-1,LEN($B1082))))))&gt;0,1,0)</f>
        <v/>
      </c>
      <c r="AE1082">
        <f t="array" ref="AE1082">IF(SUMPRODUCT(--($AO$2:$AO$145=TRIM(LEFT($B1082,IFERROR(FIND(" ",$B1082)-1,LEN($B1082))))))&gt;0,1,0)</f>
        <v/>
      </c>
      <c r="AF1082">
        <f t="array" ref="AF1082">IF(SUMPRODUCT(--($AQ$2:$AQ$71=TRIM(LEFT($B1082,IFERROR(FIND(" ",$B1082)-1,LEN($B1082))))))&gt;0,1,0)</f>
        <v/>
      </c>
    </row>
    <row r="1083" ht="45.75" customHeight="1" thickBot="1">
      <c r="A1083" s="13" t="n">
        <v>81</v>
      </c>
      <c r="B1083" s="4" t="inlineStr">
        <is>
          <t>SSNI US</t>
        </is>
      </c>
      <c r="C1083" s="4" t="inlineStr">
        <is>
          <t>ITRI US</t>
        </is>
      </c>
      <c r="D1083" s="7" t="n">
        <v>42996</v>
      </c>
      <c r="E1083" s="3" t="n">
        <v>752.6</v>
      </c>
      <c r="F1083" s="4" t="inlineStr">
        <is>
          <t>Cash</t>
        </is>
      </c>
      <c r="G1083" s="4" t="n"/>
      <c r="H1083" s="4" t="inlineStr">
        <is>
          <t>Energy</t>
        </is>
      </c>
      <c r="I1083" s="4" t="inlineStr">
        <is>
          <t>Renewable Energy</t>
        </is>
      </c>
      <c r="J1083" s="4" t="inlineStr">
        <is>
          <t>Renewable Energy</t>
        </is>
      </c>
      <c r="K1083" s="4" t="n"/>
      <c r="L1083" s="3" t="n">
        <v>32.3</v>
      </c>
      <c r="M1083" s="4" t="n"/>
      <c r="N1083" s="3" t="n">
        <v>870.4400000000001</v>
      </c>
      <c r="O1083" s="4" t="inlineStr">
        <is>
          <t>United States</t>
        </is>
      </c>
      <c r="P1083" s="4" t="inlineStr">
        <is>
          <t>United States</t>
        </is>
      </c>
      <c r="Q1083" s="4" t="inlineStr">
        <is>
          <t>Friendly</t>
        </is>
      </c>
      <c r="R1083" s="3" t="n">
        <v>2367.19</v>
      </c>
      <c r="S1083" s="3" t="n">
        <v>13.2253</v>
      </c>
      <c r="T1083" s="4" t="inlineStr">
        <is>
          <t>Company Takeover</t>
        </is>
      </c>
      <c r="U1083" s="2" t="inlineStr">
        <is>
          <t>No</t>
        </is>
      </c>
      <c r="V1083" s="2" t="inlineStr">
        <is>
          <t>No</t>
        </is>
      </c>
      <c r="W1083" s="2" t="inlineStr">
        <is>
          <t>No</t>
        </is>
      </c>
      <c r="X1083" s="2" t="inlineStr">
        <is>
          <t>No</t>
        </is>
      </c>
      <c r="Y1083" s="2" t="inlineStr">
        <is>
          <t>No</t>
        </is>
      </c>
      <c r="Z1083" s="2" t="inlineStr">
        <is>
          <t>No</t>
        </is>
      </c>
      <c r="AA1083" s="6" t="n">
        <v>2.876564214</v>
      </c>
      <c r="AB1083" s="6" t="n">
        <v>3.374233118</v>
      </c>
      <c r="AC1083" s="6" t="n">
        <v>2.93973884</v>
      </c>
      <c r="AD1083">
        <f t="array" ref="AD1083">IF(SUMPRODUCT(--($AM$2:$AM$112=TRIM(LEFT($B1083,IFERROR(FIND(" ",$B1083)-1,LEN($B1083))))))&gt;0,1,0)</f>
        <v/>
      </c>
      <c r="AE1083">
        <f t="array" ref="AE1083">IF(SUMPRODUCT(--($AO$2:$AO$145=TRIM(LEFT($B1083,IFERROR(FIND(" ",$B1083)-1,LEN($B1083))))))&gt;0,1,0)</f>
        <v/>
      </c>
      <c r="AF1083">
        <f t="array" ref="AF1083">IF(SUMPRODUCT(--($AQ$2:$AQ$71=TRIM(LEFT($B1083,IFERROR(FIND(" ",$B1083)-1,LEN($B1083))))))&gt;0,1,0)</f>
        <v/>
      </c>
    </row>
    <row r="1084" ht="120.75" customHeight="1" thickBot="1">
      <c r="A1084" s="13" t="n">
        <v>129</v>
      </c>
      <c r="B1084" s="4" t="inlineStr">
        <is>
          <t>HSNI US</t>
        </is>
      </c>
      <c r="C1084" s="4" t="inlineStr">
        <is>
          <t>QVCAQ US</t>
        </is>
      </c>
      <c r="D1084" s="7" t="n">
        <v>42922</v>
      </c>
      <c r="E1084" s="3" t="n">
        <v>1770.68</v>
      </c>
      <c r="F1084" s="4" t="inlineStr">
        <is>
          <t>Stock</t>
        </is>
      </c>
      <c r="G1084" s="3" t="n">
        <v>10.4</v>
      </c>
      <c r="H1084" s="4" t="inlineStr">
        <is>
          <t>Consumer Discretionary</t>
        </is>
      </c>
      <c r="I1084" s="4" t="inlineStr">
        <is>
          <t>Retail &amp; Whsle - Discretionary</t>
        </is>
      </c>
      <c r="J1084" s="4" t="inlineStr">
        <is>
          <t>Retail - Discretionary</t>
        </is>
      </c>
      <c r="K1084" s="4" t="n"/>
      <c r="L1084" s="4" t="n"/>
      <c r="M1084" s="3" t="n">
        <v>27.99</v>
      </c>
      <c r="N1084" s="3" t="n">
        <v>1294.88</v>
      </c>
      <c r="O1084" s="4" t="inlineStr">
        <is>
          <t>United States</t>
        </is>
      </c>
      <c r="P1084" s="4" t="inlineStr">
        <is>
          <t>United States</t>
        </is>
      </c>
      <c r="Q1084" s="4" t="inlineStr">
        <is>
          <t>Friendly</t>
        </is>
      </c>
      <c r="R1084" s="3" t="n">
        <v>3567.49</v>
      </c>
      <c r="S1084" s="3" t="n">
        <v>5.77559</v>
      </c>
      <c r="T1084" s="4" t="inlineStr">
        <is>
          <t>Company Takeover, Additional Stake Purchase</t>
        </is>
      </c>
      <c r="U1084" s="2" t="inlineStr">
        <is>
          <t>Yes</t>
        </is>
      </c>
      <c r="V1084" s="2" t="inlineStr">
        <is>
          <t>No</t>
        </is>
      </c>
      <c r="W1084" s="2" t="inlineStr">
        <is>
          <t>No</t>
        </is>
      </c>
      <c r="X1084" s="2" t="inlineStr">
        <is>
          <t>No</t>
        </is>
      </c>
      <c r="Y1084" s="2" t="inlineStr">
        <is>
          <t>No</t>
        </is>
      </c>
      <c r="Z1084" s="2" t="inlineStr">
        <is>
          <t>No</t>
        </is>
      </c>
      <c r="AA1084" s="6" t="n">
        <v>3.248140082</v>
      </c>
      <c r="AB1084" s="6" t="n">
        <v>3.552362764</v>
      </c>
      <c r="AC1084" s="6" t="n">
        <v>3.112229523</v>
      </c>
      <c r="AD1084">
        <f t="array" ref="AD1084">IF(SUMPRODUCT(--($AM$2:$AM$112=TRIM(LEFT($B1084,IFERROR(FIND(" ",$B1084)-1,LEN($B1084))))))&gt;0,1,0)</f>
        <v/>
      </c>
      <c r="AE1084">
        <f t="array" ref="AE1084">IF(SUMPRODUCT(--($AO$2:$AO$145=TRIM(LEFT($B1084,IFERROR(FIND(" ",$B1084)-1,LEN($B1084))))))&gt;0,1,0)</f>
        <v/>
      </c>
      <c r="AF1084">
        <f t="array" ref="AF1084">IF(SUMPRODUCT(--($AQ$2:$AQ$71=TRIM(LEFT($B1084,IFERROR(FIND(" ",$B1084)-1,LEN($B1084))))))&gt;0,1,0)</f>
        <v/>
      </c>
    </row>
    <row r="1085" ht="45.75" customHeight="1" thickBot="1">
      <c r="A1085" s="13" t="n">
        <v>115</v>
      </c>
      <c r="B1085" s="4" t="inlineStr">
        <is>
          <t>USAB US</t>
        </is>
      </c>
      <c r="C1085" s="4" t="inlineStr">
        <is>
          <t>VLY US</t>
        </is>
      </c>
      <c r="D1085" s="7" t="n">
        <v>42942</v>
      </c>
      <c r="E1085" s="3" t="n">
        <v>816</v>
      </c>
      <c r="F1085" s="4" t="inlineStr">
        <is>
          <t>Stock</t>
        </is>
      </c>
      <c r="G1085" s="4" t="n"/>
      <c r="H1085" s="4" t="inlineStr">
        <is>
          <t>Financials</t>
        </is>
      </c>
      <c r="I1085" s="4" t="inlineStr">
        <is>
          <t>Banking</t>
        </is>
      </c>
      <c r="J1085" s="4" t="inlineStr">
        <is>
          <t>Banking</t>
        </is>
      </c>
      <c r="K1085" s="4" t="n"/>
      <c r="L1085" s="3" t="n">
        <v>30</v>
      </c>
      <c r="M1085" s="4" t="n"/>
      <c r="N1085" s="3" t="n">
        <v>816</v>
      </c>
      <c r="O1085" s="4" t="inlineStr">
        <is>
          <t>United States</t>
        </is>
      </c>
      <c r="P1085" s="4" t="inlineStr">
        <is>
          <t>United States</t>
        </is>
      </c>
      <c r="Q1085" s="4" t="inlineStr">
        <is>
          <t>Friendly</t>
        </is>
      </c>
      <c r="R1085" s="2" t="n"/>
      <c r="S1085" s="2" t="n"/>
      <c r="T1085" s="4" t="inlineStr">
        <is>
          <t>Company Takeover</t>
        </is>
      </c>
      <c r="U1085" s="2" t="inlineStr">
        <is>
          <t>No</t>
        </is>
      </c>
      <c r="V1085" s="2" t="inlineStr">
        <is>
          <t>No</t>
        </is>
      </c>
      <c r="W1085" s="2" t="inlineStr">
        <is>
          <t>No</t>
        </is>
      </c>
      <c r="X1085" s="2" t="inlineStr">
        <is>
          <t>No</t>
        </is>
      </c>
      <c r="Y1085" s="2" t="inlineStr">
        <is>
          <t>No</t>
        </is>
      </c>
      <c r="Z1085" s="2" t="inlineStr">
        <is>
          <t>No</t>
        </is>
      </c>
      <c r="AA1085" s="6" t="n">
        <v>2.911690159</v>
      </c>
      <c r="AB1085" s="2" t="n"/>
      <c r="AC1085" s="6" t="n">
        <v>2.911690159</v>
      </c>
      <c r="AD1085">
        <f t="array" ref="AD1085">IF(SUMPRODUCT(--($AM$2:$AM$112=TRIM(LEFT($B1085,IFERROR(FIND(" ",$B1085)-1,LEN($B1085))))))&gt;0,1,0)</f>
        <v/>
      </c>
      <c r="AE1085">
        <f t="array" ref="AE1085">IF(SUMPRODUCT(--($AO$2:$AO$145=TRIM(LEFT($B1085,IFERROR(FIND(" ",$B1085)-1,LEN($B1085))))))&gt;0,1,0)</f>
        <v/>
      </c>
      <c r="AF1085">
        <f t="array" ref="AF1085">IF(SUMPRODUCT(--($AQ$2:$AQ$71=TRIM(LEFT($B1085,IFERROR(FIND(" ",$B1085)-1,LEN($B1085))))))&gt;0,1,0)</f>
        <v/>
      </c>
    </row>
    <row r="1086" ht="45.75" customHeight="1" thickBot="1">
      <c r="A1086" s="13" t="n">
        <v>162</v>
      </c>
      <c r="B1086" s="4" t="inlineStr">
        <is>
          <t>XBKS US</t>
        </is>
      </c>
      <c r="C1086" s="4" t="inlineStr">
        <is>
          <t>AUB US</t>
        </is>
      </c>
      <c r="D1086" s="7" t="n">
        <v>42877</v>
      </c>
      <c r="E1086" s="3" t="n">
        <v>731.97</v>
      </c>
      <c r="F1086" s="4" t="inlineStr">
        <is>
          <t>Stock</t>
        </is>
      </c>
      <c r="G1086" s="4" t="n"/>
      <c r="H1086" s="4" t="inlineStr">
        <is>
          <t>Financials</t>
        </is>
      </c>
      <c r="I1086" s="4" t="inlineStr">
        <is>
          <t>Banking</t>
        </is>
      </c>
      <c r="J1086" s="4" t="inlineStr">
        <is>
          <t>Banking</t>
        </is>
      </c>
      <c r="K1086" s="3" t="n">
        <v>26.5</v>
      </c>
      <c r="L1086" s="3" t="n">
        <v>26.5</v>
      </c>
      <c r="M1086" s="3" t="n">
        <v>14.83</v>
      </c>
      <c r="N1086" s="3" t="n">
        <v>731.97</v>
      </c>
      <c r="O1086" s="4" t="inlineStr">
        <is>
          <t>United States</t>
        </is>
      </c>
      <c r="P1086" s="4" t="inlineStr">
        <is>
          <t>United States</t>
        </is>
      </c>
      <c r="Q1086" s="4" t="inlineStr">
        <is>
          <t>Friendly</t>
        </is>
      </c>
      <c r="R1086" s="3" t="n">
        <v>103.541</v>
      </c>
      <c r="S1086" s="3" t="n">
        <v>32.1019</v>
      </c>
      <c r="T1086" s="4" t="inlineStr">
        <is>
          <t>Company Takeover</t>
        </is>
      </c>
      <c r="U1086" s="2" t="inlineStr">
        <is>
          <t>No</t>
        </is>
      </c>
      <c r="V1086" s="2" t="inlineStr">
        <is>
          <t>No</t>
        </is>
      </c>
      <c r="W1086" s="2" t="inlineStr">
        <is>
          <t>No</t>
        </is>
      </c>
      <c r="X1086" s="2" t="inlineStr">
        <is>
          <t>No</t>
        </is>
      </c>
      <c r="Y1086" s="2" t="inlineStr">
        <is>
          <t>No</t>
        </is>
      </c>
      <c r="Z1086" s="2" t="inlineStr">
        <is>
          <t>No</t>
        </is>
      </c>
      <c r="AA1086" s="6" t="n">
        <v>2.864493282</v>
      </c>
      <c r="AB1086" s="6" t="n">
        <v>2.015112355</v>
      </c>
      <c r="AC1086" s="6" t="n">
        <v>2.864493282</v>
      </c>
      <c r="AD1086">
        <f t="array" ref="AD1086">IF(SUMPRODUCT(--($AM$2:$AM$112=TRIM(LEFT($B1086,IFERROR(FIND(" ",$B1086)-1,LEN($B1086))))))&gt;0,1,0)</f>
        <v/>
      </c>
      <c r="AE1086">
        <f t="array" ref="AE1086">IF(SUMPRODUCT(--($AO$2:$AO$145=TRIM(LEFT($B1086,IFERROR(FIND(" ",$B1086)-1,LEN($B1086))))))&gt;0,1,0)</f>
        <v/>
      </c>
      <c r="AF1086">
        <f t="array" ref="AF1086">IF(SUMPRODUCT(--($AQ$2:$AQ$71=TRIM(LEFT($B1086,IFERROR(FIND(" ",$B1086)-1,LEN($B1086))))))&gt;0,1,0)</f>
        <v/>
      </c>
    </row>
    <row r="1087" ht="60.75" customHeight="1" thickBot="1">
      <c r="A1087" s="13" t="n">
        <v>180</v>
      </c>
      <c r="B1087" s="4" t="inlineStr">
        <is>
          <t>BCR US</t>
        </is>
      </c>
      <c r="C1087" s="4" t="inlineStr">
        <is>
          <t>BDX US</t>
        </is>
      </c>
      <c r="D1087" s="7" t="n">
        <v>42848</v>
      </c>
      <c r="E1087" s="3" t="n">
        <v>24119.17</v>
      </c>
      <c r="F1087" s="4" t="inlineStr">
        <is>
          <t>Cash and Stock</t>
        </is>
      </c>
      <c r="G1087" s="3" t="n">
        <v>20.54</v>
      </c>
      <c r="H1087" s="4" t="inlineStr">
        <is>
          <t>Health Care</t>
        </is>
      </c>
      <c r="I1087" s="4" t="inlineStr">
        <is>
          <t>Health Care</t>
        </is>
      </c>
      <c r="J1087" s="4" t="inlineStr">
        <is>
          <t>Medical Equipment &amp; Devices</t>
        </is>
      </c>
      <c r="K1087" s="4" t="n"/>
      <c r="L1087" s="3" t="n">
        <v>750</v>
      </c>
      <c r="M1087" s="3" t="n">
        <v>26.29</v>
      </c>
      <c r="N1087" s="3" t="n">
        <v>23382.47</v>
      </c>
      <c r="O1087" s="4" t="inlineStr">
        <is>
          <t>United States</t>
        </is>
      </c>
      <c r="P1087" s="4" t="inlineStr">
        <is>
          <t>United States</t>
        </is>
      </c>
      <c r="Q1087" s="4" t="inlineStr">
        <is>
          <t>Friendly</t>
        </is>
      </c>
      <c r="R1087" s="3" t="n">
        <v>3714</v>
      </c>
      <c r="S1087" s="3" t="n">
        <v>25.8889</v>
      </c>
      <c r="T1087" s="4" t="inlineStr">
        <is>
          <t>Company Takeover</t>
        </is>
      </c>
      <c r="U1087" s="2" t="inlineStr">
        <is>
          <t>No</t>
        </is>
      </c>
      <c r="V1087" s="2" t="inlineStr">
        <is>
          <t>No</t>
        </is>
      </c>
      <c r="W1087" s="2" t="inlineStr">
        <is>
          <t>No</t>
        </is>
      </c>
      <c r="X1087" s="2" t="inlineStr">
        <is>
          <t>No</t>
        </is>
      </c>
      <c r="Y1087" s="2" t="inlineStr">
        <is>
          <t>No</t>
        </is>
      </c>
      <c r="Z1087" s="2" t="inlineStr">
        <is>
          <t>No</t>
        </is>
      </c>
      <c r="AA1087" s="6" t="n">
        <v>4.382362359</v>
      </c>
      <c r="AB1087" s="6" t="n">
        <v>3.569841899</v>
      </c>
      <c r="AC1087" s="6" t="n">
        <v>4.368890386</v>
      </c>
      <c r="AD1087">
        <f t="array" ref="AD1087">IF(SUMPRODUCT(--($AM$2:$AM$112=TRIM(LEFT($B1087,IFERROR(FIND(" ",$B1087)-1,LEN($B1087))))))&gt;0,1,0)</f>
        <v/>
      </c>
      <c r="AE1087">
        <f t="array" ref="AE1087">IF(SUMPRODUCT(--($AO$2:$AO$145=TRIM(LEFT($B1087,IFERROR(FIND(" ",$B1087)-1,LEN($B1087))))))&gt;0,1,0)</f>
        <v/>
      </c>
      <c r="AF1087">
        <f t="array" ref="AF1087">IF(SUMPRODUCT(--($AQ$2:$AQ$71=TRIM(LEFT($B1087,IFERROR(FIND(" ",$B1087)-1,LEN($B1087))))))&gt;0,1,0)</f>
        <v/>
      </c>
    </row>
    <row r="1088" ht="300.75" customHeight="1" thickBot="1">
      <c r="A1088" s="13" t="n">
        <v>214</v>
      </c>
      <c r="B1088" s="4" t="inlineStr">
        <is>
          <t>1865332D US</t>
        </is>
      </c>
      <c r="C1088" s="4" t="inlineStr">
        <is>
          <t>BN CN</t>
        </is>
      </c>
      <c r="D1088" s="7" t="n">
        <v>42801</v>
      </c>
      <c r="E1088" s="3" t="n">
        <v>954.09</v>
      </c>
      <c r="F1088" s="4" t="inlineStr">
        <is>
          <t>Cash</t>
        </is>
      </c>
      <c r="G1088" s="3" t="n">
        <v>11.64</v>
      </c>
      <c r="H1088" s="4" t="inlineStr">
        <is>
          <t>Utilities</t>
        </is>
      </c>
      <c r="I1088" s="4" t="inlineStr">
        <is>
          <t>Utilities</t>
        </is>
      </c>
      <c r="J1088" s="4" t="inlineStr">
        <is>
          <t>Electric Utilities</t>
        </is>
      </c>
      <c r="K1088" s="4" t="n"/>
      <c r="L1088" s="4" t="n"/>
      <c r="M1088" s="4" t="n"/>
      <c r="N1088" s="3" t="n">
        <v>557.83</v>
      </c>
      <c r="O1088" s="4" t="inlineStr">
        <is>
          <t>United States</t>
        </is>
      </c>
      <c r="P1088" s="4" t="inlineStr">
        <is>
          <t>Canada</t>
        </is>
      </c>
      <c r="Q1088" s="4" t="inlineStr">
        <is>
          <t>Friendly</t>
        </is>
      </c>
      <c r="R1088" s="3" t="n">
        <v>214.317</v>
      </c>
      <c r="S1088" s="3" t="n">
        <v>0.665262</v>
      </c>
      <c r="T1088" s="4" t="inlineStr">
        <is>
          <t>PE Buyout, Company Takeover, Cross Border, Private Equity, Additional Stake Purchase, Tender Offer, Infrastructure/Real Assets, Going Private</t>
        </is>
      </c>
      <c r="U1088" s="2" t="inlineStr">
        <is>
          <t>Yes</t>
        </is>
      </c>
      <c r="V1088" s="2" t="inlineStr">
        <is>
          <t>No</t>
        </is>
      </c>
      <c r="W1088" s="2" t="inlineStr">
        <is>
          <t>Yes</t>
        </is>
      </c>
      <c r="X1088" s="2" t="inlineStr">
        <is>
          <t>Yes</t>
        </is>
      </c>
      <c r="Y1088" s="2" t="inlineStr">
        <is>
          <t>Yes</t>
        </is>
      </c>
      <c r="Z1088" s="2" t="inlineStr">
        <is>
          <t>Yes</t>
        </is>
      </c>
      <c r="AA1088" s="6" t="n">
        <v>2.979589344</v>
      </c>
      <c r="AB1088" s="6" t="n">
        <v>2.331056621</v>
      </c>
      <c r="AC1088" s="6" t="n">
        <v>2.746501867</v>
      </c>
      <c r="AD1088">
        <f t="array" ref="AD1088">IF(SUMPRODUCT(--($AM$2:$AM$112=TRIM(LEFT($B1088,IFERROR(FIND(" ",$B1088)-1,LEN($B1088))))))&gt;0,1,0)</f>
        <v/>
      </c>
      <c r="AE1088">
        <f t="array" ref="AE1088">IF(SUMPRODUCT(--($AO$2:$AO$145=TRIM(LEFT($B1088,IFERROR(FIND(" ",$B1088)-1,LEN($B1088))))))&gt;0,1,0)</f>
        <v/>
      </c>
      <c r="AF1088">
        <f t="array" ref="AF1088">IF(SUMPRODUCT(--($AQ$2:$AQ$71=TRIM(LEFT($B1088,IFERROR(FIND(" ",$B1088)-1,LEN($B1088))))))&gt;0,1,0)</f>
        <v/>
      </c>
    </row>
    <row r="1089" ht="75.75" customHeight="1" thickBot="1">
      <c r="A1089" s="13" t="n">
        <v>227</v>
      </c>
      <c r="B1089" s="4" t="inlineStr">
        <is>
          <t>2060389D US</t>
        </is>
      </c>
      <c r="C1089" s="4" t="inlineStr">
        <is>
          <t>9984 JP</t>
        </is>
      </c>
      <c r="D1089" s="7" t="n">
        <v>42780</v>
      </c>
      <c r="E1089" s="3" t="n">
        <v>3119.26</v>
      </c>
      <c r="F1089" s="4" t="inlineStr">
        <is>
          <t>Cash</t>
        </is>
      </c>
      <c r="G1089" s="3" t="n">
        <v>11.53</v>
      </c>
      <c r="H1089" s="4" t="inlineStr">
        <is>
          <t>Financials</t>
        </is>
      </c>
      <c r="I1089" s="4" t="inlineStr">
        <is>
          <t>Financial Services</t>
        </is>
      </c>
      <c r="J1089" s="4" t="inlineStr">
        <is>
          <t>Asset Management</t>
        </is>
      </c>
      <c r="K1089" s="4" t="n"/>
      <c r="L1089" s="3" t="n">
        <v>131.14</v>
      </c>
      <c r="M1089" s="3" t="n">
        <v>50.55</v>
      </c>
      <c r="N1089" s="3" t="n">
        <v>3119.26</v>
      </c>
      <c r="O1089" s="4" t="inlineStr">
        <is>
          <t>United States</t>
        </is>
      </c>
      <c r="P1089" s="4" t="inlineStr">
        <is>
          <t>Japan</t>
        </is>
      </c>
      <c r="Q1089" s="4" t="inlineStr">
        <is>
          <t>Friendly</t>
        </is>
      </c>
      <c r="R1089" s="3" t="n">
        <v>1163.81</v>
      </c>
      <c r="S1089" s="3" t="n">
        <v>38.3251</v>
      </c>
      <c r="T1089" s="4" t="inlineStr">
        <is>
          <t>Company Takeover, Cross Border</t>
        </is>
      </c>
      <c r="U1089" s="2" t="inlineStr">
        <is>
          <t>No</t>
        </is>
      </c>
      <c r="V1089" s="2" t="inlineStr">
        <is>
          <t>No</t>
        </is>
      </c>
      <c r="W1089" s="2" t="inlineStr">
        <is>
          <t>Yes</t>
        </is>
      </c>
      <c r="X1089" s="2" t="inlineStr">
        <is>
          <t>No</t>
        </is>
      </c>
      <c r="Y1089" s="2" t="inlineStr">
        <is>
          <t>No</t>
        </is>
      </c>
      <c r="Z1089" s="2" t="inlineStr">
        <is>
          <t>No</t>
        </is>
      </c>
      <c r="AA1089" s="6" t="n">
        <v>3.494051576</v>
      </c>
      <c r="AB1089" s="6" t="n">
        <v>3.065882085</v>
      </c>
      <c r="AC1089" s="6" t="n">
        <v>3.494051576</v>
      </c>
      <c r="AD1089">
        <f t="array" ref="AD1089">IF(SUMPRODUCT(--($AM$2:$AM$112=TRIM(LEFT($B1089,IFERROR(FIND(" ",$B1089)-1,LEN($B1089))))))&gt;0,1,0)</f>
        <v/>
      </c>
      <c r="AE1089">
        <f t="array" ref="AE1089">IF(SUMPRODUCT(--($AO$2:$AO$145=TRIM(LEFT($B1089,IFERROR(FIND(" ",$B1089)-1,LEN($B1089))))))&gt;0,1,0)</f>
        <v/>
      </c>
      <c r="AF1089">
        <f t="array" ref="AF1089">IF(SUMPRODUCT(--($AQ$2:$AQ$71=TRIM(LEFT($B1089,IFERROR(FIND(" ",$B1089)-1,LEN($B1089))))))&gt;0,1,0)</f>
        <v/>
      </c>
    </row>
    <row r="1090" ht="75.75" customHeight="1" thickBot="1">
      <c r="A1090" s="13" t="n">
        <v>45</v>
      </c>
      <c r="B1090" s="4" t="inlineStr">
        <is>
          <t>GIMO US</t>
        </is>
      </c>
      <c r="C1090" s="4" t="inlineStr">
        <is>
          <t>978325Z US</t>
        </is>
      </c>
      <c r="D1090" s="7" t="n">
        <v>43034</v>
      </c>
      <c r="E1090" s="3" t="n">
        <v>1181.82</v>
      </c>
      <c r="F1090" s="4" t="inlineStr">
        <is>
          <t>Cash</t>
        </is>
      </c>
      <c r="G1090" s="3" t="n">
        <v>809</v>
      </c>
      <c r="H1090" s="4" t="inlineStr">
        <is>
          <t>Technology</t>
        </is>
      </c>
      <c r="I1090" s="4" t="inlineStr">
        <is>
          <t>Tech Hardware &amp; Semiconductors</t>
        </is>
      </c>
      <c r="J1090" s="4" t="inlineStr">
        <is>
          <t>Technology Hardware</t>
        </is>
      </c>
      <c r="K1090" s="4" t="n"/>
      <c r="L1090" s="4" t="n"/>
      <c r="M1090" s="4" t="n"/>
      <c r="N1090" s="3" t="n">
        <v>1440.65</v>
      </c>
      <c r="O1090" s="4" t="inlineStr">
        <is>
          <t>United States</t>
        </is>
      </c>
      <c r="P1090" s="4" t="inlineStr">
        <is>
          <t>United States</t>
        </is>
      </c>
      <c r="Q1090" s="4" t="inlineStr">
        <is>
          <t>Friendly</t>
        </is>
      </c>
      <c r="R1090" s="3" t="n">
        <v>310.855</v>
      </c>
      <c r="S1090" s="3" t="n">
        <v>-2.28308</v>
      </c>
      <c r="T1090" s="4" t="inlineStr">
        <is>
          <t>Company Takeover, Going Private</t>
        </is>
      </c>
      <c r="U1090" s="2" t="inlineStr">
        <is>
          <t>No</t>
        </is>
      </c>
      <c r="V1090" s="2" t="inlineStr">
        <is>
          <t>No</t>
        </is>
      </c>
      <c r="W1090" s="2" t="inlineStr">
        <is>
          <t>No</t>
        </is>
      </c>
      <c r="X1090" s="2" t="inlineStr">
        <is>
          <t>Yes</t>
        </is>
      </c>
      <c r="Y1090" s="2" t="inlineStr">
        <is>
          <t>No</t>
        </is>
      </c>
      <c r="Z1090" s="2" t="inlineStr">
        <is>
          <t>No</t>
        </is>
      </c>
      <c r="AA1090" s="6" t="n">
        <v>3.072551335</v>
      </c>
      <c r="AB1090" s="6" t="n">
        <v>2.492557857</v>
      </c>
      <c r="AC1090" s="6" t="n">
        <v>3.158558484</v>
      </c>
      <c r="AD1090">
        <f t="array" ref="AD1090">IF(SUMPRODUCT(--($AM$2:$AM$112=TRIM(LEFT($B1090,IFERROR(FIND(" ",$B1090)-1,LEN($B1090))))))&gt;0,1,0)</f>
        <v/>
      </c>
      <c r="AE1090">
        <f t="array" ref="AE1090">IF(SUMPRODUCT(--($AO$2:$AO$145=TRIM(LEFT($B1090,IFERROR(FIND(" ",$B1090)-1,LEN($B1090))))))&gt;0,1,0)</f>
        <v/>
      </c>
      <c r="AF1090">
        <f t="array" ref="AF1090">IF(SUMPRODUCT(--($AQ$2:$AQ$71=TRIM(LEFT($B1090,IFERROR(FIND(" ",$B1090)-1,LEN($B1090))))))&gt;0,1,0)</f>
        <v/>
      </c>
    </row>
    <row r="1091" ht="165.75" customHeight="1" thickBot="1">
      <c r="A1091" s="13" t="n">
        <v>84</v>
      </c>
      <c r="B1091" s="4" t="inlineStr">
        <is>
          <t>ARCX US</t>
        </is>
      </c>
      <c r="C1091" s="4" t="inlineStr">
        <is>
          <t>1534420D KY</t>
        </is>
      </c>
      <c r="D1091" s="7" t="n">
        <v>42976</v>
      </c>
      <c r="E1091" s="3" t="n">
        <v>573.01</v>
      </c>
      <c r="F1091" s="4" t="inlineStr">
        <is>
          <t>Cash</t>
        </is>
      </c>
      <c r="G1091" s="3" t="n">
        <v>11.09</v>
      </c>
      <c r="H1091" s="4" t="inlineStr">
        <is>
          <t>Energy</t>
        </is>
      </c>
      <c r="I1091" s="4" t="inlineStr">
        <is>
          <t>Oil &amp; Gas</t>
        </is>
      </c>
      <c r="J1091" s="4" t="inlineStr">
        <is>
          <t>Oil &amp; Gas Supply Chain</t>
        </is>
      </c>
      <c r="K1091" s="4" t="n"/>
      <c r="L1091" s="4" t="n"/>
      <c r="M1091" s="4" t="n"/>
      <c r="N1091" s="3" t="n">
        <v>322.51</v>
      </c>
      <c r="O1091" s="4" t="inlineStr">
        <is>
          <t>United States</t>
        </is>
      </c>
      <c r="P1091" s="4" t="inlineStr">
        <is>
          <t>Cayman Islands</t>
        </is>
      </c>
      <c r="Q1091" s="4" t="inlineStr">
        <is>
          <t>Friendly</t>
        </is>
      </c>
      <c r="R1091" s="2" t="n"/>
      <c r="S1091" s="2" t="n"/>
      <c r="T1091" s="4" t="inlineStr">
        <is>
          <t>PE Buyout, Company Takeover, Cross Border, Private Equity, Going Private</t>
        </is>
      </c>
      <c r="U1091" s="2" t="inlineStr">
        <is>
          <t>No</t>
        </is>
      </c>
      <c r="V1091" s="2" t="inlineStr">
        <is>
          <t>No</t>
        </is>
      </c>
      <c r="W1091" s="2" t="inlineStr">
        <is>
          <t>Yes</t>
        </is>
      </c>
      <c r="X1091" s="2" t="inlineStr">
        <is>
          <t>Yes</t>
        </is>
      </c>
      <c r="Y1091" s="2" t="inlineStr">
        <is>
          <t>Yes</t>
        </is>
      </c>
      <c r="Z1091" s="2" t="inlineStr">
        <is>
          <t>No</t>
        </is>
      </c>
      <c r="AA1091" s="6" t="n">
        <v>2.758162201</v>
      </c>
      <c r="AB1091" s="2" t="n"/>
      <c r="AC1091" s="6" t="n">
        <v>2.508543185</v>
      </c>
      <c r="AD1091">
        <f t="array" ref="AD1091">IF(SUMPRODUCT(--($AM$2:$AM$112=TRIM(LEFT($B1091,IFERROR(FIND(" ",$B1091)-1,LEN($B1091))))))&gt;0,1,0)</f>
        <v/>
      </c>
      <c r="AE1091">
        <f t="array" ref="AE1091">IF(SUMPRODUCT(--($AO$2:$AO$145=TRIM(LEFT($B1091,IFERROR(FIND(" ",$B1091)-1,LEN($B1091))))))&gt;0,1,0)</f>
        <v/>
      </c>
      <c r="AF1091">
        <f t="array" ref="AF1091">IF(SUMPRODUCT(--($AQ$2:$AQ$71=TRIM(LEFT($B1091,IFERROR(FIND(" ",$B1091)-1,LEN($B1091))))))&gt;0,1,0)</f>
        <v/>
      </c>
    </row>
    <row r="1092" ht="135.75" customHeight="1" thickBot="1">
      <c r="A1092" s="13" t="n">
        <v>93</v>
      </c>
      <c r="B1092" s="4" t="inlineStr">
        <is>
          <t>PMC US</t>
        </is>
      </c>
      <c r="C1092" s="2" t="n"/>
      <c r="D1092" s="7" t="n">
        <v>42949</v>
      </c>
      <c r="E1092" s="3" t="n">
        <v>1383.82</v>
      </c>
      <c r="F1092" s="4" t="inlineStr">
        <is>
          <t>Cash</t>
        </is>
      </c>
      <c r="G1092" s="3" t="n">
        <v>12.98</v>
      </c>
      <c r="H1092" s="4" t="inlineStr">
        <is>
          <t>Health Care</t>
        </is>
      </c>
      <c r="I1092" s="4" t="inlineStr">
        <is>
          <t>Health Care</t>
        </is>
      </c>
      <c r="J1092" s="4" t="inlineStr">
        <is>
          <t>Health Care Facilities &amp; Svcs</t>
        </is>
      </c>
      <c r="K1092" s="4" t="n"/>
      <c r="L1092" s="4" t="n"/>
      <c r="M1092" s="4" t="n"/>
      <c r="N1092" s="3" t="n">
        <v>915.8200000000001</v>
      </c>
      <c r="O1092" s="4" t="inlineStr">
        <is>
          <t>United States</t>
        </is>
      </c>
      <c r="P1092" s="4" t="inlineStr">
        <is>
          <t>United States</t>
        </is>
      </c>
      <c r="Q1092" s="4" t="inlineStr">
        <is>
          <t>Friendly</t>
        </is>
      </c>
      <c r="R1092" s="3" t="n">
        <v>2091.1</v>
      </c>
      <c r="S1092" s="3" t="n">
        <v>1.83542</v>
      </c>
      <c r="T1092" s="4" t="inlineStr">
        <is>
          <t>PE Buyout, Company Takeover, Private Equity, Going Private</t>
        </is>
      </c>
      <c r="U1092" s="2" t="inlineStr">
        <is>
          <t>No</t>
        </is>
      </c>
      <c r="V1092" s="2" t="inlineStr">
        <is>
          <t>No</t>
        </is>
      </c>
      <c r="W1092" s="2" t="inlineStr">
        <is>
          <t>No</t>
        </is>
      </c>
      <c r="X1092" s="2" t="inlineStr">
        <is>
          <t>Yes</t>
        </is>
      </c>
      <c r="Y1092" s="2" t="inlineStr">
        <is>
          <t>Yes</t>
        </is>
      </c>
      <c r="Z1092" s="2" t="inlineStr">
        <is>
          <t>No</t>
        </is>
      </c>
      <c r="AA1092" s="6" t="n">
        <v>3.141079603</v>
      </c>
      <c r="AB1092" s="6" t="n">
        <v>3.320374802</v>
      </c>
      <c r="AC1092" s="6" t="n">
        <v>2.961810124</v>
      </c>
      <c r="AD1092">
        <f t="array" ref="AD1092">IF(SUMPRODUCT(--($AM$2:$AM$112=TRIM(LEFT($B1092,IFERROR(FIND(" ",$B1092)-1,LEN($B1092))))))&gt;0,1,0)</f>
        <v/>
      </c>
      <c r="AE1092">
        <f t="array" ref="AE1092">IF(SUMPRODUCT(--($AO$2:$AO$145=TRIM(LEFT($B1092,IFERROR(FIND(" ",$B1092)-1,LEN($B1092))))))&gt;0,1,0)</f>
        <v/>
      </c>
      <c r="AF1092">
        <f t="array" ref="AF1092">IF(SUMPRODUCT(--($AQ$2:$AQ$71=TRIM(LEFT($B1092,IFERROR(FIND(" ",$B1092)-1,LEN($B1092))))))&gt;0,1,0)</f>
        <v/>
      </c>
    </row>
    <row r="1093" ht="45.75" customHeight="1" thickBot="1">
      <c r="A1093" s="13" t="n">
        <v>152</v>
      </c>
      <c r="B1093" s="4" t="inlineStr">
        <is>
          <t>CBF US</t>
        </is>
      </c>
      <c r="C1093" s="4" t="inlineStr">
        <is>
          <t>FHN US</t>
        </is>
      </c>
      <c r="D1093" s="7" t="n">
        <v>42859</v>
      </c>
      <c r="E1093" s="3" t="n">
        <v>2788.17</v>
      </c>
      <c r="F1093" s="4" t="inlineStr">
        <is>
          <t>Cash or Stock</t>
        </is>
      </c>
      <c r="G1093" s="4" t="n"/>
      <c r="H1093" s="4" t="inlineStr">
        <is>
          <t>Financials</t>
        </is>
      </c>
      <c r="I1093" s="4" t="inlineStr">
        <is>
          <t>Banking</t>
        </is>
      </c>
      <c r="J1093" s="4" t="inlineStr">
        <is>
          <t>Banking</t>
        </is>
      </c>
      <c r="K1093" s="4" t="n"/>
      <c r="L1093" s="3" t="n">
        <v>85</v>
      </c>
      <c r="M1093" s="4" t="n"/>
      <c r="N1093" s="3" t="n">
        <v>2788.17</v>
      </c>
      <c r="O1093" s="4" t="inlineStr">
        <is>
          <t>United States</t>
        </is>
      </c>
      <c r="P1093" s="4" t="inlineStr">
        <is>
          <t>United States</t>
        </is>
      </c>
      <c r="Q1093" s="4" t="inlineStr">
        <is>
          <t>Friendly</t>
        </is>
      </c>
      <c r="R1093" s="3" t="n">
        <v>341.6</v>
      </c>
      <c r="S1093" s="3" t="n">
        <v>32.7692</v>
      </c>
      <c r="T1093" s="4" t="inlineStr">
        <is>
          <t>Company Takeover</t>
        </is>
      </c>
      <c r="U1093" s="2" t="inlineStr">
        <is>
          <t>No</t>
        </is>
      </c>
      <c r="V1093" s="2" t="inlineStr">
        <is>
          <t>No</t>
        </is>
      </c>
      <c r="W1093" s="2" t="inlineStr">
        <is>
          <t>No</t>
        </is>
      </c>
      <c r="X1093" s="2" t="inlineStr">
        <is>
          <t>No</t>
        </is>
      </c>
      <c r="Y1093" s="2" t="inlineStr">
        <is>
          <t>No</t>
        </is>
      </c>
      <c r="Z1093" s="2" t="inlineStr">
        <is>
          <t>No</t>
        </is>
      </c>
      <c r="AA1093" s="6" t="n">
        <v>3.44531925</v>
      </c>
      <c r="AB1093" s="6" t="n">
        <v>2.533517862</v>
      </c>
      <c r="AC1093" s="6" t="n">
        <v>3.44531925</v>
      </c>
      <c r="AD1093">
        <f t="array" ref="AD1093">IF(SUMPRODUCT(--($AM$2:$AM$112=TRIM(LEFT($B1093,IFERROR(FIND(" ",$B1093)-1,LEN($B1093))))))&gt;0,1,0)</f>
        <v/>
      </c>
      <c r="AE1093">
        <f t="array" ref="AE1093">IF(SUMPRODUCT(--($AO$2:$AO$145=TRIM(LEFT($B1093,IFERROR(FIND(" ",$B1093)-1,LEN($B1093))))))&gt;0,1,0)</f>
        <v/>
      </c>
      <c r="AF1093">
        <f t="array" ref="AF1093">IF(SUMPRODUCT(--($AQ$2:$AQ$71=TRIM(LEFT($B1093,IFERROR(FIND(" ",$B1093)-1,LEN($B1093))))))&gt;0,1,0)</f>
        <v/>
      </c>
    </row>
    <row r="1094" ht="135.75" customHeight="1" thickBot="1">
      <c r="A1094" s="13" t="n">
        <v>138</v>
      </c>
      <c r="B1094" s="4" t="inlineStr">
        <is>
          <t>FGL US</t>
        </is>
      </c>
      <c r="C1094" s="2" t="n"/>
      <c r="D1094" s="7" t="n">
        <v>42879</v>
      </c>
      <c r="E1094" s="3" t="n">
        <v>1834.64</v>
      </c>
      <c r="F1094" s="4" t="inlineStr">
        <is>
          <t>Cash</t>
        </is>
      </c>
      <c r="G1094" s="4" t="n"/>
      <c r="H1094" s="4" t="inlineStr">
        <is>
          <t>Financials</t>
        </is>
      </c>
      <c r="I1094" s="4" t="inlineStr">
        <is>
          <t>Insurance</t>
        </is>
      </c>
      <c r="J1094" s="4" t="inlineStr">
        <is>
          <t>Insurance</t>
        </is>
      </c>
      <c r="K1094" s="4" t="n"/>
      <c r="L1094" s="3" t="n">
        <v>50</v>
      </c>
      <c r="M1094" s="4" t="n"/>
      <c r="N1094" s="3" t="n">
        <v>1834.64</v>
      </c>
      <c r="O1094" s="4" t="inlineStr">
        <is>
          <t>United States</t>
        </is>
      </c>
      <c r="P1094" s="4" t="inlineStr">
        <is>
          <t>United States</t>
        </is>
      </c>
      <c r="Q1094" s="4" t="inlineStr">
        <is>
          <t>Friendly</t>
        </is>
      </c>
      <c r="R1094" s="3" t="n">
        <v>29.7212</v>
      </c>
      <c r="S1094" s="2" t="n"/>
      <c r="T1094" s="4" t="inlineStr">
        <is>
          <t>PE Buyout, Company Takeover, Private Equity, Going Private</t>
        </is>
      </c>
      <c r="U1094" s="2" t="inlineStr">
        <is>
          <t>No</t>
        </is>
      </c>
      <c r="V1094" s="2" t="inlineStr">
        <is>
          <t>No</t>
        </is>
      </c>
      <c r="W1094" s="2" t="inlineStr">
        <is>
          <t>No</t>
        </is>
      </c>
      <c r="X1094" s="2" t="inlineStr">
        <is>
          <t>Yes</t>
        </is>
      </c>
      <c r="Y1094" s="2" t="inlineStr">
        <is>
          <t>Yes</t>
        </is>
      </c>
      <c r="Z1094" s="2" t="inlineStr">
        <is>
          <t>No</t>
        </is>
      </c>
      <c r="AA1094" s="6" t="n">
        <v>3.263550858</v>
      </c>
      <c r="AB1094" s="6" t="n">
        <v>1.47306634</v>
      </c>
      <c r="AC1094" s="6" t="n">
        <v>3.263550858</v>
      </c>
      <c r="AD1094">
        <f t="array" ref="AD1094">IF(SUMPRODUCT(--($AM$2:$AM$112=TRIM(LEFT($B1094,IFERROR(FIND(" ",$B1094)-1,LEN($B1094))))))&gt;0,1,0)</f>
        <v/>
      </c>
      <c r="AE1094">
        <f t="array" ref="AE1094">IF(SUMPRODUCT(--($AO$2:$AO$145=TRIM(LEFT($B1094,IFERROR(FIND(" ",$B1094)-1,LEN($B1094))))))&gt;0,1,0)</f>
        <v/>
      </c>
      <c r="AF1094">
        <f t="array" ref="AF1094">IF(SUMPRODUCT(--($AQ$2:$AQ$71=TRIM(LEFT($B1094,IFERROR(FIND(" ",$B1094)-1,LEN($B1094))))))&gt;0,1,0)</f>
        <v/>
      </c>
    </row>
    <row r="1095" ht="45.75" customHeight="1" thickBot="1">
      <c r="A1095" s="13" t="n">
        <v>157</v>
      </c>
      <c r="B1095" s="4" t="inlineStr">
        <is>
          <t>PSTB US</t>
        </is>
      </c>
      <c r="C1095" s="4" t="inlineStr">
        <is>
          <t>SSB US</t>
        </is>
      </c>
      <c r="D1095" s="7" t="n">
        <v>42852</v>
      </c>
      <c r="E1095" s="3" t="n">
        <v>657.29</v>
      </c>
      <c r="F1095" s="4" t="inlineStr">
        <is>
          <t>Stock</t>
        </is>
      </c>
      <c r="G1095" s="4" t="n"/>
      <c r="H1095" s="4" t="inlineStr">
        <is>
          <t>Financials</t>
        </is>
      </c>
      <c r="I1095" s="4" t="inlineStr">
        <is>
          <t>Banking</t>
        </is>
      </c>
      <c r="J1095" s="4" t="inlineStr">
        <is>
          <t>Banking</t>
        </is>
      </c>
      <c r="K1095" s="3" t="n">
        <v>25</v>
      </c>
      <c r="L1095" s="3" t="n">
        <v>25</v>
      </c>
      <c r="M1095" s="3" t="n">
        <v>2.91</v>
      </c>
      <c r="N1095" s="3" t="n">
        <v>657.29</v>
      </c>
      <c r="O1095" s="4" t="inlineStr">
        <is>
          <t>United States</t>
        </is>
      </c>
      <c r="P1095" s="4" t="inlineStr">
        <is>
          <t>United States</t>
        </is>
      </c>
      <c r="Q1095" s="4" t="inlineStr">
        <is>
          <t>Friendly</t>
        </is>
      </c>
      <c r="R1095" s="3" t="n">
        <v>140.91</v>
      </c>
      <c r="S1095" s="3" t="n">
        <v>33.3255</v>
      </c>
      <c r="T1095" s="4" t="inlineStr">
        <is>
          <t>Company Takeover</t>
        </is>
      </c>
      <c r="U1095" s="2" t="inlineStr">
        <is>
          <t>No</t>
        </is>
      </c>
      <c r="V1095" s="2" t="inlineStr">
        <is>
          <t>No</t>
        </is>
      </c>
      <c r="W1095" s="2" t="inlineStr">
        <is>
          <t>No</t>
        </is>
      </c>
      <c r="X1095" s="2" t="inlineStr">
        <is>
          <t>No</t>
        </is>
      </c>
      <c r="Y1095" s="2" t="inlineStr">
        <is>
          <t>No</t>
        </is>
      </c>
      <c r="Z1095" s="2" t="inlineStr">
        <is>
          <t>No</t>
        </is>
      </c>
      <c r="AA1095" s="6" t="n">
        <v>2.817757025</v>
      </c>
      <c r="AB1095" s="6" t="n">
        <v>2.148941815</v>
      </c>
      <c r="AC1095" s="6" t="n">
        <v>2.817757025</v>
      </c>
      <c r="AD1095">
        <f t="array" ref="AD1095">IF(SUMPRODUCT(--($AM$2:$AM$112=TRIM(LEFT($B1095,IFERROR(FIND(" ",$B1095)-1,LEN($B1095))))))&gt;0,1,0)</f>
        <v/>
      </c>
      <c r="AE1095">
        <f t="array" ref="AE1095">IF(SUMPRODUCT(--($AO$2:$AO$145=TRIM(LEFT($B1095,IFERROR(FIND(" ",$B1095)-1,LEN($B1095))))))&gt;0,1,0)</f>
        <v/>
      </c>
      <c r="AF1095">
        <f t="array" ref="AF1095">IF(SUMPRODUCT(--($AQ$2:$AQ$71=TRIM(LEFT($B1095,IFERROR(FIND(" ",$B1095)-1,LEN($B1095))))))&gt;0,1,0)</f>
        <v/>
      </c>
    </row>
    <row r="1096" ht="120.75" customHeight="1" thickBot="1">
      <c r="A1096" s="13" t="n">
        <v>131</v>
      </c>
      <c r="B1096" s="4" t="inlineStr">
        <is>
          <t>TIL NO</t>
        </is>
      </c>
      <c r="C1096" s="4" t="inlineStr">
        <is>
          <t>TNK US</t>
        </is>
      </c>
      <c r="D1096" s="7" t="n">
        <v>42886</v>
      </c>
      <c r="E1096" s="3" t="n">
        <v>517.3099999999999</v>
      </c>
      <c r="F1096" s="4" t="inlineStr">
        <is>
          <t>Stock</t>
        </is>
      </c>
      <c r="G1096" s="3" t="n">
        <v>7.61</v>
      </c>
      <c r="H1096" s="4" t="inlineStr">
        <is>
          <t>Industrials</t>
        </is>
      </c>
      <c r="I1096" s="4" t="inlineStr">
        <is>
          <t>Industrial Services</t>
        </is>
      </c>
      <c r="J1096" s="4" t="inlineStr">
        <is>
          <t>Transportation &amp; Logistics</t>
        </is>
      </c>
      <c r="K1096" s="4" t="n"/>
      <c r="L1096" s="4" t="n"/>
      <c r="M1096" s="3" t="n">
        <v>20.13</v>
      </c>
      <c r="N1096" s="3" t="n">
        <v>167.18</v>
      </c>
      <c r="O1096" s="4" t="inlineStr">
        <is>
          <t>Bermuda</t>
        </is>
      </c>
      <c r="P1096" s="4" t="inlineStr">
        <is>
          <t>Bermuda</t>
        </is>
      </c>
      <c r="Q1096" s="4" t="inlineStr">
        <is>
          <t>Friendly</t>
        </is>
      </c>
      <c r="R1096" s="3" t="n">
        <v>152.629</v>
      </c>
      <c r="S1096" s="3" t="n">
        <v>10.4356</v>
      </c>
      <c r="T1096" s="4" t="inlineStr">
        <is>
          <t>Company Takeover, Additional Stake Purchase</t>
        </is>
      </c>
      <c r="U1096" s="2" t="inlineStr">
        <is>
          <t>Yes</t>
        </is>
      </c>
      <c r="V1096" s="2" t="inlineStr">
        <is>
          <t>No</t>
        </is>
      </c>
      <c r="W1096" s="2" t="inlineStr">
        <is>
          <t>No</t>
        </is>
      </c>
      <c r="X1096" s="2" t="inlineStr">
        <is>
          <t>No</t>
        </is>
      </c>
      <c r="Y1096" s="2" t="inlineStr">
        <is>
          <t>No</t>
        </is>
      </c>
      <c r="Z1096" s="2" t="inlineStr">
        <is>
          <t>No</t>
        </is>
      </c>
      <c r="AA1096" s="6" t="n">
        <v>2.713750874</v>
      </c>
      <c r="AB1096" s="6" t="n">
        <v>2.183637059</v>
      </c>
      <c r="AC1096" s="6" t="n">
        <v>2.223184321</v>
      </c>
      <c r="AD1096">
        <f t="array" ref="AD1096">IF(SUMPRODUCT(--($AM$2:$AM$112=TRIM(LEFT($B1096,IFERROR(FIND(" ",$B1096)-1,LEN($B1096))))))&gt;0,1,0)</f>
        <v/>
      </c>
      <c r="AE1096">
        <f t="array" ref="AE1096">IF(SUMPRODUCT(--($AO$2:$AO$145=TRIM(LEFT($B1096,IFERROR(FIND(" ",$B1096)-1,LEN($B1096))))))&gt;0,1,0)</f>
        <v/>
      </c>
      <c r="AF1096">
        <f t="array" ref="AF1096">IF(SUMPRODUCT(--($AQ$2:$AQ$71=TRIM(LEFT($B1096,IFERROR(FIND(" ",$B1096)-1,LEN($B1096))))))&gt;0,1,0)</f>
        <v/>
      </c>
    </row>
    <row r="1097" ht="45.75" customHeight="1" thickBot="1">
      <c r="A1097" s="13" t="n">
        <v>56</v>
      </c>
      <c r="B1097" s="4" t="inlineStr">
        <is>
          <t>RIC CN</t>
        </is>
      </c>
      <c r="C1097" s="4" t="inlineStr">
        <is>
          <t>AGI CN</t>
        </is>
      </c>
      <c r="D1097" s="7" t="n">
        <v>42989</v>
      </c>
      <c r="E1097" s="3" t="n">
        <v>652.7</v>
      </c>
      <c r="F1097" s="4" t="inlineStr">
        <is>
          <t>Stock</t>
        </is>
      </c>
      <c r="G1097" s="3" t="n">
        <v>14.6</v>
      </c>
      <c r="H1097" s="4" t="inlineStr">
        <is>
          <t>Materials</t>
        </is>
      </c>
      <c r="I1097" s="4" t="inlineStr">
        <is>
          <t>Materials</t>
        </is>
      </c>
      <c r="J1097" s="4" t="inlineStr">
        <is>
          <t>Metals &amp; Mining</t>
        </is>
      </c>
      <c r="K1097" s="4" t="n"/>
      <c r="L1097" s="4" t="n"/>
      <c r="M1097" s="3" t="n">
        <v>31.44</v>
      </c>
      <c r="N1097" s="3" t="n">
        <v>728.9</v>
      </c>
      <c r="O1097" s="4" t="inlineStr">
        <is>
          <t>Canada</t>
        </is>
      </c>
      <c r="P1097" s="4" t="inlineStr">
        <is>
          <t>Canada</t>
        </is>
      </c>
      <c r="Q1097" s="4" t="inlineStr">
        <is>
          <t>Friendly</t>
        </is>
      </c>
      <c r="R1097" s="3" t="n">
        <v>307.957</v>
      </c>
      <c r="S1097" s="3" t="n">
        <v>8.922840000000001</v>
      </c>
      <c r="T1097" s="4" t="inlineStr">
        <is>
          <t>Company Takeover</t>
        </is>
      </c>
      <c r="U1097" s="2" t="inlineStr">
        <is>
          <t>No</t>
        </is>
      </c>
      <c r="V1097" s="2" t="inlineStr">
        <is>
          <t>No</t>
        </is>
      </c>
      <c r="W1097" s="2" t="inlineStr">
        <is>
          <t>No</t>
        </is>
      </c>
      <c r="X1097" s="2" t="inlineStr">
        <is>
          <t>No</t>
        </is>
      </c>
      <c r="Y1097" s="2" t="inlineStr">
        <is>
          <t>No</t>
        </is>
      </c>
      <c r="Z1097" s="2" t="inlineStr">
        <is>
          <t>No</t>
        </is>
      </c>
      <c r="AA1097" s="6" t="n">
        <v>2.814713613</v>
      </c>
      <c r="AB1097" s="6" t="n">
        <v>2.48849008</v>
      </c>
      <c r="AC1097" s="6" t="n">
        <v>2.86266795</v>
      </c>
      <c r="AD1097">
        <f t="array" ref="AD1097">IF(SUMPRODUCT(--($AM$2:$AM$112=TRIM(LEFT($B1097,IFERROR(FIND(" ",$B1097)-1,LEN($B1097))))))&gt;0,1,0)</f>
        <v/>
      </c>
      <c r="AE1097">
        <f t="array" ref="AE1097">IF(SUMPRODUCT(--($AO$2:$AO$145=TRIM(LEFT($B1097,IFERROR(FIND(" ",$B1097)-1,LEN($B1097))))))&gt;0,1,0)</f>
        <v/>
      </c>
      <c r="AF1097">
        <f t="array" ref="AF1097">IF(SUMPRODUCT(--($AQ$2:$AQ$71=TRIM(LEFT($B1097,IFERROR(FIND(" ",$B1097)-1,LEN($B1097))))))&gt;0,1,0)</f>
        <v/>
      </c>
    </row>
    <row r="1098" ht="75.75" customHeight="1" thickBot="1">
      <c r="A1098" s="13" t="n">
        <v>144</v>
      </c>
      <c r="B1098" s="4" t="inlineStr">
        <is>
          <t>VWR US</t>
        </is>
      </c>
      <c r="C1098" s="4" t="inlineStr">
        <is>
          <t>4465452Z US</t>
        </is>
      </c>
      <c r="D1098" s="7" t="n">
        <v>42860</v>
      </c>
      <c r="E1098" s="3" t="n">
        <v>6311.76</v>
      </c>
      <c r="F1098" s="4" t="inlineStr">
        <is>
          <t>Cash</t>
        </is>
      </c>
      <c r="G1098" s="3" t="n">
        <v>14</v>
      </c>
      <c r="H1098" s="4" t="inlineStr">
        <is>
          <t>Health Care</t>
        </is>
      </c>
      <c r="I1098" s="4" t="inlineStr">
        <is>
          <t>Health Care</t>
        </is>
      </c>
      <c r="J1098" s="4" t="inlineStr">
        <is>
          <t>Medical Equipment &amp; Devices</t>
        </is>
      </c>
      <c r="K1098" s="3" t="n">
        <v>300</v>
      </c>
      <c r="L1098" s="3" t="n">
        <v>170</v>
      </c>
      <c r="M1098" s="4" t="n"/>
      <c r="N1098" s="3" t="n">
        <v>4378.46</v>
      </c>
      <c r="O1098" s="4" t="inlineStr">
        <is>
          <t>United States</t>
        </is>
      </c>
      <c r="P1098" s="4" t="inlineStr">
        <is>
          <t>United States</t>
        </is>
      </c>
      <c r="Q1098" s="4" t="inlineStr">
        <is>
          <t>Friendly</t>
        </is>
      </c>
      <c r="R1098" s="3" t="n">
        <v>4514.2</v>
      </c>
      <c r="S1098" s="3" t="n">
        <v>6.75446</v>
      </c>
      <c r="T1098" s="4" t="inlineStr">
        <is>
          <t>Company Takeover, Going Private</t>
        </is>
      </c>
      <c r="U1098" s="2" t="inlineStr">
        <is>
          <t>No</t>
        </is>
      </c>
      <c r="V1098" s="2" t="inlineStr">
        <is>
          <t>No</t>
        </is>
      </c>
      <c r="W1098" s="2" t="inlineStr">
        <is>
          <t>No</t>
        </is>
      </c>
      <c r="X1098" s="2" t="inlineStr">
        <is>
          <t>Yes</t>
        </is>
      </c>
      <c r="Y1098" s="2" t="inlineStr">
        <is>
          <t>No</t>
        </is>
      </c>
      <c r="Z1098" s="2" t="inlineStr">
        <is>
          <t>No</t>
        </is>
      </c>
      <c r="AA1098" s="6" t="n">
        <v>3.800150477</v>
      </c>
      <c r="AB1098" s="6" t="n">
        <v>3.654580796</v>
      </c>
      <c r="AC1098" s="6" t="n">
        <v>3.641321387</v>
      </c>
      <c r="AD1098">
        <f t="array" ref="AD1098">IF(SUMPRODUCT(--($AM$2:$AM$112=TRIM(LEFT($B1098,IFERROR(FIND(" ",$B1098)-1,LEN($B1098))))))&gt;0,1,0)</f>
        <v/>
      </c>
      <c r="AE1098">
        <f t="array" ref="AE1098">IF(SUMPRODUCT(--($AO$2:$AO$145=TRIM(LEFT($B1098,IFERROR(FIND(" ",$B1098)-1,LEN($B1098))))))&gt;0,1,0)</f>
        <v/>
      </c>
      <c r="AF1098">
        <f t="array" ref="AF1098">IF(SUMPRODUCT(--($AQ$2:$AQ$71=TRIM(LEFT($B1098,IFERROR(FIND(" ",$B1098)-1,LEN($B1098))))))&gt;0,1,0)</f>
        <v/>
      </c>
    </row>
    <row r="1099" ht="75.75" customHeight="1" thickBot="1">
      <c r="A1099" s="13" t="n">
        <v>130</v>
      </c>
      <c r="B1099" s="4" t="inlineStr">
        <is>
          <t>TMB CN</t>
        </is>
      </c>
      <c r="C1099" s="4" t="inlineStr">
        <is>
          <t>RYAM US</t>
        </is>
      </c>
      <c r="D1099" s="7" t="n">
        <v>42880</v>
      </c>
      <c r="E1099" s="3" t="n">
        <v>839.67</v>
      </c>
      <c r="F1099" s="4" t="inlineStr">
        <is>
          <t>Cash or Stock</t>
        </is>
      </c>
      <c r="G1099" s="3" t="n">
        <v>6.46</v>
      </c>
      <c r="H1099" s="4" t="inlineStr">
        <is>
          <t>Materials</t>
        </is>
      </c>
      <c r="I1099" s="4" t="inlineStr">
        <is>
          <t>Materials</t>
        </is>
      </c>
      <c r="J1099" s="4" t="inlineStr">
        <is>
          <t>Forestry, Paper &amp; Wood Products</t>
        </is>
      </c>
      <c r="K1099" s="4" t="n"/>
      <c r="L1099" s="4" t="n"/>
      <c r="M1099" s="3" t="n">
        <v>65.56</v>
      </c>
      <c r="N1099" s="3" t="n">
        <v>362.92</v>
      </c>
      <c r="O1099" s="4" t="inlineStr">
        <is>
          <t>Canada</t>
        </is>
      </c>
      <c r="P1099" s="4" t="inlineStr">
        <is>
          <t>United States</t>
        </is>
      </c>
      <c r="Q1099" s="4" t="inlineStr">
        <is>
          <t>Friendly</t>
        </is>
      </c>
      <c r="R1099" s="3" t="n">
        <v>1131.77</v>
      </c>
      <c r="S1099" s="3" t="n">
        <v>9.07348</v>
      </c>
      <c r="T1099" s="4" t="inlineStr">
        <is>
          <t>Company Takeover, Cross Border</t>
        </is>
      </c>
      <c r="U1099" s="2" t="inlineStr">
        <is>
          <t>No</t>
        </is>
      </c>
      <c r="V1099" s="2" t="inlineStr">
        <is>
          <t>No</t>
        </is>
      </c>
      <c r="W1099" s="2" t="inlineStr">
        <is>
          <t>Yes</t>
        </is>
      </c>
      <c r="X1099" s="2" t="inlineStr">
        <is>
          <t>No</t>
        </is>
      </c>
      <c r="Y1099" s="2" t="inlineStr">
        <is>
          <t>No</t>
        </is>
      </c>
      <c r="Z1099" s="2" t="inlineStr">
        <is>
          <t>No</t>
        </is>
      </c>
      <c r="AA1099" s="6" t="n">
        <v>2.924108637</v>
      </c>
      <c r="AB1099" s="6" t="n">
        <v>3.053758178</v>
      </c>
      <c r="AC1099" s="6" t="n">
        <v>2.559810902</v>
      </c>
      <c r="AD1099">
        <f t="array" ref="AD1099">IF(SUMPRODUCT(--($AM$2:$AM$112=TRIM(LEFT($B1099,IFERROR(FIND(" ",$B1099)-1,LEN($B1099))))))&gt;0,1,0)</f>
        <v/>
      </c>
      <c r="AE1099">
        <f t="array" ref="AE1099">IF(SUMPRODUCT(--($AO$2:$AO$145=TRIM(LEFT($B1099,IFERROR(FIND(" ",$B1099)-1,LEN($B1099))))))&gt;0,1,0)</f>
        <v/>
      </c>
      <c r="AF1099">
        <f t="array" ref="AF1099">IF(SUMPRODUCT(--($AQ$2:$AQ$71=TRIM(LEFT($B1099,IFERROR(FIND(" ",$B1099)-1,LEN($B1099))))))&gt;0,1,0)</f>
        <v/>
      </c>
    </row>
    <row r="1100" ht="60.75" customHeight="1" thickBot="1">
      <c r="A1100" s="13" t="n">
        <v>60</v>
      </c>
      <c r="B1100" s="4" t="inlineStr">
        <is>
          <t>1888299D US</t>
        </is>
      </c>
      <c r="C1100" s="4" t="inlineStr">
        <is>
          <t>UNH US</t>
        </is>
      </c>
      <c r="D1100" s="7" t="n">
        <v>42976</v>
      </c>
      <c r="E1100" s="3" t="n">
        <v>2591.26</v>
      </c>
      <c r="F1100" s="4" t="inlineStr">
        <is>
          <t>Cash</t>
        </is>
      </c>
      <c r="G1100" s="3" t="n">
        <v>21.42</v>
      </c>
      <c r="H1100" s="4" t="inlineStr">
        <is>
          <t>Industrials</t>
        </is>
      </c>
      <c r="I1100" s="4" t="inlineStr">
        <is>
          <t>Industrial Services</t>
        </is>
      </c>
      <c r="J1100" s="4" t="inlineStr">
        <is>
          <t>Commercial Support Services</t>
        </is>
      </c>
      <c r="K1100" s="3" t="n">
        <v>42</v>
      </c>
      <c r="L1100" s="4" t="n"/>
      <c r="M1100" s="4" t="n"/>
      <c r="N1100" s="3" t="n">
        <v>2160.33</v>
      </c>
      <c r="O1100" s="4" t="inlineStr">
        <is>
          <t>United States</t>
        </is>
      </c>
      <c r="P1100" s="4" t="inlineStr">
        <is>
          <t>United States</t>
        </is>
      </c>
      <c r="Q1100" s="4" t="inlineStr">
        <is>
          <t>Friendly</t>
        </is>
      </c>
      <c r="R1100" s="3" t="n">
        <v>803.424</v>
      </c>
      <c r="S1100" s="3" t="n">
        <v>2.59818</v>
      </c>
      <c r="T1100" s="4" t="inlineStr">
        <is>
          <t>Company Takeover</t>
        </is>
      </c>
      <c r="U1100" s="2" t="inlineStr">
        <is>
          <t>No</t>
        </is>
      </c>
      <c r="V1100" s="2" t="inlineStr">
        <is>
          <t>No</t>
        </is>
      </c>
      <c r="W1100" s="2" t="inlineStr">
        <is>
          <t>No</t>
        </is>
      </c>
      <c r="X1100" s="2" t="inlineStr">
        <is>
          <t>No</t>
        </is>
      </c>
      <c r="Y1100" s="2" t="inlineStr">
        <is>
          <t>No</t>
        </is>
      </c>
      <c r="Z1100" s="2" t="inlineStr">
        <is>
          <t>No</t>
        </is>
      </c>
      <c r="AA1100" s="6" t="n">
        <v>3.413510991</v>
      </c>
      <c r="AB1100" s="6" t="n">
        <v>2.904944801</v>
      </c>
      <c r="AC1100" s="6" t="n">
        <v>3.334520097</v>
      </c>
      <c r="AD1100">
        <f t="array" ref="AD1100">IF(SUMPRODUCT(--($AM$2:$AM$112=TRIM(LEFT($B1100,IFERROR(FIND(" ",$B1100)-1,LEN($B1100))))))&gt;0,1,0)</f>
        <v/>
      </c>
      <c r="AE1100">
        <f t="array" ref="AE1100">IF(SUMPRODUCT(--($AO$2:$AO$145=TRIM(LEFT($B1100,IFERROR(FIND(" ",$B1100)-1,LEN($B1100))))))&gt;0,1,0)</f>
        <v/>
      </c>
      <c r="AF1100">
        <f t="array" ref="AF1100">IF(SUMPRODUCT(--($AQ$2:$AQ$71=TRIM(LEFT($B1100,IFERROR(FIND(" ",$B1100)-1,LEN($B1100))))))&gt;0,1,0)</f>
        <v/>
      </c>
    </row>
    <row r="1101" ht="45.75" customHeight="1" thickBot="1">
      <c r="A1101" s="13" t="n">
        <v>84</v>
      </c>
      <c r="B1101" s="4" t="inlineStr">
        <is>
          <t>SNC US</t>
        </is>
      </c>
      <c r="C1101" s="4" t="inlineStr">
        <is>
          <t>MKL US</t>
        </is>
      </c>
      <c r="D1101" s="7" t="n">
        <v>42942</v>
      </c>
      <c r="E1101" s="3" t="n">
        <v>885.64</v>
      </c>
      <c r="F1101" s="4" t="inlineStr">
        <is>
          <t>Cash</t>
        </is>
      </c>
      <c r="G1101" s="4" t="n"/>
      <c r="H1101" s="4" t="inlineStr">
        <is>
          <t>Financials</t>
        </is>
      </c>
      <c r="I1101" s="4" t="inlineStr">
        <is>
          <t>Insurance</t>
        </is>
      </c>
      <c r="J1101" s="4" t="inlineStr">
        <is>
          <t>Insurance</t>
        </is>
      </c>
      <c r="K1101" s="4" t="n"/>
      <c r="L1101" s="3" t="n">
        <v>27.6</v>
      </c>
      <c r="M1101" s="3" t="n">
        <v>14.85</v>
      </c>
      <c r="N1101" s="3" t="n">
        <v>885.64</v>
      </c>
      <c r="O1101" s="4" t="inlineStr">
        <is>
          <t>United States</t>
        </is>
      </c>
      <c r="P1101" s="4" t="inlineStr">
        <is>
          <t>United States</t>
        </is>
      </c>
      <c r="Q1101" s="4" t="inlineStr">
        <is>
          <t>Friendly</t>
        </is>
      </c>
      <c r="R1101" s="3" t="n">
        <v>217.07</v>
      </c>
      <c r="S1101" s="3" t="n">
        <v>36.0446</v>
      </c>
      <c r="T1101" s="4" t="inlineStr">
        <is>
          <t>Company Takeover</t>
        </is>
      </c>
      <c r="U1101" s="2" t="inlineStr">
        <is>
          <t>No</t>
        </is>
      </c>
      <c r="V1101" s="2" t="inlineStr">
        <is>
          <t>No</t>
        </is>
      </c>
      <c r="W1101" s="2" t="inlineStr">
        <is>
          <t>No</t>
        </is>
      </c>
      <c r="X1101" s="2" t="inlineStr">
        <is>
          <t>No</t>
        </is>
      </c>
      <c r="Y1101" s="2" t="inlineStr">
        <is>
          <t>No</t>
        </is>
      </c>
      <c r="Z1101" s="2" t="inlineStr">
        <is>
          <t>No</t>
        </is>
      </c>
      <c r="AA1101" s="6" t="n">
        <v>2.947257223</v>
      </c>
      <c r="AB1101" s="6" t="n">
        <v>2.336599806</v>
      </c>
      <c r="AC1101" s="6" t="n">
        <v>2.947257223</v>
      </c>
      <c r="AD1101">
        <f t="array" ref="AD1101">IF(SUMPRODUCT(--($AM$2:$AM$112=TRIM(LEFT($B1101,IFERROR(FIND(" ",$B1101)-1,LEN($B1101))))))&gt;0,1,0)</f>
        <v/>
      </c>
      <c r="AE1101">
        <f t="array" ref="AE1101">IF(SUMPRODUCT(--($AO$2:$AO$145=TRIM(LEFT($B1101,IFERROR(FIND(" ",$B1101)-1,LEN($B1101))))))&gt;0,1,0)</f>
        <v/>
      </c>
      <c r="AF1101">
        <f t="array" ref="AF1101">IF(SUMPRODUCT(--($AQ$2:$AQ$71=TRIM(LEFT($B1101,IFERROR(FIND(" ",$B1101)-1,LEN($B1101))))))&gt;0,1,0)</f>
        <v/>
      </c>
    </row>
    <row r="1102" ht="225.75" customHeight="1" thickBot="1">
      <c r="A1102" s="13" t="n">
        <v>196</v>
      </c>
      <c r="B1102" s="4" t="inlineStr">
        <is>
          <t>LMOS US</t>
        </is>
      </c>
      <c r="C1102" s="4" t="inlineStr">
        <is>
          <t>1071Z SS</t>
        </is>
      </c>
      <c r="D1102" s="7" t="n">
        <v>42786</v>
      </c>
      <c r="E1102" s="3" t="n">
        <v>821.8</v>
      </c>
      <c r="F1102" s="4" t="inlineStr">
        <is>
          <t>Cash</t>
        </is>
      </c>
      <c r="G1102" s="3" t="n">
        <v>10.16</v>
      </c>
      <c r="H1102" s="4" t="inlineStr">
        <is>
          <t>Communications</t>
        </is>
      </c>
      <c r="I1102" s="4" t="inlineStr">
        <is>
          <t>Telecommunications</t>
        </is>
      </c>
      <c r="J1102" s="4" t="inlineStr">
        <is>
          <t>Telecommunications</t>
        </is>
      </c>
      <c r="K1102" s="3" t="n">
        <v>32.138</v>
      </c>
      <c r="L1102" s="3" t="n">
        <v>16.069</v>
      </c>
      <c r="M1102" s="4" t="n"/>
      <c r="N1102" s="3" t="n">
        <v>424.37</v>
      </c>
      <c r="O1102" s="4" t="inlineStr">
        <is>
          <t>United States</t>
        </is>
      </c>
      <c r="P1102" s="4" t="inlineStr">
        <is>
          <t>Sweden</t>
        </is>
      </c>
      <c r="Q1102" s="4" t="inlineStr">
        <is>
          <t>Friendly</t>
        </is>
      </c>
      <c r="R1102" s="3" t="n">
        <v>206.899</v>
      </c>
      <c r="S1102" s="3" t="n">
        <v>10.3379</v>
      </c>
      <c r="T1102" s="4" t="inlineStr">
        <is>
          <t>PE Buyout, Company Takeover, Cross Border, Private Equity, Infrastructure/Real Assets, Going Private</t>
        </is>
      </c>
      <c r="U1102" s="2" t="inlineStr">
        <is>
          <t>No</t>
        </is>
      </c>
      <c r="V1102" s="2" t="inlineStr">
        <is>
          <t>No</t>
        </is>
      </c>
      <c r="W1102" s="2" t="inlineStr">
        <is>
          <t>Yes</t>
        </is>
      </c>
      <c r="X1102" s="2" t="inlineStr">
        <is>
          <t>Yes</t>
        </is>
      </c>
      <c r="Y1102" s="2" t="inlineStr">
        <is>
          <t>Yes</t>
        </is>
      </c>
      <c r="Z1102" s="2" t="inlineStr">
        <is>
          <t>No</t>
        </is>
      </c>
      <c r="AA1102" s="6" t="n">
        <v>2.914766137</v>
      </c>
      <c r="AB1102" s="6" t="n">
        <v>2.315758392</v>
      </c>
      <c r="AC1102" s="6" t="n">
        <v>2.627744675</v>
      </c>
      <c r="AD1102">
        <f t="array" ref="AD1102">IF(SUMPRODUCT(--($AM$2:$AM$112=TRIM(LEFT($B1102,IFERROR(FIND(" ",$B1102)-1,LEN($B1102))))))&gt;0,1,0)</f>
        <v/>
      </c>
      <c r="AE1102">
        <f t="array" ref="AE1102">IF(SUMPRODUCT(--($AO$2:$AO$145=TRIM(LEFT($B1102,IFERROR(FIND(" ",$B1102)-1,LEN($B1102))))))&gt;0,1,0)</f>
        <v/>
      </c>
      <c r="AF1102">
        <f t="array" ref="AF1102">IF(SUMPRODUCT(--($AQ$2:$AQ$71=TRIM(LEFT($B1102,IFERROR(FIND(" ",$B1102)-1,LEN($B1102))))))&gt;0,1,0)</f>
        <v/>
      </c>
    </row>
    <row r="1103" ht="45.75" customHeight="1" thickBot="1">
      <c r="A1103" s="13" t="n">
        <v>71</v>
      </c>
      <c r="B1103" s="4" t="inlineStr">
        <is>
          <t>SFR US</t>
        </is>
      </c>
      <c r="C1103" s="4" t="inlineStr">
        <is>
          <t>INVH US</t>
        </is>
      </c>
      <c r="D1103" s="7" t="n">
        <v>42957</v>
      </c>
      <c r="E1103" s="3" t="n">
        <v>7811</v>
      </c>
      <c r="F1103" s="4" t="inlineStr">
        <is>
          <t>Stock</t>
        </is>
      </c>
      <c r="G1103" s="3" t="n">
        <v>24.89</v>
      </c>
      <c r="H1103" s="4" t="inlineStr">
        <is>
          <t>Real Estate</t>
        </is>
      </c>
      <c r="I1103" s="4" t="inlineStr">
        <is>
          <t>Real Estate</t>
        </is>
      </c>
      <c r="J1103" s="4" t="inlineStr">
        <is>
          <t>REIT</t>
        </is>
      </c>
      <c r="K1103" s="4" t="n"/>
      <c r="L1103" s="4" t="n"/>
      <c r="M1103" s="3" t="n">
        <v>-0.39</v>
      </c>
      <c r="N1103" s="3" t="n">
        <v>4398.06</v>
      </c>
      <c r="O1103" s="4" t="inlineStr">
        <is>
          <t>United States</t>
        </is>
      </c>
      <c r="P1103" s="4" t="inlineStr">
        <is>
          <t>United States</t>
        </is>
      </c>
      <c r="Q1103" s="4" t="inlineStr">
        <is>
          <t>Friendly</t>
        </is>
      </c>
      <c r="R1103" s="2" t="n"/>
      <c r="S1103" s="2" t="n"/>
      <c r="T1103" s="4" t="inlineStr">
        <is>
          <t>Company Takeover</t>
        </is>
      </c>
      <c r="U1103" s="2" t="inlineStr">
        <is>
          <t>No</t>
        </is>
      </c>
      <c r="V1103" s="2" t="inlineStr">
        <is>
          <t>No</t>
        </is>
      </c>
      <c r="W1103" s="2" t="inlineStr">
        <is>
          <t>No</t>
        </is>
      </c>
      <c r="X1103" s="2" t="inlineStr">
        <is>
          <t>No</t>
        </is>
      </c>
      <c r="Y1103" s="2" t="inlineStr">
        <is>
          <t>No</t>
        </is>
      </c>
      <c r="Z1103" s="2" t="inlineStr">
        <is>
          <t>No</t>
        </is>
      </c>
      <c r="AA1103" s="6" t="n">
        <v>3.892706638</v>
      </c>
      <c r="AB1103" s="2" t="n"/>
      <c r="AC1103" s="6" t="n">
        <v>3.64326115</v>
      </c>
      <c r="AD1103">
        <f t="array" ref="AD1103">IF(SUMPRODUCT(--($AM$2:$AM$112=TRIM(LEFT($B1103,IFERROR(FIND(" ",$B1103)-1,LEN($B1103))))))&gt;0,1,0)</f>
        <v/>
      </c>
      <c r="AE1103">
        <f t="array" ref="AE1103">IF(SUMPRODUCT(--($AO$2:$AO$145=TRIM(LEFT($B1103,IFERROR(FIND(" ",$B1103)-1,LEN($B1103))))))&gt;0,1,0)</f>
        <v/>
      </c>
      <c r="AF1103">
        <f t="array" ref="AF1103">IF(SUMPRODUCT(--($AQ$2:$AQ$71=TRIM(LEFT($B1103,IFERROR(FIND(" ",$B1103)-1,LEN($B1103))))))&gt;0,1,0)</f>
        <v/>
      </c>
    </row>
    <row r="1104" ht="135.75" customHeight="1" thickBot="1">
      <c r="A1104" s="13" t="n">
        <v>21</v>
      </c>
      <c r="B1104" s="4" t="inlineStr">
        <is>
          <t>IL US</t>
        </is>
      </c>
      <c r="C1104" s="4" t="inlineStr">
        <is>
          <t>8210273Z US</t>
        </is>
      </c>
      <c r="D1104" s="7" t="n">
        <v>43025</v>
      </c>
      <c r="E1104" s="3" t="n">
        <v>1000</v>
      </c>
      <c r="F1104" s="4" t="inlineStr">
        <is>
          <t>Cash</t>
        </is>
      </c>
      <c r="G1104" s="3" t="n">
        <v>26.51</v>
      </c>
      <c r="H1104" s="4" t="inlineStr">
        <is>
          <t>Technology</t>
        </is>
      </c>
      <c r="I1104" s="4" t="inlineStr">
        <is>
          <t>Software &amp; Tech Services</t>
        </is>
      </c>
      <c r="J1104" s="4" t="inlineStr">
        <is>
          <t>Software</t>
        </is>
      </c>
      <c r="K1104" s="4" t="n"/>
      <c r="L1104" s="4" t="n"/>
      <c r="M1104" s="4" t="n"/>
      <c r="N1104" s="3" t="n">
        <v>1000</v>
      </c>
      <c r="O1104" s="4" t="inlineStr">
        <is>
          <t>United States</t>
        </is>
      </c>
      <c r="P1104" s="4" t="inlineStr">
        <is>
          <t>United States</t>
        </is>
      </c>
      <c r="Q1104" s="4" t="inlineStr">
        <is>
          <t>Friendly</t>
        </is>
      </c>
      <c r="R1104" s="3" t="n">
        <v>276.153</v>
      </c>
      <c r="S1104" s="3" t="n">
        <v>-4.2969</v>
      </c>
      <c r="T1104" s="4" t="inlineStr">
        <is>
          <t>PE Buyout, Company Takeover, Going Private, Private Equity</t>
        </is>
      </c>
      <c r="U1104" s="2" t="inlineStr">
        <is>
          <t>No</t>
        </is>
      </c>
      <c r="V1104" s="2" t="inlineStr">
        <is>
          <t>No</t>
        </is>
      </c>
      <c r="W1104" s="2" t="inlineStr">
        <is>
          <t>No</t>
        </is>
      </c>
      <c r="X1104" s="2" t="inlineStr">
        <is>
          <t>Yes</t>
        </is>
      </c>
      <c r="Y1104" s="2" t="inlineStr">
        <is>
          <t>Yes</t>
        </is>
      </c>
      <c r="Z1104" s="2" t="inlineStr">
        <is>
          <t>No</t>
        </is>
      </c>
      <c r="AA1104" s="6" t="n">
        <v>3</v>
      </c>
      <c r="AB1104" s="6" t="n">
        <v>2.441149766</v>
      </c>
      <c r="AC1104" s="6" t="n">
        <v>3</v>
      </c>
      <c r="AD1104">
        <f t="array" ref="AD1104">IF(SUMPRODUCT(--($AM$2:$AM$112=TRIM(LEFT($B1104,IFERROR(FIND(" ",$B1104)-1,LEN($B1104))))))&gt;0,1,0)</f>
        <v/>
      </c>
      <c r="AE1104">
        <f t="array" ref="AE1104">IF(SUMPRODUCT(--($AO$2:$AO$145=TRIM(LEFT($B1104,IFERROR(FIND(" ",$B1104)-1,LEN($B1104))))))&gt;0,1,0)</f>
        <v/>
      </c>
      <c r="AF1104">
        <f t="array" ref="AF1104">IF(SUMPRODUCT(--($AQ$2:$AQ$71=TRIM(LEFT($B1104,IFERROR(FIND(" ",$B1104)-1,LEN($B1104))))))&gt;0,1,0)</f>
        <v/>
      </c>
    </row>
    <row r="1105" ht="45.75" customHeight="1" thickBot="1">
      <c r="A1105" s="13" t="n">
        <v>106</v>
      </c>
      <c r="B1105" s="4" t="inlineStr">
        <is>
          <t>1850242D US</t>
        </is>
      </c>
      <c r="C1105" s="4" t="inlineStr">
        <is>
          <t>EQT US</t>
        </is>
      </c>
      <c r="D1105" s="7" t="n">
        <v>42905</v>
      </c>
      <c r="E1105" s="3" t="n">
        <v>6456.71</v>
      </c>
      <c r="F1105" s="4" t="inlineStr">
        <is>
          <t>Cash and Stock</t>
        </is>
      </c>
      <c r="G1105" s="3" t="n">
        <v>11.19</v>
      </c>
      <c r="H1105" s="4" t="inlineStr">
        <is>
          <t>Energy</t>
        </is>
      </c>
      <c r="I1105" s="4" t="inlineStr">
        <is>
          <t>Oil &amp; Gas</t>
        </is>
      </c>
      <c r="J1105" s="4" t="inlineStr">
        <is>
          <t>Oil &amp; Gas Supply Chain</t>
        </is>
      </c>
      <c r="K1105" s="4" t="n"/>
      <c r="L1105" s="3" t="n">
        <v>255</v>
      </c>
      <c r="M1105" s="3" t="n">
        <v>28.79</v>
      </c>
      <c r="N1105" s="3" t="n">
        <v>5344.29</v>
      </c>
      <c r="O1105" s="4" t="inlineStr">
        <is>
          <t>United States</t>
        </is>
      </c>
      <c r="P1105" s="4" t="inlineStr">
        <is>
          <t>United States</t>
        </is>
      </c>
      <c r="Q1105" s="4" t="inlineStr">
        <is>
          <t>Friendly</t>
        </is>
      </c>
      <c r="R1105" s="3" t="n">
        <v>979.977</v>
      </c>
      <c r="S1105" s="3" t="n">
        <v>16.851</v>
      </c>
      <c r="T1105" s="4" t="inlineStr">
        <is>
          <t>Company Takeover</t>
        </is>
      </c>
      <c r="U1105" s="2" t="inlineStr">
        <is>
          <t>No</t>
        </is>
      </c>
      <c r="V1105" s="2" t="inlineStr">
        <is>
          <t>No</t>
        </is>
      </c>
      <c r="W1105" s="2" t="inlineStr">
        <is>
          <t>No</t>
        </is>
      </c>
      <c r="X1105" s="2" t="inlineStr">
        <is>
          <t>No</t>
        </is>
      </c>
      <c r="Y1105" s="2" t="inlineStr">
        <is>
          <t>No</t>
        </is>
      </c>
      <c r="Z1105" s="2" t="inlineStr">
        <is>
          <t>No</t>
        </is>
      </c>
      <c r="AA1105" s="6" t="n">
        <v>3.810011281</v>
      </c>
      <c r="AB1105" s="6" t="n">
        <v>2.991215883</v>
      </c>
      <c r="AC1105" s="6" t="n">
        <v>3.727890016</v>
      </c>
      <c r="AD1105">
        <f t="array" ref="AD1105">IF(SUMPRODUCT(--($AM$2:$AM$112=TRIM(LEFT($B1105,IFERROR(FIND(" ",$B1105)-1,LEN($B1105))))))&gt;0,1,0)</f>
        <v/>
      </c>
      <c r="AE1105">
        <f t="array" ref="AE1105">IF(SUMPRODUCT(--($AO$2:$AO$145=TRIM(LEFT($B1105,IFERROR(FIND(" ",$B1105)-1,LEN($B1105))))))&gt;0,1,0)</f>
        <v/>
      </c>
      <c r="AF1105">
        <f t="array" ref="AF1105">IF(SUMPRODUCT(--($AQ$2:$AQ$71=TRIM(LEFT($B1105,IFERROR(FIND(" ",$B1105)-1,LEN($B1105))))))&gt;0,1,0)</f>
        <v/>
      </c>
    </row>
    <row r="1106" ht="75.75" customHeight="1" thickBot="1">
      <c r="A1106" s="13" t="n">
        <v>94</v>
      </c>
      <c r="B1106" s="4" t="inlineStr">
        <is>
          <t>2192176D US</t>
        </is>
      </c>
      <c r="C1106" s="4" t="inlineStr">
        <is>
          <t>2869270Z US</t>
        </is>
      </c>
      <c r="D1106" s="7" t="n">
        <v>42919</v>
      </c>
      <c r="E1106" s="3" t="n">
        <v>1366.22</v>
      </c>
      <c r="F1106" s="4" t="inlineStr">
        <is>
          <t>Cash</t>
        </is>
      </c>
      <c r="G1106" s="3" t="n">
        <v>32.35</v>
      </c>
      <c r="H1106" s="4" t="inlineStr">
        <is>
          <t>Communications</t>
        </is>
      </c>
      <c r="I1106" s="4" t="inlineStr">
        <is>
          <t>Media</t>
        </is>
      </c>
      <c r="J1106" s="4" t="inlineStr">
        <is>
          <t>Internet Media &amp; Services</t>
        </is>
      </c>
      <c r="K1106" s="3" t="n">
        <v>87.90000000000001</v>
      </c>
      <c r="L1106" s="3" t="n">
        <v>37.7</v>
      </c>
      <c r="M1106" s="3" t="n">
        <v>21.08</v>
      </c>
      <c r="N1106" s="3" t="n">
        <v>1253.18</v>
      </c>
      <c r="O1106" s="4" t="inlineStr">
        <is>
          <t>United States</t>
        </is>
      </c>
      <c r="P1106" s="4" t="inlineStr">
        <is>
          <t>United States</t>
        </is>
      </c>
      <c r="Q1106" s="4" t="inlineStr">
        <is>
          <t>Friendly</t>
        </is>
      </c>
      <c r="R1106" s="3" t="n">
        <v>434.161</v>
      </c>
      <c r="S1106" s="3" t="n">
        <v>-0.154938</v>
      </c>
      <c r="T1106" s="4" t="inlineStr">
        <is>
          <t>Company Takeover, Going Private</t>
        </is>
      </c>
      <c r="U1106" s="2" t="inlineStr">
        <is>
          <t>No</t>
        </is>
      </c>
      <c r="V1106" s="2" t="inlineStr">
        <is>
          <t>No</t>
        </is>
      </c>
      <c r="W1106" s="2" t="inlineStr">
        <is>
          <t>No</t>
        </is>
      </c>
      <c r="X1106" s="2" t="inlineStr">
        <is>
          <t>Yes</t>
        </is>
      </c>
      <c r="Y1106" s="2" t="inlineStr">
        <is>
          <t>No</t>
        </is>
      </c>
      <c r="Z1106" s="2" t="inlineStr">
        <is>
          <t>No</t>
        </is>
      </c>
      <c r="AA1106" s="6" t="n">
        <v>3.135520639</v>
      </c>
      <c r="AB1106" s="6" t="n">
        <v>2.637650809</v>
      </c>
      <c r="AC1106" s="6" t="n">
        <v>3.098013455</v>
      </c>
      <c r="AD1106">
        <f t="array" ref="AD1106">IF(SUMPRODUCT(--($AM$2:$AM$112=TRIM(LEFT($B1106,IFERROR(FIND(" ",$B1106)-1,LEN($B1106))))))&gt;0,1,0)</f>
        <v/>
      </c>
      <c r="AE1106">
        <f t="array" ref="AE1106">IF(SUMPRODUCT(--($AO$2:$AO$145=TRIM(LEFT($B1106,IFERROR(FIND(" ",$B1106)-1,LEN($B1106))))))&gt;0,1,0)</f>
        <v/>
      </c>
      <c r="AF1106">
        <f t="array" ref="AF1106">IF(SUMPRODUCT(--($AQ$2:$AQ$71=TRIM(LEFT($B1106,IFERROR(FIND(" ",$B1106)-1,LEN($B1106))))))&gt;0,1,0)</f>
        <v/>
      </c>
    </row>
    <row r="1107" ht="105.75" customHeight="1" thickBot="1">
      <c r="A1107" s="13" t="n">
        <v>80</v>
      </c>
      <c r="B1107" s="4" t="inlineStr">
        <is>
          <t>DDC CN</t>
        </is>
      </c>
      <c r="C1107" s="4" t="inlineStr">
        <is>
          <t>3043451Z US</t>
        </is>
      </c>
      <c r="D1107" s="7" t="n">
        <v>42933</v>
      </c>
      <c r="E1107" s="3" t="n">
        <v>1027.58</v>
      </c>
      <c r="F1107" s="4" t="inlineStr">
        <is>
          <t>Cash</t>
        </is>
      </c>
      <c r="G1107" s="3" t="n">
        <v>4.78</v>
      </c>
      <c r="H1107" s="4" t="inlineStr">
        <is>
          <t>Materials</t>
        </is>
      </c>
      <c r="I1107" s="4" t="inlineStr">
        <is>
          <t>Materials</t>
        </is>
      </c>
      <c r="J1107" s="4" t="inlineStr">
        <is>
          <t>Metals &amp; Mining</t>
        </is>
      </c>
      <c r="K1107" s="3" t="n">
        <v>70.2</v>
      </c>
      <c r="L1107" s="3" t="n">
        <v>43.9</v>
      </c>
      <c r="M1107" s="4" t="n"/>
      <c r="N1107" s="3" t="n">
        <v>1148.19</v>
      </c>
      <c r="O1107" s="4" t="inlineStr">
        <is>
          <t>Canada</t>
        </is>
      </c>
      <c r="P1107" s="4" t="inlineStr">
        <is>
          <t>United States</t>
        </is>
      </c>
      <c r="Q1107" s="4" t="inlineStr">
        <is>
          <t>Friendly</t>
        </is>
      </c>
      <c r="R1107" s="3" t="n">
        <v>570.855</v>
      </c>
      <c r="S1107" s="3" t="n">
        <v>5.62831</v>
      </c>
      <c r="T1107" s="4" t="inlineStr">
        <is>
          <t>Company Takeover, Cross Border, Going Private</t>
        </is>
      </c>
      <c r="U1107" s="2" t="inlineStr">
        <is>
          <t>No</t>
        </is>
      </c>
      <c r="V1107" s="2" t="inlineStr">
        <is>
          <t>No</t>
        </is>
      </c>
      <c r="W1107" s="2" t="inlineStr">
        <is>
          <t>Yes</t>
        </is>
      </c>
      <c r="X1107" s="2" t="inlineStr">
        <is>
          <t>Yes</t>
        </is>
      </c>
      <c r="Y1107" s="2" t="inlineStr">
        <is>
          <t>No</t>
        </is>
      </c>
      <c r="Z1107" s="2" t="inlineStr">
        <is>
          <t>No</t>
        </is>
      </c>
      <c r="AA1107" s="6" t="n">
        <v>3.011815643</v>
      </c>
      <c r="AB1107" s="6" t="n">
        <v>2.756525809</v>
      </c>
      <c r="AC1107" s="6" t="n">
        <v>3.06001376</v>
      </c>
      <c r="AD1107">
        <f t="array" ref="AD1107">IF(SUMPRODUCT(--($AM$2:$AM$112=TRIM(LEFT($B1107,IFERROR(FIND(" ",$B1107)-1,LEN($B1107))))))&gt;0,1,0)</f>
        <v/>
      </c>
      <c r="AE1107">
        <f t="array" ref="AE1107">IF(SUMPRODUCT(--($AO$2:$AO$145=TRIM(LEFT($B1107,IFERROR(FIND(" ",$B1107)-1,LEN($B1107))))))&gt;0,1,0)</f>
        <v/>
      </c>
      <c r="AF1107">
        <f t="array" ref="AF1107">IF(SUMPRODUCT(--($AQ$2:$AQ$71=TRIM(LEFT($B1107,IFERROR(FIND(" ",$B1107)-1,LEN($B1107))))))&gt;0,1,0)</f>
        <v/>
      </c>
    </row>
    <row r="1108" ht="45.75" customHeight="1" thickBot="1">
      <c r="A1108" s="13" t="n">
        <v>213</v>
      </c>
      <c r="B1108" s="4" t="inlineStr">
        <is>
          <t>PCBK US</t>
        </is>
      </c>
      <c r="C1108" s="4" t="inlineStr">
        <is>
          <t>COLB US</t>
        </is>
      </c>
      <c r="D1108" s="7" t="n">
        <v>42745</v>
      </c>
      <c r="E1108" s="3" t="n">
        <v>649.08</v>
      </c>
      <c r="F1108" s="4" t="inlineStr">
        <is>
          <t>Stock</t>
        </is>
      </c>
      <c r="G1108" s="4" t="n"/>
      <c r="H1108" s="4" t="inlineStr">
        <is>
          <t>Financials</t>
        </is>
      </c>
      <c r="I1108" s="4" t="inlineStr">
        <is>
          <t>Banking</t>
        </is>
      </c>
      <c r="J1108" s="4" t="inlineStr">
        <is>
          <t>Banking</t>
        </is>
      </c>
      <c r="K1108" s="4" t="n"/>
      <c r="L1108" s="3" t="n">
        <v>18.75</v>
      </c>
      <c r="M1108" s="3" t="n">
        <v>33.13</v>
      </c>
      <c r="N1108" s="3" t="n">
        <v>649.08</v>
      </c>
      <c r="O1108" s="4" t="inlineStr">
        <is>
          <t>United States</t>
        </is>
      </c>
      <c r="P1108" s="4" t="inlineStr">
        <is>
          <t>United States</t>
        </is>
      </c>
      <c r="Q1108" s="4" t="inlineStr">
        <is>
          <t>Friendly</t>
        </is>
      </c>
      <c r="R1108" s="3" t="n">
        <v>97.76000000000001</v>
      </c>
      <c r="S1108" s="3" t="n">
        <v>40.4664</v>
      </c>
      <c r="T1108" s="4" t="inlineStr">
        <is>
          <t>Company Takeover</t>
        </is>
      </c>
      <c r="U1108" s="2" t="inlineStr">
        <is>
          <t>No</t>
        </is>
      </c>
      <c r="V1108" s="2" t="inlineStr">
        <is>
          <t>No</t>
        </is>
      </c>
      <c r="W1108" s="2" t="inlineStr">
        <is>
          <t>No</t>
        </is>
      </c>
      <c r="X1108" s="2" t="inlineStr">
        <is>
          <t>No</t>
        </is>
      </c>
      <c r="Y1108" s="2" t="inlineStr">
        <is>
          <t>No</t>
        </is>
      </c>
      <c r="Z1108" s="2" t="inlineStr">
        <is>
          <t>No</t>
        </is>
      </c>
      <c r="AA1108" s="6" t="n">
        <v>2.812298227</v>
      </c>
      <c r="AB1108" s="6" t="n">
        <v>1.990161193</v>
      </c>
      <c r="AC1108" s="6" t="n">
        <v>2.812298227</v>
      </c>
      <c r="AD1108">
        <f t="array" ref="AD1108">IF(SUMPRODUCT(--($AM$2:$AM$112=TRIM(LEFT($B1108,IFERROR(FIND(" ",$B1108)-1,LEN($B1108))))))&gt;0,1,0)</f>
        <v/>
      </c>
      <c r="AE1108">
        <f t="array" ref="AE1108">IF(SUMPRODUCT(--($AO$2:$AO$145=TRIM(LEFT($B1108,IFERROR(FIND(" ",$B1108)-1,LEN($B1108))))))&gt;0,1,0)</f>
        <v/>
      </c>
      <c r="AF1108">
        <f t="array" ref="AF1108">IF(SUMPRODUCT(--($AQ$2:$AQ$71=TRIM(LEFT($B1108,IFERROR(FIND(" ",$B1108)-1,LEN($B1108))))))&gt;0,1,0)</f>
        <v/>
      </c>
    </row>
    <row r="1109" ht="45.75" customHeight="1" thickBot="1">
      <c r="A1109" s="13" t="n">
        <v>9</v>
      </c>
      <c r="B1109" s="4" t="inlineStr">
        <is>
          <t>HEP US</t>
        </is>
      </c>
      <c r="C1109" s="4" t="inlineStr">
        <is>
          <t>HFC US</t>
        </is>
      </c>
      <c r="D1109" s="7" t="n">
        <v>43027</v>
      </c>
      <c r="E1109" s="3" t="n">
        <v>3231.5</v>
      </c>
      <c r="F1109" s="4" t="inlineStr">
        <is>
          <t>Undisclosed</t>
        </is>
      </c>
      <c r="G1109" s="3" t="n">
        <v>15.91</v>
      </c>
      <c r="H1109" s="4" t="inlineStr">
        <is>
          <t>Energy</t>
        </is>
      </c>
      <c r="I1109" s="4" t="inlineStr">
        <is>
          <t>Oil &amp; Gas</t>
        </is>
      </c>
      <c r="J1109" s="4" t="inlineStr">
        <is>
          <t>Oil &amp; Gas Supply Chain</t>
        </is>
      </c>
      <c r="K1109" s="4" t="n"/>
      <c r="L1109" s="4" t="n"/>
      <c r="M1109" s="3" t="n">
        <v>-2.07</v>
      </c>
      <c r="N1109" s="3" t="n">
        <v>2011.1</v>
      </c>
      <c r="O1109" s="4" t="inlineStr">
        <is>
          <t>United States</t>
        </is>
      </c>
      <c r="P1109" s="4" t="inlineStr">
        <is>
          <t>United States</t>
        </is>
      </c>
      <c r="Q1109" s="4" t="inlineStr">
        <is>
          <t>Friendly</t>
        </is>
      </c>
      <c r="R1109" s="3" t="n">
        <v>547.48</v>
      </c>
      <c r="S1109" s="3" t="n">
        <v>41.8919</v>
      </c>
      <c r="T1109" s="4" t="inlineStr">
        <is>
          <t>Majority purchase</t>
        </is>
      </c>
      <c r="U1109" s="2" t="inlineStr">
        <is>
          <t>No</t>
        </is>
      </c>
      <c r="V1109" s="2" t="inlineStr">
        <is>
          <t>No</t>
        </is>
      </c>
      <c r="W1109" s="2" t="inlineStr">
        <is>
          <t>No</t>
        </is>
      </c>
      <c r="X1109" s="2" t="inlineStr">
        <is>
          <t>No</t>
        </is>
      </c>
      <c r="Y1109" s="2" t="inlineStr">
        <is>
          <t>No</t>
        </is>
      </c>
      <c r="Z1109" s="2" t="inlineStr">
        <is>
          <t>No</t>
        </is>
      </c>
      <c r="AA1109" s="6" t="n">
        <v>3.50940416</v>
      </c>
      <c r="AB1109" s="6" t="n">
        <v>2.738368259</v>
      </c>
      <c r="AC1109" s="6" t="n">
        <v>3.303433666</v>
      </c>
      <c r="AD1109">
        <f t="array" ref="AD1109">IF(SUMPRODUCT(--($AM$2:$AM$112=TRIM(LEFT($B1109,IFERROR(FIND(" ",$B1109)-1,LEN($B1109))))))&gt;0,1,0)</f>
        <v/>
      </c>
      <c r="AE1109">
        <f t="array" ref="AE1109">IF(SUMPRODUCT(--($AO$2:$AO$145=TRIM(LEFT($B1109,IFERROR(FIND(" ",$B1109)-1,LEN($B1109))))))&gt;0,1,0)</f>
        <v/>
      </c>
      <c r="AF1109">
        <f t="array" ref="AF1109">IF(SUMPRODUCT(--($AQ$2:$AQ$71=TRIM(LEFT($B1109,IFERROR(FIND(" ",$B1109)-1,LEN($B1109))))))&gt;0,1,0)</f>
        <v/>
      </c>
    </row>
    <row r="1110" ht="45.75" customHeight="1" thickBot="1">
      <c r="A1110" s="13" t="n">
        <v>73</v>
      </c>
      <c r="B1110" s="4" t="inlineStr">
        <is>
          <t>WNRL US</t>
        </is>
      </c>
      <c r="C1110" s="4" t="inlineStr">
        <is>
          <t>ANDX US</t>
        </is>
      </c>
      <c r="D1110" s="7" t="n">
        <v>42937</v>
      </c>
      <c r="E1110" s="3" t="n">
        <v>2539.22</v>
      </c>
      <c r="F1110" s="4" t="inlineStr">
        <is>
          <t>Stock</t>
        </is>
      </c>
      <c r="G1110" s="3" t="n">
        <v>18.67</v>
      </c>
      <c r="H1110" s="4" t="inlineStr">
        <is>
          <t>Energy</t>
        </is>
      </c>
      <c r="I1110" s="4" t="inlineStr">
        <is>
          <t>Oil &amp; Gas</t>
        </is>
      </c>
      <c r="J1110" s="4" t="inlineStr">
        <is>
          <t>Oil &amp; Gas Supply Chain</t>
        </is>
      </c>
      <c r="K1110" s="4" t="n"/>
      <c r="L1110" s="4" t="n"/>
      <c r="M1110" s="3" t="n">
        <v>5.28</v>
      </c>
      <c r="N1110" s="3" t="n">
        <v>2235.6</v>
      </c>
      <c r="O1110" s="4" t="inlineStr">
        <is>
          <t>United States</t>
        </is>
      </c>
      <c r="P1110" s="4" t="inlineStr">
        <is>
          <t>United States</t>
        </is>
      </c>
      <c r="Q1110" s="4" t="inlineStr">
        <is>
          <t>Friendly</t>
        </is>
      </c>
      <c r="R1110" s="3" t="n">
        <v>2222.72</v>
      </c>
      <c r="S1110" s="3" t="n">
        <v>3.80816</v>
      </c>
      <c r="T1110" s="4" t="inlineStr">
        <is>
          <t>Company Takeover</t>
        </is>
      </c>
      <c r="U1110" s="2" t="inlineStr">
        <is>
          <t>No</t>
        </is>
      </c>
      <c r="V1110" s="2" t="inlineStr">
        <is>
          <t>No</t>
        </is>
      </c>
      <c r="W1110" s="2" t="inlineStr">
        <is>
          <t>No</t>
        </is>
      </c>
      <c r="X1110" s="2" t="inlineStr">
        <is>
          <t>No</t>
        </is>
      </c>
      <c r="Y1110" s="2" t="inlineStr">
        <is>
          <t>No</t>
        </is>
      </c>
      <c r="Z1110" s="2" t="inlineStr">
        <is>
          <t>No</t>
        </is>
      </c>
      <c r="AA1110" s="6" t="n">
        <v>3.40470033</v>
      </c>
      <c r="AB1110" s="6" t="n">
        <v>3.346884757</v>
      </c>
      <c r="AC1110" s="6" t="n">
        <v>3.349394101</v>
      </c>
      <c r="AD1110">
        <f t="array" ref="AD1110">IF(SUMPRODUCT(--($AM$2:$AM$112=TRIM(LEFT($B1110,IFERROR(FIND(" ",$B1110)-1,LEN($B1110))))))&gt;0,1,0)</f>
        <v/>
      </c>
      <c r="AE1110">
        <f t="array" ref="AE1110">IF(SUMPRODUCT(--($AO$2:$AO$145=TRIM(LEFT($B1110,IFERROR(FIND(" ",$B1110)-1,LEN($B1110))))))&gt;0,1,0)</f>
        <v/>
      </c>
      <c r="AF1110">
        <f t="array" ref="AF1110">IF(SUMPRODUCT(--($AQ$2:$AQ$71=TRIM(LEFT($B1110,IFERROR(FIND(" ",$B1110)-1,LEN($B1110))))))&gt;0,1,0)</f>
        <v/>
      </c>
    </row>
    <row r="1111" ht="45.75" customHeight="1" thickBot="1">
      <c r="A1111" s="13" t="n">
        <v>144</v>
      </c>
      <c r="B1111" s="4" t="inlineStr">
        <is>
          <t>CUNB US</t>
        </is>
      </c>
      <c r="C1111" s="4" t="inlineStr">
        <is>
          <t>PACW US</t>
        </is>
      </c>
      <c r="D1111" s="7" t="n">
        <v>42831</v>
      </c>
      <c r="E1111" s="3" t="n">
        <v>707.11</v>
      </c>
      <c r="F1111" s="4" t="inlineStr">
        <is>
          <t>Cash and Stock</t>
        </is>
      </c>
      <c r="G1111" s="4" t="n"/>
      <c r="H1111" s="4" t="inlineStr">
        <is>
          <t>Financials</t>
        </is>
      </c>
      <c r="I1111" s="4" t="inlineStr">
        <is>
          <t>Banking</t>
        </is>
      </c>
      <c r="J1111" s="4" t="inlineStr">
        <is>
          <t>Banking</t>
        </is>
      </c>
      <c r="K1111" s="4" t="n"/>
      <c r="L1111" s="3" t="n">
        <v>26.5</v>
      </c>
      <c r="M1111" s="3" t="n">
        <v>2.15</v>
      </c>
      <c r="N1111" s="3" t="n">
        <v>707.11</v>
      </c>
      <c r="O1111" s="4" t="inlineStr">
        <is>
          <t>United States</t>
        </is>
      </c>
      <c r="P1111" s="4" t="inlineStr">
        <is>
          <t>United States</t>
        </is>
      </c>
      <c r="Q1111" s="4" t="inlineStr">
        <is>
          <t>Friendly</t>
        </is>
      </c>
      <c r="R1111" s="3" t="n">
        <v>113.264</v>
      </c>
      <c r="S1111" s="3" t="n">
        <v>41.1491</v>
      </c>
      <c r="T1111" s="4" t="inlineStr">
        <is>
          <t>Company Takeover</t>
        </is>
      </c>
      <c r="U1111" s="2" t="inlineStr">
        <is>
          <t>No</t>
        </is>
      </c>
      <c r="V1111" s="2" t="inlineStr">
        <is>
          <t>No</t>
        </is>
      </c>
      <c r="W1111" s="2" t="inlineStr">
        <is>
          <t>No</t>
        </is>
      </c>
      <c r="X1111" s="2" t="inlineStr">
        <is>
          <t>No</t>
        </is>
      </c>
      <c r="Y1111" s="2" t="inlineStr">
        <is>
          <t>No</t>
        </is>
      </c>
      <c r="Z1111" s="2" t="inlineStr">
        <is>
          <t>No</t>
        </is>
      </c>
      <c r="AA1111" s="6" t="n">
        <v>2.849486979</v>
      </c>
      <c r="AB1111" s="6" t="n">
        <v>2.054091895</v>
      </c>
      <c r="AC1111" s="6" t="n">
        <v>2.849486979</v>
      </c>
      <c r="AD1111">
        <f t="array" ref="AD1111">IF(SUMPRODUCT(--($AM$2:$AM$112=TRIM(LEFT($B1111,IFERROR(FIND(" ",$B1111)-1,LEN($B1111))))))&gt;0,1,0)</f>
        <v/>
      </c>
      <c r="AE1111">
        <f t="array" ref="AE1111">IF(SUMPRODUCT(--($AO$2:$AO$145=TRIM(LEFT($B1111,IFERROR(FIND(" ",$B1111)-1,LEN($B1111))))))&gt;0,1,0)</f>
        <v/>
      </c>
      <c r="AF1111">
        <f t="array" ref="AF1111">IF(SUMPRODUCT(--($AQ$2:$AQ$71=TRIM(LEFT($B1111,IFERROR(FIND(" ",$B1111)-1,LEN($B1111))))))&gt;0,1,0)</f>
        <v/>
      </c>
    </row>
    <row r="1112" ht="75.75" customHeight="1" thickBot="1">
      <c r="A1112" s="13" t="n">
        <v>32</v>
      </c>
      <c r="B1112" s="4" t="inlineStr">
        <is>
          <t>LDR US</t>
        </is>
      </c>
      <c r="C1112" s="4" t="inlineStr">
        <is>
          <t>FTV US</t>
        </is>
      </c>
      <c r="D1112" s="7" t="n">
        <v>42984</v>
      </c>
      <c r="E1112" s="3" t="n">
        <v>727.73</v>
      </c>
      <c r="F1112" s="4" t="inlineStr">
        <is>
          <t>Cash</t>
        </is>
      </c>
      <c r="G1112" s="3" t="n">
        <v>18.22</v>
      </c>
      <c r="H1112" s="4" t="inlineStr">
        <is>
          <t>Industrials</t>
        </is>
      </c>
      <c r="I1112" s="4" t="inlineStr">
        <is>
          <t>Industrial Products</t>
        </is>
      </c>
      <c r="J1112" s="4" t="inlineStr">
        <is>
          <t>Electrical Equipment</t>
        </is>
      </c>
      <c r="K1112" s="4" t="n"/>
      <c r="L1112" s="3" t="n">
        <v>23.09</v>
      </c>
      <c r="M1112" s="3" t="n">
        <v>10.55</v>
      </c>
      <c r="N1112" s="3" t="n">
        <v>648.1900000000001</v>
      </c>
      <c r="O1112" s="4" t="inlineStr">
        <is>
          <t>United States</t>
        </is>
      </c>
      <c r="P1112" s="4" t="inlineStr">
        <is>
          <t>United States</t>
        </is>
      </c>
      <c r="Q1112" s="4" t="inlineStr">
        <is>
          <t>Friendly</t>
        </is>
      </c>
      <c r="R1112" s="3" t="n">
        <v>149.239</v>
      </c>
      <c r="S1112" s="3" t="n">
        <v>19.1014</v>
      </c>
      <c r="T1112" s="4" t="inlineStr">
        <is>
          <t>Company Takeover, Tender Offer</t>
        </is>
      </c>
      <c r="U1112" s="2" t="inlineStr">
        <is>
          <t>No</t>
        </is>
      </c>
      <c r="V1112" s="2" t="inlineStr">
        <is>
          <t>No</t>
        </is>
      </c>
      <c r="W1112" s="2" t="inlineStr">
        <is>
          <t>No</t>
        </is>
      </c>
      <c r="X1112" s="2" t="inlineStr">
        <is>
          <t>No</t>
        </is>
      </c>
      <c r="Y1112" s="2" t="inlineStr">
        <is>
          <t>No</t>
        </is>
      </c>
      <c r="Z1112" s="2" t="inlineStr">
        <is>
          <t>Yes</t>
        </is>
      </c>
      <c r="AA1112" s="6" t="n">
        <v>2.861970279</v>
      </c>
      <c r="AB1112" s="6" t="n">
        <v>2.17388233</v>
      </c>
      <c r="AC1112" s="6" t="n">
        <v>2.811702327</v>
      </c>
      <c r="AD1112">
        <f t="array" ref="AD1112">IF(SUMPRODUCT(--($AM$2:$AM$112=TRIM(LEFT($B1112,IFERROR(FIND(" ",$B1112)-1,LEN($B1112))))))&gt;0,1,0)</f>
        <v/>
      </c>
      <c r="AE1112">
        <f t="array" ref="AE1112">IF(SUMPRODUCT(--($AO$2:$AO$145=TRIM(LEFT($B1112,IFERROR(FIND(" ",$B1112)-1,LEN($B1112))))))&gt;0,1,0)</f>
        <v/>
      </c>
      <c r="AF1112">
        <f t="array" ref="AF1112">IF(SUMPRODUCT(--($AQ$2:$AQ$71=TRIM(LEFT($B1112,IFERROR(FIND(" ",$B1112)-1,LEN($B1112))))))&gt;0,1,0)</f>
        <v/>
      </c>
    </row>
    <row r="1113" ht="165.75" customHeight="1" thickBot="1">
      <c r="A1113" s="13" t="n">
        <v>160</v>
      </c>
      <c r="B1113" s="4" t="inlineStr">
        <is>
          <t>TERP US</t>
        </is>
      </c>
      <c r="C1113" s="4" t="inlineStr">
        <is>
          <t>BN CN</t>
        </is>
      </c>
      <c r="D1113" s="7" t="n">
        <v>42801</v>
      </c>
      <c r="E1113" s="3" t="n">
        <v>4724.71</v>
      </c>
      <c r="F1113" s="4" t="inlineStr">
        <is>
          <t>Cash or Stock</t>
        </is>
      </c>
      <c r="G1113" s="3" t="n">
        <v>17.98</v>
      </c>
      <c r="H1113" s="4" t="inlineStr">
        <is>
          <t>Utilities</t>
        </is>
      </c>
      <c r="I1113" s="4" t="inlineStr">
        <is>
          <t>Utilities</t>
        </is>
      </c>
      <c r="J1113" s="4" t="inlineStr">
        <is>
          <t>Electric Utilities</t>
        </is>
      </c>
      <c r="K1113" s="3" t="n">
        <v>50</v>
      </c>
      <c r="L1113" s="4" t="n"/>
      <c r="M1113" s="3" t="n">
        <v>-0.86</v>
      </c>
      <c r="N1113" s="3" t="n">
        <v>1252.59</v>
      </c>
      <c r="O1113" s="4" t="inlineStr">
        <is>
          <t>United States</t>
        </is>
      </c>
      <c r="P1113" s="4" t="inlineStr">
        <is>
          <t>Canada</t>
        </is>
      </c>
      <c r="Q1113" s="4" t="inlineStr">
        <is>
          <t>Friendly</t>
        </is>
      </c>
      <c r="R1113" s="3" t="n">
        <v>941.24</v>
      </c>
      <c r="S1113" s="3" t="n">
        <v>11.9034</v>
      </c>
      <c r="T1113" s="4" t="inlineStr">
        <is>
          <t>Cross Border, Private Equity, Majority purchase, Additional Stake Purchase</t>
        </is>
      </c>
      <c r="U1113" s="2" t="inlineStr">
        <is>
          <t>Yes</t>
        </is>
      </c>
      <c r="V1113" s="2" t="inlineStr">
        <is>
          <t>No</t>
        </is>
      </c>
      <c r="W1113" s="2" t="inlineStr">
        <is>
          <t>Yes</t>
        </is>
      </c>
      <c r="X1113" s="2" t="inlineStr">
        <is>
          <t>No</t>
        </is>
      </c>
      <c r="Y1113" s="2" t="inlineStr">
        <is>
          <t>No</t>
        </is>
      </c>
      <c r="Z1113" s="2" t="inlineStr">
        <is>
          <t>No</t>
        </is>
      </c>
      <c r="AA1113" s="6" t="n">
        <v>3.674375157</v>
      </c>
      <c r="AB1113" s="6" t="n">
        <v>2.973700375</v>
      </c>
      <c r="AC1113" s="6" t="n">
        <v>3.09780894</v>
      </c>
      <c r="AD1113">
        <f t="array" ref="AD1113">IF(SUMPRODUCT(--($AM$2:$AM$112=TRIM(LEFT($B1113,IFERROR(FIND(" ",$B1113)-1,LEN($B1113))))))&gt;0,1,0)</f>
        <v/>
      </c>
      <c r="AE1113">
        <f t="array" ref="AE1113">IF(SUMPRODUCT(--($AO$2:$AO$145=TRIM(LEFT($B1113,IFERROR(FIND(" ",$B1113)-1,LEN($B1113))))))&gt;0,1,0)</f>
        <v/>
      </c>
      <c r="AF1113">
        <f t="array" ref="AF1113">IF(SUMPRODUCT(--($AQ$2:$AQ$71=TRIM(LEFT($B1113,IFERROR(FIND(" ",$B1113)-1,LEN($B1113))))))&gt;0,1,0)</f>
        <v/>
      </c>
    </row>
    <row r="1114" ht="165.75" customHeight="1" thickBot="1">
      <c r="A1114" s="13" t="n">
        <v>75</v>
      </c>
      <c r="B1114" s="4" t="inlineStr">
        <is>
          <t>PKY US</t>
        </is>
      </c>
      <c r="C1114" s="4" t="inlineStr">
        <is>
          <t>3682Z CN</t>
        </is>
      </c>
      <c r="D1114" s="7" t="n">
        <v>42916</v>
      </c>
      <c r="E1114" s="3" t="n">
        <v>1483.1</v>
      </c>
      <c r="F1114" s="4" t="inlineStr">
        <is>
          <t>Cash</t>
        </is>
      </c>
      <c r="G1114" s="4" t="n"/>
      <c r="H1114" s="4" t="inlineStr">
        <is>
          <t>Real Estate</t>
        </is>
      </c>
      <c r="I1114" s="4" t="inlineStr">
        <is>
          <t>Real Estate</t>
        </is>
      </c>
      <c r="J1114" s="4" t="inlineStr">
        <is>
          <t>REIT</t>
        </is>
      </c>
      <c r="K1114" s="4" t="n"/>
      <c r="L1114" s="3" t="n">
        <v>26.4</v>
      </c>
      <c r="M1114" s="4" t="n"/>
      <c r="N1114" s="3" t="n">
        <v>937.17</v>
      </c>
      <c r="O1114" s="4" t="inlineStr">
        <is>
          <t>United States</t>
        </is>
      </c>
      <c r="P1114" s="4" t="inlineStr">
        <is>
          <t>Canada</t>
        </is>
      </c>
      <c r="Q1114" s="4" t="inlineStr">
        <is>
          <t>Friendly</t>
        </is>
      </c>
      <c r="R1114" s="2" t="n"/>
      <c r="S1114" s="3" t="n">
        <v>-0.781649</v>
      </c>
      <c r="T1114" s="4" t="inlineStr">
        <is>
          <t>PE Buyout, Company Takeover, Cross Border, Private Equity, Going Private</t>
        </is>
      </c>
      <c r="U1114" s="2" t="inlineStr">
        <is>
          <t>No</t>
        </is>
      </c>
      <c r="V1114" s="2" t="inlineStr">
        <is>
          <t>No</t>
        </is>
      </c>
      <c r="W1114" s="2" t="inlineStr">
        <is>
          <t>Yes</t>
        </is>
      </c>
      <c r="X1114" s="2" t="inlineStr">
        <is>
          <t>Yes</t>
        </is>
      </c>
      <c r="Y1114" s="2" t="inlineStr">
        <is>
          <t>Yes</t>
        </is>
      </c>
      <c r="Z1114" s="2" t="inlineStr">
        <is>
          <t>No</t>
        </is>
      </c>
      <c r="AA1114" s="6" t="n">
        <v>3.171170435</v>
      </c>
      <c r="AB1114" s="2" t="n"/>
      <c r="AC1114" s="6" t="n">
        <v>2.971818378</v>
      </c>
      <c r="AD1114">
        <f t="array" ref="AD1114">IF(SUMPRODUCT(--($AM$2:$AM$112=TRIM(LEFT($B1114,IFERROR(FIND(" ",$B1114)-1,LEN($B1114))))))&gt;0,1,0)</f>
        <v/>
      </c>
      <c r="AE1114">
        <f t="array" ref="AE1114">IF(SUMPRODUCT(--($AO$2:$AO$145=TRIM(LEFT($B1114,IFERROR(FIND(" ",$B1114)-1,LEN($B1114))))))&gt;0,1,0)</f>
        <v/>
      </c>
      <c r="AF1114">
        <f t="array" ref="AF1114">IF(SUMPRODUCT(--($AQ$2:$AQ$71=TRIM(LEFT($B1114,IFERROR(FIND(" ",$B1114)-1,LEN($B1114))))))&gt;0,1,0)</f>
        <v/>
      </c>
    </row>
    <row r="1115" ht="135.75" customHeight="1" thickBot="1">
      <c r="A1115" s="13" t="n">
        <v>112</v>
      </c>
      <c r="B1115" s="4" t="inlineStr">
        <is>
          <t>WSTC US</t>
        </is>
      </c>
      <c r="C1115" s="4" t="inlineStr">
        <is>
          <t>9990822D US</t>
        </is>
      </c>
      <c r="D1115" s="7" t="n">
        <v>42864</v>
      </c>
      <c r="E1115" s="3" t="n">
        <v>4974.84</v>
      </c>
      <c r="F1115" s="4" t="inlineStr">
        <is>
          <t>Cash</t>
        </is>
      </c>
      <c r="G1115" s="3" t="n">
        <v>7.82</v>
      </c>
      <c r="H1115" s="4" t="inlineStr">
        <is>
          <t>Communications</t>
        </is>
      </c>
      <c r="I1115" s="4" t="inlineStr">
        <is>
          <t>Telecommunications</t>
        </is>
      </c>
      <c r="J1115" s="4" t="inlineStr">
        <is>
          <t>Telecommunications</t>
        </is>
      </c>
      <c r="K1115" s="3" t="n">
        <v>134</v>
      </c>
      <c r="L1115" s="3" t="n">
        <v>72</v>
      </c>
      <c r="M1115" s="4" t="n"/>
      <c r="N1115" s="3" t="n">
        <v>1988.23</v>
      </c>
      <c r="O1115" s="4" t="inlineStr">
        <is>
          <t>United States</t>
        </is>
      </c>
      <c r="P1115" s="4" t="inlineStr">
        <is>
          <t>United States</t>
        </is>
      </c>
      <c r="Q1115" s="4" t="inlineStr">
        <is>
          <t>Friendly</t>
        </is>
      </c>
      <c r="R1115" s="3" t="n">
        <v>2291.96</v>
      </c>
      <c r="S1115" s="3" t="n">
        <v>18.5068</v>
      </c>
      <c r="T1115" s="4" t="inlineStr">
        <is>
          <t>PE Buyout, Company Takeover, Private Equity, Going Private</t>
        </is>
      </c>
      <c r="U1115" s="2" t="inlineStr">
        <is>
          <t>No</t>
        </is>
      </c>
      <c r="V1115" s="2" t="inlineStr">
        <is>
          <t>No</t>
        </is>
      </c>
      <c r="W1115" s="2" t="inlineStr">
        <is>
          <t>No</t>
        </is>
      </c>
      <c r="X1115" s="2" t="inlineStr">
        <is>
          <t>Yes</t>
        </is>
      </c>
      <c r="Y1115" s="2" t="inlineStr">
        <is>
          <t>Yes</t>
        </is>
      </c>
      <c r="Z1115" s="2" t="inlineStr">
        <is>
          <t>No</t>
        </is>
      </c>
      <c r="AA1115" s="6" t="n">
        <v>3.696779118</v>
      </c>
      <c r="AB1115" s="6" t="n">
        <v>3.360207034</v>
      </c>
      <c r="AC1115" s="6" t="n">
        <v>3.298466622</v>
      </c>
      <c r="AD1115">
        <f t="array" ref="AD1115">IF(SUMPRODUCT(--($AM$2:$AM$112=TRIM(LEFT($B1115,IFERROR(FIND(" ",$B1115)-1,LEN($B1115))))))&gt;0,1,0)</f>
        <v/>
      </c>
      <c r="AE1115">
        <f t="array" ref="AE1115">IF(SUMPRODUCT(--($AO$2:$AO$145=TRIM(LEFT($B1115,IFERROR(FIND(" ",$B1115)-1,LEN($B1115))))))&gt;0,1,0)</f>
        <v/>
      </c>
      <c r="AF1115">
        <f t="array" ref="AF1115">IF(SUMPRODUCT(--($AQ$2:$AQ$71=TRIM(LEFT($B1115,IFERROR(FIND(" ",$B1115)-1,LEN($B1115))))))&gt;0,1,0)</f>
        <v/>
      </c>
    </row>
    <row r="1116" ht="75.75" customHeight="1" thickBot="1">
      <c r="A1116" s="13" t="n">
        <v>94</v>
      </c>
      <c r="B1116" s="4" t="inlineStr">
        <is>
          <t>ATW US</t>
        </is>
      </c>
      <c r="C1116" s="4" t="inlineStr">
        <is>
          <t>VALPQ US</t>
        </is>
      </c>
      <c r="D1116" s="7" t="n">
        <v>42885</v>
      </c>
      <c r="E1116" s="3" t="n">
        <v>1831.56</v>
      </c>
      <c r="F1116" s="4" t="inlineStr">
        <is>
          <t>Stock</t>
        </is>
      </c>
      <c r="G1116" s="3" t="n">
        <v>6.37</v>
      </c>
      <c r="H1116" s="4" t="inlineStr">
        <is>
          <t>Energy</t>
        </is>
      </c>
      <c r="I1116" s="4" t="inlineStr">
        <is>
          <t>Oil &amp; Gas</t>
        </is>
      </c>
      <c r="J1116" s="4" t="inlineStr">
        <is>
          <t>Oil &amp; Gas Services &amp; Equip</t>
        </is>
      </c>
      <c r="K1116" s="3" t="n">
        <v>50</v>
      </c>
      <c r="L1116" s="3" t="n">
        <v>30</v>
      </c>
      <c r="M1116" s="3" t="n">
        <v>47.93</v>
      </c>
      <c r="N1116" s="3" t="n">
        <v>968.61</v>
      </c>
      <c r="O1116" s="4" t="inlineStr">
        <is>
          <t>United States</t>
        </is>
      </c>
      <c r="P1116" s="4" t="inlineStr">
        <is>
          <t>United Kingdom</t>
        </is>
      </c>
      <c r="Q1116" s="4" t="inlineStr">
        <is>
          <t>Friendly</t>
        </is>
      </c>
      <c r="R1116" s="3" t="n">
        <v>1020.64</v>
      </c>
      <c r="S1116" s="3" t="n">
        <v>6.21684</v>
      </c>
      <c r="T1116" s="4" t="inlineStr">
        <is>
          <t>Company Takeover, Cross Border</t>
        </is>
      </c>
      <c r="U1116" s="2" t="inlineStr">
        <is>
          <t>No</t>
        </is>
      </c>
      <c r="V1116" s="2" t="inlineStr">
        <is>
          <t>No</t>
        </is>
      </c>
      <c r="W1116" s="2" t="inlineStr">
        <is>
          <t>Yes</t>
        </is>
      </c>
      <c r="X1116" s="2" t="inlineStr">
        <is>
          <t>No</t>
        </is>
      </c>
      <c r="Y1116" s="2" t="inlineStr">
        <is>
          <t>No</t>
        </is>
      </c>
      <c r="Z1116" s="2" t="inlineStr">
        <is>
          <t>No</t>
        </is>
      </c>
      <c r="AA1116" s="6" t="n">
        <v>3.26282115</v>
      </c>
      <c r="AB1116" s="6" t="n">
        <v>3.008872585</v>
      </c>
      <c r="AC1116" s="6" t="n">
        <v>2.986148948</v>
      </c>
      <c r="AD1116">
        <f t="array" ref="AD1116">IF(SUMPRODUCT(--($AM$2:$AM$112=TRIM(LEFT($B1116,IFERROR(FIND(" ",$B1116)-1,LEN($B1116))))))&gt;0,1,0)</f>
        <v/>
      </c>
      <c r="AE1116">
        <f t="array" ref="AE1116">IF(SUMPRODUCT(--($AO$2:$AO$145=TRIM(LEFT($B1116,IFERROR(FIND(" ",$B1116)-1,LEN($B1116))))))&gt;0,1,0)</f>
        <v/>
      </c>
      <c r="AF1116">
        <f t="array" ref="AF1116">IF(SUMPRODUCT(--($AQ$2:$AQ$71=TRIM(LEFT($B1116,IFERROR(FIND(" ",$B1116)-1,LEN($B1116))))))&gt;0,1,0)</f>
        <v/>
      </c>
    </row>
    <row r="1117" ht="75.75" customHeight="1" thickBot="1">
      <c r="A1117" s="13" t="n">
        <v>104</v>
      </c>
      <c r="B1117" s="4" t="inlineStr">
        <is>
          <t>PTHN US</t>
        </is>
      </c>
      <c r="C1117" s="4" t="inlineStr">
        <is>
          <t>TMO US</t>
        </is>
      </c>
      <c r="D1117" s="7" t="n">
        <v>42870</v>
      </c>
      <c r="E1117" s="3" t="n">
        <v>7096.97</v>
      </c>
      <c r="F1117" s="4" t="inlineStr">
        <is>
          <t>Cash</t>
        </is>
      </c>
      <c r="G1117" s="3" t="n">
        <v>22.27</v>
      </c>
      <c r="H1117" s="4" t="inlineStr">
        <is>
          <t>Health Care</t>
        </is>
      </c>
      <c r="I1117" s="4" t="inlineStr">
        <is>
          <t>Health Care</t>
        </is>
      </c>
      <c r="J1117" s="4" t="inlineStr">
        <is>
          <t>Biotech &amp; Pharma</t>
        </is>
      </c>
      <c r="K1117" s="4" t="n"/>
      <c r="L1117" s="3" t="n">
        <v>203</v>
      </c>
      <c r="M1117" s="3" t="n">
        <v>33.66</v>
      </c>
      <c r="N1117" s="3" t="n">
        <v>5079.77</v>
      </c>
      <c r="O1117" s="4" t="inlineStr">
        <is>
          <t>United States</t>
        </is>
      </c>
      <c r="P1117" s="4" t="inlineStr">
        <is>
          <t>United States</t>
        </is>
      </c>
      <c r="Q1117" s="4" t="inlineStr">
        <is>
          <t>Friendly</t>
        </is>
      </c>
      <c r="R1117" s="3" t="n">
        <v>1866.7</v>
      </c>
      <c r="S1117" s="3" t="n">
        <v>10.2069</v>
      </c>
      <c r="T1117" s="4" t="inlineStr">
        <is>
          <t>Company Takeover, Tender Offer</t>
        </is>
      </c>
      <c r="U1117" s="2" t="inlineStr">
        <is>
          <t>No</t>
        </is>
      </c>
      <c r="V1117" s="2" t="inlineStr">
        <is>
          <t>No</t>
        </is>
      </c>
      <c r="W1117" s="2" t="inlineStr">
        <is>
          <t>No</t>
        </is>
      </c>
      <c r="X1117" s="2" t="inlineStr">
        <is>
          <t>No</t>
        </is>
      </c>
      <c r="Y1117" s="2" t="inlineStr">
        <is>
          <t>No</t>
        </is>
      </c>
      <c r="Z1117" s="2" t="inlineStr">
        <is>
          <t>Yes</t>
        </is>
      </c>
      <c r="AA1117" s="6" t="n">
        <v>3.851072969</v>
      </c>
      <c r="AB1117" s="6" t="n">
        <v>3.271074527</v>
      </c>
      <c r="AC1117" s="6" t="n">
        <v>3.705844049</v>
      </c>
      <c r="AD1117">
        <f t="array" ref="AD1117">IF(SUMPRODUCT(--($AM$2:$AM$112=TRIM(LEFT($B1117,IFERROR(FIND(" ",$B1117)-1,LEN($B1117))))))&gt;0,1,0)</f>
        <v/>
      </c>
      <c r="AE1117">
        <f t="array" ref="AE1117">IF(SUMPRODUCT(--($AO$2:$AO$145=TRIM(LEFT($B1117,IFERROR(FIND(" ",$B1117)-1,LEN($B1117))))))&gt;0,1,0)</f>
        <v/>
      </c>
      <c r="AF1117">
        <f t="array" ref="AF1117">IF(SUMPRODUCT(--($AQ$2:$AQ$71=TRIM(LEFT($B1117,IFERROR(FIND(" ",$B1117)-1,LEN($B1117))))))&gt;0,1,0)</f>
        <v/>
      </c>
    </row>
    <row r="1118" ht="45.75" customHeight="1" thickBot="1">
      <c r="A1118" s="13" t="n">
        <v>114</v>
      </c>
      <c r="B1118" s="4" t="inlineStr">
        <is>
          <t>VSN CN</t>
        </is>
      </c>
      <c r="C1118" s="4" t="inlineStr">
        <is>
          <t>PPL CN</t>
        </is>
      </c>
      <c r="D1118" s="7" t="n">
        <v>42856</v>
      </c>
      <c r="E1118" s="3" t="n">
        <v>5085.7</v>
      </c>
      <c r="F1118" s="4" t="inlineStr">
        <is>
          <t>Cash or Stock</t>
        </is>
      </c>
      <c r="G1118" s="4" t="n"/>
      <c r="H1118" s="4" t="inlineStr">
        <is>
          <t>Energy</t>
        </is>
      </c>
      <c r="I1118" s="4" t="inlineStr">
        <is>
          <t>Oil &amp; Gas</t>
        </is>
      </c>
      <c r="J1118" s="4" t="inlineStr">
        <is>
          <t>Oil &amp; Gas Supply Chain</t>
        </is>
      </c>
      <c r="K1118" s="4" t="n"/>
      <c r="L1118" s="4" t="n"/>
      <c r="M1118" s="3" t="n">
        <v>25.05</v>
      </c>
      <c r="N1118" s="3" t="n">
        <v>4281.34</v>
      </c>
      <c r="O1118" s="4" t="inlineStr">
        <is>
          <t>Canada</t>
        </is>
      </c>
      <c r="P1118" s="4" t="inlineStr">
        <is>
          <t>Canada</t>
        </is>
      </c>
      <c r="Q1118" s="4" t="inlineStr">
        <is>
          <t>Friendly</t>
        </is>
      </c>
      <c r="R1118" s="3" t="n">
        <v>40.0334</v>
      </c>
      <c r="S1118" s="3" t="n">
        <v>-121.687</v>
      </c>
      <c r="T1118" s="4" t="inlineStr">
        <is>
          <t>Company Takeover</t>
        </is>
      </c>
      <c r="U1118" s="2" t="inlineStr">
        <is>
          <t>No</t>
        </is>
      </c>
      <c r="V1118" s="2" t="inlineStr">
        <is>
          <t>No</t>
        </is>
      </c>
      <c r="W1118" s="2" t="inlineStr">
        <is>
          <t>No</t>
        </is>
      </c>
      <c r="X1118" s="2" t="inlineStr">
        <is>
          <t>No</t>
        </is>
      </c>
      <c r="Y1118" s="2" t="inlineStr">
        <is>
          <t>No</t>
        </is>
      </c>
      <c r="Z1118" s="2" t="inlineStr">
        <is>
          <t>No</t>
        </is>
      </c>
      <c r="AA1118" s="6" t="n">
        <v>3.706350738</v>
      </c>
      <c r="AB1118" s="6" t="n">
        <v>1.602422476</v>
      </c>
      <c r="AC1118" s="6" t="n">
        <v>3.631579718</v>
      </c>
      <c r="AD1118">
        <f t="array" ref="AD1118">IF(SUMPRODUCT(--($AM$2:$AM$112=TRIM(LEFT($B1118,IFERROR(FIND(" ",$B1118)-1,LEN($B1118))))))&gt;0,1,0)</f>
        <v/>
      </c>
      <c r="AE1118">
        <f t="array" ref="AE1118">IF(SUMPRODUCT(--($AO$2:$AO$145=TRIM(LEFT($B1118,IFERROR(FIND(" ",$B1118)-1,LEN($B1118))))))&gt;0,1,0)</f>
        <v/>
      </c>
      <c r="AF1118">
        <f t="array" ref="AF1118">IF(SUMPRODUCT(--($AQ$2:$AQ$71=TRIM(LEFT($B1118,IFERROR(FIND(" ",$B1118)-1,LEN($B1118))))))&gt;0,1,0)</f>
        <v/>
      </c>
    </row>
    <row r="1119" ht="75.75" customHeight="1" thickBot="1">
      <c r="A1119" s="13" t="n">
        <v>160</v>
      </c>
      <c r="B1119" s="4" t="inlineStr">
        <is>
          <t>DGI US</t>
        </is>
      </c>
      <c r="C1119" s="4" t="inlineStr">
        <is>
          <t>MAXR US</t>
        </is>
      </c>
      <c r="D1119" s="7" t="n">
        <v>42790</v>
      </c>
      <c r="E1119" s="3" t="n">
        <v>3142.94</v>
      </c>
      <c r="F1119" s="4" t="inlineStr">
        <is>
          <t>Cash and Stock</t>
        </is>
      </c>
      <c r="G1119" s="3" t="n">
        <v>8.1</v>
      </c>
      <c r="H1119" s="4" t="inlineStr">
        <is>
          <t>Communications</t>
        </is>
      </c>
      <c r="I1119" s="4" t="inlineStr">
        <is>
          <t>Telecommunications</t>
        </is>
      </c>
      <c r="J1119" s="4" t="inlineStr">
        <is>
          <t>Telecommunications</t>
        </is>
      </c>
      <c r="K1119" s="3" t="n">
        <v>85</v>
      </c>
      <c r="L1119" s="3" t="n">
        <v>85</v>
      </c>
      <c r="M1119" s="3" t="n">
        <v>12.72</v>
      </c>
      <c r="N1119" s="3" t="n">
        <v>2120.94</v>
      </c>
      <c r="O1119" s="4" t="inlineStr">
        <is>
          <t>United States</t>
        </is>
      </c>
      <c r="P1119" s="4" t="inlineStr">
        <is>
          <t>United States</t>
        </is>
      </c>
      <c r="Q1119" s="4" t="inlineStr">
        <is>
          <t>Friendly</t>
        </is>
      </c>
      <c r="R1119" s="3" t="n">
        <v>725.4</v>
      </c>
      <c r="S1119" s="3" t="n">
        <v>9.420920000000001</v>
      </c>
      <c r="T1119" s="4" t="inlineStr">
        <is>
          <t>Company Takeover, Cross Border</t>
        </is>
      </c>
      <c r="U1119" s="2" t="inlineStr">
        <is>
          <t>No</t>
        </is>
      </c>
      <c r="V1119" s="2" t="inlineStr">
        <is>
          <t>No</t>
        </is>
      </c>
      <c r="W1119" s="2" t="inlineStr">
        <is>
          <t>Yes</t>
        </is>
      </c>
      <c r="X1119" s="2" t="inlineStr">
        <is>
          <t>No</t>
        </is>
      </c>
      <c r="Y1119" s="2" t="inlineStr">
        <is>
          <t>No</t>
        </is>
      </c>
      <c r="Z1119" s="2" t="inlineStr">
        <is>
          <t>No</t>
        </is>
      </c>
      <c r="AA1119" s="6" t="n">
        <v>3.49733609</v>
      </c>
      <c r="AB1119" s="6" t="n">
        <v>2.860577551</v>
      </c>
      <c r="AC1119" s="6" t="n">
        <v>3.326528383</v>
      </c>
      <c r="AD1119">
        <f t="array" ref="AD1119">IF(SUMPRODUCT(--($AM$2:$AM$112=TRIM(LEFT($B1119,IFERROR(FIND(" ",$B1119)-1,LEN($B1119))))))&gt;0,1,0)</f>
        <v/>
      </c>
      <c r="AE1119">
        <f t="array" ref="AE1119">IF(SUMPRODUCT(--($AO$2:$AO$145=TRIM(LEFT($B1119,IFERROR(FIND(" ",$B1119)-1,LEN($B1119))))))&gt;0,1,0)</f>
        <v/>
      </c>
      <c r="AF1119">
        <f t="array" ref="AF1119">IF(SUMPRODUCT(--($AQ$2:$AQ$71=TRIM(LEFT($B1119,IFERROR(FIND(" ",$B1119)-1,LEN($B1119))))))&gt;0,1,0)</f>
        <v/>
      </c>
    </row>
    <row r="1120" ht="75.75" customHeight="1" thickBot="1">
      <c r="A1120" s="13" t="n">
        <v>28</v>
      </c>
      <c r="B1120" s="4" t="inlineStr">
        <is>
          <t>KITE US</t>
        </is>
      </c>
      <c r="C1120" s="4" t="inlineStr">
        <is>
          <t>GILD US</t>
        </is>
      </c>
      <c r="D1120" s="7" t="n">
        <v>42975</v>
      </c>
      <c r="E1120" s="3" t="n">
        <v>10104.62</v>
      </c>
      <c r="F1120" s="4" t="inlineStr">
        <is>
          <t>Cash</t>
        </is>
      </c>
      <c r="G1120" s="4" t="n"/>
      <c r="H1120" s="4" t="inlineStr">
        <is>
          <t>Health Care</t>
        </is>
      </c>
      <c r="I1120" s="4" t="inlineStr">
        <is>
          <t>Health Care</t>
        </is>
      </c>
      <c r="J1120" s="4" t="inlineStr">
        <is>
          <t>Biotech &amp; Pharma</t>
        </is>
      </c>
      <c r="K1120" s="4" t="n"/>
      <c r="L1120" s="3" t="n">
        <v>356</v>
      </c>
      <c r="M1120" s="3" t="n">
        <v>46.02</v>
      </c>
      <c r="N1120" s="3" t="n">
        <v>10885.73</v>
      </c>
      <c r="O1120" s="4" t="inlineStr">
        <is>
          <t>United States</t>
        </is>
      </c>
      <c r="P1120" s="4" t="inlineStr">
        <is>
          <t>United States</t>
        </is>
      </c>
      <c r="Q1120" s="4" t="inlineStr">
        <is>
          <t>Friendly</t>
        </is>
      </c>
      <c r="R1120" s="3" t="n">
        <v>27281</v>
      </c>
      <c r="S1120" s="3" t="n">
        <v>-1103.38</v>
      </c>
      <c r="T1120" s="4" t="inlineStr">
        <is>
          <t>Company Takeover, Tender Offer</t>
        </is>
      </c>
      <c r="U1120" s="2" t="inlineStr">
        <is>
          <t>No</t>
        </is>
      </c>
      <c r="V1120" s="2" t="inlineStr">
        <is>
          <t>No</t>
        </is>
      </c>
      <c r="W1120" s="2" t="inlineStr">
        <is>
          <t>No</t>
        </is>
      </c>
      <c r="X1120" s="2" t="inlineStr">
        <is>
          <t>No</t>
        </is>
      </c>
      <c r="Y1120" s="2" t="inlineStr">
        <is>
          <t>No</t>
        </is>
      </c>
      <c r="Z1120" s="2" t="inlineStr">
        <is>
          <t>Yes</t>
        </is>
      </c>
      <c r="AA1120" s="6" t="n">
        <v>4.004519986</v>
      </c>
      <c r="AB1120" s="6" t="n">
        <v>4.435860286</v>
      </c>
      <c r="AC1120" s="6" t="n">
        <v>4.036857558</v>
      </c>
      <c r="AD1120">
        <f t="array" ref="AD1120">IF(SUMPRODUCT(--($AM$2:$AM$112=TRIM(LEFT($B1120,IFERROR(FIND(" ",$B1120)-1,LEN($B1120))))))&gt;0,1,0)</f>
        <v/>
      </c>
      <c r="AE1120">
        <f t="array" ref="AE1120">IF(SUMPRODUCT(--($AO$2:$AO$145=TRIM(LEFT($B1120,IFERROR(FIND(" ",$B1120)-1,LEN($B1120))))))&gt;0,1,0)</f>
        <v/>
      </c>
      <c r="AF1120">
        <f t="array" ref="AF1120">IF(SUMPRODUCT(--($AQ$2:$AQ$71=TRIM(LEFT($B1120,IFERROR(FIND(" ",$B1120)-1,LEN($B1120))))))&gt;0,1,0)</f>
        <v/>
      </c>
    </row>
    <row r="1121" ht="45.75" customHeight="1" thickBot="1">
      <c r="A1121" s="13" t="n">
        <v>150</v>
      </c>
      <c r="B1121" s="4" t="inlineStr">
        <is>
          <t>AF US</t>
        </is>
      </c>
      <c r="C1121" s="4" t="inlineStr">
        <is>
          <t>STL US</t>
        </is>
      </c>
      <c r="D1121" s="7" t="n">
        <v>42801</v>
      </c>
      <c r="E1121" s="3" t="n">
        <v>2164.59</v>
      </c>
      <c r="F1121" s="4" t="inlineStr">
        <is>
          <t>Stock</t>
        </is>
      </c>
      <c r="G1121" s="4" t="n"/>
      <c r="H1121" s="4" t="inlineStr">
        <is>
          <t>Financials</t>
        </is>
      </c>
      <c r="I1121" s="4" t="inlineStr">
        <is>
          <t>Banking</t>
        </is>
      </c>
      <c r="J1121" s="4" t="inlineStr">
        <is>
          <t>Banking</t>
        </is>
      </c>
      <c r="K1121" s="3" t="n">
        <v>75.7</v>
      </c>
      <c r="L1121" s="3" t="n">
        <v>75.7</v>
      </c>
      <c r="M1121" s="3" t="n">
        <v>14.93</v>
      </c>
      <c r="N1121" s="3" t="n">
        <v>2164.59</v>
      </c>
      <c r="O1121" s="4" t="inlineStr">
        <is>
          <t>United States</t>
        </is>
      </c>
      <c r="P1121" s="4" t="inlineStr">
        <is>
          <t>United States</t>
        </is>
      </c>
      <c r="Q1121" s="4" t="inlineStr">
        <is>
          <t>Friendly</t>
        </is>
      </c>
      <c r="R1121" s="3" t="n">
        <v>505.835</v>
      </c>
      <c r="S1121" s="3" t="n">
        <v>28.4181</v>
      </c>
      <c r="T1121" s="4" t="inlineStr">
        <is>
          <t>Company Takeover</t>
        </is>
      </c>
      <c r="U1121" s="2" t="inlineStr">
        <is>
          <t>No</t>
        </is>
      </c>
      <c r="V1121" s="2" t="inlineStr">
        <is>
          <t>No</t>
        </is>
      </c>
      <c r="W1121" s="2" t="inlineStr">
        <is>
          <t>No</t>
        </is>
      </c>
      <c r="X1121" s="2" t="inlineStr">
        <is>
          <t>No</t>
        </is>
      </c>
      <c r="Y1121" s="2" t="inlineStr">
        <is>
          <t>No</t>
        </is>
      </c>
      <c r="Z1121" s="2" t="inlineStr">
        <is>
          <t>No</t>
        </is>
      </c>
      <c r="AA1121" s="6" t="n">
        <v>3.335375648</v>
      </c>
      <c r="AB1121" s="6" t="n">
        <v>2.704008876</v>
      </c>
      <c r="AC1121" s="6" t="n">
        <v>3.335375648</v>
      </c>
      <c r="AD1121">
        <f t="array" ref="AD1121">IF(SUMPRODUCT(--($AM$2:$AM$112=TRIM(LEFT($B1121,IFERROR(FIND(" ",$B1121)-1,LEN($B1121))))))&gt;0,1,0)</f>
        <v/>
      </c>
      <c r="AE1121">
        <f t="array" ref="AE1121">IF(SUMPRODUCT(--($AO$2:$AO$145=TRIM(LEFT($B1121,IFERROR(FIND(" ",$B1121)-1,LEN($B1121))))))&gt;0,1,0)</f>
        <v/>
      </c>
      <c r="AF1121">
        <f t="array" ref="AF1121">IF(SUMPRODUCT(--($AQ$2:$AQ$71=TRIM(LEFT($B1121,IFERROR(FIND(" ",$B1121)-1,LEN($B1121))))))&gt;0,1,0)</f>
        <v/>
      </c>
    </row>
    <row r="1122" ht="45.75" customHeight="1" thickBot="1">
      <c r="A1122" s="13" t="n">
        <v>69</v>
      </c>
      <c r="B1122" s="4" t="inlineStr">
        <is>
          <t>FPO US</t>
        </is>
      </c>
      <c r="C1122" s="4" t="inlineStr">
        <is>
          <t>OPITQ US</t>
        </is>
      </c>
      <c r="D1122" s="7" t="n">
        <v>42914</v>
      </c>
      <c r="E1122" s="3" t="n">
        <v>1285.13</v>
      </c>
      <c r="F1122" s="4" t="inlineStr">
        <is>
          <t>Cash</t>
        </is>
      </c>
      <c r="G1122" s="3" t="n">
        <v>15.95</v>
      </c>
      <c r="H1122" s="4" t="inlineStr">
        <is>
          <t>Real Estate</t>
        </is>
      </c>
      <c r="I1122" s="4" t="inlineStr">
        <is>
          <t>Real Estate</t>
        </is>
      </c>
      <c r="J1122" s="4" t="inlineStr">
        <is>
          <t>REIT</t>
        </is>
      </c>
      <c r="K1122" s="4" t="n"/>
      <c r="L1122" s="3" t="n">
        <v>25</v>
      </c>
      <c r="M1122" s="3" t="n">
        <v>0.43</v>
      </c>
      <c r="N1122" s="3" t="n">
        <v>654.6900000000001</v>
      </c>
      <c r="O1122" s="4" t="inlineStr">
        <is>
          <t>United States</t>
        </is>
      </c>
      <c r="P1122" s="4" t="inlineStr">
        <is>
          <t>United States</t>
        </is>
      </c>
      <c r="Q1122" s="4" t="inlineStr">
        <is>
          <t>Friendly</t>
        </is>
      </c>
      <c r="R1122" s="3" t="n">
        <v>160.334</v>
      </c>
      <c r="S1122" s="3" t="n">
        <v>12.3737</v>
      </c>
      <c r="T1122" s="4" t="inlineStr">
        <is>
          <t>Company Takeover</t>
        </is>
      </c>
      <c r="U1122" s="2" t="inlineStr">
        <is>
          <t>No</t>
        </is>
      </c>
      <c r="V1122" s="2" t="inlineStr">
        <is>
          <t>No</t>
        </is>
      </c>
      <c r="W1122" s="2" t="inlineStr">
        <is>
          <t>No</t>
        </is>
      </c>
      <c r="X1122" s="2" t="inlineStr">
        <is>
          <t>No</t>
        </is>
      </c>
      <c r="Y1122" s="2" t="inlineStr">
        <is>
          <t>No</t>
        </is>
      </c>
      <c r="Z1122" s="2" t="inlineStr">
        <is>
          <t>No</t>
        </is>
      </c>
      <c r="AA1122" s="6" t="n">
        <v>3.108947062</v>
      </c>
      <c r="AB1122" s="6" t="n">
        <v>2.205025627</v>
      </c>
      <c r="AC1122" s="6" t="n">
        <v>2.816035707</v>
      </c>
      <c r="AD1122">
        <f t="array" ref="AD1122">IF(SUMPRODUCT(--($AM$2:$AM$112=TRIM(LEFT($B1122,IFERROR(FIND(" ",$B1122)-1,LEN($B1122))))))&gt;0,1,0)</f>
        <v/>
      </c>
      <c r="AE1122">
        <f t="array" ref="AE1122">IF(SUMPRODUCT(--($AO$2:$AO$145=TRIM(LEFT($B1122,IFERROR(FIND(" ",$B1122)-1,LEN($B1122))))))&gt;0,1,0)</f>
        <v/>
      </c>
      <c r="AF1122">
        <f t="array" ref="AF1122">IF(SUMPRODUCT(--($AQ$2:$AQ$71=TRIM(LEFT($B1122,IFERROR(FIND(" ",$B1122)-1,LEN($B1122))))))&gt;0,1,0)</f>
        <v/>
      </c>
    </row>
    <row r="1123" ht="90.75" customHeight="1" thickBot="1">
      <c r="A1123" s="13" t="n">
        <v>34</v>
      </c>
      <c r="B1123" s="4" t="inlineStr">
        <is>
          <t>NEFF US</t>
        </is>
      </c>
      <c r="C1123" s="4" t="inlineStr">
        <is>
          <t>URI US</t>
        </is>
      </c>
      <c r="D1123" s="7" t="n">
        <v>42963</v>
      </c>
      <c r="E1123" s="3" t="n">
        <v>1275.61</v>
      </c>
      <c r="F1123" s="4" t="inlineStr">
        <is>
          <t>Cash</t>
        </is>
      </c>
      <c r="G1123" s="3" t="n">
        <v>6.59</v>
      </c>
      <c r="H1123" s="4" t="inlineStr">
        <is>
          <t>Industrials</t>
        </is>
      </c>
      <c r="I1123" s="4" t="inlineStr">
        <is>
          <t>Industrial Services</t>
        </is>
      </c>
      <c r="J1123" s="4" t="inlineStr">
        <is>
          <t>Industrial Support Services</t>
        </is>
      </c>
      <c r="K1123" s="3" t="n">
        <v>13.165</v>
      </c>
      <c r="L1123" s="3" t="n">
        <v>21.96</v>
      </c>
      <c r="M1123" s="4" t="n"/>
      <c r="N1123" s="3" t="n">
        <v>596.11</v>
      </c>
      <c r="O1123" s="4" t="inlineStr">
        <is>
          <t>United States</t>
        </is>
      </c>
      <c r="P1123" s="4" t="inlineStr">
        <is>
          <t>United States</t>
        </is>
      </c>
      <c r="Q1123" s="4" t="inlineStr">
        <is>
          <t>Friendly</t>
        </is>
      </c>
      <c r="R1123" s="3" t="n">
        <v>396.984</v>
      </c>
      <c r="S1123" s="3" t="n">
        <v>23.5425</v>
      </c>
      <c r="T1123" s="4" t="inlineStr">
        <is>
          <t>Company Takeover, Competing Bid</t>
        </is>
      </c>
      <c r="U1123" s="2" t="inlineStr">
        <is>
          <t>No</t>
        </is>
      </c>
      <c r="V1123" s="2" t="inlineStr">
        <is>
          <t>Yes</t>
        </is>
      </c>
      <c r="W1123" s="2" t="inlineStr">
        <is>
          <t>No</t>
        </is>
      </c>
      <c r="X1123" s="2" t="inlineStr">
        <is>
          <t>No</t>
        </is>
      </c>
      <c r="Y1123" s="2" t="inlineStr">
        <is>
          <t>No</t>
        </is>
      </c>
      <c r="Z1123" s="2" t="inlineStr">
        <is>
          <t>No</t>
        </is>
      </c>
      <c r="AA1123" s="6" t="n">
        <v>3.105717915</v>
      </c>
      <c r="AB1123" s="6" t="n">
        <v>2.598773003</v>
      </c>
      <c r="AC1123" s="6" t="n">
        <v>2.775326407</v>
      </c>
      <c r="AD1123">
        <f t="array" ref="AD1123">IF(SUMPRODUCT(--($AM$2:$AM$112=TRIM(LEFT($B1123,IFERROR(FIND(" ",$B1123)-1,LEN($B1123))))))&gt;0,1,0)</f>
        <v/>
      </c>
      <c r="AE1123">
        <f t="array" ref="AE1123">IF(SUMPRODUCT(--($AO$2:$AO$145=TRIM(LEFT($B1123,IFERROR(FIND(" ",$B1123)-1,LEN($B1123))))))&gt;0,1,0)</f>
        <v/>
      </c>
      <c r="AF1123">
        <f t="array" ref="AF1123">IF(SUMPRODUCT(--($AQ$2:$AQ$71=TRIM(LEFT($B1123,IFERROR(FIND(" ",$B1123)-1,LEN($B1123))))))&gt;0,1,0)</f>
        <v/>
      </c>
    </row>
    <row r="1124" ht="45.75" customHeight="1" thickBot="1">
      <c r="A1124" s="13" t="n">
        <v>111</v>
      </c>
      <c r="B1124" s="4" t="inlineStr">
        <is>
          <t>9895420D US</t>
        </is>
      </c>
      <c r="C1124" s="4" t="inlineStr">
        <is>
          <t>MTCH US</t>
        </is>
      </c>
      <c r="D1124" s="7" t="n">
        <v>42856</v>
      </c>
      <c r="E1124" s="3" t="n">
        <v>513.8099999999999</v>
      </c>
      <c r="F1124" s="4" t="inlineStr">
        <is>
          <t>Cash or Stock</t>
        </is>
      </c>
      <c r="G1124" s="3" t="n">
        <v>25.84</v>
      </c>
      <c r="H1124" s="4" t="inlineStr">
        <is>
          <t>Communications</t>
        </is>
      </c>
      <c r="I1124" s="4" t="inlineStr">
        <is>
          <t>Media</t>
        </is>
      </c>
      <c r="J1124" s="4" t="inlineStr">
        <is>
          <t>Internet Media &amp; Services</t>
        </is>
      </c>
      <c r="K1124" s="4" t="n"/>
      <c r="L1124" s="3" t="n">
        <v>20</v>
      </c>
      <c r="M1124" s="3" t="n">
        <v>46.86</v>
      </c>
      <c r="N1124" s="3" t="n">
        <v>495.11</v>
      </c>
      <c r="O1124" s="4" t="inlineStr">
        <is>
          <t>United States</t>
        </is>
      </c>
      <c r="P1124" s="4" t="inlineStr">
        <is>
          <t>United States</t>
        </is>
      </c>
      <c r="Q1124" s="4" t="inlineStr">
        <is>
          <t>Friendly</t>
        </is>
      </c>
      <c r="R1124" s="3" t="n">
        <v>323.329</v>
      </c>
      <c r="S1124" s="3" t="n">
        <v>-2.70828</v>
      </c>
      <c r="T1124" s="4" t="inlineStr">
        <is>
          <t>Company Takeover</t>
        </is>
      </c>
      <c r="U1124" s="2" t="inlineStr">
        <is>
          <t>No</t>
        </is>
      </c>
      <c r="V1124" s="2" t="inlineStr">
        <is>
          <t>No</t>
        </is>
      </c>
      <c r="W1124" s="2" t="inlineStr">
        <is>
          <t>No</t>
        </is>
      </c>
      <c r="X1124" s="2" t="inlineStr">
        <is>
          <t>No</t>
        </is>
      </c>
      <c r="Y1124" s="2" t="inlineStr">
        <is>
          <t>No</t>
        </is>
      </c>
      <c r="Z1124" s="2" t="inlineStr">
        <is>
          <t>No</t>
        </is>
      </c>
      <c r="AA1124" s="6" t="n">
        <v>2.710802552</v>
      </c>
      <c r="AB1124" s="6" t="n">
        <v>2.509644659</v>
      </c>
      <c r="AC1124" s="6" t="n">
        <v>2.694701698</v>
      </c>
      <c r="AD1124">
        <f t="array" ref="AD1124">IF(SUMPRODUCT(--($AM$2:$AM$112=TRIM(LEFT($B1124,IFERROR(FIND(" ",$B1124)-1,LEN($B1124))))))&gt;0,1,0)</f>
        <v/>
      </c>
      <c r="AE1124">
        <f t="array" ref="AE1124">IF(SUMPRODUCT(--($AO$2:$AO$145=TRIM(LEFT($B1124,IFERROR(FIND(" ",$B1124)-1,LEN($B1124))))))&gt;0,1,0)</f>
        <v/>
      </c>
      <c r="AF1124">
        <f t="array" ref="AF1124">IF(SUMPRODUCT(--($AQ$2:$AQ$71=TRIM(LEFT($B1124,IFERROR(FIND(" ",$B1124)-1,LEN($B1124))))))&gt;0,1,0)</f>
        <v/>
      </c>
    </row>
    <row r="1125" ht="165.75" customHeight="1" thickBot="1">
      <c r="A1125" s="13" t="n">
        <v>74</v>
      </c>
      <c r="B1125" s="4" t="inlineStr">
        <is>
          <t>PRXL US</t>
        </is>
      </c>
      <c r="C1125" s="4" t="inlineStr">
        <is>
          <t>2166332Z LN</t>
        </is>
      </c>
      <c r="D1125" s="7" t="n">
        <v>42906</v>
      </c>
      <c r="E1125" s="3" t="n">
        <v>4887.76</v>
      </c>
      <c r="F1125" s="4" t="inlineStr">
        <is>
          <t>Cash</t>
        </is>
      </c>
      <c r="G1125" s="3" t="n">
        <v>15.84</v>
      </c>
      <c r="H1125" s="4" t="inlineStr">
        <is>
          <t>Health Care</t>
        </is>
      </c>
      <c r="I1125" s="4" t="inlineStr">
        <is>
          <t>Health Care</t>
        </is>
      </c>
      <c r="J1125" s="4" t="inlineStr">
        <is>
          <t>Health Care Facilities &amp; Svcs</t>
        </is>
      </c>
      <c r="K1125" s="3" t="n">
        <v>276</v>
      </c>
      <c r="L1125" s="3" t="n">
        <v>138</v>
      </c>
      <c r="M1125" s="4" t="n"/>
      <c r="N1125" s="3" t="n">
        <v>4472.16</v>
      </c>
      <c r="O1125" s="4" t="inlineStr">
        <is>
          <t>United States</t>
        </is>
      </c>
      <c r="P1125" s="4" t="inlineStr">
        <is>
          <t>United Kingdom</t>
        </is>
      </c>
      <c r="Q1125" s="4" t="inlineStr">
        <is>
          <t>Friendly</t>
        </is>
      </c>
      <c r="R1125" s="3" t="n">
        <v>2441.5</v>
      </c>
      <c r="S1125" s="3" t="n">
        <v>7.83125</v>
      </c>
      <c r="T1125" s="4" t="inlineStr">
        <is>
          <t>PE Buyout, Company Takeover, Cross Border, Private Equity, Going Private</t>
        </is>
      </c>
      <c r="U1125" s="2" t="inlineStr">
        <is>
          <t>No</t>
        </is>
      </c>
      <c r="V1125" s="2" t="inlineStr">
        <is>
          <t>No</t>
        </is>
      </c>
      <c r="W1125" s="2" t="inlineStr">
        <is>
          <t>Yes</t>
        </is>
      </c>
      <c r="X1125" s="2" t="inlineStr">
        <is>
          <t>Yes</t>
        </is>
      </c>
      <c r="Y1125" s="2" t="inlineStr">
        <is>
          <t>Yes</t>
        </is>
      </c>
      <c r="Z1125" s="2" t="inlineStr">
        <is>
          <t>No</t>
        </is>
      </c>
      <c r="AA1125" s="6" t="n">
        <v>3.689109873</v>
      </c>
      <c r="AB1125" s="6" t="n">
        <v>3.387656729</v>
      </c>
      <c r="AC1125" s="6" t="n">
        <v>3.650517333</v>
      </c>
      <c r="AD1125">
        <f t="array" ref="AD1125">IF(SUMPRODUCT(--($AM$2:$AM$112=TRIM(LEFT($B1125,IFERROR(FIND(" ",$B1125)-1,LEN($B1125))))))&gt;0,1,0)</f>
        <v/>
      </c>
      <c r="AE1125">
        <f t="array" ref="AE1125">IF(SUMPRODUCT(--($AO$2:$AO$145=TRIM(LEFT($B1125,IFERROR(FIND(" ",$B1125)-1,LEN($B1125))))))&gt;0,1,0)</f>
        <v/>
      </c>
      <c r="AF1125">
        <f t="array" ref="AF1125">IF(SUMPRODUCT(--($AQ$2:$AQ$71=TRIM(LEFT($B1125,IFERROR(FIND(" ",$B1125)-1,LEN($B1125))))))&gt;0,1,0)</f>
        <v/>
      </c>
    </row>
    <row r="1126" ht="75.75" customHeight="1" thickBot="1">
      <c r="A1126" s="13" t="n">
        <v>107</v>
      </c>
      <c r="B1126" s="4" t="inlineStr">
        <is>
          <t>1899786D US</t>
        </is>
      </c>
      <c r="C1126" s="4" t="inlineStr">
        <is>
          <t>IFC CN</t>
        </is>
      </c>
      <c r="D1126" s="7" t="n">
        <v>42858</v>
      </c>
      <c r="E1126" s="3" t="n">
        <v>1714.82</v>
      </c>
      <c r="F1126" s="4" t="inlineStr">
        <is>
          <t>Cash</t>
        </is>
      </c>
      <c r="G1126" s="4" t="n"/>
      <c r="H1126" s="4" t="inlineStr">
        <is>
          <t>Financials</t>
        </is>
      </c>
      <c r="I1126" s="4" t="inlineStr">
        <is>
          <t>Insurance</t>
        </is>
      </c>
      <c r="J1126" s="4" t="inlineStr">
        <is>
          <t>Insurance</t>
        </is>
      </c>
      <c r="K1126" s="4" t="n"/>
      <c r="L1126" s="3" t="n">
        <v>85.09999999999999</v>
      </c>
      <c r="M1126" s="3" t="n">
        <v>16.04</v>
      </c>
      <c r="N1126" s="3" t="n">
        <v>1714.82</v>
      </c>
      <c r="O1126" s="4" t="inlineStr">
        <is>
          <t>United States</t>
        </is>
      </c>
      <c r="P1126" s="4" t="inlineStr">
        <is>
          <t>Canada</t>
        </is>
      </c>
      <c r="Q1126" s="4" t="inlineStr">
        <is>
          <t>Friendly</t>
        </is>
      </c>
      <c r="R1126" s="3" t="n">
        <v>1194.4</v>
      </c>
      <c r="S1126" s="3" t="n">
        <v>7.00409</v>
      </c>
      <c r="T1126" s="4" t="inlineStr">
        <is>
          <t>Company Takeover, Cross Border</t>
        </is>
      </c>
      <c r="U1126" s="2" t="inlineStr">
        <is>
          <t>No</t>
        </is>
      </c>
      <c r="V1126" s="2" t="inlineStr">
        <is>
          <t>No</t>
        </is>
      </c>
      <c r="W1126" s="2" t="inlineStr">
        <is>
          <t>Yes</t>
        </is>
      </c>
      <c r="X1126" s="2" t="inlineStr">
        <is>
          <t>No</t>
        </is>
      </c>
      <c r="Y1126" s="2" t="inlineStr">
        <is>
          <t>No</t>
        </is>
      </c>
      <c r="Z1126" s="2" t="inlineStr">
        <is>
          <t>No</t>
        </is>
      </c>
      <c r="AA1126" s="6" t="n">
        <v>3.23421854</v>
      </c>
      <c r="AB1126" s="6" t="n">
        <v>3.077149795</v>
      </c>
      <c r="AC1126" s="6" t="n">
        <v>3.23421854</v>
      </c>
      <c r="AD1126">
        <f t="array" ref="AD1126">IF(SUMPRODUCT(--($AM$2:$AM$112=TRIM(LEFT($B1126,IFERROR(FIND(" ",$B1126)-1,LEN($B1126))))))&gt;0,1,0)</f>
        <v/>
      </c>
      <c r="AE1126">
        <f t="array" ref="AE1126">IF(SUMPRODUCT(--($AO$2:$AO$145=TRIM(LEFT($B1126,IFERROR(FIND(" ",$B1126)-1,LEN($B1126))))))&gt;0,1,0)</f>
        <v/>
      </c>
      <c r="AF1126">
        <f t="array" ref="AF1126">IF(SUMPRODUCT(--($AQ$2:$AQ$71=TRIM(LEFT($B1126,IFERROR(FIND(" ",$B1126)-1,LEN($B1126))))))&gt;0,1,0)</f>
        <v/>
      </c>
    </row>
    <row r="1127" ht="45.75" customHeight="1" thickBot="1">
      <c r="A1127" s="13" t="n">
        <v>133</v>
      </c>
      <c r="B1127" s="4" t="inlineStr">
        <is>
          <t>SGBK US</t>
        </is>
      </c>
      <c r="C1127" s="4" t="inlineStr">
        <is>
          <t>HOMB US</t>
        </is>
      </c>
      <c r="D1127" s="7" t="n">
        <v>42821</v>
      </c>
      <c r="E1127" s="3" t="n">
        <v>868.1799999999999</v>
      </c>
      <c r="F1127" s="4" t="inlineStr">
        <is>
          <t>Cash and Stock</t>
        </is>
      </c>
      <c r="G1127" s="4" t="n"/>
      <c r="H1127" s="4" t="inlineStr">
        <is>
          <t>Financials</t>
        </is>
      </c>
      <c r="I1127" s="4" t="inlineStr">
        <is>
          <t>Banking</t>
        </is>
      </c>
      <c r="J1127" s="4" t="inlineStr">
        <is>
          <t>Banking</t>
        </is>
      </c>
      <c r="K1127" s="4" t="n"/>
      <c r="L1127" s="3" t="n">
        <v>36</v>
      </c>
      <c r="M1127" s="3" t="n">
        <v>26.38</v>
      </c>
      <c r="N1127" s="3" t="n">
        <v>868.1799999999999</v>
      </c>
      <c r="O1127" s="4" t="inlineStr">
        <is>
          <t>United States</t>
        </is>
      </c>
      <c r="P1127" s="4" t="inlineStr">
        <is>
          <t>United States</t>
        </is>
      </c>
      <c r="Q1127" s="4" t="inlineStr">
        <is>
          <t>Friendly</t>
        </is>
      </c>
      <c r="R1127" s="3" t="n">
        <v>110.31</v>
      </c>
      <c r="S1127" s="3" t="n">
        <v>42.8784</v>
      </c>
      <c r="T1127" s="4" t="inlineStr">
        <is>
          <t>Company Takeover</t>
        </is>
      </c>
      <c r="U1127" s="2" t="inlineStr">
        <is>
          <t>No</t>
        </is>
      </c>
      <c r="V1127" s="2" t="inlineStr">
        <is>
          <t>No</t>
        </is>
      </c>
      <c r="W1127" s="2" t="inlineStr">
        <is>
          <t>No</t>
        </is>
      </c>
      <c r="X1127" s="2" t="inlineStr">
        <is>
          <t>No</t>
        </is>
      </c>
      <c r="Y1127" s="2" t="inlineStr">
        <is>
          <t>No</t>
        </is>
      </c>
      <c r="Z1127" s="2" t="inlineStr">
        <is>
          <t>No</t>
        </is>
      </c>
      <c r="AA1127" s="6" t="n">
        <v>2.938609777</v>
      </c>
      <c r="AB1127" s="6" t="n">
        <v>2.042614885</v>
      </c>
      <c r="AC1127" s="6" t="n">
        <v>2.938609777</v>
      </c>
      <c r="AD1127">
        <f t="array" ref="AD1127">IF(SUMPRODUCT(--($AM$2:$AM$112=TRIM(LEFT($B1127,IFERROR(FIND(" ",$B1127)-1,LEN($B1127))))))&gt;0,1,0)</f>
        <v/>
      </c>
      <c r="AE1127">
        <f t="array" ref="AE1127">IF(SUMPRODUCT(--($AO$2:$AO$145=TRIM(LEFT($B1127,IFERROR(FIND(" ",$B1127)-1,LEN($B1127))))))&gt;0,1,0)</f>
        <v/>
      </c>
      <c r="AF1127">
        <f t="array" ref="AF1127">IF(SUMPRODUCT(--($AQ$2:$AQ$71=TRIM(LEFT($B1127,IFERROR(FIND(" ",$B1127)-1,LEN($B1127))))))&gt;0,1,0)</f>
        <v/>
      </c>
    </row>
    <row r="1128" ht="105.75" customHeight="1" thickBot="1">
      <c r="A1128" s="13" t="n">
        <v>43</v>
      </c>
      <c r="B1128" s="4" t="inlineStr">
        <is>
          <t>TOO US</t>
        </is>
      </c>
      <c r="C1128" s="4" t="inlineStr">
        <is>
          <t>BBU-U CN</t>
        </is>
      </c>
      <c r="D1128" s="7" t="n">
        <v>42943</v>
      </c>
      <c r="E1128" s="3" t="n">
        <v>610</v>
      </c>
      <c r="F1128" s="4" t="inlineStr">
        <is>
          <t>Cash</t>
        </is>
      </c>
      <c r="G1128" s="3" t="n">
        <v>2.02</v>
      </c>
      <c r="H1128" s="4" t="inlineStr">
        <is>
          <t>Energy</t>
        </is>
      </c>
      <c r="I1128" s="4" t="inlineStr">
        <is>
          <t>Oil &amp; Gas</t>
        </is>
      </c>
      <c r="J1128" s="4" t="inlineStr">
        <is>
          <t>Oil &amp; Gas Services &amp; Equip</t>
        </is>
      </c>
      <c r="K1128" s="4" t="n"/>
      <c r="L1128" s="4" t="n"/>
      <c r="M1128" s="4" t="n"/>
      <c r="N1128" s="3" t="n">
        <v>610</v>
      </c>
      <c r="O1128" s="4" t="inlineStr">
        <is>
          <t>United States</t>
        </is>
      </c>
      <c r="P1128" s="4" t="inlineStr">
        <is>
          <t>Canada</t>
        </is>
      </c>
      <c r="Q1128" s="4" t="inlineStr">
        <is>
          <t>Friendly</t>
        </is>
      </c>
      <c r="R1128" s="3" t="n">
        <v>1151.26</v>
      </c>
      <c r="S1128" s="3" t="n">
        <v>7.8627</v>
      </c>
      <c r="T1128" s="4" t="inlineStr">
        <is>
          <t>Private Placement, Cross Border, Majority purchase</t>
        </is>
      </c>
      <c r="U1128" s="2" t="inlineStr">
        <is>
          <t>No</t>
        </is>
      </c>
      <c r="V1128" s="2" t="inlineStr">
        <is>
          <t>No</t>
        </is>
      </c>
      <c r="W1128" s="2" t="inlineStr">
        <is>
          <t>Yes</t>
        </is>
      </c>
      <c r="X1128" s="2" t="inlineStr">
        <is>
          <t>No</t>
        </is>
      </c>
      <c r="Y1128" s="2" t="inlineStr">
        <is>
          <t>No</t>
        </is>
      </c>
      <c r="Z1128" s="2" t="inlineStr">
        <is>
          <t>No</t>
        </is>
      </c>
      <c r="AA1128" s="6" t="n">
        <v>2.785329835</v>
      </c>
      <c r="AB1128" s="6" t="n">
        <v>3.061173416</v>
      </c>
      <c r="AC1128" s="6" t="n">
        <v>2.785329835</v>
      </c>
      <c r="AD1128">
        <f t="array" ref="AD1128">IF(SUMPRODUCT(--($AM$2:$AM$112=TRIM(LEFT($B1128,IFERROR(FIND(" ",$B1128)-1,LEN($B1128))))))&gt;0,1,0)</f>
        <v/>
      </c>
      <c r="AE1128">
        <f t="array" ref="AE1128">IF(SUMPRODUCT(--($AO$2:$AO$145=TRIM(LEFT($B1128,IFERROR(FIND(" ",$B1128)-1,LEN($B1128))))))&gt;0,1,0)</f>
        <v/>
      </c>
      <c r="AF1128">
        <f t="array" ref="AF1128">IF(SUMPRODUCT(--($AQ$2:$AQ$71=TRIM(LEFT($B1128,IFERROR(FIND(" ",$B1128)-1,LEN($B1128))))))&gt;0,1,0)</f>
        <v/>
      </c>
    </row>
    <row r="1129" ht="165.75" customHeight="1" thickBot="1">
      <c r="A1129" s="13" t="n">
        <v>57</v>
      </c>
      <c r="B1129" s="4" t="inlineStr">
        <is>
          <t>2222499D US</t>
        </is>
      </c>
      <c r="C1129" s="2" t="n"/>
      <c r="D1129" s="7" t="n">
        <v>42920</v>
      </c>
      <c r="E1129" s="3" t="n">
        <v>3404.11</v>
      </c>
      <c r="F1129" s="4" t="inlineStr">
        <is>
          <t>Cash</t>
        </is>
      </c>
      <c r="G1129" s="3" t="n">
        <v>24.53</v>
      </c>
      <c r="H1129" s="4" t="inlineStr">
        <is>
          <t>Real Estate</t>
        </is>
      </c>
      <c r="I1129" s="4" t="inlineStr">
        <is>
          <t>Real Estate</t>
        </is>
      </c>
      <c r="J1129" s="4" t="inlineStr">
        <is>
          <t>REIT</t>
        </is>
      </c>
      <c r="K1129" s="3" t="n">
        <v>202.09</v>
      </c>
      <c r="L1129" s="3" t="n">
        <v>65.6794</v>
      </c>
      <c r="M1129" s="4" t="n"/>
      <c r="N1129" s="3" t="n">
        <v>2004.21</v>
      </c>
      <c r="O1129" s="4" t="inlineStr">
        <is>
          <t>United States</t>
        </is>
      </c>
      <c r="P1129" s="4" t="inlineStr">
        <is>
          <t>Singapore</t>
        </is>
      </c>
      <c r="Q1129" s="4" t="inlineStr">
        <is>
          <t>Friendly</t>
        </is>
      </c>
      <c r="R1129" s="3" t="n">
        <v>280.74</v>
      </c>
      <c r="S1129" s="3" t="n">
        <v>4.90893</v>
      </c>
      <c r="T1129" s="4" t="inlineStr">
        <is>
          <t>PE Buyout, Company Takeover, Cross Border, Private Equity, Going Private</t>
        </is>
      </c>
      <c r="U1129" s="2" t="inlineStr">
        <is>
          <t>No</t>
        </is>
      </c>
      <c r="V1129" s="2" t="inlineStr">
        <is>
          <t>No</t>
        </is>
      </c>
      <c r="W1129" s="2" t="inlineStr">
        <is>
          <t>Yes</t>
        </is>
      </c>
      <c r="X1129" s="2" t="inlineStr">
        <is>
          <t>Yes</t>
        </is>
      </c>
      <c r="Y1129" s="2" t="inlineStr">
        <is>
          <t>Yes</t>
        </is>
      </c>
      <c r="Z1129" s="2" t="inlineStr">
        <is>
          <t>No</t>
        </is>
      </c>
      <c r="AA1129" s="6" t="n">
        <v>3.532003585</v>
      </c>
      <c r="AB1129" s="6" t="n">
        <v>2.448304296</v>
      </c>
      <c r="AC1129" s="6" t="n">
        <v>3.301943225</v>
      </c>
      <c r="AD1129">
        <f t="array" ref="AD1129">IF(SUMPRODUCT(--($AM$2:$AM$112=TRIM(LEFT($B1129,IFERROR(FIND(" ",$B1129)-1,LEN($B1129))))))&gt;0,1,0)</f>
        <v/>
      </c>
      <c r="AE1129">
        <f t="array" ref="AE1129">IF(SUMPRODUCT(--($AO$2:$AO$145=TRIM(LEFT($B1129,IFERROR(FIND(" ",$B1129)-1,LEN($B1129))))))&gt;0,1,0)</f>
        <v/>
      </c>
      <c r="AF1129">
        <f t="array" ref="AF1129">IF(SUMPRODUCT(--($AQ$2:$AQ$71=TRIM(LEFT($B1129,IFERROR(FIND(" ",$B1129)-1,LEN($B1129))))))&gt;0,1,0)</f>
        <v/>
      </c>
    </row>
    <row r="1130" ht="75.75" customHeight="1" thickBot="1">
      <c r="A1130" s="13" t="n">
        <v>41</v>
      </c>
      <c r="B1130" s="4" t="inlineStr">
        <is>
          <t>WBMD US</t>
        </is>
      </c>
      <c r="C1130" s="4" t="inlineStr">
        <is>
          <t>1005501D US</t>
        </is>
      </c>
      <c r="D1130" s="7" t="n">
        <v>42940</v>
      </c>
      <c r="E1130" s="3" t="n">
        <v>2594</v>
      </c>
      <c r="F1130" s="4" t="inlineStr">
        <is>
          <t>Cash</t>
        </is>
      </c>
      <c r="G1130" s="3" t="n">
        <v>13.13</v>
      </c>
      <c r="H1130" s="4" t="inlineStr">
        <is>
          <t>Communications</t>
        </is>
      </c>
      <c r="I1130" s="4" t="inlineStr">
        <is>
          <t>Media</t>
        </is>
      </c>
      <c r="J1130" s="4" t="inlineStr">
        <is>
          <t>Internet Media &amp; Services</t>
        </is>
      </c>
      <c r="K1130" s="4" t="n"/>
      <c r="L1130" s="3" t="n">
        <v>75</v>
      </c>
      <c r="M1130" s="3" t="n">
        <v>15.75</v>
      </c>
      <c r="N1130" s="3" t="n">
        <v>2582.69</v>
      </c>
      <c r="O1130" s="4" t="inlineStr">
        <is>
          <t>United States</t>
        </is>
      </c>
      <c r="P1130" s="4" t="inlineStr">
        <is>
          <t>United States</t>
        </is>
      </c>
      <c r="Q1130" s="4" t="inlineStr">
        <is>
          <t>Friendly</t>
        </is>
      </c>
      <c r="R1130" s="3" t="n">
        <v>705.046</v>
      </c>
      <c r="S1130" s="3" t="n">
        <v>23.5879</v>
      </c>
      <c r="T1130" s="4" t="inlineStr">
        <is>
          <t>Company Takeover, Tender Offer</t>
        </is>
      </c>
      <c r="U1130" s="2" t="inlineStr">
        <is>
          <t>No</t>
        </is>
      </c>
      <c r="V1130" s="2" t="inlineStr">
        <is>
          <t>No</t>
        </is>
      </c>
      <c r="W1130" s="2" t="inlineStr">
        <is>
          <t>No</t>
        </is>
      </c>
      <c r="X1130" s="2" t="inlineStr">
        <is>
          <t>No</t>
        </is>
      </c>
      <c r="Y1130" s="2" t="inlineStr">
        <is>
          <t>No</t>
        </is>
      </c>
      <c r="Z1130" s="2" t="inlineStr">
        <is>
          <t>Yes</t>
        </is>
      </c>
      <c r="AA1130" s="6" t="n">
        <v>3.413969972</v>
      </c>
      <c r="AB1130" s="6" t="n">
        <v>2.848217453</v>
      </c>
      <c r="AC1130" s="6" t="n">
        <v>3.412072281</v>
      </c>
      <c r="AD1130">
        <f t="array" ref="AD1130">IF(SUMPRODUCT(--($AM$2:$AM$112=TRIM(LEFT($B1130,IFERROR(FIND(" ",$B1130)-1,LEN($B1130))))))&gt;0,1,0)</f>
        <v/>
      </c>
      <c r="AE1130">
        <f t="array" ref="AE1130">IF(SUMPRODUCT(--($AO$2:$AO$145=TRIM(LEFT($B1130,IFERROR(FIND(" ",$B1130)-1,LEN($B1130))))))&gt;0,1,0)</f>
        <v/>
      </c>
      <c r="AF1130">
        <f t="array" ref="AF1130">IF(SUMPRODUCT(--($AQ$2:$AQ$71=TRIM(LEFT($B1130,IFERROR(FIND(" ",$B1130)-1,LEN($B1130))))))&gt;0,1,0)</f>
        <v/>
      </c>
    </row>
    <row r="1131" ht="135.75" customHeight="1" thickBot="1">
      <c r="A1131" s="13" t="n">
        <v>51</v>
      </c>
      <c r="B1131" s="4" t="inlineStr">
        <is>
          <t>MYCC US</t>
        </is>
      </c>
      <c r="C1131" s="4" t="inlineStr">
        <is>
          <t>9990822D US</t>
        </is>
      </c>
      <c r="D1131" s="7" t="n">
        <v>42925</v>
      </c>
      <c r="E1131" s="3" t="n">
        <v>2155.39</v>
      </c>
      <c r="F1131" s="4" t="inlineStr">
        <is>
          <t>Cash</t>
        </is>
      </c>
      <c r="G1131" s="3" t="n">
        <v>11.31</v>
      </c>
      <c r="H1131" s="4" t="inlineStr">
        <is>
          <t>Consumer Discretionary</t>
        </is>
      </c>
      <c r="I1131" s="4" t="inlineStr">
        <is>
          <t>Consumer Discretionary Services</t>
        </is>
      </c>
      <c r="J1131" s="4" t="inlineStr">
        <is>
          <t>Leisure Facilities &amp; Services</t>
        </is>
      </c>
      <c r="K1131" s="3" t="n">
        <v>74.2</v>
      </c>
      <c r="L1131" s="3" t="n">
        <v>34.2</v>
      </c>
      <c r="M1131" s="4" t="n"/>
      <c r="N1131" s="3" t="n">
        <v>1121.85</v>
      </c>
      <c r="O1131" s="4" t="inlineStr">
        <is>
          <t>United States</t>
        </is>
      </c>
      <c r="P1131" s="4" t="inlineStr">
        <is>
          <t>United States</t>
        </is>
      </c>
      <c r="Q1131" s="4" t="inlineStr">
        <is>
          <t>Friendly</t>
        </is>
      </c>
      <c r="R1131" s="3" t="n">
        <v>1088.48</v>
      </c>
      <c r="S1131" s="3" t="n">
        <v>7.40358</v>
      </c>
      <c r="T1131" s="4" t="inlineStr">
        <is>
          <t>PE Buyout, Company Takeover, Private Equity, Going Private</t>
        </is>
      </c>
      <c r="U1131" s="2" t="inlineStr">
        <is>
          <t>No</t>
        </is>
      </c>
      <c r="V1131" s="2" t="inlineStr">
        <is>
          <t>No</t>
        </is>
      </c>
      <c r="W1131" s="2" t="inlineStr">
        <is>
          <t>No</t>
        </is>
      </c>
      <c r="X1131" s="2" t="inlineStr">
        <is>
          <t>Yes</t>
        </is>
      </c>
      <c r="Y1131" s="2" t="inlineStr">
        <is>
          <t>Yes</t>
        </is>
      </c>
      <c r="Z1131" s="2" t="inlineStr">
        <is>
          <t>No</t>
        </is>
      </c>
      <c r="AA1131" s="6" t="n">
        <v>3.333525864</v>
      </c>
      <c r="AB1131" s="6" t="n">
        <v>3.036820454</v>
      </c>
      <c r="AC1131" s="6" t="n">
        <v>3.049934792</v>
      </c>
      <c r="AD1131">
        <f t="array" ref="AD1131">IF(SUMPRODUCT(--($AM$2:$AM$112=TRIM(LEFT($B1131,IFERROR(FIND(" ",$B1131)-1,LEN($B1131))))))&gt;0,1,0)</f>
        <v/>
      </c>
      <c r="AE1131">
        <f t="array" ref="AE1131">IF(SUMPRODUCT(--($AO$2:$AO$145=TRIM(LEFT($B1131,IFERROR(FIND(" ",$B1131)-1,LEN($B1131))))))&gt;0,1,0)</f>
        <v/>
      </c>
      <c r="AF1131">
        <f t="array" ref="AF1131">IF(SUMPRODUCT(--($AQ$2:$AQ$71=TRIM(LEFT($B1131,IFERROR(FIND(" ",$B1131)-1,LEN($B1131))))))&gt;0,1,0)</f>
        <v/>
      </c>
    </row>
    <row r="1132" ht="120.75" customHeight="1" thickBot="1">
      <c r="A1132" s="13" t="n">
        <v>53</v>
      </c>
      <c r="B1132" s="4" t="inlineStr">
        <is>
          <t>TET CN</t>
        </is>
      </c>
      <c r="C1132" s="4" t="inlineStr">
        <is>
          <t>POU CN</t>
        </is>
      </c>
      <c r="D1132" s="7" t="n">
        <v>42922</v>
      </c>
      <c r="E1132" s="3" t="n">
        <v>786.27</v>
      </c>
      <c r="F1132" s="4" t="inlineStr">
        <is>
          <t>Stock</t>
        </is>
      </c>
      <c r="G1132" s="3" t="n">
        <v>6.15</v>
      </c>
      <c r="H1132" s="4" t="inlineStr">
        <is>
          <t>Energy</t>
        </is>
      </c>
      <c r="I1132" s="4" t="inlineStr">
        <is>
          <t>Oil &amp; Gas</t>
        </is>
      </c>
      <c r="J1132" s="4" t="inlineStr">
        <is>
          <t>Oil &amp; Gas Supply Chain</t>
        </is>
      </c>
      <c r="K1132" s="4" t="n"/>
      <c r="L1132" s="4" t="n"/>
      <c r="M1132" s="3" t="n">
        <v>7.53</v>
      </c>
      <c r="N1132" s="3" t="n">
        <v>360.23</v>
      </c>
      <c r="O1132" s="4" t="inlineStr">
        <is>
          <t>Canada</t>
        </is>
      </c>
      <c r="P1132" s="4" t="inlineStr">
        <is>
          <t>Canada</t>
        </is>
      </c>
      <c r="Q1132" s="4" t="inlineStr">
        <is>
          <t>Friendly</t>
        </is>
      </c>
      <c r="R1132" s="3" t="n">
        <v>151.728</v>
      </c>
      <c r="S1132" s="3" t="n">
        <v>8.848879999999999</v>
      </c>
      <c r="T1132" s="4" t="inlineStr">
        <is>
          <t>Company Takeover, Additional Stake Purchase</t>
        </is>
      </c>
      <c r="U1132" s="2" t="inlineStr">
        <is>
          <t>Yes</t>
        </is>
      </c>
      <c r="V1132" s="2" t="inlineStr">
        <is>
          <t>No</t>
        </is>
      </c>
      <c r="W1132" s="2" t="inlineStr">
        <is>
          <t>No</t>
        </is>
      </c>
      <c r="X1132" s="2" t="inlineStr">
        <is>
          <t>No</t>
        </is>
      </c>
      <c r="Y1132" s="2" t="inlineStr">
        <is>
          <t>No</t>
        </is>
      </c>
      <c r="Z1132" s="2" t="inlineStr">
        <is>
          <t>No</t>
        </is>
      </c>
      <c r="AA1132" s="6" t="n">
        <v>2.895571706</v>
      </c>
      <c r="AB1132" s="6" t="n">
        <v>2.181065733</v>
      </c>
      <c r="AC1132" s="6" t="n">
        <v>2.556579878</v>
      </c>
      <c r="AD1132">
        <f t="array" ref="AD1132">IF(SUMPRODUCT(--($AM$2:$AM$112=TRIM(LEFT($B1132,IFERROR(FIND(" ",$B1132)-1,LEN($B1132))))))&gt;0,1,0)</f>
        <v/>
      </c>
      <c r="AE1132">
        <f t="array" ref="AE1132">IF(SUMPRODUCT(--($AO$2:$AO$145=TRIM(LEFT($B1132,IFERROR(FIND(" ",$B1132)-1,LEN($B1132))))))&gt;0,1,0)</f>
        <v/>
      </c>
      <c r="AF1132">
        <f t="array" ref="AF1132">IF(SUMPRODUCT(--($AQ$2:$AQ$71=TRIM(LEFT($B1132,IFERROR(FIND(" ",$B1132)-1,LEN($B1132))))))&gt;0,1,0)</f>
        <v/>
      </c>
    </row>
    <row r="1133" ht="45.75" customHeight="1" thickBot="1">
      <c r="A1133" s="13" t="n">
        <v>70</v>
      </c>
      <c r="B1133" s="4" t="inlineStr">
        <is>
          <t>DFT US</t>
        </is>
      </c>
      <c r="C1133" s="4" t="inlineStr">
        <is>
          <t>DLR US</t>
        </is>
      </c>
      <c r="D1133" s="7" t="n">
        <v>42895</v>
      </c>
      <c r="E1133" s="3" t="n">
        <v>6309.53</v>
      </c>
      <c r="F1133" s="4" t="inlineStr">
        <is>
          <t>Stock</t>
        </is>
      </c>
      <c r="G1133" s="3" t="n">
        <v>19.02</v>
      </c>
      <c r="H1133" s="4" t="inlineStr">
        <is>
          <t>Real Estate</t>
        </is>
      </c>
      <c r="I1133" s="4" t="inlineStr">
        <is>
          <t>Real Estate</t>
        </is>
      </c>
      <c r="J1133" s="4" t="inlineStr">
        <is>
          <t>REIT</t>
        </is>
      </c>
      <c r="K1133" s="3" t="n">
        <v>300</v>
      </c>
      <c r="L1133" s="3" t="n">
        <v>150</v>
      </c>
      <c r="M1133" s="3" t="n">
        <v>18.51</v>
      </c>
      <c r="N1133" s="3" t="n">
        <v>4960.11</v>
      </c>
      <c r="O1133" s="4" t="inlineStr">
        <is>
          <t>United States</t>
        </is>
      </c>
      <c r="P1133" s="4" t="inlineStr">
        <is>
          <t>United States</t>
        </is>
      </c>
      <c r="Q1133" s="4" t="inlineStr">
        <is>
          <t>Friendly</t>
        </is>
      </c>
      <c r="R1133" s="3" t="n">
        <v>528.701</v>
      </c>
      <c r="S1133" s="3" t="n">
        <v>39.5311</v>
      </c>
      <c r="T1133" s="4" t="inlineStr">
        <is>
          <t>Company Takeover</t>
        </is>
      </c>
      <c r="U1133" s="2" t="inlineStr">
        <is>
          <t>No</t>
        </is>
      </c>
      <c r="V1133" s="2" t="inlineStr">
        <is>
          <t>No</t>
        </is>
      </c>
      <c r="W1133" s="2" t="inlineStr">
        <is>
          <t>No</t>
        </is>
      </c>
      <c r="X1133" s="2" t="inlineStr">
        <is>
          <t>No</t>
        </is>
      </c>
      <c r="Y1133" s="2" t="inlineStr">
        <is>
          <t>No</t>
        </is>
      </c>
      <c r="Z1133" s="2" t="inlineStr">
        <is>
          <t>No</t>
        </is>
      </c>
      <c r="AA1133" s="6" t="n">
        <v>3.79999701</v>
      </c>
      <c r="AB1133" s="6" t="n">
        <v>2.723210132</v>
      </c>
      <c r="AC1133" s="6" t="n">
        <v>3.695491308</v>
      </c>
      <c r="AD1133">
        <f t="array" ref="AD1133">IF(SUMPRODUCT(--($AM$2:$AM$112=TRIM(LEFT($B1133,IFERROR(FIND(" ",$B1133)-1,LEN($B1133))))))&gt;0,1,0)</f>
        <v/>
      </c>
      <c r="AE1133">
        <f t="array" ref="AE1133">IF(SUMPRODUCT(--($AO$2:$AO$145=TRIM(LEFT($B1133,IFERROR(FIND(" ",$B1133)-1,LEN($B1133))))))&gt;0,1,0)</f>
        <v/>
      </c>
      <c r="AF1133">
        <f t="array" ref="AF1133">IF(SUMPRODUCT(--($AQ$2:$AQ$71=TRIM(LEFT($B1133,IFERROR(FIND(" ",$B1133)-1,LEN($B1133))))))&gt;0,1,0)</f>
        <v/>
      </c>
    </row>
    <row r="1134" ht="60.75" customHeight="1" thickBot="1">
      <c r="A1134" s="13" t="n">
        <v>178</v>
      </c>
      <c r="B1134" s="4" t="inlineStr">
        <is>
          <t>1850925D US</t>
        </is>
      </c>
      <c r="C1134" s="4" t="inlineStr">
        <is>
          <t>4614Z US</t>
        </is>
      </c>
      <c r="D1134" s="7" t="n">
        <v>42744</v>
      </c>
      <c r="E1134" s="3" t="n">
        <v>8751.57</v>
      </c>
      <c r="F1134" s="4" t="inlineStr">
        <is>
          <t>Cash</t>
        </is>
      </c>
      <c r="G1134" s="3" t="n">
        <v>17.97</v>
      </c>
      <c r="H1134" s="4" t="inlineStr">
        <is>
          <t>Health Care</t>
        </is>
      </c>
      <c r="I1134" s="4" t="inlineStr">
        <is>
          <t>Health Care</t>
        </is>
      </c>
      <c r="J1134" s="4" t="inlineStr">
        <is>
          <t>Health Care Facilities &amp; Svcs</t>
        </is>
      </c>
      <c r="K1134" s="4" t="n"/>
      <c r="L1134" s="3" t="n">
        <v>275</v>
      </c>
      <c r="M1134" s="4" t="n"/>
      <c r="N1134" s="3" t="n">
        <v>7545.85</v>
      </c>
      <c r="O1134" s="4" t="inlineStr">
        <is>
          <t>United States</t>
        </is>
      </c>
      <c r="P1134" s="4" t="inlineStr">
        <is>
          <t>United States</t>
        </is>
      </c>
      <c r="Q1134" s="4" t="inlineStr">
        <is>
          <t>Friendly</t>
        </is>
      </c>
      <c r="R1134" s="3" t="n">
        <v>2516.86</v>
      </c>
      <c r="S1134" s="3" t="n">
        <v>14.8869</v>
      </c>
      <c r="T1134" s="4" t="inlineStr">
        <is>
          <t>Company Takeover</t>
        </is>
      </c>
      <c r="U1134" s="2" t="inlineStr">
        <is>
          <t>No</t>
        </is>
      </c>
      <c r="V1134" s="2" t="inlineStr">
        <is>
          <t>No</t>
        </is>
      </c>
      <c r="W1134" s="2" t="inlineStr">
        <is>
          <t>No</t>
        </is>
      </c>
      <c r="X1134" s="2" t="inlineStr">
        <is>
          <t>No</t>
        </is>
      </c>
      <c r="Y1134" s="2" t="inlineStr">
        <is>
          <t>No</t>
        </is>
      </c>
      <c r="Z1134" s="2" t="inlineStr">
        <is>
          <t>No</t>
        </is>
      </c>
      <c r="AA1134" s="6" t="n">
        <v>3.942085971</v>
      </c>
      <c r="AB1134" s="6" t="n">
        <v>3.400859059</v>
      </c>
      <c r="AC1134" s="6" t="n">
        <v>3.877708168</v>
      </c>
      <c r="AD1134">
        <f t="array" ref="AD1134">IF(SUMPRODUCT(--($AM$2:$AM$112=TRIM(LEFT($B1134,IFERROR(FIND(" ",$B1134)-1,LEN($B1134))))))&gt;0,1,0)</f>
        <v/>
      </c>
      <c r="AE1134">
        <f t="array" ref="AE1134">IF(SUMPRODUCT(--($AO$2:$AO$145=TRIM(LEFT($B1134,IFERROR(FIND(" ",$B1134)-1,LEN($B1134))))))&gt;0,1,0)</f>
        <v/>
      </c>
      <c r="AF1134">
        <f t="array" ref="AF1134">IF(SUMPRODUCT(--($AQ$2:$AQ$71=TRIM(LEFT($B1134,IFERROR(FIND(" ",$B1134)-1,LEN($B1134))))))&gt;0,1,0)</f>
        <v/>
      </c>
    </row>
    <row r="1135" ht="135.75" customHeight="1" thickBot="1">
      <c r="A1135" s="13" t="n">
        <v>56</v>
      </c>
      <c r="B1135" s="4" t="inlineStr">
        <is>
          <t>2619871D US</t>
        </is>
      </c>
      <c r="C1135" s="4" t="inlineStr">
        <is>
          <t>9875574Z US</t>
        </is>
      </c>
      <c r="D1135" s="7" t="n">
        <v>42914</v>
      </c>
      <c r="E1135" s="3" t="n">
        <v>6451.95</v>
      </c>
      <c r="F1135" s="4" t="inlineStr">
        <is>
          <t>Cash</t>
        </is>
      </c>
      <c r="G1135" s="3" t="n">
        <v>39.03</v>
      </c>
      <c r="H1135" s="4" t="inlineStr">
        <is>
          <t>Consumer Discretionary</t>
        </is>
      </c>
      <c r="I1135" s="4" t="inlineStr">
        <is>
          <t>Retail &amp; Whsle - Discretionary</t>
        </is>
      </c>
      <c r="J1135" s="4" t="inlineStr">
        <is>
          <t>Retail - Discretionary</t>
        </is>
      </c>
      <c r="K1135" s="3" t="n">
        <v>343</v>
      </c>
      <c r="L1135" s="3" t="n">
        <v>171</v>
      </c>
      <c r="M1135" s="4" t="n"/>
      <c r="N1135" s="3" t="n">
        <v>6694.95</v>
      </c>
      <c r="O1135" s="4" t="inlineStr">
        <is>
          <t>United States</t>
        </is>
      </c>
      <c r="P1135" s="4" t="inlineStr">
        <is>
          <t>United States</t>
        </is>
      </c>
      <c r="Q1135" s="4" t="inlineStr">
        <is>
          <t>Friendly</t>
        </is>
      </c>
      <c r="R1135" s="3" t="n">
        <v>18247</v>
      </c>
      <c r="S1135" s="3" t="n">
        <v>0.105738</v>
      </c>
      <c r="T1135" s="4" t="inlineStr">
        <is>
          <t>PE Buyout, Company Takeover, Private Equity, Going Private</t>
        </is>
      </c>
      <c r="U1135" s="2" t="inlineStr">
        <is>
          <t>No</t>
        </is>
      </c>
      <c r="V1135" s="2" t="inlineStr">
        <is>
          <t>No</t>
        </is>
      </c>
      <c r="W1135" s="2" t="inlineStr">
        <is>
          <t>No</t>
        </is>
      </c>
      <c r="X1135" s="2" t="inlineStr">
        <is>
          <t>Yes</t>
        </is>
      </c>
      <c r="Y1135" s="2" t="inlineStr">
        <is>
          <t>Yes</t>
        </is>
      </c>
      <c r="Z1135" s="2" t="inlineStr">
        <is>
          <t>No</t>
        </is>
      </c>
      <c r="AA1135" s="6" t="n">
        <v>3.809690993</v>
      </c>
      <c r="AB1135" s="6" t="n">
        <v>4.261191472</v>
      </c>
      <c r="AC1135" s="6" t="n">
        <v>3.825747338</v>
      </c>
      <c r="AD1135">
        <f t="array" ref="AD1135">IF(SUMPRODUCT(--($AM$2:$AM$112=TRIM(LEFT($B1135,IFERROR(FIND(" ",$B1135)-1,LEN($B1135))))))&gt;0,1,0)</f>
        <v/>
      </c>
      <c r="AE1135">
        <f t="array" ref="AE1135">IF(SUMPRODUCT(--($AO$2:$AO$145=TRIM(LEFT($B1135,IFERROR(FIND(" ",$B1135)-1,LEN($B1135))))))&gt;0,1,0)</f>
        <v/>
      </c>
      <c r="AF1135">
        <f t="array" ref="AF1135">IF(SUMPRODUCT(--($AQ$2:$AQ$71=TRIM(LEFT($B1135,IFERROR(FIND(" ",$B1135)-1,LEN($B1135))))))&gt;0,1,0)</f>
        <v/>
      </c>
    </row>
    <row r="1136" ht="45.75" customHeight="1" thickBot="1">
      <c r="A1136" s="13" t="n">
        <v>111</v>
      </c>
      <c r="B1136" s="4" t="inlineStr">
        <is>
          <t>9876444D US</t>
        </is>
      </c>
      <c r="C1136" s="4" t="inlineStr">
        <is>
          <t>KNX US</t>
        </is>
      </c>
      <c r="D1136" s="7" t="n">
        <v>42835</v>
      </c>
      <c r="E1136" s="3" t="n">
        <v>2236.17</v>
      </c>
      <c r="F1136" s="4" t="inlineStr">
        <is>
          <t>Stock</t>
        </is>
      </c>
      <c r="G1136" s="3" t="n">
        <v>8.949999999999999</v>
      </c>
      <c r="H1136" s="4" t="inlineStr">
        <is>
          <t>Industrials</t>
        </is>
      </c>
      <c r="I1136" s="4" t="inlineStr">
        <is>
          <t>Industrial Services</t>
        </is>
      </c>
      <c r="J1136" s="4" t="inlineStr">
        <is>
          <t>Transportation &amp; Logistics</t>
        </is>
      </c>
      <c r="K1136" s="3" t="n">
        <v>89.09999999999999</v>
      </c>
      <c r="L1136" s="3" t="n">
        <v>75.3</v>
      </c>
      <c r="M1136" s="3" t="n">
        <v>-10.59</v>
      </c>
      <c r="N1136" s="3" t="n">
        <v>2280.95</v>
      </c>
      <c r="O1136" s="4" t="inlineStr">
        <is>
          <t>United States</t>
        </is>
      </c>
      <c r="P1136" s="4" t="inlineStr">
        <is>
          <t>United States</t>
        </is>
      </c>
      <c r="Q1136" s="4" t="inlineStr">
        <is>
          <t>Friendly</t>
        </is>
      </c>
      <c r="R1136" s="3" t="n">
        <v>1118.03</v>
      </c>
      <c r="S1136" s="3" t="n">
        <v>11.0155</v>
      </c>
      <c r="T1136" s="4" t="inlineStr">
        <is>
          <t>Company Takeover</t>
        </is>
      </c>
      <c r="U1136" s="2" t="inlineStr">
        <is>
          <t>No</t>
        </is>
      </c>
      <c r="V1136" s="2" t="inlineStr">
        <is>
          <t>No</t>
        </is>
      </c>
      <c r="W1136" s="2" t="inlineStr">
        <is>
          <t>No</t>
        </is>
      </c>
      <c r="X1136" s="2" t="inlineStr">
        <is>
          <t>No</t>
        </is>
      </c>
      <c r="Y1136" s="2" t="inlineStr">
        <is>
          <t>No</t>
        </is>
      </c>
      <c r="Z1136" s="2" t="inlineStr">
        <is>
          <t>No</t>
        </is>
      </c>
      <c r="AA1136" s="6" t="n">
        <v>3.349504817</v>
      </c>
      <c r="AB1136" s="6" t="n">
        <v>3.048453457</v>
      </c>
      <c r="AC1136" s="6" t="n">
        <v>3.358115765</v>
      </c>
      <c r="AD1136">
        <f t="array" ref="AD1136">IF(SUMPRODUCT(--($AM$2:$AM$112=TRIM(LEFT($B1136,IFERROR(FIND(" ",$B1136)-1,LEN($B1136))))))&gt;0,1,0)</f>
        <v/>
      </c>
      <c r="AE1136">
        <f t="array" ref="AE1136">IF(SUMPRODUCT(--($AO$2:$AO$145=TRIM(LEFT($B1136,IFERROR(FIND(" ",$B1136)-1,LEN($B1136))))))&gt;0,1,0)</f>
        <v/>
      </c>
      <c r="AF1136">
        <f t="array" ref="AF1136">IF(SUMPRODUCT(--($AQ$2:$AQ$71=TRIM(LEFT($B1136,IFERROR(FIND(" ",$B1136)-1,LEN($B1136))))))&gt;0,1,0)</f>
        <v/>
      </c>
    </row>
    <row r="1137" ht="75.75" customHeight="1" thickBot="1">
      <c r="A1137" s="13" t="n">
        <v>58</v>
      </c>
      <c r="B1137" s="4" t="inlineStr">
        <is>
          <t>NDQ CN</t>
        </is>
      </c>
      <c r="C1137" s="4" t="inlineStr">
        <is>
          <t>SYK US</t>
        </is>
      </c>
      <c r="D1137" s="7" t="n">
        <v>42905</v>
      </c>
      <c r="E1137" s="3" t="n">
        <v>636.95</v>
      </c>
      <c r="F1137" s="4" t="inlineStr">
        <is>
          <t>Cash</t>
        </is>
      </c>
      <c r="G1137" s="4" t="n"/>
      <c r="H1137" s="4" t="inlineStr">
        <is>
          <t>Health Care</t>
        </is>
      </c>
      <c r="I1137" s="4" t="inlineStr">
        <is>
          <t>Health Care</t>
        </is>
      </c>
      <c r="J1137" s="4" t="inlineStr">
        <is>
          <t>Medical Equipment &amp; Devices</t>
        </is>
      </c>
      <c r="K1137" s="4" t="n"/>
      <c r="L1137" s="3" t="n">
        <v>21</v>
      </c>
      <c r="M1137" s="3" t="n">
        <v>68.73999999999999</v>
      </c>
      <c r="N1137" s="3" t="n">
        <v>683.47</v>
      </c>
      <c r="O1137" s="4" t="inlineStr">
        <is>
          <t>Canada</t>
        </is>
      </c>
      <c r="P1137" s="4" t="inlineStr">
        <is>
          <t>United States</t>
        </is>
      </c>
      <c r="Q1137" s="4" t="inlineStr">
        <is>
          <t>Friendly</t>
        </is>
      </c>
      <c r="R1137" s="3" t="n">
        <v>80.0706</v>
      </c>
      <c r="S1137" s="3" t="n">
        <v>-71.6748</v>
      </c>
      <c r="T1137" s="4" t="inlineStr">
        <is>
          <t>Company Takeover, Cross Border</t>
        </is>
      </c>
      <c r="U1137" s="2" t="inlineStr">
        <is>
          <t>No</t>
        </is>
      </c>
      <c r="V1137" s="2" t="inlineStr">
        <is>
          <t>No</t>
        </is>
      </c>
      <c r="W1137" s="2" t="inlineStr">
        <is>
          <t>Yes</t>
        </is>
      </c>
      <c r="X1137" s="2" t="inlineStr">
        <is>
          <t>No</t>
        </is>
      </c>
      <c r="Y1137" s="2" t="inlineStr">
        <is>
          <t>No</t>
        </is>
      </c>
      <c r="Z1137" s="2" t="inlineStr">
        <is>
          <t>No</t>
        </is>
      </c>
      <c r="AA1137" s="6" t="n">
        <v>2.804105342</v>
      </c>
      <c r="AB1137" s="6" t="n">
        <v>1.903473083</v>
      </c>
      <c r="AC1137" s="6" t="n">
        <v>2.834719457</v>
      </c>
      <c r="AD1137">
        <f t="array" ref="AD1137">IF(SUMPRODUCT(--($AM$2:$AM$112=TRIM(LEFT($B1137,IFERROR(FIND(" ",$B1137)-1,LEN($B1137))))))&gt;0,1,0)</f>
        <v/>
      </c>
      <c r="AE1137">
        <f t="array" ref="AE1137">IF(SUMPRODUCT(--($AO$2:$AO$145=TRIM(LEFT($B1137,IFERROR(FIND(" ",$B1137)-1,LEN($B1137))))))&gt;0,1,0)</f>
        <v/>
      </c>
      <c r="AF1137">
        <f t="array" ref="AF1137">IF(SUMPRODUCT(--($AQ$2:$AQ$71=TRIM(LEFT($B1137,IFERROR(FIND(" ",$B1137)-1,LEN($B1137))))))&gt;0,1,0)</f>
        <v/>
      </c>
    </row>
    <row r="1138" ht="75.75" customHeight="1" thickBot="1">
      <c r="A1138" s="13" t="n">
        <v>95</v>
      </c>
      <c r="B1138" s="4" t="inlineStr">
        <is>
          <t>FCH US</t>
        </is>
      </c>
      <c r="C1138" s="4" t="inlineStr">
        <is>
          <t>RLJ US</t>
        </is>
      </c>
      <c r="D1138" s="7" t="n">
        <v>42849</v>
      </c>
      <c r="E1138" s="3" t="n">
        <v>2451.56</v>
      </c>
      <c r="F1138" s="4" t="inlineStr">
        <is>
          <t>Stock</t>
        </is>
      </c>
      <c r="G1138" s="3" t="n">
        <v>14.79</v>
      </c>
      <c r="H1138" s="4" t="inlineStr">
        <is>
          <t>Real Estate</t>
        </is>
      </c>
      <c r="I1138" s="4" t="inlineStr">
        <is>
          <t>Real Estate</t>
        </is>
      </c>
      <c r="J1138" s="4" t="inlineStr">
        <is>
          <t>REIT</t>
        </is>
      </c>
      <c r="K1138" s="3" t="n">
        <v>95</v>
      </c>
      <c r="L1138" s="3" t="n">
        <v>39</v>
      </c>
      <c r="M1138" s="3" t="n">
        <v>14.05</v>
      </c>
      <c r="N1138" s="3" t="n">
        <v>1160.55</v>
      </c>
      <c r="O1138" s="4" t="inlineStr">
        <is>
          <t>United States</t>
        </is>
      </c>
      <c r="P1138" s="4" t="inlineStr">
        <is>
          <t>United States</t>
        </is>
      </c>
      <c r="Q1138" s="4" t="inlineStr">
        <is>
          <t>Friendly</t>
        </is>
      </c>
      <c r="R1138" s="3" t="n">
        <v>866.954</v>
      </c>
      <c r="S1138" s="3" t="n">
        <v>3.77184</v>
      </c>
      <c r="T1138" s="4" t="inlineStr">
        <is>
          <t>Competing Bid, Company Takeover</t>
        </is>
      </c>
      <c r="U1138" s="2" t="inlineStr">
        <is>
          <t>No</t>
        </is>
      </c>
      <c r="V1138" s="2" t="inlineStr">
        <is>
          <t>Yes</t>
        </is>
      </c>
      <c r="W1138" s="2" t="inlineStr">
        <is>
          <t>No</t>
        </is>
      </c>
      <c r="X1138" s="2" t="inlineStr">
        <is>
          <t>No</t>
        </is>
      </c>
      <c r="Y1138" s="2" t="inlineStr">
        <is>
          <t>No</t>
        </is>
      </c>
      <c r="Z1138" s="2" t="inlineStr">
        <is>
          <t>No</t>
        </is>
      </c>
      <c r="AA1138" s="6" t="n">
        <v>3.389442527</v>
      </c>
      <c r="AB1138" s="6" t="n">
        <v>2.937996055</v>
      </c>
      <c r="AC1138" s="6" t="n">
        <v>3.064663856</v>
      </c>
      <c r="AD1138">
        <f t="array" ref="AD1138">IF(SUMPRODUCT(--($AM$2:$AM$112=TRIM(LEFT($B1138,IFERROR(FIND(" ",$B1138)-1,LEN($B1138))))))&gt;0,1,0)</f>
        <v/>
      </c>
      <c r="AE1138">
        <f t="array" ref="AE1138">IF(SUMPRODUCT(--($AO$2:$AO$145=TRIM(LEFT($B1138,IFERROR(FIND(" ",$B1138)-1,LEN($B1138))))))&gt;0,1,0)</f>
        <v/>
      </c>
      <c r="AF1138">
        <f t="array" ref="AF1138">IF(SUMPRODUCT(--($AQ$2:$AQ$71=TRIM(LEFT($B1138,IFERROR(FIND(" ",$B1138)-1,LEN($B1138))))))&gt;0,1,0)</f>
        <v/>
      </c>
    </row>
    <row r="1139" ht="135.75" customHeight="1" thickBot="1">
      <c r="A1139" s="13" t="n">
        <v>64</v>
      </c>
      <c r="B1139" s="4" t="inlineStr">
        <is>
          <t>AMRI US</t>
        </is>
      </c>
      <c r="C1139" s="2" t="n"/>
      <c r="D1139" s="7" t="n">
        <v>42892</v>
      </c>
      <c r="E1139" s="3" t="n">
        <v>1540.03</v>
      </c>
      <c r="F1139" s="4" t="inlineStr">
        <is>
          <t>Cash</t>
        </is>
      </c>
      <c r="G1139" s="3" t="n">
        <v>33.18</v>
      </c>
      <c r="H1139" s="4" t="inlineStr">
        <is>
          <t>Health Care</t>
        </is>
      </c>
      <c r="I1139" s="4" t="inlineStr">
        <is>
          <t>Health Care</t>
        </is>
      </c>
      <c r="J1139" s="4" t="inlineStr">
        <is>
          <t>Medical Equipment &amp; Devices</t>
        </is>
      </c>
      <c r="K1139" s="3" t="n">
        <v>70</v>
      </c>
      <c r="L1139" s="3" t="n">
        <v>35</v>
      </c>
      <c r="M1139" s="4" t="n"/>
      <c r="N1139" s="3" t="n">
        <v>933.77</v>
      </c>
      <c r="O1139" s="4" t="inlineStr">
        <is>
          <t>United States</t>
        </is>
      </c>
      <c r="P1139" s="4" t="inlineStr">
        <is>
          <t>United States</t>
        </is>
      </c>
      <c r="Q1139" s="4" t="inlineStr">
        <is>
          <t>Friendly</t>
        </is>
      </c>
      <c r="R1139" s="3" t="n">
        <v>570.45</v>
      </c>
      <c r="S1139" s="3" t="n">
        <v>-3.01815</v>
      </c>
      <c r="T1139" s="4" t="inlineStr">
        <is>
          <t>PE Buyout, Company Takeover, Private Equity, Going Private</t>
        </is>
      </c>
      <c r="U1139" s="2" t="inlineStr">
        <is>
          <t>No</t>
        </is>
      </c>
      <c r="V1139" s="2" t="inlineStr">
        <is>
          <t>No</t>
        </is>
      </c>
      <c r="W1139" s="2" t="inlineStr">
        <is>
          <t>No</t>
        </is>
      </c>
      <c r="X1139" s="2" t="inlineStr">
        <is>
          <t>Yes</t>
        </is>
      </c>
      <c r="Y1139" s="2" t="inlineStr">
        <is>
          <t>Yes</t>
        </is>
      </c>
      <c r="Z1139" s="2" t="inlineStr">
        <is>
          <t>No</t>
        </is>
      </c>
      <c r="AA1139" s="6" t="n">
        <v>3.187529181</v>
      </c>
      <c r="AB1139" s="6" t="n">
        <v>2.756217584</v>
      </c>
      <c r="AC1139" s="6" t="n">
        <v>2.970239917</v>
      </c>
      <c r="AD1139">
        <f t="array" ref="AD1139">IF(SUMPRODUCT(--($AM$2:$AM$112=TRIM(LEFT($B1139,IFERROR(FIND(" ",$B1139)-1,LEN($B1139))))))&gt;0,1,0)</f>
        <v/>
      </c>
      <c r="AE1139">
        <f t="array" ref="AE1139">IF(SUMPRODUCT(--($AO$2:$AO$145=TRIM(LEFT($B1139,IFERROR(FIND(" ",$B1139)-1,LEN($B1139))))))&gt;0,1,0)</f>
        <v/>
      </c>
      <c r="AF1139">
        <f t="array" ref="AF1139">IF(SUMPRODUCT(--($AQ$2:$AQ$71=TRIM(LEFT($B1139,IFERROR(FIND(" ",$B1139)-1,LEN($B1139))))))&gt;0,1,0)</f>
        <v/>
      </c>
    </row>
    <row r="1140" ht="60.75" customHeight="1" thickBot="1">
      <c r="A1140" s="13" t="n">
        <v>53</v>
      </c>
      <c r="B1140" s="4" t="inlineStr">
        <is>
          <t>WFM US</t>
        </is>
      </c>
      <c r="C1140" s="4" t="inlineStr">
        <is>
          <t>AMZN US</t>
        </is>
      </c>
      <c r="D1140" s="7" t="n">
        <v>42902</v>
      </c>
      <c r="E1140" s="3" t="n">
        <v>13605.36</v>
      </c>
      <c r="F1140" s="4" t="inlineStr">
        <is>
          <t>Cash</t>
        </is>
      </c>
      <c r="G1140" s="3" t="n">
        <v>10.88</v>
      </c>
      <c r="H1140" s="4" t="inlineStr">
        <is>
          <t>Consumer Staples</t>
        </is>
      </c>
      <c r="I1140" s="4" t="inlineStr">
        <is>
          <t>Retail &amp; Wholesale - Staples</t>
        </is>
      </c>
      <c r="J1140" s="4" t="inlineStr">
        <is>
          <t>Retail - Consumer Staples</t>
        </is>
      </c>
      <c r="K1140" s="4" t="n"/>
      <c r="L1140" s="3" t="n">
        <v>400</v>
      </c>
      <c r="M1140" s="3" t="n">
        <v>19.15</v>
      </c>
      <c r="N1140" s="3" t="n">
        <v>13444.36</v>
      </c>
      <c r="O1140" s="4" t="inlineStr">
        <is>
          <t>United States</t>
        </is>
      </c>
      <c r="P1140" s="4" t="inlineStr">
        <is>
          <t>United States</t>
        </is>
      </c>
      <c r="Q1140" s="4" t="inlineStr">
        <is>
          <t>Friendly</t>
        </is>
      </c>
      <c r="R1140" s="3" t="n">
        <v>16030</v>
      </c>
      <c r="S1140" s="3" t="n">
        <v>2.86338</v>
      </c>
      <c r="T1140" s="4" t="inlineStr">
        <is>
          <t>Company Takeover</t>
        </is>
      </c>
      <c r="U1140" s="2" t="inlineStr">
        <is>
          <t>No</t>
        </is>
      </c>
      <c r="V1140" s="2" t="inlineStr">
        <is>
          <t>No</t>
        </is>
      </c>
      <c r="W1140" s="2" t="inlineStr">
        <is>
          <t>No</t>
        </is>
      </c>
      <c r="X1140" s="2" t="inlineStr">
        <is>
          <t>No</t>
        </is>
      </c>
      <c r="Y1140" s="2" t="inlineStr">
        <is>
          <t>No</t>
        </is>
      </c>
      <c r="Z1140" s="2" t="inlineStr">
        <is>
          <t>No</t>
        </is>
      </c>
      <c r="AA1140" s="6" t="n">
        <v>4.133710038</v>
      </c>
      <c r="AB1140" s="6" t="n">
        <v>4.204933522</v>
      </c>
      <c r="AC1140" s="6" t="n">
        <v>4.128540133</v>
      </c>
      <c r="AD1140">
        <f t="array" ref="AD1140">IF(SUMPRODUCT(--($AM$2:$AM$112=TRIM(LEFT($B1140,IFERROR(FIND(" ",$B1140)-1,LEN($B1140))))))&gt;0,1,0)</f>
        <v/>
      </c>
      <c r="AE1140">
        <f t="array" ref="AE1140">IF(SUMPRODUCT(--($AO$2:$AO$145=TRIM(LEFT($B1140,IFERROR(FIND(" ",$B1140)-1,LEN($B1140))))))&gt;0,1,0)</f>
        <v/>
      </c>
      <c r="AF1140">
        <f t="array" ref="AF1140">IF(SUMPRODUCT(--($AQ$2:$AQ$71=TRIM(LEFT($B1140,IFERROR(FIND(" ",$B1140)-1,LEN($B1140))))))&gt;0,1,0)</f>
        <v/>
      </c>
    </row>
    <row r="1141" ht="45.75" customHeight="1" thickBot="1">
      <c r="A1141" s="13" t="n">
        <v>74</v>
      </c>
      <c r="B1141" s="4" t="inlineStr">
        <is>
          <t>CCP US</t>
        </is>
      </c>
      <c r="C1141" s="4" t="inlineStr">
        <is>
          <t>SBRA US</t>
        </is>
      </c>
      <c r="D1141" s="7" t="n">
        <v>42863</v>
      </c>
      <c r="E1141" s="3" t="n">
        <v>4034.62</v>
      </c>
      <c r="F1141" s="4" t="inlineStr">
        <is>
          <t>Stock</t>
        </is>
      </c>
      <c r="G1141" s="3" t="n">
        <v>13.64</v>
      </c>
      <c r="H1141" s="4" t="inlineStr">
        <is>
          <t>Real Estate</t>
        </is>
      </c>
      <c r="I1141" s="4" t="inlineStr">
        <is>
          <t>Real Estate</t>
        </is>
      </c>
      <c r="J1141" s="4" t="inlineStr">
        <is>
          <t>REIT</t>
        </is>
      </c>
      <c r="K1141" s="3" t="n">
        <v>15</v>
      </c>
      <c r="L1141" s="3" t="n">
        <v>38.5</v>
      </c>
      <c r="M1141" s="3" t="n">
        <v>14.09</v>
      </c>
      <c r="N1141" s="3" t="n">
        <v>2635.92</v>
      </c>
      <c r="O1141" s="4" t="inlineStr">
        <is>
          <t>United States</t>
        </is>
      </c>
      <c r="P1141" s="4" t="inlineStr">
        <is>
          <t>United States</t>
        </is>
      </c>
      <c r="Q1141" s="4" t="inlineStr">
        <is>
          <t>Friendly</t>
        </is>
      </c>
      <c r="R1141" s="3" t="n">
        <v>340.606</v>
      </c>
      <c r="S1141" s="3" t="n">
        <v>59.4661</v>
      </c>
      <c r="T1141" s="4" t="inlineStr">
        <is>
          <t>Company Takeover</t>
        </is>
      </c>
      <c r="U1141" s="2" t="inlineStr">
        <is>
          <t>No</t>
        </is>
      </c>
      <c r="V1141" s="2" t="inlineStr">
        <is>
          <t>No</t>
        </is>
      </c>
      <c r="W1141" s="2" t="inlineStr">
        <is>
          <t>No</t>
        </is>
      </c>
      <c r="X1141" s="2" t="inlineStr">
        <is>
          <t>No</t>
        </is>
      </c>
      <c r="Y1141" s="2" t="inlineStr">
        <is>
          <t>No</t>
        </is>
      </c>
      <c r="Z1141" s="2" t="inlineStr">
        <is>
          <t>No</t>
        </is>
      </c>
      <c r="AA1141" s="6" t="n">
        <v>3.605802637</v>
      </c>
      <c r="AB1141" s="6" t="n">
        <v>2.532252294</v>
      </c>
      <c r="AC1141" s="6" t="n">
        <v>3.420932225</v>
      </c>
      <c r="AD1141">
        <f t="array" ref="AD1141">IF(SUMPRODUCT(--($AM$2:$AM$112=TRIM(LEFT($B1141,IFERROR(FIND(" ",$B1141)-1,LEN($B1141))))))&gt;0,1,0)</f>
        <v/>
      </c>
      <c r="AE1141">
        <f t="array" ref="AE1141">IF(SUMPRODUCT(--($AO$2:$AO$145=TRIM(LEFT($B1141,IFERROR(FIND(" ",$B1141)-1,LEN($B1141))))))&gt;0,1,0)</f>
        <v/>
      </c>
      <c r="AF1141">
        <f t="array" ref="AF1141">IF(SUMPRODUCT(--($AQ$2:$AQ$71=TRIM(LEFT($B1141,IFERROR(FIND(" ",$B1141)-1,LEN($B1141))))))&gt;0,1,0)</f>
        <v/>
      </c>
    </row>
    <row r="1142" ht="105.75" customHeight="1" thickBot="1">
      <c r="A1142" s="13" t="n">
        <v>32</v>
      </c>
      <c r="B1142" s="4" t="inlineStr">
        <is>
          <t>SPNC US</t>
        </is>
      </c>
      <c r="C1142" s="4" t="inlineStr">
        <is>
          <t>PHIA NA</t>
        </is>
      </c>
      <c r="D1142" s="7" t="n">
        <v>42914</v>
      </c>
      <c r="E1142" s="3" t="n">
        <v>2000.93</v>
      </c>
      <c r="F1142" s="4" t="inlineStr">
        <is>
          <t>Cash</t>
        </is>
      </c>
      <c r="G1142" s="4" t="n"/>
      <c r="H1142" s="4" t="inlineStr">
        <is>
          <t>Health Care</t>
        </is>
      </c>
      <c r="I1142" s="4" t="inlineStr">
        <is>
          <t>Health Care</t>
        </is>
      </c>
      <c r="J1142" s="4" t="inlineStr">
        <is>
          <t>Medical Equipment &amp; Devices</t>
        </is>
      </c>
      <c r="K1142" s="4" t="n"/>
      <c r="L1142" s="3" t="n">
        <v>61</v>
      </c>
      <c r="M1142" s="3" t="n">
        <v>33.15</v>
      </c>
      <c r="N1142" s="3" t="n">
        <v>1732.73</v>
      </c>
      <c r="O1142" s="4" t="inlineStr">
        <is>
          <t>United States</t>
        </is>
      </c>
      <c r="P1142" s="4" t="inlineStr">
        <is>
          <t>Netherlands</t>
        </is>
      </c>
      <c r="Q1142" s="4" t="inlineStr">
        <is>
          <t>Friendly</t>
        </is>
      </c>
      <c r="R1142" s="3" t="n">
        <v>270.823</v>
      </c>
      <c r="S1142" s="3" t="n">
        <v>-19.2171</v>
      </c>
      <c r="T1142" s="4" t="inlineStr">
        <is>
          <t>Company Takeover, Cross Border, Tender Offer</t>
        </is>
      </c>
      <c r="U1142" s="2" t="inlineStr">
        <is>
          <t>No</t>
        </is>
      </c>
      <c r="V1142" s="2" t="inlineStr">
        <is>
          <t>No</t>
        </is>
      </c>
      <c r="W1142" s="2" t="inlineStr">
        <is>
          <t>Yes</t>
        </is>
      </c>
      <c r="X1142" s="2" t="inlineStr">
        <is>
          <t>No</t>
        </is>
      </c>
      <c r="Y1142" s="2" t="inlineStr">
        <is>
          <t>No</t>
        </is>
      </c>
      <c r="Z1142" s="2" t="inlineStr">
        <is>
          <t>Yes</t>
        </is>
      </c>
      <c r="AA1142" s="6" t="n">
        <v>3.301231896</v>
      </c>
      <c r="AB1142" s="6" t="n">
        <v>2.432685545</v>
      </c>
      <c r="AC1142" s="6" t="n">
        <v>3.238730895</v>
      </c>
      <c r="AD1142">
        <f t="array" ref="AD1142">IF(SUMPRODUCT(--($AM$2:$AM$112=TRIM(LEFT($B1142,IFERROR(FIND(" ",$B1142)-1,LEN($B1142))))))&gt;0,1,0)</f>
        <v/>
      </c>
      <c r="AE1142">
        <f t="array" ref="AE1142">IF(SUMPRODUCT(--($AO$2:$AO$145=TRIM(LEFT($B1142,IFERROR(FIND(" ",$B1142)-1,LEN($B1142))))))&gt;0,1,0)</f>
        <v/>
      </c>
      <c r="AF1142">
        <f t="array" ref="AF1142">IF(SUMPRODUCT(--($AQ$2:$AQ$71=TRIM(LEFT($B1142,IFERROR(FIND(" ",$B1142)-1,LEN($B1142))))))&gt;0,1,0)</f>
        <v/>
      </c>
    </row>
    <row r="1143" ht="135.75" customHeight="1" thickBot="1">
      <c r="A1143" s="13" t="n">
        <v>82</v>
      </c>
      <c r="B1143" s="4" t="inlineStr">
        <is>
          <t>1824551D US</t>
        </is>
      </c>
      <c r="C1143" s="2" t="n"/>
      <c r="D1143" s="7" t="n">
        <v>42835</v>
      </c>
      <c r="E1143" s="3" t="n">
        <v>1521.66</v>
      </c>
      <c r="F1143" s="4" t="inlineStr">
        <is>
          <t>Cash</t>
        </is>
      </c>
      <c r="G1143" s="3" t="n">
        <v>12.07</v>
      </c>
      <c r="H1143" s="4" t="inlineStr">
        <is>
          <t>Consumer Discretionary</t>
        </is>
      </c>
      <c r="I1143" s="4" t="inlineStr">
        <is>
          <t>Consumer Discretionary Services</t>
        </is>
      </c>
      <c r="J1143" s="4" t="inlineStr">
        <is>
          <t>Leisure Facilities &amp; Services</t>
        </is>
      </c>
      <c r="K1143" s="3" t="n">
        <v>66.2051</v>
      </c>
      <c r="L1143" s="3" t="n">
        <v>28.3736</v>
      </c>
      <c r="M1143" s="4" t="n"/>
      <c r="N1143" s="3" t="n">
        <v>944.6799999999999</v>
      </c>
      <c r="O1143" s="4" t="inlineStr">
        <is>
          <t>United States</t>
        </is>
      </c>
      <c r="P1143" s="4" t="inlineStr">
        <is>
          <t>United States</t>
        </is>
      </c>
      <c r="Q1143" s="4" t="inlineStr">
        <is>
          <t>Friendly</t>
        </is>
      </c>
      <c r="R1143" s="3" t="n">
        <v>570.912</v>
      </c>
      <c r="S1143" s="3" t="n">
        <v>11.1182</v>
      </c>
      <c r="T1143" s="4" t="inlineStr">
        <is>
          <t>PE Buyout, Company Takeover, Private Equity, Going Private</t>
        </is>
      </c>
      <c r="U1143" s="2" t="inlineStr">
        <is>
          <t>No</t>
        </is>
      </c>
      <c r="V1143" s="2" t="inlineStr">
        <is>
          <t>No</t>
        </is>
      </c>
      <c r="W1143" s="2" t="inlineStr">
        <is>
          <t>No</t>
        </is>
      </c>
      <c r="X1143" s="2" t="inlineStr">
        <is>
          <t>Yes</t>
        </is>
      </c>
      <c r="Y1143" s="2" t="inlineStr">
        <is>
          <t>Yes</t>
        </is>
      </c>
      <c r="Z1143" s="2" t="inlineStr">
        <is>
          <t>No</t>
        </is>
      </c>
      <c r="AA1143" s="6" t="n">
        <v>3.182317624</v>
      </c>
      <c r="AB1143" s="6" t="n">
        <v>2.756569172</v>
      </c>
      <c r="AC1143" s="6" t="n">
        <v>2.975284721</v>
      </c>
      <c r="AD1143">
        <f t="array" ref="AD1143">IF(SUMPRODUCT(--($AM$2:$AM$112=TRIM(LEFT($B1143,IFERROR(FIND(" ",$B1143)-1,LEN($B1143))))))&gt;0,1,0)</f>
        <v/>
      </c>
      <c r="AE1143">
        <f t="array" ref="AE1143">IF(SUMPRODUCT(--($AO$2:$AO$145=TRIM(LEFT($B1143,IFERROR(FIND(" ",$B1143)-1,LEN($B1143))))))&gt;0,1,0)</f>
        <v/>
      </c>
      <c r="AF1143">
        <f t="array" ref="AF1143">IF(SUMPRODUCT(--($AQ$2:$AQ$71=TRIM(LEFT($B1143,IFERROR(FIND(" ",$B1143)-1,LEN($B1143))))))&gt;0,1,0)</f>
        <v/>
      </c>
    </row>
    <row r="1144" ht="60.75" customHeight="1" thickBot="1">
      <c r="A1144" s="13" t="n">
        <v>92</v>
      </c>
      <c r="B1144" s="4" t="inlineStr">
        <is>
          <t>KCG US</t>
        </is>
      </c>
      <c r="C1144" s="4" t="inlineStr">
        <is>
          <t>VIRT US</t>
        </is>
      </c>
      <c r="D1144" s="7" t="n">
        <v>42809</v>
      </c>
      <c r="E1144" s="3" t="n">
        <v>1328.9</v>
      </c>
      <c r="F1144" s="4" t="inlineStr">
        <is>
          <t>Cash</t>
        </is>
      </c>
      <c r="G1144" s="3" t="n">
        <v>2.36</v>
      </c>
      <c r="H1144" s="4" t="inlineStr">
        <is>
          <t>Financials</t>
        </is>
      </c>
      <c r="I1144" s="4" t="inlineStr">
        <is>
          <t>Financial Services</t>
        </is>
      </c>
      <c r="J1144" s="4" t="inlineStr">
        <is>
          <t>Institutional Financial Svcs</t>
        </is>
      </c>
      <c r="K1144" s="4" t="n"/>
      <c r="L1144" s="3" t="n">
        <v>45</v>
      </c>
      <c r="M1144" s="3" t="n">
        <v>42.27</v>
      </c>
      <c r="N1144" s="3" t="n">
        <v>1328.9</v>
      </c>
      <c r="O1144" s="4" t="inlineStr">
        <is>
          <t>United States</t>
        </is>
      </c>
      <c r="P1144" s="4" t="inlineStr">
        <is>
          <t>United States</t>
        </is>
      </c>
      <c r="Q1144" s="4" t="inlineStr">
        <is>
          <t>Unsolicited to Friendly</t>
        </is>
      </c>
      <c r="R1144" s="3" t="n">
        <v>2.14689</v>
      </c>
      <c r="S1144" s="2" t="n"/>
      <c r="T1144" s="4" t="inlineStr">
        <is>
          <t>Company Takeover</t>
        </is>
      </c>
      <c r="U1144" s="2" t="inlineStr">
        <is>
          <t>No</t>
        </is>
      </c>
      <c r="V1144" s="2" t="inlineStr">
        <is>
          <t>No</t>
        </is>
      </c>
      <c r="W1144" s="2" t="inlineStr">
        <is>
          <t>No</t>
        </is>
      </c>
      <c r="X1144" s="2" t="inlineStr">
        <is>
          <t>No</t>
        </is>
      </c>
      <c r="Y1144" s="2" t="inlineStr">
        <is>
          <t>No</t>
        </is>
      </c>
      <c r="Z1144" s="2" t="inlineStr">
        <is>
          <t>No</t>
        </is>
      </c>
      <c r="AA1144" s="6" t="n">
        <v>3.123492301</v>
      </c>
      <c r="AB1144" s="6" t="n">
        <v>0.3318097931</v>
      </c>
      <c r="AC1144" s="6" t="n">
        <v>3.123492301</v>
      </c>
      <c r="AD1144">
        <f t="array" ref="AD1144">IF(SUMPRODUCT(--($AM$2:$AM$112=TRIM(LEFT($B1144,IFERROR(FIND(" ",$B1144)-1,LEN($B1144))))))&gt;0,1,0)</f>
        <v/>
      </c>
      <c r="AE1144">
        <f t="array" ref="AE1144">IF(SUMPRODUCT(--($AO$2:$AO$145=TRIM(LEFT($B1144,IFERROR(FIND(" ",$B1144)-1,LEN($B1144))))))&gt;0,1,0)</f>
        <v/>
      </c>
      <c r="AF1144">
        <f t="array" ref="AF1144">IF(SUMPRODUCT(--($AQ$2:$AQ$71=TRIM(LEFT($B1144,IFERROR(FIND(" ",$B1144)-1,LEN($B1144))))))&gt;0,1,0)</f>
        <v/>
      </c>
    </row>
    <row r="1145" ht="165.75" customHeight="1" thickBot="1">
      <c r="A1145" s="13" t="n">
        <v>76</v>
      </c>
      <c r="B1145" s="4" t="inlineStr">
        <is>
          <t>PNRA US</t>
        </is>
      </c>
      <c r="C1145" s="4" t="inlineStr">
        <is>
          <t>1074556D LX</t>
        </is>
      </c>
      <c r="D1145" s="7" t="n">
        <v>42830</v>
      </c>
      <c r="E1145" s="3" t="n">
        <v>7476.88</v>
      </c>
      <c r="F1145" s="4" t="inlineStr">
        <is>
          <t>Cash</t>
        </is>
      </c>
      <c r="G1145" s="3" t="n">
        <v>18.1</v>
      </c>
      <c r="H1145" s="4" t="inlineStr">
        <is>
          <t>Consumer Discretionary</t>
        </is>
      </c>
      <c r="I1145" s="4" t="inlineStr">
        <is>
          <t>Consumer Discretionary Services</t>
        </is>
      </c>
      <c r="J1145" s="4" t="inlineStr">
        <is>
          <t>Leisure Facilities &amp; Services</t>
        </is>
      </c>
      <c r="K1145" s="4" t="n"/>
      <c r="L1145" s="3" t="n">
        <v>215</v>
      </c>
      <c r="M1145" s="4" t="n"/>
      <c r="N1145" s="3" t="n">
        <v>7156.8</v>
      </c>
      <c r="O1145" s="4" t="inlineStr">
        <is>
          <t>United States</t>
        </is>
      </c>
      <c r="P1145" s="4" t="inlineStr">
        <is>
          <t>Austria</t>
        </is>
      </c>
      <c r="Q1145" s="4" t="inlineStr">
        <is>
          <t>Friendly</t>
        </is>
      </c>
      <c r="R1145" s="3" t="n">
        <v>2795.36</v>
      </c>
      <c r="S1145" s="3" t="n">
        <v>8.972939999999999</v>
      </c>
      <c r="T1145" s="4" t="inlineStr">
        <is>
          <t>PE Buyout, Company Takeover, Cross Border, Private Equity, Going Private</t>
        </is>
      </c>
      <c r="U1145" s="2" t="inlineStr">
        <is>
          <t>No</t>
        </is>
      </c>
      <c r="V1145" s="2" t="inlineStr">
        <is>
          <t>No</t>
        </is>
      </c>
      <c r="W1145" s="2" t="inlineStr">
        <is>
          <t>Yes</t>
        </is>
      </c>
      <c r="X1145" s="2" t="inlineStr">
        <is>
          <t>Yes</t>
        </is>
      </c>
      <c r="Y1145" s="2" t="inlineStr">
        <is>
          <t>Yes</t>
        </is>
      </c>
      <c r="Z1145" s="2" t="inlineStr">
        <is>
          <t>No</t>
        </is>
      </c>
      <c r="AA1145" s="6" t="n">
        <v>3.873720411</v>
      </c>
      <c r="AB1145" s="6" t="n">
        <v>3.446437746</v>
      </c>
      <c r="AC1145" s="6" t="n">
        <v>3.854718881</v>
      </c>
      <c r="AD1145">
        <f t="array" ref="AD1145">IF(SUMPRODUCT(--($AM$2:$AM$112=TRIM(LEFT($B1145,IFERROR(FIND(" ",$B1145)-1,LEN($B1145))))))&gt;0,1,0)</f>
        <v/>
      </c>
      <c r="AE1145">
        <f t="array" ref="AE1145">IF(SUMPRODUCT(--($AO$2:$AO$145=TRIM(LEFT($B1145,IFERROR(FIND(" ",$B1145)-1,LEN($B1145))))))&gt;0,1,0)</f>
        <v/>
      </c>
      <c r="AF1145">
        <f t="array" ref="AF1145">IF(SUMPRODUCT(--($AQ$2:$AQ$71=TRIM(LEFT($B1145,IFERROR(FIND(" ",$B1145)-1,LEN($B1145))))))&gt;0,1,0)</f>
        <v/>
      </c>
    </row>
    <row r="1146" ht="75.75" customHeight="1" thickBot="1">
      <c r="A1146" s="13" t="n">
        <v>48</v>
      </c>
      <c r="B1146" s="4" t="inlineStr">
        <is>
          <t>KATE US</t>
        </is>
      </c>
      <c r="C1146" s="4" t="inlineStr">
        <is>
          <t>TPR US</t>
        </is>
      </c>
      <c r="D1146" s="7" t="n">
        <v>42863</v>
      </c>
      <c r="E1146" s="3" t="n">
        <v>2353.75</v>
      </c>
      <c r="F1146" s="4" t="inlineStr">
        <is>
          <t>Cash</t>
        </is>
      </c>
      <c r="G1146" s="3" t="n">
        <v>10.55</v>
      </c>
      <c r="H1146" s="4" t="inlineStr">
        <is>
          <t>Consumer Discretionary</t>
        </is>
      </c>
      <c r="I1146" s="4" t="inlineStr">
        <is>
          <t>Consumer Discretionary Products</t>
        </is>
      </c>
      <c r="J1146" s="4" t="inlineStr">
        <is>
          <t>Apparel &amp; Textile Products</t>
        </is>
      </c>
      <c r="K1146" s="4" t="n"/>
      <c r="L1146" s="3" t="n">
        <v>83.271</v>
      </c>
      <c r="M1146" s="3" t="n">
        <v>2.72</v>
      </c>
      <c r="N1146" s="3" t="n">
        <v>2383.5</v>
      </c>
      <c r="O1146" s="4" t="inlineStr">
        <is>
          <t>United States</t>
        </is>
      </c>
      <c r="P1146" s="4" t="inlineStr">
        <is>
          <t>United States</t>
        </is>
      </c>
      <c r="Q1146" s="4" t="inlineStr">
        <is>
          <t>Friendly</t>
        </is>
      </c>
      <c r="R1146" s="3" t="n">
        <v>1381.48</v>
      </c>
      <c r="S1146" s="3" t="n">
        <v>12.5361</v>
      </c>
      <c r="T1146" s="4" t="inlineStr">
        <is>
          <t>Company Takeover, Tender Offer</t>
        </is>
      </c>
      <c r="U1146" s="2" t="inlineStr">
        <is>
          <t>No</t>
        </is>
      </c>
      <c r="V1146" s="2" t="inlineStr">
        <is>
          <t>No</t>
        </is>
      </c>
      <c r="W1146" s="2" t="inlineStr">
        <is>
          <t>No</t>
        </is>
      </c>
      <c r="X1146" s="2" t="inlineStr">
        <is>
          <t>No</t>
        </is>
      </c>
      <c r="Y1146" s="2" t="inlineStr">
        <is>
          <t>No</t>
        </is>
      </c>
      <c r="Z1146" s="2" t="inlineStr">
        <is>
          <t>Yes</t>
        </is>
      </c>
      <c r="AA1146" s="6" t="n">
        <v>3.371760333</v>
      </c>
      <c r="AB1146" s="6" t="n">
        <v>3.140344602</v>
      </c>
      <c r="AC1146" s="6" t="n">
        <v>3.377215156</v>
      </c>
      <c r="AD1146">
        <f t="array" ref="AD1146">IF(SUMPRODUCT(--($AM$2:$AM$112=TRIM(LEFT($B1146,IFERROR(FIND(" ",$B1146)-1,LEN($B1146))))))&gt;0,1,0)</f>
        <v/>
      </c>
      <c r="AE1146">
        <f t="array" ref="AE1146">IF(SUMPRODUCT(--($AO$2:$AO$145=TRIM(LEFT($B1146,IFERROR(FIND(" ",$B1146)-1,LEN($B1146))))))&gt;0,1,0)</f>
        <v/>
      </c>
      <c r="AF1146">
        <f t="array" ref="AF1146">IF(SUMPRODUCT(--($AQ$2:$AQ$71=TRIM(LEFT($B1146,IFERROR(FIND(" ",$B1146)-1,LEN($B1146))))))&gt;0,1,0)</f>
        <v/>
      </c>
    </row>
    <row r="1147" ht="75.75" customHeight="1" thickBot="1">
      <c r="A1147" s="13" t="n">
        <v>30</v>
      </c>
      <c r="B1147" s="4" t="inlineStr">
        <is>
          <t>CCN US</t>
        </is>
      </c>
      <c r="C1147" s="4" t="inlineStr">
        <is>
          <t>FDC US</t>
        </is>
      </c>
      <c r="D1147" s="7" t="n">
        <v>42884</v>
      </c>
      <c r="E1147" s="3" t="n">
        <v>588.58</v>
      </c>
      <c r="F1147" s="4" t="inlineStr">
        <is>
          <t>Cash</t>
        </is>
      </c>
      <c r="G1147" s="4" t="n"/>
      <c r="H1147" s="4" t="inlineStr">
        <is>
          <t>Financials</t>
        </is>
      </c>
      <c r="I1147" s="4" t="inlineStr">
        <is>
          <t>Financial Services</t>
        </is>
      </c>
      <c r="J1147" s="4" t="inlineStr">
        <is>
          <t>Specialty Finance</t>
        </is>
      </c>
      <c r="K1147" s="3" t="n">
        <v>35</v>
      </c>
      <c r="L1147" s="3" t="n">
        <v>18</v>
      </c>
      <c r="M1147" s="3" t="n">
        <v>8.58</v>
      </c>
      <c r="N1147" s="3" t="n">
        <v>467.82</v>
      </c>
      <c r="O1147" s="4" t="inlineStr">
        <is>
          <t>United States</t>
        </is>
      </c>
      <c r="P1147" s="4" t="inlineStr">
        <is>
          <t>United States</t>
        </is>
      </c>
      <c r="Q1147" s="4" t="inlineStr">
        <is>
          <t>Friendly</t>
        </is>
      </c>
      <c r="R1147" s="3" t="n">
        <v>589.3200000000001</v>
      </c>
      <c r="S1147" s="2" t="n"/>
      <c r="T1147" s="4" t="inlineStr">
        <is>
          <t>Company Takeover, Tender Offer</t>
        </is>
      </c>
      <c r="U1147" s="2" t="inlineStr">
        <is>
          <t>No</t>
        </is>
      </c>
      <c r="V1147" s="2" t="inlineStr">
        <is>
          <t>No</t>
        </is>
      </c>
      <c r="W1147" s="2" t="inlineStr">
        <is>
          <t>No</t>
        </is>
      </c>
      <c r="X1147" s="2" t="inlineStr">
        <is>
          <t>No</t>
        </is>
      </c>
      <c r="Y1147" s="2" t="inlineStr">
        <is>
          <t>No</t>
        </is>
      </c>
      <c r="Z1147" s="2" t="inlineStr">
        <is>
          <t>Yes</t>
        </is>
      </c>
      <c r="AA1147" s="6" t="n">
        <v>2.769805501</v>
      </c>
      <c r="AB1147" s="6" t="n">
        <v>2.77035118</v>
      </c>
      <c r="AC1147" s="6" t="n">
        <v>2.670078785</v>
      </c>
      <c r="AD1147">
        <f t="array" ref="AD1147">IF(SUMPRODUCT(--($AM$2:$AM$112=TRIM(LEFT($B1147,IFERROR(FIND(" ",$B1147)-1,LEN($B1147))))))&gt;0,1,0)</f>
        <v/>
      </c>
      <c r="AE1147">
        <f t="array" ref="AE1147">IF(SUMPRODUCT(--($AO$2:$AO$145=TRIM(LEFT($B1147,IFERROR(FIND(" ",$B1147)-1,LEN($B1147))))))&gt;0,1,0)</f>
        <v/>
      </c>
      <c r="AF1147">
        <f t="array" ref="AF1147">IF(SUMPRODUCT(--($AQ$2:$AQ$71=TRIM(LEFT($B1147,IFERROR(FIND(" ",$B1147)-1,LEN($B1147))))))&gt;0,1,0)</f>
        <v/>
      </c>
    </row>
    <row r="1148" ht="135.75" customHeight="1" thickBot="1">
      <c r="A1148" s="13" t="n">
        <v>51</v>
      </c>
      <c r="B1148" s="4" t="inlineStr">
        <is>
          <t>2293892D CN</t>
        </is>
      </c>
      <c r="C1148" s="2" t="n"/>
      <c r="D1148" s="7" t="n">
        <v>42852</v>
      </c>
      <c r="E1148" s="3" t="n">
        <v>595.6</v>
      </c>
      <c r="F1148" s="4" t="inlineStr">
        <is>
          <t>Cash</t>
        </is>
      </c>
      <c r="G1148" s="3" t="n">
        <v>90.77</v>
      </c>
      <c r="H1148" s="4" t="inlineStr">
        <is>
          <t>Materials</t>
        </is>
      </c>
      <c r="I1148" s="4" t="inlineStr">
        <is>
          <t>Materials</t>
        </is>
      </c>
      <c r="J1148" s="4" t="inlineStr">
        <is>
          <t>Steel</t>
        </is>
      </c>
      <c r="K1148" s="4" t="n"/>
      <c r="L1148" s="4" t="n"/>
      <c r="M1148" s="3" t="n">
        <v>90.33</v>
      </c>
      <c r="N1148" s="3" t="n">
        <v>364.29</v>
      </c>
      <c r="O1148" s="4" t="inlineStr">
        <is>
          <t>Canada</t>
        </is>
      </c>
      <c r="P1148" s="4" t="inlineStr">
        <is>
          <t>United States</t>
        </is>
      </c>
      <c r="Q1148" s="4" t="inlineStr">
        <is>
          <t>Friendly</t>
        </is>
      </c>
      <c r="R1148" s="3" t="n">
        <v>1402.57</v>
      </c>
      <c r="S1148" s="3" t="n">
        <v>-1.36689</v>
      </c>
      <c r="T1148" s="4" t="inlineStr">
        <is>
          <t>PE Buyout, Company Takeover, Going Private, Private Equity</t>
        </is>
      </c>
      <c r="U1148" s="2" t="inlineStr">
        <is>
          <t>No</t>
        </is>
      </c>
      <c r="V1148" s="2" t="inlineStr">
        <is>
          <t>No</t>
        </is>
      </c>
      <c r="W1148" s="2" t="inlineStr">
        <is>
          <t>No</t>
        </is>
      </c>
      <c r="X1148" s="2" t="inlineStr">
        <is>
          <t>Yes</t>
        </is>
      </c>
      <c r="Y1148" s="2" t="inlineStr">
        <is>
          <t>Yes</t>
        </is>
      </c>
      <c r="Z1148" s="2" t="inlineStr">
        <is>
          <t>No</t>
        </is>
      </c>
      <c r="AA1148" s="6" t="n">
        <v>2.774954689</v>
      </c>
      <c r="AB1148" s="6" t="n">
        <v>3.146924545</v>
      </c>
      <c r="AC1148" s="6" t="n">
        <v>2.56144725</v>
      </c>
      <c r="AD1148">
        <f t="array" ref="AD1148">IF(SUMPRODUCT(--($AM$2:$AM$112=TRIM(LEFT($B1148,IFERROR(FIND(" ",$B1148)-1,LEN($B1148))))))&gt;0,1,0)</f>
        <v/>
      </c>
      <c r="AE1148">
        <f t="array" ref="AE1148">IF(SUMPRODUCT(--($AO$2:$AO$145=TRIM(LEFT($B1148,IFERROR(FIND(" ",$B1148)-1,LEN($B1148))))))&gt;0,1,0)</f>
        <v/>
      </c>
      <c r="AF1148">
        <f t="array" ref="AF1148">IF(SUMPRODUCT(--($AQ$2:$AQ$71=TRIM(LEFT($B1148,IFERROR(FIND(" ",$B1148)-1,LEN($B1148))))))&gt;0,1,0)</f>
        <v/>
      </c>
    </row>
    <row r="1149" ht="270.75" customHeight="1" thickBot="1">
      <c r="A1149" s="13" t="n">
        <v>59</v>
      </c>
      <c r="B1149" s="4" t="inlineStr">
        <is>
          <t>1853725D CN</t>
        </is>
      </c>
      <c r="C1149" s="2" t="n"/>
      <c r="D1149" s="7" t="n">
        <v>42838</v>
      </c>
      <c r="E1149" s="3" t="n">
        <v>624.08</v>
      </c>
      <c r="F1149" s="4" t="inlineStr">
        <is>
          <t>Cash</t>
        </is>
      </c>
      <c r="G1149" s="3" t="n">
        <v>7.83</v>
      </c>
      <c r="H1149" s="4" t="inlineStr">
        <is>
          <t>Communications</t>
        </is>
      </c>
      <c r="I1149" s="4" t="inlineStr">
        <is>
          <t>Media</t>
        </is>
      </c>
      <c r="J1149" s="4" t="inlineStr">
        <is>
          <t>Entertainment Content</t>
        </is>
      </c>
      <c r="K1149" s="4" t="n"/>
      <c r="L1149" s="4" t="n"/>
      <c r="M1149" s="4" t="n"/>
      <c r="N1149" s="3" t="n">
        <v>23.5</v>
      </c>
      <c r="O1149" s="4" t="inlineStr">
        <is>
          <t>United States</t>
        </is>
      </c>
      <c r="P1149" s="4" t="inlineStr">
        <is>
          <t>United States</t>
        </is>
      </c>
      <c r="Q1149" s="4" t="inlineStr">
        <is>
          <t>Friendly</t>
        </is>
      </c>
      <c r="R1149" s="3" t="n">
        <v>465.274</v>
      </c>
      <c r="S1149" s="3" t="n">
        <v>3.74034</v>
      </c>
      <c r="T1149" s="4" t="inlineStr">
        <is>
          <t>PE Buyout, Company Takeover, Cross Border, Private Equity, Additional Stake Purchase, Bankruptcy/Liquidation, Going Private</t>
        </is>
      </c>
      <c r="U1149" s="2" t="inlineStr">
        <is>
          <t>Yes</t>
        </is>
      </c>
      <c r="V1149" s="2" t="inlineStr">
        <is>
          <t>No</t>
        </is>
      </c>
      <c r="W1149" s="2" t="inlineStr">
        <is>
          <t>Yes</t>
        </is>
      </c>
      <c r="X1149" s="2" t="inlineStr">
        <is>
          <t>Yes</t>
        </is>
      </c>
      <c r="Y1149" s="2" t="inlineStr">
        <is>
          <t>Yes</t>
        </is>
      </c>
      <c r="Z1149" s="2" t="inlineStr">
        <is>
          <t>No</t>
        </is>
      </c>
      <c r="AA1149" s="6" t="n">
        <v>2.795240265</v>
      </c>
      <c r="AB1149" s="6" t="n">
        <v>2.667708784</v>
      </c>
      <c r="AC1149" s="6" t="n">
        <v>1.371067862</v>
      </c>
      <c r="AD1149">
        <f t="array" ref="AD1149">IF(SUMPRODUCT(--($AM$2:$AM$112=TRIM(LEFT($B1149,IFERROR(FIND(" ",$B1149)-1,LEN($B1149))))))&gt;0,1,0)</f>
        <v/>
      </c>
      <c r="AE1149">
        <f t="array" ref="AE1149">IF(SUMPRODUCT(--($AO$2:$AO$145=TRIM(LEFT($B1149,IFERROR(FIND(" ",$B1149)-1,LEN($B1149))))))&gt;0,1,0)</f>
        <v/>
      </c>
      <c r="AF1149">
        <f t="array" ref="AF1149">IF(SUMPRODUCT(--($AQ$2:$AQ$71=TRIM(LEFT($B1149,IFERROR(FIND(" ",$B1149)-1,LEN($B1149))))))&gt;0,1,0)</f>
        <v/>
      </c>
    </row>
    <row r="1150" ht="120.75" customHeight="1" thickBot="1">
      <c r="A1150" s="13" t="n">
        <v>109</v>
      </c>
      <c r="B1150" s="4" t="inlineStr">
        <is>
          <t>OKS US</t>
        </is>
      </c>
      <c r="C1150" s="4" t="inlineStr">
        <is>
          <t>OKE US</t>
        </is>
      </c>
      <c r="D1150" s="7" t="n">
        <v>42767</v>
      </c>
      <c r="E1150" s="3" t="n">
        <v>17377.65</v>
      </c>
      <c r="F1150" s="4" t="inlineStr">
        <is>
          <t>Stock</t>
        </is>
      </c>
      <c r="G1150" s="3" t="n">
        <v>11.54</v>
      </c>
      <c r="H1150" s="4" t="inlineStr">
        <is>
          <t>Energy</t>
        </is>
      </c>
      <c r="I1150" s="4" t="inlineStr">
        <is>
          <t>Oil &amp; Gas</t>
        </is>
      </c>
      <c r="J1150" s="4" t="inlineStr">
        <is>
          <t>Oil &amp; Gas Supply Chain</t>
        </is>
      </c>
      <c r="K1150" s="3" t="n">
        <v>300</v>
      </c>
      <c r="L1150" s="3" t="n">
        <v>300</v>
      </c>
      <c r="M1150" s="3" t="n">
        <v>25.62</v>
      </c>
      <c r="N1150" s="3" t="n">
        <v>9540.360000000001</v>
      </c>
      <c r="O1150" s="4" t="inlineStr">
        <is>
          <t>United States</t>
        </is>
      </c>
      <c r="P1150" s="4" t="inlineStr">
        <is>
          <t>United States</t>
        </is>
      </c>
      <c r="Q1150" s="4" t="inlineStr">
        <is>
          <t>Friendly</t>
        </is>
      </c>
      <c r="R1150" s="3" t="n">
        <v>8918.459999999999</v>
      </c>
      <c r="S1150" s="3" t="n">
        <v>13.3653</v>
      </c>
      <c r="T1150" s="4" t="inlineStr">
        <is>
          <t>Company Takeover, Additional Stake Purchase</t>
        </is>
      </c>
      <c r="U1150" s="2" t="inlineStr">
        <is>
          <t>Yes</t>
        </is>
      </c>
      <c r="V1150" s="2" t="inlineStr">
        <is>
          <t>No</t>
        </is>
      </c>
      <c r="W1150" s="2" t="inlineStr">
        <is>
          <t>No</t>
        </is>
      </c>
      <c r="X1150" s="2" t="inlineStr">
        <is>
          <t>No</t>
        </is>
      </c>
      <c r="Y1150" s="2" t="inlineStr">
        <is>
          <t>No</t>
        </is>
      </c>
      <c r="Z1150" s="2" t="inlineStr">
        <is>
          <t>No</t>
        </is>
      </c>
      <c r="AA1150" s="6" t="n">
        <v>4.239991046</v>
      </c>
      <c r="AB1150" s="6" t="n">
        <v>3.950289869</v>
      </c>
      <c r="AC1150" s="6" t="n">
        <v>3.979564763</v>
      </c>
      <c r="AD1150">
        <f t="array" ref="AD1150">IF(SUMPRODUCT(--($AM$2:$AM$112=TRIM(LEFT($B1150,IFERROR(FIND(" ",$B1150)-1,LEN($B1150))))))&gt;0,1,0)</f>
        <v/>
      </c>
      <c r="AE1150">
        <f t="array" ref="AE1150">IF(SUMPRODUCT(--($AO$2:$AO$145=TRIM(LEFT($B1150,IFERROR(FIND(" ",$B1150)-1,LEN($B1150))))))&gt;0,1,0)</f>
        <v/>
      </c>
      <c r="AF1150">
        <f t="array" ref="AF1150">IF(SUMPRODUCT(--($AQ$2:$AQ$71=TRIM(LEFT($B1150,IFERROR(FIND(" ",$B1150)-1,LEN($B1150))))))&gt;0,1,0)</f>
        <v/>
      </c>
    </row>
    <row r="1151" ht="135.75" customHeight="1" thickBot="1">
      <c r="A1151" s="13" t="n">
        <v>60</v>
      </c>
      <c r="B1151" s="4" t="inlineStr">
        <is>
          <t>TRR US</t>
        </is>
      </c>
      <c r="C1151" s="4" t="inlineStr">
        <is>
          <t>161147Z US</t>
        </is>
      </c>
      <c r="D1151" s="7" t="n">
        <v>42825</v>
      </c>
      <c r="E1151" s="3" t="n">
        <v>615.8200000000001</v>
      </c>
      <c r="F1151" s="4" t="inlineStr">
        <is>
          <t>Cash</t>
        </is>
      </c>
      <c r="G1151" s="3" t="n">
        <v>12.77</v>
      </c>
      <c r="H1151" s="4" t="inlineStr">
        <is>
          <t>Industrials</t>
        </is>
      </c>
      <c r="I1151" s="4" t="inlineStr">
        <is>
          <t>Industrial Services</t>
        </is>
      </c>
      <c r="J1151" s="4" t="inlineStr">
        <is>
          <t>Engineering &amp; Construction</t>
        </is>
      </c>
      <c r="K1151" s="4" t="n"/>
      <c r="L1151" s="3" t="n">
        <v>19.4</v>
      </c>
      <c r="M1151" s="4" t="n"/>
      <c r="N1151" s="3" t="n">
        <v>554.49</v>
      </c>
      <c r="O1151" s="4" t="inlineStr">
        <is>
          <t>United States</t>
        </is>
      </c>
      <c r="P1151" s="4" t="inlineStr">
        <is>
          <t>United States</t>
        </is>
      </c>
      <c r="Q1151" s="4" t="inlineStr">
        <is>
          <t>Friendly</t>
        </is>
      </c>
      <c r="R1151" s="3" t="n">
        <v>620.864</v>
      </c>
      <c r="S1151" s="3" t="n">
        <v>4.09654</v>
      </c>
      <c r="T1151" s="4" t="inlineStr">
        <is>
          <t>PE Buyout, Company Takeover, Private Equity, Going Private</t>
        </is>
      </c>
      <c r="U1151" s="2" t="inlineStr">
        <is>
          <t>No</t>
        </is>
      </c>
      <c r="V1151" s="2" t="inlineStr">
        <is>
          <t>No</t>
        </is>
      </c>
      <c r="W1151" s="2" t="inlineStr">
        <is>
          <t>No</t>
        </is>
      </c>
      <c r="X1151" s="2" t="inlineStr">
        <is>
          <t>Yes</t>
        </is>
      </c>
      <c r="Y1151" s="2" t="inlineStr">
        <is>
          <t>Yes</t>
        </is>
      </c>
      <c r="Z1151" s="2" t="inlineStr">
        <is>
          <t>No</t>
        </is>
      </c>
      <c r="AA1151" s="6" t="n">
        <v>2.789453789</v>
      </c>
      <c r="AB1151" s="6" t="n">
        <v>2.792996479</v>
      </c>
      <c r="AC1151" s="6" t="n">
        <v>2.743893718</v>
      </c>
      <c r="AD1151">
        <f t="array" ref="AD1151">IF(SUMPRODUCT(--($AM$2:$AM$112=TRIM(LEFT($B1151,IFERROR(FIND(" ",$B1151)-1,LEN($B1151))))))&gt;0,1,0)</f>
        <v/>
      </c>
      <c r="AE1151">
        <f t="array" ref="AE1151">IF(SUMPRODUCT(--($AO$2:$AO$145=TRIM(LEFT($B1151,IFERROR(FIND(" ",$B1151)-1,LEN($B1151))))))&gt;0,1,0)</f>
        <v/>
      </c>
      <c r="AF1151">
        <f t="array" ref="AF1151">IF(SUMPRODUCT(--($AQ$2:$AQ$71=TRIM(LEFT($B1151,IFERROR(FIND(" ",$B1151)-1,LEN($B1151))))))&gt;0,1,0)</f>
        <v/>
      </c>
    </row>
    <row r="1152" ht="135.75" customHeight="1" thickBot="1">
      <c r="A1152" s="13" t="n">
        <v>70</v>
      </c>
      <c r="B1152" s="4" t="inlineStr">
        <is>
          <t>DH CN</t>
        </is>
      </c>
      <c r="C1152" s="4" t="inlineStr">
        <is>
          <t>389272Z US</t>
        </is>
      </c>
      <c r="D1152" s="7" t="n">
        <v>42807</v>
      </c>
      <c r="E1152" s="3" t="n">
        <v>3431.48</v>
      </c>
      <c r="F1152" s="4" t="inlineStr">
        <is>
          <t>Cash</t>
        </is>
      </c>
      <c r="G1152" s="3" t="n">
        <v>15.5</v>
      </c>
      <c r="H1152" s="4" t="inlineStr">
        <is>
          <t>Technology</t>
        </is>
      </c>
      <c r="I1152" s="4" t="inlineStr">
        <is>
          <t>Software &amp; Tech Services</t>
        </is>
      </c>
      <c r="J1152" s="4" t="inlineStr">
        <is>
          <t>Software</t>
        </is>
      </c>
      <c r="K1152" s="4" t="n"/>
      <c r="L1152" s="4" t="n"/>
      <c r="M1152" s="3" t="n">
        <v>8.66</v>
      </c>
      <c r="N1152" s="3" t="n">
        <v>2028.04</v>
      </c>
      <c r="O1152" s="4" t="inlineStr">
        <is>
          <t>Canada</t>
        </is>
      </c>
      <c r="P1152" s="4" t="inlineStr">
        <is>
          <t>United States</t>
        </is>
      </c>
      <c r="Q1152" s="4" t="inlineStr">
        <is>
          <t>Friendly</t>
        </is>
      </c>
      <c r="R1152" s="3" t="n">
        <v>1268.88</v>
      </c>
      <c r="S1152" s="3" t="n">
        <v>-1.2125</v>
      </c>
      <c r="T1152" s="4" t="inlineStr">
        <is>
          <t>PE Buyout, Company Takeover, Cross Border, Private Equity</t>
        </is>
      </c>
      <c r="U1152" s="2" t="inlineStr">
        <is>
          <t>No</t>
        </is>
      </c>
      <c r="V1152" s="2" t="inlineStr">
        <is>
          <t>No</t>
        </is>
      </c>
      <c r="W1152" s="2" t="inlineStr">
        <is>
          <t>Yes</t>
        </is>
      </c>
      <c r="X1152" s="2" t="inlineStr">
        <is>
          <t>No</t>
        </is>
      </c>
      <c r="Y1152" s="2" t="inlineStr">
        <is>
          <t>Yes</t>
        </is>
      </c>
      <c r="Z1152" s="2" t="inlineStr">
        <is>
          <t>No</t>
        </is>
      </c>
      <c r="AA1152" s="6" t="n">
        <v>3.535481472</v>
      </c>
      <c r="AB1152" s="6" t="n">
        <v>3.103420552</v>
      </c>
      <c r="AC1152" s="6" t="n">
        <v>3.307076517</v>
      </c>
      <c r="AD1152">
        <f t="array" ref="AD1152">IF(SUMPRODUCT(--($AM$2:$AM$112=TRIM(LEFT($B1152,IFERROR(FIND(" ",$B1152)-1,LEN($B1152))))))&gt;0,1,0)</f>
        <v/>
      </c>
      <c r="AE1152">
        <f t="array" ref="AE1152">IF(SUMPRODUCT(--($AO$2:$AO$145=TRIM(LEFT($B1152,IFERROR(FIND(" ",$B1152)-1,LEN($B1152))))))&gt;0,1,0)</f>
        <v/>
      </c>
      <c r="AF1152">
        <f t="array" ref="AF1152">IF(SUMPRODUCT(--($AQ$2:$AQ$71=TRIM(LEFT($B1152,IFERROR(FIND(" ",$B1152)-1,LEN($B1152))))))&gt;0,1,0)</f>
        <v/>
      </c>
    </row>
    <row r="1153" ht="45.75" customHeight="1" thickBot="1">
      <c r="A1153" s="13" t="n">
        <v>105</v>
      </c>
      <c r="B1153" s="4" t="inlineStr">
        <is>
          <t>BNCN US</t>
        </is>
      </c>
      <c r="C1153" s="4" t="inlineStr">
        <is>
          <t>PNFP US</t>
        </is>
      </c>
      <c r="D1153" s="7" t="n">
        <v>42757</v>
      </c>
      <c r="E1153" s="3" t="n">
        <v>2033.91</v>
      </c>
      <c r="F1153" s="4" t="inlineStr">
        <is>
          <t>Stock</t>
        </is>
      </c>
      <c r="G1153" s="4" t="n"/>
      <c r="H1153" s="4" t="inlineStr">
        <is>
          <t>Financials</t>
        </is>
      </c>
      <c r="I1153" s="4" t="inlineStr">
        <is>
          <t>Banking</t>
        </is>
      </c>
      <c r="J1153" s="4" t="inlineStr">
        <is>
          <t>Banking</t>
        </is>
      </c>
      <c r="K1153" s="3" t="n">
        <v>66</v>
      </c>
      <c r="L1153" s="3" t="n">
        <v>66</v>
      </c>
      <c r="M1153" s="4" t="n"/>
      <c r="N1153" s="3" t="n">
        <v>2033.91</v>
      </c>
      <c r="O1153" s="4" t="inlineStr">
        <is>
          <t>United States</t>
        </is>
      </c>
      <c r="P1153" s="4" t="inlineStr">
        <is>
          <t>United States</t>
        </is>
      </c>
      <c r="Q1153" s="4" t="inlineStr">
        <is>
          <t>Friendly</t>
        </is>
      </c>
      <c r="R1153" s="3" t="n">
        <v>287.669</v>
      </c>
      <c r="S1153" s="3" t="n">
        <v>33.1387</v>
      </c>
      <c r="T1153" s="4" t="inlineStr">
        <is>
          <t>Company Takeover</t>
        </is>
      </c>
      <c r="U1153" s="2" t="inlineStr">
        <is>
          <t>No</t>
        </is>
      </c>
      <c r="V1153" s="2" t="inlineStr">
        <is>
          <t>No</t>
        </is>
      </c>
      <c r="W1153" s="2" t="inlineStr">
        <is>
          <t>No</t>
        </is>
      </c>
      <c r="X1153" s="2" t="inlineStr">
        <is>
          <t>No</t>
        </is>
      </c>
      <c r="Y1153" s="2" t="inlineStr">
        <is>
          <t>No</t>
        </is>
      </c>
      <c r="Z1153" s="2" t="inlineStr">
        <is>
          <t>No</t>
        </is>
      </c>
      <c r="AA1153" s="6" t="n">
        <v>3.308331732</v>
      </c>
      <c r="AB1153" s="6" t="n">
        <v>2.458893064</v>
      </c>
      <c r="AC1153" s="6" t="n">
        <v>3.308331732</v>
      </c>
      <c r="AD1153">
        <f t="array" ref="AD1153">IF(SUMPRODUCT(--($AM$2:$AM$112=TRIM(LEFT($B1153,IFERROR(FIND(" ",$B1153)-1,LEN($B1153))))))&gt;0,1,0)</f>
        <v/>
      </c>
      <c r="AE1153">
        <f t="array" ref="AE1153">IF(SUMPRODUCT(--($AO$2:$AO$145=TRIM(LEFT($B1153,IFERROR(FIND(" ",$B1153)-1,LEN($B1153))))))&gt;0,1,0)</f>
        <v/>
      </c>
      <c r="AF1153">
        <f t="array" ref="AF1153">IF(SUMPRODUCT(--($AQ$2:$AQ$71=TRIM(LEFT($B1153,IFERROR(FIND(" ",$B1153)-1,LEN($B1153))))))&gt;0,1,0)</f>
        <v/>
      </c>
    </row>
    <row r="1154" ht="75.75" customHeight="1" thickBot="1">
      <c r="A1154" s="13" t="n">
        <v>90</v>
      </c>
      <c r="B1154" s="4" t="inlineStr">
        <is>
          <t>MJN US</t>
        </is>
      </c>
      <c r="C1154" s="4" t="inlineStr">
        <is>
          <t>RKT LN</t>
        </is>
      </c>
      <c r="D1154" s="7" t="n">
        <v>42776</v>
      </c>
      <c r="E1154" s="3" t="n">
        <v>17809.81</v>
      </c>
      <c r="F1154" s="4" t="inlineStr">
        <is>
          <t>Cash</t>
        </is>
      </c>
      <c r="G1154" s="3" t="n">
        <v>19.39</v>
      </c>
      <c r="H1154" s="4" t="inlineStr">
        <is>
          <t>Consumer Staples</t>
        </is>
      </c>
      <c r="I1154" s="4" t="inlineStr">
        <is>
          <t>Consumer Staple Products</t>
        </is>
      </c>
      <c r="J1154" s="4" t="inlineStr">
        <is>
          <t>Food</t>
        </is>
      </c>
      <c r="K1154" s="3" t="n">
        <v>480</v>
      </c>
      <c r="L1154" s="4" t="n"/>
      <c r="M1154" s="3" t="n">
        <v>18.47</v>
      </c>
      <c r="N1154" s="3" t="n">
        <v>16625.11</v>
      </c>
      <c r="O1154" s="4" t="inlineStr">
        <is>
          <t>United States</t>
        </is>
      </c>
      <c r="P1154" s="4" t="inlineStr">
        <is>
          <t>United Kingdom</t>
        </is>
      </c>
      <c r="Q1154" s="4" t="inlineStr">
        <is>
          <t>Friendly</t>
        </is>
      </c>
      <c r="R1154" s="3" t="n">
        <v>3742.7</v>
      </c>
      <c r="S1154" s="3" t="n">
        <v>22.4803</v>
      </c>
      <c r="T1154" s="4" t="inlineStr">
        <is>
          <t>Company Takeover, Cross Border</t>
        </is>
      </c>
      <c r="U1154" s="2" t="inlineStr">
        <is>
          <t>No</t>
        </is>
      </c>
      <c r="V1154" s="2" t="inlineStr">
        <is>
          <t>No</t>
        </is>
      </c>
      <c r="W1154" s="2" t="inlineStr">
        <is>
          <t>Yes</t>
        </is>
      </c>
      <c r="X1154" s="2" t="inlineStr">
        <is>
          <t>No</t>
        </is>
      </c>
      <c r="Y1154" s="2" t="inlineStr">
        <is>
          <t>No</t>
        </is>
      </c>
      <c r="Z1154" s="2" t="inlineStr">
        <is>
          <t>No</t>
        </is>
      </c>
      <c r="AA1154" s="6" t="n">
        <v>4.250659286</v>
      </c>
      <c r="AB1154" s="6" t="n">
        <v>3.573185017</v>
      </c>
      <c r="AC1154" s="6" t="n">
        <v>4.220764527</v>
      </c>
      <c r="AD1154">
        <f t="array" ref="AD1154">IF(SUMPRODUCT(--($AM$2:$AM$112=TRIM(LEFT($B1154,IFERROR(FIND(" ",$B1154)-1,LEN($B1154))))))&gt;0,1,0)</f>
        <v/>
      </c>
      <c r="AE1154">
        <f t="array" ref="AE1154">IF(SUMPRODUCT(--($AO$2:$AO$145=TRIM(LEFT($B1154,IFERROR(FIND(" ",$B1154)-1,LEN($B1154))))))&gt;0,1,0)</f>
        <v/>
      </c>
      <c r="AF1154">
        <f t="array" ref="AF1154">IF(SUMPRODUCT(--($AQ$2:$AQ$71=TRIM(LEFT($B1154,IFERROR(FIND(" ",$B1154)-1,LEN($B1154))))))&gt;0,1,0)</f>
        <v/>
      </c>
    </row>
    <row r="1155" ht="75.75" customHeight="1" thickBot="1">
      <c r="A1155" s="13" t="n">
        <v>33</v>
      </c>
      <c r="B1155" s="4" t="inlineStr">
        <is>
          <t>APFH US</t>
        </is>
      </c>
      <c r="C1155" s="4" t="inlineStr">
        <is>
          <t>TSN US</t>
        </is>
      </c>
      <c r="D1155" s="7" t="n">
        <v>42850</v>
      </c>
      <c r="E1155" s="3" t="n">
        <v>4140.75</v>
      </c>
      <c r="F1155" s="4" t="inlineStr">
        <is>
          <t>Cash</t>
        </is>
      </c>
      <c r="G1155" s="3" t="n">
        <v>15.55</v>
      </c>
      <c r="H1155" s="4" t="inlineStr">
        <is>
          <t>Industrials</t>
        </is>
      </c>
      <c r="I1155" s="4" t="inlineStr">
        <is>
          <t>Industrial Services</t>
        </is>
      </c>
      <c r="J1155" s="4" t="inlineStr">
        <is>
          <t>Commercial Support Services</t>
        </is>
      </c>
      <c r="K1155" s="4" t="n"/>
      <c r="L1155" s="3" t="n">
        <v>100</v>
      </c>
      <c r="M1155" s="3" t="n">
        <v>26.4</v>
      </c>
      <c r="N1155" s="3" t="n">
        <v>3166.26</v>
      </c>
      <c r="O1155" s="4" t="inlineStr">
        <is>
          <t>United States</t>
        </is>
      </c>
      <c r="P1155" s="4" t="inlineStr">
        <is>
          <t>United States</t>
        </is>
      </c>
      <c r="Q1155" s="4" t="inlineStr">
        <is>
          <t>Friendly</t>
        </is>
      </c>
      <c r="R1155" s="3" t="n">
        <v>1568.26</v>
      </c>
      <c r="S1155" s="3" t="n">
        <v>12.7418</v>
      </c>
      <c r="T1155" s="4" t="inlineStr">
        <is>
          <t>Company Takeover, Tender Offer</t>
        </is>
      </c>
      <c r="U1155" s="2" t="inlineStr">
        <is>
          <t>No</t>
        </is>
      </c>
      <c r="V1155" s="2" t="inlineStr">
        <is>
          <t>No</t>
        </is>
      </c>
      <c r="W1155" s="2" t="inlineStr">
        <is>
          <t>No</t>
        </is>
      </c>
      <c r="X1155" s="2" t="inlineStr">
        <is>
          <t>No</t>
        </is>
      </c>
      <c r="Y1155" s="2" t="inlineStr">
        <is>
          <t>No</t>
        </is>
      </c>
      <c r="Z1155" s="2" t="inlineStr">
        <is>
          <t>Yes</t>
        </is>
      </c>
      <c r="AA1155" s="6" t="n">
        <v>3.617079011</v>
      </c>
      <c r="AB1155" s="6" t="n">
        <v>3.195418065</v>
      </c>
      <c r="AC1155" s="6" t="n">
        <v>3.500546574</v>
      </c>
      <c r="AD1155">
        <f t="array" ref="AD1155">IF(SUMPRODUCT(--($AM$2:$AM$112=TRIM(LEFT($B1155,IFERROR(FIND(" ",$B1155)-1,LEN($B1155))))))&gt;0,1,0)</f>
        <v/>
      </c>
      <c r="AE1155">
        <f t="array" ref="AE1155">IF(SUMPRODUCT(--($AO$2:$AO$145=TRIM(LEFT($B1155,IFERROR(FIND(" ",$B1155)-1,LEN($B1155))))))&gt;0,1,0)</f>
        <v/>
      </c>
      <c r="AF1155">
        <f t="array" ref="AF1155">IF(SUMPRODUCT(--($AQ$2:$AQ$71=TRIM(LEFT($B1155,IFERROR(FIND(" ",$B1155)-1,LEN($B1155))))))&gt;0,1,0)</f>
        <v/>
      </c>
    </row>
    <row r="1156" ht="45.75" customHeight="1" thickBot="1">
      <c r="A1156" s="13" t="n">
        <v>57</v>
      </c>
      <c r="B1156" s="4" t="inlineStr">
        <is>
          <t>FRC CN</t>
        </is>
      </c>
      <c r="C1156" s="4" t="inlineStr">
        <is>
          <t>TCW CN</t>
        </is>
      </c>
      <c r="D1156" s="7" t="n">
        <v>42816</v>
      </c>
      <c r="E1156" s="3" t="n">
        <v>513.34</v>
      </c>
      <c r="F1156" s="4" t="inlineStr">
        <is>
          <t>Stock</t>
        </is>
      </c>
      <c r="G1156" s="4" t="n"/>
      <c r="H1156" s="4" t="inlineStr">
        <is>
          <t>Energy</t>
        </is>
      </c>
      <c r="I1156" s="4" t="inlineStr">
        <is>
          <t>Oil &amp; Gas</t>
        </is>
      </c>
      <c r="J1156" s="4" t="inlineStr">
        <is>
          <t>Oil &amp; Gas Services &amp; Equip</t>
        </is>
      </c>
      <c r="K1156" s="4" t="n"/>
      <c r="L1156" s="4" t="n"/>
      <c r="M1156" s="3" t="n">
        <v>36.08</v>
      </c>
      <c r="N1156" s="3" t="n">
        <v>492.54</v>
      </c>
      <c r="O1156" s="4" t="inlineStr">
        <is>
          <t>Canada</t>
        </is>
      </c>
      <c r="P1156" s="4" t="inlineStr">
        <is>
          <t>Canada</t>
        </is>
      </c>
      <c r="Q1156" s="4" t="inlineStr">
        <is>
          <t>Friendly</t>
        </is>
      </c>
      <c r="R1156" s="3" t="n">
        <v>180.956</v>
      </c>
      <c r="S1156" s="3" t="n">
        <v>-19.6714</v>
      </c>
      <c r="T1156" s="4" t="inlineStr">
        <is>
          <t>Company Takeover</t>
        </is>
      </c>
      <c r="U1156" s="2" t="inlineStr">
        <is>
          <t>No</t>
        </is>
      </c>
      <c r="V1156" s="2" t="inlineStr">
        <is>
          <t>No</t>
        </is>
      </c>
      <c r="W1156" s="2" t="inlineStr">
        <is>
          <t>No</t>
        </is>
      </c>
      <c r="X1156" s="2" t="inlineStr">
        <is>
          <t>No</t>
        </is>
      </c>
      <c r="Y1156" s="2" t="inlineStr">
        <is>
          <t>No</t>
        </is>
      </c>
      <c r="Z1156" s="2" t="inlineStr">
        <is>
          <t>No</t>
        </is>
      </c>
      <c r="AA1156" s="6" t="n">
        <v>2.710405106</v>
      </c>
      <c r="AB1156" s="6" t="n">
        <v>2.257572988</v>
      </c>
      <c r="AC1156" s="6" t="n">
        <v>2.692441506</v>
      </c>
      <c r="AD1156">
        <f t="array" ref="AD1156">IF(SUMPRODUCT(--($AM$2:$AM$112=TRIM(LEFT($B1156,IFERROR(FIND(" ",$B1156)-1,LEN($B1156))))))&gt;0,1,0)</f>
        <v/>
      </c>
      <c r="AE1156">
        <f t="array" ref="AE1156">IF(SUMPRODUCT(--($AO$2:$AO$145=TRIM(LEFT($B1156,IFERROR(FIND(" ",$B1156)-1,LEN($B1156))))))&gt;0,1,0)</f>
        <v/>
      </c>
      <c r="AF1156">
        <f t="array" ref="AF1156">IF(SUMPRODUCT(--($AQ$2:$AQ$71=TRIM(LEFT($B1156,IFERROR(FIND(" ",$B1156)-1,LEN($B1156))))))&gt;0,1,0)</f>
        <v/>
      </c>
    </row>
    <row r="1157" ht="60.75" customHeight="1" thickBot="1">
      <c r="A1157" s="13" t="n">
        <v>97</v>
      </c>
      <c r="B1157" s="4" t="inlineStr">
        <is>
          <t>MPSX US</t>
        </is>
      </c>
      <c r="C1157" s="4" t="inlineStr">
        <is>
          <t>WRK US</t>
        </is>
      </c>
      <c r="D1157" s="7" t="n">
        <v>42759</v>
      </c>
      <c r="E1157" s="3" t="n">
        <v>2267.15</v>
      </c>
      <c r="F1157" s="4" t="inlineStr">
        <is>
          <t>Cash</t>
        </is>
      </c>
      <c r="G1157" s="3" t="n">
        <v>10.91</v>
      </c>
      <c r="H1157" s="4" t="inlineStr">
        <is>
          <t>Materials</t>
        </is>
      </c>
      <c r="I1157" s="4" t="inlineStr">
        <is>
          <t>Materials</t>
        </is>
      </c>
      <c r="J1157" s="4" t="inlineStr">
        <is>
          <t>Containers &amp; Packaging</t>
        </is>
      </c>
      <c r="K1157" s="4" t="n"/>
      <c r="L1157" s="3" t="n">
        <v>42.4</v>
      </c>
      <c r="M1157" s="4" t="n"/>
      <c r="N1157" s="3" t="n">
        <v>1394.15</v>
      </c>
      <c r="O1157" s="4" t="inlineStr">
        <is>
          <t>United States</t>
        </is>
      </c>
      <c r="P1157" s="4" t="inlineStr">
        <is>
          <t>United States</t>
        </is>
      </c>
      <c r="Q1157" s="4" t="inlineStr">
        <is>
          <t>Friendly</t>
        </is>
      </c>
      <c r="R1157" s="3" t="n">
        <v>1661.43</v>
      </c>
      <c r="S1157" s="3" t="n">
        <v>5.2887</v>
      </c>
      <c r="T1157" s="4" t="inlineStr">
        <is>
          <t>Company Takeover</t>
        </is>
      </c>
      <c r="U1157" s="2" t="inlineStr">
        <is>
          <t>No</t>
        </is>
      </c>
      <c r="V1157" s="2" t="inlineStr">
        <is>
          <t>No</t>
        </is>
      </c>
      <c r="W1157" s="2" t="inlineStr">
        <is>
          <t>No</t>
        </is>
      </c>
      <c r="X1157" s="2" t="inlineStr">
        <is>
          <t>No</t>
        </is>
      </c>
      <c r="Y1157" s="2" t="inlineStr">
        <is>
          <t>No</t>
        </is>
      </c>
      <c r="Z1157" s="2" t="inlineStr">
        <is>
          <t>No</t>
        </is>
      </c>
      <c r="AA1157" s="6" t="n">
        <v>3.355480255</v>
      </c>
      <c r="AB1157" s="6" t="n">
        <v>3.220482048</v>
      </c>
      <c r="AC1157" s="6" t="n">
        <v>3.144309503</v>
      </c>
      <c r="AD1157">
        <f t="array" ref="AD1157">IF(SUMPRODUCT(--($AM$2:$AM$112=TRIM(LEFT($B1157,IFERROR(FIND(" ",$B1157)-1,LEN($B1157))))))&gt;0,1,0)</f>
        <v/>
      </c>
      <c r="AE1157">
        <f t="array" ref="AE1157">IF(SUMPRODUCT(--($AO$2:$AO$145=TRIM(LEFT($B1157,IFERROR(FIND(" ",$B1157)-1,LEN($B1157))))))&gt;0,1,0)</f>
        <v/>
      </c>
      <c r="AF1157">
        <f t="array" ref="AF1157">IF(SUMPRODUCT(--($AQ$2:$AQ$71=TRIM(LEFT($B1157,IFERROR(FIND(" ",$B1157)-1,LEN($B1157))))))&gt;0,1,0)</f>
        <v/>
      </c>
    </row>
    <row r="1158" ht="75.75" customHeight="1" thickBot="1">
      <c r="A1158" s="13" t="n">
        <v>84</v>
      </c>
      <c r="B1158" s="4" t="inlineStr">
        <is>
          <t>UTEK US</t>
        </is>
      </c>
      <c r="C1158" s="4" t="inlineStr">
        <is>
          <t>VECO US</t>
        </is>
      </c>
      <c r="D1158" s="7" t="n">
        <v>42768</v>
      </c>
      <c r="E1158" s="3" t="n">
        <v>516.83</v>
      </c>
      <c r="F1158" s="4" t="inlineStr">
        <is>
          <t>Cash and Stock</t>
        </is>
      </c>
      <c r="G1158" s="3" t="n">
        <v>31.87</v>
      </c>
      <c r="H1158" s="4" t="inlineStr">
        <is>
          <t>Technology</t>
        </is>
      </c>
      <c r="I1158" s="4" t="inlineStr">
        <is>
          <t>Tech Hardware &amp; Semiconductors</t>
        </is>
      </c>
      <c r="J1158" s="4" t="inlineStr">
        <is>
          <t>Semiconductors</t>
        </is>
      </c>
      <c r="K1158" s="4" t="n"/>
      <c r="L1158" s="3" t="n">
        <v>26.5</v>
      </c>
      <c r="M1158" s="3" t="n">
        <v>15.34</v>
      </c>
      <c r="N1158" s="3" t="n">
        <v>782.0599999999999</v>
      </c>
      <c r="O1158" s="4" t="inlineStr">
        <is>
          <t>United States</t>
        </is>
      </c>
      <c r="P1158" s="4" t="inlineStr">
        <is>
          <t>United States</t>
        </is>
      </c>
      <c r="Q1158" s="4" t="inlineStr">
        <is>
          <t>Friendly</t>
        </is>
      </c>
      <c r="R1158" s="3" t="n">
        <v>194.051</v>
      </c>
      <c r="S1158" s="3" t="n">
        <v>6.10812</v>
      </c>
      <c r="T1158" s="4" t="inlineStr">
        <is>
          <t>Company Takeover</t>
        </is>
      </c>
      <c r="U1158" s="2" t="inlineStr">
        <is>
          <t>No</t>
        </is>
      </c>
      <c r="V1158" s="2" t="inlineStr">
        <is>
          <t>No</t>
        </is>
      </c>
      <c r="W1158" s="2" t="inlineStr">
        <is>
          <t>No</t>
        </is>
      </c>
      <c r="X1158" s="2" t="inlineStr">
        <is>
          <t>No</t>
        </is>
      </c>
      <c r="Y1158" s="2" t="inlineStr">
        <is>
          <t>No</t>
        </is>
      </c>
      <c r="Z1158" s="2" t="inlineStr">
        <is>
          <t>No</t>
        </is>
      </c>
      <c r="AA1158" s="6" t="n">
        <v>2.713347715</v>
      </c>
      <c r="AB1158" s="6" t="n">
        <v>2.287915885</v>
      </c>
      <c r="AC1158" s="6" t="n">
        <v>2.893240074</v>
      </c>
      <c r="AD1158">
        <f t="array" ref="AD1158">IF(SUMPRODUCT(--($AM$2:$AM$112=TRIM(LEFT($B1158,IFERROR(FIND(" ",$B1158)-1,LEN($B1158))))))&gt;0,1,0)</f>
        <v/>
      </c>
      <c r="AE1158">
        <f t="array" ref="AE1158">IF(SUMPRODUCT(--($AO$2:$AO$145=TRIM(LEFT($B1158,IFERROR(FIND(" ",$B1158)-1,LEN($B1158))))))&gt;0,1,0)</f>
        <v/>
      </c>
      <c r="AF1158">
        <f t="array" ref="AF1158">IF(SUMPRODUCT(--($AQ$2:$AQ$71=TRIM(LEFT($B1158,IFERROR(FIND(" ",$B1158)-1,LEN($B1158))))))&gt;0,1,0)</f>
        <v/>
      </c>
    </row>
    <row r="1159" ht="75.75" customHeight="1" thickBot="1">
      <c r="A1159" s="13" t="n">
        <v>52</v>
      </c>
      <c r="B1159" s="4" t="inlineStr">
        <is>
          <t>SBY US</t>
        </is>
      </c>
      <c r="C1159" s="4" t="inlineStr">
        <is>
          <t>TCN CN</t>
        </is>
      </c>
      <c r="D1159" s="7" t="n">
        <v>42793</v>
      </c>
      <c r="E1159" s="3" t="n">
        <v>1384.23</v>
      </c>
      <c r="F1159" s="4" t="inlineStr">
        <is>
          <t>Cash</t>
        </is>
      </c>
      <c r="G1159" s="3" t="n">
        <v>26.48</v>
      </c>
      <c r="H1159" s="4" t="inlineStr">
        <is>
          <t>Real Estate</t>
        </is>
      </c>
      <c r="I1159" s="4" t="inlineStr">
        <is>
          <t>Real Estate</t>
        </is>
      </c>
      <c r="J1159" s="4" t="inlineStr">
        <is>
          <t>REIT</t>
        </is>
      </c>
      <c r="K1159" s="3" t="n">
        <v>62.5</v>
      </c>
      <c r="L1159" s="3" t="n">
        <v>24.5</v>
      </c>
      <c r="M1159" s="3" t="n">
        <v>22.11</v>
      </c>
      <c r="N1159" s="3" t="n">
        <v>760.67</v>
      </c>
      <c r="O1159" s="4" t="inlineStr">
        <is>
          <t>United States</t>
        </is>
      </c>
      <c r="P1159" s="4" t="inlineStr">
        <is>
          <t>Canada</t>
        </is>
      </c>
      <c r="Q1159" s="4" t="inlineStr">
        <is>
          <t>Friendly</t>
        </is>
      </c>
      <c r="R1159" s="3" t="n">
        <v>126.635</v>
      </c>
      <c r="S1159" s="3" t="n">
        <v>12.9022</v>
      </c>
      <c r="T1159" s="4" t="inlineStr">
        <is>
          <t>Company Takeover, Cross Border</t>
        </is>
      </c>
      <c r="U1159" s="2" t="inlineStr">
        <is>
          <t>No</t>
        </is>
      </c>
      <c r="V1159" s="2" t="inlineStr">
        <is>
          <t>No</t>
        </is>
      </c>
      <c r="W1159" s="2" t="inlineStr">
        <is>
          <t>Yes</t>
        </is>
      </c>
      <c r="X1159" s="2" t="inlineStr">
        <is>
          <t>No</t>
        </is>
      </c>
      <c r="Y1159" s="2" t="inlineStr">
        <is>
          <t>No</t>
        </is>
      </c>
      <c r="Z1159" s="2" t="inlineStr">
        <is>
          <t>No</t>
        </is>
      </c>
      <c r="AA1159" s="6" t="n">
        <v>3.141208257</v>
      </c>
      <c r="AB1159" s="6" t="n">
        <v>2.102553755</v>
      </c>
      <c r="AC1159" s="6" t="n">
        <v>2.881196288</v>
      </c>
      <c r="AD1159">
        <f t="array" ref="AD1159">IF(SUMPRODUCT(--($AM$2:$AM$112=TRIM(LEFT($B1159,IFERROR(FIND(" ",$B1159)-1,LEN($B1159))))))&gt;0,1,0)</f>
        <v/>
      </c>
      <c r="AE1159">
        <f t="array" ref="AE1159">IF(SUMPRODUCT(--($AO$2:$AO$145=TRIM(LEFT($B1159,IFERROR(FIND(" ",$B1159)-1,LEN($B1159))))))&gt;0,1,0)</f>
        <v/>
      </c>
      <c r="AF1159">
        <f t="array" ref="AF1159">IF(SUMPRODUCT(--($AQ$2:$AQ$71=TRIM(LEFT($B1159,IFERROR(FIND(" ",$B1159)-1,LEN($B1159))))))&gt;0,1,0)</f>
        <v/>
      </c>
    </row>
    <row r="1160" ht="135.75" customHeight="1" thickBot="1">
      <c r="A1160" s="13" t="n">
        <v>73</v>
      </c>
      <c r="B1160" s="4" t="inlineStr">
        <is>
          <t>MST-U CN</t>
        </is>
      </c>
      <c r="C1160" s="4" t="inlineStr">
        <is>
          <t>17274Z US</t>
        </is>
      </c>
      <c r="D1160" s="7" t="n">
        <v>42754</v>
      </c>
      <c r="E1160" s="3" t="n">
        <v>2839.32</v>
      </c>
      <c r="F1160" s="4" t="inlineStr">
        <is>
          <t>Cash</t>
        </is>
      </c>
      <c r="G1160" s="3" t="n">
        <v>76.01000000000001</v>
      </c>
      <c r="H1160" s="4" t="inlineStr">
        <is>
          <t>Real Estate</t>
        </is>
      </c>
      <c r="I1160" s="4" t="inlineStr">
        <is>
          <t>Real Estate</t>
        </is>
      </c>
      <c r="J1160" s="4" t="inlineStr">
        <is>
          <t>REIT</t>
        </is>
      </c>
      <c r="K1160" s="3" t="n">
        <v>100</v>
      </c>
      <c r="L1160" s="3" t="n">
        <v>53</v>
      </c>
      <c r="M1160" s="3" t="n">
        <v>14.76</v>
      </c>
      <c r="N1160" s="3" t="n">
        <v>1493.03</v>
      </c>
      <c r="O1160" s="4" t="inlineStr">
        <is>
          <t>United States</t>
        </is>
      </c>
      <c r="P1160" s="4" t="inlineStr">
        <is>
          <t>United States</t>
        </is>
      </c>
      <c r="Q1160" s="4" t="inlineStr">
        <is>
          <t>Friendly</t>
        </is>
      </c>
      <c r="R1160" s="3" t="n">
        <v>281.874</v>
      </c>
      <c r="S1160" s="3" t="n">
        <v>13.1534</v>
      </c>
      <c r="T1160" s="4" t="inlineStr">
        <is>
          <t>PE Buyout, Company Takeover, Going Private, Private Equity</t>
        </is>
      </c>
      <c r="U1160" s="2" t="inlineStr">
        <is>
          <t>No</t>
        </is>
      </c>
      <c r="V1160" s="2" t="inlineStr">
        <is>
          <t>No</t>
        </is>
      </c>
      <c r="W1160" s="2" t="inlineStr">
        <is>
          <t>No</t>
        </is>
      </c>
      <c r="X1160" s="2" t="inlineStr">
        <is>
          <t>Yes</t>
        </is>
      </c>
      <c r="Y1160" s="2" t="inlineStr">
        <is>
          <t>Yes</t>
        </is>
      </c>
      <c r="Z1160" s="2" t="inlineStr">
        <is>
          <t>No</t>
        </is>
      </c>
      <c r="AA1160" s="6" t="n">
        <v>3.453214342</v>
      </c>
      <c r="AB1160" s="6" t="n">
        <v>2.450055018</v>
      </c>
      <c r="AC1160" s="6" t="n">
        <v>3.174068534</v>
      </c>
      <c r="AD1160">
        <f t="array" ref="AD1160">IF(SUMPRODUCT(--($AM$2:$AM$112=TRIM(LEFT($B1160,IFERROR(FIND(" ",$B1160)-1,LEN($B1160))))))&gt;0,1,0)</f>
        <v/>
      </c>
      <c r="AE1160">
        <f t="array" ref="AE1160">IF(SUMPRODUCT(--($AO$2:$AO$145=TRIM(LEFT($B1160,IFERROR(FIND(" ",$B1160)-1,LEN($B1160))))))&gt;0,1,0)</f>
        <v/>
      </c>
      <c r="AF1160">
        <f t="array" ref="AF1160">IF(SUMPRODUCT(--($AQ$2:$AQ$71=TRIM(LEFT($B1160,IFERROR(FIND(" ",$B1160)-1,LEN($B1160))))))&gt;0,1,0)</f>
        <v/>
      </c>
    </row>
    <row r="1161" ht="60.75" customHeight="1" thickBot="1">
      <c r="A1161" s="13" t="n">
        <v>56</v>
      </c>
      <c r="B1161" s="4" t="inlineStr">
        <is>
          <t>ZLTQ US</t>
        </is>
      </c>
      <c r="C1161" s="4" t="inlineStr">
        <is>
          <t>AGN US</t>
        </is>
      </c>
      <c r="D1161" s="7" t="n">
        <v>42779</v>
      </c>
      <c r="E1161" s="3" t="n">
        <v>2309.42</v>
      </c>
      <c r="F1161" s="4" t="inlineStr">
        <is>
          <t>Cash</t>
        </is>
      </c>
      <c r="G1161" s="3" t="n">
        <v>137.05</v>
      </c>
      <c r="H1161" s="4" t="inlineStr">
        <is>
          <t>Health Care</t>
        </is>
      </c>
      <c r="I1161" s="4" t="inlineStr">
        <is>
          <t>Health Care</t>
        </is>
      </c>
      <c r="J1161" s="4" t="inlineStr">
        <is>
          <t>Medical Equipment &amp; Devices</t>
        </is>
      </c>
      <c r="K1161" s="3" t="n">
        <v>75</v>
      </c>
      <c r="L1161" s="3" t="n">
        <v>74</v>
      </c>
      <c r="M1161" s="3" t="n">
        <v>29.2</v>
      </c>
      <c r="N1161" s="3" t="n">
        <v>2372.25</v>
      </c>
      <c r="O1161" s="4" t="inlineStr">
        <is>
          <t>United States</t>
        </is>
      </c>
      <c r="P1161" s="4" t="inlineStr">
        <is>
          <t>United States</t>
        </is>
      </c>
      <c r="Q1161" s="4" t="inlineStr">
        <is>
          <t>Friendly</t>
        </is>
      </c>
      <c r="R1161" s="3" t="n">
        <v>354.201</v>
      </c>
      <c r="S1161" s="3" t="n">
        <v>3.73347</v>
      </c>
      <c r="T1161" s="4" t="inlineStr">
        <is>
          <t>Company Takeover</t>
        </is>
      </c>
      <c r="U1161" s="2" t="inlineStr">
        <is>
          <t>No</t>
        </is>
      </c>
      <c r="V1161" s="2" t="inlineStr">
        <is>
          <t>No</t>
        </is>
      </c>
      <c r="W1161" s="2" t="inlineStr">
        <is>
          <t>No</t>
        </is>
      </c>
      <c r="X1161" s="2" t="inlineStr">
        <is>
          <t>No</t>
        </is>
      </c>
      <c r="Y1161" s="2" t="inlineStr">
        <is>
          <t>No</t>
        </is>
      </c>
      <c r="Z1161" s="2" t="inlineStr">
        <is>
          <t>No</t>
        </is>
      </c>
      <c r="AA1161" s="6" t="n">
        <v>3.363502923</v>
      </c>
      <c r="AB1161" s="6" t="n">
        <v>2.549249783</v>
      </c>
      <c r="AC1161" s="6" t="n">
        <v>3.375160455</v>
      </c>
      <c r="AD1161">
        <f t="array" ref="AD1161">IF(SUMPRODUCT(--($AM$2:$AM$112=TRIM(LEFT($B1161,IFERROR(FIND(" ",$B1161)-1,LEN($B1161))))))&gt;0,1,0)</f>
        <v/>
      </c>
      <c r="AE1161">
        <f t="array" ref="AE1161">IF(SUMPRODUCT(--($AO$2:$AO$145=TRIM(LEFT($B1161,IFERROR(FIND(" ",$B1161)-1,LEN($B1161))))))&gt;0,1,0)</f>
        <v/>
      </c>
      <c r="AF1161">
        <f t="array" ref="AF1161">IF(SUMPRODUCT(--($AQ$2:$AQ$71=TRIM(LEFT($B1161,IFERROR(FIND(" ",$B1161)-1,LEN($B1161))))))&gt;0,1,0)</f>
        <v/>
      </c>
    </row>
    <row r="1162" ht="45.75" customHeight="1" thickBot="1">
      <c r="A1162" s="13" t="n">
        <v>72</v>
      </c>
      <c r="B1162" s="4" t="inlineStr">
        <is>
          <t>CWEI US</t>
        </is>
      </c>
      <c r="C1162" s="4" t="inlineStr">
        <is>
          <t>NBL US</t>
        </is>
      </c>
      <c r="D1162" s="7" t="n">
        <v>42751</v>
      </c>
      <c r="E1162" s="3" t="n">
        <v>3115.09</v>
      </c>
      <c r="F1162" s="4" t="inlineStr">
        <is>
          <t>Cash and Stock</t>
        </is>
      </c>
      <c r="G1162" s="3" t="n">
        <v>17.77</v>
      </c>
      <c r="H1162" s="4" t="inlineStr">
        <is>
          <t>Energy</t>
        </is>
      </c>
      <c r="I1162" s="4" t="inlineStr">
        <is>
          <t>Oil &amp; Gas</t>
        </is>
      </c>
      <c r="J1162" s="4" t="inlineStr">
        <is>
          <t>Oil &amp; Gas Supply Chain</t>
        </is>
      </c>
      <c r="K1162" s="4" t="n"/>
      <c r="L1162" s="3" t="n">
        <v>87</v>
      </c>
      <c r="M1162" s="3" t="n">
        <v>24.07</v>
      </c>
      <c r="N1162" s="3" t="n">
        <v>2491.62</v>
      </c>
      <c r="O1162" s="4" t="inlineStr">
        <is>
          <t>United States</t>
        </is>
      </c>
      <c r="P1162" s="4" t="inlineStr">
        <is>
          <t>United States</t>
        </is>
      </c>
      <c r="Q1162" s="4" t="inlineStr">
        <is>
          <t>Friendly</t>
        </is>
      </c>
      <c r="R1162" s="3" t="n">
        <v>296.805</v>
      </c>
      <c r="S1162" s="3" t="n">
        <v>10.0093</v>
      </c>
      <c r="T1162" s="4" t="inlineStr">
        <is>
          <t>Company Takeover</t>
        </is>
      </c>
      <c r="U1162" s="2" t="inlineStr">
        <is>
          <t>No</t>
        </is>
      </c>
      <c r="V1162" s="2" t="inlineStr">
        <is>
          <t>No</t>
        </is>
      </c>
      <c r="W1162" s="2" t="inlineStr">
        <is>
          <t>No</t>
        </is>
      </c>
      <c r="X1162" s="2" t="inlineStr">
        <is>
          <t>No</t>
        </is>
      </c>
      <c r="Y1162" s="2" t="inlineStr">
        <is>
          <t>No</t>
        </is>
      </c>
      <c r="Z1162" s="2" t="inlineStr">
        <is>
          <t>No</t>
        </is>
      </c>
      <c r="AA1162" s="6" t="n">
        <v>3.493470599</v>
      </c>
      <c r="AB1162" s="6" t="n">
        <v>2.472471213</v>
      </c>
      <c r="AC1162" s="6" t="n">
        <v>3.396481808</v>
      </c>
      <c r="AD1162">
        <f t="array" ref="AD1162">IF(SUMPRODUCT(--($AM$2:$AM$112=TRIM(LEFT($B1162,IFERROR(FIND(" ",$B1162)-1,LEN($B1162))))))&gt;0,1,0)</f>
        <v/>
      </c>
      <c r="AE1162">
        <f t="array" ref="AE1162">IF(SUMPRODUCT(--($AO$2:$AO$145=TRIM(LEFT($B1162,IFERROR(FIND(" ",$B1162)-1,LEN($B1162))))))&gt;0,1,0)</f>
        <v/>
      </c>
      <c r="AF1162">
        <f t="array" ref="AF1162">IF(SUMPRODUCT(--($AQ$2:$AQ$71=TRIM(LEFT($B1162,IFERROR(FIND(" ",$B1162)-1,LEN($B1162))))))&gt;0,1,0)</f>
        <v/>
      </c>
    </row>
    <row r="1163" ht="165.75" customHeight="1" thickBot="1">
      <c r="A1163" s="13" t="n">
        <v>30</v>
      </c>
      <c r="B1163" s="4" t="inlineStr">
        <is>
          <t>AIRM US</t>
        </is>
      </c>
      <c r="C1163" s="4" t="inlineStr">
        <is>
          <t>0704811D US</t>
        </is>
      </c>
      <c r="D1163" s="7" t="n">
        <v>42808</v>
      </c>
      <c r="E1163" s="3" t="n">
        <v>2467.38</v>
      </c>
      <c r="F1163" s="4" t="inlineStr">
        <is>
          <t>Cash</t>
        </is>
      </c>
      <c r="G1163" s="3" t="n">
        <v>8.69</v>
      </c>
      <c r="H1163" s="4" t="inlineStr">
        <is>
          <t>Health Care</t>
        </is>
      </c>
      <c r="I1163" s="4" t="inlineStr">
        <is>
          <t>Health Care</t>
        </is>
      </c>
      <c r="J1163" s="4" t="inlineStr">
        <is>
          <t>Health Care Facilities &amp; Svcs</t>
        </is>
      </c>
      <c r="K1163" s="3" t="n">
        <v>95.28619999999999</v>
      </c>
      <c r="L1163" s="3" t="n">
        <v>51.6134</v>
      </c>
      <c r="M1163" s="4" t="n"/>
      <c r="N1163" s="3" t="n">
        <v>1566.58</v>
      </c>
      <c r="O1163" s="4" t="inlineStr">
        <is>
          <t>United States</t>
        </is>
      </c>
      <c r="P1163" s="4" t="inlineStr">
        <is>
          <t>United States</t>
        </is>
      </c>
      <c r="Q1163" s="4" t="inlineStr">
        <is>
          <t>Friendly</t>
        </is>
      </c>
      <c r="R1163" s="3" t="n">
        <v>1170.45</v>
      </c>
      <c r="S1163" s="3" t="n">
        <v>16.3165</v>
      </c>
      <c r="T1163" s="4" t="inlineStr">
        <is>
          <t>PE Buyout, Company Takeover, Private Equity, Tender Offer, Going Private</t>
        </is>
      </c>
      <c r="U1163" s="2" t="inlineStr">
        <is>
          <t>No</t>
        </is>
      </c>
      <c r="V1163" s="2" t="inlineStr">
        <is>
          <t>No</t>
        </is>
      </c>
      <c r="W1163" s="2" t="inlineStr">
        <is>
          <t>No</t>
        </is>
      </c>
      <c r="X1163" s="2" t="inlineStr">
        <is>
          <t>Yes</t>
        </is>
      </c>
      <c r="Y1163" s="2" t="inlineStr">
        <is>
          <t>Yes</t>
        </is>
      </c>
      <c r="Z1163" s="2" t="inlineStr">
        <is>
          <t>Yes</t>
        </is>
      </c>
      <c r="AA1163" s="6" t="n">
        <v>3.39223604</v>
      </c>
      <c r="AB1163" s="6" t="n">
        <v>3.068352866</v>
      </c>
      <c r="AC1163" s="6" t="n">
        <v>3.194952578</v>
      </c>
      <c r="AD1163">
        <f t="array" ref="AD1163">IF(SUMPRODUCT(--($AM$2:$AM$112=TRIM(LEFT($B1163,IFERROR(FIND(" ",$B1163)-1,LEN($B1163))))))&gt;0,1,0)</f>
        <v/>
      </c>
      <c r="AE1163">
        <f t="array" ref="AE1163">IF(SUMPRODUCT(--($AO$2:$AO$145=TRIM(LEFT($B1163,IFERROR(FIND(" ",$B1163)-1,LEN($B1163))))))&gt;0,1,0)</f>
        <v/>
      </c>
      <c r="AF1163">
        <f t="array" ref="AF1163">IF(SUMPRODUCT(--($AQ$2:$AQ$71=TRIM(LEFT($B1163,IFERROR(FIND(" ",$B1163)-1,LEN($B1163))))))&gt;0,1,0)</f>
        <v/>
      </c>
    </row>
    <row r="1164" ht="45.75" customHeight="1" thickBot="1">
      <c r="A1164" s="13" t="n">
        <v>58</v>
      </c>
      <c r="B1164" s="4" t="inlineStr">
        <is>
          <t>XXIA US</t>
        </is>
      </c>
      <c r="C1164" s="4" t="inlineStr">
        <is>
          <t>KEYS US</t>
        </is>
      </c>
      <c r="D1164" s="7" t="n">
        <v>42765</v>
      </c>
      <c r="E1164" s="3" t="n">
        <v>1559.49</v>
      </c>
      <c r="F1164" s="4" t="inlineStr">
        <is>
          <t>Cash</t>
        </is>
      </c>
      <c r="G1164" s="3" t="n">
        <v>20.61</v>
      </c>
      <c r="H1164" s="4" t="inlineStr">
        <is>
          <t>Industrials</t>
        </is>
      </c>
      <c r="I1164" s="4" t="inlineStr">
        <is>
          <t>Industrial Products</t>
        </is>
      </c>
      <c r="J1164" s="4" t="inlineStr">
        <is>
          <t>Electrical Equipment</t>
        </is>
      </c>
      <c r="K1164" s="3" t="n">
        <v>500</v>
      </c>
      <c r="L1164" s="3" t="n">
        <v>59.7154</v>
      </c>
      <c r="M1164" s="3" t="n">
        <v>17.28</v>
      </c>
      <c r="N1164" s="3" t="n">
        <v>1646.57</v>
      </c>
      <c r="O1164" s="4" t="inlineStr">
        <is>
          <t>United States</t>
        </is>
      </c>
      <c r="P1164" s="4" t="inlineStr">
        <is>
          <t>United States</t>
        </is>
      </c>
      <c r="Q1164" s="4" t="inlineStr">
        <is>
          <t>Friendly</t>
        </is>
      </c>
      <c r="R1164" s="3" t="n">
        <v>484.845</v>
      </c>
      <c r="S1164" s="3" t="n">
        <v>3.79688</v>
      </c>
      <c r="T1164" s="4" t="inlineStr">
        <is>
          <t>Company Takeover</t>
        </is>
      </c>
      <c r="U1164" s="2" t="inlineStr">
        <is>
          <t>No</t>
        </is>
      </c>
      <c r="V1164" s="2" t="inlineStr">
        <is>
          <t>No</t>
        </is>
      </c>
      <c r="W1164" s="2" t="inlineStr">
        <is>
          <t>No</t>
        </is>
      </c>
      <c r="X1164" s="2" t="inlineStr">
        <is>
          <t>No</t>
        </is>
      </c>
      <c r="Y1164" s="2" t="inlineStr">
        <is>
          <t>No</t>
        </is>
      </c>
      <c r="Z1164" s="2" t="inlineStr">
        <is>
          <t>No</t>
        </is>
      </c>
      <c r="AA1164" s="6" t="n">
        <v>3.192982594</v>
      </c>
      <c r="AB1164" s="6" t="n">
        <v>2.685602921</v>
      </c>
      <c r="AC1164" s="6" t="n">
        <v>3.216580198</v>
      </c>
      <c r="AD1164">
        <f t="array" ref="AD1164">IF(SUMPRODUCT(--($AM$2:$AM$112=TRIM(LEFT($B1164,IFERROR(FIND(" ",$B1164)-1,LEN($B1164))))))&gt;0,1,0)</f>
        <v/>
      </c>
      <c r="AE1164">
        <f t="array" ref="AE1164">IF(SUMPRODUCT(--($AO$2:$AO$145=TRIM(LEFT($B1164,IFERROR(FIND(" ",$B1164)-1,LEN($B1164))))))&gt;0,1,0)</f>
        <v/>
      </c>
      <c r="AF1164">
        <f t="array" ref="AF1164">IF(SUMPRODUCT(--($AQ$2:$AQ$71=TRIM(LEFT($B1164,IFERROR(FIND(" ",$B1164)-1,LEN($B1164))))))&gt;0,1,0)</f>
        <v/>
      </c>
    </row>
    <row r="1165" ht="75.75" customHeight="1" thickBot="1">
      <c r="A1165" s="13" t="n">
        <v>30</v>
      </c>
      <c r="B1165" s="4" t="inlineStr">
        <is>
          <t>2594161D US</t>
        </is>
      </c>
      <c r="C1165" s="4" t="inlineStr">
        <is>
          <t>HPE US</t>
        </is>
      </c>
      <c r="D1165" s="7" t="n">
        <v>42801</v>
      </c>
      <c r="E1165" s="3" t="n">
        <v>913.01</v>
      </c>
      <c r="F1165" s="4" t="inlineStr">
        <is>
          <t>Cash</t>
        </is>
      </c>
      <c r="G1165" s="4" t="n"/>
      <c r="H1165" s="4" t="inlineStr">
        <is>
          <t>Technology</t>
        </is>
      </c>
      <c r="I1165" s="4" t="inlineStr">
        <is>
          <t>Tech Hardware &amp; Semiconductors</t>
        </is>
      </c>
      <c r="J1165" s="4" t="inlineStr">
        <is>
          <t>Technology Hardware</t>
        </is>
      </c>
      <c r="K1165" s="4" t="n"/>
      <c r="L1165" s="3" t="n">
        <v>40.8</v>
      </c>
      <c r="M1165" s="3" t="n">
        <v>42.57</v>
      </c>
      <c r="N1165" s="3" t="n">
        <v>1093.75</v>
      </c>
      <c r="O1165" s="4" t="inlineStr">
        <is>
          <t>United States</t>
        </is>
      </c>
      <c r="P1165" s="4" t="inlineStr">
        <is>
          <t>United States</t>
        </is>
      </c>
      <c r="Q1165" s="4" t="inlineStr">
        <is>
          <t>Friendly</t>
        </is>
      </c>
      <c r="R1165" s="3" t="n">
        <v>402.597</v>
      </c>
      <c r="S1165" s="3" t="n">
        <v>-38.9017</v>
      </c>
      <c r="T1165" s="4" t="inlineStr">
        <is>
          <t>Company Takeover, Tender Offer</t>
        </is>
      </c>
      <c r="U1165" s="2" t="inlineStr">
        <is>
          <t>No</t>
        </is>
      </c>
      <c r="V1165" s="2" t="inlineStr">
        <is>
          <t>No</t>
        </is>
      </c>
      <c r="W1165" s="2" t="inlineStr">
        <is>
          <t>No</t>
        </is>
      </c>
      <c r="X1165" s="2" t="inlineStr">
        <is>
          <t>No</t>
        </is>
      </c>
      <c r="Y1165" s="2" t="inlineStr">
        <is>
          <t>No</t>
        </is>
      </c>
      <c r="Z1165" s="2" t="inlineStr">
        <is>
          <t>Yes</t>
        </is>
      </c>
      <c r="AA1165" s="6" t="n">
        <v>2.960475534</v>
      </c>
      <c r="AB1165" s="6" t="n">
        <v>2.604870534</v>
      </c>
      <c r="AC1165" s="6" t="n">
        <v>3.038918066</v>
      </c>
      <c r="AD1165">
        <f t="array" ref="AD1165">IF(SUMPRODUCT(--($AM$2:$AM$112=TRIM(LEFT($B1165,IFERROR(FIND(" ",$B1165)-1,LEN($B1165))))))&gt;0,1,0)</f>
        <v/>
      </c>
      <c r="AE1165">
        <f t="array" ref="AE1165">IF(SUMPRODUCT(--($AO$2:$AO$145=TRIM(LEFT($B1165,IFERROR(FIND(" ",$B1165)-1,LEN($B1165))))))&gt;0,1,0)</f>
        <v/>
      </c>
      <c r="AF1165">
        <f t="array" ref="AF1165">IF(SUMPRODUCT(--($AQ$2:$AQ$71=TRIM(LEFT($B1165,IFERROR(FIND(" ",$B1165)-1,LEN($B1165))))))&gt;0,1,0)</f>
        <v/>
      </c>
    </row>
    <row r="1166" ht="105.75" customHeight="1" thickBot="1">
      <c r="A1166" s="13" t="n">
        <v>26</v>
      </c>
      <c r="B1166" s="4" t="inlineStr">
        <is>
          <t>PLKI US</t>
        </is>
      </c>
      <c r="C1166" s="4" t="inlineStr">
        <is>
          <t>QSR CN</t>
        </is>
      </c>
      <c r="D1166" s="7" t="n">
        <v>42787</v>
      </c>
      <c r="E1166" s="3" t="n">
        <v>1800.34</v>
      </c>
      <c r="F1166" s="4" t="inlineStr">
        <is>
          <t>Cash</t>
        </is>
      </c>
      <c r="G1166" s="3" t="n">
        <v>21.28</v>
      </c>
      <c r="H1166" s="4" t="inlineStr">
        <is>
          <t>Consumer Discretionary</t>
        </is>
      </c>
      <c r="I1166" s="4" t="inlineStr">
        <is>
          <t>Consumer Discretionary Services</t>
        </is>
      </c>
      <c r="J1166" s="4" t="inlineStr">
        <is>
          <t>Leisure Facilities &amp; Services</t>
        </is>
      </c>
      <c r="K1166" s="4" t="n"/>
      <c r="L1166" s="3" t="n">
        <v>51</v>
      </c>
      <c r="M1166" s="3" t="n">
        <v>22.45</v>
      </c>
      <c r="N1166" s="3" t="n">
        <v>1650.54</v>
      </c>
      <c r="O1166" s="4" t="inlineStr">
        <is>
          <t>United States</t>
        </is>
      </c>
      <c r="P1166" s="4" t="inlineStr">
        <is>
          <t>Canada</t>
        </is>
      </c>
      <c r="Q1166" s="4" t="inlineStr">
        <is>
          <t>Friendly</t>
        </is>
      </c>
      <c r="R1166" s="3" t="n">
        <v>5357</v>
      </c>
      <c r="S1166" s="3" t="n">
        <v>27.7055</v>
      </c>
      <c r="T1166" s="4" t="inlineStr">
        <is>
          <t>Company Takeover, Cross Border, Tender Offer</t>
        </is>
      </c>
      <c r="U1166" s="2" t="inlineStr">
        <is>
          <t>No</t>
        </is>
      </c>
      <c r="V1166" s="2" t="inlineStr">
        <is>
          <t>No</t>
        </is>
      </c>
      <c r="W1166" s="2" t="inlineStr">
        <is>
          <t>Yes</t>
        </is>
      </c>
      <c r="X1166" s="2" t="inlineStr">
        <is>
          <t>No</t>
        </is>
      </c>
      <c r="Y1166" s="2" t="inlineStr">
        <is>
          <t>No</t>
        </is>
      </c>
      <c r="Z1166" s="2" t="inlineStr">
        <is>
          <t>Yes</t>
        </is>
      </c>
      <c r="AA1166" s="6" t="n">
        <v>3.255354531</v>
      </c>
      <c r="AB1166" s="6" t="n">
        <v>3.728921646</v>
      </c>
      <c r="AC1166" s="6" t="n">
        <v>3.217626054</v>
      </c>
      <c r="AD1166">
        <f t="array" ref="AD1166">IF(SUMPRODUCT(--($AM$2:$AM$112=TRIM(LEFT($B1166,IFERROR(FIND(" ",$B1166)-1,LEN($B1166))))))&gt;0,1,0)</f>
        <v/>
      </c>
      <c r="AE1166">
        <f t="array" ref="AE1166">IF(SUMPRODUCT(--($AO$2:$AO$145=TRIM(LEFT($B1166,IFERROR(FIND(" ",$B1166)-1,LEN($B1166))))))&gt;0,1,0)</f>
        <v/>
      </c>
      <c r="AF1166">
        <f t="array" ref="AF1166">IF(SUMPRODUCT(--($AQ$2:$AQ$71=TRIM(LEFT($B1166,IFERROR(FIND(" ",$B1166)-1,LEN($B1166))))))&gt;0,1,0)</f>
        <v/>
      </c>
    </row>
    <row r="1167" ht="75.75" customHeight="1" thickBot="1">
      <c r="A1167" s="13" t="n">
        <v>56</v>
      </c>
      <c r="B1167" s="4" t="inlineStr">
        <is>
          <t>SCAI US</t>
        </is>
      </c>
      <c r="C1167" s="4" t="inlineStr">
        <is>
          <t>UNH US</t>
        </is>
      </c>
      <c r="D1167" s="7" t="n">
        <v>42744</v>
      </c>
      <c r="E1167" s="3" t="n">
        <v>3204.95</v>
      </c>
      <c r="F1167" s="4" t="inlineStr">
        <is>
          <t>Cash and Stock</t>
        </is>
      </c>
      <c r="G1167" s="3" t="n">
        <v>9.539999999999999</v>
      </c>
      <c r="H1167" s="4" t="inlineStr">
        <is>
          <t>Health Care</t>
        </is>
      </c>
      <c r="I1167" s="4" t="inlineStr">
        <is>
          <t>Health Care</t>
        </is>
      </c>
      <c r="J1167" s="4" t="inlineStr">
        <is>
          <t>Health Care Facilities &amp; Svcs</t>
        </is>
      </c>
      <c r="K1167" s="4" t="n"/>
      <c r="L1167" s="3" t="n">
        <v>90</v>
      </c>
      <c r="M1167" s="3" t="n">
        <v>19.57</v>
      </c>
      <c r="N1167" s="3" t="n">
        <v>2272.82</v>
      </c>
      <c r="O1167" s="4" t="inlineStr">
        <is>
          <t>United States</t>
        </is>
      </c>
      <c r="P1167" s="4" t="inlineStr">
        <is>
          <t>United States</t>
        </is>
      </c>
      <c r="Q1167" s="4" t="inlineStr">
        <is>
          <t>Friendly</t>
        </is>
      </c>
      <c r="R1167" s="3" t="n">
        <v>1281.4</v>
      </c>
      <c r="S1167" s="3" t="n">
        <v>19.3055</v>
      </c>
      <c r="T1167" s="4" t="inlineStr">
        <is>
          <t>Company Takeover, Tender Offer</t>
        </is>
      </c>
      <c r="U1167" s="2" t="inlineStr">
        <is>
          <t>No</t>
        </is>
      </c>
      <c r="V1167" s="2" t="inlineStr">
        <is>
          <t>No</t>
        </is>
      </c>
      <c r="W1167" s="2" t="inlineStr">
        <is>
          <t>No</t>
        </is>
      </c>
      <c r="X1167" s="2" t="inlineStr">
        <is>
          <t>No</t>
        </is>
      </c>
      <c r="Y1167" s="2" t="inlineStr">
        <is>
          <t>No</t>
        </is>
      </c>
      <c r="Z1167" s="2" t="inlineStr">
        <is>
          <t>Yes</t>
        </is>
      </c>
      <c r="AA1167" s="6" t="n">
        <v>3.505821259</v>
      </c>
      <c r="AB1167" s="6" t="n">
        <v>3.10768472</v>
      </c>
      <c r="AC1167" s="6" t="n">
        <v>3.356565042</v>
      </c>
      <c r="AD1167">
        <f t="array" ref="AD1167">IF(SUMPRODUCT(--($AM$2:$AM$112=TRIM(LEFT($B1167,IFERROR(FIND(" ",$B1167)-1,LEN($B1167))))))&gt;0,1,0)</f>
        <v/>
      </c>
      <c r="AE1167">
        <f t="array" ref="AE1167">IF(SUMPRODUCT(--($AO$2:$AO$145=TRIM(LEFT($B1167,IFERROR(FIND(" ",$B1167)-1,LEN($B1167))))))&gt;0,1,0)</f>
        <v/>
      </c>
      <c r="AF1167">
        <f t="array" ref="AF1167">IF(SUMPRODUCT(--($AQ$2:$AQ$71=TRIM(LEFT($B1167,IFERROR(FIND(" ",$B1167)-1,LEN($B1167))))))&gt;0,1,0)</f>
        <v/>
      </c>
    </row>
    <row r="1168" ht="75.75" customHeight="1" thickBot="1">
      <c r="A1168" s="13" t="n">
        <v>28</v>
      </c>
      <c r="B1168" s="4" t="inlineStr">
        <is>
          <t>CYNO US</t>
        </is>
      </c>
      <c r="C1168" s="4" t="inlineStr">
        <is>
          <t>HOLX US</t>
        </is>
      </c>
      <c r="D1168" s="7" t="n">
        <v>42780</v>
      </c>
      <c r="E1168" s="3" t="n">
        <v>1046.2</v>
      </c>
      <c r="F1168" s="4" t="inlineStr">
        <is>
          <t>Cash</t>
        </is>
      </c>
      <c r="G1168" s="3" t="n">
        <v>18.89</v>
      </c>
      <c r="H1168" s="4" t="inlineStr">
        <is>
          <t>Health Care</t>
        </is>
      </c>
      <c r="I1168" s="4" t="inlineStr">
        <is>
          <t>Health Care</t>
        </is>
      </c>
      <c r="J1168" s="4" t="inlineStr">
        <is>
          <t>Medical Equipment &amp; Devices</t>
        </is>
      </c>
      <c r="K1168" s="4" t="n"/>
      <c r="L1168" s="3" t="n">
        <v>57.7</v>
      </c>
      <c r="M1168" s="3" t="n">
        <v>34.59</v>
      </c>
      <c r="N1168" s="3" t="n">
        <v>1264.41</v>
      </c>
      <c r="O1168" s="4" t="inlineStr">
        <is>
          <t>United States</t>
        </is>
      </c>
      <c r="P1168" s="4" t="inlineStr">
        <is>
          <t>United States</t>
        </is>
      </c>
      <c r="Q1168" s="4" t="inlineStr">
        <is>
          <t>Friendly</t>
        </is>
      </c>
      <c r="R1168" s="3" t="n">
        <v>433.532</v>
      </c>
      <c r="S1168" s="3" t="n">
        <v>6.30634</v>
      </c>
      <c r="T1168" s="4" t="inlineStr">
        <is>
          <t>Company Takeover, Tender Offer</t>
        </is>
      </c>
      <c r="U1168" s="2" t="inlineStr">
        <is>
          <t>No</t>
        </is>
      </c>
      <c r="V1168" s="2" t="inlineStr">
        <is>
          <t>No</t>
        </is>
      </c>
      <c r="W1168" s="2" t="inlineStr">
        <is>
          <t>No</t>
        </is>
      </c>
      <c r="X1168" s="2" t="inlineStr">
        <is>
          <t>No</t>
        </is>
      </c>
      <c r="Y1168" s="2" t="inlineStr">
        <is>
          <t>No</t>
        </is>
      </c>
      <c r="Z1168" s="2" t="inlineStr">
        <is>
          <t>Yes</t>
        </is>
      </c>
      <c r="AA1168" s="6" t="n">
        <v>3.019614716</v>
      </c>
      <c r="AB1168" s="6" t="n">
        <v>2.637021159</v>
      </c>
      <c r="AC1168" s="6" t="n">
        <v>3.101887922</v>
      </c>
      <c r="AD1168">
        <f t="array" ref="AD1168">IF(SUMPRODUCT(--($AM$2:$AM$112=TRIM(LEFT($B1168,IFERROR(FIND(" ",$B1168)-1,LEN($B1168))))))&gt;0,1,0)</f>
        <v/>
      </c>
      <c r="AE1168">
        <f t="array" ref="AE1168">IF(SUMPRODUCT(--($AO$2:$AO$145=TRIM(LEFT($B1168,IFERROR(FIND(" ",$B1168)-1,LEN($B1168))))))&gt;0,1,0)</f>
        <v/>
      </c>
      <c r="AF1168">
        <f t="array" ref="AF1168">IF(SUMPRODUCT(--($AQ$2:$AQ$71=TRIM(LEFT($B1168,IFERROR(FIND(" ",$B1168)-1,LEN($B1168))))))&gt;0,1,0)</f>
        <v/>
      </c>
    </row>
    <row r="1169" ht="75.75" customHeight="1" thickBot="1">
      <c r="A1169" s="13" t="n">
        <v>42</v>
      </c>
      <c r="B1169" s="4" t="inlineStr">
        <is>
          <t>APPD US</t>
        </is>
      </c>
      <c r="C1169" s="4" t="inlineStr">
        <is>
          <t>CSCO US</t>
        </is>
      </c>
      <c r="D1169" s="7" t="n">
        <v>42759</v>
      </c>
      <c r="E1169" s="3" t="n">
        <v>3575.88</v>
      </c>
      <c r="F1169" s="4" t="inlineStr">
        <is>
          <t>Cash</t>
        </is>
      </c>
      <c r="G1169" s="4" t="n"/>
      <c r="H1169" s="4" t="inlineStr">
        <is>
          <t>Technology</t>
        </is>
      </c>
      <c r="I1169" s="4" t="inlineStr">
        <is>
          <t>Software &amp; Tech Services</t>
        </is>
      </c>
      <c r="J1169" s="4" t="inlineStr">
        <is>
          <t>Software</t>
        </is>
      </c>
      <c r="K1169" s="4" t="n"/>
      <c r="L1169" s="4" t="n"/>
      <c r="M1169" s="4" t="n"/>
      <c r="N1169" s="3" t="n">
        <v>3700</v>
      </c>
      <c r="O1169" s="4" t="inlineStr">
        <is>
          <t>United States</t>
        </is>
      </c>
      <c r="P1169" s="4" t="inlineStr">
        <is>
          <t>United States</t>
        </is>
      </c>
      <c r="Q1169" s="4" t="inlineStr">
        <is>
          <t>Friendly</t>
        </is>
      </c>
      <c r="R1169" s="3" t="n">
        <v>150.592</v>
      </c>
      <c r="S1169" s="2" t="n"/>
      <c r="T1169" s="4" t="inlineStr">
        <is>
          <t>Company Takeover, Private Equity</t>
        </is>
      </c>
      <c r="U1169" s="2" t="inlineStr">
        <is>
          <t>No</t>
        </is>
      </c>
      <c r="V1169" s="2" t="inlineStr">
        <is>
          <t>No</t>
        </is>
      </c>
      <c r="W1169" s="2" t="inlineStr">
        <is>
          <t>No</t>
        </is>
      </c>
      <c r="X1169" s="2" t="inlineStr">
        <is>
          <t>No</t>
        </is>
      </c>
      <c r="Y1169" s="2" t="inlineStr">
        <is>
          <t>No</t>
        </is>
      </c>
      <c r="Z1169" s="2" t="inlineStr">
        <is>
          <t>No</t>
        </is>
      </c>
      <c r="AA1169" s="6" t="n">
        <v>3.553382936</v>
      </c>
      <c r="AB1169" s="6" t="n">
        <v>2.177801901</v>
      </c>
      <c r="AC1169" s="6" t="n">
        <v>3.568201724</v>
      </c>
      <c r="AD1169">
        <f t="array" ref="AD1169">IF(SUMPRODUCT(--($AM$2:$AM$112=TRIM(LEFT($B1169,IFERROR(FIND(" ",$B1169)-1,LEN($B1169))))))&gt;0,1,0)</f>
        <v/>
      </c>
      <c r="AE1169">
        <f t="array" ref="AE1169">IF(SUMPRODUCT(--($AO$2:$AO$145=TRIM(LEFT($B1169,IFERROR(FIND(" ",$B1169)-1,LEN($B1169))))))&gt;0,1,0)</f>
        <v/>
      </c>
      <c r="AF1169">
        <f t="array" ref="AF1169">IF(SUMPRODUCT(--($AQ$2:$AQ$71=TRIM(LEFT($B1169,IFERROR(FIND(" ",$B1169)-1,LEN($B1169))))))&gt;0,1,0)</f>
        <v/>
      </c>
    </row>
    <row r="1170" ht="45.75" customHeight="1" thickBot="1">
      <c r="A1170" s="13" t="n">
        <v>32</v>
      </c>
      <c r="B1170" s="4" t="inlineStr">
        <is>
          <t>CLCD US</t>
        </is>
      </c>
      <c r="C1170" s="4" t="inlineStr">
        <is>
          <t>LLY US</t>
        </is>
      </c>
      <c r="D1170" s="7" t="n">
        <v>42753</v>
      </c>
      <c r="E1170" s="3" t="n">
        <v>813.37</v>
      </c>
      <c r="F1170" s="4" t="inlineStr">
        <is>
          <t>Cash</t>
        </is>
      </c>
      <c r="G1170" s="4" t="n"/>
      <c r="H1170" s="4" t="inlineStr">
        <is>
          <t>Health Care</t>
        </is>
      </c>
      <c r="I1170" s="4" t="inlineStr">
        <is>
          <t>Health Care</t>
        </is>
      </c>
      <c r="J1170" s="4" t="inlineStr">
        <is>
          <t>Biotech &amp; Pharma</t>
        </is>
      </c>
      <c r="K1170" s="4" t="n"/>
      <c r="L1170" s="3" t="n">
        <v>34</v>
      </c>
      <c r="M1170" s="3" t="n">
        <v>31.61</v>
      </c>
      <c r="N1170" s="3" t="n">
        <v>913.55</v>
      </c>
      <c r="O1170" s="4" t="inlineStr">
        <is>
          <t>United States</t>
        </is>
      </c>
      <c r="P1170" s="4" t="inlineStr">
        <is>
          <t>United States</t>
        </is>
      </c>
      <c r="Q1170" s="4" t="inlineStr">
        <is>
          <t>Friendly</t>
        </is>
      </c>
      <c r="R1170" s="2" t="n"/>
      <c r="S1170" s="2" t="n"/>
      <c r="T1170" s="4" t="inlineStr">
        <is>
          <t>Company Takeover</t>
        </is>
      </c>
      <c r="U1170" s="2" t="inlineStr">
        <is>
          <t>No</t>
        </is>
      </c>
      <c r="V1170" s="2" t="inlineStr">
        <is>
          <t>No</t>
        </is>
      </c>
      <c r="W1170" s="2" t="inlineStr">
        <is>
          <t>No</t>
        </is>
      </c>
      <c r="X1170" s="2" t="inlineStr">
        <is>
          <t>No</t>
        </is>
      </c>
      <c r="Y1170" s="2" t="inlineStr">
        <is>
          <t>No</t>
        </is>
      </c>
      <c r="Z1170" s="2" t="inlineStr">
        <is>
          <t>No</t>
        </is>
      </c>
      <c r="AA1170" s="6" t="n">
        <v>2.91028815</v>
      </c>
      <c r="AB1170" s="2" t="n"/>
      <c r="AC1170" s="6" t="n">
        <v>2.960732322</v>
      </c>
      <c r="AD1170">
        <f t="array" ref="AD1170">IF(SUMPRODUCT(--($AM$2:$AM$112=TRIM(LEFT($B1170,IFERROR(FIND(" ",$B1170)-1,LEN($B1170))))))&gt;0,1,0)</f>
        <v/>
      </c>
      <c r="AE1170">
        <f t="array" ref="AE1170">IF(SUMPRODUCT(--($AO$2:$AO$145=TRIM(LEFT($B1170,IFERROR(FIND(" ",$B1170)-1,LEN($B1170))))))&gt;0,1,0)</f>
        <v/>
      </c>
      <c r="AF1170">
        <f t="array" ref="AF1170">IF(SUMPRODUCT(--($AQ$2:$AQ$71=TRIM(LEFT($B1170,IFERROR(FIND(" ",$B1170)-1,LEN($B1170))))))&gt;0,1,0)</f>
        <v/>
      </c>
    </row>
    <row r="1171" ht="105.75" customHeight="1" thickBot="1">
      <c r="A1171" s="13" t="n">
        <v>30</v>
      </c>
      <c r="B1171" s="4" t="inlineStr">
        <is>
          <t>ARIA US</t>
        </is>
      </c>
      <c r="C1171" s="4" t="inlineStr">
        <is>
          <t>4502 JP</t>
        </is>
      </c>
      <c r="D1171" s="7" t="n">
        <v>42744</v>
      </c>
      <c r="E1171" s="3" t="n">
        <v>5001.1</v>
      </c>
      <c r="F1171" s="4" t="inlineStr">
        <is>
          <t>Cash</t>
        </is>
      </c>
      <c r="G1171" s="4" t="n"/>
      <c r="H1171" s="4" t="inlineStr">
        <is>
          <t>Health Care</t>
        </is>
      </c>
      <c r="I1171" s="4" t="inlineStr">
        <is>
          <t>Health Care</t>
        </is>
      </c>
      <c r="J1171" s="4" t="inlineStr">
        <is>
          <t>Biotech &amp; Pharma</t>
        </is>
      </c>
      <c r="K1171" s="4" t="n"/>
      <c r="L1171" s="3" t="n">
        <v>169</v>
      </c>
      <c r="M1171" s="3" t="n">
        <v>91.31</v>
      </c>
      <c r="N1171" s="3" t="n">
        <v>4762.84</v>
      </c>
      <c r="O1171" s="4" t="inlineStr">
        <is>
          <t>United States</t>
        </is>
      </c>
      <c r="P1171" s="4" t="inlineStr">
        <is>
          <t>Japan</t>
        </is>
      </c>
      <c r="Q1171" s="4" t="inlineStr">
        <is>
          <t>Friendly</t>
        </is>
      </c>
      <c r="R1171" s="3" t="n">
        <v>118.804</v>
      </c>
      <c r="S1171" s="3" t="n">
        <v>-73.6178</v>
      </c>
      <c r="T1171" s="4" t="inlineStr">
        <is>
          <t>Company Takeover, Cross Border, Tender Offer</t>
        </is>
      </c>
      <c r="U1171" s="2" t="inlineStr">
        <is>
          <t>No</t>
        </is>
      </c>
      <c r="V1171" s="2" t="inlineStr">
        <is>
          <t>No</t>
        </is>
      </c>
      <c r="W1171" s="2" t="inlineStr">
        <is>
          <t>Yes</t>
        </is>
      </c>
      <c r="X1171" s="2" t="inlineStr">
        <is>
          <t>No</t>
        </is>
      </c>
      <c r="Y1171" s="2" t="inlineStr">
        <is>
          <t>No</t>
        </is>
      </c>
      <c r="Z1171" s="2" t="inlineStr">
        <is>
          <t>Yes</t>
        </is>
      </c>
      <c r="AA1171" s="6" t="n">
        <v>3.699065539</v>
      </c>
      <c r="AB1171" s="6" t="n">
        <v>2.074831063</v>
      </c>
      <c r="AC1171" s="6" t="n">
        <v>3.677865992</v>
      </c>
      <c r="AD1171">
        <f t="array" ref="AD1171">IF(SUMPRODUCT(--($AM$2:$AM$112=TRIM(LEFT($B1171,IFERROR(FIND(" ",$B1171)-1,LEN($B1171))))))&gt;0,1,0)</f>
        <v/>
      </c>
      <c r="AE1171">
        <f t="array" ref="AE1171">IF(SUMPRODUCT(--($AO$2:$AO$145=TRIM(LEFT($B1171,IFERROR(FIND(" ",$B1171)-1,LEN($B1171))))))&gt;0,1,0)</f>
        <v/>
      </c>
      <c r="AF1171">
        <f t="array" ref="AF1171">IF(SUMPRODUCT(--($AQ$2:$AQ$71=TRIM(LEFT($B1171,IFERROR(FIND(" ",$B1171)-1,LEN($B1171))))))&gt;0,1,0)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Vance Vanvolkenburgh</dc:creator>
  <dcterms:created xsi:type="dcterms:W3CDTF">2026-06-30T16:55:34Z</dcterms:created>
  <dcterms:modified xsi:type="dcterms:W3CDTF">2026-07-06T16:19:18Z</dcterms:modified>
  <cp:lastModifiedBy>Dana Santry</cp:lastModifiedBy>
</cp:coreProperties>
</file>